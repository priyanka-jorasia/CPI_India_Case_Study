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ink/ink1.xml" ContentType="application/inkml+xml"/>
  <Override PartName="/xl/ink/ink2.xml" ContentType="application/inkml+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Priyanka\Downloads\"/>
    </mc:Choice>
  </mc:AlternateContent>
  <xr:revisionPtr revIDLastSave="0" documentId="13_ncr:1_{F4F3B548-3434-4762-8B38-8EAE7BA770F6}" xr6:coauthVersionLast="47" xr6:coauthVersionMax="47" xr10:uidLastSave="{00000000-0000-0000-0000-000000000000}"/>
  <bookViews>
    <workbookView xWindow="-108" yWindow="-108" windowWidth="23256" windowHeight="13896" tabRatio="941" firstSheet="2" activeTab="8" xr2:uid="{0D4EEDEB-F43F-4252-8B23-DEAB86122151}"/>
  </bookViews>
  <sheets>
    <sheet name="Original Data" sheetId="1" state="hidden" r:id="rId1"/>
    <sheet name="Sheet4" sheetId="12" r:id="rId2"/>
    <sheet name="Sheet2" sheetId="10" r:id="rId3"/>
    <sheet name="Sheet3" sheetId="11" r:id="rId4"/>
    <sheet name="Working Data" sheetId="2" r:id="rId5"/>
    <sheet name="Sheet1" sheetId="9" r:id="rId6"/>
    <sheet name="Broad Categories" sheetId="3" r:id="rId7"/>
    <sheet name="Problem 1" sheetId="4" r:id="rId8"/>
    <sheet name="Problem 2" sheetId="5" r:id="rId9"/>
    <sheet name="Problem 3" sheetId="6" r:id="rId10"/>
    <sheet name="Problem 4" sheetId="7" r:id="rId11"/>
    <sheet name="Problem 5" sheetId="8" r:id="rId12"/>
  </sheets>
  <definedNames>
    <definedName name="_xlnm._FilterDatabase" localSheetId="6" hidden="1">'Broad Categories'!$A$1:$K$373</definedName>
    <definedName name="_xlnm._FilterDatabase" localSheetId="4" hidden="1">'Working Data'!$A$1:$AE$373</definedName>
    <definedName name="_xlcn.WorksheetConnection_BroadCategoriesA1K3731" hidden="1">'Broad Categories'!$A$1:$K$373</definedName>
    <definedName name="ExternalData_1" localSheetId="2" hidden="1">Sheet2!$A$1:$F$9817</definedName>
  </definedNames>
  <calcPr calcId="191029"/>
  <pivotCaches>
    <pivotCache cacheId="11" r:id="rId13"/>
    <pivotCache cacheId="12" r:id="rId14"/>
    <pivotCache cacheId="13" r:id="rId15"/>
    <pivotCache cacheId="14" r:id="rId16"/>
  </pivotCaches>
  <extLst>
    <ext xmlns:x15="http://schemas.microsoft.com/office/spreadsheetml/2010/11/main" uri="{FCE2AD5D-F65C-4FA6-A056-5C36A1767C68}">
      <x15:dataModel>
        <x15:modelTables>
          <x15:modelTable id="Range" name="Range" connection="WorksheetConnection_Broad Categories!$A$1:$K$37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 l="1"/>
  <c r="U266" i="2"/>
  <c r="U269" i="2"/>
  <c r="U272" i="2"/>
  <c r="U275" i="2"/>
  <c r="U278" i="2"/>
  <c r="U281" i="2"/>
  <c r="U284" i="2"/>
  <c r="U287" i="2"/>
  <c r="U290" i="2"/>
  <c r="U293" i="2"/>
  <c r="U296" i="2"/>
  <c r="U299" i="2"/>
  <c r="U302" i="2"/>
  <c r="U305" i="2"/>
  <c r="U308" i="2"/>
  <c r="U311" i="2"/>
  <c r="U314" i="2"/>
  <c r="U317" i="2"/>
  <c r="U320" i="2"/>
  <c r="U323" i="2"/>
  <c r="U326" i="2"/>
  <c r="U329" i="2"/>
  <c r="U332" i="2"/>
  <c r="U335" i="2"/>
  <c r="U338" i="2"/>
  <c r="U341" i="2"/>
  <c r="U344" i="2"/>
  <c r="U347" i="2"/>
  <c r="U350" i="2"/>
  <c r="U353" i="2"/>
  <c r="U356" i="2"/>
  <c r="U359" i="2"/>
  <c r="U362" i="2"/>
  <c r="U365" i="2"/>
  <c r="U368" i="2"/>
  <c r="U371" i="2"/>
  <c r="U2" i="2"/>
  <c r="U5" i="2"/>
  <c r="U8" i="2"/>
  <c r="U11" i="2"/>
  <c r="U14" i="2"/>
  <c r="U17" i="2"/>
  <c r="U20" i="2"/>
  <c r="U23" i="2"/>
  <c r="U26" i="2"/>
  <c r="U29" i="2"/>
  <c r="U32" i="2"/>
  <c r="U35" i="2"/>
  <c r="U38" i="2"/>
  <c r="U41" i="2"/>
  <c r="U44" i="2"/>
  <c r="U47" i="2"/>
  <c r="U50" i="2"/>
  <c r="U53" i="2"/>
  <c r="U56" i="2"/>
  <c r="U59" i="2"/>
  <c r="U62" i="2"/>
  <c r="U65" i="2"/>
  <c r="U68" i="2"/>
  <c r="U71" i="2"/>
  <c r="U74" i="2"/>
  <c r="U77" i="2"/>
  <c r="U80" i="2"/>
  <c r="U83" i="2"/>
  <c r="U86" i="2"/>
  <c r="U89" i="2"/>
  <c r="U92" i="2"/>
  <c r="U95" i="2"/>
  <c r="U98" i="2"/>
  <c r="U101" i="2"/>
  <c r="U104" i="2"/>
  <c r="U107" i="2"/>
  <c r="U110" i="2"/>
  <c r="U113" i="2"/>
  <c r="U116" i="2"/>
  <c r="U119" i="2"/>
  <c r="U122" i="2"/>
  <c r="U125" i="2"/>
  <c r="U128" i="2"/>
  <c r="U131" i="2"/>
  <c r="U134" i="2"/>
  <c r="U137" i="2"/>
  <c r="U140" i="2"/>
  <c r="U143" i="2"/>
  <c r="U146" i="2"/>
  <c r="U149" i="2"/>
  <c r="U152" i="2"/>
  <c r="U155" i="2"/>
  <c r="U158" i="2"/>
  <c r="U161" i="2"/>
  <c r="U164" i="2"/>
  <c r="U167" i="2"/>
  <c r="U170" i="2"/>
  <c r="U173" i="2"/>
  <c r="U176" i="2"/>
  <c r="U179" i="2"/>
  <c r="U182" i="2"/>
  <c r="U185" i="2"/>
  <c r="U188" i="2"/>
  <c r="U191" i="2"/>
  <c r="U194" i="2"/>
  <c r="U197" i="2"/>
  <c r="U200" i="2"/>
  <c r="U203" i="2"/>
  <c r="U206" i="2"/>
  <c r="U209" i="2"/>
  <c r="U212" i="2"/>
  <c r="U215" i="2"/>
  <c r="U218" i="2"/>
  <c r="U221" i="2"/>
  <c r="U224" i="2"/>
  <c r="U227" i="2"/>
  <c r="U230" i="2"/>
  <c r="U233" i="2"/>
  <c r="U236" i="2"/>
  <c r="U239" i="2"/>
  <c r="U242" i="2"/>
  <c r="U245" i="2"/>
  <c r="U248" i="2"/>
  <c r="U251" i="2"/>
  <c r="U254" i="2"/>
  <c r="U257" i="2"/>
  <c r="U260" i="2"/>
  <c r="T262" i="2"/>
  <c r="T261" i="2" s="1"/>
  <c r="T260" i="2" s="1"/>
  <c r="G2" i="10"/>
  <c r="G16" i="10"/>
  <c r="G19" i="10"/>
  <c r="G21" i="10"/>
  <c r="G22" i="10"/>
  <c r="G23" i="10"/>
  <c r="G24" i="10"/>
  <c r="G25" i="10"/>
  <c r="G26" i="10"/>
  <c r="G27" i="10"/>
  <c r="G28" i="10"/>
  <c r="G42" i="10"/>
  <c r="G45" i="10"/>
  <c r="G46" i="10"/>
  <c r="G48" i="10"/>
  <c r="G49" i="10"/>
  <c r="G50" i="10"/>
  <c r="G51" i="10"/>
  <c r="G52" i="10"/>
  <c r="G53" i="10"/>
  <c r="G54" i="10"/>
  <c r="G55" i="10"/>
  <c r="G69" i="10"/>
  <c r="G72" i="10"/>
  <c r="G73" i="10"/>
  <c r="G75" i="10"/>
  <c r="G76" i="10"/>
  <c r="G77" i="10"/>
  <c r="G78" i="10"/>
  <c r="G79" i="10"/>
  <c r="G80" i="10"/>
  <c r="G81" i="10"/>
  <c r="G82" i="10"/>
  <c r="G96" i="10"/>
  <c r="G99" i="10"/>
  <c r="G101" i="10"/>
  <c r="G102" i="10"/>
  <c r="G103" i="10"/>
  <c r="G104" i="10"/>
  <c r="G105" i="10"/>
  <c r="G106" i="10"/>
  <c r="G107" i="10"/>
  <c r="G108" i="10"/>
  <c r="G122" i="10"/>
  <c r="G125" i="10"/>
  <c r="G126" i="10"/>
  <c r="G128" i="10"/>
  <c r="G129" i="10"/>
  <c r="G130" i="10"/>
  <c r="G131" i="10"/>
  <c r="G132" i="10"/>
  <c r="G133" i="10"/>
  <c r="G134" i="10"/>
  <c r="G135" i="10"/>
  <c r="G149" i="10"/>
  <c r="G152" i="10"/>
  <c r="G153" i="10"/>
  <c r="G155" i="10"/>
  <c r="G156" i="10"/>
  <c r="G157" i="10"/>
  <c r="G158" i="10"/>
  <c r="G159" i="10"/>
  <c r="G160" i="10"/>
  <c r="G161" i="10"/>
  <c r="G162" i="10"/>
  <c r="G176" i="10"/>
  <c r="G179" i="10"/>
  <c r="G181" i="10"/>
  <c r="G182" i="10"/>
  <c r="G183" i="10"/>
  <c r="G184" i="10"/>
  <c r="G185" i="10"/>
  <c r="G186" i="10"/>
  <c r="G187" i="10"/>
  <c r="G188" i="10"/>
  <c r="G202" i="10"/>
  <c r="G205" i="10"/>
  <c r="G206" i="10"/>
  <c r="G208" i="10"/>
  <c r="G209" i="10"/>
  <c r="G210" i="10"/>
  <c r="G211" i="10"/>
  <c r="G212" i="10"/>
  <c r="G213" i="10"/>
  <c r="G214" i="10"/>
  <c r="G215" i="10"/>
  <c r="G229" i="10"/>
  <c r="G232" i="10"/>
  <c r="G233" i="10"/>
  <c r="G235" i="10"/>
  <c r="G236" i="10"/>
  <c r="G237" i="10"/>
  <c r="G238" i="10"/>
  <c r="G239" i="10"/>
  <c r="G240" i="10"/>
  <c r="G241" i="10"/>
  <c r="G242" i="10"/>
  <c r="G256" i="10"/>
  <c r="G259" i="10"/>
  <c r="G261" i="10"/>
  <c r="G262" i="10"/>
  <c r="G263" i="10"/>
  <c r="G264" i="10"/>
  <c r="G265" i="10"/>
  <c r="G266" i="10"/>
  <c r="G267" i="10"/>
  <c r="G268" i="10"/>
  <c r="G282" i="10"/>
  <c r="G285" i="10"/>
  <c r="G286" i="10"/>
  <c r="G288" i="10"/>
  <c r="G289" i="10"/>
  <c r="G290" i="10"/>
  <c r="G291" i="10"/>
  <c r="G292" i="10"/>
  <c r="G293" i="10"/>
  <c r="G294" i="10"/>
  <c r="G295" i="10"/>
  <c r="G309" i="10"/>
  <c r="G312" i="10"/>
  <c r="G313" i="10"/>
  <c r="G315" i="10"/>
  <c r="G316" i="10"/>
  <c r="G317" i="10"/>
  <c r="G318" i="10"/>
  <c r="G319" i="10"/>
  <c r="G320" i="10"/>
  <c r="G321" i="10"/>
  <c r="G322" i="10"/>
  <c r="G336" i="10"/>
  <c r="G339" i="10"/>
  <c r="G341" i="10"/>
  <c r="G342" i="10"/>
  <c r="G343" i="10"/>
  <c r="G344" i="10"/>
  <c r="G345" i="10"/>
  <c r="G346" i="10"/>
  <c r="G347" i="10"/>
  <c r="G348" i="10"/>
  <c r="G362" i="10"/>
  <c r="G365" i="10"/>
  <c r="G366" i="10"/>
  <c r="G368" i="10"/>
  <c r="G369" i="10"/>
  <c r="G370" i="10"/>
  <c r="G371" i="10"/>
  <c r="G372" i="10"/>
  <c r="G373" i="10"/>
  <c r="G374" i="10"/>
  <c r="G375" i="10"/>
  <c r="G389" i="10"/>
  <c r="G392" i="10"/>
  <c r="G393" i="10"/>
  <c r="G395" i="10"/>
  <c r="G396" i="10"/>
  <c r="G397" i="10"/>
  <c r="G398" i="10"/>
  <c r="G399" i="10"/>
  <c r="G400" i="10"/>
  <c r="G401" i="10"/>
  <c r="G402" i="10"/>
  <c r="G416" i="10"/>
  <c r="G419" i="10"/>
  <c r="G421" i="10"/>
  <c r="G422" i="10"/>
  <c r="G423" i="10"/>
  <c r="G424" i="10"/>
  <c r="G425" i="10"/>
  <c r="G426" i="10"/>
  <c r="G427" i="10"/>
  <c r="G428" i="10"/>
  <c r="G442" i="10"/>
  <c r="G445" i="10"/>
  <c r="G446" i="10"/>
  <c r="G448" i="10"/>
  <c r="G449" i="10"/>
  <c r="G450" i="10"/>
  <c r="G451" i="10"/>
  <c r="G452" i="10"/>
  <c r="G453" i="10"/>
  <c r="G454" i="10"/>
  <c r="G455" i="10"/>
  <c r="G469" i="10"/>
  <c r="G472" i="10"/>
  <c r="G473" i="10"/>
  <c r="G475" i="10"/>
  <c r="G476" i="10"/>
  <c r="G477" i="10"/>
  <c r="G478" i="10"/>
  <c r="G479" i="10"/>
  <c r="G480" i="10"/>
  <c r="G481" i="10"/>
  <c r="G482" i="10"/>
  <c r="G496" i="10"/>
  <c r="G499" i="10"/>
  <c r="G501" i="10"/>
  <c r="G502" i="10"/>
  <c r="G503" i="10"/>
  <c r="G504" i="10"/>
  <c r="G505" i="10"/>
  <c r="G506" i="10"/>
  <c r="G507" i="10"/>
  <c r="G508" i="10"/>
  <c r="G522" i="10"/>
  <c r="G525" i="10"/>
  <c r="G526" i="10"/>
  <c r="G528" i="10"/>
  <c r="G529" i="10"/>
  <c r="G530" i="10"/>
  <c r="G531" i="10"/>
  <c r="G532" i="10"/>
  <c r="G533" i="10"/>
  <c r="G534" i="10"/>
  <c r="G535" i="10"/>
  <c r="G549" i="10"/>
  <c r="G552" i="10"/>
  <c r="G553" i="10"/>
  <c r="G555" i="10"/>
  <c r="G556" i="10"/>
  <c r="G557" i="10"/>
  <c r="G558" i="10"/>
  <c r="G559" i="10"/>
  <c r="G560" i="10"/>
  <c r="G561" i="10"/>
  <c r="G562" i="10"/>
  <c r="G576" i="10"/>
  <c r="G579" i="10"/>
  <c r="G581" i="10"/>
  <c r="G582" i="10"/>
  <c r="G583" i="10"/>
  <c r="G584" i="10"/>
  <c r="G585" i="10"/>
  <c r="G586" i="10"/>
  <c r="G587" i="10"/>
  <c r="G588" i="10"/>
  <c r="G602" i="10"/>
  <c r="G605" i="10"/>
  <c r="G606" i="10"/>
  <c r="G608" i="10"/>
  <c r="G609" i="10"/>
  <c r="G610" i="10"/>
  <c r="G611" i="10"/>
  <c r="G612" i="10"/>
  <c r="G613" i="10"/>
  <c r="G614" i="10"/>
  <c r="G615" i="10"/>
  <c r="G629" i="10"/>
  <c r="G632" i="10"/>
  <c r="G633" i="10"/>
  <c r="G635" i="10"/>
  <c r="G636" i="10"/>
  <c r="G637" i="10"/>
  <c r="G638" i="10"/>
  <c r="G639" i="10"/>
  <c r="G640" i="10"/>
  <c r="G641" i="10"/>
  <c r="G642" i="10"/>
  <c r="G656" i="10"/>
  <c r="G659" i="10"/>
  <c r="G661" i="10"/>
  <c r="G662" i="10"/>
  <c r="G663" i="10"/>
  <c r="G664" i="10"/>
  <c r="G665" i="10"/>
  <c r="G666" i="10"/>
  <c r="G667" i="10"/>
  <c r="G668" i="10"/>
  <c r="G682" i="10"/>
  <c r="G685" i="10"/>
  <c r="G686" i="10"/>
  <c r="G688" i="10"/>
  <c r="G689" i="10"/>
  <c r="G690" i="10"/>
  <c r="G691" i="10"/>
  <c r="G692" i="10"/>
  <c r="G693" i="10"/>
  <c r="G694" i="10"/>
  <c r="G695" i="10"/>
  <c r="G709" i="10"/>
  <c r="G712" i="10"/>
  <c r="G713" i="10"/>
  <c r="G715" i="10"/>
  <c r="G716" i="10"/>
  <c r="G717" i="10"/>
  <c r="G718" i="10"/>
  <c r="G719" i="10"/>
  <c r="G720" i="10"/>
  <c r="G721" i="10"/>
  <c r="G722" i="10"/>
  <c r="G736" i="10"/>
  <c r="G739" i="10"/>
  <c r="G741" i="10"/>
  <c r="G742" i="10"/>
  <c r="G743" i="10"/>
  <c r="G744" i="10"/>
  <c r="G745" i="10"/>
  <c r="G746" i="10"/>
  <c r="G747" i="10"/>
  <c r="G748" i="10"/>
  <c r="G762" i="10"/>
  <c r="G765" i="10"/>
  <c r="G766" i="10"/>
  <c r="G768" i="10"/>
  <c r="G769" i="10"/>
  <c r="G770" i="10"/>
  <c r="G771" i="10"/>
  <c r="G772" i="10"/>
  <c r="G773" i="10"/>
  <c r="G774" i="10"/>
  <c r="G775" i="10"/>
  <c r="G789" i="10"/>
  <c r="G792" i="10"/>
  <c r="G793"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42" i="10"/>
  <c r="G845" i="10"/>
  <c r="G846" i="10"/>
  <c r="G848" i="10"/>
  <c r="G849" i="10"/>
  <c r="G850" i="10"/>
  <c r="G851" i="10"/>
  <c r="G852" i="10"/>
  <c r="G853" i="10"/>
  <c r="G854" i="10"/>
  <c r="G855" i="10"/>
  <c r="G869" i="10"/>
  <c r="G872" i="10"/>
  <c r="G873" i="10"/>
  <c r="G875" i="10"/>
  <c r="G876" i="10"/>
  <c r="G877" i="10"/>
  <c r="G878" i="10"/>
  <c r="G879" i="10"/>
  <c r="G880" i="10"/>
  <c r="G881" i="10"/>
  <c r="G882" i="10"/>
  <c r="G896" i="10"/>
  <c r="G899" i="10"/>
  <c r="G901" i="10"/>
  <c r="G902" i="10"/>
  <c r="G903" i="10"/>
  <c r="G904" i="10"/>
  <c r="G905" i="10"/>
  <c r="G906" i="10"/>
  <c r="G907" i="10"/>
  <c r="G908" i="10"/>
  <c r="G922" i="10"/>
  <c r="G925" i="10"/>
  <c r="G926" i="10"/>
  <c r="G928" i="10"/>
  <c r="G929" i="10"/>
  <c r="G930" i="10"/>
  <c r="G931" i="10"/>
  <c r="G932" i="10"/>
  <c r="G933" i="10"/>
  <c r="G934" i="10"/>
  <c r="G935" i="10"/>
  <c r="G949" i="10"/>
  <c r="G952" i="10"/>
  <c r="G953" i="10"/>
  <c r="G955" i="10"/>
  <c r="G956" i="10"/>
  <c r="G957" i="10"/>
  <c r="G958" i="10"/>
  <c r="G959" i="10"/>
  <c r="G960" i="10"/>
  <c r="G961" i="10"/>
  <c r="G962" i="10"/>
  <c r="G976" i="10"/>
  <c r="G979" i="10"/>
  <c r="G981" i="10"/>
  <c r="G982" i="10"/>
  <c r="G983" i="10"/>
  <c r="G984" i="10"/>
  <c r="G985" i="10"/>
  <c r="G986" i="10"/>
  <c r="G987" i="10"/>
  <c r="G988" i="10"/>
  <c r="G1002" i="10"/>
  <c r="G1005" i="10"/>
  <c r="G1006" i="10"/>
  <c r="G1008" i="10"/>
  <c r="G1009" i="10"/>
  <c r="G1010" i="10"/>
  <c r="G1011" i="10"/>
  <c r="G1012" i="10"/>
  <c r="G1013" i="10"/>
  <c r="G1014" i="10"/>
  <c r="G1015" i="10"/>
  <c r="G1029" i="10"/>
  <c r="G1032" i="10"/>
  <c r="G1033" i="10"/>
  <c r="G1035" i="10"/>
  <c r="G1036" i="10"/>
  <c r="G1037" i="10"/>
  <c r="G1038" i="10"/>
  <c r="G1039" i="10"/>
  <c r="G1040" i="10"/>
  <c r="G1041" i="10"/>
  <c r="G1042" i="10"/>
  <c r="G1056" i="10"/>
  <c r="G1059" i="10"/>
  <c r="G1061" i="10"/>
  <c r="G1062" i="10"/>
  <c r="G1063" i="10"/>
  <c r="G1064" i="10"/>
  <c r="G1065" i="10"/>
  <c r="G1066" i="10"/>
  <c r="G1067" i="10"/>
  <c r="G1068" i="10"/>
  <c r="G1082" i="10"/>
  <c r="G1085" i="10"/>
  <c r="G1086" i="10"/>
  <c r="G1088" i="10"/>
  <c r="G1089" i="10"/>
  <c r="G1090" i="10"/>
  <c r="G1091" i="10"/>
  <c r="G1092" i="10"/>
  <c r="G1093" i="10"/>
  <c r="G1094" i="10"/>
  <c r="G1095" i="10"/>
  <c r="G1109" i="10"/>
  <c r="G1112" i="10"/>
  <c r="G1113" i="10"/>
  <c r="G1115" i="10"/>
  <c r="G1116" i="10"/>
  <c r="G1117" i="10"/>
  <c r="G1118" i="10"/>
  <c r="G1119" i="10"/>
  <c r="G1120" i="10"/>
  <c r="G1121" i="10"/>
  <c r="G1122" i="10"/>
  <c r="G1136" i="10"/>
  <c r="G1139" i="10"/>
  <c r="G1141" i="10"/>
  <c r="G1142" i="10"/>
  <c r="G1143" i="10"/>
  <c r="G1144" i="10"/>
  <c r="G1145" i="10"/>
  <c r="G1146" i="10"/>
  <c r="G1147" i="10"/>
  <c r="G1148" i="10"/>
  <c r="G1162" i="10"/>
  <c r="G1165" i="10"/>
  <c r="G1166" i="10"/>
  <c r="G1168" i="10"/>
  <c r="G1169" i="10"/>
  <c r="G1170" i="10"/>
  <c r="G1171" i="10"/>
  <c r="G1172" i="10"/>
  <c r="G1173" i="10"/>
  <c r="G1174" i="10"/>
  <c r="G1175" i="10"/>
  <c r="G1189" i="10"/>
  <c r="G1192" i="10"/>
  <c r="G1193" i="10"/>
  <c r="G1195" i="10"/>
  <c r="G1196" i="10"/>
  <c r="G1197" i="10"/>
  <c r="G1198" i="10"/>
  <c r="G1199" i="10"/>
  <c r="G1200" i="10"/>
  <c r="G1201" i="10"/>
  <c r="G1202" i="10"/>
  <c r="G1216" i="10"/>
  <c r="G1219" i="10"/>
  <c r="G1221" i="10"/>
  <c r="G1222" i="10"/>
  <c r="G1223" i="10"/>
  <c r="G1224" i="10"/>
  <c r="G1225" i="10"/>
  <c r="G1226" i="10"/>
  <c r="G1227" i="10"/>
  <c r="G1228" i="10"/>
  <c r="G1242" i="10"/>
  <c r="G1245" i="10"/>
  <c r="G1246" i="10"/>
  <c r="G1248" i="10"/>
  <c r="G1249" i="10"/>
  <c r="G1250" i="10"/>
  <c r="G1251" i="10"/>
  <c r="G1252" i="10"/>
  <c r="G1253" i="10"/>
  <c r="G1254" i="10"/>
  <c r="G1255" i="10"/>
  <c r="G1269" i="10"/>
  <c r="G1272" i="10"/>
  <c r="G1273" i="10"/>
  <c r="G1275" i="10"/>
  <c r="G1276" i="10"/>
  <c r="G1277" i="10"/>
  <c r="G1278" i="10"/>
  <c r="G1279" i="10"/>
  <c r="G1280" i="10"/>
  <c r="G1281" i="10"/>
  <c r="G1282" i="10"/>
  <c r="G1296" i="10"/>
  <c r="G1299" i="10"/>
  <c r="G1301" i="10"/>
  <c r="G1302" i="10"/>
  <c r="G1303" i="10"/>
  <c r="G1304" i="10"/>
  <c r="G1305" i="10"/>
  <c r="G1306" i="10"/>
  <c r="G1307" i="10"/>
  <c r="G1308" i="10"/>
  <c r="G1322" i="10"/>
  <c r="G1325" i="10"/>
  <c r="G1326" i="10"/>
  <c r="G1328" i="10"/>
  <c r="G1329" i="10"/>
  <c r="G1330" i="10"/>
  <c r="G1331" i="10"/>
  <c r="G1332" i="10"/>
  <c r="G1333" i="10"/>
  <c r="G1334" i="10"/>
  <c r="G1335" i="10"/>
  <c r="G1349" i="10"/>
  <c r="G1352" i="10"/>
  <c r="G1353" i="10"/>
  <c r="G1355" i="10"/>
  <c r="G1356" i="10"/>
  <c r="G1357" i="10"/>
  <c r="G1358" i="10"/>
  <c r="G1359" i="10"/>
  <c r="G1360" i="10"/>
  <c r="G1361" i="10"/>
  <c r="G1362" i="10"/>
  <c r="G1376" i="10"/>
  <c r="G1379" i="10"/>
  <c r="G1381" i="10"/>
  <c r="G1382" i="10"/>
  <c r="G1383" i="10"/>
  <c r="G1384" i="10"/>
  <c r="G1385" i="10"/>
  <c r="G1386" i="10"/>
  <c r="G1387" i="10"/>
  <c r="G1388" i="10"/>
  <c r="G1402" i="10"/>
  <c r="G1405" i="10"/>
  <c r="G1406" i="10"/>
  <c r="G1408" i="10"/>
  <c r="G1409" i="10"/>
  <c r="G1410" i="10"/>
  <c r="G1411" i="10"/>
  <c r="G1412" i="10"/>
  <c r="G1413" i="10"/>
  <c r="G1414" i="10"/>
  <c r="G1415" i="10"/>
  <c r="G1429" i="10"/>
  <c r="G1432" i="10"/>
  <c r="G1433" i="10"/>
  <c r="G1435" i="10"/>
  <c r="G1436" i="10"/>
  <c r="G1437" i="10"/>
  <c r="G1438" i="10"/>
  <c r="G1439" i="10"/>
  <c r="G1440" i="10"/>
  <c r="G1441" i="10"/>
  <c r="G1442" i="10"/>
  <c r="G1456" i="10"/>
  <c r="G1459" i="10"/>
  <c r="G1461" i="10"/>
  <c r="G1462" i="10"/>
  <c r="G1463" i="10"/>
  <c r="G1464" i="10"/>
  <c r="G1465" i="10"/>
  <c r="G1466" i="10"/>
  <c r="G1467" i="10"/>
  <c r="G1468" i="10"/>
  <c r="G1482" i="10"/>
  <c r="G1485" i="10"/>
  <c r="G1486" i="10"/>
  <c r="G1488" i="10"/>
  <c r="G1489" i="10"/>
  <c r="G1490" i="10"/>
  <c r="G1491" i="10"/>
  <c r="G1492" i="10"/>
  <c r="G1493" i="10"/>
  <c r="G1494" i="10"/>
  <c r="G1495" i="10"/>
  <c r="G1509" i="10"/>
  <c r="G1512" i="10"/>
  <c r="G1513" i="10"/>
  <c r="G1515" i="10"/>
  <c r="G1516" i="10"/>
  <c r="G1517" i="10"/>
  <c r="G1518" i="10"/>
  <c r="G1519" i="10"/>
  <c r="G1520" i="10"/>
  <c r="G1521" i="10"/>
  <c r="G1522" i="10"/>
  <c r="G1536" i="10"/>
  <c r="G1539" i="10"/>
  <c r="G1541" i="10"/>
  <c r="G1542" i="10"/>
  <c r="G1543" i="10"/>
  <c r="G1544" i="10"/>
  <c r="G1545" i="10"/>
  <c r="G1546" i="10"/>
  <c r="G1547" i="10"/>
  <c r="G1548" i="10"/>
  <c r="G1562" i="10"/>
  <c r="G1565" i="10"/>
  <c r="G1566" i="10"/>
  <c r="G1568" i="10"/>
  <c r="G1569" i="10"/>
  <c r="G1570" i="10"/>
  <c r="G1571" i="10"/>
  <c r="G1572" i="10"/>
  <c r="G1573" i="10"/>
  <c r="G1574" i="10"/>
  <c r="G1575" i="10"/>
  <c r="G1589" i="10"/>
  <c r="G1592" i="10"/>
  <c r="G1593" i="10"/>
  <c r="G1595" i="10"/>
  <c r="G1596" i="10"/>
  <c r="G1597" i="10"/>
  <c r="G1598" i="10"/>
  <c r="G1599" i="10"/>
  <c r="G1600" i="10"/>
  <c r="G1601" i="10"/>
  <c r="G1602" i="10"/>
  <c r="G1616" i="10"/>
  <c r="G1619" i="10"/>
  <c r="G1621" i="10"/>
  <c r="G1622" i="10"/>
  <c r="G1623" i="10"/>
  <c r="G1624" i="10"/>
  <c r="G1625" i="10"/>
  <c r="G1626" i="10"/>
  <c r="G1627" i="10"/>
  <c r="G1628" i="10"/>
  <c r="G1642" i="10"/>
  <c r="G1645" i="10"/>
  <c r="G1646" i="10"/>
  <c r="G1648" i="10"/>
  <c r="G1649" i="10"/>
  <c r="G1650" i="10"/>
  <c r="G1651" i="10"/>
  <c r="G1652" i="10"/>
  <c r="G1653" i="10"/>
  <c r="G1654" i="10"/>
  <c r="G1655" i="10"/>
  <c r="G1669" i="10"/>
  <c r="G1672" i="10"/>
  <c r="G1673" i="10"/>
  <c r="G1675" i="10"/>
  <c r="G1676" i="10"/>
  <c r="G1677" i="10"/>
  <c r="G1678" i="10"/>
  <c r="G1679" i="10"/>
  <c r="G1680" i="10"/>
  <c r="G1681" i="10"/>
  <c r="G1682" i="10"/>
  <c r="G1696" i="10"/>
  <c r="G1699" i="10"/>
  <c r="G1701" i="10"/>
  <c r="G1702" i="10"/>
  <c r="G1703" i="10"/>
  <c r="G1704" i="10"/>
  <c r="G1705" i="10"/>
  <c r="G1706" i="10"/>
  <c r="G1707" i="10"/>
  <c r="G1708" i="10"/>
  <c r="G1722" i="10"/>
  <c r="G1725" i="10"/>
  <c r="G1726" i="10"/>
  <c r="G1728" i="10"/>
  <c r="G1729" i="10"/>
  <c r="G1730" i="10"/>
  <c r="G1731" i="10"/>
  <c r="G1732" i="10"/>
  <c r="G1733" i="10"/>
  <c r="G1734" i="10"/>
  <c r="G1735" i="10"/>
  <c r="G1749" i="10"/>
  <c r="G1752" i="10"/>
  <c r="G1753" i="10"/>
  <c r="G1755" i="10"/>
  <c r="G1756" i="10"/>
  <c r="G1757" i="10"/>
  <c r="G1758" i="10"/>
  <c r="G1759" i="10"/>
  <c r="G1760" i="10"/>
  <c r="G1761" i="10"/>
  <c r="G1762" i="10"/>
  <c r="G1776" i="10"/>
  <c r="G1779" i="10"/>
  <c r="G1781" i="10"/>
  <c r="G1782" i="10"/>
  <c r="G1783" i="10"/>
  <c r="G1784" i="10"/>
  <c r="G1785" i="10"/>
  <c r="G1786" i="10"/>
  <c r="G1787" i="10"/>
  <c r="G1788" i="10"/>
  <c r="G1802" i="10"/>
  <c r="G1805" i="10"/>
  <c r="G1806" i="10"/>
  <c r="G1808" i="10"/>
  <c r="G1809" i="10"/>
  <c r="G1810" i="10"/>
  <c r="G1811" i="10"/>
  <c r="G1812" i="10"/>
  <c r="G1813" i="10"/>
  <c r="G1814" i="10"/>
  <c r="G1815" i="10"/>
  <c r="G1829" i="10"/>
  <c r="G1832" i="10"/>
  <c r="G1833" i="10"/>
  <c r="G1835" i="10"/>
  <c r="G1836" i="10"/>
  <c r="G1837" i="10"/>
  <c r="G1838" i="10"/>
  <c r="G1839" i="10"/>
  <c r="G1840" i="10"/>
  <c r="G1841" i="10"/>
  <c r="G1842" i="10"/>
  <c r="G1856" i="10"/>
  <c r="G1859" i="10"/>
  <c r="G1861" i="10"/>
  <c r="G1862" i="10"/>
  <c r="G1863" i="10"/>
  <c r="G1864" i="10"/>
  <c r="G1865" i="10"/>
  <c r="G1866" i="10"/>
  <c r="G1867" i="10"/>
  <c r="G1868" i="10"/>
  <c r="G1882" i="10"/>
  <c r="G1885" i="10"/>
  <c r="G1886" i="10"/>
  <c r="G1888" i="10"/>
  <c r="G1889" i="10"/>
  <c r="G1890" i="10"/>
  <c r="G1891" i="10"/>
  <c r="G1892" i="10"/>
  <c r="G1893" i="10"/>
  <c r="G1894" i="10"/>
  <c r="G1895" i="10"/>
  <c r="G1909" i="10"/>
  <c r="G1912" i="10"/>
  <c r="G1913" i="10"/>
  <c r="G1915" i="10"/>
  <c r="G1916" i="10"/>
  <c r="G1917" i="10"/>
  <c r="G1918" i="10"/>
  <c r="G1919" i="10"/>
  <c r="G1920" i="10"/>
  <c r="G1921" i="10"/>
  <c r="G1922" i="10"/>
  <c r="G1936" i="10"/>
  <c r="G1939" i="10"/>
  <c r="G1941" i="10"/>
  <c r="G1942" i="10"/>
  <c r="G1943" i="10"/>
  <c r="G1944" i="10"/>
  <c r="G1945" i="10"/>
  <c r="G1946" i="10"/>
  <c r="G1947" i="10"/>
  <c r="G1948" i="10"/>
  <c r="G1962" i="10"/>
  <c r="G1965" i="10"/>
  <c r="G1966" i="10"/>
  <c r="G1968" i="10"/>
  <c r="G1969" i="10"/>
  <c r="G1970" i="10"/>
  <c r="G1971" i="10"/>
  <c r="G1972" i="10"/>
  <c r="G1973" i="10"/>
  <c r="G1974" i="10"/>
  <c r="G1975" i="10"/>
  <c r="G1989" i="10"/>
  <c r="G1992" i="10"/>
  <c r="G1993" i="10"/>
  <c r="G1995" i="10"/>
  <c r="G1996" i="10"/>
  <c r="G1997" i="10"/>
  <c r="G1998" i="10"/>
  <c r="G1999" i="10"/>
  <c r="G2000" i="10"/>
  <c r="G2001" i="10"/>
  <c r="G2002" i="10"/>
  <c r="G2016" i="10"/>
  <c r="G2019" i="10"/>
  <c r="G2021" i="10"/>
  <c r="G2022" i="10"/>
  <c r="G2023" i="10"/>
  <c r="G2024" i="10"/>
  <c r="G2025" i="10"/>
  <c r="G2026" i="10"/>
  <c r="G2027" i="10"/>
  <c r="G2028" i="10"/>
  <c r="G2042" i="10"/>
  <c r="G2045" i="10"/>
  <c r="G2046" i="10"/>
  <c r="G2048" i="10"/>
  <c r="G2049" i="10"/>
  <c r="G2050" i="10"/>
  <c r="G2051" i="10"/>
  <c r="G2052" i="10"/>
  <c r="G2053" i="10"/>
  <c r="G2054" i="10"/>
  <c r="G2055" i="10"/>
  <c r="G2069" i="10"/>
  <c r="G2072" i="10"/>
  <c r="G2073" i="10"/>
  <c r="G2075" i="10"/>
  <c r="G2076" i="10"/>
  <c r="G2077" i="10"/>
  <c r="G2078" i="10"/>
  <c r="G2079" i="10"/>
  <c r="G2080" i="10"/>
  <c r="G2081" i="10"/>
  <c r="G2082" i="10"/>
  <c r="G2096" i="10"/>
  <c r="G2099" i="10"/>
  <c r="G2101" i="10"/>
  <c r="G2102" i="10"/>
  <c r="G2103" i="10"/>
  <c r="G2104" i="10"/>
  <c r="G2105" i="10"/>
  <c r="G2106" i="10"/>
  <c r="G2107" i="10"/>
  <c r="G2108" i="10"/>
  <c r="G2122" i="10"/>
  <c r="G2125" i="10"/>
  <c r="G2126" i="10"/>
  <c r="G2128" i="10"/>
  <c r="G2129" i="10"/>
  <c r="G2130" i="10"/>
  <c r="G2131" i="10"/>
  <c r="G2132" i="10"/>
  <c r="G2133" i="10"/>
  <c r="G2134" i="10"/>
  <c r="G2135" i="10"/>
  <c r="G2149" i="10"/>
  <c r="G2152" i="10"/>
  <c r="G2153" i="10"/>
  <c r="G2155" i="10"/>
  <c r="G2156" i="10"/>
  <c r="G2157" i="10"/>
  <c r="G2158" i="10"/>
  <c r="G2159" i="10"/>
  <c r="G2160" i="10"/>
  <c r="G2161" i="10"/>
  <c r="G2162" i="10"/>
  <c r="G2176" i="10"/>
  <c r="G2179" i="10"/>
  <c r="G2181" i="10"/>
  <c r="G2182" i="10"/>
  <c r="G2183" i="10"/>
  <c r="G2184" i="10"/>
  <c r="G2185" i="10"/>
  <c r="G2186" i="10"/>
  <c r="G2187" i="10"/>
  <c r="G2188" i="10"/>
  <c r="G2202" i="10"/>
  <c r="G2205" i="10"/>
  <c r="G2206" i="10"/>
  <c r="G2208" i="10"/>
  <c r="G2209" i="10"/>
  <c r="G2210" i="10"/>
  <c r="G2211" i="10"/>
  <c r="G2212" i="10"/>
  <c r="G2213" i="10"/>
  <c r="G2214" i="10"/>
  <c r="G2215" i="10"/>
  <c r="G2229" i="10"/>
  <c r="G2232" i="10"/>
  <c r="G2233" i="10"/>
  <c r="G2235" i="10"/>
  <c r="G2236" i="10"/>
  <c r="G2237" i="10"/>
  <c r="G2238" i="10"/>
  <c r="G2239" i="10"/>
  <c r="G2240" i="10"/>
  <c r="G2241" i="10"/>
  <c r="G2242" i="10"/>
  <c r="G2256" i="10"/>
  <c r="G2259" i="10"/>
  <c r="G2261" i="10"/>
  <c r="G2262" i="10"/>
  <c r="G2263" i="10"/>
  <c r="G2264" i="10"/>
  <c r="G2265" i="10"/>
  <c r="G2266" i="10"/>
  <c r="G2267" i="10"/>
  <c r="G2268" i="10"/>
  <c r="G2282" i="10"/>
  <c r="G2285" i="10"/>
  <c r="G2286" i="10"/>
  <c r="G2288" i="10"/>
  <c r="G2289" i="10"/>
  <c r="G2290" i="10"/>
  <c r="G2291" i="10"/>
  <c r="G2292" i="10"/>
  <c r="G2293" i="10"/>
  <c r="G2294" i="10"/>
  <c r="G2295" i="10"/>
  <c r="G2309" i="10"/>
  <c r="G2312" i="10"/>
  <c r="G2313" i="10"/>
  <c r="G2315" i="10"/>
  <c r="G2316" i="10"/>
  <c r="G2317" i="10"/>
  <c r="G2318" i="10"/>
  <c r="G2319" i="10"/>
  <c r="G2320" i="10"/>
  <c r="G2321" i="10"/>
  <c r="G2322" i="10"/>
  <c r="G2336" i="10"/>
  <c r="G2339" i="10"/>
  <c r="G2341" i="10"/>
  <c r="G2342" i="10"/>
  <c r="G2343" i="10"/>
  <c r="G2344" i="10"/>
  <c r="G2345" i="10"/>
  <c r="G2346" i="10"/>
  <c r="G2347" i="10"/>
  <c r="G2348" i="10"/>
  <c r="G2362" i="10"/>
  <c r="G2365" i="10"/>
  <c r="G2366" i="10"/>
  <c r="G2368" i="10"/>
  <c r="G2369" i="10"/>
  <c r="G2370" i="10"/>
  <c r="G2371" i="10"/>
  <c r="G2372" i="10"/>
  <c r="G2373" i="10"/>
  <c r="G2374" i="10"/>
  <c r="G2375" i="10"/>
  <c r="G2389" i="10"/>
  <c r="G2392" i="10"/>
  <c r="G2393" i="10"/>
  <c r="G2395" i="10"/>
  <c r="G2396" i="10"/>
  <c r="G2397" i="10"/>
  <c r="G2398" i="10"/>
  <c r="G2399" i="10"/>
  <c r="G2400" i="10"/>
  <c r="G2401" i="10"/>
  <c r="G2402" i="10"/>
  <c r="G2416" i="10"/>
  <c r="G2419" i="10"/>
  <c r="G2421" i="10"/>
  <c r="G2422" i="10"/>
  <c r="G2423" i="10"/>
  <c r="G2424" i="10"/>
  <c r="G2425" i="10"/>
  <c r="G2426" i="10"/>
  <c r="G2427" i="10"/>
  <c r="G2428" i="10"/>
  <c r="G2442" i="10"/>
  <c r="G2445" i="10"/>
  <c r="G2446" i="10"/>
  <c r="G2448" i="10"/>
  <c r="G2449" i="10"/>
  <c r="G2450" i="10"/>
  <c r="G2451" i="10"/>
  <c r="G2452" i="10"/>
  <c r="G2453" i="10"/>
  <c r="G2454" i="10"/>
  <c r="G2455" i="10"/>
  <c r="G2469" i="10"/>
  <c r="G2472" i="10"/>
  <c r="G2473" i="10"/>
  <c r="G2475" i="10"/>
  <c r="G2476" i="10"/>
  <c r="G2477" i="10"/>
  <c r="G2478" i="10"/>
  <c r="G2479" i="10"/>
  <c r="G2480" i="10"/>
  <c r="G2481" i="10"/>
  <c r="G2482" i="10"/>
  <c r="G2496" i="10"/>
  <c r="G2499" i="10"/>
  <c r="G2501" i="10"/>
  <c r="G2502" i="10"/>
  <c r="G2503" i="10"/>
  <c r="G2504" i="10"/>
  <c r="G2505" i="10"/>
  <c r="G2506" i="10"/>
  <c r="G2507" i="10"/>
  <c r="G2508" i="10"/>
  <c r="G2522" i="10"/>
  <c r="G2525" i="10"/>
  <c r="G2526" i="10"/>
  <c r="G2528" i="10"/>
  <c r="G2529" i="10"/>
  <c r="G2530" i="10"/>
  <c r="G2531" i="10"/>
  <c r="G2532" i="10"/>
  <c r="G2533" i="10"/>
  <c r="G2534" i="10"/>
  <c r="G2535" i="10"/>
  <c r="G2549" i="10"/>
  <c r="G2552" i="10"/>
  <c r="G2553" i="10"/>
  <c r="G2555" i="10"/>
  <c r="G2556" i="10"/>
  <c r="G2557" i="10"/>
  <c r="G2558" i="10"/>
  <c r="G2559" i="10"/>
  <c r="G2560" i="10"/>
  <c r="G2561" i="10"/>
  <c r="G2562" i="10"/>
  <c r="G2576" i="10"/>
  <c r="G2579" i="10"/>
  <c r="G2581" i="10"/>
  <c r="G2582" i="10"/>
  <c r="G2583" i="10"/>
  <c r="G2584" i="10"/>
  <c r="G2585" i="10"/>
  <c r="G2586" i="10"/>
  <c r="G2587" i="10"/>
  <c r="G2588" i="10"/>
  <c r="G2602" i="10"/>
  <c r="G2605" i="10"/>
  <c r="G2606" i="10"/>
  <c r="G2608" i="10"/>
  <c r="G2609" i="10"/>
  <c r="G2610" i="10"/>
  <c r="G2611" i="10"/>
  <c r="G2612" i="10"/>
  <c r="G2613" i="10"/>
  <c r="G2614" i="10"/>
  <c r="G2615" i="10"/>
  <c r="G2629" i="10"/>
  <c r="G2632" i="10"/>
  <c r="G2633" i="10"/>
  <c r="G2635" i="10"/>
  <c r="G2636" i="10"/>
  <c r="G2637" i="10"/>
  <c r="G2638" i="10"/>
  <c r="G2639" i="10"/>
  <c r="G2640" i="10"/>
  <c r="G2641" i="10"/>
  <c r="G2642" i="10"/>
  <c r="G2656" i="10"/>
  <c r="G2659" i="10"/>
  <c r="G2661" i="10"/>
  <c r="G2662" i="10"/>
  <c r="G2663" i="10"/>
  <c r="G2664" i="10"/>
  <c r="G2665" i="10"/>
  <c r="G2666" i="10"/>
  <c r="G2667" i="10"/>
  <c r="G2668" i="10"/>
  <c r="G2682" i="10"/>
  <c r="G2685" i="10"/>
  <c r="G2686" i="10"/>
  <c r="G2688" i="10"/>
  <c r="G2689" i="10"/>
  <c r="G2690" i="10"/>
  <c r="G2691" i="10"/>
  <c r="G2692" i="10"/>
  <c r="G2693" i="10"/>
  <c r="G2694" i="10"/>
  <c r="G2695" i="10"/>
  <c r="G2709" i="10"/>
  <c r="G2712" i="10"/>
  <c r="G2713" i="10"/>
  <c r="G2715" i="10"/>
  <c r="G2716" i="10"/>
  <c r="G2717" i="10"/>
  <c r="G2718" i="10"/>
  <c r="G2719" i="10"/>
  <c r="G2720" i="10"/>
  <c r="G2721" i="10"/>
  <c r="G2722" i="10"/>
  <c r="G2736" i="10"/>
  <c r="G2739" i="10"/>
  <c r="G2741" i="10"/>
  <c r="G2742" i="10"/>
  <c r="G2743" i="10"/>
  <c r="G2744" i="10"/>
  <c r="G2745" i="10"/>
  <c r="G2746" i="10"/>
  <c r="G2747" i="10"/>
  <c r="G2748" i="10"/>
  <c r="G2762" i="10"/>
  <c r="G2765" i="10"/>
  <c r="G2766" i="10"/>
  <c r="G2768" i="10"/>
  <c r="G2769" i="10"/>
  <c r="G2770" i="10"/>
  <c r="G2771" i="10"/>
  <c r="G2772" i="10"/>
  <c r="G2773" i="10"/>
  <c r="G2774" i="10"/>
  <c r="G2775" i="10"/>
  <c r="G2789" i="10"/>
  <c r="G2792" i="10"/>
  <c r="G2793" i="10"/>
  <c r="G2795" i="10"/>
  <c r="G2796" i="10"/>
  <c r="G2797" i="10"/>
  <c r="G2798" i="10"/>
  <c r="G2799" i="10"/>
  <c r="G2800" i="10"/>
  <c r="G2801" i="10"/>
  <c r="G2802" i="10"/>
  <c r="G2816" i="10"/>
  <c r="G2819" i="10"/>
  <c r="G2821" i="10"/>
  <c r="G2822" i="10"/>
  <c r="G2823" i="10"/>
  <c r="G2824" i="10"/>
  <c r="G2825" i="10"/>
  <c r="G2826" i="10"/>
  <c r="G2827" i="10"/>
  <c r="G2828" i="10"/>
  <c r="G2842" i="10"/>
  <c r="G2845" i="10"/>
  <c r="G2846" i="10"/>
  <c r="G2848" i="10"/>
  <c r="G2849" i="10"/>
  <c r="G2850" i="10"/>
  <c r="G2851" i="10"/>
  <c r="G2852" i="10"/>
  <c r="G2853" i="10"/>
  <c r="G2854" i="10"/>
  <c r="G2855" i="10"/>
  <c r="G2869" i="10"/>
  <c r="G2872" i="10"/>
  <c r="G2873" i="10"/>
  <c r="G2875" i="10"/>
  <c r="G2876" i="10"/>
  <c r="G2877" i="10"/>
  <c r="G2878" i="10"/>
  <c r="G2879" i="10"/>
  <c r="G2880" i="10"/>
  <c r="G2881" i="10"/>
  <c r="G2882" i="10"/>
  <c r="G2896" i="10"/>
  <c r="G2899" i="10"/>
  <c r="G2901" i="10"/>
  <c r="G2902" i="10"/>
  <c r="G2903" i="10"/>
  <c r="G2904" i="10"/>
  <c r="G2905" i="10"/>
  <c r="G2906" i="10"/>
  <c r="G2907" i="10"/>
  <c r="G2908" i="10"/>
  <c r="G2922" i="10"/>
  <c r="G2925" i="10"/>
  <c r="G2926" i="10"/>
  <c r="G2928" i="10"/>
  <c r="G2929" i="10"/>
  <c r="G2930" i="10"/>
  <c r="G2931" i="10"/>
  <c r="G2932" i="10"/>
  <c r="G2933" i="10"/>
  <c r="G2934" i="10"/>
  <c r="G2935" i="10"/>
  <c r="G2949" i="10"/>
  <c r="G2952" i="10"/>
  <c r="G2953" i="10"/>
  <c r="G2955" i="10"/>
  <c r="G2956" i="10"/>
  <c r="G2957" i="10"/>
  <c r="G2958" i="10"/>
  <c r="G2959" i="10"/>
  <c r="G2960" i="10"/>
  <c r="G2961" i="10"/>
  <c r="G2962" i="10"/>
  <c r="G2976" i="10"/>
  <c r="G2979" i="10"/>
  <c r="G2981" i="10"/>
  <c r="G2982" i="10"/>
  <c r="G2983" i="10"/>
  <c r="G2984" i="10"/>
  <c r="G2985" i="10"/>
  <c r="G2986" i="10"/>
  <c r="G2987" i="10"/>
  <c r="G2988" i="10"/>
  <c r="G3002" i="10"/>
  <c r="G3005" i="10"/>
  <c r="G3006" i="10"/>
  <c r="G3008" i="10"/>
  <c r="G3009" i="10"/>
  <c r="G3010" i="10"/>
  <c r="G3011" i="10"/>
  <c r="G3012" i="10"/>
  <c r="G3013" i="10"/>
  <c r="G3014" i="10"/>
  <c r="G3015" i="10"/>
  <c r="G3029" i="10"/>
  <c r="G3032" i="10"/>
  <c r="G3033" i="10"/>
  <c r="G3035" i="10"/>
  <c r="G3036" i="10"/>
  <c r="G3037" i="10"/>
  <c r="G3038" i="10"/>
  <c r="G3039" i="10"/>
  <c r="G3040" i="10"/>
  <c r="G3041" i="10"/>
  <c r="G3042" i="10"/>
  <c r="G3056" i="10"/>
  <c r="G3059" i="10"/>
  <c r="G3061" i="10"/>
  <c r="G3062" i="10"/>
  <c r="G3063" i="10"/>
  <c r="G3064" i="10"/>
  <c r="G3065" i="10"/>
  <c r="G3066" i="10"/>
  <c r="G3067" i="10"/>
  <c r="G3068" i="10"/>
  <c r="G3082" i="10"/>
  <c r="G3085" i="10"/>
  <c r="G3086" i="10"/>
  <c r="G3088" i="10"/>
  <c r="G3089" i="10"/>
  <c r="G3090" i="10"/>
  <c r="G3091" i="10"/>
  <c r="G3092" i="10"/>
  <c r="G3093" i="10"/>
  <c r="G3094" i="10"/>
  <c r="G3095" i="10"/>
  <c r="G3109" i="10"/>
  <c r="G3112" i="10"/>
  <c r="G3113" i="10"/>
  <c r="G3115" i="10"/>
  <c r="G3116" i="10"/>
  <c r="G3117" i="10"/>
  <c r="G3118" i="10"/>
  <c r="G3119" i="10"/>
  <c r="G3120" i="10"/>
  <c r="G3121" i="10"/>
  <c r="G3122" i="10"/>
  <c r="G3136" i="10"/>
  <c r="G3139" i="10"/>
  <c r="G3141" i="10"/>
  <c r="G3142" i="10"/>
  <c r="G3143" i="10"/>
  <c r="G3144" i="10"/>
  <c r="G3145" i="10"/>
  <c r="G3146" i="10"/>
  <c r="G3147" i="10"/>
  <c r="G3148" i="10"/>
  <c r="G3162" i="10"/>
  <c r="G3165" i="10"/>
  <c r="G3166" i="10"/>
  <c r="G3168" i="10"/>
  <c r="G3169" i="10"/>
  <c r="G3170" i="10"/>
  <c r="G3171" i="10"/>
  <c r="G3172" i="10"/>
  <c r="G3173" i="10"/>
  <c r="G3174" i="10"/>
  <c r="G3175" i="10"/>
  <c r="G3189" i="10"/>
  <c r="G3192" i="10"/>
  <c r="G3193" i="10"/>
  <c r="G3195" i="10"/>
  <c r="G3196" i="10"/>
  <c r="G3197" i="10"/>
  <c r="G3198" i="10"/>
  <c r="G3199" i="10"/>
  <c r="G3200" i="10"/>
  <c r="G3201" i="10"/>
  <c r="G3202" i="10"/>
  <c r="G3216" i="10"/>
  <c r="G3219" i="10"/>
  <c r="G3221" i="10"/>
  <c r="G3222" i="10"/>
  <c r="G3223" i="10"/>
  <c r="G3224" i="10"/>
  <c r="G3225" i="10"/>
  <c r="G3226" i="10"/>
  <c r="G3227" i="10"/>
  <c r="G3228" i="10"/>
  <c r="G3242" i="10"/>
  <c r="G3245" i="10"/>
  <c r="G3246" i="10"/>
  <c r="G3248" i="10"/>
  <c r="G3249" i="10"/>
  <c r="G3250" i="10"/>
  <c r="G3251" i="10"/>
  <c r="G3252" i="10"/>
  <c r="G3253" i="10"/>
  <c r="G3254" i="10"/>
  <c r="G3255" i="10"/>
  <c r="G3269" i="10"/>
  <c r="G3272" i="10"/>
  <c r="G3273" i="10"/>
  <c r="G3275" i="10"/>
  <c r="G3276" i="10"/>
  <c r="G3277" i="10"/>
  <c r="G3278" i="10"/>
  <c r="G3279" i="10"/>
  <c r="G3280" i="10"/>
  <c r="G3281" i="10"/>
  <c r="G3282" i="10"/>
  <c r="G3296" i="10"/>
  <c r="G3299" i="10"/>
  <c r="G3301" i="10"/>
  <c r="G3302" i="10"/>
  <c r="G3303" i="10"/>
  <c r="G3304" i="10"/>
  <c r="G3305" i="10"/>
  <c r="G3306" i="10"/>
  <c r="G3307" i="10"/>
  <c r="G3308" i="10"/>
  <c r="G3322" i="10"/>
  <c r="G3325" i="10"/>
  <c r="G3326" i="10"/>
  <c r="G3328" i="10"/>
  <c r="G3329" i="10"/>
  <c r="G3330" i="10"/>
  <c r="G3331" i="10"/>
  <c r="G3332" i="10"/>
  <c r="G3333" i="10"/>
  <c r="G3334" i="10"/>
  <c r="G3335" i="10"/>
  <c r="G3349" i="10"/>
  <c r="G3352" i="10"/>
  <c r="G3353" i="10"/>
  <c r="G3355" i="10"/>
  <c r="G3356" i="10"/>
  <c r="G3357" i="10"/>
  <c r="G3358" i="10"/>
  <c r="G3359" i="10"/>
  <c r="G3360" i="10"/>
  <c r="G3361" i="10"/>
  <c r="G3362" i="10"/>
  <c r="G3376" i="10"/>
  <c r="G3379" i="10"/>
  <c r="G3381" i="10"/>
  <c r="G3382" i="10"/>
  <c r="G3383" i="10"/>
  <c r="G3384" i="10"/>
  <c r="G3385" i="10"/>
  <c r="G3386" i="10"/>
  <c r="G3387" i="10"/>
  <c r="G3388" i="10"/>
  <c r="G3402" i="10"/>
  <c r="G3405" i="10"/>
  <c r="G3406" i="10"/>
  <c r="G3408" i="10"/>
  <c r="G3409" i="10"/>
  <c r="G3410" i="10"/>
  <c r="G3411" i="10"/>
  <c r="G3412" i="10"/>
  <c r="G3413" i="10"/>
  <c r="G3414" i="10"/>
  <c r="G3415" i="10"/>
  <c r="G3429" i="10"/>
  <c r="G3432" i="10"/>
  <c r="G3433" i="10"/>
  <c r="G3435" i="10"/>
  <c r="G3436" i="10"/>
  <c r="G3437" i="10"/>
  <c r="G3438" i="10"/>
  <c r="G3439" i="10"/>
  <c r="G3440" i="10"/>
  <c r="G3441" i="10"/>
  <c r="G3442" i="10"/>
  <c r="G3456" i="10"/>
  <c r="G3459" i="10"/>
  <c r="G3461" i="10"/>
  <c r="G3462" i="10"/>
  <c r="G3463" i="10"/>
  <c r="G3464" i="10"/>
  <c r="G3465" i="10"/>
  <c r="G3466" i="10"/>
  <c r="G3467" i="10"/>
  <c r="G3468" i="10"/>
  <c r="G3482" i="10"/>
  <c r="G3485" i="10"/>
  <c r="G3486" i="10"/>
  <c r="G3488" i="10"/>
  <c r="G3489" i="10"/>
  <c r="G3490" i="10"/>
  <c r="G3491" i="10"/>
  <c r="G3492" i="10"/>
  <c r="G3493" i="10"/>
  <c r="G3494" i="10"/>
  <c r="G3495" i="10"/>
  <c r="G3509" i="10"/>
  <c r="G3512" i="10"/>
  <c r="G3513" i="10"/>
  <c r="G3515" i="10"/>
  <c r="G3516" i="10"/>
  <c r="G3517" i="10"/>
  <c r="G3518" i="10"/>
  <c r="G3519" i="10"/>
  <c r="G3520" i="10"/>
  <c r="G3521" i="10"/>
  <c r="G3522" i="10"/>
  <c r="G3536" i="10"/>
  <c r="G3539" i="10"/>
  <c r="G3541" i="10"/>
  <c r="G3542" i="10"/>
  <c r="G3543" i="10"/>
  <c r="G3544" i="10"/>
  <c r="G3545" i="10"/>
  <c r="G3546" i="10"/>
  <c r="G3547" i="10"/>
  <c r="G3548" i="10"/>
  <c r="G3562" i="10"/>
  <c r="G3565" i="10"/>
  <c r="G3566" i="10"/>
  <c r="G3568" i="10"/>
  <c r="G3569" i="10"/>
  <c r="G3570" i="10"/>
  <c r="G3571" i="10"/>
  <c r="G3572" i="10"/>
  <c r="G3573" i="10"/>
  <c r="G3574" i="10"/>
  <c r="G3575" i="10"/>
  <c r="G3589" i="10"/>
  <c r="G3592" i="10"/>
  <c r="G3593" i="10"/>
  <c r="G3595" i="10"/>
  <c r="G3596" i="10"/>
  <c r="G3597" i="10"/>
  <c r="G3598" i="10"/>
  <c r="G3599" i="10"/>
  <c r="G3600" i="10"/>
  <c r="G3601" i="10"/>
  <c r="G3602" i="10"/>
  <c r="G3616" i="10"/>
  <c r="G3619" i="10"/>
  <c r="G3621" i="10"/>
  <c r="G3622" i="10"/>
  <c r="G3623" i="10"/>
  <c r="G3624" i="10"/>
  <c r="G3625" i="10"/>
  <c r="G3626" i="10"/>
  <c r="G3627" i="10"/>
  <c r="G3628" i="10"/>
  <c r="G3642" i="10"/>
  <c r="G3645" i="10"/>
  <c r="G3646" i="10"/>
  <c r="G3648" i="10"/>
  <c r="G3649" i="10"/>
  <c r="G3650" i="10"/>
  <c r="G3651" i="10"/>
  <c r="G3652" i="10"/>
  <c r="G3653" i="10"/>
  <c r="G3654" i="10"/>
  <c r="G3655" i="10"/>
  <c r="G3669" i="10"/>
  <c r="G3672" i="10"/>
  <c r="G3673" i="10"/>
  <c r="G3675" i="10"/>
  <c r="G3676" i="10"/>
  <c r="G3677" i="10"/>
  <c r="G3678" i="10"/>
  <c r="G3679" i="10"/>
  <c r="G3680" i="10"/>
  <c r="G3681" i="10"/>
  <c r="G3682" i="10"/>
  <c r="G3696" i="10"/>
  <c r="G3699" i="10"/>
  <c r="G3701" i="10"/>
  <c r="G3702" i="10"/>
  <c r="G3703" i="10"/>
  <c r="G3704" i="10"/>
  <c r="G3705" i="10"/>
  <c r="G3706" i="10"/>
  <c r="G3707" i="10"/>
  <c r="G3708" i="10"/>
  <c r="G3722" i="10"/>
  <c r="G3725" i="10"/>
  <c r="G3726" i="10"/>
  <c r="G3728" i="10"/>
  <c r="G3729" i="10"/>
  <c r="G3730" i="10"/>
  <c r="G3731" i="10"/>
  <c r="G3732" i="10"/>
  <c r="G3733" i="10"/>
  <c r="G3734" i="10"/>
  <c r="G3735" i="10"/>
  <c r="G3749" i="10"/>
  <c r="G3752" i="10"/>
  <c r="G3753" i="10"/>
  <c r="G3755" i="10"/>
  <c r="G3756" i="10"/>
  <c r="G3757" i="10"/>
  <c r="G3758" i="10"/>
  <c r="G3759" i="10"/>
  <c r="G3760" i="10"/>
  <c r="G3761" i="10"/>
  <c r="G3762" i="10"/>
  <c r="G3776" i="10"/>
  <c r="G3779" i="10"/>
  <c r="G3781" i="10"/>
  <c r="G3782" i="10"/>
  <c r="G3783" i="10"/>
  <c r="G3784" i="10"/>
  <c r="G3785" i="10"/>
  <c r="G3786" i="10"/>
  <c r="G3787" i="10"/>
  <c r="G3788" i="10"/>
  <c r="G3802" i="10"/>
  <c r="G3805" i="10"/>
  <c r="G3806" i="10"/>
  <c r="G3808" i="10"/>
  <c r="G3809" i="10"/>
  <c r="G3810" i="10"/>
  <c r="G3811" i="10"/>
  <c r="G3812" i="10"/>
  <c r="G3813" i="10"/>
  <c r="G3814" i="10"/>
  <c r="G3815" i="10"/>
  <c r="G3829" i="10"/>
  <c r="G3832" i="10"/>
  <c r="G3833" i="10"/>
  <c r="G3835" i="10"/>
  <c r="G3836" i="10"/>
  <c r="G3837" i="10"/>
  <c r="G3838" i="10"/>
  <c r="G3839" i="10"/>
  <c r="G3840" i="10"/>
  <c r="G3841" i="10"/>
  <c r="G3842" i="10"/>
  <c r="G3856" i="10"/>
  <c r="G3859" i="10"/>
  <c r="G3861" i="10"/>
  <c r="G3862" i="10"/>
  <c r="G3863" i="10"/>
  <c r="G3864" i="10"/>
  <c r="G3865" i="10"/>
  <c r="G3866" i="10"/>
  <c r="G3867" i="10"/>
  <c r="G3868" i="10"/>
  <c r="G3882" i="10"/>
  <c r="G3885" i="10"/>
  <c r="G3886" i="10"/>
  <c r="G3888" i="10"/>
  <c r="G3889" i="10"/>
  <c r="G3890" i="10"/>
  <c r="G3891" i="10"/>
  <c r="G3892" i="10"/>
  <c r="G3893" i="10"/>
  <c r="G3894" i="10"/>
  <c r="G3895" i="10"/>
  <c r="G3909" i="10"/>
  <c r="G3912" i="10"/>
  <c r="G3913" i="10"/>
  <c r="G3915" i="10"/>
  <c r="G3916" i="10"/>
  <c r="G3917" i="10"/>
  <c r="G3918" i="10"/>
  <c r="G3919" i="10"/>
  <c r="G3920" i="10"/>
  <c r="G3921" i="10"/>
  <c r="G3922" i="10"/>
  <c r="G3936" i="10"/>
  <c r="G3939" i="10"/>
  <c r="G3941" i="10"/>
  <c r="G3942" i="10"/>
  <c r="G3943" i="10"/>
  <c r="G3944" i="10"/>
  <c r="G3945" i="10"/>
  <c r="G3946" i="10"/>
  <c r="G3947" i="10"/>
  <c r="G3948" i="10"/>
  <c r="G3962" i="10"/>
  <c r="G3965" i="10"/>
  <c r="G3966" i="10"/>
  <c r="G3968" i="10"/>
  <c r="G3969" i="10"/>
  <c r="G3970" i="10"/>
  <c r="G3971" i="10"/>
  <c r="G3972" i="10"/>
  <c r="G3973" i="10"/>
  <c r="G3974" i="10"/>
  <c r="G3975" i="10"/>
  <c r="G3989" i="10"/>
  <c r="G3992" i="10"/>
  <c r="G3993" i="10"/>
  <c r="G3995" i="10"/>
  <c r="G3996" i="10"/>
  <c r="G3997" i="10"/>
  <c r="G3998" i="10"/>
  <c r="G3999" i="10"/>
  <c r="G4000" i="10"/>
  <c r="G4001" i="10"/>
  <c r="G4002" i="10"/>
  <c r="G4016" i="10"/>
  <c r="G4019" i="10"/>
  <c r="G4021" i="10"/>
  <c r="G4022" i="10"/>
  <c r="G4023" i="10"/>
  <c r="G4024" i="10"/>
  <c r="G4025" i="10"/>
  <c r="G4026" i="10"/>
  <c r="G4027" i="10"/>
  <c r="G4028" i="10"/>
  <c r="G4042" i="10"/>
  <c r="G4045" i="10"/>
  <c r="G4046" i="10"/>
  <c r="G4048" i="10"/>
  <c r="G4049" i="10"/>
  <c r="G4050" i="10"/>
  <c r="G4051" i="10"/>
  <c r="G4052" i="10"/>
  <c r="G4053" i="10"/>
  <c r="G4054" i="10"/>
  <c r="G4055" i="10"/>
  <c r="G4069" i="10"/>
  <c r="G4072" i="10"/>
  <c r="G4073" i="10"/>
  <c r="G4075" i="10"/>
  <c r="G4076" i="10"/>
  <c r="G4077" i="10"/>
  <c r="G4078" i="10"/>
  <c r="G4079" i="10"/>
  <c r="G4080" i="10"/>
  <c r="G4081" i="10"/>
  <c r="G4082" i="10"/>
  <c r="G4096" i="10"/>
  <c r="G4099" i="10"/>
  <c r="G4101" i="10"/>
  <c r="G4102" i="10"/>
  <c r="G4103" i="10"/>
  <c r="G4104" i="10"/>
  <c r="G4105" i="10"/>
  <c r="G4106" i="10"/>
  <c r="G4107" i="10"/>
  <c r="G4108" i="10"/>
  <c r="G4122" i="10"/>
  <c r="G4125" i="10"/>
  <c r="G4126" i="10"/>
  <c r="G4128" i="10"/>
  <c r="G4129" i="10"/>
  <c r="G4130" i="10"/>
  <c r="G4131" i="10"/>
  <c r="G4132" i="10"/>
  <c r="G4133" i="10"/>
  <c r="G4134" i="10"/>
  <c r="G4135" i="10"/>
  <c r="G4149" i="10"/>
  <c r="G4152" i="10"/>
  <c r="G4153" i="10"/>
  <c r="G4155" i="10"/>
  <c r="G4156" i="10"/>
  <c r="G4157" i="10"/>
  <c r="G4158" i="10"/>
  <c r="G4159" i="10"/>
  <c r="G4160" i="10"/>
  <c r="G4161" i="10"/>
  <c r="G4162" i="10"/>
  <c r="G4176" i="10"/>
  <c r="G4179" i="10"/>
  <c r="G4181" i="10"/>
  <c r="G4182" i="10"/>
  <c r="G4183" i="10"/>
  <c r="G4184" i="10"/>
  <c r="G4185" i="10"/>
  <c r="G4186" i="10"/>
  <c r="G4187" i="10"/>
  <c r="G4188" i="10"/>
  <c r="G4202" i="10"/>
  <c r="G4205" i="10"/>
  <c r="G4206" i="10"/>
  <c r="G4208" i="10"/>
  <c r="G4209" i="10"/>
  <c r="G4210" i="10"/>
  <c r="G4211" i="10"/>
  <c r="G4212" i="10"/>
  <c r="G4213" i="10"/>
  <c r="G4214" i="10"/>
  <c r="G4215" i="10"/>
  <c r="G4229" i="10"/>
  <c r="G4232" i="10"/>
  <c r="G4233" i="10"/>
  <c r="G4235" i="10"/>
  <c r="G4236" i="10"/>
  <c r="G4237" i="10"/>
  <c r="G4238" i="10"/>
  <c r="G4239" i="10"/>
  <c r="G4240" i="10"/>
  <c r="G4241" i="10"/>
  <c r="G4242" i="10"/>
  <c r="G4256" i="10"/>
  <c r="G4259" i="10"/>
  <c r="G4261" i="10"/>
  <c r="G4262" i="10"/>
  <c r="G4263" i="10"/>
  <c r="G4264" i="10"/>
  <c r="G4265" i="10"/>
  <c r="G4266" i="10"/>
  <c r="G4267" i="10"/>
  <c r="G4268" i="10"/>
  <c r="G4282" i="10"/>
  <c r="G4285" i="10"/>
  <c r="G4286" i="10"/>
  <c r="G4288" i="10"/>
  <c r="G4289" i="10"/>
  <c r="G4290" i="10"/>
  <c r="G4291" i="10"/>
  <c r="G4292" i="10"/>
  <c r="G4293" i="10"/>
  <c r="G4294" i="10"/>
  <c r="G4295" i="10"/>
  <c r="G4309" i="10"/>
  <c r="G4312" i="10"/>
  <c r="G4313" i="10"/>
  <c r="G4315" i="10"/>
  <c r="G4316" i="10"/>
  <c r="G4317" i="10"/>
  <c r="G4318" i="10"/>
  <c r="G4319" i="10"/>
  <c r="G4320" i="10"/>
  <c r="G4321" i="10"/>
  <c r="G4322" i="10"/>
  <c r="G4336" i="10"/>
  <c r="G4339" i="10"/>
  <c r="G4341" i="10"/>
  <c r="G4342" i="10"/>
  <c r="G4343" i="10"/>
  <c r="G4344" i="10"/>
  <c r="G4345" i="10"/>
  <c r="G4346" i="10"/>
  <c r="G4347" i="10"/>
  <c r="G4348" i="10"/>
  <c r="G4362" i="10"/>
  <c r="G4365" i="10"/>
  <c r="G4366" i="10"/>
  <c r="G4368" i="10"/>
  <c r="G4369" i="10"/>
  <c r="G4370" i="10"/>
  <c r="G4371" i="10"/>
  <c r="G4372" i="10"/>
  <c r="G4373" i="10"/>
  <c r="G4374" i="10"/>
  <c r="G4375" i="10"/>
  <c r="G4389" i="10"/>
  <c r="G4392" i="10"/>
  <c r="G4393" i="10"/>
  <c r="G4395" i="10"/>
  <c r="G4396" i="10"/>
  <c r="G4397" i="10"/>
  <c r="G4398" i="10"/>
  <c r="G4399" i="10"/>
  <c r="G4400" i="10"/>
  <c r="G4401" i="10"/>
  <c r="G4402" i="10"/>
  <c r="G4416" i="10"/>
  <c r="G4419" i="10"/>
  <c r="G4421" i="10"/>
  <c r="G4422" i="10"/>
  <c r="G4423" i="10"/>
  <c r="G4424" i="10"/>
  <c r="G4425" i="10"/>
  <c r="G4426" i="10"/>
  <c r="G4427" i="10"/>
  <c r="G4428" i="10"/>
  <c r="G4442" i="10"/>
  <c r="G4445" i="10"/>
  <c r="G4446" i="10"/>
  <c r="G4448" i="10"/>
  <c r="G4449" i="10"/>
  <c r="G4450" i="10"/>
  <c r="G4451" i="10"/>
  <c r="G4452" i="10"/>
  <c r="G4453" i="10"/>
  <c r="G4454" i="10"/>
  <c r="G4455" i="10"/>
  <c r="G4469" i="10"/>
  <c r="G4472" i="10"/>
  <c r="G4473" i="10"/>
  <c r="G4475" i="10"/>
  <c r="G4476" i="10"/>
  <c r="G4477" i="10"/>
  <c r="G4478" i="10"/>
  <c r="G4479" i="10"/>
  <c r="G4480" i="10"/>
  <c r="G4481" i="10"/>
  <c r="G4482" i="10"/>
  <c r="G4496" i="10"/>
  <c r="G4499" i="10"/>
  <c r="G4501" i="10"/>
  <c r="G4502" i="10"/>
  <c r="G4503" i="10"/>
  <c r="G4504" i="10"/>
  <c r="G4505" i="10"/>
  <c r="G4506" i="10"/>
  <c r="G4507" i="10"/>
  <c r="G4508" i="10"/>
  <c r="G4522" i="10"/>
  <c r="G4525" i="10"/>
  <c r="G4526" i="10"/>
  <c r="G4528" i="10"/>
  <c r="G4529" i="10"/>
  <c r="G4530" i="10"/>
  <c r="G4531" i="10"/>
  <c r="G4532" i="10"/>
  <c r="G4533" i="10"/>
  <c r="G4534" i="10"/>
  <c r="G4535" i="10"/>
  <c r="G4549" i="10"/>
  <c r="G4552" i="10"/>
  <c r="G4553" i="10"/>
  <c r="G4555" i="10"/>
  <c r="G4556" i="10"/>
  <c r="G4557" i="10"/>
  <c r="G4558" i="10"/>
  <c r="G4559" i="10"/>
  <c r="G4560" i="10"/>
  <c r="G4561" i="10"/>
  <c r="G4562" i="10"/>
  <c r="G4576" i="10"/>
  <c r="G4579" i="10"/>
  <c r="G4581" i="10"/>
  <c r="G4582" i="10"/>
  <c r="G4583" i="10"/>
  <c r="G4584" i="10"/>
  <c r="G4585" i="10"/>
  <c r="G4586" i="10"/>
  <c r="G4587" i="10"/>
  <c r="G4588" i="10"/>
  <c r="G4602" i="10"/>
  <c r="G4605" i="10"/>
  <c r="G4606" i="10"/>
  <c r="G4608" i="10"/>
  <c r="G4609" i="10"/>
  <c r="G4610" i="10"/>
  <c r="G4611" i="10"/>
  <c r="G4612" i="10"/>
  <c r="G4613" i="10"/>
  <c r="G4614" i="10"/>
  <c r="G4615" i="10"/>
  <c r="G4629" i="10"/>
  <c r="G4632" i="10"/>
  <c r="G4633" i="10"/>
  <c r="G4635" i="10"/>
  <c r="G4636" i="10"/>
  <c r="G4637" i="10"/>
  <c r="G4638" i="10"/>
  <c r="G4639" i="10"/>
  <c r="G4640" i="10"/>
  <c r="G4641" i="10"/>
  <c r="G4642" i="10"/>
  <c r="G4656" i="10"/>
  <c r="G4659" i="10"/>
  <c r="G4661" i="10"/>
  <c r="G4662" i="10"/>
  <c r="G4663" i="10"/>
  <c r="G4664" i="10"/>
  <c r="G4665" i="10"/>
  <c r="G4666" i="10"/>
  <c r="G4667" i="10"/>
  <c r="G4668" i="10"/>
  <c r="G4682" i="10"/>
  <c r="G4685" i="10"/>
  <c r="G4686" i="10"/>
  <c r="G4688" i="10"/>
  <c r="G4689" i="10"/>
  <c r="G4690" i="10"/>
  <c r="G4691" i="10"/>
  <c r="G4692" i="10"/>
  <c r="G4693" i="10"/>
  <c r="G4694" i="10"/>
  <c r="G4695" i="10"/>
  <c r="G4709" i="10"/>
  <c r="G4712" i="10"/>
  <c r="G4713" i="10"/>
  <c r="G4715" i="10"/>
  <c r="G4716" i="10"/>
  <c r="G4717" i="10"/>
  <c r="G4718" i="10"/>
  <c r="G4719" i="10"/>
  <c r="G4720" i="10"/>
  <c r="G4721" i="10"/>
  <c r="G4722" i="10"/>
  <c r="G4736" i="10"/>
  <c r="G4739" i="10"/>
  <c r="G4741" i="10"/>
  <c r="G4742" i="10"/>
  <c r="G4743" i="10"/>
  <c r="G4744" i="10"/>
  <c r="G4745" i="10"/>
  <c r="G4746" i="10"/>
  <c r="G4747" i="10"/>
  <c r="G4748" i="10"/>
  <c r="G4762" i="10"/>
  <c r="G4765" i="10"/>
  <c r="G4766" i="10"/>
  <c r="G4768" i="10"/>
  <c r="G4769" i="10"/>
  <c r="G4770" i="10"/>
  <c r="G4771" i="10"/>
  <c r="G4772" i="10"/>
  <c r="G4773" i="10"/>
  <c r="G4774" i="10"/>
  <c r="G4775" i="10"/>
  <c r="G4789" i="10"/>
  <c r="G4792" i="10"/>
  <c r="G4793" i="10"/>
  <c r="G4795" i="10"/>
  <c r="G4796" i="10"/>
  <c r="G4797" i="10"/>
  <c r="G4798" i="10"/>
  <c r="G4799" i="10"/>
  <c r="G4800" i="10"/>
  <c r="G4801" i="10"/>
  <c r="G4802" i="10"/>
  <c r="G4816" i="10"/>
  <c r="G4819" i="10"/>
  <c r="G4821" i="10"/>
  <c r="G4822" i="10"/>
  <c r="G4823" i="10"/>
  <c r="G4824" i="10"/>
  <c r="G4825" i="10"/>
  <c r="G4826" i="10"/>
  <c r="G4827" i="10"/>
  <c r="G4828" i="10"/>
  <c r="G4842" i="10"/>
  <c r="G4845" i="10"/>
  <c r="G4846" i="10"/>
  <c r="G4848" i="10"/>
  <c r="G4849" i="10"/>
  <c r="G4850" i="10"/>
  <c r="G4851" i="10"/>
  <c r="G4852" i="10"/>
  <c r="G4853" i="10"/>
  <c r="G4854" i="10"/>
  <c r="G4855" i="10"/>
  <c r="G4869" i="10"/>
  <c r="G4872" i="10"/>
  <c r="G4873" i="10"/>
  <c r="G4875" i="10"/>
  <c r="G4876" i="10"/>
  <c r="G4877" i="10"/>
  <c r="G4878" i="10"/>
  <c r="G4879" i="10"/>
  <c r="G4880" i="10"/>
  <c r="G4881" i="10"/>
  <c r="G4882" i="10"/>
  <c r="G4896" i="10"/>
  <c r="G4899" i="10"/>
  <c r="G4901" i="10"/>
  <c r="G4902" i="10"/>
  <c r="G4903" i="10"/>
  <c r="G4904" i="10"/>
  <c r="G4905" i="10"/>
  <c r="G4906" i="10"/>
  <c r="G4907" i="10"/>
  <c r="G4908" i="10"/>
  <c r="G4922" i="10"/>
  <c r="G4925" i="10"/>
  <c r="G4926" i="10"/>
  <c r="G4928" i="10"/>
  <c r="G4929" i="10"/>
  <c r="G4930" i="10"/>
  <c r="G4931" i="10"/>
  <c r="G4932" i="10"/>
  <c r="G4933" i="10"/>
  <c r="G4934" i="10"/>
  <c r="G4935" i="10"/>
  <c r="G4949" i="10"/>
  <c r="G4952" i="10"/>
  <c r="G4953" i="10"/>
  <c r="G4955" i="10"/>
  <c r="G4956" i="10"/>
  <c r="G4957" i="10"/>
  <c r="G4958" i="10"/>
  <c r="G4959" i="10"/>
  <c r="G4960" i="10"/>
  <c r="G4961" i="10"/>
  <c r="G4962" i="10"/>
  <c r="G4976" i="10"/>
  <c r="G4979" i="10"/>
  <c r="G4981" i="10"/>
  <c r="G4982" i="10"/>
  <c r="G4983" i="10"/>
  <c r="G4984" i="10"/>
  <c r="G4985" i="10"/>
  <c r="G4986" i="10"/>
  <c r="G4987" i="10"/>
  <c r="G4988" i="10"/>
  <c r="G5002" i="10"/>
  <c r="G5005" i="10"/>
  <c r="G5006" i="10"/>
  <c r="G5008" i="10"/>
  <c r="G5009" i="10"/>
  <c r="G5010" i="10"/>
  <c r="G5011" i="10"/>
  <c r="G5012" i="10"/>
  <c r="G5013" i="10"/>
  <c r="G5014" i="10"/>
  <c r="G5015" i="10"/>
  <c r="G5029" i="10"/>
  <c r="G5032" i="10"/>
  <c r="G5033" i="10"/>
  <c r="G5035" i="10"/>
  <c r="G5036" i="10"/>
  <c r="G5037" i="10"/>
  <c r="G5038" i="10"/>
  <c r="G5039" i="10"/>
  <c r="G5040" i="10"/>
  <c r="G5041" i="10"/>
  <c r="G5042" i="10"/>
  <c r="G5056" i="10"/>
  <c r="G5059" i="10"/>
  <c r="G5061" i="10"/>
  <c r="G5062" i="10"/>
  <c r="G5063" i="10"/>
  <c r="G5064" i="10"/>
  <c r="G5065" i="10"/>
  <c r="G5066" i="10"/>
  <c r="G5067" i="10"/>
  <c r="G5068" i="10"/>
  <c r="G5082" i="10"/>
  <c r="G5085" i="10"/>
  <c r="G5086" i="10"/>
  <c r="G5088" i="10"/>
  <c r="G5089" i="10"/>
  <c r="G5090" i="10"/>
  <c r="G5091" i="10"/>
  <c r="G5092" i="10"/>
  <c r="G5093" i="10"/>
  <c r="G5094" i="10"/>
  <c r="G5095" i="10"/>
  <c r="G5109" i="10"/>
  <c r="G5112" i="10"/>
  <c r="G5113" i="10"/>
  <c r="G5115" i="10"/>
  <c r="G5116" i="10"/>
  <c r="G5117" i="10"/>
  <c r="G5118" i="10"/>
  <c r="G5119" i="10"/>
  <c r="G5120" i="10"/>
  <c r="G5121" i="10"/>
  <c r="G5122" i="10"/>
  <c r="G5136" i="10"/>
  <c r="G5139" i="10"/>
  <c r="G5141" i="10"/>
  <c r="G5142" i="10"/>
  <c r="G5143" i="10"/>
  <c r="G5144" i="10"/>
  <c r="G5145" i="10"/>
  <c r="G5146" i="10"/>
  <c r="G5147" i="10"/>
  <c r="G5148" i="10"/>
  <c r="G5162" i="10"/>
  <c r="G5165" i="10"/>
  <c r="G5166" i="10"/>
  <c r="G5168" i="10"/>
  <c r="G5169" i="10"/>
  <c r="G5170" i="10"/>
  <c r="G5171" i="10"/>
  <c r="G5172" i="10"/>
  <c r="G5173" i="10"/>
  <c r="G5174" i="10"/>
  <c r="G5175" i="10"/>
  <c r="G5189" i="10"/>
  <c r="G5192" i="10"/>
  <c r="G5193" i="10"/>
  <c r="G5195" i="10"/>
  <c r="G5196" i="10"/>
  <c r="G5197" i="10"/>
  <c r="G5198" i="10"/>
  <c r="G5199" i="10"/>
  <c r="G5200" i="10"/>
  <c r="G5201" i="10"/>
  <c r="G5202" i="10"/>
  <c r="G5216" i="10"/>
  <c r="G5219" i="10"/>
  <c r="G5221" i="10"/>
  <c r="G5222" i="10"/>
  <c r="G5223" i="10"/>
  <c r="G5224" i="10"/>
  <c r="G5225" i="10"/>
  <c r="G5226" i="10"/>
  <c r="G5227" i="10"/>
  <c r="G5228" i="10"/>
  <c r="G5242" i="10"/>
  <c r="G5245" i="10"/>
  <c r="G5246" i="10"/>
  <c r="G5248" i="10"/>
  <c r="G5249" i="10"/>
  <c r="G5250" i="10"/>
  <c r="G5251" i="10"/>
  <c r="G5252" i="10"/>
  <c r="G5253" i="10"/>
  <c r="G5254" i="10"/>
  <c r="G5255" i="10"/>
  <c r="G5269" i="10"/>
  <c r="G5272" i="10"/>
  <c r="G5273" i="10"/>
  <c r="G5275" i="10"/>
  <c r="G5276" i="10"/>
  <c r="G5277" i="10"/>
  <c r="G5278" i="10"/>
  <c r="G5279" i="10"/>
  <c r="G5280" i="10"/>
  <c r="G5281" i="10"/>
  <c r="G5282" i="10"/>
  <c r="G5296" i="10"/>
  <c r="G5299" i="10"/>
  <c r="G5301" i="10"/>
  <c r="G5302" i="10"/>
  <c r="G5303" i="10"/>
  <c r="G5304" i="10"/>
  <c r="G5305" i="10"/>
  <c r="G5306" i="10"/>
  <c r="G5307" i="10"/>
  <c r="G5308" i="10"/>
  <c r="G5322" i="10"/>
  <c r="G5325" i="10"/>
  <c r="G5326" i="10"/>
  <c r="G5328" i="10"/>
  <c r="G5329" i="10"/>
  <c r="G5330" i="10"/>
  <c r="G5331" i="10"/>
  <c r="G5332" i="10"/>
  <c r="G5333" i="10"/>
  <c r="G5334" i="10"/>
  <c r="G5335" i="10"/>
  <c r="G5349" i="10"/>
  <c r="G5352" i="10"/>
  <c r="G5353" i="10"/>
  <c r="G5355" i="10"/>
  <c r="G5356" i="10"/>
  <c r="G5357" i="10"/>
  <c r="G5358" i="10"/>
  <c r="G5359" i="10"/>
  <c r="G5360" i="10"/>
  <c r="G5361" i="10"/>
  <c r="G5362" i="10"/>
  <c r="G5376" i="10"/>
  <c r="G5379" i="10"/>
  <c r="G5381" i="10"/>
  <c r="G5382" i="10"/>
  <c r="G5383" i="10"/>
  <c r="G5384" i="10"/>
  <c r="G5385" i="10"/>
  <c r="G5386" i="10"/>
  <c r="G5387" i="10"/>
  <c r="G5388" i="10"/>
  <c r="G5402" i="10"/>
  <c r="G5405" i="10"/>
  <c r="G5406" i="10"/>
  <c r="G5408" i="10"/>
  <c r="G5409" i="10"/>
  <c r="G5410" i="10"/>
  <c r="G5411" i="10"/>
  <c r="G5412" i="10"/>
  <c r="G5413" i="10"/>
  <c r="G5414" i="10"/>
  <c r="G5415" i="10"/>
  <c r="G5429" i="10"/>
  <c r="G5432" i="10"/>
  <c r="G5433" i="10"/>
  <c r="G5435" i="10"/>
  <c r="G5436" i="10"/>
  <c r="G5437" i="10"/>
  <c r="G5438" i="10"/>
  <c r="G5439" i="10"/>
  <c r="G5440" i="10"/>
  <c r="G5441" i="10"/>
  <c r="G5442" i="10"/>
  <c r="G5456" i="10"/>
  <c r="G5459" i="10"/>
  <c r="G5461" i="10"/>
  <c r="G5462" i="10"/>
  <c r="G5463" i="10"/>
  <c r="G5464" i="10"/>
  <c r="G5465" i="10"/>
  <c r="G5466" i="10"/>
  <c r="G5467" i="10"/>
  <c r="G5468" i="10"/>
  <c r="G5482" i="10"/>
  <c r="G5485" i="10"/>
  <c r="G5486" i="10"/>
  <c r="G5488" i="10"/>
  <c r="G5489" i="10"/>
  <c r="G5490" i="10"/>
  <c r="G5491" i="10"/>
  <c r="G5492" i="10"/>
  <c r="G5493" i="10"/>
  <c r="G5494" i="10"/>
  <c r="G5495" i="10"/>
  <c r="G5509" i="10"/>
  <c r="G5512" i="10"/>
  <c r="G5513" i="10"/>
  <c r="G5515" i="10"/>
  <c r="G5516" i="10"/>
  <c r="G5517" i="10"/>
  <c r="G5518" i="10"/>
  <c r="G5519" i="10"/>
  <c r="G5520" i="10"/>
  <c r="G5521" i="10"/>
  <c r="G5522" i="10"/>
  <c r="G5536" i="10"/>
  <c r="G5539" i="10"/>
  <c r="G5541" i="10"/>
  <c r="G5542" i="10"/>
  <c r="G5543" i="10"/>
  <c r="G5544" i="10"/>
  <c r="G5545" i="10"/>
  <c r="G5546" i="10"/>
  <c r="G5547" i="10"/>
  <c r="G5548" i="10"/>
  <c r="G5562" i="10"/>
  <c r="G5565" i="10"/>
  <c r="G5566" i="10"/>
  <c r="G5568" i="10"/>
  <c r="G5569" i="10"/>
  <c r="G5570" i="10"/>
  <c r="G5571" i="10"/>
  <c r="G5572" i="10"/>
  <c r="G5573" i="10"/>
  <c r="G5574" i="10"/>
  <c r="G5575" i="10"/>
  <c r="G5589" i="10"/>
  <c r="G5592" i="10"/>
  <c r="G5593" i="10"/>
  <c r="G5595" i="10"/>
  <c r="G5596" i="10"/>
  <c r="G5597" i="10"/>
  <c r="G5598" i="10"/>
  <c r="G5599" i="10"/>
  <c r="G5600" i="10"/>
  <c r="G5601" i="10"/>
  <c r="G5602" i="10"/>
  <c r="G5616" i="10"/>
  <c r="G5619" i="10"/>
  <c r="G5621" i="10"/>
  <c r="G5622" i="10"/>
  <c r="G5623" i="10"/>
  <c r="G5624" i="10"/>
  <c r="G5625" i="10"/>
  <c r="G5626" i="10"/>
  <c r="G5627" i="10"/>
  <c r="G5628" i="10"/>
  <c r="G5642" i="10"/>
  <c r="G5645" i="10"/>
  <c r="G5646" i="10"/>
  <c r="G5648" i="10"/>
  <c r="G5649" i="10"/>
  <c r="G5650" i="10"/>
  <c r="G5651" i="10"/>
  <c r="G5652" i="10"/>
  <c r="G5653" i="10"/>
  <c r="G5654" i="10"/>
  <c r="G5655" i="10"/>
  <c r="G5669" i="10"/>
  <c r="G5672" i="10"/>
  <c r="G5673" i="10"/>
  <c r="G5675" i="10"/>
  <c r="G5676" i="10"/>
  <c r="G5677" i="10"/>
  <c r="G5678" i="10"/>
  <c r="G5679" i="10"/>
  <c r="G5680" i="10"/>
  <c r="G5681" i="10"/>
  <c r="G5682" i="10"/>
  <c r="G5696" i="10"/>
  <c r="G5699" i="10"/>
  <c r="G5701" i="10"/>
  <c r="G5702" i="10"/>
  <c r="G5703" i="10"/>
  <c r="G5704" i="10"/>
  <c r="G5705" i="10"/>
  <c r="G5706" i="10"/>
  <c r="G5707" i="10"/>
  <c r="G5708" i="10"/>
  <c r="G5722" i="10"/>
  <c r="G5725" i="10"/>
  <c r="G5726" i="10"/>
  <c r="G5728" i="10"/>
  <c r="G5729" i="10"/>
  <c r="G5730" i="10"/>
  <c r="G5731" i="10"/>
  <c r="G5732" i="10"/>
  <c r="G5733" i="10"/>
  <c r="G5734" i="10"/>
  <c r="G5735" i="10"/>
  <c r="G5749" i="10"/>
  <c r="G5752" i="10"/>
  <c r="G5753" i="10"/>
  <c r="G5755" i="10"/>
  <c r="G5756" i="10"/>
  <c r="G5757" i="10"/>
  <c r="G5758" i="10"/>
  <c r="G5759" i="10"/>
  <c r="G5760" i="10"/>
  <c r="G5761" i="10"/>
  <c r="G5762" i="10"/>
  <c r="G5776" i="10"/>
  <c r="G5779" i="10"/>
  <c r="G5781" i="10"/>
  <c r="G5782" i="10"/>
  <c r="G5783" i="10"/>
  <c r="G5784" i="10"/>
  <c r="G5785" i="10"/>
  <c r="G5786" i="10"/>
  <c r="G5787" i="10"/>
  <c r="G5788" i="10"/>
  <c r="G5802" i="10"/>
  <c r="G5805" i="10"/>
  <c r="G5806" i="10"/>
  <c r="G5808" i="10"/>
  <c r="G5809" i="10"/>
  <c r="G5810" i="10"/>
  <c r="G5811" i="10"/>
  <c r="G5812" i="10"/>
  <c r="G5813" i="10"/>
  <c r="G5814" i="10"/>
  <c r="G5815" i="10"/>
  <c r="G5829" i="10"/>
  <c r="G5832" i="10"/>
  <c r="G5833" i="10"/>
  <c r="G5835" i="10"/>
  <c r="G5836" i="10"/>
  <c r="G5837" i="10"/>
  <c r="G5838" i="10"/>
  <c r="G5839" i="10"/>
  <c r="G5840" i="10"/>
  <c r="G5841" i="10"/>
  <c r="G5842" i="10"/>
  <c r="G5856" i="10"/>
  <c r="G5859" i="10"/>
  <c r="G5861" i="10"/>
  <c r="G5862" i="10"/>
  <c r="G5863" i="10"/>
  <c r="G5864" i="10"/>
  <c r="G5865" i="10"/>
  <c r="G5866" i="10"/>
  <c r="G5867" i="10"/>
  <c r="G5868" i="10"/>
  <c r="G5882" i="10"/>
  <c r="G5885" i="10"/>
  <c r="G5886" i="10"/>
  <c r="G5888" i="10"/>
  <c r="G5889" i="10"/>
  <c r="G5890" i="10"/>
  <c r="G5891" i="10"/>
  <c r="G5892" i="10"/>
  <c r="G5893" i="10"/>
  <c r="G5894" i="10"/>
  <c r="G5895" i="10"/>
  <c r="G5909" i="10"/>
  <c r="G5912" i="10"/>
  <c r="G5913" i="10"/>
  <c r="G5915" i="10"/>
  <c r="G5916" i="10"/>
  <c r="G5917" i="10"/>
  <c r="G5918" i="10"/>
  <c r="G5919" i="10"/>
  <c r="G5920" i="10"/>
  <c r="G5921" i="10"/>
  <c r="G5922" i="10"/>
  <c r="G5936" i="10"/>
  <c r="G5939" i="10"/>
  <c r="G5941" i="10"/>
  <c r="G5942" i="10"/>
  <c r="G5943" i="10"/>
  <c r="G5944" i="10"/>
  <c r="G5945" i="10"/>
  <c r="G5946" i="10"/>
  <c r="G5947" i="10"/>
  <c r="G5948" i="10"/>
  <c r="G5962" i="10"/>
  <c r="G5965" i="10"/>
  <c r="G5966" i="10"/>
  <c r="G5968" i="10"/>
  <c r="G5969" i="10"/>
  <c r="G5970" i="10"/>
  <c r="G5971" i="10"/>
  <c r="G5972" i="10"/>
  <c r="G5973" i="10"/>
  <c r="G5974" i="10"/>
  <c r="G5975" i="10"/>
  <c r="G5989" i="10"/>
  <c r="G5992" i="10"/>
  <c r="G5993" i="10"/>
  <c r="G5995" i="10"/>
  <c r="G5996" i="10"/>
  <c r="G5997" i="10"/>
  <c r="G5998" i="10"/>
  <c r="G5999" i="10"/>
  <c r="G6000" i="10"/>
  <c r="G6001" i="10"/>
  <c r="G6002" i="10"/>
  <c r="G6016" i="10"/>
  <c r="G6019" i="10"/>
  <c r="G6021" i="10"/>
  <c r="G6022" i="10"/>
  <c r="G6023" i="10"/>
  <c r="G6024" i="10"/>
  <c r="G6025" i="10"/>
  <c r="G6026" i="10"/>
  <c r="G6027" i="10"/>
  <c r="G6028" i="10"/>
  <c r="G6042" i="10"/>
  <c r="G6045" i="10"/>
  <c r="G6046" i="10"/>
  <c r="G6048" i="10"/>
  <c r="G6049" i="10"/>
  <c r="G6050" i="10"/>
  <c r="G6051" i="10"/>
  <c r="G6052" i="10"/>
  <c r="G6053" i="10"/>
  <c r="G6054" i="10"/>
  <c r="G6055" i="10"/>
  <c r="G6069" i="10"/>
  <c r="G6072" i="10"/>
  <c r="G6073" i="10"/>
  <c r="G6075" i="10"/>
  <c r="G6076" i="10"/>
  <c r="G6077" i="10"/>
  <c r="G6078" i="10"/>
  <c r="G6079" i="10"/>
  <c r="G6080" i="10"/>
  <c r="G6081" i="10"/>
  <c r="G6082" i="10"/>
  <c r="G6096" i="10"/>
  <c r="G6099" i="10"/>
  <c r="G6101" i="10"/>
  <c r="G6102" i="10"/>
  <c r="G6103" i="10"/>
  <c r="G6104" i="10"/>
  <c r="G6105" i="10"/>
  <c r="G6106" i="10"/>
  <c r="G6107" i="10"/>
  <c r="G6108" i="10"/>
  <c r="G6122" i="10"/>
  <c r="G6125" i="10"/>
  <c r="G6126" i="10"/>
  <c r="G6128" i="10"/>
  <c r="G6129" i="10"/>
  <c r="G6130" i="10"/>
  <c r="G6131" i="10"/>
  <c r="G6132" i="10"/>
  <c r="G6133" i="10"/>
  <c r="G6134" i="10"/>
  <c r="G6135" i="10"/>
  <c r="G6149" i="10"/>
  <c r="G6152" i="10"/>
  <c r="G6153" i="10"/>
  <c r="G6155" i="10"/>
  <c r="G6156" i="10"/>
  <c r="G6157" i="10"/>
  <c r="G6158" i="10"/>
  <c r="G6159" i="10"/>
  <c r="G6160" i="10"/>
  <c r="G6161" i="10"/>
  <c r="G6162" i="10"/>
  <c r="G6176" i="10"/>
  <c r="G6179" i="10"/>
  <c r="G6181" i="10"/>
  <c r="G6182" i="10"/>
  <c r="G6183" i="10"/>
  <c r="G6184" i="10"/>
  <c r="G6185" i="10"/>
  <c r="G6186" i="10"/>
  <c r="G6187" i="10"/>
  <c r="G6188" i="10"/>
  <c r="G6202" i="10"/>
  <c r="G6205" i="10"/>
  <c r="G6206" i="10"/>
  <c r="G6208" i="10"/>
  <c r="G6209" i="10"/>
  <c r="G6210" i="10"/>
  <c r="G6211" i="10"/>
  <c r="G6212" i="10"/>
  <c r="G6213" i="10"/>
  <c r="G6214" i="10"/>
  <c r="G6215" i="10"/>
  <c r="G6229" i="10"/>
  <c r="G6232" i="10"/>
  <c r="G6233" i="10"/>
  <c r="G6235" i="10"/>
  <c r="G6236" i="10"/>
  <c r="G6237" i="10"/>
  <c r="G6238" i="10"/>
  <c r="G6239" i="10"/>
  <c r="G6240" i="10"/>
  <c r="G6241" i="10"/>
  <c r="G6242" i="10"/>
  <c r="G6256" i="10"/>
  <c r="G6259" i="10"/>
  <c r="G6261" i="10"/>
  <c r="G6262" i="10"/>
  <c r="G6263" i="10"/>
  <c r="G6264" i="10"/>
  <c r="G6265" i="10"/>
  <c r="G6266" i="10"/>
  <c r="G6267" i="10"/>
  <c r="G6268" i="10"/>
  <c r="G6282" i="10"/>
  <c r="G6285" i="10"/>
  <c r="G6286" i="10"/>
  <c r="G6288" i="10"/>
  <c r="G6289" i="10"/>
  <c r="G6290" i="10"/>
  <c r="G6291" i="10"/>
  <c r="G6292" i="10"/>
  <c r="G6293" i="10"/>
  <c r="G6294" i="10"/>
  <c r="G6295" i="10"/>
  <c r="G6309" i="10"/>
  <c r="G6312" i="10"/>
  <c r="G6313" i="10"/>
  <c r="G6315" i="10"/>
  <c r="G6316" i="10"/>
  <c r="G6317" i="10"/>
  <c r="G6318" i="10"/>
  <c r="G6319" i="10"/>
  <c r="G6320" i="10"/>
  <c r="G6321" i="10"/>
  <c r="G6322" i="10"/>
  <c r="G6336" i="10"/>
  <c r="G6339" i="10"/>
  <c r="G6341" i="10"/>
  <c r="G6342" i="10"/>
  <c r="G6343" i="10"/>
  <c r="G6344" i="10"/>
  <c r="G6345" i="10"/>
  <c r="G6346" i="10"/>
  <c r="G6347" i="10"/>
  <c r="G6348" i="10"/>
  <c r="G6362" i="10"/>
  <c r="G6365" i="10"/>
  <c r="G6366" i="10"/>
  <c r="G6368" i="10"/>
  <c r="G6369" i="10"/>
  <c r="G6370" i="10"/>
  <c r="G6371" i="10"/>
  <c r="G6372" i="10"/>
  <c r="G6373" i="10"/>
  <c r="G6374" i="10"/>
  <c r="G6375" i="10"/>
  <c r="G6389" i="10"/>
  <c r="G6392" i="10"/>
  <c r="G6393" i="10"/>
  <c r="G6395" i="10"/>
  <c r="G6396" i="10"/>
  <c r="G6397" i="10"/>
  <c r="G6398" i="10"/>
  <c r="G6399" i="10"/>
  <c r="G6400" i="10"/>
  <c r="G6401" i="10"/>
  <c r="G6402" i="10"/>
  <c r="G6416" i="10"/>
  <c r="G6419" i="10"/>
  <c r="G6421" i="10"/>
  <c r="G6422" i="10"/>
  <c r="G6423" i="10"/>
  <c r="G6424" i="10"/>
  <c r="G6425" i="10"/>
  <c r="G6426" i="10"/>
  <c r="G6427" i="10"/>
  <c r="G6428" i="10"/>
  <c r="G6442" i="10"/>
  <c r="G6445" i="10"/>
  <c r="G6446" i="10"/>
  <c r="G6448" i="10"/>
  <c r="G6449" i="10"/>
  <c r="G6450" i="10"/>
  <c r="G6451" i="10"/>
  <c r="G6452" i="10"/>
  <c r="G6453" i="10"/>
  <c r="G6454" i="10"/>
  <c r="G6455" i="10"/>
  <c r="G6469" i="10"/>
  <c r="G6472" i="10"/>
  <c r="G6473" i="10"/>
  <c r="G6475" i="10"/>
  <c r="G6476" i="10"/>
  <c r="G6477" i="10"/>
  <c r="G6478" i="10"/>
  <c r="G6479" i="10"/>
  <c r="G6480" i="10"/>
  <c r="G6481" i="10"/>
  <c r="G6482" i="10"/>
  <c r="G6496" i="10"/>
  <c r="G6499" i="10"/>
  <c r="G6501" i="10"/>
  <c r="G6502" i="10"/>
  <c r="G6503" i="10"/>
  <c r="G6504" i="10"/>
  <c r="G6505" i="10"/>
  <c r="G6506" i="10"/>
  <c r="G6507" i="10"/>
  <c r="G6508" i="10"/>
  <c r="G6522" i="10"/>
  <c r="G6525" i="10"/>
  <c r="G6526" i="10"/>
  <c r="G6528" i="10"/>
  <c r="G6529" i="10"/>
  <c r="G6530" i="10"/>
  <c r="G6531" i="10"/>
  <c r="G6532" i="10"/>
  <c r="G6533" i="10"/>
  <c r="G6534" i="10"/>
  <c r="G6535" i="10"/>
  <c r="G6549" i="10"/>
  <c r="G6552" i="10"/>
  <c r="G6553" i="10"/>
  <c r="G6555" i="10"/>
  <c r="G6556" i="10"/>
  <c r="G6557" i="10"/>
  <c r="G6558" i="10"/>
  <c r="G6559" i="10"/>
  <c r="G6560" i="10"/>
  <c r="G6561" i="10"/>
  <c r="G6562" i="10"/>
  <c r="G6576" i="10"/>
  <c r="G6579" i="10"/>
  <c r="G6581" i="10"/>
  <c r="G6582" i="10"/>
  <c r="G6583" i="10"/>
  <c r="G6584" i="10"/>
  <c r="G6585" i="10"/>
  <c r="G6586" i="10"/>
  <c r="G6587" i="10"/>
  <c r="G6588" i="10"/>
  <c r="G6602" i="10"/>
  <c r="G6605" i="10"/>
  <c r="G6606" i="10"/>
  <c r="G6608" i="10"/>
  <c r="G6609" i="10"/>
  <c r="G6610" i="10"/>
  <c r="G6611" i="10"/>
  <c r="G6612" i="10"/>
  <c r="G6613" i="10"/>
  <c r="G6614" i="10"/>
  <c r="G6615" i="10"/>
  <c r="G6629" i="10"/>
  <c r="G6632" i="10"/>
  <c r="G6633" i="10"/>
  <c r="G6635" i="10"/>
  <c r="G6636" i="10"/>
  <c r="G6637" i="10"/>
  <c r="G6638" i="10"/>
  <c r="G6639" i="10"/>
  <c r="G6640" i="10"/>
  <c r="G6641" i="10"/>
  <c r="G6642" i="10"/>
  <c r="G6656" i="10"/>
  <c r="G6659" i="10"/>
  <c r="G6661" i="10"/>
  <c r="G6662" i="10"/>
  <c r="G6663" i="10"/>
  <c r="G6664" i="10"/>
  <c r="G6665" i="10"/>
  <c r="G6666" i="10"/>
  <c r="G6667" i="10"/>
  <c r="G6668" i="10"/>
  <c r="G6682" i="10"/>
  <c r="G6685" i="10"/>
  <c r="G6686" i="10"/>
  <c r="G6688" i="10"/>
  <c r="G6689" i="10"/>
  <c r="G6690" i="10"/>
  <c r="G6691" i="10"/>
  <c r="G6692" i="10"/>
  <c r="G6693" i="10"/>
  <c r="G6694" i="10"/>
  <c r="G6695" i="10"/>
  <c r="G6709" i="10"/>
  <c r="G6712" i="10"/>
  <c r="G6713" i="10"/>
  <c r="G6715" i="10"/>
  <c r="G6716" i="10"/>
  <c r="G6717" i="10"/>
  <c r="G6718" i="10"/>
  <c r="G6719" i="10"/>
  <c r="G6720" i="10"/>
  <c r="G6721" i="10"/>
  <c r="G6722" i="10"/>
  <c r="G6736" i="10"/>
  <c r="G6739" i="10"/>
  <c r="G6741" i="10"/>
  <c r="G6742" i="10"/>
  <c r="G6743" i="10"/>
  <c r="G6744" i="10"/>
  <c r="G6745" i="10"/>
  <c r="G6746" i="10"/>
  <c r="G6747" i="10"/>
  <c r="G6748" i="10"/>
  <c r="G6762" i="10"/>
  <c r="G6765" i="10"/>
  <c r="G6766" i="10"/>
  <c r="G6768" i="10"/>
  <c r="G6769" i="10"/>
  <c r="G6770" i="10"/>
  <c r="G6771" i="10"/>
  <c r="G6772" i="10"/>
  <c r="G6773" i="10"/>
  <c r="G6774" i="10"/>
  <c r="G6775" i="10"/>
  <c r="G6789" i="10"/>
  <c r="G6792" i="10"/>
  <c r="G6793" i="10"/>
  <c r="G6795" i="10"/>
  <c r="G6796" i="10"/>
  <c r="G6797" i="10"/>
  <c r="G6798" i="10"/>
  <c r="G6799" i="10"/>
  <c r="G6800" i="10"/>
  <c r="G6801" i="10"/>
  <c r="G6802" i="10"/>
  <c r="G6816" i="10"/>
  <c r="G6819" i="10"/>
  <c r="G6821" i="10"/>
  <c r="G6822" i="10"/>
  <c r="G6823" i="10"/>
  <c r="G6824" i="10"/>
  <c r="G6825" i="10"/>
  <c r="G6826" i="10"/>
  <c r="G6827" i="10"/>
  <c r="G6828" i="10"/>
  <c r="G6842" i="10"/>
  <c r="G6845" i="10"/>
  <c r="G6846" i="10"/>
  <c r="G6848" i="10"/>
  <c r="G6849" i="10"/>
  <c r="G6850" i="10"/>
  <c r="G6851" i="10"/>
  <c r="G6852" i="10"/>
  <c r="G6853" i="10"/>
  <c r="G6854" i="10"/>
  <c r="G6855" i="10"/>
  <c r="G6869" i="10"/>
  <c r="G6872" i="10"/>
  <c r="G6873" i="10"/>
  <c r="G6875" i="10"/>
  <c r="G6876" i="10"/>
  <c r="G6877" i="10"/>
  <c r="G6878" i="10"/>
  <c r="G6879" i="10"/>
  <c r="G6880" i="10"/>
  <c r="G6881" i="10"/>
  <c r="G6882" i="10"/>
  <c r="G6893" i="10"/>
  <c r="G6894" i="10"/>
  <c r="G6895" i="10"/>
  <c r="G6896" i="10"/>
  <c r="G6907" i="10"/>
  <c r="G6908" i="10"/>
  <c r="G6909" i="10"/>
  <c r="G6910" i="10"/>
  <c r="G6911" i="10"/>
  <c r="G6922" i="10"/>
  <c r="G6923" i="10"/>
  <c r="G6924" i="10"/>
  <c r="G6925" i="10"/>
  <c r="G6927" i="10"/>
  <c r="G6928" i="10"/>
  <c r="G6929" i="10"/>
  <c r="G6931" i="10"/>
  <c r="G6932" i="10"/>
  <c r="G6933" i="10"/>
  <c r="G6935" i="10"/>
  <c r="G6936" i="10"/>
  <c r="G6937" i="10"/>
  <c r="G6938" i="10"/>
  <c r="G6952" i="10"/>
  <c r="G6955" i="10"/>
  <c r="G6957" i="10"/>
  <c r="G6958" i="10"/>
  <c r="G6959" i="10"/>
  <c r="G6960" i="10"/>
  <c r="G6961" i="10"/>
  <c r="G6962" i="10"/>
  <c r="G6963" i="10"/>
  <c r="G6964" i="10"/>
  <c r="G6978" i="10"/>
  <c r="G6981" i="10"/>
  <c r="G6982" i="10"/>
  <c r="G6984" i="10"/>
  <c r="G6985" i="10"/>
  <c r="G6986" i="10"/>
  <c r="G6987" i="10"/>
  <c r="G6988" i="10"/>
  <c r="G6989" i="10"/>
  <c r="G6990" i="10"/>
  <c r="G6991" i="10"/>
  <c r="G7005" i="10"/>
  <c r="G7008" i="10"/>
  <c r="G7009" i="10"/>
  <c r="G7011" i="10"/>
  <c r="G7012" i="10"/>
  <c r="G7013" i="10"/>
  <c r="G7014" i="10"/>
  <c r="G7015" i="10"/>
  <c r="G7016" i="10"/>
  <c r="G7017" i="10"/>
  <c r="G7018" i="10"/>
  <c r="G7032" i="10"/>
  <c r="G7035" i="10"/>
  <c r="G7037" i="10"/>
  <c r="G7038" i="10"/>
  <c r="G7039" i="10"/>
  <c r="G7040" i="10"/>
  <c r="G7041" i="10"/>
  <c r="G7042" i="10"/>
  <c r="G7043" i="10"/>
  <c r="G7044" i="10"/>
  <c r="G7058" i="10"/>
  <c r="G7061" i="10"/>
  <c r="G7062" i="10"/>
  <c r="G7064" i="10"/>
  <c r="G7065" i="10"/>
  <c r="G7066" i="10"/>
  <c r="G7067" i="10"/>
  <c r="G7068" i="10"/>
  <c r="G7069" i="10"/>
  <c r="G7070" i="10"/>
  <c r="G7071" i="10"/>
  <c r="G7085" i="10"/>
  <c r="G7088" i="10"/>
  <c r="G7089" i="10"/>
  <c r="G7091" i="10"/>
  <c r="G7092" i="10"/>
  <c r="G7093" i="10"/>
  <c r="G7094" i="10"/>
  <c r="G7095" i="10"/>
  <c r="G7096" i="10"/>
  <c r="G7097" i="10"/>
  <c r="G7098" i="10"/>
  <c r="G7112" i="10"/>
  <c r="G7115" i="10"/>
  <c r="G7117" i="10"/>
  <c r="G7118" i="10"/>
  <c r="G7119" i="10"/>
  <c r="G7120" i="10"/>
  <c r="G7121" i="10"/>
  <c r="G7122" i="10"/>
  <c r="G7123" i="10"/>
  <c r="G7124" i="10"/>
  <c r="G7138" i="10"/>
  <c r="G7141" i="10"/>
  <c r="G7142" i="10"/>
  <c r="G7144" i="10"/>
  <c r="G7145" i="10"/>
  <c r="G7146" i="10"/>
  <c r="G7147" i="10"/>
  <c r="G7148" i="10"/>
  <c r="G7149" i="10"/>
  <c r="G7150" i="10"/>
  <c r="G7151" i="10"/>
  <c r="G7165" i="10"/>
  <c r="G7168" i="10"/>
  <c r="G7169" i="10"/>
  <c r="G7171" i="10"/>
  <c r="G7172" i="10"/>
  <c r="G7173" i="10"/>
  <c r="G7174" i="10"/>
  <c r="G7175" i="10"/>
  <c r="G7176" i="10"/>
  <c r="G7177" i="10"/>
  <c r="G7178" i="10"/>
  <c r="G7192" i="10"/>
  <c r="G7195" i="10"/>
  <c r="G7197" i="10"/>
  <c r="G7198" i="10"/>
  <c r="G7199" i="10"/>
  <c r="G7200" i="10"/>
  <c r="G7201" i="10"/>
  <c r="G7202" i="10"/>
  <c r="G7203" i="10"/>
  <c r="G7204" i="10"/>
  <c r="G7218" i="10"/>
  <c r="G7221" i="10"/>
  <c r="G7222" i="10"/>
  <c r="G7224" i="10"/>
  <c r="G7225" i="10"/>
  <c r="G7226" i="10"/>
  <c r="G7227" i="10"/>
  <c r="G7228" i="10"/>
  <c r="G7229" i="10"/>
  <c r="G7230" i="10"/>
  <c r="G7231" i="10"/>
  <c r="G7245" i="10"/>
  <c r="G7248" i="10"/>
  <c r="G7249" i="10"/>
  <c r="G7251" i="10"/>
  <c r="G7252" i="10"/>
  <c r="G7253" i="10"/>
  <c r="G7254" i="10"/>
  <c r="G7255" i="10"/>
  <c r="G7256" i="10"/>
  <c r="G7257" i="10"/>
  <c r="G7258" i="10"/>
  <c r="G7272" i="10"/>
  <c r="G7275" i="10"/>
  <c r="G7277" i="10"/>
  <c r="G7278" i="10"/>
  <c r="G7279" i="10"/>
  <c r="G7280" i="10"/>
  <c r="G7281" i="10"/>
  <c r="G7282" i="10"/>
  <c r="G7283" i="10"/>
  <c r="G7284" i="10"/>
  <c r="G7298" i="10"/>
  <c r="G7301" i="10"/>
  <c r="G7302" i="10"/>
  <c r="G7304" i="10"/>
  <c r="G7305" i="10"/>
  <c r="G7306" i="10"/>
  <c r="G7307" i="10"/>
  <c r="G7308" i="10"/>
  <c r="G7309" i="10"/>
  <c r="G7310" i="10"/>
  <c r="G7311" i="10"/>
  <c r="G7325" i="10"/>
  <c r="G7328" i="10"/>
  <c r="G7329" i="10"/>
  <c r="G7331" i="10"/>
  <c r="G7332" i="10"/>
  <c r="G7333" i="10"/>
  <c r="G7334" i="10"/>
  <c r="G7335" i="10"/>
  <c r="G7336" i="10"/>
  <c r="G7337" i="10"/>
  <c r="G7338" i="10"/>
  <c r="G7352" i="10"/>
  <c r="G7355" i="10"/>
  <c r="G7357" i="10"/>
  <c r="G7358" i="10"/>
  <c r="G7359" i="10"/>
  <c r="G7360" i="10"/>
  <c r="G7361" i="10"/>
  <c r="G7362" i="10"/>
  <c r="G7363" i="10"/>
  <c r="G7364" i="10"/>
  <c r="G7378" i="10"/>
  <c r="G7381" i="10"/>
  <c r="G7382" i="10"/>
  <c r="G7384" i="10"/>
  <c r="G7385" i="10"/>
  <c r="G7386" i="10"/>
  <c r="G7387" i="10"/>
  <c r="G7388" i="10"/>
  <c r="G7389" i="10"/>
  <c r="G7390" i="10"/>
  <c r="G7391" i="10"/>
  <c r="G7405" i="10"/>
  <c r="G7408" i="10"/>
  <c r="G7409" i="10"/>
  <c r="G7411" i="10"/>
  <c r="G7412" i="10"/>
  <c r="G7413" i="10"/>
  <c r="G7414" i="10"/>
  <c r="G7415" i="10"/>
  <c r="G7416" i="10"/>
  <c r="G7417" i="10"/>
  <c r="G7418" i="10"/>
  <c r="G7432" i="10"/>
  <c r="G7435" i="10"/>
  <c r="G7437" i="10"/>
  <c r="G7438" i="10"/>
  <c r="G7439" i="10"/>
  <c r="G7440" i="10"/>
  <c r="G7441" i="10"/>
  <c r="G7442" i="10"/>
  <c r="G7443" i="10"/>
  <c r="G7444" i="10"/>
  <c r="G7458" i="10"/>
  <c r="G7461" i="10"/>
  <c r="G7462" i="10"/>
  <c r="G7464" i="10"/>
  <c r="G7465" i="10"/>
  <c r="G7466" i="10"/>
  <c r="G7467" i="10"/>
  <c r="G7468" i="10"/>
  <c r="G7469" i="10"/>
  <c r="G7470" i="10"/>
  <c r="G7471" i="10"/>
  <c r="G7485" i="10"/>
  <c r="G7488" i="10"/>
  <c r="G7489" i="10"/>
  <c r="G7491" i="10"/>
  <c r="G7492" i="10"/>
  <c r="G7493" i="10"/>
  <c r="G7494" i="10"/>
  <c r="G7495" i="10"/>
  <c r="G7496" i="10"/>
  <c r="G7497" i="10"/>
  <c r="G7498" i="10"/>
  <c r="G7512" i="10"/>
  <c r="G7515" i="10"/>
  <c r="G7517" i="10"/>
  <c r="G7518" i="10"/>
  <c r="G7519" i="10"/>
  <c r="G7520" i="10"/>
  <c r="G7521" i="10"/>
  <c r="G7522" i="10"/>
  <c r="G7523" i="10"/>
  <c r="G7524" i="10"/>
  <c r="G7538" i="10"/>
  <c r="G7541" i="10"/>
  <c r="G7542" i="10"/>
  <c r="G7544" i="10"/>
  <c r="G7545" i="10"/>
  <c r="G7546" i="10"/>
  <c r="G7547" i="10"/>
  <c r="G7548" i="10"/>
  <c r="G7549" i="10"/>
  <c r="G7550" i="10"/>
  <c r="G7551" i="10"/>
  <c r="G7565" i="10"/>
  <c r="G7568" i="10"/>
  <c r="G7569" i="10"/>
  <c r="G7571" i="10"/>
  <c r="G7572" i="10"/>
  <c r="G7573" i="10"/>
  <c r="G7574" i="10"/>
  <c r="G7575" i="10"/>
  <c r="G7576" i="10"/>
  <c r="G7577" i="10"/>
  <c r="G7578" i="10"/>
  <c r="G7592" i="10"/>
  <c r="G7595" i="10"/>
  <c r="G7597" i="10"/>
  <c r="G7598" i="10"/>
  <c r="G7599" i="10"/>
  <c r="G7600" i="10"/>
  <c r="G7601" i="10"/>
  <c r="G7602" i="10"/>
  <c r="G7603" i="10"/>
  <c r="G7604" i="10"/>
  <c r="G7618" i="10"/>
  <c r="G7621" i="10"/>
  <c r="G7622" i="10"/>
  <c r="G7624" i="10"/>
  <c r="G7625" i="10"/>
  <c r="G7626" i="10"/>
  <c r="G7627" i="10"/>
  <c r="G7628" i="10"/>
  <c r="G7629" i="10"/>
  <c r="G7630" i="10"/>
  <c r="G7631" i="10"/>
  <c r="G7645" i="10"/>
  <c r="G7648" i="10"/>
  <c r="G7649" i="10"/>
  <c r="G7651" i="10"/>
  <c r="G7652" i="10"/>
  <c r="G7653" i="10"/>
  <c r="G7654" i="10"/>
  <c r="G7655" i="10"/>
  <c r="G7656" i="10"/>
  <c r="G7657" i="10"/>
  <c r="G7658" i="10"/>
  <c r="G7672" i="10"/>
  <c r="G7675" i="10"/>
  <c r="G7677" i="10"/>
  <c r="G7678" i="10"/>
  <c r="G7679" i="10"/>
  <c r="G7680" i="10"/>
  <c r="G7681" i="10"/>
  <c r="G7682" i="10"/>
  <c r="G7683" i="10"/>
  <c r="G7684" i="10"/>
  <c r="G7698" i="10"/>
  <c r="G7701" i="10"/>
  <c r="G7702" i="10"/>
  <c r="G7704" i="10"/>
  <c r="G7705" i="10"/>
  <c r="G7706" i="10"/>
  <c r="G7707" i="10"/>
  <c r="G7708" i="10"/>
  <c r="G7709" i="10"/>
  <c r="G7710" i="10"/>
  <c r="G7711" i="10"/>
  <c r="G7725" i="10"/>
  <c r="G7728" i="10"/>
  <c r="G7729" i="10"/>
  <c r="G7731" i="10"/>
  <c r="G7732" i="10"/>
  <c r="G7733" i="10"/>
  <c r="G7734" i="10"/>
  <c r="G7735" i="10"/>
  <c r="G7736" i="10"/>
  <c r="G7737" i="10"/>
  <c r="G7738" i="10"/>
  <c r="G7752" i="10"/>
  <c r="G7755" i="10"/>
  <c r="G7757" i="10"/>
  <c r="G7758" i="10"/>
  <c r="G7759" i="10"/>
  <c r="G7760" i="10"/>
  <c r="G7761" i="10"/>
  <c r="G7762" i="10"/>
  <c r="G7763" i="10"/>
  <c r="G7764" i="10"/>
  <c r="G7778" i="10"/>
  <c r="G7781" i="10"/>
  <c r="G7782" i="10"/>
  <c r="G7784" i="10"/>
  <c r="G7785" i="10"/>
  <c r="G7786" i="10"/>
  <c r="G7787" i="10"/>
  <c r="G7788" i="10"/>
  <c r="G7789" i="10"/>
  <c r="G7790" i="10"/>
  <c r="G7791" i="10"/>
  <c r="G7805" i="10"/>
  <c r="G7808" i="10"/>
  <c r="G7809" i="10"/>
  <c r="G7811" i="10"/>
  <c r="G7812" i="10"/>
  <c r="G7813" i="10"/>
  <c r="G7814" i="10"/>
  <c r="G7815" i="10"/>
  <c r="G7816" i="10"/>
  <c r="G7817" i="10"/>
  <c r="G7818" i="10"/>
  <c r="G7832" i="10"/>
  <c r="G7835" i="10"/>
  <c r="G7837" i="10"/>
  <c r="G7838" i="10"/>
  <c r="G7839" i="10"/>
  <c r="G7840" i="10"/>
  <c r="G7841" i="10"/>
  <c r="G7842" i="10"/>
  <c r="G7843" i="10"/>
  <c r="G7844" i="10"/>
  <c r="G7858" i="10"/>
  <c r="G7861" i="10"/>
  <c r="G7862" i="10"/>
  <c r="G7864" i="10"/>
  <c r="G7865" i="10"/>
  <c r="G7866" i="10"/>
  <c r="G7867" i="10"/>
  <c r="G7868" i="10"/>
  <c r="G7869" i="10"/>
  <c r="G7870" i="10"/>
  <c r="G7871" i="10"/>
  <c r="G7885" i="10"/>
  <c r="G7888" i="10"/>
  <c r="G7889" i="10"/>
  <c r="G7891" i="10"/>
  <c r="G7892" i="10"/>
  <c r="G7893" i="10"/>
  <c r="G7894" i="10"/>
  <c r="G7895" i="10"/>
  <c r="G7896" i="10"/>
  <c r="G7897" i="10"/>
  <c r="G7898" i="10"/>
  <c r="G7912" i="10"/>
  <c r="G7915" i="10"/>
  <c r="G7917" i="10"/>
  <c r="G7918" i="10"/>
  <c r="G7919" i="10"/>
  <c r="G7920" i="10"/>
  <c r="G7921" i="10"/>
  <c r="G7922" i="10"/>
  <c r="G7923" i="10"/>
  <c r="G7924" i="10"/>
  <c r="G7938" i="10"/>
  <c r="G7941" i="10"/>
  <c r="G7942" i="10"/>
  <c r="G7944" i="10"/>
  <c r="G7945" i="10"/>
  <c r="G7946" i="10"/>
  <c r="G7947" i="10"/>
  <c r="G7948" i="10"/>
  <c r="G7949" i="10"/>
  <c r="G7950" i="10"/>
  <c r="G7951" i="10"/>
  <c r="G7965" i="10"/>
  <c r="G7968" i="10"/>
  <c r="G7969" i="10"/>
  <c r="G7971" i="10"/>
  <c r="G7972" i="10"/>
  <c r="G7973" i="10"/>
  <c r="G7974" i="10"/>
  <c r="G7975" i="10"/>
  <c r="G7976" i="10"/>
  <c r="G7977" i="10"/>
  <c r="G7978" i="10"/>
  <c r="G7992" i="10"/>
  <c r="G7995" i="10"/>
  <c r="G7997" i="10"/>
  <c r="G7998" i="10"/>
  <c r="G7999" i="10"/>
  <c r="G8000" i="10"/>
  <c r="G8001" i="10"/>
  <c r="G8002" i="10"/>
  <c r="G8003" i="10"/>
  <c r="G8004" i="10"/>
  <c r="G8018" i="10"/>
  <c r="G8021" i="10"/>
  <c r="G8022" i="10"/>
  <c r="G8024" i="10"/>
  <c r="G8025" i="10"/>
  <c r="G8026" i="10"/>
  <c r="G8027" i="10"/>
  <c r="G8028" i="10"/>
  <c r="G8029" i="10"/>
  <c r="G8030" i="10"/>
  <c r="G8031" i="10"/>
  <c r="G8045" i="10"/>
  <c r="G8048" i="10"/>
  <c r="G8049" i="10"/>
  <c r="G8051" i="10"/>
  <c r="G8052" i="10"/>
  <c r="G8053" i="10"/>
  <c r="G8054" i="10"/>
  <c r="G8055" i="10"/>
  <c r="G8056" i="10"/>
  <c r="G8057" i="10"/>
  <c r="G8058" i="10"/>
  <c r="G8072" i="10"/>
  <c r="G8075" i="10"/>
  <c r="G8077" i="10"/>
  <c r="G8078" i="10"/>
  <c r="G8079" i="10"/>
  <c r="G8080" i="10"/>
  <c r="G8081" i="10"/>
  <c r="G8082" i="10"/>
  <c r="G8083" i="10"/>
  <c r="G8084" i="10"/>
  <c r="G8098" i="10"/>
  <c r="G8101" i="10"/>
  <c r="G8102" i="10"/>
  <c r="G8104" i="10"/>
  <c r="G8105" i="10"/>
  <c r="G8106" i="10"/>
  <c r="G8107" i="10"/>
  <c r="G8108" i="10"/>
  <c r="G8109" i="10"/>
  <c r="G8110" i="10"/>
  <c r="G8111" i="10"/>
  <c r="G8125" i="10"/>
  <c r="G8128" i="10"/>
  <c r="G8129" i="10"/>
  <c r="G8131" i="10"/>
  <c r="G8132" i="10"/>
  <c r="G8133" i="10"/>
  <c r="G8134" i="10"/>
  <c r="G8135" i="10"/>
  <c r="G8136" i="10"/>
  <c r="G8137" i="10"/>
  <c r="G8138" i="10"/>
  <c r="G8152" i="10"/>
  <c r="G8155" i="10"/>
  <c r="G8157" i="10"/>
  <c r="G8158" i="10"/>
  <c r="G8159" i="10"/>
  <c r="G8160" i="10"/>
  <c r="G8161" i="10"/>
  <c r="G8162" i="10"/>
  <c r="G8163" i="10"/>
  <c r="G8164" i="10"/>
  <c r="G8178" i="10"/>
  <c r="G8181" i="10"/>
  <c r="G8182" i="10"/>
  <c r="G8184" i="10"/>
  <c r="G8185" i="10"/>
  <c r="G8186" i="10"/>
  <c r="G8187" i="10"/>
  <c r="G8188" i="10"/>
  <c r="G8189" i="10"/>
  <c r="G8190" i="10"/>
  <c r="G8191" i="10"/>
  <c r="G8205" i="10"/>
  <c r="G8208" i="10"/>
  <c r="G8209" i="10"/>
  <c r="G8211" i="10"/>
  <c r="G8212" i="10"/>
  <c r="G8213" i="10"/>
  <c r="G8214" i="10"/>
  <c r="G8215" i="10"/>
  <c r="G8216" i="10"/>
  <c r="G8217" i="10"/>
  <c r="G8218" i="10"/>
  <c r="G8232" i="10"/>
  <c r="G8235" i="10"/>
  <c r="G8237" i="10"/>
  <c r="G8238" i="10"/>
  <c r="G8239" i="10"/>
  <c r="G8240" i="10"/>
  <c r="G8241" i="10"/>
  <c r="G8242" i="10"/>
  <c r="G8243" i="10"/>
  <c r="G8244" i="10"/>
  <c r="G8258" i="10"/>
  <c r="G8261" i="10"/>
  <c r="G8262" i="10"/>
  <c r="G8264" i="10"/>
  <c r="G8265" i="10"/>
  <c r="G8266" i="10"/>
  <c r="G8267" i="10"/>
  <c r="G8268" i="10"/>
  <c r="G8269" i="10"/>
  <c r="G8270" i="10"/>
  <c r="G8271" i="10"/>
  <c r="G8285" i="10"/>
  <c r="G8288" i="10"/>
  <c r="G8289" i="10"/>
  <c r="G8291" i="10"/>
  <c r="G8292" i="10"/>
  <c r="G8293" i="10"/>
  <c r="G8294" i="10"/>
  <c r="G8295" i="10"/>
  <c r="G8296" i="10"/>
  <c r="G8297" i="10"/>
  <c r="G8298" i="10"/>
  <c r="G8312" i="10"/>
  <c r="G8315" i="10"/>
  <c r="G8317" i="10"/>
  <c r="G8318" i="10"/>
  <c r="G8319" i="10"/>
  <c r="G8320" i="10"/>
  <c r="G8321" i="10"/>
  <c r="G8322" i="10"/>
  <c r="G8323" i="10"/>
  <c r="G8324" i="10"/>
  <c r="G8338" i="10"/>
  <c r="G8341" i="10"/>
  <c r="G8342" i="10"/>
  <c r="G8344" i="10"/>
  <c r="G8345" i="10"/>
  <c r="G8346" i="10"/>
  <c r="G8347" i="10"/>
  <c r="G8348" i="10"/>
  <c r="G8349" i="10"/>
  <c r="G8350" i="10"/>
  <c r="G8351" i="10"/>
  <c r="G8365" i="10"/>
  <c r="G8368" i="10"/>
  <c r="G8369" i="10"/>
  <c r="G8371" i="10"/>
  <c r="G8372" i="10"/>
  <c r="G8373" i="10"/>
  <c r="G8374" i="10"/>
  <c r="G8375" i="10"/>
  <c r="G8376" i="10"/>
  <c r="G8377" i="10"/>
  <c r="G8378" i="10"/>
  <c r="G8392" i="10"/>
  <c r="G8395" i="10"/>
  <c r="G8397" i="10"/>
  <c r="G8398" i="10"/>
  <c r="G8399" i="10"/>
  <c r="G8400" i="10"/>
  <c r="G8401" i="10"/>
  <c r="G8402" i="10"/>
  <c r="G8403" i="10"/>
  <c r="G8404" i="10"/>
  <c r="G8418" i="10"/>
  <c r="G8421" i="10"/>
  <c r="G8422" i="10"/>
  <c r="G8424" i="10"/>
  <c r="G8425" i="10"/>
  <c r="G8426" i="10"/>
  <c r="G8427" i="10"/>
  <c r="G8428" i="10"/>
  <c r="G8429" i="10"/>
  <c r="G8430" i="10"/>
  <c r="G8431" i="10"/>
  <c r="G8445" i="10"/>
  <c r="G8448" i="10"/>
  <c r="G8449" i="10"/>
  <c r="G8451" i="10"/>
  <c r="G8452" i="10"/>
  <c r="G8453" i="10"/>
  <c r="G8454" i="10"/>
  <c r="G8455" i="10"/>
  <c r="G8456" i="10"/>
  <c r="G8457" i="10"/>
  <c r="G8458" i="10"/>
  <c r="G8472" i="10"/>
  <c r="G8475" i="10"/>
  <c r="G8477" i="10"/>
  <c r="G8478" i="10"/>
  <c r="G8479" i="10"/>
  <c r="G8480" i="10"/>
  <c r="G8481" i="10"/>
  <c r="G8482" i="10"/>
  <c r="G8483" i="10"/>
  <c r="G8484" i="10"/>
  <c r="G8498" i="10"/>
  <c r="G8501" i="10"/>
  <c r="G8502" i="10"/>
  <c r="G8504" i="10"/>
  <c r="G8505" i="10"/>
  <c r="G8506" i="10"/>
  <c r="G8507" i="10"/>
  <c r="G8508" i="10"/>
  <c r="G8509" i="10"/>
  <c r="G8510" i="10"/>
  <c r="G8511" i="10"/>
  <c r="G8525" i="10"/>
  <c r="G8528" i="10"/>
  <c r="G8529" i="10"/>
  <c r="G8531" i="10"/>
  <c r="G8532" i="10"/>
  <c r="G8533" i="10"/>
  <c r="G8534" i="10"/>
  <c r="G8535" i="10"/>
  <c r="G8536" i="10"/>
  <c r="G8537" i="10"/>
  <c r="G8538" i="10"/>
  <c r="G8552" i="10"/>
  <c r="G8555" i="10"/>
  <c r="G8557" i="10"/>
  <c r="G8558" i="10"/>
  <c r="G8559" i="10"/>
  <c r="G8560" i="10"/>
  <c r="G8561" i="10"/>
  <c r="G8562" i="10"/>
  <c r="G8563" i="10"/>
  <c r="G8564" i="10"/>
  <c r="G8578" i="10"/>
  <c r="G8581" i="10"/>
  <c r="G8582" i="10"/>
  <c r="G8584" i="10"/>
  <c r="G8585" i="10"/>
  <c r="G8586" i="10"/>
  <c r="G8587" i="10"/>
  <c r="G8588" i="10"/>
  <c r="G8589" i="10"/>
  <c r="G8590" i="10"/>
  <c r="G8591" i="10"/>
  <c r="G8605" i="10"/>
  <c r="G8608" i="10"/>
  <c r="G8609" i="10"/>
  <c r="G8611" i="10"/>
  <c r="G8612" i="10"/>
  <c r="G8613" i="10"/>
  <c r="G8614" i="10"/>
  <c r="G8615" i="10"/>
  <c r="G8616" i="10"/>
  <c r="G8617" i="10"/>
  <c r="G8618" i="10"/>
  <c r="G8632" i="10"/>
  <c r="G8635" i="10"/>
  <c r="G8637" i="10"/>
  <c r="G8638" i="10"/>
  <c r="G8639" i="10"/>
  <c r="G8640" i="10"/>
  <c r="G8641" i="10"/>
  <c r="G8642" i="10"/>
  <c r="G8643" i="10"/>
  <c r="G8644" i="10"/>
  <c r="G8658" i="10"/>
  <c r="G8661" i="10"/>
  <c r="G8662" i="10"/>
  <c r="G8664" i="10"/>
  <c r="G8665" i="10"/>
  <c r="G8666" i="10"/>
  <c r="G8667" i="10"/>
  <c r="G8668" i="10"/>
  <c r="G8669" i="10"/>
  <c r="G8670" i="10"/>
  <c r="G8671" i="10"/>
  <c r="G8685" i="10"/>
  <c r="G8688" i="10"/>
  <c r="G8689" i="10"/>
  <c r="G8691" i="10"/>
  <c r="G8692" i="10"/>
  <c r="G8693" i="10"/>
  <c r="G8694" i="10"/>
  <c r="G8695" i="10"/>
  <c r="G8696" i="10"/>
  <c r="G8697" i="10"/>
  <c r="G8698" i="10"/>
  <c r="G8712" i="10"/>
  <c r="G8715" i="10"/>
  <c r="G8717" i="10"/>
  <c r="G8718" i="10"/>
  <c r="G8719" i="10"/>
  <c r="G8720" i="10"/>
  <c r="G8721" i="10"/>
  <c r="G8722" i="10"/>
  <c r="G8723" i="10"/>
  <c r="G8724" i="10"/>
  <c r="G8738" i="10"/>
  <c r="G8741" i="10"/>
  <c r="G8742" i="10"/>
  <c r="G8744" i="10"/>
  <c r="G8745" i="10"/>
  <c r="G8746" i="10"/>
  <c r="G8747" i="10"/>
  <c r="G8748" i="10"/>
  <c r="G8749" i="10"/>
  <c r="G8750" i="10"/>
  <c r="G8751" i="10"/>
  <c r="G8765" i="10"/>
  <c r="G8768" i="10"/>
  <c r="G8769" i="10"/>
  <c r="G8771" i="10"/>
  <c r="G8772" i="10"/>
  <c r="G8773" i="10"/>
  <c r="G8774" i="10"/>
  <c r="G8775" i="10"/>
  <c r="G8776" i="10"/>
  <c r="G8777" i="10"/>
  <c r="G8778" i="10"/>
  <c r="G8792" i="10"/>
  <c r="G8795" i="10"/>
  <c r="G8797" i="10"/>
  <c r="G8798" i="10"/>
  <c r="G8799" i="10"/>
  <c r="G8800" i="10"/>
  <c r="G8801" i="10"/>
  <c r="G8802" i="10"/>
  <c r="G8803" i="10"/>
  <c r="G8804" i="10"/>
  <c r="G8818" i="10"/>
  <c r="G8821" i="10"/>
  <c r="G8822" i="10"/>
  <c r="G8824" i="10"/>
  <c r="G8825" i="10"/>
  <c r="G8826" i="10"/>
  <c r="G8827" i="10"/>
  <c r="G8828" i="10"/>
  <c r="G8829" i="10"/>
  <c r="G8830" i="10"/>
  <c r="G8831" i="10"/>
  <c r="G8845" i="10"/>
  <c r="G8848" i="10"/>
  <c r="G8849" i="10"/>
  <c r="G8851" i="10"/>
  <c r="G8852" i="10"/>
  <c r="G8853" i="10"/>
  <c r="G8854" i="10"/>
  <c r="G8855" i="10"/>
  <c r="G8856" i="10"/>
  <c r="G8857" i="10"/>
  <c r="G8858" i="10"/>
  <c r="G8872" i="10"/>
  <c r="G8875" i="10"/>
  <c r="G8877" i="10"/>
  <c r="G8878" i="10"/>
  <c r="G8879" i="10"/>
  <c r="G8880" i="10"/>
  <c r="G8881" i="10"/>
  <c r="G8882" i="10"/>
  <c r="G8883" i="10"/>
  <c r="G8884" i="10"/>
  <c r="G8898" i="10"/>
  <c r="G8901" i="10"/>
  <c r="G8902" i="10"/>
  <c r="G8904" i="10"/>
  <c r="G8905" i="10"/>
  <c r="G8906" i="10"/>
  <c r="G8907" i="10"/>
  <c r="G8908" i="10"/>
  <c r="G8909" i="10"/>
  <c r="G8910" i="10"/>
  <c r="G8911" i="10"/>
  <c r="G8925" i="10"/>
  <c r="G8928" i="10"/>
  <c r="G8929" i="10"/>
  <c r="G8931" i="10"/>
  <c r="G8932" i="10"/>
  <c r="G8933" i="10"/>
  <c r="G8934" i="10"/>
  <c r="G8935" i="10"/>
  <c r="G8936" i="10"/>
  <c r="G8937" i="10"/>
  <c r="G8938" i="10"/>
  <c r="G8952" i="10"/>
  <c r="G8955" i="10"/>
  <c r="G8957" i="10"/>
  <c r="G8958" i="10"/>
  <c r="G8959" i="10"/>
  <c r="G8960" i="10"/>
  <c r="G8961" i="10"/>
  <c r="G8962" i="10"/>
  <c r="G8963" i="10"/>
  <c r="G8964" i="10"/>
  <c r="G8978" i="10"/>
  <c r="G8981" i="10"/>
  <c r="G8982" i="10"/>
  <c r="G8984" i="10"/>
  <c r="G8985" i="10"/>
  <c r="G8986" i="10"/>
  <c r="G8987" i="10"/>
  <c r="G8988" i="10"/>
  <c r="G8989" i="10"/>
  <c r="G8990" i="10"/>
  <c r="G8991" i="10"/>
  <c r="G9005" i="10"/>
  <c r="G9008" i="10"/>
  <c r="G9009" i="10"/>
  <c r="G9011" i="10"/>
  <c r="G9012" i="10"/>
  <c r="G9013" i="10"/>
  <c r="G9014" i="10"/>
  <c r="G9015" i="10"/>
  <c r="G9016" i="10"/>
  <c r="G9017" i="10"/>
  <c r="G9018" i="10"/>
  <c r="G9032" i="10"/>
  <c r="G9035" i="10"/>
  <c r="G9037" i="10"/>
  <c r="G9038" i="10"/>
  <c r="G9039" i="10"/>
  <c r="G9040" i="10"/>
  <c r="G9041" i="10"/>
  <c r="G9042" i="10"/>
  <c r="G9043" i="10"/>
  <c r="G9044" i="10"/>
  <c r="G9058" i="10"/>
  <c r="G9061" i="10"/>
  <c r="G9062" i="10"/>
  <c r="G9064" i="10"/>
  <c r="G9065" i="10"/>
  <c r="G9066" i="10"/>
  <c r="G9067" i="10"/>
  <c r="G9068" i="10"/>
  <c r="G9069" i="10"/>
  <c r="G9070" i="10"/>
  <c r="G9071" i="10"/>
  <c r="G9085" i="10"/>
  <c r="G9088" i="10"/>
  <c r="G9089" i="10"/>
  <c r="G9091" i="10"/>
  <c r="G9092" i="10"/>
  <c r="G9093" i="10"/>
  <c r="G9094" i="10"/>
  <c r="G9095" i="10"/>
  <c r="G9096" i="10"/>
  <c r="G9097" i="10"/>
  <c r="G9098" i="10"/>
  <c r="G9112" i="10"/>
  <c r="G9115" i="10"/>
  <c r="G9117" i="10"/>
  <c r="G9118" i="10"/>
  <c r="G9119" i="10"/>
  <c r="G9120" i="10"/>
  <c r="G9121" i="10"/>
  <c r="G9122" i="10"/>
  <c r="G9123" i="10"/>
  <c r="G9124" i="10"/>
  <c r="G9138" i="10"/>
  <c r="G9141" i="10"/>
  <c r="G9142" i="10"/>
  <c r="G9144" i="10"/>
  <c r="G9145" i="10"/>
  <c r="G9146" i="10"/>
  <c r="G9147" i="10"/>
  <c r="G9148" i="10"/>
  <c r="G9149" i="10"/>
  <c r="G9150" i="10"/>
  <c r="G9151" i="10"/>
  <c r="G9165" i="10"/>
  <c r="G9168" i="10"/>
  <c r="G9169" i="10"/>
  <c r="G9171" i="10"/>
  <c r="G9172" i="10"/>
  <c r="G9173" i="10"/>
  <c r="G9174" i="10"/>
  <c r="G9175" i="10"/>
  <c r="G9176" i="10"/>
  <c r="G9177" i="10"/>
  <c r="G9178" i="10"/>
  <c r="G9192" i="10"/>
  <c r="G9195" i="10"/>
  <c r="G9197" i="10"/>
  <c r="G9198" i="10"/>
  <c r="G9199" i="10"/>
  <c r="G9200" i="10"/>
  <c r="G9201" i="10"/>
  <c r="G9202" i="10"/>
  <c r="G9203" i="10"/>
  <c r="G9204" i="10"/>
  <c r="G9218" i="10"/>
  <c r="G9221" i="10"/>
  <c r="G9222" i="10"/>
  <c r="G9224" i="10"/>
  <c r="G9225" i="10"/>
  <c r="G9226" i="10"/>
  <c r="G9227" i="10"/>
  <c r="G9228" i="10"/>
  <c r="G9229" i="10"/>
  <c r="G9230" i="10"/>
  <c r="G9231" i="10"/>
  <c r="G9245" i="10"/>
  <c r="G9248" i="10"/>
  <c r="G9249" i="10"/>
  <c r="G9251" i="10"/>
  <c r="G9252" i="10"/>
  <c r="G9253" i="10"/>
  <c r="G9254" i="10"/>
  <c r="G9255" i="10"/>
  <c r="G9256" i="10"/>
  <c r="G9257" i="10"/>
  <c r="G9258" i="10"/>
  <c r="G9272" i="10"/>
  <c r="G9275" i="10"/>
  <c r="G9277" i="10"/>
  <c r="G9278" i="10"/>
  <c r="G9279" i="10"/>
  <c r="G9280" i="10"/>
  <c r="G9281" i="10"/>
  <c r="G9282" i="10"/>
  <c r="G9283" i="10"/>
  <c r="G9284" i="10"/>
  <c r="G9298" i="10"/>
  <c r="G9301" i="10"/>
  <c r="G9302" i="10"/>
  <c r="G9304" i="10"/>
  <c r="G9305" i="10"/>
  <c r="G9306" i="10"/>
  <c r="G9307" i="10"/>
  <c r="G9308" i="10"/>
  <c r="G9309" i="10"/>
  <c r="G9310" i="10"/>
  <c r="G9311" i="10"/>
  <c r="G9325" i="10"/>
  <c r="G9328" i="10"/>
  <c r="G9329" i="10"/>
  <c r="G9331" i="10"/>
  <c r="G9332" i="10"/>
  <c r="G9333" i="10"/>
  <c r="G9334" i="10"/>
  <c r="G9335" i="10"/>
  <c r="G9336" i="10"/>
  <c r="G9337" i="10"/>
  <c r="G9338" i="10"/>
  <c r="G9352" i="10"/>
  <c r="G9355" i="10"/>
  <c r="G9357" i="10"/>
  <c r="G9358" i="10"/>
  <c r="G9359" i="10"/>
  <c r="G9360" i="10"/>
  <c r="G9361" i="10"/>
  <c r="G9362" i="10"/>
  <c r="G9363" i="10"/>
  <c r="G9364" i="10"/>
  <c r="G9378" i="10"/>
  <c r="G9381" i="10"/>
  <c r="G9382" i="10"/>
  <c r="G9384" i="10"/>
  <c r="G9385" i="10"/>
  <c r="G9386" i="10"/>
  <c r="G9387" i="10"/>
  <c r="G9388" i="10"/>
  <c r="G9389" i="10"/>
  <c r="G9390" i="10"/>
  <c r="G9391" i="10"/>
  <c r="G9405" i="10"/>
  <c r="G9408" i="10"/>
  <c r="G9409" i="10"/>
  <c r="G9411" i="10"/>
  <c r="G9412" i="10"/>
  <c r="G9413" i="10"/>
  <c r="G9414" i="10"/>
  <c r="G9415" i="10"/>
  <c r="G9416" i="10"/>
  <c r="G9417" i="10"/>
  <c r="G9418" i="10"/>
  <c r="G9432" i="10"/>
  <c r="G9435" i="10"/>
  <c r="G9437" i="10"/>
  <c r="G9438" i="10"/>
  <c r="G9439" i="10"/>
  <c r="G9440" i="10"/>
  <c r="G9441" i="10"/>
  <c r="G9442" i="10"/>
  <c r="G9443" i="10"/>
  <c r="G9444" i="10"/>
  <c r="G9458" i="10"/>
  <c r="G9461" i="10"/>
  <c r="G9462" i="10"/>
  <c r="G9464" i="10"/>
  <c r="G9465" i="10"/>
  <c r="G9466" i="10"/>
  <c r="G9467" i="10"/>
  <c r="G9468" i="10"/>
  <c r="G9469" i="10"/>
  <c r="G9470" i="10"/>
  <c r="G9471" i="10"/>
  <c r="G9485" i="10"/>
  <c r="G9488" i="10"/>
  <c r="G9489" i="10"/>
  <c r="G9491" i="10"/>
  <c r="G9492" i="10"/>
  <c r="G9493" i="10"/>
  <c r="G9494" i="10"/>
  <c r="G9495" i="10"/>
  <c r="G9496" i="10"/>
  <c r="G9497" i="10"/>
  <c r="G9498" i="10"/>
  <c r="G9512" i="10"/>
  <c r="G9515" i="10"/>
  <c r="G9517" i="10"/>
  <c r="G9518" i="10"/>
  <c r="G9519" i="10"/>
  <c r="G9520" i="10"/>
  <c r="G9521" i="10"/>
  <c r="G9522" i="10"/>
  <c r="G9523" i="10"/>
  <c r="G9524" i="10"/>
  <c r="G9538" i="10"/>
  <c r="G9541" i="10"/>
  <c r="G9542" i="10"/>
  <c r="G9544" i="10"/>
  <c r="G9545" i="10"/>
  <c r="G9546" i="10"/>
  <c r="G9547" i="10"/>
  <c r="G9548" i="10"/>
  <c r="G9549" i="10"/>
  <c r="G9550" i="10"/>
  <c r="G9551" i="10"/>
  <c r="G9565" i="10"/>
  <c r="G9568" i="10"/>
  <c r="G9569" i="10"/>
  <c r="G9571" i="10"/>
  <c r="G9572" i="10"/>
  <c r="G9573" i="10"/>
  <c r="G9574" i="10"/>
  <c r="G9575" i="10"/>
  <c r="G9576" i="10"/>
  <c r="G9577" i="10"/>
  <c r="G9578" i="10"/>
  <c r="G9592" i="10"/>
  <c r="G9595" i="10"/>
  <c r="G9597" i="10"/>
  <c r="G9598" i="10"/>
  <c r="G9599" i="10"/>
  <c r="G9600" i="10"/>
  <c r="G9601" i="10"/>
  <c r="G9602" i="10"/>
  <c r="G9603" i="10"/>
  <c r="G9604" i="10"/>
  <c r="G9618" i="10"/>
  <c r="G9621" i="10"/>
  <c r="G9622" i="10"/>
  <c r="G9624" i="10"/>
  <c r="G9625" i="10"/>
  <c r="G9626" i="10"/>
  <c r="G9627" i="10"/>
  <c r="G9628" i="10"/>
  <c r="G9629" i="10"/>
  <c r="G9630" i="10"/>
  <c r="G9631" i="10"/>
  <c r="G9645" i="10"/>
  <c r="G9648" i="10"/>
  <c r="G9649" i="10"/>
  <c r="G9651" i="10"/>
  <c r="G9652" i="10"/>
  <c r="G9653" i="10"/>
  <c r="G9654" i="10"/>
  <c r="G9655" i="10"/>
  <c r="G9656" i="10"/>
  <c r="G9657" i="10"/>
  <c r="G9658" i="10"/>
  <c r="G9672" i="10"/>
  <c r="G9675" i="10"/>
  <c r="G9677" i="10"/>
  <c r="G9678" i="10"/>
  <c r="G9679" i="10"/>
  <c r="G9680" i="10"/>
  <c r="G9681" i="10"/>
  <c r="G9682" i="10"/>
  <c r="G9683" i="10"/>
  <c r="G9684" i="10"/>
  <c r="G9698" i="10"/>
  <c r="G9701" i="10"/>
  <c r="G9702" i="10"/>
  <c r="G9704" i="10"/>
  <c r="G9705" i="10"/>
  <c r="G9706" i="10"/>
  <c r="G9707" i="10"/>
  <c r="G9708" i="10"/>
  <c r="G9709" i="10"/>
  <c r="G9710" i="10"/>
  <c r="G9711" i="10"/>
  <c r="G9725" i="10"/>
  <c r="G9728" i="10"/>
  <c r="G9729" i="10"/>
  <c r="G9731" i="10"/>
  <c r="G9732" i="10"/>
  <c r="G9733" i="10"/>
  <c r="G9734" i="10"/>
  <c r="G9735" i="10"/>
  <c r="G9736" i="10"/>
  <c r="G9737" i="10"/>
  <c r="G9750" i="10"/>
  <c r="G9738" i="10"/>
  <c r="G9789" i="10"/>
  <c r="G9795" i="10"/>
  <c r="G9815" i="10"/>
  <c r="G9810" i="10"/>
  <c r="G9747" i="10"/>
  <c r="G9799" i="10"/>
  <c r="G9806" i="10"/>
  <c r="G9792" i="10"/>
  <c r="G9763" i="10"/>
  <c r="G9741" i="10"/>
  <c r="G9804" i="10"/>
  <c r="G9790" i="10"/>
  <c r="G9796" i="10"/>
  <c r="G9816" i="10"/>
  <c r="G9812" i="10"/>
  <c r="G9748" i="10"/>
  <c r="G9801" i="10"/>
  <c r="G9807" i="10"/>
  <c r="G9793" i="10"/>
  <c r="G9776" i="10"/>
  <c r="G9744" i="10"/>
  <c r="G9805" i="10"/>
  <c r="G9791" i="10"/>
  <c r="G9797" i="10"/>
  <c r="G9817" i="10"/>
  <c r="G9814" i="10"/>
  <c r="G9749" i="10"/>
  <c r="G9803" i="10"/>
  <c r="G9808" i="10"/>
  <c r="G9794" i="10"/>
  <c r="B2" i="11"/>
  <c r="B15" i="11"/>
  <c r="B21" i="11"/>
  <c r="B27" i="11"/>
  <c r="G154" i="10" l="1"/>
  <c r="G175" i="10"/>
  <c r="G180" i="10"/>
  <c r="G201" i="10"/>
  <c r="G257" i="10"/>
  <c r="G281" i="10"/>
  <c r="G310" i="10"/>
  <c r="G314" i="10"/>
  <c r="G340" i="10"/>
  <c r="G388" i="10"/>
  <c r="G415" i="10"/>
  <c r="G429" i="10"/>
  <c r="G468" i="10"/>
  <c r="G470" i="10"/>
  <c r="G474" i="10"/>
  <c r="G536" i="10"/>
  <c r="G577" i="10"/>
  <c r="G643" i="10"/>
  <c r="G669" i="10"/>
  <c r="G681" i="10"/>
  <c r="G687" i="10"/>
  <c r="G708" i="10"/>
  <c r="G723" i="10"/>
  <c r="G763" i="10"/>
  <c r="G776" i="10"/>
  <c r="G794" i="10"/>
  <c r="G897" i="10"/>
  <c r="G921" i="10"/>
  <c r="G1748" i="10"/>
  <c r="G1754" i="10"/>
  <c r="G1801" i="10"/>
  <c r="G1803" i="10"/>
  <c r="G1828" i="10"/>
  <c r="G1830" i="10"/>
  <c r="G1843" i="10"/>
  <c r="G1887" i="10"/>
  <c r="G1910" i="10"/>
  <c r="G1914" i="10"/>
  <c r="G1961" i="10"/>
  <c r="G2148" i="10"/>
  <c r="G2175" i="10"/>
  <c r="G2180" i="10"/>
  <c r="G2201" i="10"/>
  <c r="G2203" i="10"/>
  <c r="G2207" i="10"/>
  <c r="G2228" i="10"/>
  <c r="G2234" i="10"/>
  <c r="G2255" i="10"/>
  <c r="G2361" i="10"/>
  <c r="G2388" i="10"/>
  <c r="G2415" i="10"/>
  <c r="G2443" i="10"/>
  <c r="G2447" i="10"/>
  <c r="G2468" i="10"/>
  <c r="G2470" i="10"/>
  <c r="G2474" i="10"/>
  <c r="G2548" i="10"/>
  <c r="G2575" i="10"/>
  <c r="G2603" i="10"/>
  <c r="G2634" i="10"/>
  <c r="G3300" i="10"/>
  <c r="G3336" i="10"/>
  <c r="G3350" i="10"/>
  <c r="G3375" i="10"/>
  <c r="G3377" i="10"/>
  <c r="G3496" i="10"/>
  <c r="G3523" i="10"/>
  <c r="G3561" i="10"/>
  <c r="G3567" i="10"/>
  <c r="G3590" i="10"/>
  <c r="G3620" i="10"/>
  <c r="G3727" i="10"/>
  <c r="G3748" i="10"/>
  <c r="G3775" i="10"/>
  <c r="G3780" i="10"/>
  <c r="G3807" i="10"/>
  <c r="G3843" i="10"/>
  <c r="G3855" i="10"/>
  <c r="G3860" i="10"/>
  <c r="G3881" i="10"/>
  <c r="G3910" i="10"/>
  <c r="G3994" i="10"/>
  <c r="G4003" i="10"/>
  <c r="G4029" i="10"/>
  <c r="G4043" i="10"/>
  <c r="G4095" i="10"/>
  <c r="G4123" i="10"/>
  <c r="G4127" i="10"/>
  <c r="G4148" i="10"/>
  <c r="G4177" i="10"/>
  <c r="G4207" i="10"/>
  <c r="G4296" i="10"/>
  <c r="G4323" i="10"/>
  <c r="G4337" i="10"/>
  <c r="G4349" i="10"/>
  <c r="G4376" i="10"/>
  <c r="G4415" i="10"/>
  <c r="G4483" i="10"/>
  <c r="G4495" i="10"/>
  <c r="G4497" i="10"/>
  <c r="G4527" i="10"/>
  <c r="G4589" i="10"/>
  <c r="G4607" i="10"/>
  <c r="G4630" i="10"/>
  <c r="G4655" i="10"/>
  <c r="G4657" i="10"/>
  <c r="G4669" i="10"/>
  <c r="G4681" i="10"/>
  <c r="G4683" i="10"/>
  <c r="G4776" i="10"/>
  <c r="G4794" i="10"/>
  <c r="G4803" i="10"/>
  <c r="G4815" i="10"/>
  <c r="G4847" i="10"/>
  <c r="G4856" i="10"/>
  <c r="G4870" i="10"/>
  <c r="G4874" i="10"/>
  <c r="G4921" i="10"/>
  <c r="G4927" i="10"/>
  <c r="G4948" i="10"/>
  <c r="G5028" i="10"/>
  <c r="G5060" i="10"/>
  <c r="G5137" i="10"/>
  <c r="G5149" i="10"/>
  <c r="G5163" i="10"/>
  <c r="G5176" i="10"/>
  <c r="G5203" i="10"/>
  <c r="G5247" i="10"/>
  <c r="G5300" i="10"/>
  <c r="G5375" i="10"/>
  <c r="G5401" i="10"/>
  <c r="G5403" i="10"/>
  <c r="G5407" i="10"/>
  <c r="G5416" i="10"/>
  <c r="G5428" i="10"/>
  <c r="G6749" i="10"/>
  <c r="G6763" i="10"/>
  <c r="G6776" i="10"/>
  <c r="G6788" i="10"/>
  <c r="G6794" i="10"/>
  <c r="G6817" i="10"/>
  <c r="G6870" i="10"/>
  <c r="G6874" i="10"/>
  <c r="G6953" i="10"/>
  <c r="G7031" i="10"/>
  <c r="G7099" i="10"/>
  <c r="G7125" i="10"/>
  <c r="G7152" i="10"/>
  <c r="G7170" i="10"/>
  <c r="G7179" i="10"/>
  <c r="G7312" i="10"/>
  <c r="G7339" i="10"/>
  <c r="G7377" i="10"/>
  <c r="G7383" i="10"/>
  <c r="G7392" i="10"/>
  <c r="G7404" i="10"/>
  <c r="G7410" i="10"/>
  <c r="G7463" i="10"/>
  <c r="G7490" i="10"/>
  <c r="G7619" i="10"/>
  <c r="G7644" i="10"/>
  <c r="G7646" i="10"/>
  <c r="G7831" i="10"/>
  <c r="G7833" i="10"/>
  <c r="G7872" i="10"/>
  <c r="G7884" i="10"/>
  <c r="G7890" i="10"/>
  <c r="G7937" i="10"/>
  <c r="G8019" i="10"/>
  <c r="G8046" i="10"/>
  <c r="G8126" i="10"/>
  <c r="G8219" i="10"/>
  <c r="G9566" i="10"/>
  <c r="G9605" i="10"/>
  <c r="G9617" i="10"/>
  <c r="G9659" i="10"/>
  <c r="G9671" i="10"/>
  <c r="G9811" i="10"/>
  <c r="G2660" i="10"/>
  <c r="G2669" i="10"/>
  <c r="G2681" i="10"/>
  <c r="G2683" i="10"/>
  <c r="G2687" i="10"/>
  <c r="G2696" i="10"/>
  <c r="G2708" i="10"/>
  <c r="G2710" i="10"/>
  <c r="G2714" i="10"/>
  <c r="G2723" i="10"/>
  <c r="G2735" i="10"/>
  <c r="G2737" i="10"/>
  <c r="G2740" i="10"/>
  <c r="G2749" i="10"/>
  <c r="G2761" i="10"/>
  <c r="G2763" i="10"/>
  <c r="G2767" i="10"/>
  <c r="G2776" i="10"/>
  <c r="G2788" i="10"/>
  <c r="G2790" i="10"/>
  <c r="G2794" i="10"/>
  <c r="G2803" i="10"/>
  <c r="G2815" i="10"/>
  <c r="G2817" i="10"/>
  <c r="G2820" i="10"/>
  <c r="G2829" i="10"/>
  <c r="G2841" i="10"/>
  <c r="G2843" i="10"/>
  <c r="G2847" i="10"/>
  <c r="G2856" i="10"/>
  <c r="G2868" i="10"/>
  <c r="G2870" i="10"/>
  <c r="G2874" i="10"/>
  <c r="G2883" i="10"/>
  <c r="G2895" i="10"/>
  <c r="G2897" i="10"/>
  <c r="G2900" i="10"/>
  <c r="G2909" i="10"/>
  <c r="G2921" i="10"/>
  <c r="G2923" i="10"/>
  <c r="G2927" i="10"/>
  <c r="G2936" i="10"/>
  <c r="G2948" i="10"/>
  <c r="G2950" i="10"/>
  <c r="G2954" i="10"/>
  <c r="G2963" i="10"/>
  <c r="G2975" i="10"/>
  <c r="G2977" i="10"/>
  <c r="G2980" i="10"/>
  <c r="G2989" i="10"/>
  <c r="G3001" i="10"/>
  <c r="G3003" i="10"/>
  <c r="G3007" i="10"/>
  <c r="G3016" i="10"/>
  <c r="G3028" i="10"/>
  <c r="G3030" i="10"/>
  <c r="G3034" i="10"/>
  <c r="G3043" i="10"/>
  <c r="G3055" i="10"/>
  <c r="G3057" i="10"/>
  <c r="G3060" i="10"/>
  <c r="G3069" i="10"/>
  <c r="G3081" i="10"/>
  <c r="G3083" i="10"/>
  <c r="G3087" i="10"/>
  <c r="G3096" i="10"/>
  <c r="G3108" i="10"/>
  <c r="G3110" i="10"/>
  <c r="G3114" i="10"/>
  <c r="G3123" i="10"/>
  <c r="G3135" i="10"/>
  <c r="G3137" i="10"/>
  <c r="G3140" i="10"/>
  <c r="G3149" i="10"/>
  <c r="G3161" i="10"/>
  <c r="G3163" i="10"/>
  <c r="G3167" i="10"/>
  <c r="G3176" i="10"/>
  <c r="G3188" i="10"/>
  <c r="G3190" i="10"/>
  <c r="G3194" i="10"/>
  <c r="G3203" i="10"/>
  <c r="G3215" i="10"/>
  <c r="G3217" i="10"/>
  <c r="G3220" i="10"/>
  <c r="G3229" i="10"/>
  <c r="G3241" i="10"/>
  <c r="G3243" i="10"/>
  <c r="G3247" i="10"/>
  <c r="G3256" i="10"/>
  <c r="G3268" i="10"/>
  <c r="G3270" i="10"/>
  <c r="G3274" i="10"/>
  <c r="G3283" i="10"/>
  <c r="G3321" i="10"/>
  <c r="G5443" i="10"/>
  <c r="G5455" i="10"/>
  <c r="G5457" i="10"/>
  <c r="G5460" i="10"/>
  <c r="G5469" i="10"/>
  <c r="G5481" i="10"/>
  <c r="G5483" i="10"/>
  <c r="G5487" i="10"/>
  <c r="G5496" i="10"/>
  <c r="G5508" i="10"/>
  <c r="G5510" i="10"/>
  <c r="G5514" i="10"/>
  <c r="G5523" i="10"/>
  <c r="G5535" i="10"/>
  <c r="G5537" i="10"/>
  <c r="G5540" i="10"/>
  <c r="G5549" i="10"/>
  <c r="G5561" i="10"/>
  <c r="G5563" i="10"/>
  <c r="G5567" i="10"/>
  <c r="G5576" i="10"/>
  <c r="G5588" i="10"/>
  <c r="G5590" i="10"/>
  <c r="G5594" i="10"/>
  <c r="G5603" i="10"/>
  <c r="G5615" i="10"/>
  <c r="G5617" i="10"/>
  <c r="G5620" i="10"/>
  <c r="G5629" i="10"/>
  <c r="G5641" i="10"/>
  <c r="G5643" i="10"/>
  <c r="G5647" i="10"/>
  <c r="G5656" i="10"/>
  <c r="G5668" i="10"/>
  <c r="G5670" i="10"/>
  <c r="G5674" i="10"/>
  <c r="G5683" i="10"/>
  <c r="G5695" i="10"/>
  <c r="G5697" i="10"/>
  <c r="G5700" i="10"/>
  <c r="G5709" i="10"/>
  <c r="G5721" i="10"/>
  <c r="G5723" i="10"/>
  <c r="G5727" i="10"/>
  <c r="G5736" i="10"/>
  <c r="G5748" i="10"/>
  <c r="G5750" i="10"/>
  <c r="G5754" i="10"/>
  <c r="G5763" i="10"/>
  <c r="G5775" i="10"/>
  <c r="G5777" i="10"/>
  <c r="G5780" i="10"/>
  <c r="G5789" i="10"/>
  <c r="G5801" i="10"/>
  <c r="G5803" i="10"/>
  <c r="G5807" i="10"/>
  <c r="G5816" i="10"/>
  <c r="G5828" i="10"/>
  <c r="G5830" i="10"/>
  <c r="G5834" i="10"/>
  <c r="G5843" i="10"/>
  <c r="G5855" i="10"/>
  <c r="G5857" i="10"/>
  <c r="G5860" i="10"/>
  <c r="G5869" i="10"/>
  <c r="G5881" i="10"/>
  <c r="G5883" i="10"/>
  <c r="G5887" i="10"/>
  <c r="G5896" i="10"/>
  <c r="G5908" i="10"/>
  <c r="G5910" i="10"/>
  <c r="G5914" i="10"/>
  <c r="G5923" i="10"/>
  <c r="G5935" i="10"/>
  <c r="G5937" i="10"/>
  <c r="G5940" i="10"/>
  <c r="G5949" i="10"/>
  <c r="G5961" i="10"/>
  <c r="G5963" i="10"/>
  <c r="G5967" i="10"/>
  <c r="G5976" i="10"/>
  <c r="G5988" i="10"/>
  <c r="G5990" i="10"/>
  <c r="G5994" i="10"/>
  <c r="G6003" i="10"/>
  <c r="G6015" i="10"/>
  <c r="G6017" i="10"/>
  <c r="G6020" i="10"/>
  <c r="G6029" i="10"/>
  <c r="G6041" i="10"/>
  <c r="G6043" i="10"/>
  <c r="G6047" i="10"/>
  <c r="G6056" i="10"/>
  <c r="G6068" i="10"/>
  <c r="G6070" i="10"/>
  <c r="G6074" i="10"/>
  <c r="G6083" i="10"/>
  <c r="G6095" i="10"/>
  <c r="G6097" i="10"/>
  <c r="G6100" i="10"/>
  <c r="G6109" i="10"/>
  <c r="G6121" i="10"/>
  <c r="G6123" i="10"/>
  <c r="G6127" i="10"/>
  <c r="G6136" i="10"/>
  <c r="G6148" i="10"/>
  <c r="G6150" i="10"/>
  <c r="G6154" i="10"/>
  <c r="G6163" i="10"/>
  <c r="G6175" i="10"/>
  <c r="G6177" i="10"/>
  <c r="G6180" i="10"/>
  <c r="G6189" i="10"/>
  <c r="G6201" i="10"/>
  <c r="G6203" i="10"/>
  <c r="G6207" i="10"/>
  <c r="G6216" i="10"/>
  <c r="G6228" i="10"/>
  <c r="G6230" i="10"/>
  <c r="G6234" i="10"/>
  <c r="G6243" i="10"/>
  <c r="G6255" i="10"/>
  <c r="G6257" i="10"/>
  <c r="G6260" i="10"/>
  <c r="G6269" i="10"/>
  <c r="G6281" i="10"/>
  <c r="G6283" i="10"/>
  <c r="G6287" i="10"/>
  <c r="G6296" i="10"/>
  <c r="G6308" i="10"/>
  <c r="G6310" i="10"/>
  <c r="G6314" i="10"/>
  <c r="G6323" i="10"/>
  <c r="G6335" i="10"/>
  <c r="G6337" i="10"/>
  <c r="G6340" i="10"/>
  <c r="G6349" i="10"/>
  <c r="G6361" i="10"/>
  <c r="G6363" i="10"/>
  <c r="G6367" i="10"/>
  <c r="G6376" i="10"/>
  <c r="G6388" i="10"/>
  <c r="G6390" i="10"/>
  <c r="G6394" i="10"/>
  <c r="G6403" i="10"/>
  <c r="G6415" i="10"/>
  <c r="G6417" i="10"/>
  <c r="G6420" i="10"/>
  <c r="G6429" i="10"/>
  <c r="G6441" i="10"/>
  <c r="G6443" i="10"/>
  <c r="G6447" i="10"/>
  <c r="G6456" i="10"/>
  <c r="G6468" i="10"/>
  <c r="G6470" i="10"/>
  <c r="G6474" i="10"/>
  <c r="G6483" i="10"/>
  <c r="G6495" i="10"/>
  <c r="G6497" i="10"/>
  <c r="G6500" i="10"/>
  <c r="G6509" i="10"/>
  <c r="G6521" i="10"/>
  <c r="G6523" i="10"/>
  <c r="G6527" i="10"/>
  <c r="G6536" i="10"/>
  <c r="G6548" i="10"/>
  <c r="G6550" i="10"/>
  <c r="G6554" i="10"/>
  <c r="G6563" i="10"/>
  <c r="G6575" i="10"/>
  <c r="G6577" i="10"/>
  <c r="G6580" i="10"/>
  <c r="G6589" i="10"/>
  <c r="G6601" i="10"/>
  <c r="G6603" i="10"/>
  <c r="G6607" i="10"/>
  <c r="G6616" i="10"/>
  <c r="G6628" i="10"/>
  <c r="G6630" i="10"/>
  <c r="G6634" i="10"/>
  <c r="G6643" i="10"/>
  <c r="G6655" i="10"/>
  <c r="G6657" i="10"/>
  <c r="G6660" i="10"/>
  <c r="G6669" i="10"/>
  <c r="G6681" i="10"/>
  <c r="G6735" i="10"/>
  <c r="G6740" i="10"/>
  <c r="G6761" i="10"/>
  <c r="G6767" i="10"/>
  <c r="G6847" i="10"/>
  <c r="G6979" i="10"/>
  <c r="G7072" i="10"/>
  <c r="G7086" i="10"/>
  <c r="G7205" i="10"/>
  <c r="G7219" i="10"/>
  <c r="G7223" i="10"/>
  <c r="G7232" i="10"/>
  <c r="G7259" i="10"/>
  <c r="G7431" i="10"/>
  <c r="G7593" i="10"/>
  <c r="G7792" i="10"/>
  <c r="G7899" i="10"/>
  <c r="G7964" i="10"/>
  <c r="G7993" i="10"/>
  <c r="G8050" i="10"/>
  <c r="G8099" i="10"/>
  <c r="G8124" i="10"/>
  <c r="G8151" i="10"/>
  <c r="G8192" i="10"/>
  <c r="G8206" i="10"/>
  <c r="G9644" i="10"/>
  <c r="G9673" i="10"/>
  <c r="G9676" i="10"/>
  <c r="G9800" i="10"/>
  <c r="G8231" i="10"/>
  <c r="G8233" i="10"/>
  <c r="G8236" i="10"/>
  <c r="G8245" i="10"/>
  <c r="G8257" i="10"/>
  <c r="G8259" i="10"/>
  <c r="G8263" i="10"/>
  <c r="G8272" i="10"/>
  <c r="G8284" i="10"/>
  <c r="G8286" i="10"/>
  <c r="G8290" i="10"/>
  <c r="G8299" i="10"/>
  <c r="G8311" i="10"/>
  <c r="G8313" i="10"/>
  <c r="G8316" i="10"/>
  <c r="G8325" i="10"/>
  <c r="G8337" i="10"/>
  <c r="G8339" i="10"/>
  <c r="G8343" i="10"/>
  <c r="G8352" i="10"/>
  <c r="G8364" i="10"/>
  <c r="G8366" i="10"/>
  <c r="G8370" i="10"/>
  <c r="G8379" i="10"/>
  <c r="G8391" i="10"/>
  <c r="G8393" i="10"/>
  <c r="G8396" i="10"/>
  <c r="G8405" i="10"/>
  <c r="G8417" i="10"/>
  <c r="G8419" i="10"/>
  <c r="G8423" i="10"/>
  <c r="G8432" i="10"/>
  <c r="G8444" i="10"/>
  <c r="G8446" i="10"/>
  <c r="G8450" i="10"/>
  <c r="G8459" i="10"/>
  <c r="G8471" i="10"/>
  <c r="G8473" i="10"/>
  <c r="G8476" i="10"/>
  <c r="G8485" i="10"/>
  <c r="G8497" i="10"/>
  <c r="G8499" i="10"/>
  <c r="G8503" i="10"/>
  <c r="G8512" i="10"/>
  <c r="G8524" i="10"/>
  <c r="G8526" i="10"/>
  <c r="G8530" i="10"/>
  <c r="G8539" i="10"/>
  <c r="G8551" i="10"/>
  <c r="G8553" i="10"/>
  <c r="G8556" i="10"/>
  <c r="G8565" i="10"/>
  <c r="G8577" i="10"/>
  <c r="G8579" i="10"/>
  <c r="G8583" i="10"/>
  <c r="G8592" i="10"/>
  <c r="G8604" i="10"/>
  <c r="G8606" i="10"/>
  <c r="G8610" i="10"/>
  <c r="G8619" i="10"/>
  <c r="G8631" i="10"/>
  <c r="G8633" i="10"/>
  <c r="G8636" i="10"/>
  <c r="G8645" i="10"/>
  <c r="G8657" i="10"/>
  <c r="G8659" i="10"/>
  <c r="G8663" i="10"/>
  <c r="G8672" i="10"/>
  <c r="G8684" i="10"/>
  <c r="G8686" i="10"/>
  <c r="G8690" i="10"/>
  <c r="G8699" i="10"/>
  <c r="G8711" i="10"/>
  <c r="G8713" i="10"/>
  <c r="G8716" i="10"/>
  <c r="G8725" i="10"/>
  <c r="G8737" i="10"/>
  <c r="G8739" i="10"/>
  <c r="G8743" i="10"/>
  <c r="G8752" i="10"/>
  <c r="G8764" i="10"/>
  <c r="G8766" i="10"/>
  <c r="G8770" i="10"/>
  <c r="G8779" i="10"/>
  <c r="G8791" i="10"/>
  <c r="G8793" i="10"/>
  <c r="G8796" i="10"/>
  <c r="G8805" i="10"/>
  <c r="G8817" i="10"/>
  <c r="G8819" i="10"/>
  <c r="G8823" i="10"/>
  <c r="G8832" i="10"/>
  <c r="G8844" i="10"/>
  <c r="G8846" i="10"/>
  <c r="G8850" i="10"/>
  <c r="G8859" i="10"/>
  <c r="G8871" i="10"/>
  <c r="G8873" i="10"/>
  <c r="G8876" i="10"/>
  <c r="G8885" i="10"/>
  <c r="G8897" i="10"/>
  <c r="G8899" i="10"/>
  <c r="G8903" i="10"/>
  <c r="G8912" i="10"/>
  <c r="G8924" i="10"/>
  <c r="G8926" i="10"/>
  <c r="G8930" i="10"/>
  <c r="G8939" i="10"/>
  <c r="G8951" i="10"/>
  <c r="G8953" i="10"/>
  <c r="G8956" i="10"/>
  <c r="G8965" i="10"/>
  <c r="G8977" i="10"/>
  <c r="G8979" i="10"/>
  <c r="G8983" i="10"/>
  <c r="G8992" i="10"/>
  <c r="G9004" i="10"/>
  <c r="G9006" i="10"/>
  <c r="G9010" i="10"/>
  <c r="G9019" i="10"/>
  <c r="G9031" i="10"/>
  <c r="G9033" i="10"/>
  <c r="G9036" i="10"/>
  <c r="G9045" i="10"/>
  <c r="G9057" i="10"/>
  <c r="G9059" i="10"/>
  <c r="G9063" i="10"/>
  <c r="G9072" i="10"/>
  <c r="G9084" i="10"/>
  <c r="G9086" i="10"/>
  <c r="G9090" i="10"/>
  <c r="G9099" i="10"/>
  <c r="G9111" i="10"/>
  <c r="G9113" i="10"/>
  <c r="G9116" i="10"/>
  <c r="G9125" i="10"/>
  <c r="G9137" i="10"/>
  <c r="G9139" i="10"/>
  <c r="G9143" i="10"/>
  <c r="G9152" i="10"/>
  <c r="G9164" i="10"/>
  <c r="G9166" i="10"/>
  <c r="G9170" i="10"/>
  <c r="G9179" i="10"/>
  <c r="G9191" i="10"/>
  <c r="G9193" i="10"/>
  <c r="G9196" i="10"/>
  <c r="G9205" i="10"/>
  <c r="G9217" i="10"/>
  <c r="G9219" i="10"/>
  <c r="G9223" i="10"/>
  <c r="G9232" i="10"/>
  <c r="G9244" i="10"/>
  <c r="G9246" i="10"/>
  <c r="G9250" i="10"/>
  <c r="G9259" i="10"/>
  <c r="G9271" i="10"/>
  <c r="G9273" i="10"/>
  <c r="G9276" i="10"/>
  <c r="G9285" i="10"/>
  <c r="G9297" i="10"/>
  <c r="G9299" i="10"/>
  <c r="G9303" i="10"/>
  <c r="G9312" i="10"/>
  <c r="G9324" i="10"/>
  <c r="G9326" i="10"/>
  <c r="G9330" i="10"/>
  <c r="G9339" i="10"/>
  <c r="G9351" i="10"/>
  <c r="G9353" i="10"/>
  <c r="G9356" i="10"/>
  <c r="G9365" i="10"/>
  <c r="G9377" i="10"/>
  <c r="G9379" i="10"/>
  <c r="G9383" i="10"/>
  <c r="G9392" i="10"/>
  <c r="G9404" i="10"/>
  <c r="G9406" i="10"/>
  <c r="G9410" i="10"/>
  <c r="G9419" i="10"/>
  <c r="G9431" i="10"/>
  <c r="G9433" i="10"/>
  <c r="G9436" i="10"/>
  <c r="G9445" i="10"/>
  <c r="G9457" i="10"/>
  <c r="G9459" i="10"/>
  <c r="G9463" i="10"/>
  <c r="G9472" i="10"/>
  <c r="G9484" i="10"/>
  <c r="G9486" i="10"/>
  <c r="G9490" i="10"/>
  <c r="G9499" i="10"/>
  <c r="G9511" i="10"/>
  <c r="G9513" i="10"/>
  <c r="G9516" i="10"/>
  <c r="G9525" i="10"/>
  <c r="G9537" i="10"/>
  <c r="G9539" i="10"/>
  <c r="G9543" i="10"/>
  <c r="G9552" i="10"/>
  <c r="G9564" i="10"/>
  <c r="G9591" i="10"/>
  <c r="G9596" i="10"/>
  <c r="G9703" i="10"/>
  <c r="G9724" i="10"/>
  <c r="G9764" i="10"/>
  <c r="G9777" i="10"/>
  <c r="G3" i="10"/>
  <c r="G95" i="10"/>
  <c r="G121" i="10"/>
  <c r="G148" i="10"/>
  <c r="G216" i="10"/>
  <c r="G234" i="10"/>
  <c r="G255" i="10"/>
  <c r="G260" i="10"/>
  <c r="G269" i="10"/>
  <c r="G283" i="10"/>
  <c r="G287" i="10"/>
  <c r="G296" i="10"/>
  <c r="G308" i="10"/>
  <c r="G323" i="10"/>
  <c r="G841" i="10"/>
  <c r="G856" i="10"/>
  <c r="G868" i="10"/>
  <c r="G895" i="10"/>
  <c r="G923" i="10"/>
  <c r="G954" i="10"/>
  <c r="G977" i="10"/>
  <c r="G989" i="10"/>
  <c r="G1034" i="10"/>
  <c r="G1057" i="10"/>
  <c r="G1060" i="10"/>
  <c r="G1081" i="10"/>
  <c r="G1190" i="10"/>
  <c r="G1203" i="10"/>
  <c r="G1241" i="10"/>
  <c r="G1348" i="10"/>
  <c r="G1375" i="10"/>
  <c r="G1403" i="10"/>
  <c r="G1416" i="10"/>
  <c r="G1428" i="10"/>
  <c r="G1430" i="10"/>
  <c r="G1457" i="10"/>
  <c r="G1483" i="10"/>
  <c r="G1487" i="10"/>
  <c r="G1561" i="10"/>
  <c r="G1576" i="10"/>
  <c r="G1590" i="10"/>
  <c r="G1603" i="10"/>
  <c r="G1615" i="10"/>
  <c r="G1641" i="10"/>
  <c r="G1647" i="10"/>
  <c r="G1670" i="10"/>
  <c r="G1674" i="10"/>
  <c r="G1683" i="10"/>
  <c r="G1700" i="10"/>
  <c r="G1709" i="10"/>
  <c r="G1721" i="10"/>
  <c r="G1750" i="10"/>
  <c r="G1775" i="10"/>
  <c r="G1780" i="10"/>
  <c r="G1789" i="10"/>
  <c r="G1807" i="10"/>
  <c r="G1816" i="10"/>
  <c r="G1834" i="10"/>
  <c r="G1860" i="10"/>
  <c r="G1896" i="10"/>
  <c r="G1923" i="10"/>
  <c r="G1949" i="10"/>
  <c r="G1967" i="10"/>
  <c r="G2043" i="10"/>
  <c r="G2097" i="10"/>
  <c r="G2121" i="10"/>
  <c r="G2123" i="10"/>
  <c r="G2150" i="10"/>
  <c r="G2163" i="10"/>
  <c r="G2177" i="10"/>
  <c r="G2287" i="10"/>
  <c r="G2314" i="10"/>
  <c r="G2376" i="10"/>
  <c r="G2420" i="10"/>
  <c r="G2441" i="10"/>
  <c r="G2456" i="10"/>
  <c r="G2554" i="10"/>
  <c r="G2577" i="10"/>
  <c r="G2580" i="10"/>
  <c r="G2616" i="10"/>
  <c r="G3309" i="10"/>
  <c r="G3348" i="10"/>
  <c r="G3354" i="10"/>
  <c r="G3380" i="10"/>
  <c r="G3389" i="10"/>
  <c r="G3403" i="10"/>
  <c r="G3416" i="10"/>
  <c r="G3443" i="10"/>
  <c r="G3455" i="10"/>
  <c r="G3460" i="10"/>
  <c r="G3481" i="10"/>
  <c r="G3487" i="10"/>
  <c r="G3510" i="10"/>
  <c r="G3603" i="10"/>
  <c r="G3668" i="10"/>
  <c r="G3674" i="10"/>
  <c r="G3695" i="10"/>
  <c r="G3789" i="10"/>
  <c r="G3801" i="10"/>
  <c r="G3828" i="10"/>
  <c r="G3834" i="10"/>
  <c r="G3914" i="10"/>
  <c r="G3935" i="10"/>
  <c r="G4163" i="10"/>
  <c r="G4216" i="10"/>
  <c r="G4228" i="10"/>
  <c r="G4260" i="10"/>
  <c r="G4308" i="10"/>
  <c r="G4310" i="10"/>
  <c r="G4335" i="10"/>
  <c r="G4340" i="10"/>
  <c r="G4474" i="10"/>
  <c r="G4575" i="10"/>
  <c r="G4580" i="10"/>
  <c r="G4723" i="10"/>
  <c r="G4788" i="10"/>
  <c r="G4883" i="10"/>
  <c r="G4895" i="10"/>
  <c r="G4900" i="10"/>
  <c r="G4936" i="10"/>
  <c r="G4950" i="10"/>
  <c r="G4963" i="10"/>
  <c r="G5007" i="10"/>
  <c r="G5055" i="10"/>
  <c r="G5069" i="10"/>
  <c r="G5083" i="10"/>
  <c r="G5087" i="10"/>
  <c r="G5114" i="10"/>
  <c r="G5140" i="10"/>
  <c r="G5188" i="10"/>
  <c r="G5190" i="10"/>
  <c r="G5241" i="10"/>
  <c r="G5348" i="10"/>
  <c r="G5363" i="10"/>
  <c r="G5377" i="10"/>
  <c r="G5389" i="10"/>
  <c r="G6710" i="10"/>
  <c r="G6723" i="10"/>
  <c r="G6939" i="10"/>
  <c r="G6956" i="10"/>
  <c r="G6965" i="10"/>
  <c r="G7033" i="10"/>
  <c r="G7057" i="10"/>
  <c r="G7111" i="10"/>
  <c r="G7116" i="10"/>
  <c r="G7137" i="10"/>
  <c r="G7164" i="10"/>
  <c r="G7244" i="10"/>
  <c r="G7273" i="10"/>
  <c r="G7276" i="10"/>
  <c r="G7285" i="10"/>
  <c r="G7297" i="10"/>
  <c r="G7303" i="10"/>
  <c r="G7326" i="10"/>
  <c r="G7330" i="10"/>
  <c r="G7351" i="10"/>
  <c r="G7356" i="10"/>
  <c r="G7365" i="10"/>
  <c r="G7433" i="10"/>
  <c r="G7445" i="10"/>
  <c r="G7513" i="10"/>
  <c r="G7516" i="10"/>
  <c r="G7539" i="10"/>
  <c r="G7570" i="10"/>
  <c r="G7605" i="10"/>
  <c r="G7623" i="10"/>
  <c r="G7632" i="10"/>
  <c r="G7676" i="10"/>
  <c r="G7703" i="10"/>
  <c r="G7724" i="10"/>
  <c r="G7756" i="10"/>
  <c r="G7765" i="10"/>
  <c r="G7779" i="10"/>
  <c r="G7836" i="10"/>
  <c r="G7925" i="10"/>
  <c r="G7943" i="10"/>
  <c r="G7966" i="10"/>
  <c r="G8023" i="10"/>
  <c r="G8103" i="10"/>
  <c r="G8112" i="10"/>
  <c r="G8177" i="10"/>
  <c r="G9593" i="10"/>
  <c r="G9623" i="10"/>
  <c r="G9646" i="10"/>
  <c r="G9650" i="10"/>
  <c r="G9809" i="10"/>
  <c r="G9813" i="10"/>
  <c r="G9745" i="10"/>
  <c r="G9802" i="10"/>
  <c r="G20" i="10"/>
  <c r="G74" i="10"/>
  <c r="G83" i="10"/>
  <c r="G335" i="10"/>
  <c r="G337" i="10"/>
  <c r="G349" i="10"/>
  <c r="G361" i="10"/>
  <c r="G363" i="10"/>
  <c r="G376" i="10"/>
  <c r="G394" i="10"/>
  <c r="G417" i="10"/>
  <c r="G420" i="10"/>
  <c r="G441" i="10"/>
  <c r="G443" i="10"/>
  <c r="G497" i="10"/>
  <c r="G523" i="10"/>
  <c r="G554" i="10"/>
  <c r="G563" i="10"/>
  <c r="G575" i="10"/>
  <c r="G589" i="10"/>
  <c r="G603" i="10"/>
  <c r="G607" i="10"/>
  <c r="G630" i="10"/>
  <c r="G657" i="10"/>
  <c r="G683" i="10"/>
  <c r="G735" i="10"/>
  <c r="G761" i="10"/>
  <c r="G767" i="10"/>
  <c r="G788" i="10"/>
  <c r="G790" i="10"/>
  <c r="G829" i="10"/>
  <c r="G909" i="10"/>
  <c r="G936" i="10"/>
  <c r="G1001" i="10"/>
  <c r="G1028" i="10"/>
  <c r="G1140" i="10"/>
  <c r="G1163" i="10"/>
  <c r="G1176" i="10"/>
  <c r="G1268" i="10"/>
  <c r="G1270" i="10"/>
  <c r="G1274" i="10"/>
  <c r="G1295" i="10"/>
  <c r="G1300" i="10"/>
  <c r="G1309" i="10"/>
  <c r="G1327" i="10"/>
  <c r="G1350" i="10"/>
  <c r="G1354" i="10"/>
  <c r="G1363" i="10"/>
  <c r="G1377" i="10"/>
  <c r="G1380" i="10"/>
  <c r="G1389" i="10"/>
  <c r="G1407" i="10"/>
  <c r="G1469" i="10"/>
  <c r="G1481" i="10"/>
  <c r="G1508" i="10"/>
  <c r="G1510" i="10"/>
  <c r="G1514" i="10"/>
  <c r="G1523" i="10"/>
  <c r="G1535" i="10"/>
  <c r="G1540" i="10"/>
  <c r="G1549" i="10"/>
  <c r="G1563" i="10"/>
  <c r="G1668" i="10"/>
  <c r="G1697" i="10"/>
  <c r="G1727" i="10"/>
  <c r="G1857" i="10"/>
  <c r="G1869" i="10"/>
  <c r="G1976" i="10"/>
  <c r="G2015" i="10"/>
  <c r="G2020" i="10"/>
  <c r="G2047" i="10"/>
  <c r="G2095" i="10"/>
  <c r="G2136" i="10"/>
  <c r="G2154" i="10"/>
  <c r="G2257" i="10"/>
  <c r="G2260" i="10"/>
  <c r="G2269" i="10"/>
  <c r="G2281" i="10"/>
  <c r="G2283" i="10"/>
  <c r="G2296" i="10"/>
  <c r="G2310" i="10"/>
  <c r="G2337" i="10"/>
  <c r="G2349" i="10"/>
  <c r="G2363" i="10"/>
  <c r="G2367" i="10"/>
  <c r="G2390" i="10"/>
  <c r="G2429" i="10"/>
  <c r="G2500" i="10"/>
  <c r="G2509" i="10"/>
  <c r="G3549" i="10"/>
  <c r="G3563" i="10"/>
  <c r="G3594" i="10"/>
  <c r="G3615" i="10"/>
  <c r="G3617" i="10"/>
  <c r="G3647" i="10"/>
  <c r="G3656" i="10"/>
  <c r="G3723" i="10"/>
  <c r="G3736" i="10"/>
  <c r="G3763" i="10"/>
  <c r="G3923" i="10"/>
  <c r="G3940" i="10"/>
  <c r="G3949" i="10"/>
  <c r="G3963" i="10"/>
  <c r="G3990" i="10"/>
  <c r="G4017" i="10"/>
  <c r="G4020" i="10"/>
  <c r="G4097" i="10"/>
  <c r="G4100" i="10"/>
  <c r="G4109" i="10"/>
  <c r="G4189" i="10"/>
  <c r="G4230" i="10"/>
  <c r="G4234" i="10"/>
  <c r="G4390" i="10"/>
  <c r="G4394" i="10"/>
  <c r="G4403" i="10"/>
  <c r="G4429" i="10"/>
  <c r="G4456" i="10"/>
  <c r="G4523" i="10"/>
  <c r="G4550" i="10"/>
  <c r="G4554" i="10"/>
  <c r="G4563" i="10"/>
  <c r="G4601" i="10"/>
  <c r="G4616" i="10"/>
  <c r="G4761" i="10"/>
  <c r="G4897" i="10"/>
  <c r="G4909" i="10"/>
  <c r="G4954" i="10"/>
  <c r="G5003" i="10"/>
  <c r="G5030" i="10"/>
  <c r="G5034" i="10"/>
  <c r="G5043" i="10"/>
  <c r="G5081" i="10"/>
  <c r="G5110" i="10"/>
  <c r="G5135" i="10"/>
  <c r="G5194" i="10"/>
  <c r="G5215" i="10"/>
  <c r="G5220" i="10"/>
  <c r="G5256" i="10"/>
  <c r="G5268" i="10"/>
  <c r="G5274" i="10"/>
  <c r="G5283" i="10"/>
  <c r="G5350" i="10"/>
  <c r="G6790" i="10"/>
  <c r="G6815" i="10"/>
  <c r="G6829" i="10"/>
  <c r="G6856" i="10"/>
  <c r="G6868" i="10"/>
  <c r="G6992" i="10"/>
  <c r="G7004" i="10"/>
  <c r="G7006" i="10"/>
  <c r="G7036" i="10"/>
  <c r="G7113" i="10"/>
  <c r="G7193" i="10"/>
  <c r="G7246" i="10"/>
  <c r="G7250" i="10"/>
  <c r="G7271" i="10"/>
  <c r="G7299" i="10"/>
  <c r="G7324" i="10"/>
  <c r="G7596" i="10"/>
  <c r="G7673" i="10"/>
  <c r="G7685" i="10"/>
  <c r="G7699" i="10"/>
  <c r="G7712" i="10"/>
  <c r="G7726" i="10"/>
  <c r="G7810" i="10"/>
  <c r="G7845" i="10"/>
  <c r="G7859" i="10"/>
  <c r="G7911" i="10"/>
  <c r="G7913" i="10"/>
  <c r="G7952" i="10"/>
  <c r="G8032" i="10"/>
  <c r="G8073" i="10"/>
  <c r="G8076" i="10"/>
  <c r="G8130" i="10"/>
  <c r="G8165" i="10"/>
  <c r="G8179" i="10"/>
  <c r="G9570" i="10"/>
  <c r="G9619" i="10"/>
  <c r="G9632" i="10"/>
  <c r="G9685" i="10"/>
  <c r="G9697" i="10"/>
  <c r="G9712" i="10"/>
  <c r="G9751" i="10"/>
  <c r="G9798" i="10"/>
  <c r="G9742" i="10"/>
  <c r="B3" i="11"/>
  <c r="G15" i="10"/>
  <c r="G17" i="10"/>
  <c r="G41" i="10"/>
  <c r="G47" i="10"/>
  <c r="G68" i="10"/>
  <c r="G100" i="10"/>
  <c r="G109" i="10"/>
  <c r="G123" i="10"/>
  <c r="G189" i="10"/>
  <c r="G203" i="10"/>
  <c r="G207" i="10"/>
  <c r="G230" i="10"/>
  <c r="G243" i="10"/>
  <c r="G367" i="10"/>
  <c r="G495" i="10"/>
  <c r="G500" i="10"/>
  <c r="G509" i="10"/>
  <c r="G527" i="10"/>
  <c r="G634" i="10"/>
  <c r="G655" i="10"/>
  <c r="G696" i="10"/>
  <c r="G710" i="10"/>
  <c r="G714" i="10"/>
  <c r="G843" i="10"/>
  <c r="G847" i="10"/>
  <c r="G950" i="10"/>
  <c r="G975" i="10"/>
  <c r="G980" i="10"/>
  <c r="G1003" i="10"/>
  <c r="G1030" i="10"/>
  <c r="G1055" i="10"/>
  <c r="G1087" i="10"/>
  <c r="G1096" i="10"/>
  <c r="G1110" i="10"/>
  <c r="G1114" i="10"/>
  <c r="G1135" i="10"/>
  <c r="G1149" i="10"/>
  <c r="G1188" i="10"/>
  <c r="G1194" i="10"/>
  <c r="G1215" i="10"/>
  <c r="G1243" i="10"/>
  <c r="G1256" i="10"/>
  <c r="G1283" i="10"/>
  <c r="G1297" i="10"/>
  <c r="G1321" i="10"/>
  <c r="G1323" i="10"/>
  <c r="G1336" i="10"/>
  <c r="G1401" i="10"/>
  <c r="G1434" i="10"/>
  <c r="G1443" i="10"/>
  <c r="G1455" i="10"/>
  <c r="G1460" i="10"/>
  <c r="G1496" i="10"/>
  <c r="G1537" i="10"/>
  <c r="G1567" i="10"/>
  <c r="G1588" i="10"/>
  <c r="G1594" i="10"/>
  <c r="G1617" i="10"/>
  <c r="G1620" i="10"/>
  <c r="G1629" i="10"/>
  <c r="G1643" i="10"/>
  <c r="G1656" i="10"/>
  <c r="G1695" i="10"/>
  <c r="G1736" i="10"/>
  <c r="G1777" i="10"/>
  <c r="G1855" i="10"/>
  <c r="G1881" i="10"/>
  <c r="G1908" i="10"/>
  <c r="G1935" i="10"/>
  <c r="G1940" i="10"/>
  <c r="G1988" i="10"/>
  <c r="G1990" i="10"/>
  <c r="G1994" i="10"/>
  <c r="G2056" i="10"/>
  <c r="G2070" i="10"/>
  <c r="G2074" i="10"/>
  <c r="G2100" i="10"/>
  <c r="G2109" i="10"/>
  <c r="G2127" i="10"/>
  <c r="G2189" i="10"/>
  <c r="G2216" i="10"/>
  <c r="G2230" i="10"/>
  <c r="G2308" i="10"/>
  <c r="G2323" i="10"/>
  <c r="G2335" i="10"/>
  <c r="G2340" i="10"/>
  <c r="G2497" i="10"/>
  <c r="G2523" i="10"/>
  <c r="G2527" i="10"/>
  <c r="G2563" i="10"/>
  <c r="G2628" i="10"/>
  <c r="G3297" i="10"/>
  <c r="G3327" i="10"/>
  <c r="G3469" i="10"/>
  <c r="G3483" i="10"/>
  <c r="G3508" i="10"/>
  <c r="G3514" i="10"/>
  <c r="G3537" i="10"/>
  <c r="G3540" i="10"/>
  <c r="G3576" i="10"/>
  <c r="G3629" i="10"/>
  <c r="G3641" i="10"/>
  <c r="G3697" i="10"/>
  <c r="G3700" i="10"/>
  <c r="G3754" i="10"/>
  <c r="G3777" i="10"/>
  <c r="G3816" i="10"/>
  <c r="G3869" i="10"/>
  <c r="G3883" i="10"/>
  <c r="G3887" i="10"/>
  <c r="G3908" i="10"/>
  <c r="G3937" i="10"/>
  <c r="G3961" i="10"/>
  <c r="G3967" i="10"/>
  <c r="G3976" i="10"/>
  <c r="G3988" i="10"/>
  <c r="G4015" i="10"/>
  <c r="G4047" i="10"/>
  <c r="G4070" i="10"/>
  <c r="G4083" i="10"/>
  <c r="G4121" i="10"/>
  <c r="G4136" i="10"/>
  <c r="G4154" i="10"/>
  <c r="G4180" i="10"/>
  <c r="G4201" i="10"/>
  <c r="G4203" i="10"/>
  <c r="G4283" i="10"/>
  <c r="G4417" i="10"/>
  <c r="G4447" i="10"/>
  <c r="G4470" i="10"/>
  <c r="G4500" i="10"/>
  <c r="G4521" i="10"/>
  <c r="G4536" i="10"/>
  <c r="G4548" i="10"/>
  <c r="G4577" i="10"/>
  <c r="G4603" i="10"/>
  <c r="G4634" i="10"/>
  <c r="G4696" i="10"/>
  <c r="G4708" i="10"/>
  <c r="G4714" i="10"/>
  <c r="G4735" i="10"/>
  <c r="G4737" i="10"/>
  <c r="G4740" i="10"/>
  <c r="G4749" i="10"/>
  <c r="G4763" i="10"/>
  <c r="G4767" i="10"/>
  <c r="G4790" i="10"/>
  <c r="G4817" i="10"/>
  <c r="G4820" i="10"/>
  <c r="G4829" i="10"/>
  <c r="G4841" i="10"/>
  <c r="G4868" i="10"/>
  <c r="G4975" i="10"/>
  <c r="G4980" i="10"/>
  <c r="G4989" i="10"/>
  <c r="G5217" i="10"/>
  <c r="G5297" i="10"/>
  <c r="G5327" i="10"/>
  <c r="G5336" i="10"/>
  <c r="G5430" i="10"/>
  <c r="G5434" i="10"/>
  <c r="G6683" i="10"/>
  <c r="G6708" i="10"/>
  <c r="G6714" i="10"/>
  <c r="G6820" i="10"/>
  <c r="G6843" i="10"/>
  <c r="G6951" i="10"/>
  <c r="G6977" i="10"/>
  <c r="G6983" i="10"/>
  <c r="G7010" i="10"/>
  <c r="G7019" i="10"/>
  <c r="G7063" i="10"/>
  <c r="G7143" i="10"/>
  <c r="G7217" i="10"/>
  <c r="G7379" i="10"/>
  <c r="G7459" i="10"/>
  <c r="G7484" i="10"/>
  <c r="G7511" i="10"/>
  <c r="G7525" i="10"/>
  <c r="G7552" i="10"/>
  <c r="G7564" i="10"/>
  <c r="G7591" i="10"/>
  <c r="G7650" i="10"/>
  <c r="G7697" i="10"/>
  <c r="G7730" i="10"/>
  <c r="G7739" i="10"/>
  <c r="G7751" i="10"/>
  <c r="G7777" i="10"/>
  <c r="G7804" i="10"/>
  <c r="G7886" i="10"/>
  <c r="G7970" i="10"/>
  <c r="G8044" i="10"/>
  <c r="G8156" i="10"/>
  <c r="G8204" i="10"/>
  <c r="G29" i="10"/>
  <c r="G43" i="10"/>
  <c r="G56" i="10"/>
  <c r="G70" i="10"/>
  <c r="G97" i="10"/>
  <c r="G127" i="10"/>
  <c r="G136" i="10"/>
  <c r="G150" i="10"/>
  <c r="G163" i="10"/>
  <c r="G177" i="10"/>
  <c r="G228" i="10"/>
  <c r="G390" i="10"/>
  <c r="G403" i="10"/>
  <c r="G447" i="10"/>
  <c r="G456" i="10"/>
  <c r="G483" i="10"/>
  <c r="G521" i="10"/>
  <c r="G548" i="10"/>
  <c r="G550" i="10"/>
  <c r="G580" i="10"/>
  <c r="G601" i="10"/>
  <c r="G616" i="10"/>
  <c r="G628" i="10"/>
  <c r="G660" i="10"/>
  <c r="G737" i="10"/>
  <c r="G740" i="10"/>
  <c r="G749" i="10"/>
  <c r="G870" i="10"/>
  <c r="G874" i="10"/>
  <c r="G883" i="10"/>
  <c r="G900" i="10"/>
  <c r="G927" i="10"/>
  <c r="G948" i="10"/>
  <c r="G963" i="10"/>
  <c r="G1007" i="10"/>
  <c r="G1016" i="10"/>
  <c r="G1043" i="10"/>
  <c r="G1069" i="10"/>
  <c r="G1083" i="10"/>
  <c r="G1108" i="10"/>
  <c r="G1123" i="10"/>
  <c r="G1137" i="10"/>
  <c r="G1161" i="10"/>
  <c r="G1167" i="10"/>
  <c r="G1217" i="10"/>
  <c r="G1220" i="10"/>
  <c r="G1229" i="10"/>
  <c r="G1247" i="10"/>
  <c r="G1723" i="10"/>
  <c r="G1763" i="10"/>
  <c r="G1883" i="10"/>
  <c r="G1937" i="10"/>
  <c r="G1963" i="10"/>
  <c r="G2003" i="10"/>
  <c r="G2017" i="10"/>
  <c r="G2029" i="10"/>
  <c r="G2041" i="10"/>
  <c r="G2068" i="10"/>
  <c r="G2083" i="10"/>
  <c r="G2243" i="10"/>
  <c r="G2394" i="10"/>
  <c r="G2403" i="10"/>
  <c r="G2417" i="10"/>
  <c r="G2483" i="10"/>
  <c r="G2495" i="10"/>
  <c r="G2521" i="10"/>
  <c r="G2536" i="10"/>
  <c r="G2550" i="10"/>
  <c r="G2589" i="10"/>
  <c r="G2601" i="10"/>
  <c r="G2607" i="10"/>
  <c r="G2630" i="10"/>
  <c r="G2643" i="10"/>
  <c r="G2655" i="10"/>
  <c r="G2657" i="10"/>
  <c r="G3295" i="10"/>
  <c r="G3323" i="10"/>
  <c r="G3363" i="10"/>
  <c r="G3401" i="10"/>
  <c r="G3407" i="10"/>
  <c r="G3428" i="10"/>
  <c r="G3430" i="10"/>
  <c r="G3434" i="10"/>
  <c r="G3457" i="10"/>
  <c r="G3535" i="10"/>
  <c r="G3588" i="10"/>
  <c r="G3643" i="10"/>
  <c r="G3670" i="10"/>
  <c r="G3683" i="10"/>
  <c r="G3709" i="10"/>
  <c r="G3721" i="10"/>
  <c r="G3750" i="10"/>
  <c r="G3803" i="10"/>
  <c r="G3830" i="10"/>
  <c r="G3857" i="10"/>
  <c r="G3896" i="10"/>
  <c r="G4041" i="10"/>
  <c r="G4056" i="10"/>
  <c r="G4068" i="10"/>
  <c r="G4074" i="10"/>
  <c r="G4150" i="10"/>
  <c r="G4175" i="10"/>
  <c r="G4243" i="10"/>
  <c r="G4255" i="10"/>
  <c r="G4257" i="10"/>
  <c r="G4269" i="10"/>
  <c r="G4281" i="10"/>
  <c r="G4287" i="10"/>
  <c r="G4314" i="10"/>
  <c r="G4361" i="10"/>
  <c r="G4363" i="10"/>
  <c r="G4367" i="10"/>
  <c r="G4388" i="10"/>
  <c r="G4420" i="10"/>
  <c r="G4441" i="10"/>
  <c r="G4443" i="10"/>
  <c r="G4468" i="10"/>
  <c r="G4509" i="10"/>
  <c r="G4628" i="10"/>
  <c r="G4643" i="10"/>
  <c r="G4660" i="10"/>
  <c r="G4687" i="10"/>
  <c r="G4710" i="10"/>
  <c r="G4843" i="10"/>
  <c r="G4923" i="10"/>
  <c r="G4977" i="10"/>
  <c r="G5001" i="10"/>
  <c r="G5016" i="10"/>
  <c r="G5057" i="10"/>
  <c r="G5096" i="10"/>
  <c r="G5108" i="10"/>
  <c r="G5123" i="10"/>
  <c r="G5161" i="10"/>
  <c r="G5167" i="10"/>
  <c r="G5229" i="10"/>
  <c r="G5243" i="10"/>
  <c r="G5270" i="10"/>
  <c r="G5295" i="10"/>
  <c r="G5309" i="10"/>
  <c r="G5321" i="10"/>
  <c r="G5323" i="10"/>
  <c r="G5354" i="10"/>
  <c r="G5380" i="10"/>
  <c r="G6687" i="10"/>
  <c r="G6696" i="10"/>
  <c r="G6737" i="10"/>
  <c r="G6803" i="10"/>
  <c r="G6841" i="10"/>
  <c r="G7045" i="10"/>
  <c r="G7059" i="10"/>
  <c r="G7084" i="10"/>
  <c r="G7090" i="10"/>
  <c r="G7139" i="10"/>
  <c r="G7166" i="10"/>
  <c r="G7191" i="10"/>
  <c r="G7196" i="10"/>
  <c r="G7353" i="10"/>
  <c r="G7406" i="10"/>
  <c r="G7419" i="10"/>
  <c r="G7436" i="10"/>
  <c r="G7457" i="10"/>
  <c r="G7472" i="10"/>
  <c r="G7486" i="10"/>
  <c r="G7499" i="10"/>
  <c r="G7537" i="10"/>
  <c r="G7543" i="10"/>
  <c r="G7566" i="10"/>
  <c r="G7579" i="10"/>
  <c r="G7617" i="10"/>
  <c r="G7659" i="10"/>
  <c r="G7671" i="10"/>
  <c r="G7753" i="10"/>
  <c r="G7783" i="10"/>
  <c r="G7806" i="10"/>
  <c r="G7819" i="10"/>
  <c r="G7857" i="10"/>
  <c r="G7863" i="10"/>
  <c r="G7916" i="10"/>
  <c r="G7939" i="10"/>
  <c r="G7979" i="10"/>
  <c r="G7991" i="10"/>
  <c r="G7996" i="10"/>
  <c r="G8005" i="10"/>
  <c r="G8017" i="10"/>
  <c r="G8059" i="10"/>
  <c r="G8071" i="10"/>
  <c r="G8085" i="10"/>
  <c r="G8097" i="10"/>
  <c r="G8139" i="10"/>
  <c r="G8153" i="10"/>
  <c r="G8183" i="10"/>
  <c r="G8210" i="10"/>
  <c r="G9579" i="10"/>
  <c r="G9699" i="10"/>
  <c r="G9726" i="10"/>
  <c r="G9730" i="10"/>
  <c r="G9739" i="10"/>
  <c r="B16" i="11"/>
  <c r="NI31" i="9"/>
  <c r="NH31" i="9"/>
  <c r="NG31" i="9"/>
  <c r="NF31" i="9"/>
  <c r="NE31" i="9"/>
  <c r="ND31" i="9"/>
  <c r="NC31" i="9"/>
  <c r="NB31" i="9"/>
  <c r="NA31" i="9"/>
  <c r="MZ31" i="9"/>
  <c r="MY31" i="9"/>
  <c r="MX31" i="9"/>
  <c r="MW31" i="9"/>
  <c r="MV31" i="9"/>
  <c r="MU31" i="9"/>
  <c r="MT31" i="9"/>
  <c r="MS31" i="9"/>
  <c r="MR31" i="9"/>
  <c r="MQ31" i="9"/>
  <c r="MP31" i="9"/>
  <c r="MO31" i="9"/>
  <c r="MN31" i="9"/>
  <c r="MM31" i="9"/>
  <c r="ML31" i="9"/>
  <c r="MK31" i="9"/>
  <c r="MJ31" i="9"/>
  <c r="MI31" i="9"/>
  <c r="MH31" i="9"/>
  <c r="MG31" i="9"/>
  <c r="MF31" i="9"/>
  <c r="ME31" i="9"/>
  <c r="MD31" i="9"/>
  <c r="MC31" i="9"/>
  <c r="MB31" i="9"/>
  <c r="MA31" i="9"/>
  <c r="LZ31" i="9"/>
  <c r="LY31" i="9"/>
  <c r="LX31" i="9"/>
  <c r="LW31" i="9"/>
  <c r="LV31" i="9"/>
  <c r="LU31" i="9"/>
  <c r="LT31" i="9"/>
  <c r="LS31" i="9"/>
  <c r="LR31" i="9"/>
  <c r="LQ31" i="9"/>
  <c r="LP31" i="9"/>
  <c r="LO31" i="9"/>
  <c r="LN31" i="9"/>
  <c r="LM31" i="9"/>
  <c r="LL31" i="9"/>
  <c r="LK31" i="9"/>
  <c r="LJ31" i="9"/>
  <c r="LI31" i="9"/>
  <c r="LH31" i="9"/>
  <c r="LG31" i="9"/>
  <c r="LF31" i="9"/>
  <c r="LE31" i="9"/>
  <c r="LD31" i="9"/>
  <c r="LC31" i="9"/>
  <c r="LB31" i="9"/>
  <c r="LA31" i="9"/>
  <c r="KZ31" i="9"/>
  <c r="KY31" i="9"/>
  <c r="KX31" i="9"/>
  <c r="KW31" i="9"/>
  <c r="KV31" i="9"/>
  <c r="KU31" i="9"/>
  <c r="KT31" i="9"/>
  <c r="KS31" i="9"/>
  <c r="KR31" i="9"/>
  <c r="KQ31" i="9"/>
  <c r="KP31" i="9"/>
  <c r="KO31" i="9"/>
  <c r="KN31" i="9"/>
  <c r="KM31" i="9"/>
  <c r="KL31" i="9"/>
  <c r="KK31" i="9"/>
  <c r="KJ31" i="9"/>
  <c r="KI31" i="9"/>
  <c r="KH31" i="9"/>
  <c r="KG31" i="9"/>
  <c r="KF31" i="9"/>
  <c r="KE31" i="9"/>
  <c r="KD31" i="9"/>
  <c r="KC31" i="9"/>
  <c r="KB31" i="9"/>
  <c r="KA31" i="9"/>
  <c r="JZ31" i="9"/>
  <c r="JY31" i="9"/>
  <c r="JX31" i="9"/>
  <c r="JW31" i="9"/>
  <c r="JV31" i="9"/>
  <c r="JU31" i="9"/>
  <c r="JT31" i="9"/>
  <c r="JS31" i="9"/>
  <c r="JR31" i="9"/>
  <c r="JQ31" i="9"/>
  <c r="JP31" i="9"/>
  <c r="JO31" i="9"/>
  <c r="JN31" i="9"/>
  <c r="JM31" i="9"/>
  <c r="JL31" i="9"/>
  <c r="JK31" i="9"/>
  <c r="JJ31" i="9"/>
  <c r="JI31" i="9"/>
  <c r="JH31" i="9"/>
  <c r="JG31" i="9"/>
  <c r="JF31" i="9"/>
  <c r="JE31" i="9"/>
  <c r="JD31" i="9"/>
  <c r="JC31" i="9"/>
  <c r="JB31" i="9"/>
  <c r="JA31" i="9"/>
  <c r="IZ31" i="9"/>
  <c r="IY31" i="9"/>
  <c r="IX31" i="9"/>
  <c r="IW31" i="9"/>
  <c r="IV31" i="9"/>
  <c r="IU31" i="9"/>
  <c r="IT31" i="9"/>
  <c r="IS31" i="9"/>
  <c r="IR31" i="9"/>
  <c r="IQ31" i="9"/>
  <c r="IP31" i="9"/>
  <c r="IO31" i="9"/>
  <c r="IN31" i="9"/>
  <c r="IM31" i="9"/>
  <c r="IL31" i="9"/>
  <c r="IK31" i="9"/>
  <c r="IJ31" i="9"/>
  <c r="II31" i="9"/>
  <c r="IH31" i="9"/>
  <c r="IG31" i="9"/>
  <c r="IF31" i="9"/>
  <c r="IE31" i="9"/>
  <c r="ID31" i="9"/>
  <c r="IC31" i="9"/>
  <c r="IB31" i="9"/>
  <c r="IA31" i="9"/>
  <c r="HZ31" i="9"/>
  <c r="HY31" i="9"/>
  <c r="HX31" i="9"/>
  <c r="HW31" i="9"/>
  <c r="HV31" i="9"/>
  <c r="HU31" i="9"/>
  <c r="HT31" i="9"/>
  <c r="HS31" i="9"/>
  <c r="HR31" i="9"/>
  <c r="HQ31" i="9"/>
  <c r="HP31" i="9"/>
  <c r="HO31" i="9"/>
  <c r="HN31" i="9"/>
  <c r="HM31" i="9"/>
  <c r="HL31" i="9"/>
  <c r="HK31" i="9"/>
  <c r="HJ31" i="9"/>
  <c r="HI31" i="9"/>
  <c r="HH31" i="9"/>
  <c r="HG31" i="9"/>
  <c r="HF31" i="9"/>
  <c r="HE31" i="9"/>
  <c r="HD31" i="9"/>
  <c r="HC31" i="9"/>
  <c r="HB31" i="9"/>
  <c r="HA31" i="9"/>
  <c r="GZ31" i="9"/>
  <c r="GY31" i="9"/>
  <c r="GX31" i="9"/>
  <c r="GW31" i="9"/>
  <c r="GV31" i="9"/>
  <c r="GU31" i="9"/>
  <c r="GT31" i="9"/>
  <c r="GS31" i="9"/>
  <c r="GR31" i="9"/>
  <c r="GQ31" i="9"/>
  <c r="GP31" i="9"/>
  <c r="GO31" i="9"/>
  <c r="GN31" i="9"/>
  <c r="GM31" i="9"/>
  <c r="GL31" i="9"/>
  <c r="GK31" i="9"/>
  <c r="GJ31" i="9"/>
  <c r="GI31" i="9"/>
  <c r="GH31" i="9"/>
  <c r="GG31" i="9"/>
  <c r="GF31" i="9"/>
  <c r="GE31" i="9"/>
  <c r="GD31" i="9"/>
  <c r="GC31" i="9"/>
  <c r="GB31" i="9"/>
  <c r="GA31" i="9"/>
  <c r="FZ31" i="9"/>
  <c r="FY31" i="9"/>
  <c r="FX31" i="9"/>
  <c r="FW31" i="9"/>
  <c r="FV31" i="9"/>
  <c r="FU31" i="9"/>
  <c r="FT31" i="9"/>
  <c r="FS31" i="9"/>
  <c r="FR31" i="9"/>
  <c r="FQ31" i="9"/>
  <c r="FP31" i="9"/>
  <c r="FO31" i="9"/>
  <c r="FN31" i="9"/>
  <c r="FM31" i="9"/>
  <c r="FL31" i="9"/>
  <c r="FK31" i="9"/>
  <c r="FJ31" i="9"/>
  <c r="FI31" i="9"/>
  <c r="FH31" i="9"/>
  <c r="FG31" i="9"/>
  <c r="FF31" i="9"/>
  <c r="FE31" i="9"/>
  <c r="FD31" i="9"/>
  <c r="FC31" i="9"/>
  <c r="FB31" i="9"/>
  <c r="FA31" i="9"/>
  <c r="EZ31" i="9"/>
  <c r="EY31" i="9"/>
  <c r="EX31" i="9"/>
  <c r="EW31" i="9"/>
  <c r="EV31" i="9"/>
  <c r="EU31" i="9"/>
  <c r="ET31" i="9"/>
  <c r="ES31" i="9"/>
  <c r="ER31" i="9"/>
  <c r="EQ31" i="9"/>
  <c r="EP31" i="9"/>
  <c r="EO31" i="9"/>
  <c r="EN31" i="9"/>
  <c r="EM31" i="9"/>
  <c r="EL31" i="9"/>
  <c r="EK31" i="9"/>
  <c r="EJ31" i="9"/>
  <c r="EI31" i="9"/>
  <c r="EH31" i="9"/>
  <c r="EG31" i="9"/>
  <c r="EF31" i="9"/>
  <c r="EE31" i="9"/>
  <c r="ED31" i="9"/>
  <c r="EC31" i="9"/>
  <c r="EB31" i="9"/>
  <c r="EA31" i="9"/>
  <c r="DZ31" i="9"/>
  <c r="DY31" i="9"/>
  <c r="DX31" i="9"/>
  <c r="DW31" i="9"/>
  <c r="DV31" i="9"/>
  <c r="DU31" i="9"/>
  <c r="DT31" i="9"/>
  <c r="DS31" i="9"/>
  <c r="DR31" i="9"/>
  <c r="DQ31" i="9"/>
  <c r="DP31" i="9"/>
  <c r="DO31" i="9"/>
  <c r="DN31" i="9"/>
  <c r="DM31" i="9"/>
  <c r="DL31" i="9"/>
  <c r="DK31" i="9"/>
  <c r="DJ31" i="9"/>
  <c r="DI31" i="9"/>
  <c r="DH31" i="9"/>
  <c r="DG31" i="9"/>
  <c r="DF31" i="9"/>
  <c r="DE31" i="9"/>
  <c r="DD31" i="9"/>
  <c r="DC31" i="9"/>
  <c r="DB31" i="9"/>
  <c r="DA31" i="9"/>
  <c r="CZ31" i="9"/>
  <c r="CY31" i="9"/>
  <c r="CX31" i="9"/>
  <c r="CW31" i="9"/>
  <c r="CV31" i="9"/>
  <c r="CU31" i="9"/>
  <c r="CT31" i="9"/>
  <c r="CS31" i="9"/>
  <c r="CR31" i="9"/>
  <c r="CQ31" i="9"/>
  <c r="CP31" i="9"/>
  <c r="CO31" i="9"/>
  <c r="CN31" i="9"/>
  <c r="CM31" i="9"/>
  <c r="CL31" i="9"/>
  <c r="CK31" i="9"/>
  <c r="CJ31" i="9"/>
  <c r="CI31" i="9"/>
  <c r="CH31" i="9"/>
  <c r="CG31" i="9"/>
  <c r="CF31" i="9"/>
  <c r="CE31" i="9"/>
  <c r="CD31" i="9"/>
  <c r="CC31" i="9"/>
  <c r="CB31" i="9"/>
  <c r="CA31" i="9"/>
  <c r="BZ31" i="9"/>
  <c r="BY31" i="9"/>
  <c r="BX31" i="9"/>
  <c r="BW31" i="9"/>
  <c r="BV31" i="9"/>
  <c r="BU31" i="9"/>
  <c r="BT31" i="9"/>
  <c r="BS31" i="9"/>
  <c r="BR31" i="9"/>
  <c r="BQ31" i="9"/>
  <c r="BP31" i="9"/>
  <c r="BO31" i="9"/>
  <c r="BN31" i="9"/>
  <c r="BM31" i="9"/>
  <c r="BL31" i="9"/>
  <c r="BK31" i="9"/>
  <c r="BJ31" i="9"/>
  <c r="BI31" i="9"/>
  <c r="BH31" i="9"/>
  <c r="BG31" i="9"/>
  <c r="BF31" i="9"/>
  <c r="BE31" i="9"/>
  <c r="BD31" i="9"/>
  <c r="BC31" i="9"/>
  <c r="BB31" i="9"/>
  <c r="BA31" i="9"/>
  <c r="AZ31" i="9"/>
  <c r="AY31" i="9"/>
  <c r="AX31" i="9"/>
  <c r="AW31" i="9"/>
  <c r="AV31" i="9"/>
  <c r="AU31" i="9"/>
  <c r="AT31" i="9"/>
  <c r="AS31" i="9"/>
  <c r="AR31" i="9"/>
  <c r="AQ31" i="9"/>
  <c r="AP31" i="9"/>
  <c r="AO31" i="9"/>
  <c r="AN31" i="9"/>
  <c r="AM31" i="9"/>
  <c r="AL31" i="9"/>
  <c r="AK31" i="9"/>
  <c r="AJ31" i="9"/>
  <c r="AI31" i="9"/>
  <c r="AH31" i="9"/>
  <c r="AG31" i="9"/>
  <c r="AF31"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D31" i="9"/>
  <c r="C31" i="9"/>
  <c r="B31" i="9"/>
  <c r="JE25" i="9"/>
  <c r="JD25" i="9"/>
  <c r="JC25" i="9"/>
  <c r="JB25" i="9"/>
  <c r="JA25" i="9"/>
  <c r="IZ25" i="9"/>
  <c r="JE24" i="9"/>
  <c r="JD24" i="9"/>
  <c r="JC24" i="9"/>
  <c r="JE22" i="9"/>
  <c r="JD22" i="9"/>
  <c r="JC22" i="9"/>
  <c r="JE16" i="9"/>
  <c r="JD16" i="9"/>
  <c r="JC16" i="9"/>
  <c r="F40" i="6"/>
  <c r="F41" i="6"/>
  <c r="F42" i="6"/>
  <c r="F43" i="6"/>
  <c r="F44" i="6"/>
  <c r="F45" i="6"/>
  <c r="F46" i="6"/>
  <c r="F47" i="6"/>
  <c r="F48" i="6"/>
  <c r="F49" i="6"/>
  <c r="F39" i="6"/>
  <c r="I27" i="5"/>
  <c r="J27" i="5"/>
  <c r="K27" i="5"/>
  <c r="L27" i="5"/>
  <c r="M27" i="5"/>
  <c r="I28" i="5"/>
  <c r="J28" i="5"/>
  <c r="K28" i="5"/>
  <c r="L28" i="5"/>
  <c r="M28" i="5"/>
  <c r="I29" i="5"/>
  <c r="J29" i="5"/>
  <c r="K29" i="5"/>
  <c r="L29" i="5"/>
  <c r="M29" i="5"/>
  <c r="I30" i="5"/>
  <c r="J30" i="5"/>
  <c r="K30" i="5"/>
  <c r="L30" i="5"/>
  <c r="M30" i="5"/>
  <c r="I31" i="5"/>
  <c r="J31" i="5"/>
  <c r="K31" i="5"/>
  <c r="L31" i="5"/>
  <c r="M31" i="5"/>
  <c r="I32" i="5"/>
  <c r="J32" i="5"/>
  <c r="K32" i="5"/>
  <c r="L32" i="5"/>
  <c r="M32" i="5"/>
  <c r="H28" i="5"/>
  <c r="H29" i="5"/>
  <c r="H30" i="5"/>
  <c r="H31" i="5"/>
  <c r="H32" i="5"/>
  <c r="H27" i="5"/>
  <c r="F265" i="3"/>
  <c r="G265" i="3"/>
  <c r="H265" i="3"/>
  <c r="I265" i="3"/>
  <c r="J265" i="3"/>
  <c r="E265" i="3"/>
  <c r="K262" i="3"/>
  <c r="K265" i="3"/>
  <c r="D10" i="8"/>
  <c r="D9" i="8"/>
  <c r="D8" i="8"/>
  <c r="D7" i="8"/>
  <c r="D6" i="8"/>
  <c r="D5" i="8"/>
  <c r="Y265" i="2"/>
  <c r="Y262" i="2"/>
  <c r="Y264" i="2"/>
  <c r="Y261" i="2"/>
  <c r="Y263" i="2"/>
  <c r="Y260" i="2"/>
  <c r="X265" i="2"/>
  <c r="X264" i="2"/>
  <c r="X263" i="2"/>
  <c r="V265" i="2"/>
  <c r="V264" i="2"/>
  <c r="V263" i="2"/>
  <c r="P265" i="2"/>
  <c r="P264" i="2"/>
  <c r="P263"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2" i="2"/>
  <c r="J31" i="6"/>
  <c r="M45" i="6"/>
  <c r="M44" i="6"/>
  <c r="M43" i="6"/>
  <c r="M42" i="6"/>
  <c r="M41" i="6"/>
  <c r="M40" i="6"/>
  <c r="M39" i="6"/>
  <c r="M38" i="6"/>
  <c r="M37" i="6"/>
  <c r="M36" i="6"/>
  <c r="M35" i="6"/>
  <c r="M34" i="6"/>
  <c r="L5" i="7"/>
  <c r="P3" i="7"/>
  <c r="L4" i="7"/>
  <c r="L6" i="7"/>
  <c r="L3" i="7"/>
  <c r="P6" i="7"/>
  <c r="P5" i="7"/>
  <c r="P4" i="7"/>
  <c r="E31" i="5"/>
  <c r="E30" i="5"/>
  <c r="E29" i="5"/>
  <c r="E27" i="5"/>
  <c r="E28" i="5"/>
  <c r="E32" i="5"/>
  <c r="G8193" i="10" l="1"/>
  <c r="G8113" i="10"/>
  <c r="G7900" i="10"/>
  <c r="G7766" i="10"/>
  <c r="G7286" i="10"/>
  <c r="G7260" i="10"/>
  <c r="G7206" i="10"/>
  <c r="G7073" i="10"/>
  <c r="G6897" i="10"/>
  <c r="G6777" i="10"/>
  <c r="G5364" i="10"/>
  <c r="G5337" i="10"/>
  <c r="G5230" i="10"/>
  <c r="G5204" i="10"/>
  <c r="G5150" i="10"/>
  <c r="G5124" i="10"/>
  <c r="G4964" i="10"/>
  <c r="G4937" i="10"/>
  <c r="G4244" i="10"/>
  <c r="G4217" i="10"/>
  <c r="G4137" i="10"/>
  <c r="G4030" i="10"/>
  <c r="G4004" i="10"/>
  <c r="G3710" i="10"/>
  <c r="G3684" i="10"/>
  <c r="G3577" i="10"/>
  <c r="G2404" i="10"/>
  <c r="G2377" i="10"/>
  <c r="G2324" i="10"/>
  <c r="G2030" i="10"/>
  <c r="G2004" i="10"/>
  <c r="G1844" i="10"/>
  <c r="G1817" i="10"/>
  <c r="G1710" i="10"/>
  <c r="G1684" i="10"/>
  <c r="G1604" i="10"/>
  <c r="G1577" i="10"/>
  <c r="G1524" i="10"/>
  <c r="G1497" i="10"/>
  <c r="G1444" i="10"/>
  <c r="G1284" i="10"/>
  <c r="G1150" i="10"/>
  <c r="G1044" i="10"/>
  <c r="G1017" i="10"/>
  <c r="G830" i="10"/>
  <c r="G697" i="10"/>
  <c r="G670" i="10"/>
  <c r="G510" i="10"/>
  <c r="G484" i="10"/>
  <c r="G457" i="10"/>
  <c r="G430" i="10"/>
  <c r="G404" i="10"/>
  <c r="G9778" i="10"/>
  <c r="G9686" i="10"/>
  <c r="G8140" i="10"/>
  <c r="G8086" i="10"/>
  <c r="G8006" i="10"/>
  <c r="G7980" i="10"/>
  <c r="G7740" i="10"/>
  <c r="G7660" i="10"/>
  <c r="G7580" i="10"/>
  <c r="G7553" i="10"/>
  <c r="G7526" i="10"/>
  <c r="G7473" i="10"/>
  <c r="G7393" i="10"/>
  <c r="G7313" i="10"/>
  <c r="G7233" i="10"/>
  <c r="G7126" i="10"/>
  <c r="G6912" i="10"/>
  <c r="G6697" i="10"/>
  <c r="G5257" i="10"/>
  <c r="G5177" i="10"/>
  <c r="G5097" i="10"/>
  <c r="G5017" i="10"/>
  <c r="G4857" i="10"/>
  <c r="G4670" i="10"/>
  <c r="G4617" i="10"/>
  <c r="G4590" i="10"/>
  <c r="G4564" i="10"/>
  <c r="G4484" i="10"/>
  <c r="G4430" i="10"/>
  <c r="G4404" i="10"/>
  <c r="G3737" i="10"/>
  <c r="G3657" i="10"/>
  <c r="G3630" i="10"/>
  <c r="G3470" i="10"/>
  <c r="G2590" i="10"/>
  <c r="G2537" i="10"/>
  <c r="G2297" i="10"/>
  <c r="G2137" i="10"/>
  <c r="G2084" i="10"/>
  <c r="G1657" i="10"/>
  <c r="G1630" i="10"/>
  <c r="G1470" i="10"/>
  <c r="G1390" i="10"/>
  <c r="G1310" i="10"/>
  <c r="G1230" i="10"/>
  <c r="G1097" i="10"/>
  <c r="G937" i="10"/>
  <c r="G884" i="10"/>
  <c r="G750" i="10"/>
  <c r="G724" i="10"/>
  <c r="G350" i="10"/>
  <c r="G244" i="10"/>
  <c r="G164" i="10"/>
  <c r="G110" i="10"/>
  <c r="G9606" i="10"/>
  <c r="G9526" i="10"/>
  <c r="G9500" i="10"/>
  <c r="G9473" i="10"/>
  <c r="G9446" i="10"/>
  <c r="G9420" i="10"/>
  <c r="G9393" i="10"/>
  <c r="G9366" i="10"/>
  <c r="G9340" i="10"/>
  <c r="G9313" i="10"/>
  <c r="G9286" i="10"/>
  <c r="G9260" i="10"/>
  <c r="G9233" i="10"/>
  <c r="G9206" i="10"/>
  <c r="G9180" i="10"/>
  <c r="G9153" i="10"/>
  <c r="G9126" i="10"/>
  <c r="G9100" i="10"/>
  <c r="G9073" i="10"/>
  <c r="G9046" i="10"/>
  <c r="G9020" i="10"/>
  <c r="G8993" i="10"/>
  <c r="G8966" i="10"/>
  <c r="G8940" i="10"/>
  <c r="G8913" i="10"/>
  <c r="G8886" i="10"/>
  <c r="G8860" i="10"/>
  <c r="G8833" i="10"/>
  <c r="G8806" i="10"/>
  <c r="G8780" i="10"/>
  <c r="G8753" i="10"/>
  <c r="G8726" i="10"/>
  <c r="G8700" i="10"/>
  <c r="G8673" i="10"/>
  <c r="G8646" i="10"/>
  <c r="G8620" i="10"/>
  <c r="G8593" i="10"/>
  <c r="G8566" i="10"/>
  <c r="G8540" i="10"/>
  <c r="G8513" i="10"/>
  <c r="G8486" i="10"/>
  <c r="G8460" i="10"/>
  <c r="G8433" i="10"/>
  <c r="G8406" i="10"/>
  <c r="G8380" i="10"/>
  <c r="G8353" i="10"/>
  <c r="G8326" i="10"/>
  <c r="G8300" i="10"/>
  <c r="G8273" i="10"/>
  <c r="G8246" i="10"/>
  <c r="G9752" i="10"/>
  <c r="G9660" i="10"/>
  <c r="G9580" i="10"/>
  <c r="G8060" i="10"/>
  <c r="G7606" i="10"/>
  <c r="G7446" i="10"/>
  <c r="G7420" i="10"/>
  <c r="G7340" i="10"/>
  <c r="G7100" i="10"/>
  <c r="G7046" i="10"/>
  <c r="G6940" i="10"/>
  <c r="G6857" i="10"/>
  <c r="G6670" i="10"/>
  <c r="G6644" i="10"/>
  <c r="G6617" i="10"/>
  <c r="G6590" i="10"/>
  <c r="G6564" i="10"/>
  <c r="G6537" i="10"/>
  <c r="G6510" i="10"/>
  <c r="G6484" i="10"/>
  <c r="G6457" i="10"/>
  <c r="G6430" i="10"/>
  <c r="G6404" i="10"/>
  <c r="G6377" i="10"/>
  <c r="G6350" i="10"/>
  <c r="G6324" i="10"/>
  <c r="G6297" i="10"/>
  <c r="G6270" i="10"/>
  <c r="G6244" i="10"/>
  <c r="G6217" i="10"/>
  <c r="G6190" i="10"/>
  <c r="G6164" i="10"/>
  <c r="G6137" i="10"/>
  <c r="G6110" i="10"/>
  <c r="G6084" i="10"/>
  <c r="G6057" i="10"/>
  <c r="G6030" i="10"/>
  <c r="G6004" i="10"/>
  <c r="G5977" i="10"/>
  <c r="G5950" i="10"/>
  <c r="G5924" i="10"/>
  <c r="G5897" i="10"/>
  <c r="G5870" i="10"/>
  <c r="G5844" i="10"/>
  <c r="G5817" i="10"/>
  <c r="G5790" i="10"/>
  <c r="G5764" i="10"/>
  <c r="G5737" i="10"/>
  <c r="G5710" i="10"/>
  <c r="G5684" i="10"/>
  <c r="G5657" i="10"/>
  <c r="G5630" i="10"/>
  <c r="G5604" i="10"/>
  <c r="G5577" i="10"/>
  <c r="G5550" i="10"/>
  <c r="G5524" i="10"/>
  <c r="G5497" i="10"/>
  <c r="G5470" i="10"/>
  <c r="G5444" i="10"/>
  <c r="G3364" i="10"/>
  <c r="G3284" i="10"/>
  <c r="G3257" i="10"/>
  <c r="G3230" i="10"/>
  <c r="G3204" i="10"/>
  <c r="G3177" i="10"/>
  <c r="G3150" i="10"/>
  <c r="G3124" i="10"/>
  <c r="G3097" i="10"/>
  <c r="G3070" i="10"/>
  <c r="G3044" i="10"/>
  <c r="G3017" i="10"/>
  <c r="G2990" i="10"/>
  <c r="G2964" i="10"/>
  <c r="G2937" i="10"/>
  <c r="G2910" i="10"/>
  <c r="G2884" i="10"/>
  <c r="G2857" i="10"/>
  <c r="G2830" i="10"/>
  <c r="G2804" i="10"/>
  <c r="G2777" i="10"/>
  <c r="G2750" i="10"/>
  <c r="G2724" i="10"/>
  <c r="G2697" i="10"/>
  <c r="G2670" i="10"/>
  <c r="G9553" i="10"/>
  <c r="G8166" i="10"/>
  <c r="G7793" i="10"/>
  <c r="G7713" i="10"/>
  <c r="G7686" i="10"/>
  <c r="G7020" i="10"/>
  <c r="G6830" i="10"/>
  <c r="G6804" i="10"/>
  <c r="G5310" i="10"/>
  <c r="G5070" i="10"/>
  <c r="G5044" i="10"/>
  <c r="G4990" i="10"/>
  <c r="G4910" i="10"/>
  <c r="G4884" i="10"/>
  <c r="G4830" i="10"/>
  <c r="G4750" i="10"/>
  <c r="G4697" i="10"/>
  <c r="G4644" i="10"/>
  <c r="G4537" i="10"/>
  <c r="G4510" i="10"/>
  <c r="G4164" i="10"/>
  <c r="G4110" i="10"/>
  <c r="G3977" i="10"/>
  <c r="G3897" i="10"/>
  <c r="G3817" i="10"/>
  <c r="G3790" i="10"/>
  <c r="G3390" i="10"/>
  <c r="G2510" i="10"/>
  <c r="G2484" i="10"/>
  <c r="G2457" i="10"/>
  <c r="G2270" i="10"/>
  <c r="G2244" i="10"/>
  <c r="G2217" i="10"/>
  <c r="G617" i="10"/>
  <c r="G324" i="10"/>
  <c r="G297" i="10"/>
  <c r="G270" i="10"/>
  <c r="G190" i="10"/>
  <c r="B4" i="11"/>
  <c r="G9765" i="10"/>
  <c r="G9713" i="10"/>
  <c r="G9633" i="10"/>
  <c r="G8033" i="10"/>
  <c r="G7953" i="10"/>
  <c r="G7926" i="10"/>
  <c r="G7846" i="10"/>
  <c r="G7633" i="10"/>
  <c r="G7180" i="10"/>
  <c r="G7153" i="10"/>
  <c r="G6724" i="10"/>
  <c r="G5390" i="10"/>
  <c r="G5284" i="10"/>
  <c r="G4804" i="10"/>
  <c r="G4724" i="10"/>
  <c r="G4377" i="10"/>
  <c r="G4350" i="10"/>
  <c r="G4297" i="10"/>
  <c r="G4190" i="10"/>
  <c r="G4084" i="10"/>
  <c r="G3950" i="10"/>
  <c r="G3870" i="10"/>
  <c r="G3764" i="10"/>
  <c r="G3550" i="10"/>
  <c r="G3444" i="10"/>
  <c r="G3337" i="10"/>
  <c r="G3310" i="10"/>
  <c r="G2564" i="10"/>
  <c r="G2430" i="10"/>
  <c r="G2190" i="10"/>
  <c r="G2164" i="10"/>
  <c r="G2110" i="10"/>
  <c r="G2057" i="10"/>
  <c r="G1977" i="10"/>
  <c r="G1737" i="10"/>
  <c r="G1337" i="10"/>
  <c r="G1257" i="10"/>
  <c r="G1177" i="10"/>
  <c r="G990" i="10"/>
  <c r="G857" i="10"/>
  <c r="G777" i="10"/>
  <c r="G590" i="10"/>
  <c r="G564" i="10"/>
  <c r="G377" i="10"/>
  <c r="G217" i="10"/>
  <c r="G84" i="10"/>
  <c r="G4" i="10"/>
  <c r="G8220" i="10"/>
  <c r="G7873" i="10"/>
  <c r="G7820" i="10"/>
  <c r="G7500" i="10"/>
  <c r="G7366" i="10"/>
  <c r="G6993" i="10"/>
  <c r="G6966" i="10"/>
  <c r="G6883" i="10"/>
  <c r="G6750" i="10"/>
  <c r="G5417" i="10"/>
  <c r="G4777" i="10"/>
  <c r="G4457" i="10"/>
  <c r="G4324" i="10"/>
  <c r="G4270" i="10"/>
  <c r="G4057" i="10"/>
  <c r="G3924" i="10"/>
  <c r="G3844" i="10"/>
  <c r="G3604" i="10"/>
  <c r="G3524" i="10"/>
  <c r="G3497" i="10"/>
  <c r="G3417" i="10"/>
  <c r="G2644" i="10"/>
  <c r="G2617" i="10"/>
  <c r="G2350" i="10"/>
  <c r="G1950" i="10"/>
  <c r="G1924" i="10"/>
  <c r="G1897" i="10"/>
  <c r="G1870" i="10"/>
  <c r="G1790" i="10"/>
  <c r="G1764" i="10"/>
  <c r="G1550" i="10"/>
  <c r="G1417" i="10"/>
  <c r="G1364" i="10"/>
  <c r="G1204" i="10"/>
  <c r="G1124" i="10"/>
  <c r="G1070" i="10"/>
  <c r="G964" i="10"/>
  <c r="G910" i="10"/>
  <c r="G644" i="10"/>
  <c r="G537" i="10"/>
  <c r="G137" i="10"/>
  <c r="G57" i="10"/>
  <c r="G30" i="10"/>
  <c r="G9674" i="10"/>
  <c r="G8074" i="10"/>
  <c r="G7887" i="10"/>
  <c r="G7834" i="10"/>
  <c r="G7727" i="10"/>
  <c r="G7327" i="10"/>
  <c r="G6764" i="10"/>
  <c r="G5431" i="10"/>
  <c r="G5218" i="10"/>
  <c r="G5084" i="10"/>
  <c r="G5004" i="10"/>
  <c r="G4898" i="10"/>
  <c r="G4658" i="10"/>
  <c r="G4631" i="10"/>
  <c r="G4498" i="10"/>
  <c r="G4471" i="10"/>
  <c r="G4391" i="10"/>
  <c r="G4338" i="10"/>
  <c r="G4044" i="10"/>
  <c r="G4018" i="10"/>
  <c r="G3938" i="10"/>
  <c r="G3564" i="10"/>
  <c r="G3538" i="10"/>
  <c r="G3378" i="10"/>
  <c r="G2471" i="10"/>
  <c r="G2258" i="10"/>
  <c r="G2178" i="10"/>
  <c r="G2124" i="10"/>
  <c r="G1218" i="10"/>
  <c r="G1164" i="10"/>
  <c r="G1058" i="10"/>
  <c r="G1004" i="10"/>
  <c r="G951" i="10"/>
  <c r="G791" i="10"/>
  <c r="G764" i="10"/>
  <c r="G604" i="10"/>
  <c r="G578" i="10"/>
  <c r="G471" i="10"/>
  <c r="G444" i="10"/>
  <c r="G364" i="10"/>
  <c r="G8154" i="10"/>
  <c r="G8020" i="10"/>
  <c r="G7860" i="10"/>
  <c r="G7620" i="10"/>
  <c r="G7514" i="10"/>
  <c r="G7407" i="10"/>
  <c r="G7300" i="10"/>
  <c r="G7274" i="10"/>
  <c r="G7167" i="10"/>
  <c r="G7114" i="10"/>
  <c r="G7087" i="10"/>
  <c r="G6791" i="10"/>
  <c r="G6738" i="10"/>
  <c r="G5324" i="10"/>
  <c r="G5191" i="10"/>
  <c r="G4951" i="10"/>
  <c r="G4684" i="10"/>
  <c r="G4524" i="10"/>
  <c r="G4231" i="10"/>
  <c r="G3991" i="10"/>
  <c r="G3964" i="10"/>
  <c r="G3858" i="10"/>
  <c r="G3804" i="10"/>
  <c r="G3724" i="10"/>
  <c r="G3458" i="10"/>
  <c r="G2658" i="10"/>
  <c r="G2631" i="10"/>
  <c r="G2204" i="10"/>
  <c r="G2151" i="10"/>
  <c r="G1858" i="10"/>
  <c r="G1831" i="10"/>
  <c r="G1698" i="10"/>
  <c r="G1591" i="10"/>
  <c r="G1564" i="10"/>
  <c r="G1431" i="10"/>
  <c r="G1404" i="10"/>
  <c r="G1351" i="10"/>
  <c r="G1271" i="10"/>
  <c r="G978" i="10"/>
  <c r="G871" i="10"/>
  <c r="G498" i="10"/>
  <c r="G338" i="10"/>
  <c r="G258" i="10"/>
  <c r="G178" i="10"/>
  <c r="G151" i="10"/>
  <c r="G44" i="10"/>
  <c r="G9727" i="10"/>
  <c r="G9700" i="10"/>
  <c r="G9594" i="10"/>
  <c r="G8047" i="10"/>
  <c r="G7967" i="10"/>
  <c r="G7754" i="10"/>
  <c r="G7220" i="10"/>
  <c r="G7140" i="10"/>
  <c r="G7034" i="10"/>
  <c r="G6980" i="10"/>
  <c r="G6954" i="10"/>
  <c r="G6844" i="10"/>
  <c r="G6818" i="10"/>
  <c r="G6711" i="10"/>
  <c r="G6684" i="10"/>
  <c r="G5244" i="10"/>
  <c r="G5138" i="10"/>
  <c r="G4604" i="10"/>
  <c r="G4444" i="10"/>
  <c r="G4178" i="10"/>
  <c r="G4151" i="10"/>
  <c r="G4124" i="10"/>
  <c r="G4071" i="10"/>
  <c r="G3911" i="10"/>
  <c r="G3751" i="10"/>
  <c r="G3698" i="10"/>
  <c r="G3671" i="10"/>
  <c r="G2418" i="10"/>
  <c r="G2098" i="10"/>
  <c r="G2071" i="10"/>
  <c r="G1991" i="10"/>
  <c r="G1911" i="10"/>
  <c r="G1751" i="10"/>
  <c r="G1671" i="10"/>
  <c r="G1618" i="10"/>
  <c r="G1538" i="10"/>
  <c r="G1511" i="10"/>
  <c r="G1484" i="10"/>
  <c r="G1458" i="10"/>
  <c r="G1324" i="10"/>
  <c r="G1191" i="10"/>
  <c r="G1111" i="10"/>
  <c r="G1031" i="10"/>
  <c r="G924" i="10"/>
  <c r="G738" i="10"/>
  <c r="G524" i="10"/>
  <c r="G391" i="10"/>
  <c r="G18" i="10"/>
  <c r="G9620" i="10"/>
  <c r="G8207" i="10"/>
  <c r="G8127" i="10"/>
  <c r="G7940" i="10"/>
  <c r="G7647" i="10"/>
  <c r="G7594" i="10"/>
  <c r="G7487" i="10"/>
  <c r="G7460" i="10"/>
  <c r="G7380" i="10"/>
  <c r="G7354" i="10"/>
  <c r="G7007" i="10"/>
  <c r="G6871" i="10"/>
  <c r="G5404" i="10"/>
  <c r="G5351" i="10"/>
  <c r="G4924" i="10"/>
  <c r="G4871" i="10"/>
  <c r="G4844" i="10"/>
  <c r="G4711" i="10"/>
  <c r="G4578" i="10"/>
  <c r="G4551" i="10"/>
  <c r="G4258" i="10"/>
  <c r="G4204" i="10"/>
  <c r="G3778" i="10"/>
  <c r="G3644" i="10"/>
  <c r="G3591" i="10"/>
  <c r="G3431" i="10"/>
  <c r="G3404" i="10"/>
  <c r="G2604" i="10"/>
  <c r="G2444" i="10"/>
  <c r="G2391" i="10"/>
  <c r="G2338" i="10"/>
  <c r="G2311" i="10"/>
  <c r="G2284" i="10"/>
  <c r="G2231" i="10"/>
  <c r="G2044" i="10"/>
  <c r="G2018" i="10"/>
  <c r="G1938" i="10"/>
  <c r="G1804" i="10"/>
  <c r="G1724" i="10"/>
  <c r="G1644" i="10"/>
  <c r="G1378" i="10"/>
  <c r="G1298" i="10"/>
  <c r="G1244" i="10"/>
  <c r="G1138" i="10"/>
  <c r="G1084" i="10"/>
  <c r="G898" i="10"/>
  <c r="G844" i="10"/>
  <c r="G231" i="10"/>
  <c r="G204" i="10"/>
  <c r="G98" i="10"/>
  <c r="G9740" i="10"/>
  <c r="G9567" i="10"/>
  <c r="G9540" i="10"/>
  <c r="G9514" i="10"/>
  <c r="G9487" i="10"/>
  <c r="G9460" i="10"/>
  <c r="G9434" i="10"/>
  <c r="G9407" i="10"/>
  <c r="G9380" i="10"/>
  <c r="G9354" i="10"/>
  <c r="G9327" i="10"/>
  <c r="G9300" i="10"/>
  <c r="G9274" i="10"/>
  <c r="G9247" i="10"/>
  <c r="G9220" i="10"/>
  <c r="G9194" i="10"/>
  <c r="G9167" i="10"/>
  <c r="G9140" i="10"/>
  <c r="G9114" i="10"/>
  <c r="G9087" i="10"/>
  <c r="G9060" i="10"/>
  <c r="G9034" i="10"/>
  <c r="G9007" i="10"/>
  <c r="G8980" i="10"/>
  <c r="G8954" i="10"/>
  <c r="G8927" i="10"/>
  <c r="G8900" i="10"/>
  <c r="G8874" i="10"/>
  <c r="G8847" i="10"/>
  <c r="G8820" i="10"/>
  <c r="G8794" i="10"/>
  <c r="G8767" i="10"/>
  <c r="G8740" i="10"/>
  <c r="G8714" i="10"/>
  <c r="G8687" i="10"/>
  <c r="G8660" i="10"/>
  <c r="G8634" i="10"/>
  <c r="G8607" i="10"/>
  <c r="G8580" i="10"/>
  <c r="G8554" i="10"/>
  <c r="G8527" i="10"/>
  <c r="G8500" i="10"/>
  <c r="G8474" i="10"/>
  <c r="G8447" i="10"/>
  <c r="G8420" i="10"/>
  <c r="G8394" i="10"/>
  <c r="G8367" i="10"/>
  <c r="G8340" i="10"/>
  <c r="G8314" i="10"/>
  <c r="G8287" i="10"/>
  <c r="G8260" i="10"/>
  <c r="G8234" i="10"/>
  <c r="G9743" i="10"/>
  <c r="G8180" i="10"/>
  <c r="G7780" i="10"/>
  <c r="G7674" i="10"/>
  <c r="G7540" i="10"/>
  <c r="G7434" i="10"/>
  <c r="G7247" i="10"/>
  <c r="G7194" i="10"/>
  <c r="G6658" i="10"/>
  <c r="G6631" i="10"/>
  <c r="G6604" i="10"/>
  <c r="G6578" i="10"/>
  <c r="G6551" i="10"/>
  <c r="G6524" i="10"/>
  <c r="G6498" i="10"/>
  <c r="G6471" i="10"/>
  <c r="G6444" i="10"/>
  <c r="G6418" i="10"/>
  <c r="G6391" i="10"/>
  <c r="G6364" i="10"/>
  <c r="G6338" i="10"/>
  <c r="G6311" i="10"/>
  <c r="G6284" i="10"/>
  <c r="G6258" i="10"/>
  <c r="G6231" i="10"/>
  <c r="G6204" i="10"/>
  <c r="G6178" i="10"/>
  <c r="G6151" i="10"/>
  <c r="G6124" i="10"/>
  <c r="G6098" i="10"/>
  <c r="G6071" i="10"/>
  <c r="G6044" i="10"/>
  <c r="G6018" i="10"/>
  <c r="G5991" i="10"/>
  <c r="G5964" i="10"/>
  <c r="G5938" i="10"/>
  <c r="G5911" i="10"/>
  <c r="G5884" i="10"/>
  <c r="G5858" i="10"/>
  <c r="G5831" i="10"/>
  <c r="G5804" i="10"/>
  <c r="G5778" i="10"/>
  <c r="G5751" i="10"/>
  <c r="G5724" i="10"/>
  <c r="G5698" i="10"/>
  <c r="G5671" i="10"/>
  <c r="G5644" i="10"/>
  <c r="G5618" i="10"/>
  <c r="G5591" i="10"/>
  <c r="G5564" i="10"/>
  <c r="G5538" i="10"/>
  <c r="G5511" i="10"/>
  <c r="G5484" i="10"/>
  <c r="G5458" i="10"/>
  <c r="G3351" i="10"/>
  <c r="G3324" i="10"/>
  <c r="G3298" i="10"/>
  <c r="G3271" i="10"/>
  <c r="G3244" i="10"/>
  <c r="G3218" i="10"/>
  <c r="G3191" i="10"/>
  <c r="G3164" i="10"/>
  <c r="G3138" i="10"/>
  <c r="G3111" i="10"/>
  <c r="G3084" i="10"/>
  <c r="G3058" i="10"/>
  <c r="G3031" i="10"/>
  <c r="G3004" i="10"/>
  <c r="G2978" i="10"/>
  <c r="G2951" i="10"/>
  <c r="G2924" i="10"/>
  <c r="G2898" i="10"/>
  <c r="G2871" i="10"/>
  <c r="G2844" i="10"/>
  <c r="G2818" i="10"/>
  <c r="G2791" i="10"/>
  <c r="G2764" i="10"/>
  <c r="G2738" i="10"/>
  <c r="G2711" i="10"/>
  <c r="G2684" i="10"/>
  <c r="G9746" i="10"/>
  <c r="G9647" i="10"/>
  <c r="G8100" i="10"/>
  <c r="G7994" i="10"/>
  <c r="G7914" i="10"/>
  <c r="G7807" i="10"/>
  <c r="G7700" i="10"/>
  <c r="G7567" i="10"/>
  <c r="G7060" i="10"/>
  <c r="G5378" i="10"/>
  <c r="G5298" i="10"/>
  <c r="G5271" i="10"/>
  <c r="G5164" i="10"/>
  <c r="G5111" i="10"/>
  <c r="G5058" i="10"/>
  <c r="G5031" i="10"/>
  <c r="G4978" i="10"/>
  <c r="G4818" i="10"/>
  <c r="G4791" i="10"/>
  <c r="G4764" i="10"/>
  <c r="G4738" i="10"/>
  <c r="G4418" i="10"/>
  <c r="G4364" i="10"/>
  <c r="G4311" i="10"/>
  <c r="G4284" i="10"/>
  <c r="G4098" i="10"/>
  <c r="G3884" i="10"/>
  <c r="G3831" i="10"/>
  <c r="G3618" i="10"/>
  <c r="G3511" i="10"/>
  <c r="G3484" i="10"/>
  <c r="G2578" i="10"/>
  <c r="G2551" i="10"/>
  <c r="G2524" i="10"/>
  <c r="G2498" i="10"/>
  <c r="G2364" i="10"/>
  <c r="G1964" i="10"/>
  <c r="G1884" i="10"/>
  <c r="G1778" i="10"/>
  <c r="G711" i="10"/>
  <c r="G684" i="10"/>
  <c r="G658" i="10"/>
  <c r="G631" i="10"/>
  <c r="G551" i="10"/>
  <c r="G418" i="10"/>
  <c r="G311" i="10"/>
  <c r="G284" i="10"/>
  <c r="G124" i="10"/>
  <c r="G71" i="10"/>
  <c r="J32" i="6"/>
  <c r="G9661" i="10" l="1"/>
  <c r="G9607" i="10"/>
  <c r="G9554" i="10"/>
  <c r="G8221" i="10"/>
  <c r="G7901" i="10"/>
  <c r="G7874" i="10"/>
  <c r="G7741" i="10"/>
  <c r="G7527" i="10"/>
  <c r="G7341" i="10"/>
  <c r="G7287" i="10"/>
  <c r="G7261" i="10"/>
  <c r="G7207" i="10"/>
  <c r="G6778" i="10"/>
  <c r="G5365" i="10"/>
  <c r="G5258" i="10"/>
  <c r="G5205" i="10"/>
  <c r="G5178" i="10"/>
  <c r="G5151" i="10"/>
  <c r="G4991" i="10"/>
  <c r="G4938" i="10"/>
  <c r="G4778" i="10"/>
  <c r="G4458" i="10"/>
  <c r="G4431" i="10"/>
  <c r="G4031" i="10"/>
  <c r="G4005" i="10"/>
  <c r="G3978" i="10"/>
  <c r="G3818" i="10"/>
  <c r="G3391" i="10"/>
  <c r="G2458" i="10"/>
  <c r="G2325" i="10"/>
  <c r="G2271" i="10"/>
  <c r="G1871" i="10"/>
  <c r="G1845" i="10"/>
  <c r="G1205" i="10"/>
  <c r="G1151" i="10"/>
  <c r="G1098" i="10"/>
  <c r="G938" i="10"/>
  <c r="G725" i="10"/>
  <c r="G698" i="10"/>
  <c r="G538" i="10"/>
  <c r="G511" i="10"/>
  <c r="G431" i="10"/>
  <c r="G191" i="10"/>
  <c r="G111" i="10"/>
  <c r="G58" i="10"/>
  <c r="G8167" i="10"/>
  <c r="G7794" i="10"/>
  <c r="G7767" i="10"/>
  <c r="G7714" i="10"/>
  <c r="G7661" i="10"/>
  <c r="G7607" i="10"/>
  <c r="G7447" i="10"/>
  <c r="G7394" i="10"/>
  <c r="G7127" i="10"/>
  <c r="G7101" i="10"/>
  <c r="G6858" i="10"/>
  <c r="G6831" i="10"/>
  <c r="G5311" i="10"/>
  <c r="G5285" i="10"/>
  <c r="G4965" i="10"/>
  <c r="G4858" i="10"/>
  <c r="G4725" i="10"/>
  <c r="G4671" i="10"/>
  <c r="G4645" i="10"/>
  <c r="G4618" i="10"/>
  <c r="G4565" i="10"/>
  <c r="G4511" i="10"/>
  <c r="G4245" i="10"/>
  <c r="G4111" i="10"/>
  <c r="G3951" i="10"/>
  <c r="G3791" i="10"/>
  <c r="G3738" i="10"/>
  <c r="G3658" i="10"/>
  <c r="G3551" i="10"/>
  <c r="G3311" i="10"/>
  <c r="G2511" i="10"/>
  <c r="G2485" i="10"/>
  <c r="G2298" i="10"/>
  <c r="G2245" i="10"/>
  <c r="G2085" i="10"/>
  <c r="G2005" i="10"/>
  <c r="G1978" i="10"/>
  <c r="G1631" i="10"/>
  <c r="G1605" i="10"/>
  <c r="G1578" i="10"/>
  <c r="G1551" i="10"/>
  <c r="G1525" i="10"/>
  <c r="G1471" i="10"/>
  <c r="G1365" i="10"/>
  <c r="G1311" i="10"/>
  <c r="G1045" i="10"/>
  <c r="G991" i="10"/>
  <c r="G885" i="10"/>
  <c r="G751" i="10"/>
  <c r="G458" i="10"/>
  <c r="G378" i="10"/>
  <c r="G351" i="10"/>
  <c r="G271" i="10"/>
  <c r="G165" i="10"/>
  <c r="G8087" i="10"/>
  <c r="G7821" i="10"/>
  <c r="G7314" i="10"/>
  <c r="G7234" i="10"/>
  <c r="G7181" i="10"/>
  <c r="G7154" i="10"/>
  <c r="G7047" i="10"/>
  <c r="G7021" i="10"/>
  <c r="G6967" i="10"/>
  <c r="G6941" i="10"/>
  <c r="G6913" i="10"/>
  <c r="G6805" i="10"/>
  <c r="G5098" i="10"/>
  <c r="G5071" i="10"/>
  <c r="G5018" i="10"/>
  <c r="G4885" i="10"/>
  <c r="G4591" i="10"/>
  <c r="G4538" i="10"/>
  <c r="G4485" i="10"/>
  <c r="G4165" i="10"/>
  <c r="G2538" i="10"/>
  <c r="G2111" i="10"/>
  <c r="G1951" i="10"/>
  <c r="G1925" i="10"/>
  <c r="G1898" i="10"/>
  <c r="G1791" i="10"/>
  <c r="G1711" i="10"/>
  <c r="G1418" i="10"/>
  <c r="G1338" i="10"/>
  <c r="G1285" i="10"/>
  <c r="G1258" i="10"/>
  <c r="G1125" i="10"/>
  <c r="G858" i="10"/>
  <c r="G671" i="10"/>
  <c r="G645" i="10"/>
  <c r="G618" i="10"/>
  <c r="G591" i="10"/>
  <c r="G298" i="10"/>
  <c r="G5" i="10"/>
  <c r="G9766" i="10"/>
  <c r="G9753" i="10"/>
  <c r="G9714" i="10"/>
  <c r="G9634" i="10"/>
  <c r="G8061" i="10"/>
  <c r="G8034" i="10"/>
  <c r="G7954" i="10"/>
  <c r="G7927" i="10"/>
  <c r="G7847" i="10"/>
  <c r="G7687" i="10"/>
  <c r="G7501" i="10"/>
  <c r="G7421" i="10"/>
  <c r="G6994" i="10"/>
  <c r="G6898" i="10"/>
  <c r="G6884" i="10"/>
  <c r="G5418" i="10"/>
  <c r="G5231" i="10"/>
  <c r="G5045" i="10"/>
  <c r="G4911" i="10"/>
  <c r="G4805" i="10"/>
  <c r="G4698" i="10"/>
  <c r="G4378" i="10"/>
  <c r="G4325" i="10"/>
  <c r="G4298" i="10"/>
  <c r="G4271" i="10"/>
  <c r="G4138" i="10"/>
  <c r="G4085" i="10"/>
  <c r="G3898" i="10"/>
  <c r="G3871" i="10"/>
  <c r="G3845" i="10"/>
  <c r="G3685" i="10"/>
  <c r="G3525" i="10"/>
  <c r="G3498" i="10"/>
  <c r="G3365" i="10"/>
  <c r="G3338" i="10"/>
  <c r="G2565" i="10"/>
  <c r="G2431" i="10"/>
  <c r="G2351" i="10"/>
  <c r="G2218" i="10"/>
  <c r="G2058" i="10"/>
  <c r="G2031" i="10"/>
  <c r="G1738" i="10"/>
  <c r="G1685" i="10"/>
  <c r="G1658" i="10"/>
  <c r="G1498" i="10"/>
  <c r="G1445" i="10"/>
  <c r="G1391" i="10"/>
  <c r="G1231" i="10"/>
  <c r="G1178" i="10"/>
  <c r="G1071" i="10"/>
  <c r="G1018" i="10"/>
  <c r="G965" i="10"/>
  <c r="G831" i="10"/>
  <c r="G778" i="10"/>
  <c r="G325" i="10"/>
  <c r="G138" i="10"/>
  <c r="G31" i="10"/>
  <c r="G9527" i="10"/>
  <c r="G9501" i="10"/>
  <c r="G9474" i="10"/>
  <c r="G9447" i="10"/>
  <c r="G9421" i="10"/>
  <c r="G9394" i="10"/>
  <c r="G9367" i="10"/>
  <c r="G9341" i="10"/>
  <c r="G9314" i="10"/>
  <c r="G9287" i="10"/>
  <c r="G9261" i="10"/>
  <c r="G9234" i="10"/>
  <c r="G9207" i="10"/>
  <c r="G9181" i="10"/>
  <c r="G9154" i="10"/>
  <c r="G9127" i="10"/>
  <c r="G9101" i="10"/>
  <c r="G9074" i="10"/>
  <c r="G9047" i="10"/>
  <c r="G9021" i="10"/>
  <c r="G8994" i="10"/>
  <c r="G8967" i="10"/>
  <c r="G8941" i="10"/>
  <c r="G8914" i="10"/>
  <c r="G8887" i="10"/>
  <c r="G8861" i="10"/>
  <c r="G8834" i="10"/>
  <c r="G8807" i="10"/>
  <c r="G8781" i="10"/>
  <c r="G8754" i="10"/>
  <c r="G8727" i="10"/>
  <c r="G8701" i="10"/>
  <c r="G8674" i="10"/>
  <c r="G8647" i="10"/>
  <c r="G8621" i="10"/>
  <c r="G8594" i="10"/>
  <c r="G8567" i="10"/>
  <c r="G8541" i="10"/>
  <c r="G8514" i="10"/>
  <c r="G8487" i="10"/>
  <c r="G8461" i="10"/>
  <c r="G8434" i="10"/>
  <c r="G8407" i="10"/>
  <c r="G8381" i="10"/>
  <c r="G8354" i="10"/>
  <c r="G8327" i="10"/>
  <c r="G8301" i="10"/>
  <c r="G8274" i="10"/>
  <c r="G8247" i="10"/>
  <c r="B5" i="11"/>
  <c r="G8141" i="10"/>
  <c r="G8114" i="10"/>
  <c r="G7981" i="10"/>
  <c r="G7554" i="10"/>
  <c r="G6751" i="10"/>
  <c r="G6725" i="10"/>
  <c r="G6698" i="10"/>
  <c r="G6671" i="10"/>
  <c r="G6645" i="10"/>
  <c r="G6618" i="10"/>
  <c r="G6591" i="10"/>
  <c r="G6565" i="10"/>
  <c r="G6538" i="10"/>
  <c r="G6511" i="10"/>
  <c r="G6485" i="10"/>
  <c r="G6458" i="10"/>
  <c r="G6431" i="10"/>
  <c r="G6405" i="10"/>
  <c r="G6378" i="10"/>
  <c r="G6351" i="10"/>
  <c r="G6325" i="10"/>
  <c r="G6298" i="10"/>
  <c r="G6271" i="10"/>
  <c r="G6245" i="10"/>
  <c r="G6218" i="10"/>
  <c r="G6191" i="10"/>
  <c r="G6165" i="10"/>
  <c r="G6138" i="10"/>
  <c r="G6111" i="10"/>
  <c r="G6085" i="10"/>
  <c r="G6058" i="10"/>
  <c r="G6031" i="10"/>
  <c r="G6005" i="10"/>
  <c r="G5978" i="10"/>
  <c r="G5951" i="10"/>
  <c r="G5925" i="10"/>
  <c r="G5898" i="10"/>
  <c r="G5871" i="10"/>
  <c r="G5845" i="10"/>
  <c r="G5818" i="10"/>
  <c r="G5791" i="10"/>
  <c r="G5765" i="10"/>
  <c r="G5738" i="10"/>
  <c r="G5711" i="10"/>
  <c r="G5685" i="10"/>
  <c r="G5658" i="10"/>
  <c r="G5631" i="10"/>
  <c r="G5605" i="10"/>
  <c r="G5578" i="10"/>
  <c r="G5551" i="10"/>
  <c r="G5525" i="10"/>
  <c r="G5498" i="10"/>
  <c r="G5471" i="10"/>
  <c r="G5445" i="10"/>
  <c r="G3285" i="10"/>
  <c r="G3258" i="10"/>
  <c r="G3231" i="10"/>
  <c r="G3205" i="10"/>
  <c r="G3178" i="10"/>
  <c r="G3151" i="10"/>
  <c r="G3125" i="10"/>
  <c r="G3098" i="10"/>
  <c r="G3071" i="10"/>
  <c r="G3045" i="10"/>
  <c r="G3018" i="10"/>
  <c r="G2991" i="10"/>
  <c r="G2965" i="10"/>
  <c r="G2938" i="10"/>
  <c r="G2911" i="10"/>
  <c r="G2885" i="10"/>
  <c r="G2858" i="10"/>
  <c r="G2831" i="10"/>
  <c r="G2805" i="10"/>
  <c r="G2778" i="10"/>
  <c r="G2751" i="10"/>
  <c r="G2725" i="10"/>
  <c r="G2698" i="10"/>
  <c r="G2671" i="10"/>
  <c r="G9779" i="10"/>
  <c r="G9687" i="10"/>
  <c r="G9581" i="10"/>
  <c r="G8194" i="10"/>
  <c r="G8007" i="10"/>
  <c r="G7634" i="10"/>
  <c r="G7581" i="10"/>
  <c r="G7474" i="10"/>
  <c r="G7367" i="10"/>
  <c r="G7074" i="10"/>
  <c r="G5391" i="10"/>
  <c r="G5338" i="10"/>
  <c r="G5125" i="10"/>
  <c r="G4831" i="10"/>
  <c r="G4751" i="10"/>
  <c r="G4405" i="10"/>
  <c r="G4351" i="10"/>
  <c r="G4218" i="10"/>
  <c r="G4191" i="10"/>
  <c r="G4058" i="10"/>
  <c r="G3925" i="10"/>
  <c r="G3765" i="10"/>
  <c r="G3711" i="10"/>
  <c r="G3631" i="10"/>
  <c r="G3605" i="10"/>
  <c r="G3578" i="10"/>
  <c r="G3471" i="10"/>
  <c r="G3445" i="10"/>
  <c r="G3418" i="10"/>
  <c r="G2645" i="10"/>
  <c r="G2618" i="10"/>
  <c r="G2591" i="10"/>
  <c r="G2405" i="10"/>
  <c r="G2378" i="10"/>
  <c r="G2191" i="10"/>
  <c r="G2165" i="10"/>
  <c r="G2138" i="10"/>
  <c r="G1818" i="10"/>
  <c r="G1765" i="10"/>
  <c r="G911" i="10"/>
  <c r="G565" i="10"/>
  <c r="G485" i="10"/>
  <c r="G405" i="10"/>
  <c r="G245" i="10"/>
  <c r="G218" i="10"/>
  <c r="G85" i="10"/>
  <c r="G9780" i="10" l="1"/>
  <c r="G9555" i="10"/>
  <c r="G8222" i="10"/>
  <c r="G8008" i="10"/>
  <c r="G7875" i="10"/>
  <c r="G7742" i="10"/>
  <c r="G7688" i="10"/>
  <c r="G7395" i="10"/>
  <c r="G7022" i="10"/>
  <c r="G6995" i="10"/>
  <c r="G6899" i="10"/>
  <c r="G6672" i="10"/>
  <c r="G6646" i="10"/>
  <c r="G6619" i="10"/>
  <c r="G6592" i="10"/>
  <c r="G6566" i="10"/>
  <c r="G6539" i="10"/>
  <c r="G6512" i="10"/>
  <c r="G6486" i="10"/>
  <c r="G6459" i="10"/>
  <c r="G6432" i="10"/>
  <c r="G6406" i="10"/>
  <c r="G6379" i="10"/>
  <c r="G6352" i="10"/>
  <c r="G6326" i="10"/>
  <c r="G6299" i="10"/>
  <c r="G6272" i="10"/>
  <c r="G6246" i="10"/>
  <c r="G6219" i="10"/>
  <c r="G6192" i="10"/>
  <c r="G6166" i="10"/>
  <c r="G6139" i="10"/>
  <c r="G6112" i="10"/>
  <c r="G6086" i="10"/>
  <c r="G6059" i="10"/>
  <c r="G6032" i="10"/>
  <c r="G6006" i="10"/>
  <c r="G5979" i="10"/>
  <c r="G5952" i="10"/>
  <c r="G5926" i="10"/>
  <c r="G5899" i="10"/>
  <c r="G5872" i="10"/>
  <c r="G5846" i="10"/>
  <c r="G5819" i="10"/>
  <c r="G5792" i="10"/>
  <c r="G5766" i="10"/>
  <c r="G5739" i="10"/>
  <c r="G5712" i="10"/>
  <c r="G5686" i="10"/>
  <c r="G5659" i="10"/>
  <c r="G5632" i="10"/>
  <c r="G5606" i="10"/>
  <c r="G5579" i="10"/>
  <c r="G5552" i="10"/>
  <c r="G5526" i="10"/>
  <c r="G5499" i="10"/>
  <c r="G5472" i="10"/>
  <c r="G5446" i="10"/>
  <c r="G3339" i="10"/>
  <c r="G3312" i="10"/>
  <c r="G3286" i="10"/>
  <c r="G3259" i="10"/>
  <c r="G3232" i="10"/>
  <c r="G3206" i="10"/>
  <c r="G3179" i="10"/>
  <c r="G3152" i="10"/>
  <c r="G3126" i="10"/>
  <c r="G3099" i="10"/>
  <c r="G3072" i="10"/>
  <c r="G3046" i="10"/>
  <c r="G3019" i="10"/>
  <c r="G2992" i="10"/>
  <c r="G2966" i="10"/>
  <c r="G2939" i="10"/>
  <c r="G2912" i="10"/>
  <c r="G2886" i="10"/>
  <c r="G2859" i="10"/>
  <c r="G2832" i="10"/>
  <c r="G2806" i="10"/>
  <c r="G2779" i="10"/>
  <c r="G2752" i="10"/>
  <c r="G2726" i="10"/>
  <c r="G2699" i="10"/>
  <c r="G2672" i="10"/>
  <c r="G9635" i="10"/>
  <c r="G8142" i="10"/>
  <c r="G8115" i="10"/>
  <c r="G8062" i="10"/>
  <c r="G7848" i="10"/>
  <c r="G7822" i="10"/>
  <c r="G7662" i="10"/>
  <c r="G7608" i="10"/>
  <c r="G7528" i="10"/>
  <c r="G7502" i="10"/>
  <c r="G7422" i="10"/>
  <c r="G6968" i="10"/>
  <c r="G6914" i="10"/>
  <c r="G6885" i="10"/>
  <c r="G6859" i="10"/>
  <c r="G5312" i="10"/>
  <c r="G5286" i="10"/>
  <c r="G5099" i="10"/>
  <c r="G5019" i="10"/>
  <c r="G4832" i="10"/>
  <c r="G4806" i="10"/>
  <c r="G4752" i="10"/>
  <c r="G4726" i="10"/>
  <c r="G4646" i="10"/>
  <c r="G4619" i="10"/>
  <c r="G4459" i="10"/>
  <c r="G4272" i="10"/>
  <c r="G4086" i="10"/>
  <c r="G3952" i="10"/>
  <c r="G3872" i="10"/>
  <c r="G3792" i="10"/>
  <c r="G3686" i="10"/>
  <c r="G3552" i="10"/>
  <c r="G3499" i="10"/>
  <c r="G3472" i="10"/>
  <c r="G2592" i="10"/>
  <c r="G2566" i="10"/>
  <c r="G2512" i="10"/>
  <c r="G2486" i="10"/>
  <c r="G2432" i="10"/>
  <c r="G2246" i="10"/>
  <c r="G2112" i="10"/>
  <c r="G1979" i="10"/>
  <c r="G1952" i="10"/>
  <c r="G1926" i="10"/>
  <c r="G1899" i="10"/>
  <c r="G1739" i="10"/>
  <c r="G966" i="10"/>
  <c r="G939" i="10"/>
  <c r="G752" i="10"/>
  <c r="G699" i="10"/>
  <c r="G619" i="10"/>
  <c r="G566" i="10"/>
  <c r="G459" i="10"/>
  <c r="G352" i="10"/>
  <c r="G272" i="10"/>
  <c r="G246" i="10"/>
  <c r="G219" i="10"/>
  <c r="G166" i="10"/>
  <c r="G112" i="10"/>
  <c r="G6" i="10"/>
  <c r="G9754" i="10"/>
  <c r="G9688" i="10"/>
  <c r="G8168" i="10"/>
  <c r="G7955" i="10"/>
  <c r="G7795" i="10"/>
  <c r="G7768" i="10"/>
  <c r="G7555" i="10"/>
  <c r="G7448" i="10"/>
  <c r="G7235" i="10"/>
  <c r="G7128" i="10"/>
  <c r="G6832" i="10"/>
  <c r="G6752" i="10"/>
  <c r="G5339" i="10"/>
  <c r="G5072" i="10"/>
  <c r="G4966" i="10"/>
  <c r="G4912" i="10"/>
  <c r="G4886" i="10"/>
  <c r="G4859" i="10"/>
  <c r="G4699" i="10"/>
  <c r="G4672" i="10"/>
  <c r="G4592" i="10"/>
  <c r="G4379" i="10"/>
  <c r="G4352" i="10"/>
  <c r="G4326" i="10"/>
  <c r="G4139" i="10"/>
  <c r="G4112" i="10"/>
  <c r="G3846" i="10"/>
  <c r="G3739" i="10"/>
  <c r="G3579" i="10"/>
  <c r="G3419" i="10"/>
  <c r="G3366" i="10"/>
  <c r="G2646" i="10"/>
  <c r="G2459" i="10"/>
  <c r="G2406" i="10"/>
  <c r="G2272" i="10"/>
  <c r="G2139" i="10"/>
  <c r="G2059" i="10"/>
  <c r="G1819" i="10"/>
  <c r="G1152" i="10"/>
  <c r="G992" i="10"/>
  <c r="G886" i="10"/>
  <c r="G139" i="10"/>
  <c r="G9767" i="10"/>
  <c r="G8088" i="10"/>
  <c r="G8035" i="10"/>
  <c r="G7902" i="10"/>
  <c r="G7635" i="10"/>
  <c r="G7582" i="10"/>
  <c r="G7475" i="10"/>
  <c r="G7315" i="10"/>
  <c r="G7288" i="10"/>
  <c r="G7208" i="10"/>
  <c r="G7075" i="10"/>
  <c r="G6942" i="10"/>
  <c r="G6806" i="10"/>
  <c r="G5259" i="10"/>
  <c r="G5232" i="10"/>
  <c r="G5206" i="10"/>
  <c r="G5179" i="10"/>
  <c r="G4939" i="10"/>
  <c r="G4779" i="10"/>
  <c r="G4539" i="10"/>
  <c r="G4486" i="10"/>
  <c r="G4432" i="10"/>
  <c r="G4406" i="10"/>
  <c r="G4299" i="10"/>
  <c r="G4166" i="10"/>
  <c r="G4032" i="10"/>
  <c r="G4006" i="10"/>
  <c r="G3766" i="10"/>
  <c r="G3712" i="10"/>
  <c r="G3526" i="10"/>
  <c r="G2539" i="10"/>
  <c r="G2219" i="10"/>
  <c r="G1792" i="10"/>
  <c r="G1712" i="10"/>
  <c r="G1606" i="10"/>
  <c r="G1579" i="10"/>
  <c r="G1419" i="10"/>
  <c r="G1312" i="10"/>
  <c r="G1259" i="10"/>
  <c r="G1099" i="10"/>
  <c r="G1072" i="10"/>
  <c r="G1019" i="10"/>
  <c r="G726" i="10"/>
  <c r="G512" i="10"/>
  <c r="G486" i="10"/>
  <c r="G432" i="10"/>
  <c r="G406" i="10"/>
  <c r="G59" i="10"/>
  <c r="G9662" i="10"/>
  <c r="G7982" i="10"/>
  <c r="G7102" i="10"/>
  <c r="G6726" i="10"/>
  <c r="G6699" i="10"/>
  <c r="G5419" i="10"/>
  <c r="G5046" i="10"/>
  <c r="G4992" i="10"/>
  <c r="G4566" i="10"/>
  <c r="G4512" i="10"/>
  <c r="G4192" i="10"/>
  <c r="G4059" i="10"/>
  <c r="G3979" i="10"/>
  <c r="G3659" i="10"/>
  <c r="G3632" i="10"/>
  <c r="G3606" i="10"/>
  <c r="G2299" i="10"/>
  <c r="G2166" i="10"/>
  <c r="G2086" i="10"/>
  <c r="G1686" i="10"/>
  <c r="G1552" i="10"/>
  <c r="G1526" i="10"/>
  <c r="G1472" i="10"/>
  <c r="G1392" i="10"/>
  <c r="G1232" i="10"/>
  <c r="G1206" i="10"/>
  <c r="G1179" i="10"/>
  <c r="G1126" i="10"/>
  <c r="G832" i="10"/>
  <c r="G779" i="10"/>
  <c r="G672" i="10"/>
  <c r="G646" i="10"/>
  <c r="G592" i="10"/>
  <c r="G539" i="10"/>
  <c r="G379" i="10"/>
  <c r="G326" i="10"/>
  <c r="G32" i="10"/>
  <c r="G9608" i="10"/>
  <c r="G8195" i="10"/>
  <c r="G7928" i="10"/>
  <c r="G7715" i="10"/>
  <c r="G7368" i="10"/>
  <c r="G7342" i="10"/>
  <c r="G7262" i="10"/>
  <c r="G7182" i="10"/>
  <c r="G7155" i="10"/>
  <c r="G7048" i="10"/>
  <c r="G6779" i="10"/>
  <c r="G5392" i="10"/>
  <c r="G5366" i="10"/>
  <c r="G5152" i="10"/>
  <c r="G5126" i="10"/>
  <c r="G4246" i="10"/>
  <c r="G4219" i="10"/>
  <c r="G3926" i="10"/>
  <c r="G3899" i="10"/>
  <c r="G3819" i="10"/>
  <c r="G3446" i="10"/>
  <c r="G3392" i="10"/>
  <c r="G2619" i="10"/>
  <c r="G2379" i="10"/>
  <c r="G2352" i="10"/>
  <c r="G2326" i="10"/>
  <c r="G2192" i="10"/>
  <c r="G2032" i="10"/>
  <c r="G2006" i="10"/>
  <c r="G1872" i="10"/>
  <c r="G1846" i="10"/>
  <c r="G1766" i="10"/>
  <c r="G1659" i="10"/>
  <c r="G1632" i="10"/>
  <c r="G1499" i="10"/>
  <c r="G1446" i="10"/>
  <c r="G1366" i="10"/>
  <c r="G1339" i="10"/>
  <c r="G1286" i="10"/>
  <c r="G1046" i="10"/>
  <c r="G912" i="10"/>
  <c r="G859" i="10"/>
  <c r="G299" i="10"/>
  <c r="G192" i="10"/>
  <c r="G86" i="10"/>
  <c r="G9715" i="10"/>
  <c r="G9582" i="10"/>
  <c r="G9528" i="10"/>
  <c r="G9502" i="10"/>
  <c r="G9475" i="10"/>
  <c r="G9448" i="10"/>
  <c r="G9422" i="10"/>
  <c r="G9395" i="10"/>
  <c r="G9368" i="10"/>
  <c r="G9342" i="10"/>
  <c r="G9315" i="10"/>
  <c r="G9288" i="10"/>
  <c r="G9262" i="10"/>
  <c r="G9235" i="10"/>
  <c r="G9208" i="10"/>
  <c r="G9182" i="10"/>
  <c r="G9155" i="10"/>
  <c r="G9128" i="10"/>
  <c r="G9102" i="10"/>
  <c r="G9075" i="10"/>
  <c r="G9048" i="10"/>
  <c r="G9022" i="10"/>
  <c r="G8995" i="10"/>
  <c r="G8968" i="10"/>
  <c r="G8942" i="10"/>
  <c r="G8915" i="10"/>
  <c r="G8888" i="10"/>
  <c r="G8862" i="10"/>
  <c r="G8835" i="10"/>
  <c r="G8808" i="10"/>
  <c r="G8782" i="10"/>
  <c r="G8755" i="10"/>
  <c r="G8728" i="10"/>
  <c r="G8702" i="10"/>
  <c r="G8675" i="10"/>
  <c r="G8648" i="10"/>
  <c r="G8622" i="10"/>
  <c r="G8595" i="10"/>
  <c r="G8568" i="10"/>
  <c r="G8542" i="10"/>
  <c r="G8515" i="10"/>
  <c r="G8488" i="10"/>
  <c r="G8462" i="10"/>
  <c r="G8435" i="10"/>
  <c r="G8408" i="10"/>
  <c r="G8382" i="10"/>
  <c r="G8355" i="10"/>
  <c r="G8328" i="10"/>
  <c r="G8302" i="10"/>
  <c r="G8275" i="10"/>
  <c r="G8248" i="10"/>
  <c r="B6" i="11"/>
  <c r="G9636" i="10" l="1"/>
  <c r="G8143" i="10"/>
  <c r="G7689" i="10"/>
  <c r="G7129" i="10"/>
  <c r="G6969" i="10"/>
  <c r="G6807" i="10"/>
  <c r="G6673" i="10"/>
  <c r="G6647" i="10"/>
  <c r="G6620" i="10"/>
  <c r="G6593" i="10"/>
  <c r="G6567" i="10"/>
  <c r="G6540" i="10"/>
  <c r="G6513" i="10"/>
  <c r="G6487" i="10"/>
  <c r="G6460" i="10"/>
  <c r="G6433" i="10"/>
  <c r="G6407" i="10"/>
  <c r="G6380" i="10"/>
  <c r="G6353" i="10"/>
  <c r="G6327" i="10"/>
  <c r="G6300" i="10"/>
  <c r="G6273" i="10"/>
  <c r="G6247" i="10"/>
  <c r="G6220" i="10"/>
  <c r="G6193" i="10"/>
  <c r="G6167" i="10"/>
  <c r="G6140" i="10"/>
  <c r="G6113" i="10"/>
  <c r="G6087" i="10"/>
  <c r="G6060" i="10"/>
  <c r="G6033" i="10"/>
  <c r="G6007" i="10"/>
  <c r="G5980" i="10"/>
  <c r="G5953" i="10"/>
  <c r="G5927" i="10"/>
  <c r="G5900" i="10"/>
  <c r="G5873" i="10"/>
  <c r="G5847" i="10"/>
  <c r="G5820" i="10"/>
  <c r="G5793" i="10"/>
  <c r="G5767" i="10"/>
  <c r="G5740" i="10"/>
  <c r="G5713" i="10"/>
  <c r="G5687" i="10"/>
  <c r="G5660" i="10"/>
  <c r="G5633" i="10"/>
  <c r="G5607" i="10"/>
  <c r="G5580" i="10"/>
  <c r="G5553" i="10"/>
  <c r="G5527" i="10"/>
  <c r="G5500" i="10"/>
  <c r="G5473" i="10"/>
  <c r="G5447" i="10"/>
  <c r="G3367" i="10"/>
  <c r="G3287" i="10"/>
  <c r="G3260" i="10"/>
  <c r="G3233" i="10"/>
  <c r="G3207" i="10"/>
  <c r="G3180" i="10"/>
  <c r="G3153" i="10"/>
  <c r="G3127" i="10"/>
  <c r="G3100" i="10"/>
  <c r="G3073" i="10"/>
  <c r="G3047" i="10"/>
  <c r="G3020" i="10"/>
  <c r="G2993" i="10"/>
  <c r="G2967" i="10"/>
  <c r="G2940" i="10"/>
  <c r="G2913" i="10"/>
  <c r="G2887" i="10"/>
  <c r="G2860" i="10"/>
  <c r="G2833" i="10"/>
  <c r="G2807" i="10"/>
  <c r="G2780" i="10"/>
  <c r="G2753" i="10"/>
  <c r="G2727" i="10"/>
  <c r="G2700" i="10"/>
  <c r="G2673" i="10"/>
  <c r="G8089" i="10"/>
  <c r="G7903" i="10"/>
  <c r="G7396" i="10"/>
  <c r="G7369" i="10"/>
  <c r="G6996" i="10"/>
  <c r="G5420" i="10"/>
  <c r="G5393" i="10"/>
  <c r="G5340" i="10"/>
  <c r="G5287" i="10"/>
  <c r="G5260" i="10"/>
  <c r="G5127" i="10"/>
  <c r="G5020" i="10"/>
  <c r="G4967" i="10"/>
  <c r="G4940" i="10"/>
  <c r="G4860" i="10"/>
  <c r="G4673" i="10"/>
  <c r="G4407" i="10"/>
  <c r="G4380" i="10"/>
  <c r="G4353" i="10"/>
  <c r="G4327" i="10"/>
  <c r="G4300" i="10"/>
  <c r="G4007" i="10"/>
  <c r="G3980" i="10"/>
  <c r="G3847" i="10"/>
  <c r="G3340" i="10"/>
  <c r="G2647" i="10"/>
  <c r="G2593" i="10"/>
  <c r="G2540" i="10"/>
  <c r="G2220" i="10"/>
  <c r="G1873" i="10"/>
  <c r="G780" i="10"/>
  <c r="G700" i="10"/>
  <c r="G673" i="10"/>
  <c r="G647" i="10"/>
  <c r="G620" i="10"/>
  <c r="G540" i="10"/>
  <c r="G407" i="10"/>
  <c r="G327" i="10"/>
  <c r="G140" i="10"/>
  <c r="G87" i="10"/>
  <c r="G9663" i="10"/>
  <c r="G8196" i="10"/>
  <c r="G7929" i="10"/>
  <c r="G7716" i="10"/>
  <c r="G7663" i="10"/>
  <c r="G7583" i="10"/>
  <c r="G7503" i="10"/>
  <c r="G7476" i="10"/>
  <c r="G7316" i="10"/>
  <c r="G7103" i="10"/>
  <c r="G7076" i="10"/>
  <c r="G6943" i="10"/>
  <c r="G5367" i="10"/>
  <c r="G4780" i="10"/>
  <c r="G4700" i="10"/>
  <c r="G4620" i="10"/>
  <c r="G4487" i="10"/>
  <c r="G4460" i="10"/>
  <c r="G4220" i="10"/>
  <c r="G4113" i="10"/>
  <c r="G4060" i="10"/>
  <c r="G4033" i="10"/>
  <c r="G3953" i="10"/>
  <c r="G3927" i="10"/>
  <c r="G3900" i="10"/>
  <c r="G3793" i="10"/>
  <c r="G3740" i="10"/>
  <c r="G3713" i="10"/>
  <c r="G3687" i="10"/>
  <c r="G3420" i="10"/>
  <c r="G3393" i="10"/>
  <c r="G2567" i="10"/>
  <c r="G2380" i="10"/>
  <c r="G2353" i="10"/>
  <c r="G2247" i="10"/>
  <c r="G2007" i="10"/>
  <c r="G1793" i="10"/>
  <c r="G1207" i="10"/>
  <c r="G1100" i="10"/>
  <c r="G1073" i="10"/>
  <c r="G940" i="10"/>
  <c r="G860" i="10"/>
  <c r="G593" i="10"/>
  <c r="G567" i="10"/>
  <c r="G487" i="10"/>
  <c r="G460" i="10"/>
  <c r="G380" i="10"/>
  <c r="G8116" i="10"/>
  <c r="G7983" i="10"/>
  <c r="G7636" i="10"/>
  <c r="G7556" i="10"/>
  <c r="G7529" i="10"/>
  <c r="G7423" i="10"/>
  <c r="G7343" i="10"/>
  <c r="G7263" i="10"/>
  <c r="G7236" i="10"/>
  <c r="G7183" i="10"/>
  <c r="G7156" i="10"/>
  <c r="G7049" i="10"/>
  <c r="G7023" i="10"/>
  <c r="G6915" i="10"/>
  <c r="G6900" i="10"/>
  <c r="G6780" i="10"/>
  <c r="G6727" i="10"/>
  <c r="G6700" i="10"/>
  <c r="G5313" i="10"/>
  <c r="G4913" i="10"/>
  <c r="G4753" i="10"/>
  <c r="G4727" i="10"/>
  <c r="G4593" i="10"/>
  <c r="G4567" i="10"/>
  <c r="G4513" i="10"/>
  <c r="G4273" i="10"/>
  <c r="G4247" i="10"/>
  <c r="G4193" i="10"/>
  <c r="G4140" i="10"/>
  <c r="G4087" i="10"/>
  <c r="G3820" i="10"/>
  <c r="G3660" i="10"/>
  <c r="G3633" i="10"/>
  <c r="G3607" i="10"/>
  <c r="G3500" i="10"/>
  <c r="G3447" i="10"/>
  <c r="G2620" i="10"/>
  <c r="G2513" i="10"/>
  <c r="G2407" i="10"/>
  <c r="G2327" i="10"/>
  <c r="G2300" i="10"/>
  <c r="G2193" i="10"/>
  <c r="G2167" i="10"/>
  <c r="G2140" i="10"/>
  <c r="G1953" i="10"/>
  <c r="G1847" i="10"/>
  <c r="G1820" i="10"/>
  <c r="G1767" i="10"/>
  <c r="G1740" i="10"/>
  <c r="G1633" i="10"/>
  <c r="G1553" i="10"/>
  <c r="G1527" i="10"/>
  <c r="G1473" i="10"/>
  <c r="G1367" i="10"/>
  <c r="G1340" i="10"/>
  <c r="G1180" i="10"/>
  <c r="G1153" i="10"/>
  <c r="G1047" i="10"/>
  <c r="G993" i="10"/>
  <c r="G967" i="10"/>
  <c r="G353" i="10"/>
  <c r="G273" i="10"/>
  <c r="G247" i="10"/>
  <c r="G220" i="10"/>
  <c r="G193" i="10"/>
  <c r="G60" i="10"/>
  <c r="G7" i="10"/>
  <c r="G9781" i="10"/>
  <c r="G9768" i="10"/>
  <c r="G9716" i="10"/>
  <c r="G9689" i="10"/>
  <c r="G9609" i="10"/>
  <c r="G8169" i="10"/>
  <c r="G8063" i="10"/>
  <c r="G8036" i="10"/>
  <c r="G8009" i="10"/>
  <c r="G7876" i="10"/>
  <c r="G7743" i="10"/>
  <c r="G7609" i="10"/>
  <c r="G7289" i="10"/>
  <c r="G6886" i="10"/>
  <c r="G6860" i="10"/>
  <c r="G6833" i="10"/>
  <c r="G6753" i="10"/>
  <c r="G5233" i="10"/>
  <c r="G5180" i="10"/>
  <c r="G4993" i="10"/>
  <c r="G4540" i="10"/>
  <c r="G4433" i="10"/>
  <c r="G4167" i="10"/>
  <c r="G3767" i="10"/>
  <c r="G3580" i="10"/>
  <c r="G2487" i="10"/>
  <c r="G2433" i="10"/>
  <c r="G2273" i="10"/>
  <c r="G2060" i="10"/>
  <c r="G2033" i="10"/>
  <c r="G1660" i="10"/>
  <c r="G1500" i="10"/>
  <c r="G1447" i="10"/>
  <c r="G1393" i="10"/>
  <c r="G1313" i="10"/>
  <c r="G1260" i="10"/>
  <c r="G913" i="10"/>
  <c r="G887" i="10"/>
  <c r="G727" i="10"/>
  <c r="G513" i="10"/>
  <c r="G433" i="10"/>
  <c r="G9583" i="10"/>
  <c r="G8223" i="10"/>
  <c r="G7956" i="10"/>
  <c r="G7849" i="10"/>
  <c r="G7823" i="10"/>
  <c r="G7796" i="10"/>
  <c r="G7769" i="10"/>
  <c r="G7449" i="10"/>
  <c r="G7209" i="10"/>
  <c r="G5207" i="10"/>
  <c r="G5153" i="10"/>
  <c r="G5100" i="10"/>
  <c r="G5073" i="10"/>
  <c r="G5047" i="10"/>
  <c r="G4887" i="10"/>
  <c r="G4833" i="10"/>
  <c r="G4807" i="10"/>
  <c r="G4647" i="10"/>
  <c r="G3873" i="10"/>
  <c r="G3553" i="10"/>
  <c r="G3527" i="10"/>
  <c r="G3473" i="10"/>
  <c r="G3313" i="10"/>
  <c r="G2460" i="10"/>
  <c r="G2113" i="10"/>
  <c r="G2087" i="10"/>
  <c r="G1980" i="10"/>
  <c r="G1927" i="10"/>
  <c r="G1900" i="10"/>
  <c r="G1713" i="10"/>
  <c r="G1687" i="10"/>
  <c r="G1607" i="10"/>
  <c r="G1580" i="10"/>
  <c r="G1420" i="10"/>
  <c r="G1287" i="10"/>
  <c r="G1233" i="10"/>
  <c r="G1127" i="10"/>
  <c r="G1020" i="10"/>
  <c r="G833" i="10"/>
  <c r="G753" i="10"/>
  <c r="G300" i="10"/>
  <c r="G167" i="10"/>
  <c r="G113" i="10"/>
  <c r="G33" i="10"/>
  <c r="G9755" i="10"/>
  <c r="G9556" i="10"/>
  <c r="G9529" i="10"/>
  <c r="G9503" i="10"/>
  <c r="G9476" i="10"/>
  <c r="G9449" i="10"/>
  <c r="G9423" i="10"/>
  <c r="G9396" i="10"/>
  <c r="G9369" i="10"/>
  <c r="G9343" i="10"/>
  <c r="G9316" i="10"/>
  <c r="G9289" i="10"/>
  <c r="G9263" i="10"/>
  <c r="G9236" i="10"/>
  <c r="G9209" i="10"/>
  <c r="G9183" i="10"/>
  <c r="G9156" i="10"/>
  <c r="G9129" i="10"/>
  <c r="G9103" i="10"/>
  <c r="G9076" i="10"/>
  <c r="G9049" i="10"/>
  <c r="G9023" i="10"/>
  <c r="G8996" i="10"/>
  <c r="G8969" i="10"/>
  <c r="G8943" i="10"/>
  <c r="G8916" i="10"/>
  <c r="G8889" i="10"/>
  <c r="G8863" i="10"/>
  <c r="G8836" i="10"/>
  <c r="G8809" i="10"/>
  <c r="G8783" i="10"/>
  <c r="G8756" i="10"/>
  <c r="G8729" i="10"/>
  <c r="G8703" i="10"/>
  <c r="G8676" i="10"/>
  <c r="G8649" i="10"/>
  <c r="G8623" i="10"/>
  <c r="G8596" i="10"/>
  <c r="G8569" i="10"/>
  <c r="G8543" i="10"/>
  <c r="G8516" i="10"/>
  <c r="G8489" i="10"/>
  <c r="G8463" i="10"/>
  <c r="G8436" i="10"/>
  <c r="G8409" i="10"/>
  <c r="G8383" i="10"/>
  <c r="G8356" i="10"/>
  <c r="G8329" i="10"/>
  <c r="G8303" i="10"/>
  <c r="G8276" i="10"/>
  <c r="G8249" i="10"/>
  <c r="B7" i="11"/>
  <c r="G9769" i="10" l="1"/>
  <c r="G8117" i="10"/>
  <c r="G7850" i="10"/>
  <c r="G7557" i="10"/>
  <c r="G7317" i="10"/>
  <c r="G7237" i="10"/>
  <c r="G7024" i="10"/>
  <c r="G6861" i="10"/>
  <c r="G6701" i="10"/>
  <c r="G6674" i="10"/>
  <c r="G6648" i="10"/>
  <c r="G6621" i="10"/>
  <c r="G6594" i="10"/>
  <c r="G6568" i="10"/>
  <c r="G6541" i="10"/>
  <c r="G6514" i="10"/>
  <c r="G6488" i="10"/>
  <c r="G6461" i="10"/>
  <c r="G6434" i="10"/>
  <c r="G6408" i="10"/>
  <c r="G6381" i="10"/>
  <c r="G6354" i="10"/>
  <c r="G6328" i="10"/>
  <c r="G6301" i="10"/>
  <c r="G6274" i="10"/>
  <c r="G6248" i="10"/>
  <c r="G6221" i="10"/>
  <c r="G6194" i="10"/>
  <c r="G6168" i="10"/>
  <c r="G6141" i="10"/>
  <c r="G6114" i="10"/>
  <c r="G6088" i="10"/>
  <c r="G6061" i="10"/>
  <c r="G6034" i="10"/>
  <c r="G6008" i="10"/>
  <c r="G5981" i="10"/>
  <c r="G5954" i="10"/>
  <c r="G5928" i="10"/>
  <c r="G5901" i="10"/>
  <c r="G5874" i="10"/>
  <c r="G5848" i="10"/>
  <c r="G5821" i="10"/>
  <c r="G5794" i="10"/>
  <c r="G5768" i="10"/>
  <c r="G5741" i="10"/>
  <c r="G5714" i="10"/>
  <c r="G5688" i="10"/>
  <c r="G5661" i="10"/>
  <c r="G5634" i="10"/>
  <c r="G5608" i="10"/>
  <c r="G5581" i="10"/>
  <c r="G5554" i="10"/>
  <c r="G5528" i="10"/>
  <c r="G5501" i="10"/>
  <c r="G5474" i="10"/>
  <c r="G5448" i="10"/>
  <c r="G3368" i="10"/>
  <c r="G3288" i="10"/>
  <c r="G3261" i="10"/>
  <c r="G3234" i="10"/>
  <c r="G3208" i="10"/>
  <c r="G3181" i="10"/>
  <c r="G3154" i="10"/>
  <c r="G3128" i="10"/>
  <c r="G3101" i="10"/>
  <c r="G3074" i="10"/>
  <c r="G3048" i="10"/>
  <c r="G3021" i="10"/>
  <c r="G2994" i="10"/>
  <c r="G2968" i="10"/>
  <c r="G2941" i="10"/>
  <c r="G2914" i="10"/>
  <c r="G2888" i="10"/>
  <c r="G2861" i="10"/>
  <c r="G2834" i="10"/>
  <c r="G2808" i="10"/>
  <c r="G2781" i="10"/>
  <c r="G2754" i="10"/>
  <c r="G2728" i="10"/>
  <c r="G2701" i="10"/>
  <c r="G2674" i="10"/>
  <c r="G9690" i="10"/>
  <c r="G8170" i="10"/>
  <c r="G8064" i="10"/>
  <c r="G7904" i="10"/>
  <c r="G7690" i="10"/>
  <c r="G7584" i="10"/>
  <c r="G7477" i="10"/>
  <c r="G7344" i="10"/>
  <c r="G7184" i="10"/>
  <c r="G6944" i="10"/>
  <c r="G6834" i="10"/>
  <c r="G6808" i="10"/>
  <c r="G6754" i="10"/>
  <c r="G5154" i="10"/>
  <c r="G4914" i="10"/>
  <c r="G4888" i="10"/>
  <c r="G4781" i="10"/>
  <c r="G4701" i="10"/>
  <c r="G4621" i="10"/>
  <c r="G4434" i="10"/>
  <c r="G4194" i="10"/>
  <c r="G4088" i="10"/>
  <c r="G4061" i="10"/>
  <c r="G3954" i="10"/>
  <c r="G3874" i="10"/>
  <c r="G3768" i="10"/>
  <c r="G3714" i="10"/>
  <c r="G3581" i="10"/>
  <c r="G3501" i="10"/>
  <c r="G3421" i="10"/>
  <c r="G2621" i="10"/>
  <c r="G2541" i="10"/>
  <c r="G2488" i="10"/>
  <c r="G2248" i="10"/>
  <c r="G2141" i="10"/>
  <c r="G1954" i="10"/>
  <c r="G1821" i="10"/>
  <c r="G1794" i="10"/>
  <c r="G968" i="10"/>
  <c r="G888" i="10"/>
  <c r="G568" i="10"/>
  <c r="G381" i="10"/>
  <c r="G354" i="10"/>
  <c r="G301" i="10"/>
  <c r="G248" i="10"/>
  <c r="G168" i="10"/>
  <c r="G8197" i="10"/>
  <c r="G8090" i="10"/>
  <c r="G7957" i="10"/>
  <c r="G7877" i="10"/>
  <c r="G7824" i="10"/>
  <c r="G7770" i="10"/>
  <c r="G7744" i="10"/>
  <c r="G7157" i="10"/>
  <c r="G7050" i="10"/>
  <c r="G6997" i="10"/>
  <c r="G6970" i="10"/>
  <c r="G5394" i="10"/>
  <c r="G5368" i="10"/>
  <c r="G5341" i="10"/>
  <c r="G5314" i="10"/>
  <c r="G5261" i="10"/>
  <c r="G5208" i="10"/>
  <c r="G4994" i="10"/>
  <c r="G4941" i="10"/>
  <c r="G4834" i="10"/>
  <c r="G4728" i="10"/>
  <c r="G4514" i="10"/>
  <c r="G4274" i="10"/>
  <c r="G4168" i="10"/>
  <c r="G4114" i="10"/>
  <c r="G3981" i="10"/>
  <c r="G3848" i="10"/>
  <c r="G3821" i="10"/>
  <c r="G3661" i="10"/>
  <c r="G3554" i="10"/>
  <c r="G3341" i="10"/>
  <c r="G3314" i="10"/>
  <c r="G2648" i="10"/>
  <c r="G2594" i="10"/>
  <c r="G2408" i="10"/>
  <c r="G2328" i="10"/>
  <c r="G2274" i="10"/>
  <c r="G2194" i="10"/>
  <c r="G2061" i="10"/>
  <c r="G1981" i="10"/>
  <c r="G1154" i="10"/>
  <c r="G1021" i="10"/>
  <c r="G754" i="10"/>
  <c r="G728" i="10"/>
  <c r="G701" i="10"/>
  <c r="G621" i="10"/>
  <c r="G594" i="10"/>
  <c r="G434" i="10"/>
  <c r="G408" i="10"/>
  <c r="G141" i="10"/>
  <c r="G9782" i="10"/>
  <c r="G8037" i="10"/>
  <c r="G8010" i="10"/>
  <c r="G7930" i="10"/>
  <c r="G7717" i="10"/>
  <c r="G7637" i="10"/>
  <c r="G7450" i="10"/>
  <c r="G7104" i="10"/>
  <c r="G6887" i="10"/>
  <c r="G6781" i="10"/>
  <c r="G5421" i="10"/>
  <c r="G5288" i="10"/>
  <c r="G5181" i="10"/>
  <c r="G4808" i="10"/>
  <c r="G4754" i="10"/>
  <c r="G4674" i="10"/>
  <c r="G4648" i="10"/>
  <c r="G4594" i="10"/>
  <c r="G4541" i="10"/>
  <c r="G4488" i="10"/>
  <c r="G4461" i="10"/>
  <c r="G4301" i="10"/>
  <c r="G4221" i="10"/>
  <c r="G4008" i="10"/>
  <c r="G3928" i="10"/>
  <c r="G3901" i="10"/>
  <c r="G3528" i="10"/>
  <c r="G3474" i="10"/>
  <c r="G2568" i="10"/>
  <c r="G2301" i="10"/>
  <c r="G2114" i="10"/>
  <c r="G2034" i="10"/>
  <c r="G2008" i="10"/>
  <c r="G1901" i="10"/>
  <c r="G1714" i="10"/>
  <c r="G1608" i="10"/>
  <c r="G1581" i="10"/>
  <c r="G1528" i="10"/>
  <c r="G1448" i="10"/>
  <c r="G1394" i="10"/>
  <c r="G1288" i="10"/>
  <c r="G1261" i="10"/>
  <c r="G1101" i="10"/>
  <c r="G1074" i="10"/>
  <c r="G941" i="10"/>
  <c r="G834" i="10"/>
  <c r="G648" i="10"/>
  <c r="G488" i="10"/>
  <c r="G274" i="10"/>
  <c r="G88" i="10"/>
  <c r="G34" i="10"/>
  <c r="G8" i="10"/>
  <c r="G9637" i="10"/>
  <c r="G9610" i="10"/>
  <c r="G9584" i="10"/>
  <c r="G8144" i="10"/>
  <c r="G7984" i="10"/>
  <c r="G7797" i="10"/>
  <c r="G7264" i="10"/>
  <c r="G7210" i="10"/>
  <c r="G7130" i="10"/>
  <c r="G7077" i="10"/>
  <c r="G6916" i="10"/>
  <c r="G6728" i="10"/>
  <c r="G5101" i="10"/>
  <c r="G5074" i="10"/>
  <c r="G5048" i="10"/>
  <c r="G5021" i="10"/>
  <c r="G4968" i="10"/>
  <c r="G4861" i="10"/>
  <c r="G4568" i="10"/>
  <c r="G4408" i="10"/>
  <c r="G4381" i="10"/>
  <c r="G4248" i="10"/>
  <c r="G4141" i="10"/>
  <c r="G4034" i="10"/>
  <c r="G3688" i="10"/>
  <c r="G3608" i="10"/>
  <c r="G2514" i="10"/>
  <c r="G2434" i="10"/>
  <c r="G2381" i="10"/>
  <c r="G2168" i="10"/>
  <c r="G2088" i="10"/>
  <c r="G1928" i="10"/>
  <c r="G1874" i="10"/>
  <c r="G1688" i="10"/>
  <c r="G1661" i="10"/>
  <c r="G1554" i="10"/>
  <c r="G1474" i="10"/>
  <c r="G1421" i="10"/>
  <c r="G1234" i="10"/>
  <c r="G1208" i="10"/>
  <c r="G1181" i="10"/>
  <c r="G994" i="10"/>
  <c r="G861" i="10"/>
  <c r="G781" i="10"/>
  <c r="G674" i="10"/>
  <c r="G541" i="10"/>
  <c r="G514" i="10"/>
  <c r="G461" i="10"/>
  <c r="G61" i="10"/>
  <c r="G9756" i="10"/>
  <c r="G9664" i="10"/>
  <c r="G9557" i="10"/>
  <c r="G8224" i="10"/>
  <c r="G7664" i="10"/>
  <c r="G7610" i="10"/>
  <c r="G7530" i="10"/>
  <c r="G7504" i="10"/>
  <c r="G7424" i="10"/>
  <c r="G7397" i="10"/>
  <c r="G7370" i="10"/>
  <c r="G7290" i="10"/>
  <c r="G6901" i="10"/>
  <c r="G5234" i="10"/>
  <c r="G5128" i="10"/>
  <c r="G4354" i="10"/>
  <c r="G4328" i="10"/>
  <c r="G3794" i="10"/>
  <c r="G3741" i="10"/>
  <c r="G3634" i="10"/>
  <c r="G3448" i="10"/>
  <c r="G3394" i="10"/>
  <c r="G2461" i="10"/>
  <c r="G2354" i="10"/>
  <c r="G2221" i="10"/>
  <c r="G1848" i="10"/>
  <c r="G1768" i="10"/>
  <c r="G1741" i="10"/>
  <c r="G1634" i="10"/>
  <c r="G1501" i="10"/>
  <c r="G1368" i="10"/>
  <c r="G1341" i="10"/>
  <c r="G1314" i="10"/>
  <c r="G1128" i="10"/>
  <c r="G1048" i="10"/>
  <c r="G914" i="10"/>
  <c r="G328" i="10"/>
  <c r="G221" i="10"/>
  <c r="G194" i="10"/>
  <c r="G114" i="10"/>
  <c r="G9717" i="10"/>
  <c r="G9530" i="10"/>
  <c r="G9504" i="10"/>
  <c r="G9477" i="10"/>
  <c r="G9450" i="10"/>
  <c r="G9424" i="10"/>
  <c r="G9397" i="10"/>
  <c r="G9370" i="10"/>
  <c r="G9344" i="10"/>
  <c r="G9317" i="10"/>
  <c r="G9290" i="10"/>
  <c r="G9264" i="10"/>
  <c r="G9237" i="10"/>
  <c r="G9210" i="10"/>
  <c r="G9184" i="10"/>
  <c r="G9157" i="10"/>
  <c r="G9130" i="10"/>
  <c r="G9104" i="10"/>
  <c r="G9077" i="10"/>
  <c r="G9050" i="10"/>
  <c r="G9024" i="10"/>
  <c r="G8997" i="10"/>
  <c r="G8970" i="10"/>
  <c r="G8944" i="10"/>
  <c r="G8917" i="10"/>
  <c r="G8890" i="10"/>
  <c r="G8864" i="10"/>
  <c r="G8837" i="10"/>
  <c r="G8810" i="10"/>
  <c r="G8784" i="10"/>
  <c r="G8757" i="10"/>
  <c r="G8730" i="10"/>
  <c r="G8704" i="10"/>
  <c r="G8677" i="10"/>
  <c r="G8650" i="10"/>
  <c r="G8624" i="10"/>
  <c r="G8597" i="10"/>
  <c r="G8570" i="10"/>
  <c r="G8544" i="10"/>
  <c r="G8517" i="10"/>
  <c r="G8490" i="10"/>
  <c r="G8464" i="10"/>
  <c r="G8437" i="10"/>
  <c r="G8410" i="10"/>
  <c r="G8384" i="10"/>
  <c r="G8357" i="10"/>
  <c r="G8330" i="10"/>
  <c r="G8304" i="10"/>
  <c r="G8277" i="10"/>
  <c r="G8250" i="10"/>
  <c r="B8" i="11"/>
  <c r="G9638" i="10" l="1"/>
  <c r="G8198" i="10"/>
  <c r="G7611" i="10"/>
  <c r="G7505" i="10"/>
  <c r="G7425" i="10"/>
  <c r="G7398" i="10"/>
  <c r="G7105" i="10"/>
  <c r="G6755" i="10"/>
  <c r="G6729" i="10"/>
  <c r="G6675" i="10"/>
  <c r="G6649" i="10"/>
  <c r="G6622" i="10"/>
  <c r="G6595" i="10"/>
  <c r="G6569" i="10"/>
  <c r="G6542" i="10"/>
  <c r="G6515" i="10"/>
  <c r="G6489" i="10"/>
  <c r="G6462" i="10"/>
  <c r="G6435" i="10"/>
  <c r="G6409" i="10"/>
  <c r="G6382" i="10"/>
  <c r="G6355" i="10"/>
  <c r="G6329" i="10"/>
  <c r="G6302" i="10"/>
  <c r="G6275" i="10"/>
  <c r="G6249" i="10"/>
  <c r="G6222" i="10"/>
  <c r="G6195" i="10"/>
  <c r="G6169" i="10"/>
  <c r="G6142" i="10"/>
  <c r="G6115" i="10"/>
  <c r="G6089" i="10"/>
  <c r="G6062" i="10"/>
  <c r="G6035" i="10"/>
  <c r="G6009" i="10"/>
  <c r="G5982" i="10"/>
  <c r="G5955" i="10"/>
  <c r="G5929" i="10"/>
  <c r="G5902" i="10"/>
  <c r="G5875" i="10"/>
  <c r="G5849" i="10"/>
  <c r="G5822" i="10"/>
  <c r="G5795" i="10"/>
  <c r="G5769" i="10"/>
  <c r="G5742" i="10"/>
  <c r="G5715" i="10"/>
  <c r="G5689" i="10"/>
  <c r="G5662" i="10"/>
  <c r="G5635" i="10"/>
  <c r="G5609" i="10"/>
  <c r="G5582" i="10"/>
  <c r="G5555" i="10"/>
  <c r="G5529" i="10"/>
  <c r="G5502" i="10"/>
  <c r="G5475" i="10"/>
  <c r="G5449" i="10"/>
  <c r="G3342" i="10"/>
  <c r="G3289" i="10"/>
  <c r="G3262" i="10"/>
  <c r="G3235" i="10"/>
  <c r="G3209" i="10"/>
  <c r="G3182" i="10"/>
  <c r="G3155" i="10"/>
  <c r="G3129" i="10"/>
  <c r="G3102" i="10"/>
  <c r="G3075" i="10"/>
  <c r="G3049" i="10"/>
  <c r="G3022" i="10"/>
  <c r="G2995" i="10"/>
  <c r="G2969" i="10"/>
  <c r="G2942" i="10"/>
  <c r="G2915" i="10"/>
  <c r="G2889" i="10"/>
  <c r="G2862" i="10"/>
  <c r="G2835" i="10"/>
  <c r="G2809" i="10"/>
  <c r="G2782" i="10"/>
  <c r="G2755" i="10"/>
  <c r="G2729" i="10"/>
  <c r="G2702" i="10"/>
  <c r="G2675" i="10"/>
  <c r="G7318" i="10"/>
  <c r="G7078" i="10"/>
  <c r="G6888" i="10"/>
  <c r="G6862" i="10"/>
  <c r="G6809" i="10"/>
  <c r="G5102" i="10"/>
  <c r="G4995" i="10"/>
  <c r="G4809" i="10"/>
  <c r="G4755" i="10"/>
  <c r="G4649" i="10"/>
  <c r="G4355" i="10"/>
  <c r="G4222" i="10"/>
  <c r="G4035" i="10"/>
  <c r="G4009" i="10"/>
  <c r="G3982" i="10"/>
  <c r="G3635" i="10"/>
  <c r="G3609" i="10"/>
  <c r="G3555" i="10"/>
  <c r="G3529" i="10"/>
  <c r="G3395" i="10"/>
  <c r="G3315" i="10"/>
  <c r="G2595" i="10"/>
  <c r="G2569" i="10"/>
  <c r="G2462" i="10"/>
  <c r="G2435" i="10"/>
  <c r="G2222" i="10"/>
  <c r="G2169" i="10"/>
  <c r="G2115" i="10"/>
  <c r="G1982" i="10"/>
  <c r="G1822" i="10"/>
  <c r="G1769" i="10"/>
  <c r="G489" i="10"/>
  <c r="G462" i="10"/>
  <c r="G302" i="10"/>
  <c r="G275" i="10"/>
  <c r="G195" i="10"/>
  <c r="G115" i="10"/>
  <c r="G9783" i="10"/>
  <c r="G9718" i="10"/>
  <c r="G9665" i="10"/>
  <c r="G8145" i="10"/>
  <c r="G7665" i="10"/>
  <c r="G7558" i="10"/>
  <c r="G7531" i="10"/>
  <c r="G7451" i="10"/>
  <c r="G7345" i="10"/>
  <c r="G7291" i="10"/>
  <c r="G7265" i="10"/>
  <c r="G7185" i="10"/>
  <c r="G7158" i="10"/>
  <c r="G6702" i="10"/>
  <c r="G5315" i="10"/>
  <c r="G5075" i="10"/>
  <c r="G5022" i="10"/>
  <c r="G4969" i="10"/>
  <c r="G4675" i="10"/>
  <c r="G4595" i="10"/>
  <c r="G4382" i="10"/>
  <c r="G4329" i="10"/>
  <c r="G4249" i="10"/>
  <c r="G4142" i="10"/>
  <c r="G3929" i="10"/>
  <c r="G3795" i="10"/>
  <c r="G3715" i="10"/>
  <c r="G3449" i="10"/>
  <c r="G3369" i="10"/>
  <c r="G2249" i="10"/>
  <c r="G2035" i="10"/>
  <c r="G2009" i="10"/>
  <c r="G1929" i="10"/>
  <c r="G1875" i="10"/>
  <c r="G995" i="10"/>
  <c r="G862" i="10"/>
  <c r="G782" i="10"/>
  <c r="G702" i="10"/>
  <c r="G675" i="10"/>
  <c r="G595" i="10"/>
  <c r="G569" i="10"/>
  <c r="G542" i="10"/>
  <c r="G222" i="10"/>
  <c r="G169" i="10"/>
  <c r="G89" i="10"/>
  <c r="G9" i="10"/>
  <c r="G9558" i="10"/>
  <c r="G7985" i="10"/>
  <c r="G7958" i="10"/>
  <c r="G7931" i="10"/>
  <c r="G7851" i="10"/>
  <c r="G7745" i="10"/>
  <c r="G7585" i="10"/>
  <c r="G7371" i="10"/>
  <c r="G7238" i="10"/>
  <c r="G7211" i="10"/>
  <c r="G7131" i="10"/>
  <c r="G7051" i="10"/>
  <c r="G6902" i="10"/>
  <c r="G5395" i="10"/>
  <c r="G5369" i="10"/>
  <c r="G5342" i="10"/>
  <c r="G5289" i="10"/>
  <c r="G5235" i="10"/>
  <c r="G5209" i="10"/>
  <c r="G4942" i="10"/>
  <c r="G4835" i="10"/>
  <c r="G4729" i="10"/>
  <c r="G4702" i="10"/>
  <c r="G4622" i="10"/>
  <c r="G4515" i="10"/>
  <c r="G4435" i="10"/>
  <c r="G4409" i="10"/>
  <c r="G4275" i="10"/>
  <c r="G4195" i="10"/>
  <c r="G4169" i="10"/>
  <c r="G4115" i="10"/>
  <c r="G3955" i="10"/>
  <c r="G3875" i="10"/>
  <c r="G3849" i="10"/>
  <c r="G3769" i="10"/>
  <c r="G3422" i="10"/>
  <c r="G2649" i="10"/>
  <c r="G2542" i="10"/>
  <c r="G2409" i="10"/>
  <c r="G2355" i="10"/>
  <c r="G2195" i="10"/>
  <c r="G1955" i="10"/>
  <c r="G1849" i="10"/>
  <c r="G1795" i="10"/>
  <c r="G1715" i="10"/>
  <c r="G1555" i="10"/>
  <c r="G1529" i="10"/>
  <c r="G1369" i="10"/>
  <c r="G1342" i="10"/>
  <c r="G1182" i="10"/>
  <c r="G1049" i="10"/>
  <c r="G1022" i="10"/>
  <c r="G969" i="10"/>
  <c r="G942" i="10"/>
  <c r="G889" i="10"/>
  <c r="G729" i="10"/>
  <c r="G515" i="10"/>
  <c r="G409" i="10"/>
  <c r="G62" i="10"/>
  <c r="G9691" i="10"/>
  <c r="G8118" i="10"/>
  <c r="G8038" i="10"/>
  <c r="G7905" i="10"/>
  <c r="G7878" i="10"/>
  <c r="G7771" i="10"/>
  <c r="G7718" i="10"/>
  <c r="G7691" i="10"/>
  <c r="G6998" i="10"/>
  <c r="G6835" i="10"/>
  <c r="G5262" i="10"/>
  <c r="G5182" i="10"/>
  <c r="G5155" i="10"/>
  <c r="G4889" i="10"/>
  <c r="G4542" i="10"/>
  <c r="G4462" i="10"/>
  <c r="G4062" i="10"/>
  <c r="G3742" i="10"/>
  <c r="G3582" i="10"/>
  <c r="G2515" i="10"/>
  <c r="G2489" i="10"/>
  <c r="G2382" i="10"/>
  <c r="G2302" i="10"/>
  <c r="G2275" i="10"/>
  <c r="G2062" i="10"/>
  <c r="G1902" i="10"/>
  <c r="G1742" i="10"/>
  <c r="G1689" i="10"/>
  <c r="G1582" i="10"/>
  <c r="G1502" i="10"/>
  <c r="G1475" i="10"/>
  <c r="G1395" i="10"/>
  <c r="G1315" i="10"/>
  <c r="G1289" i="10"/>
  <c r="G1262" i="10"/>
  <c r="G1209" i="10"/>
  <c r="G1155" i="10"/>
  <c r="G1129" i="10"/>
  <c r="G1102" i="10"/>
  <c r="G649" i="10"/>
  <c r="G622" i="10"/>
  <c r="G435" i="10"/>
  <c r="G382" i="10"/>
  <c r="G355" i="10"/>
  <c r="G9611" i="10"/>
  <c r="G8171" i="10"/>
  <c r="G8091" i="10"/>
  <c r="G8065" i="10"/>
  <c r="G8011" i="10"/>
  <c r="G7825" i="10"/>
  <c r="G7798" i="10"/>
  <c r="G7638" i="10"/>
  <c r="G7478" i="10"/>
  <c r="G7025" i="10"/>
  <c r="G6971" i="10"/>
  <c r="G6945" i="10"/>
  <c r="G6917" i="10"/>
  <c r="G6782" i="10"/>
  <c r="G5422" i="10"/>
  <c r="G5129" i="10"/>
  <c r="G5049" i="10"/>
  <c r="G4915" i="10"/>
  <c r="G4862" i="10"/>
  <c r="G4782" i="10"/>
  <c r="G4569" i="10"/>
  <c r="G4489" i="10"/>
  <c r="G4302" i="10"/>
  <c r="G4089" i="10"/>
  <c r="G3902" i="10"/>
  <c r="G3822" i="10"/>
  <c r="G3689" i="10"/>
  <c r="G3662" i="10"/>
  <c r="G3502" i="10"/>
  <c r="G3475" i="10"/>
  <c r="G2622" i="10"/>
  <c r="G2329" i="10"/>
  <c r="G2142" i="10"/>
  <c r="G2089" i="10"/>
  <c r="G1662" i="10"/>
  <c r="G1635" i="10"/>
  <c r="G1609" i="10"/>
  <c r="G1449" i="10"/>
  <c r="G1422" i="10"/>
  <c r="G1235" i="10"/>
  <c r="G1075" i="10"/>
  <c r="G915" i="10"/>
  <c r="G835" i="10"/>
  <c r="G755" i="10"/>
  <c r="G329" i="10"/>
  <c r="G249" i="10"/>
  <c r="G142" i="10"/>
  <c r="G35" i="10"/>
  <c r="G9770" i="10"/>
  <c r="G9757" i="10"/>
  <c r="G9585" i="10"/>
  <c r="G9531" i="10"/>
  <c r="G9505" i="10"/>
  <c r="G9478" i="10"/>
  <c r="G9451" i="10"/>
  <c r="G9425" i="10"/>
  <c r="G9398" i="10"/>
  <c r="G9371" i="10"/>
  <c r="G9345" i="10"/>
  <c r="G9318" i="10"/>
  <c r="G9291" i="10"/>
  <c r="G9265" i="10"/>
  <c r="G9238" i="10"/>
  <c r="G9211" i="10"/>
  <c r="G9185" i="10"/>
  <c r="G9158" i="10"/>
  <c r="G9131" i="10"/>
  <c r="G9105" i="10"/>
  <c r="G9078" i="10"/>
  <c r="G9051" i="10"/>
  <c r="G9025" i="10"/>
  <c r="G8998" i="10"/>
  <c r="G8971" i="10"/>
  <c r="G8945" i="10"/>
  <c r="G8918" i="10"/>
  <c r="G8891" i="10"/>
  <c r="G8865" i="10"/>
  <c r="G8838" i="10"/>
  <c r="G8811" i="10"/>
  <c r="G8785" i="10"/>
  <c r="G8758" i="10"/>
  <c r="G8731" i="10"/>
  <c r="G8705" i="10"/>
  <c r="G8678" i="10"/>
  <c r="G8651" i="10"/>
  <c r="G8625" i="10"/>
  <c r="G8598" i="10"/>
  <c r="G8571" i="10"/>
  <c r="G8545" i="10"/>
  <c r="G8518" i="10"/>
  <c r="G8491" i="10"/>
  <c r="G8465" i="10"/>
  <c r="G8438" i="10"/>
  <c r="G8411" i="10"/>
  <c r="G8385" i="10"/>
  <c r="G8358" i="10"/>
  <c r="G8331" i="10"/>
  <c r="G8305" i="10"/>
  <c r="G8278" i="10"/>
  <c r="G8251" i="10"/>
  <c r="G8225" i="10"/>
  <c r="B9" i="11"/>
  <c r="G9758" i="10" l="1"/>
  <c r="G9666" i="10"/>
  <c r="G9559" i="10"/>
  <c r="G7612" i="10"/>
  <c r="G7452" i="10"/>
  <c r="G7346" i="10"/>
  <c r="G7132" i="10"/>
  <c r="G7079" i="10"/>
  <c r="G6972" i="10"/>
  <c r="G6946" i="10"/>
  <c r="G6676" i="10"/>
  <c r="G6650" i="10"/>
  <c r="G6623" i="10"/>
  <c r="G6596" i="10"/>
  <c r="G6570" i="10"/>
  <c r="G6543" i="10"/>
  <c r="G6516" i="10"/>
  <c r="G6490" i="10"/>
  <c r="G6463" i="10"/>
  <c r="G6436" i="10"/>
  <c r="G6410" i="10"/>
  <c r="G6383" i="10"/>
  <c r="G6356" i="10"/>
  <c r="G6330" i="10"/>
  <c r="G6303" i="10"/>
  <c r="G6276" i="10"/>
  <c r="G6250" i="10"/>
  <c r="G6223" i="10"/>
  <c r="G6196" i="10"/>
  <c r="G6170" i="10"/>
  <c r="G6143" i="10"/>
  <c r="G6116" i="10"/>
  <c r="G6090" i="10"/>
  <c r="G6063" i="10"/>
  <c r="G6036" i="10"/>
  <c r="G6010" i="10"/>
  <c r="G5983" i="10"/>
  <c r="G5956" i="10"/>
  <c r="G5930" i="10"/>
  <c r="G5903" i="10"/>
  <c r="G5876" i="10"/>
  <c r="G5850" i="10"/>
  <c r="G5823" i="10"/>
  <c r="G5796" i="10"/>
  <c r="G5770" i="10"/>
  <c r="G5743" i="10"/>
  <c r="G5716" i="10"/>
  <c r="G5690" i="10"/>
  <c r="G5663" i="10"/>
  <c r="G5636" i="10"/>
  <c r="G5610" i="10"/>
  <c r="G5583" i="10"/>
  <c r="G5556" i="10"/>
  <c r="G5530" i="10"/>
  <c r="G5503" i="10"/>
  <c r="G5476" i="10"/>
  <c r="G5450" i="10"/>
  <c r="G3290" i="10"/>
  <c r="G3263" i="10"/>
  <c r="G3236" i="10"/>
  <c r="G3210" i="10"/>
  <c r="G3183" i="10"/>
  <c r="G3156" i="10"/>
  <c r="G3130" i="10"/>
  <c r="G3103" i="10"/>
  <c r="G3076" i="10"/>
  <c r="G3050" i="10"/>
  <c r="G3023" i="10"/>
  <c r="G2996" i="10"/>
  <c r="G2970" i="10"/>
  <c r="G2943" i="10"/>
  <c r="G2916" i="10"/>
  <c r="G2890" i="10"/>
  <c r="G2863" i="10"/>
  <c r="G2836" i="10"/>
  <c r="G2810" i="10"/>
  <c r="G2783" i="10"/>
  <c r="G2756" i="10"/>
  <c r="G2730" i="10"/>
  <c r="G2703" i="10"/>
  <c r="G2676" i="10"/>
  <c r="G9612" i="10"/>
  <c r="G8119" i="10"/>
  <c r="G7906" i="10"/>
  <c r="G7879" i="10"/>
  <c r="G7666" i="10"/>
  <c r="G7479" i="10"/>
  <c r="G7372" i="10"/>
  <c r="G7159" i="10"/>
  <c r="G7026" i="10"/>
  <c r="G6756" i="10"/>
  <c r="G6730" i="10"/>
  <c r="G5423" i="10"/>
  <c r="G5343" i="10"/>
  <c r="G5263" i="10"/>
  <c r="G5130" i="10"/>
  <c r="G5076" i="10"/>
  <c r="G5023" i="10"/>
  <c r="G4863" i="10"/>
  <c r="G4676" i="10"/>
  <c r="G4623" i="10"/>
  <c r="G4596" i="10"/>
  <c r="G4463" i="10"/>
  <c r="G4436" i="10"/>
  <c r="G4330" i="10"/>
  <c r="G3956" i="10"/>
  <c r="G3796" i="10"/>
  <c r="G3743" i="10"/>
  <c r="G3716" i="10"/>
  <c r="G3636" i="10"/>
  <c r="G3503" i="10"/>
  <c r="G3450" i="10"/>
  <c r="G3370" i="10"/>
  <c r="G3343" i="10"/>
  <c r="G3316" i="10"/>
  <c r="G2543" i="10"/>
  <c r="G2516" i="10"/>
  <c r="G2490" i="10"/>
  <c r="G1930" i="10"/>
  <c r="G1903" i="10"/>
  <c r="G1876" i="10"/>
  <c r="G1850" i="10"/>
  <c r="G970" i="10"/>
  <c r="G783" i="10"/>
  <c r="G730" i="10"/>
  <c r="G570" i="10"/>
  <c r="G410" i="10"/>
  <c r="G383" i="10"/>
  <c r="G250" i="10"/>
  <c r="G143" i="10"/>
  <c r="G9784" i="10"/>
  <c r="G9771" i="10"/>
  <c r="G8199" i="10"/>
  <c r="G8012" i="10"/>
  <c r="G7959" i="10"/>
  <c r="G7852" i="10"/>
  <c r="G7746" i="10"/>
  <c r="G7719" i="10"/>
  <c r="G7319" i="10"/>
  <c r="G7052" i="10"/>
  <c r="G6810" i="10"/>
  <c r="G5316" i="10"/>
  <c r="G5290" i="10"/>
  <c r="G5156" i="10"/>
  <c r="G4996" i="10"/>
  <c r="G4730" i="10"/>
  <c r="G4703" i="10"/>
  <c r="G4516" i="10"/>
  <c r="G4356" i="10"/>
  <c r="G4276" i="10"/>
  <c r="G4223" i="10"/>
  <c r="G4196" i="10"/>
  <c r="G4063" i="10"/>
  <c r="G4010" i="10"/>
  <c r="G3903" i="10"/>
  <c r="G3823" i="10"/>
  <c r="G3690" i="10"/>
  <c r="G3663" i="10"/>
  <c r="G3423" i="10"/>
  <c r="G2650" i="10"/>
  <c r="G2623" i="10"/>
  <c r="G2596" i="10"/>
  <c r="G2570" i="10"/>
  <c r="G2463" i="10"/>
  <c r="G2383" i="10"/>
  <c r="G2116" i="10"/>
  <c r="G2090" i="10"/>
  <c r="G2063" i="10"/>
  <c r="G2036" i="10"/>
  <c r="G1823" i="10"/>
  <c r="G1796" i="10"/>
  <c r="G1716" i="10"/>
  <c r="G1103" i="10"/>
  <c r="G1076" i="10"/>
  <c r="G943" i="10"/>
  <c r="G863" i="10"/>
  <c r="G703" i="10"/>
  <c r="G623" i="10"/>
  <c r="G463" i="10"/>
  <c r="G436" i="10"/>
  <c r="G356" i="10"/>
  <c r="G90" i="10"/>
  <c r="G63" i="10"/>
  <c r="G36" i="10"/>
  <c r="G8092" i="10"/>
  <c r="G7986" i="10"/>
  <c r="G7826" i="10"/>
  <c r="G7586" i="10"/>
  <c r="G7559" i="10"/>
  <c r="G7506" i="10"/>
  <c r="G7292" i="10"/>
  <c r="G6863" i="10"/>
  <c r="G6836" i="10"/>
  <c r="G6783" i="10"/>
  <c r="G6703" i="10"/>
  <c r="G5183" i="10"/>
  <c r="G4970" i="10"/>
  <c r="G4916" i="10"/>
  <c r="G4810" i="10"/>
  <c r="G4783" i="10"/>
  <c r="G4756" i="10"/>
  <c r="G4570" i="10"/>
  <c r="G4543" i="10"/>
  <c r="G4490" i="10"/>
  <c r="G4410" i="10"/>
  <c r="G4303" i="10"/>
  <c r="G4250" i="10"/>
  <c r="G3476" i="10"/>
  <c r="G2356" i="10"/>
  <c r="G2330" i="10"/>
  <c r="G2303" i="10"/>
  <c r="G2276" i="10"/>
  <c r="G2196" i="10"/>
  <c r="G2170" i="10"/>
  <c r="G2143" i="10"/>
  <c r="G2010" i="10"/>
  <c r="G1770" i="10"/>
  <c r="G1690" i="10"/>
  <c r="G1583" i="10"/>
  <c r="G1450" i="10"/>
  <c r="G1343" i="10"/>
  <c r="G1263" i="10"/>
  <c r="G1156" i="10"/>
  <c r="G1050" i="10"/>
  <c r="G996" i="10"/>
  <c r="G650" i="10"/>
  <c r="G490" i="10"/>
  <c r="G276" i="10"/>
  <c r="G223" i="10"/>
  <c r="G196" i="10"/>
  <c r="G116" i="10"/>
  <c r="G9586" i="10"/>
  <c r="G8172" i="10"/>
  <c r="G8146" i="10"/>
  <c r="G8066" i="10"/>
  <c r="G7932" i="10"/>
  <c r="G7799" i="10"/>
  <c r="G7772" i="10"/>
  <c r="G7239" i="10"/>
  <c r="G7186" i="10"/>
  <c r="G7106" i="10"/>
  <c r="G6918" i="10"/>
  <c r="G6903" i="10"/>
  <c r="G6889" i="10"/>
  <c r="G5236" i="10"/>
  <c r="G4170" i="10"/>
  <c r="G4143" i="10"/>
  <c r="G4116" i="10"/>
  <c r="G4090" i="10"/>
  <c r="G4036" i="10"/>
  <c r="G3983" i="10"/>
  <c r="G3930" i="10"/>
  <c r="G3770" i="10"/>
  <c r="G3610" i="10"/>
  <c r="G3556" i="10"/>
  <c r="G2436" i="10"/>
  <c r="G2250" i="10"/>
  <c r="G2223" i="10"/>
  <c r="G1983" i="10"/>
  <c r="G1610" i="10"/>
  <c r="G1556" i="10"/>
  <c r="G1530" i="10"/>
  <c r="G1210" i="10"/>
  <c r="G1183" i="10"/>
  <c r="G1023" i="10"/>
  <c r="G916" i="10"/>
  <c r="G836" i="10"/>
  <c r="G756" i="10"/>
  <c r="G676" i="10"/>
  <c r="G596" i="10"/>
  <c r="G543" i="10"/>
  <c r="G516" i="10"/>
  <c r="G10" i="10"/>
  <c r="G9719" i="10"/>
  <c r="G9692" i="10"/>
  <c r="G9639" i="10"/>
  <c r="G8039" i="10"/>
  <c r="G7692" i="10"/>
  <c r="G7639" i="10"/>
  <c r="G7532" i="10"/>
  <c r="G7426" i="10"/>
  <c r="G7399" i="10"/>
  <c r="G7266" i="10"/>
  <c r="G7212" i="10"/>
  <c r="G6999" i="10"/>
  <c r="G5396" i="10"/>
  <c r="G5370" i="10"/>
  <c r="G5210" i="10"/>
  <c r="G5103" i="10"/>
  <c r="G5050" i="10"/>
  <c r="G4943" i="10"/>
  <c r="G4890" i="10"/>
  <c r="G4836" i="10"/>
  <c r="G4650" i="10"/>
  <c r="G4383" i="10"/>
  <c r="G3876" i="10"/>
  <c r="G3850" i="10"/>
  <c r="G3583" i="10"/>
  <c r="G3530" i="10"/>
  <c r="G3396" i="10"/>
  <c r="G2410" i="10"/>
  <c r="G1956" i="10"/>
  <c r="G1743" i="10"/>
  <c r="G1663" i="10"/>
  <c r="G1636" i="10"/>
  <c r="G1503" i="10"/>
  <c r="G1476" i="10"/>
  <c r="G1423" i="10"/>
  <c r="G1396" i="10"/>
  <c r="G1370" i="10"/>
  <c r="G1316" i="10"/>
  <c r="G1290" i="10"/>
  <c r="G1236" i="10"/>
  <c r="G1130" i="10"/>
  <c r="G890" i="10"/>
  <c r="G330" i="10"/>
  <c r="G303" i="10"/>
  <c r="G170" i="10"/>
  <c r="G9532" i="10"/>
  <c r="G9506" i="10"/>
  <c r="G9479" i="10"/>
  <c r="G9452" i="10"/>
  <c r="G9426" i="10"/>
  <c r="G9399" i="10"/>
  <c r="G9372" i="10"/>
  <c r="G9346" i="10"/>
  <c r="G9319" i="10"/>
  <c r="G9292" i="10"/>
  <c r="G9266" i="10"/>
  <c r="G9239" i="10"/>
  <c r="G9212" i="10"/>
  <c r="G9186" i="10"/>
  <c r="G9159" i="10"/>
  <c r="G9132" i="10"/>
  <c r="G9106" i="10"/>
  <c r="G9079" i="10"/>
  <c r="G9052" i="10"/>
  <c r="G9026" i="10"/>
  <c r="G8999" i="10"/>
  <c r="G8972" i="10"/>
  <c r="G8946" i="10"/>
  <c r="G8919" i="10"/>
  <c r="G8892" i="10"/>
  <c r="G8866" i="10"/>
  <c r="G8839" i="10"/>
  <c r="G8812" i="10"/>
  <c r="G8786" i="10"/>
  <c r="G8759" i="10"/>
  <c r="G8732" i="10"/>
  <c r="G8706" i="10"/>
  <c r="G8679" i="10"/>
  <c r="G8652" i="10"/>
  <c r="G8626" i="10"/>
  <c r="G8599" i="10"/>
  <c r="G8572" i="10"/>
  <c r="G8546" i="10"/>
  <c r="G8519" i="10"/>
  <c r="G8492" i="10"/>
  <c r="G8466" i="10"/>
  <c r="G8439" i="10"/>
  <c r="G8412" i="10"/>
  <c r="G8386" i="10"/>
  <c r="G8359" i="10"/>
  <c r="G8332" i="10"/>
  <c r="G8306" i="10"/>
  <c r="G8279" i="10"/>
  <c r="G8252" i="10"/>
  <c r="G8226" i="10"/>
  <c r="B10" i="11"/>
  <c r="G8147" i="10" l="1"/>
  <c r="G7907" i="10"/>
  <c r="G7800" i="10"/>
  <c r="G7587" i="10"/>
  <c r="G7240" i="10"/>
  <c r="G7213" i="10"/>
  <c r="G7107" i="10"/>
  <c r="G7080" i="10"/>
  <c r="G6890" i="10"/>
  <c r="G6864" i="10"/>
  <c r="G6677" i="10"/>
  <c r="G6651" i="10"/>
  <c r="G6624" i="10"/>
  <c r="G6597" i="10"/>
  <c r="G6571" i="10"/>
  <c r="G6544" i="10"/>
  <c r="G6517" i="10"/>
  <c r="G6491" i="10"/>
  <c r="G6464" i="10"/>
  <c r="G6437" i="10"/>
  <c r="G6411" i="10"/>
  <c r="G6384" i="10"/>
  <c r="G6357" i="10"/>
  <c r="G6331" i="10"/>
  <c r="G6304" i="10"/>
  <c r="G6277" i="10"/>
  <c r="G6251" i="10"/>
  <c r="G6224" i="10"/>
  <c r="G6197" i="10"/>
  <c r="G6171" i="10"/>
  <c r="G6144" i="10"/>
  <c r="G6117" i="10"/>
  <c r="G6091" i="10"/>
  <c r="G6064" i="10"/>
  <c r="G6037" i="10"/>
  <c r="G6011" i="10"/>
  <c r="G5984" i="10"/>
  <c r="G5957" i="10"/>
  <c r="G5931" i="10"/>
  <c r="G5904" i="10"/>
  <c r="G5877" i="10"/>
  <c r="G5851" i="10"/>
  <c r="G5824" i="10"/>
  <c r="G5797" i="10"/>
  <c r="G5771" i="10"/>
  <c r="G5744" i="10"/>
  <c r="G5717" i="10"/>
  <c r="G5691" i="10"/>
  <c r="G5664" i="10"/>
  <c r="G5637" i="10"/>
  <c r="G5611" i="10"/>
  <c r="G5584" i="10"/>
  <c r="G5557" i="10"/>
  <c r="G5531" i="10"/>
  <c r="G5504" i="10"/>
  <c r="G5477" i="10"/>
  <c r="G5451" i="10"/>
  <c r="G3291" i="10"/>
  <c r="G3264" i="10"/>
  <c r="G3237" i="10"/>
  <c r="G3211" i="10"/>
  <c r="G3184" i="10"/>
  <c r="G3157" i="10"/>
  <c r="G3131" i="10"/>
  <c r="G3104" i="10"/>
  <c r="G3077" i="10"/>
  <c r="G3051" i="10"/>
  <c r="G3024" i="10"/>
  <c r="G2997" i="10"/>
  <c r="G2971" i="10"/>
  <c r="G2944" i="10"/>
  <c r="G2917" i="10"/>
  <c r="G2891" i="10"/>
  <c r="G2864" i="10"/>
  <c r="G2837" i="10"/>
  <c r="G2811" i="10"/>
  <c r="G2784" i="10"/>
  <c r="G2757" i="10"/>
  <c r="G2731" i="10"/>
  <c r="G2704" i="10"/>
  <c r="G2677" i="10"/>
  <c r="G9785" i="10"/>
  <c r="G9693" i="10"/>
  <c r="G7987" i="10"/>
  <c r="G7720" i="10"/>
  <c r="G7427" i="10"/>
  <c r="G7347" i="10"/>
  <c r="G7187" i="10"/>
  <c r="G7160" i="10"/>
  <c r="G5317" i="10"/>
  <c r="G5157" i="10"/>
  <c r="G4997" i="10"/>
  <c r="G4944" i="10"/>
  <c r="G4891" i="10"/>
  <c r="G4864" i="10"/>
  <c r="G4784" i="10"/>
  <c r="G4757" i="10"/>
  <c r="G4731" i="10"/>
  <c r="G4704" i="10"/>
  <c r="G4357" i="10"/>
  <c r="G4277" i="10"/>
  <c r="G4224" i="10"/>
  <c r="G4064" i="10"/>
  <c r="G3984" i="10"/>
  <c r="G3904" i="10"/>
  <c r="G3531" i="10"/>
  <c r="G3477" i="10"/>
  <c r="G3424" i="10"/>
  <c r="G2597" i="10"/>
  <c r="G2464" i="10"/>
  <c r="G2384" i="10"/>
  <c r="G2144" i="10"/>
  <c r="G1771" i="10"/>
  <c r="G944" i="10"/>
  <c r="G704" i="10"/>
  <c r="G624" i="10"/>
  <c r="G544" i="10"/>
  <c r="G491" i="10"/>
  <c r="G357" i="10"/>
  <c r="G304" i="10"/>
  <c r="G277" i="10"/>
  <c r="G117" i="10"/>
  <c r="G64" i="10"/>
  <c r="G9640" i="10"/>
  <c r="G8173" i="10"/>
  <c r="G8093" i="10"/>
  <c r="G8040" i="10"/>
  <c r="G7933" i="10"/>
  <c r="G7880" i="10"/>
  <c r="G7853" i="10"/>
  <c r="G7827" i="10"/>
  <c r="G7533" i="10"/>
  <c r="G7400" i="10"/>
  <c r="G7293" i="10"/>
  <c r="G7000" i="10"/>
  <c r="G6947" i="10"/>
  <c r="G6784" i="10"/>
  <c r="G6757" i="10"/>
  <c r="G5397" i="10"/>
  <c r="G5344" i="10"/>
  <c r="G5131" i="10"/>
  <c r="G4677" i="10"/>
  <c r="G4464" i="10"/>
  <c r="G4437" i="10"/>
  <c r="G4411" i="10"/>
  <c r="G4251" i="10"/>
  <c r="G4037" i="10"/>
  <c r="G4011" i="10"/>
  <c r="G3931" i="10"/>
  <c r="G3877" i="10"/>
  <c r="G3851" i="10"/>
  <c r="G3824" i="10"/>
  <c r="G3557" i="10"/>
  <c r="G3451" i="10"/>
  <c r="G3397" i="10"/>
  <c r="G3344" i="10"/>
  <c r="G3317" i="10"/>
  <c r="G2624" i="10"/>
  <c r="G2517" i="10"/>
  <c r="G2437" i="10"/>
  <c r="G2304" i="10"/>
  <c r="G2251" i="10"/>
  <c r="G1957" i="10"/>
  <c r="G1131" i="10"/>
  <c r="G1104" i="10"/>
  <c r="G971" i="10"/>
  <c r="G917" i="10"/>
  <c r="G597" i="10"/>
  <c r="G571" i="10"/>
  <c r="G517" i="10"/>
  <c r="G384" i="10"/>
  <c r="G144" i="10"/>
  <c r="G8067" i="10"/>
  <c r="G7747" i="10"/>
  <c r="G7693" i="10"/>
  <c r="G7640" i="10"/>
  <c r="G7560" i="10"/>
  <c r="G7453" i="10"/>
  <c r="G7373" i="10"/>
  <c r="G7267" i="10"/>
  <c r="G7027" i="10"/>
  <c r="G6811" i="10"/>
  <c r="G6731" i="10"/>
  <c r="G5424" i="10"/>
  <c r="G5371" i="10"/>
  <c r="G5291" i="10"/>
  <c r="G5237" i="10"/>
  <c r="G4971" i="10"/>
  <c r="G4837" i="10"/>
  <c r="G4811" i="10"/>
  <c r="G4651" i="10"/>
  <c r="G4624" i="10"/>
  <c r="G4544" i="10"/>
  <c r="G4304" i="10"/>
  <c r="G4197" i="10"/>
  <c r="G4171" i="10"/>
  <c r="G4144" i="10"/>
  <c r="G3797" i="10"/>
  <c r="G3717" i="10"/>
  <c r="G3611" i="10"/>
  <c r="G3504" i="10"/>
  <c r="G2651" i="10"/>
  <c r="G2544" i="10"/>
  <c r="G2491" i="10"/>
  <c r="G2277" i="10"/>
  <c r="G2064" i="10"/>
  <c r="G2037" i="10"/>
  <c r="G2011" i="10"/>
  <c r="G1984" i="10"/>
  <c r="G1797" i="10"/>
  <c r="G1611" i="10"/>
  <c r="G1557" i="10"/>
  <c r="G1531" i="10"/>
  <c r="G1451" i="10"/>
  <c r="G1317" i="10"/>
  <c r="G1291" i="10"/>
  <c r="G1264" i="10"/>
  <c r="G1237" i="10"/>
  <c r="G1077" i="10"/>
  <c r="G731" i="10"/>
  <c r="G437" i="10"/>
  <c r="G331" i="10"/>
  <c r="G11" i="10"/>
  <c r="G9667" i="10"/>
  <c r="G9613" i="10"/>
  <c r="G9560" i="10"/>
  <c r="G8200" i="10"/>
  <c r="G8013" i="10"/>
  <c r="G7960" i="10"/>
  <c r="G7133" i="10"/>
  <c r="G7053" i="10"/>
  <c r="G6837" i="10"/>
  <c r="G5264" i="10"/>
  <c r="G5104" i="10"/>
  <c r="G5051" i="10"/>
  <c r="G5024" i="10"/>
  <c r="G4597" i="10"/>
  <c r="G4491" i="10"/>
  <c r="G4384" i="10"/>
  <c r="G4117" i="10"/>
  <c r="G4091" i="10"/>
  <c r="G3957" i="10"/>
  <c r="G3771" i="10"/>
  <c r="G3637" i="10"/>
  <c r="G3584" i="10"/>
  <c r="G2411" i="10"/>
  <c r="G2357" i="10"/>
  <c r="G2197" i="10"/>
  <c r="G1904" i="10"/>
  <c r="G1877" i="10"/>
  <c r="G1851" i="10"/>
  <c r="G1744" i="10"/>
  <c r="G1371" i="10"/>
  <c r="G1344" i="10"/>
  <c r="G1184" i="10"/>
  <c r="G1157" i="10"/>
  <c r="G1051" i="10"/>
  <c r="G997" i="10"/>
  <c r="G837" i="10"/>
  <c r="G677" i="10"/>
  <c r="G651" i="10"/>
  <c r="G464" i="10"/>
  <c r="G411" i="10"/>
  <c r="G37" i="10"/>
  <c r="G9772" i="10"/>
  <c r="G9587" i="10"/>
  <c r="G8120" i="10"/>
  <c r="G7773" i="10"/>
  <c r="G7667" i="10"/>
  <c r="G7613" i="10"/>
  <c r="G7507" i="10"/>
  <c r="G7480" i="10"/>
  <c r="G7320" i="10"/>
  <c r="G6973" i="10"/>
  <c r="G6919" i="10"/>
  <c r="G6904" i="10"/>
  <c r="G6704" i="10"/>
  <c r="G5211" i="10"/>
  <c r="G5184" i="10"/>
  <c r="G5077" i="10"/>
  <c r="G4917" i="10"/>
  <c r="G4571" i="10"/>
  <c r="G4517" i="10"/>
  <c r="G4331" i="10"/>
  <c r="G3744" i="10"/>
  <c r="G3691" i="10"/>
  <c r="G3664" i="10"/>
  <c r="G3371" i="10"/>
  <c r="G2571" i="10"/>
  <c r="G2331" i="10"/>
  <c r="G2224" i="10"/>
  <c r="G2171" i="10"/>
  <c r="G2117" i="10"/>
  <c r="G2091" i="10"/>
  <c r="G1931" i="10"/>
  <c r="G1824" i="10"/>
  <c r="G1717" i="10"/>
  <c r="G1691" i="10"/>
  <c r="G1664" i="10"/>
  <c r="G1637" i="10"/>
  <c r="G1584" i="10"/>
  <c r="G1504" i="10"/>
  <c r="G1477" i="10"/>
  <c r="G1424" i="10"/>
  <c r="G1397" i="10"/>
  <c r="G1211" i="10"/>
  <c r="G1024" i="10"/>
  <c r="G891" i="10"/>
  <c r="G864" i="10"/>
  <c r="G784" i="10"/>
  <c r="G757" i="10"/>
  <c r="G251" i="10"/>
  <c r="G224" i="10"/>
  <c r="G197" i="10"/>
  <c r="G171" i="10"/>
  <c r="G91" i="10"/>
  <c r="G9759" i="10"/>
  <c r="G9720" i="10"/>
  <c r="G9533" i="10"/>
  <c r="G9507" i="10"/>
  <c r="G9480" i="10"/>
  <c r="G9453" i="10"/>
  <c r="G9427" i="10"/>
  <c r="G9400" i="10"/>
  <c r="G9373" i="10"/>
  <c r="G9347" i="10"/>
  <c r="G9320" i="10"/>
  <c r="G9293" i="10"/>
  <c r="G9267" i="10"/>
  <c r="G9240" i="10"/>
  <c r="G9213" i="10"/>
  <c r="G9187" i="10"/>
  <c r="G9160" i="10"/>
  <c r="G9133" i="10"/>
  <c r="G9107" i="10"/>
  <c r="G9080" i="10"/>
  <c r="G9053" i="10"/>
  <c r="G9027" i="10"/>
  <c r="G9000" i="10"/>
  <c r="G8973" i="10"/>
  <c r="G8947" i="10"/>
  <c r="G8920" i="10"/>
  <c r="G8893" i="10"/>
  <c r="G8867" i="10"/>
  <c r="G8840" i="10"/>
  <c r="G8813" i="10"/>
  <c r="G8787" i="10"/>
  <c r="G8760" i="10"/>
  <c r="G8733" i="10"/>
  <c r="G8707" i="10"/>
  <c r="G8680" i="10"/>
  <c r="G8653" i="10"/>
  <c r="G8627" i="10"/>
  <c r="G8600" i="10"/>
  <c r="G8573" i="10"/>
  <c r="G8547" i="10"/>
  <c r="G8520" i="10"/>
  <c r="G8493" i="10"/>
  <c r="G8467" i="10"/>
  <c r="G8440" i="10"/>
  <c r="G8413" i="10"/>
  <c r="G8387" i="10"/>
  <c r="G8360" i="10"/>
  <c r="G8333" i="10"/>
  <c r="G8307" i="10"/>
  <c r="G8280" i="10"/>
  <c r="G8253" i="10"/>
  <c r="G8227" i="10"/>
  <c r="B11" i="11"/>
  <c r="G9641" i="10" l="1"/>
  <c r="G8174" i="10"/>
  <c r="G7801" i="10"/>
  <c r="G7534" i="10"/>
  <c r="G7188" i="10"/>
  <c r="G7054" i="10"/>
  <c r="G7028" i="10"/>
  <c r="G6920" i="10"/>
  <c r="G6758" i="10"/>
  <c r="G6678" i="10"/>
  <c r="G6652" i="10"/>
  <c r="G6625" i="10"/>
  <c r="G6598" i="10"/>
  <c r="G6572" i="10"/>
  <c r="G6545" i="10"/>
  <c r="G6518" i="10"/>
  <c r="G6492" i="10"/>
  <c r="G6465" i="10"/>
  <c r="G6438" i="10"/>
  <c r="G6412" i="10"/>
  <c r="G6385" i="10"/>
  <c r="G6358" i="10"/>
  <c r="G6332" i="10"/>
  <c r="G6305" i="10"/>
  <c r="G6278" i="10"/>
  <c r="G6252" i="10"/>
  <c r="G6225" i="10"/>
  <c r="G6198" i="10"/>
  <c r="G6172" i="10"/>
  <c r="G6145" i="10"/>
  <c r="G6118" i="10"/>
  <c r="G6092" i="10"/>
  <c r="G6065" i="10"/>
  <c r="G6038" i="10"/>
  <c r="G6012" i="10"/>
  <c r="G5985" i="10"/>
  <c r="G5958" i="10"/>
  <c r="G5932" i="10"/>
  <c r="G5905" i="10"/>
  <c r="G5878" i="10"/>
  <c r="G5852" i="10"/>
  <c r="G5825" i="10"/>
  <c r="G5798" i="10"/>
  <c r="G5772" i="10"/>
  <c r="G5745" i="10"/>
  <c r="G5718" i="10"/>
  <c r="G5692" i="10"/>
  <c r="G5665" i="10"/>
  <c r="G5638" i="10"/>
  <c r="G5612" i="10"/>
  <c r="G5585" i="10"/>
  <c r="G5558" i="10"/>
  <c r="G5532" i="10"/>
  <c r="G5505" i="10"/>
  <c r="G5478" i="10"/>
  <c r="G5452" i="10"/>
  <c r="G3265" i="10"/>
  <c r="G3238" i="10"/>
  <c r="G3212" i="10"/>
  <c r="G3185" i="10"/>
  <c r="G3158" i="10"/>
  <c r="G3132" i="10"/>
  <c r="G3105" i="10"/>
  <c r="G3078" i="10"/>
  <c r="G3052" i="10"/>
  <c r="G3025" i="10"/>
  <c r="G2998" i="10"/>
  <c r="G2972" i="10"/>
  <c r="G2945" i="10"/>
  <c r="G2918" i="10"/>
  <c r="G2892" i="10"/>
  <c r="G2865" i="10"/>
  <c r="G2838" i="10"/>
  <c r="G2812" i="10"/>
  <c r="G2785" i="10"/>
  <c r="G2758" i="10"/>
  <c r="G2732" i="10"/>
  <c r="G2705" i="10"/>
  <c r="G2678" i="10"/>
  <c r="G9588" i="10"/>
  <c r="G8068" i="10"/>
  <c r="G7881" i="10"/>
  <c r="G7854" i="10"/>
  <c r="G7694" i="10"/>
  <c r="G7481" i="10"/>
  <c r="G7401" i="10"/>
  <c r="G7321" i="10"/>
  <c r="G7108" i="10"/>
  <c r="G6948" i="10"/>
  <c r="G5372" i="10"/>
  <c r="G5265" i="10"/>
  <c r="G4892" i="10"/>
  <c r="G4838" i="10"/>
  <c r="G4812" i="10"/>
  <c r="G4652" i="10"/>
  <c r="G4625" i="10"/>
  <c r="G4332" i="10"/>
  <c r="G4198" i="10"/>
  <c r="G3932" i="10"/>
  <c r="G3905" i="10"/>
  <c r="G3772" i="10"/>
  <c r="G3692" i="10"/>
  <c r="G3638" i="10"/>
  <c r="G3558" i="10"/>
  <c r="G3478" i="10"/>
  <c r="G3452" i="10"/>
  <c r="G3372" i="10"/>
  <c r="G3345" i="10"/>
  <c r="G2545" i="10"/>
  <c r="G2492" i="10"/>
  <c r="G2438" i="10"/>
  <c r="G2225" i="10"/>
  <c r="G1958" i="10"/>
  <c r="G1905" i="10"/>
  <c r="G892" i="10"/>
  <c r="G758" i="10"/>
  <c r="G678" i="10"/>
  <c r="G358" i="10"/>
  <c r="G305" i="10"/>
  <c r="G252" i="10"/>
  <c r="G172" i="10"/>
  <c r="G92" i="10"/>
  <c r="G9721" i="10"/>
  <c r="G8201" i="10"/>
  <c r="G8148" i="10"/>
  <c r="G7988" i="10"/>
  <c r="G7748" i="10"/>
  <c r="G7641" i="10"/>
  <c r="G7561" i="10"/>
  <c r="G7508" i="10"/>
  <c r="G7454" i="10"/>
  <c r="G7428" i="10"/>
  <c r="G7374" i="10"/>
  <c r="G5158" i="10"/>
  <c r="G5025" i="10"/>
  <c r="G4998" i="10"/>
  <c r="G4972" i="10"/>
  <c r="G4945" i="10"/>
  <c r="G4358" i="10"/>
  <c r="G4172" i="10"/>
  <c r="G4065" i="10"/>
  <c r="G4012" i="10"/>
  <c r="G3798" i="10"/>
  <c r="G3745" i="10"/>
  <c r="G3585" i="10"/>
  <c r="G3425" i="10"/>
  <c r="G3292" i="10"/>
  <c r="G2652" i="10"/>
  <c r="G2465" i="10"/>
  <c r="G2385" i="10"/>
  <c r="G2332" i="10"/>
  <c r="G2278" i="10"/>
  <c r="G2172" i="10"/>
  <c r="G2065" i="10"/>
  <c r="G1985" i="10"/>
  <c r="G1878" i="10"/>
  <c r="G1852" i="10"/>
  <c r="G1718" i="10"/>
  <c r="G1212" i="10"/>
  <c r="G1158" i="10"/>
  <c r="G1105" i="10"/>
  <c r="G1052" i="10"/>
  <c r="G1025" i="10"/>
  <c r="G998" i="10"/>
  <c r="G865" i="10"/>
  <c r="G598" i="10"/>
  <c r="G572" i="10"/>
  <c r="G465" i="10"/>
  <c r="G225" i="10"/>
  <c r="G145" i="10"/>
  <c r="G9786" i="10"/>
  <c r="G9561" i="10"/>
  <c r="G8094" i="10"/>
  <c r="G8014" i="10"/>
  <c r="G7961" i="10"/>
  <c r="G7774" i="10"/>
  <c r="G7668" i="10"/>
  <c r="G7614" i="10"/>
  <c r="G7214" i="10"/>
  <c r="G7081" i="10"/>
  <c r="G6905" i="10"/>
  <c r="G6865" i="10"/>
  <c r="G6838" i="10"/>
  <c r="G6705" i="10"/>
  <c r="G5425" i="10"/>
  <c r="G5345" i="10"/>
  <c r="G5318" i="10"/>
  <c r="G4918" i="10"/>
  <c r="G4732" i="10"/>
  <c r="G4705" i="10"/>
  <c r="G4678" i="10"/>
  <c r="G4598" i="10"/>
  <c r="G4572" i="10"/>
  <c r="G4518" i="10"/>
  <c r="G4492" i="10"/>
  <c r="G4438" i="10"/>
  <c r="G4252" i="10"/>
  <c r="G4225" i="10"/>
  <c r="G4118" i="10"/>
  <c r="G4092" i="10"/>
  <c r="G3958" i="10"/>
  <c r="G3718" i="10"/>
  <c r="G3665" i="10"/>
  <c r="G3532" i="10"/>
  <c r="G3318" i="10"/>
  <c r="G2625" i="10"/>
  <c r="G2412" i="10"/>
  <c r="G2305" i="10"/>
  <c r="G2198" i="10"/>
  <c r="G2118" i="10"/>
  <c r="G2038" i="10"/>
  <c r="G1932" i="10"/>
  <c r="G1772" i="10"/>
  <c r="G1425" i="10"/>
  <c r="G1398" i="10"/>
  <c r="G1345" i="10"/>
  <c r="G1265" i="10"/>
  <c r="G1238" i="10"/>
  <c r="G1078" i="10"/>
  <c r="G972" i="10"/>
  <c r="G945" i="10"/>
  <c r="G918" i="10"/>
  <c r="G838" i="10"/>
  <c r="G652" i="10"/>
  <c r="G518" i="10"/>
  <c r="G492" i="10"/>
  <c r="G385" i="10"/>
  <c r="G278" i="10"/>
  <c r="G198" i="10"/>
  <c r="G118" i="10"/>
  <c r="G65" i="10"/>
  <c r="G9773" i="10"/>
  <c r="G9694" i="10"/>
  <c r="G8121" i="10"/>
  <c r="G7934" i="10"/>
  <c r="G7908" i="10"/>
  <c r="G7721" i="10"/>
  <c r="G7268" i="10"/>
  <c r="G6974" i="10"/>
  <c r="G6812" i="10"/>
  <c r="G6785" i="10"/>
  <c r="G6732" i="10"/>
  <c r="G5212" i="10"/>
  <c r="G5185" i="10"/>
  <c r="G5078" i="10"/>
  <c r="G5052" i="10"/>
  <c r="G4865" i="10"/>
  <c r="G4758" i="10"/>
  <c r="G4545" i="10"/>
  <c r="G4038" i="10"/>
  <c r="G3985" i="10"/>
  <c r="G3612" i="10"/>
  <c r="G2518" i="10"/>
  <c r="G2358" i="10"/>
  <c r="G2252" i="10"/>
  <c r="G2092" i="10"/>
  <c r="G1745" i="10"/>
  <c r="G1692" i="10"/>
  <c r="G1558" i="10"/>
  <c r="G1532" i="10"/>
  <c r="G1505" i="10"/>
  <c r="G1478" i="10"/>
  <c r="G1452" i="10"/>
  <c r="G1372" i="10"/>
  <c r="G1318" i="10"/>
  <c r="G1292" i="10"/>
  <c r="G1132" i="10"/>
  <c r="G785" i="10"/>
  <c r="G625" i="10"/>
  <c r="G545" i="10"/>
  <c r="G438" i="10"/>
  <c r="G412" i="10"/>
  <c r="G332" i="10"/>
  <c r="G12" i="10"/>
  <c r="G9760" i="10"/>
  <c r="G9668" i="10"/>
  <c r="G9614" i="10"/>
  <c r="G8041" i="10"/>
  <c r="G7828" i="10"/>
  <c r="G7588" i="10"/>
  <c r="G7348" i="10"/>
  <c r="G7294" i="10"/>
  <c r="G7241" i="10"/>
  <c r="G7161" i="10"/>
  <c r="G7134" i="10"/>
  <c r="G7001" i="10"/>
  <c r="G6891" i="10"/>
  <c r="G5398" i="10"/>
  <c r="G5292" i="10"/>
  <c r="G5238" i="10"/>
  <c r="G5132" i="10"/>
  <c r="G5105" i="10"/>
  <c r="G4785" i="10"/>
  <c r="G4465" i="10"/>
  <c r="G4412" i="10"/>
  <c r="G4385" i="10"/>
  <c r="G4305" i="10"/>
  <c r="G4278" i="10"/>
  <c r="G4145" i="10"/>
  <c r="G3878" i="10"/>
  <c r="G3852" i="10"/>
  <c r="G3825" i="10"/>
  <c r="G3505" i="10"/>
  <c r="G3398" i="10"/>
  <c r="G2598" i="10"/>
  <c r="G2572" i="10"/>
  <c r="G2145" i="10"/>
  <c r="G2012" i="10"/>
  <c r="G1825" i="10"/>
  <c r="G1798" i="10"/>
  <c r="G1665" i="10"/>
  <c r="G1638" i="10"/>
  <c r="G1612" i="10"/>
  <c r="G1585" i="10"/>
  <c r="G1185" i="10"/>
  <c r="G732" i="10"/>
  <c r="G705" i="10"/>
  <c r="G38" i="10"/>
  <c r="G9534" i="10"/>
  <c r="G9508" i="10"/>
  <c r="G9481" i="10"/>
  <c r="G9454" i="10"/>
  <c r="G9428" i="10"/>
  <c r="G9401" i="10"/>
  <c r="G9374" i="10"/>
  <c r="G9348" i="10"/>
  <c r="G9321" i="10"/>
  <c r="G9294" i="10"/>
  <c r="G9268" i="10"/>
  <c r="G9241" i="10"/>
  <c r="G9214" i="10"/>
  <c r="G9188" i="10"/>
  <c r="G9161" i="10"/>
  <c r="G9134" i="10"/>
  <c r="G9108" i="10"/>
  <c r="G9081" i="10"/>
  <c r="G9054" i="10"/>
  <c r="G9028" i="10"/>
  <c r="G9001" i="10"/>
  <c r="G8974" i="10"/>
  <c r="G8948" i="10"/>
  <c r="G8921" i="10"/>
  <c r="G8894" i="10"/>
  <c r="G8868" i="10"/>
  <c r="G8841" i="10"/>
  <c r="G8814" i="10"/>
  <c r="G8788" i="10"/>
  <c r="G8761" i="10"/>
  <c r="G8734" i="10"/>
  <c r="G8708" i="10"/>
  <c r="G8681" i="10"/>
  <c r="G8654" i="10"/>
  <c r="G8628" i="10"/>
  <c r="G8601" i="10"/>
  <c r="G8574" i="10"/>
  <c r="G8548" i="10"/>
  <c r="G8521" i="10"/>
  <c r="G8494" i="10"/>
  <c r="G8468" i="10"/>
  <c r="G8441" i="10"/>
  <c r="G8414" i="10"/>
  <c r="G8388" i="10"/>
  <c r="G8361" i="10"/>
  <c r="G8334" i="10"/>
  <c r="G8308" i="10"/>
  <c r="G8281" i="10"/>
  <c r="G8254" i="10"/>
  <c r="G8228" i="10"/>
  <c r="B12" i="11"/>
  <c r="G7109" i="10" l="1"/>
  <c r="G7002" i="10"/>
  <c r="G6975" i="10"/>
  <c r="G6949" i="10"/>
  <c r="G6679" i="10"/>
  <c r="G6653" i="10"/>
  <c r="G6626" i="10"/>
  <c r="G6599" i="10"/>
  <c r="G6573" i="10"/>
  <c r="G6546" i="10"/>
  <c r="G6519" i="10"/>
  <c r="G6493" i="10"/>
  <c r="G6466" i="10"/>
  <c r="G6439" i="10"/>
  <c r="G6413" i="10"/>
  <c r="G6386" i="10"/>
  <c r="G6359" i="10"/>
  <c r="G6333" i="10"/>
  <c r="G6306" i="10"/>
  <c r="G6279" i="10"/>
  <c r="G6253" i="10"/>
  <c r="G6226" i="10"/>
  <c r="G6199" i="10"/>
  <c r="G6173" i="10"/>
  <c r="G6146" i="10"/>
  <c r="G6119" i="10"/>
  <c r="G6093" i="10"/>
  <c r="G6066" i="10"/>
  <c r="G6039" i="10"/>
  <c r="G6013" i="10"/>
  <c r="G5986" i="10"/>
  <c r="G5959" i="10"/>
  <c r="G5933" i="10"/>
  <c r="G5906" i="10"/>
  <c r="G5879" i="10"/>
  <c r="G5853" i="10"/>
  <c r="G5826" i="10"/>
  <c r="G5799" i="10"/>
  <c r="G5773" i="10"/>
  <c r="G5746" i="10"/>
  <c r="G5719" i="10"/>
  <c r="G5693" i="10"/>
  <c r="G5666" i="10"/>
  <c r="G5639" i="10"/>
  <c r="G5613" i="10"/>
  <c r="G5586" i="10"/>
  <c r="G5559" i="10"/>
  <c r="G5533" i="10"/>
  <c r="G5506" i="10"/>
  <c r="G5479" i="10"/>
  <c r="G5453" i="10"/>
  <c r="G3346" i="10"/>
  <c r="G3266" i="10"/>
  <c r="G3239" i="10"/>
  <c r="G3213" i="10"/>
  <c r="G3186" i="10"/>
  <c r="G3159" i="10"/>
  <c r="G3133" i="10"/>
  <c r="G3106" i="10"/>
  <c r="G3079" i="10"/>
  <c r="G3053" i="10"/>
  <c r="G3026" i="10"/>
  <c r="G2999" i="10"/>
  <c r="G2973" i="10"/>
  <c r="G2946" i="10"/>
  <c r="G2919" i="10"/>
  <c r="G2893" i="10"/>
  <c r="G2866" i="10"/>
  <c r="G2839" i="10"/>
  <c r="G2813" i="10"/>
  <c r="G2786" i="10"/>
  <c r="G2759" i="10"/>
  <c r="G2733" i="10"/>
  <c r="G2706" i="10"/>
  <c r="G2679" i="10"/>
  <c r="G7935" i="10"/>
  <c r="G7722" i="10"/>
  <c r="G7669" i="10"/>
  <c r="G7615" i="10"/>
  <c r="G7375" i="10"/>
  <c r="G7135" i="10"/>
  <c r="G7082" i="10"/>
  <c r="G7029" i="10"/>
  <c r="G6839" i="10"/>
  <c r="G6759" i="10"/>
  <c r="G5293" i="10"/>
  <c r="G5213" i="10"/>
  <c r="G5186" i="10"/>
  <c r="G5133" i="10"/>
  <c r="G4999" i="10"/>
  <c r="G4973" i="10"/>
  <c r="G4706" i="10"/>
  <c r="G4679" i="10"/>
  <c r="G4653" i="10"/>
  <c r="G4599" i="10"/>
  <c r="G4573" i="10"/>
  <c r="G4466" i="10"/>
  <c r="G4359" i="10"/>
  <c r="G4306" i="10"/>
  <c r="G4119" i="10"/>
  <c r="G4093" i="10"/>
  <c r="G3986" i="10"/>
  <c r="G3959" i="10"/>
  <c r="G3879" i="10"/>
  <c r="G3826" i="10"/>
  <c r="G3719" i="10"/>
  <c r="G3479" i="10"/>
  <c r="G2519" i="10"/>
  <c r="G2173" i="10"/>
  <c r="G1879" i="10"/>
  <c r="G1746" i="10"/>
  <c r="G973" i="10"/>
  <c r="G786" i="10"/>
  <c r="G706" i="10"/>
  <c r="G679" i="10"/>
  <c r="G599" i="10"/>
  <c r="G546" i="10"/>
  <c r="G386" i="10"/>
  <c r="G279" i="10"/>
  <c r="G146" i="10"/>
  <c r="G9787" i="10"/>
  <c r="G9761" i="10"/>
  <c r="G9695" i="10"/>
  <c r="G9669" i="10"/>
  <c r="G8149" i="10"/>
  <c r="G8122" i="10"/>
  <c r="G8042" i="10"/>
  <c r="G8015" i="10"/>
  <c r="G7962" i="10"/>
  <c r="G7882" i="10"/>
  <c r="G7269" i="10"/>
  <c r="G7189" i="10"/>
  <c r="G7162" i="10"/>
  <c r="G6813" i="10"/>
  <c r="G6786" i="10"/>
  <c r="G6733" i="10"/>
  <c r="G6706" i="10"/>
  <c r="G5373" i="10"/>
  <c r="G5319" i="10"/>
  <c r="G5159" i="10"/>
  <c r="G5053" i="10"/>
  <c r="G5026" i="10"/>
  <c r="G4866" i="10"/>
  <c r="G4759" i="10"/>
  <c r="G4626" i="10"/>
  <c r="G4439" i="10"/>
  <c r="G4253" i="10"/>
  <c r="G4039" i="10"/>
  <c r="G3853" i="10"/>
  <c r="G3746" i="10"/>
  <c r="G3693" i="10"/>
  <c r="G3559" i="10"/>
  <c r="G3533" i="10"/>
  <c r="G3319" i="10"/>
  <c r="G2626" i="10"/>
  <c r="G2599" i="10"/>
  <c r="G2573" i="10"/>
  <c r="G2466" i="10"/>
  <c r="G2413" i="10"/>
  <c r="G2386" i="10"/>
  <c r="G2306" i="10"/>
  <c r="G2253" i="10"/>
  <c r="G2093" i="10"/>
  <c r="G2066" i="10"/>
  <c r="G1826" i="10"/>
  <c r="G1213" i="10"/>
  <c r="G1133" i="10"/>
  <c r="G946" i="10"/>
  <c r="G839" i="10"/>
  <c r="G733" i="10"/>
  <c r="G626" i="10"/>
  <c r="G519" i="10"/>
  <c r="G359" i="10"/>
  <c r="G119" i="10"/>
  <c r="G93" i="10"/>
  <c r="G66" i="10"/>
  <c r="G39" i="10"/>
  <c r="G9774" i="10"/>
  <c r="G7855" i="10"/>
  <c r="G7802" i="10"/>
  <c r="G7749" i="10"/>
  <c r="G7695" i="10"/>
  <c r="G7642" i="10"/>
  <c r="G7589" i="10"/>
  <c r="G7562" i="10"/>
  <c r="G7535" i="10"/>
  <c r="G7509" i="10"/>
  <c r="G7455" i="10"/>
  <c r="G7349" i="10"/>
  <c r="G7242" i="10"/>
  <c r="G7055" i="10"/>
  <c r="G6866" i="10"/>
  <c r="G4946" i="10"/>
  <c r="G4839" i="10"/>
  <c r="G4813" i="10"/>
  <c r="G4786" i="10"/>
  <c r="G4733" i="10"/>
  <c r="G4519" i="10"/>
  <c r="G4413" i="10"/>
  <c r="G4279" i="10"/>
  <c r="G4199" i="10"/>
  <c r="G4173" i="10"/>
  <c r="G4146" i="10"/>
  <c r="G4066" i="10"/>
  <c r="G4013" i="10"/>
  <c r="G3906" i="10"/>
  <c r="G3773" i="10"/>
  <c r="G3506" i="10"/>
  <c r="G3426" i="10"/>
  <c r="G3293" i="10"/>
  <c r="G2653" i="10"/>
  <c r="G2546" i="10"/>
  <c r="G2493" i="10"/>
  <c r="G2279" i="10"/>
  <c r="G2226" i="10"/>
  <c r="G2199" i="10"/>
  <c r="G2146" i="10"/>
  <c r="G1853" i="10"/>
  <c r="G1799" i="10"/>
  <c r="G1693" i="10"/>
  <c r="G1613" i="10"/>
  <c r="G1559" i="10"/>
  <c r="G1533" i="10"/>
  <c r="G1453" i="10"/>
  <c r="G1159" i="10"/>
  <c r="G999" i="10"/>
  <c r="G893" i="10"/>
  <c r="G493" i="10"/>
  <c r="G439" i="10"/>
  <c r="G226" i="10"/>
  <c r="G173" i="10"/>
  <c r="G9615" i="10"/>
  <c r="G8069" i="10"/>
  <c r="G7909" i="10"/>
  <c r="G7829" i="10"/>
  <c r="G7775" i="10"/>
  <c r="G7322" i="10"/>
  <c r="G7295" i="10"/>
  <c r="G7215" i="10"/>
  <c r="G5399" i="10"/>
  <c r="G5346" i="10"/>
  <c r="G5266" i="10"/>
  <c r="G5239" i="10"/>
  <c r="G5106" i="10"/>
  <c r="G4919" i="10"/>
  <c r="G4493" i="10"/>
  <c r="G4386" i="10"/>
  <c r="G4226" i="10"/>
  <c r="G3639" i="10"/>
  <c r="G3613" i="10"/>
  <c r="G2333" i="10"/>
  <c r="G2119" i="10"/>
  <c r="G2013" i="10"/>
  <c r="G1986" i="10"/>
  <c r="G1906" i="10"/>
  <c r="G1666" i="10"/>
  <c r="G1586" i="10"/>
  <c r="G1506" i="10"/>
  <c r="G1479" i="10"/>
  <c r="G1399" i="10"/>
  <c r="G1373" i="10"/>
  <c r="G1346" i="10"/>
  <c r="G1266" i="10"/>
  <c r="G1106" i="10"/>
  <c r="G1026" i="10"/>
  <c r="G759" i="10"/>
  <c r="G653" i="10"/>
  <c r="G573" i="10"/>
  <c r="G466" i="10"/>
  <c r="G413" i="10"/>
  <c r="G306" i="10"/>
  <c r="G13" i="10"/>
  <c r="G9642" i="10"/>
  <c r="G8202" i="10"/>
  <c r="G8175" i="10"/>
  <c r="G8095" i="10"/>
  <c r="G7989" i="10"/>
  <c r="G7482" i="10"/>
  <c r="G7429" i="10"/>
  <c r="G7402" i="10"/>
  <c r="G5426" i="10"/>
  <c r="G5079" i="10"/>
  <c r="G4893" i="10"/>
  <c r="G4546" i="10"/>
  <c r="G4333" i="10"/>
  <c r="G3933" i="10"/>
  <c r="G3799" i="10"/>
  <c r="G3666" i="10"/>
  <c r="G3586" i="10"/>
  <c r="G3453" i="10"/>
  <c r="G3399" i="10"/>
  <c r="G3373" i="10"/>
  <c r="G2439" i="10"/>
  <c r="G2359" i="10"/>
  <c r="G2039" i="10"/>
  <c r="G1959" i="10"/>
  <c r="G1933" i="10"/>
  <c r="G1773" i="10"/>
  <c r="G1719" i="10"/>
  <c r="G1639" i="10"/>
  <c r="G1426" i="10"/>
  <c r="G1319" i="10"/>
  <c r="G1293" i="10"/>
  <c r="G1239" i="10"/>
  <c r="G1186" i="10"/>
  <c r="G1079" i="10"/>
  <c r="G1053" i="10"/>
  <c r="G919" i="10"/>
  <c r="G866" i="10"/>
  <c r="G333" i="10"/>
  <c r="G253" i="10"/>
  <c r="G199" i="10"/>
  <c r="G9722" i="10"/>
  <c r="G9589" i="10"/>
  <c r="G9562" i="10"/>
  <c r="G9535" i="10"/>
  <c r="G9509" i="10"/>
  <c r="G9482" i="10"/>
  <c r="G9455" i="10"/>
  <c r="G9429" i="10"/>
  <c r="G9402" i="10"/>
  <c r="G9375" i="10"/>
  <c r="G9349" i="10"/>
  <c r="G9322" i="10"/>
  <c r="G9295" i="10"/>
  <c r="G9269" i="10"/>
  <c r="G9242" i="10"/>
  <c r="G9215" i="10"/>
  <c r="G9189" i="10"/>
  <c r="G9162" i="10"/>
  <c r="G9135" i="10"/>
  <c r="G9109" i="10"/>
  <c r="G9082" i="10"/>
  <c r="G9055" i="10"/>
  <c r="G9029" i="10"/>
  <c r="G9002" i="10"/>
  <c r="G8975" i="10"/>
  <c r="G8949" i="10"/>
  <c r="G8922" i="10"/>
  <c r="G8895" i="10"/>
  <c r="G8869" i="10"/>
  <c r="G8842" i="10"/>
  <c r="G8815" i="10"/>
  <c r="G8789" i="10"/>
  <c r="G8762" i="10"/>
  <c r="G8735" i="10"/>
  <c r="G8709" i="10"/>
  <c r="G8682" i="10"/>
  <c r="G8655" i="10"/>
  <c r="G8629" i="10"/>
  <c r="G8602" i="10"/>
  <c r="G8575" i="10"/>
  <c r="G8549" i="10"/>
  <c r="G8522" i="10"/>
  <c r="G8495" i="10"/>
  <c r="G8469" i="10"/>
  <c r="G8442" i="10"/>
  <c r="G8415" i="10"/>
  <c r="G8389" i="10"/>
  <c r="G8362" i="10"/>
  <c r="G8335" i="10"/>
  <c r="G8309" i="10"/>
  <c r="G8282" i="10"/>
  <c r="G8255" i="10"/>
  <c r="G8229" i="10"/>
  <c r="B13" i="11"/>
  <c r="G9563" i="10" l="1"/>
  <c r="G8203" i="10"/>
  <c r="G7856" i="10"/>
  <c r="G7430" i="10"/>
  <c r="G7243" i="10"/>
  <c r="G7216" i="10"/>
  <c r="G7083" i="10"/>
  <c r="G6930" i="10"/>
  <c r="G6867" i="10"/>
  <c r="G6680" i="10"/>
  <c r="G6654" i="10"/>
  <c r="G6627" i="10"/>
  <c r="G6600" i="10"/>
  <c r="G6574" i="10"/>
  <c r="G6547" i="10"/>
  <c r="G6520" i="10"/>
  <c r="G6494" i="10"/>
  <c r="G6467" i="10"/>
  <c r="G6440" i="10"/>
  <c r="G6414" i="10"/>
  <c r="G6387" i="10"/>
  <c r="G6360" i="10"/>
  <c r="G6334" i="10"/>
  <c r="G6307" i="10"/>
  <c r="G6280" i="10"/>
  <c r="G6254" i="10"/>
  <c r="G6227" i="10"/>
  <c r="G6200" i="10"/>
  <c r="G6174" i="10"/>
  <c r="G6147" i="10"/>
  <c r="G6120" i="10"/>
  <c r="G6094" i="10"/>
  <c r="G6067" i="10"/>
  <c r="G6040" i="10"/>
  <c r="G6014" i="10"/>
  <c r="G5987" i="10"/>
  <c r="G5960" i="10"/>
  <c r="G5934" i="10"/>
  <c r="G5907" i="10"/>
  <c r="G5880" i="10"/>
  <c r="G5854" i="10"/>
  <c r="G5827" i="10"/>
  <c r="G5800" i="10"/>
  <c r="G5774" i="10"/>
  <c r="G5747" i="10"/>
  <c r="G5720" i="10"/>
  <c r="G5694" i="10"/>
  <c r="G5667" i="10"/>
  <c r="G5640" i="10"/>
  <c r="G5614" i="10"/>
  <c r="G5587" i="10"/>
  <c r="G5560" i="10"/>
  <c r="G5534" i="10"/>
  <c r="G5507" i="10"/>
  <c r="G5480" i="10"/>
  <c r="G5454" i="10"/>
  <c r="G3267" i="10"/>
  <c r="G3240" i="10"/>
  <c r="G3214" i="10"/>
  <c r="G3187" i="10"/>
  <c r="G3160" i="10"/>
  <c r="G3134" i="10"/>
  <c r="G3107" i="10"/>
  <c r="G3080" i="10"/>
  <c r="G3054" i="10"/>
  <c r="G3027" i="10"/>
  <c r="G3000" i="10"/>
  <c r="G2974" i="10"/>
  <c r="G2947" i="10"/>
  <c r="G2920" i="10"/>
  <c r="G2894" i="10"/>
  <c r="G2867" i="10"/>
  <c r="G2840" i="10"/>
  <c r="G2814" i="10"/>
  <c r="G2787" i="10"/>
  <c r="G2760" i="10"/>
  <c r="G2734" i="10"/>
  <c r="G2707" i="10"/>
  <c r="G2680" i="10"/>
  <c r="G9590" i="10"/>
  <c r="G8123" i="10"/>
  <c r="G8043" i="10"/>
  <c r="G7910" i="10"/>
  <c r="G7696" i="10"/>
  <c r="G7590" i="10"/>
  <c r="G7483" i="10"/>
  <c r="G7350" i="10"/>
  <c r="G7003" i="10"/>
  <c r="G6934" i="10"/>
  <c r="G6892" i="10"/>
  <c r="G6840" i="10"/>
  <c r="G6814" i="10"/>
  <c r="G6734" i="10"/>
  <c r="G4894" i="10"/>
  <c r="G4760" i="10"/>
  <c r="G4734" i="10"/>
  <c r="G4627" i="10"/>
  <c r="G4467" i="10"/>
  <c r="G4360" i="10"/>
  <c r="G4334" i="10"/>
  <c r="G4307" i="10"/>
  <c r="G4200" i="10"/>
  <c r="G3960" i="10"/>
  <c r="G3747" i="10"/>
  <c r="G3694" i="10"/>
  <c r="G3614" i="10"/>
  <c r="G3587" i="10"/>
  <c r="G3534" i="10"/>
  <c r="G3427" i="10"/>
  <c r="G3347" i="10"/>
  <c r="G3294" i="10"/>
  <c r="G2120" i="10"/>
  <c r="G2094" i="10"/>
  <c r="G1907" i="10"/>
  <c r="G1774" i="10"/>
  <c r="G760" i="10"/>
  <c r="G654" i="10"/>
  <c r="G627" i="10"/>
  <c r="G494" i="10"/>
  <c r="G414" i="10"/>
  <c r="G334" i="10"/>
  <c r="G307" i="10"/>
  <c r="G227" i="10"/>
  <c r="G9723" i="10"/>
  <c r="G9696" i="10"/>
  <c r="G9643" i="10"/>
  <c r="G8176" i="10"/>
  <c r="G7936" i="10"/>
  <c r="G7830" i="10"/>
  <c r="G7510" i="10"/>
  <c r="G7403" i="10"/>
  <c r="G7323" i="10"/>
  <c r="G7056" i="10"/>
  <c r="G6950" i="10"/>
  <c r="G6926" i="10"/>
  <c r="G6921" i="10"/>
  <c r="G5320" i="10"/>
  <c r="G5294" i="10"/>
  <c r="G5214" i="10"/>
  <c r="G5160" i="10"/>
  <c r="G5107" i="10"/>
  <c r="G5080" i="10"/>
  <c r="G5054" i="10"/>
  <c r="G4947" i="10"/>
  <c r="G4680" i="10"/>
  <c r="G4654" i="10"/>
  <c r="G4574" i="10"/>
  <c r="G4414" i="10"/>
  <c r="G4387" i="10"/>
  <c r="G4227" i="10"/>
  <c r="G4014" i="10"/>
  <c r="G3854" i="10"/>
  <c r="G3827" i="10"/>
  <c r="G3667" i="10"/>
  <c r="G3454" i="10"/>
  <c r="G3400" i="10"/>
  <c r="G3374" i="10"/>
  <c r="G2547" i="10"/>
  <c r="G2467" i="10"/>
  <c r="G2440" i="10"/>
  <c r="G2334" i="10"/>
  <c r="G2014" i="10"/>
  <c r="G1960" i="10"/>
  <c r="G1854" i="10"/>
  <c r="G1800" i="10"/>
  <c r="G1240" i="10"/>
  <c r="G1214" i="10"/>
  <c r="G1107" i="10"/>
  <c r="G1054" i="10"/>
  <c r="G974" i="10"/>
  <c r="G787" i="10"/>
  <c r="G467" i="10"/>
  <c r="G440" i="10"/>
  <c r="G200" i="10"/>
  <c r="G147" i="10"/>
  <c r="G67" i="10"/>
  <c r="G14" i="10"/>
  <c r="G9788" i="10"/>
  <c r="G9762" i="10"/>
  <c r="G8150" i="10"/>
  <c r="G7990" i="10"/>
  <c r="G7883" i="10"/>
  <c r="G7723" i="10"/>
  <c r="G7670" i="10"/>
  <c r="G7616" i="10"/>
  <c r="G7376" i="10"/>
  <c r="G7296" i="10"/>
  <c r="G7190" i="10"/>
  <c r="G7110" i="10"/>
  <c r="G7030" i="10"/>
  <c r="G6787" i="10"/>
  <c r="G5427" i="10"/>
  <c r="G5400" i="10"/>
  <c r="G5240" i="10"/>
  <c r="G5187" i="10"/>
  <c r="G4814" i="10"/>
  <c r="G4787" i="10"/>
  <c r="G4707" i="10"/>
  <c r="G4494" i="10"/>
  <c r="G4040" i="10"/>
  <c r="G3987" i="10"/>
  <c r="G3880" i="10"/>
  <c r="G3800" i="10"/>
  <c r="G3720" i="10"/>
  <c r="G3480" i="10"/>
  <c r="G2654" i="10"/>
  <c r="G2627" i="10"/>
  <c r="G2520" i="10"/>
  <c r="G2227" i="10"/>
  <c r="G2200" i="10"/>
  <c r="G2174" i="10"/>
  <c r="G2040" i="10"/>
  <c r="G1934" i="10"/>
  <c r="G1694" i="10"/>
  <c r="G1640" i="10"/>
  <c r="G1480" i="10"/>
  <c r="G1454" i="10"/>
  <c r="G1427" i="10"/>
  <c r="G1400" i="10"/>
  <c r="G1347" i="10"/>
  <c r="G1267" i="10"/>
  <c r="G1080" i="10"/>
  <c r="G1027" i="10"/>
  <c r="G947" i="10"/>
  <c r="G867" i="10"/>
  <c r="G734" i="10"/>
  <c r="G707" i="10"/>
  <c r="G387" i="10"/>
  <c r="G280" i="10"/>
  <c r="G254" i="10"/>
  <c r="G120" i="10"/>
  <c r="G40" i="10"/>
  <c r="G9670" i="10"/>
  <c r="G9616" i="10"/>
  <c r="G8096" i="10"/>
  <c r="G8070" i="10"/>
  <c r="G8016" i="10"/>
  <c r="G7803" i="10"/>
  <c r="G7163" i="10"/>
  <c r="G7136" i="10"/>
  <c r="G5374" i="10"/>
  <c r="G5347" i="10"/>
  <c r="G5027" i="10"/>
  <c r="G4974" i="10"/>
  <c r="G4867" i="10"/>
  <c r="G4547" i="10"/>
  <c r="G4520" i="10"/>
  <c r="G4440" i="10"/>
  <c r="G4254" i="10"/>
  <c r="G4174" i="10"/>
  <c r="G4120" i="10"/>
  <c r="G4067" i="10"/>
  <c r="G3934" i="10"/>
  <c r="G3640" i="10"/>
  <c r="G3560" i="10"/>
  <c r="G2494" i="10"/>
  <c r="G2414" i="10"/>
  <c r="G2387" i="10"/>
  <c r="G2360" i="10"/>
  <c r="G2280" i="10"/>
  <c r="G2254" i="10"/>
  <c r="G2147" i="10"/>
  <c r="G2067" i="10"/>
  <c r="G1987" i="10"/>
  <c r="G1880" i="10"/>
  <c r="G1747" i="10"/>
  <c r="G1720" i="10"/>
  <c r="G1667" i="10"/>
  <c r="G1614" i="10"/>
  <c r="G1560" i="10"/>
  <c r="G1534" i="10"/>
  <c r="G1507" i="10"/>
  <c r="G1374" i="10"/>
  <c r="G1187" i="10"/>
  <c r="G1134" i="10"/>
  <c r="G894" i="10"/>
  <c r="G840" i="10"/>
  <c r="G680" i="10"/>
  <c r="G600" i="10"/>
  <c r="G574" i="10"/>
  <c r="G547" i="10"/>
  <c r="G520" i="10"/>
  <c r="G360" i="10"/>
  <c r="G9775" i="10"/>
  <c r="G7963" i="10"/>
  <c r="G7776" i="10"/>
  <c r="G7750" i="10"/>
  <c r="G7643" i="10"/>
  <c r="G7563" i="10"/>
  <c r="G7536" i="10"/>
  <c r="G7456" i="10"/>
  <c r="G7270" i="10"/>
  <c r="G6976" i="10"/>
  <c r="G6906" i="10"/>
  <c r="G6760" i="10"/>
  <c r="G6707" i="10"/>
  <c r="G5267" i="10"/>
  <c r="G5134" i="10"/>
  <c r="G5000" i="10"/>
  <c r="G4920" i="10"/>
  <c r="G4840" i="10"/>
  <c r="G4600" i="10"/>
  <c r="G4280" i="10"/>
  <c r="G4147" i="10"/>
  <c r="G4094" i="10"/>
  <c r="G3907" i="10"/>
  <c r="G3774" i="10"/>
  <c r="G3507" i="10"/>
  <c r="G3320" i="10"/>
  <c r="G2600" i="10"/>
  <c r="G2574" i="10"/>
  <c r="G2307" i="10"/>
  <c r="G1827" i="10"/>
  <c r="G1587" i="10"/>
  <c r="G1320" i="10"/>
  <c r="G1294" i="10"/>
  <c r="G1160" i="10"/>
  <c r="G1000" i="10"/>
  <c r="G920" i="10"/>
  <c r="G174" i="10"/>
  <c r="G94" i="10"/>
  <c r="G9536" i="10"/>
  <c r="G9510" i="10"/>
  <c r="G9483" i="10"/>
  <c r="G9456" i="10"/>
  <c r="G9430" i="10"/>
  <c r="G9403" i="10"/>
  <c r="G9376" i="10"/>
  <c r="G9350" i="10"/>
  <c r="G9323" i="10"/>
  <c r="G9296" i="10"/>
  <c r="G9270" i="10"/>
  <c r="G9243" i="10"/>
  <c r="G9216" i="10"/>
  <c r="G9190" i="10"/>
  <c r="G9163" i="10"/>
  <c r="G9136" i="10"/>
  <c r="G9110" i="10"/>
  <c r="G9083" i="10"/>
  <c r="G9056" i="10"/>
  <c r="G9030" i="10"/>
  <c r="G9003" i="10"/>
  <c r="G8976" i="10"/>
  <c r="G8950" i="10"/>
  <c r="G8923" i="10"/>
  <c r="G8896" i="10"/>
  <c r="G8870" i="10"/>
  <c r="G8843" i="10"/>
  <c r="G8816" i="10"/>
  <c r="G8790" i="10"/>
  <c r="G8763" i="10"/>
  <c r="G8736" i="10"/>
  <c r="G8710" i="10"/>
  <c r="G8683" i="10"/>
  <c r="G8656" i="10"/>
  <c r="G8630" i="10"/>
  <c r="G8603" i="10"/>
  <c r="G8576" i="10"/>
  <c r="G8550" i="10"/>
  <c r="G8523" i="10"/>
  <c r="G8496" i="10"/>
  <c r="G8470" i="10"/>
  <c r="G8443" i="10"/>
  <c r="G8416" i="10"/>
  <c r="G8390" i="10"/>
  <c r="G8363" i="10"/>
  <c r="G8336" i="10"/>
  <c r="G8310" i="10"/>
  <c r="G8283" i="10"/>
  <c r="G8256" i="10"/>
  <c r="G823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9C1389-B400-4747-802A-4AE17A149F0F}"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94B73C74-4DB4-41D5-984C-22CFE19E7C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3D97C09-0EF9-4C11-AED2-E1018E71D5A5}" name="WorksheetConnection_Broad Categories!$A$1:$K$373" type="102" refreshedVersion="8" minRefreshableVersion="5">
    <extLst>
      <ext xmlns:x15="http://schemas.microsoft.com/office/spreadsheetml/2010/11/main" uri="{DE250136-89BD-433C-8126-D09CA5730AF9}">
        <x15:connection id="Range" autoDelete="1">
          <x15:rangePr sourceName="_xlcn.WorksheetConnection_BroadCategoriesA1K37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Sector].&amp;[Rural+Urban]}"/>
  </metadataStrings>
  <mdxMetadata count="1">
    <mdx n="0" f="s">
      <ms ns="1" c="0"/>
    </mdx>
  </mdxMetadata>
  <valueMetadata count="1">
    <bk>
      <rc t="1" v="0"/>
    </bk>
  </valueMetadata>
</metadata>
</file>

<file path=xl/sharedStrings.xml><?xml version="1.0" encoding="utf-8"?>
<sst xmlns="http://schemas.openxmlformats.org/spreadsheetml/2006/main" count="32888" uniqueCount="110">
  <si>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</si>
  <si>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</si>
  <si>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</si>
  <si>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</si>
  <si>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</si>
  <si>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</si>
  <si>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</si>
  <si>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</si>
  <si>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</si>
  <si>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</si>
  <si>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</si>
  <si>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</si>
  <si>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</si>
  <si>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</si>
  <si>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</si>
  <si>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</si>
  <si>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</si>
  <si>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</si>
  <si>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</si>
  <si>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</si>
  <si>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</si>
  <si>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</si>
  <si>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</si>
  <si>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</si>
  <si>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</si>
  <si>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</si>
  <si>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</si>
  <si>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</si>
  <si>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</si>
  <si>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</si>
  <si>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</si>
  <si>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</si>
  <si>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</si>
  <si>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</si>
  <si>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</si>
  <si>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</si>
  <si>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</si>
  <si>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</si>
  <si>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</si>
  <si>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</si>
  <si>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</si>
  <si>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</si>
  <si>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</si>
  <si>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</si>
  <si>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</si>
  <si>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</si>
  <si>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</si>
  <si>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</si>
  <si>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</si>
  <si>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Month Year</t>
  </si>
  <si>
    <t>Row Labels</t>
  </si>
  <si>
    <t>Grand Total</t>
  </si>
  <si>
    <t>Sum of Food and beverages</t>
  </si>
  <si>
    <t>Sum of Fuel and light</t>
  </si>
  <si>
    <t>Food</t>
  </si>
  <si>
    <t>Fuel</t>
  </si>
  <si>
    <t>Healthcare</t>
  </si>
  <si>
    <t>Transport &amp; Comms</t>
  </si>
  <si>
    <t>% Change Mar-20 to Sep-20</t>
  </si>
  <si>
    <t>Category</t>
  </si>
  <si>
    <t>After Covid-19</t>
  </si>
  <si>
    <t>Before Covid-19</t>
  </si>
  <si>
    <t>% Change Sep-19 to Mar-20</t>
  </si>
  <si>
    <t>Sum of Pan, tobacco and intoxicants</t>
  </si>
  <si>
    <t>Sum of Clothing and footwear</t>
  </si>
  <si>
    <t>Sum of Housing</t>
  </si>
  <si>
    <t>Sum of Miscellaneous</t>
  </si>
  <si>
    <t>Sum of General index</t>
  </si>
  <si>
    <t>Correlation</t>
  </si>
  <si>
    <t>Correlation of category inflation with Fuel Jan-21 to May-23</t>
  </si>
  <si>
    <t>01 May 2023</t>
  </si>
  <si>
    <t>Column Labels</t>
  </si>
  <si>
    <t>Values</t>
  </si>
  <si>
    <t>Growth Rate</t>
  </si>
  <si>
    <t>F&amp;B Growth</t>
  </si>
  <si>
    <t>Pan Tobacco Growth</t>
  </si>
  <si>
    <t>Clothing Growth</t>
  </si>
  <si>
    <t>Fuel Growth</t>
  </si>
  <si>
    <t>Misc Growth</t>
  </si>
  <si>
    <t>Housing Growth</t>
  </si>
  <si>
    <t>General Index Growth Rate</t>
  </si>
  <si>
    <t>Growth %</t>
  </si>
  <si>
    <t>Inflation Index</t>
  </si>
  <si>
    <t>Food Inflation Growth</t>
  </si>
  <si>
    <t>Sum of Cereals and products</t>
  </si>
  <si>
    <t>Sum of Meat and fish</t>
  </si>
  <si>
    <t>Sum of Egg</t>
  </si>
  <si>
    <t>Sum of Milk and products</t>
  </si>
  <si>
    <t>Sum of Oils and fats</t>
  </si>
  <si>
    <t>Sum of Fruits</t>
  </si>
  <si>
    <t>Sum of Vegetables</t>
  </si>
  <si>
    <t>Sum of Pulses and products</t>
  </si>
  <si>
    <t>Sum of Sugar and Confectionery</t>
  </si>
  <si>
    <t>Sum of Spices</t>
  </si>
  <si>
    <t>Sum of Non-alcoholic beverages</t>
  </si>
  <si>
    <t>Sum of Prepared meals, snacks, sweets etc.</t>
  </si>
  <si>
    <t>Inflation YoY % Change</t>
  </si>
  <si>
    <t>Food Sub Category</t>
  </si>
  <si>
    <t>Absolute YoY Change</t>
  </si>
  <si>
    <t>Percentage YoY Change</t>
  </si>
  <si>
    <t>MoM Growth Percentage</t>
  </si>
  <si>
    <t>RESEARCH: Category-wise Inflation growth from Jan-2017 to Jan-2023</t>
  </si>
  <si>
    <t>Date</t>
  </si>
  <si>
    <t>Categories</t>
  </si>
  <si>
    <t>CPI Value</t>
  </si>
  <si>
    <t>Food &amp;Beverage</t>
  </si>
  <si>
    <t>Household Items</t>
  </si>
  <si>
    <t>New Clubbed Category</t>
  </si>
  <si>
    <t>Average of CPI Value</t>
  </si>
  <si>
    <t>Average of CPI Value2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</si>
</sst>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11"/>
      <name val="Calibri"/>
      <family val="2"/>
      <scheme val="minor"/>
    </font>
    <font>
      <b/>
      <sz val="11"/>
      <name val="Calibri"/>
      <family val="2"/>
      <scheme val="minor"/>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bgColor indexed="64"/>
      </patternFill>
    </fill>
    <fill>
      <patternFill patternType="solid">
        <fgColor theme="0" tint="-0.14999847407452621"/>
        <bgColor theme="4" tint="0.79998168889431442"/>
      </patternFill>
    </fill>
    <fill>
      <patternFill patternType="solid">
        <fgColor theme="7"/>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8" tint="0.39997558519241921"/>
        <bgColor theme="4" tint="0.79998168889431442"/>
      </patternFill>
    </fill>
    <fill>
      <patternFill patternType="solid">
        <fgColor theme="8" tint="0.39997558519241921"/>
        <bgColor indexed="64"/>
      </patternFill>
    </fill>
    <fill>
      <patternFill patternType="solid">
        <fgColor theme="1" tint="0.249977111117893"/>
        <bgColor indexed="64"/>
      </patternFill>
    </fill>
    <fill>
      <patternFill patternType="solid">
        <fgColor theme="0" tint="-4.9989318521683403E-2"/>
        <bgColor indexed="64"/>
      </patternFill>
    </fill>
    <fill>
      <patternFill patternType="solid">
        <fgColor theme="0"/>
        <bgColor theme="4" tint="0.79998168889431442"/>
      </patternFill>
    </fill>
    <fill>
      <patternFill patternType="solid">
        <fgColor theme="9" tint="0.39997558519241921"/>
        <bgColor indexed="64"/>
      </patternFill>
    </fill>
    <fill>
      <patternFill patternType="solid">
        <fgColor theme="9" tint="0.79998168889431442"/>
        <bgColor theme="9" tint="0.79998168889431442"/>
      </patternFill>
    </fill>
    <fill>
      <patternFill patternType="solid">
        <fgColor rgb="FFFFFF00"/>
        <bgColor theme="9" tint="0.79998168889431442"/>
      </patternFill>
    </fill>
    <fill>
      <patternFill patternType="solid">
        <fgColor rgb="FFFFFF00"/>
        <bgColor indexed="64"/>
      </patternFill>
    </fill>
    <fill>
      <patternFill patternType="solid">
        <fgColor theme="4" tint="0.59999389629810485"/>
        <bgColor theme="9" tint="0.79998168889431442"/>
      </patternFill>
    </fill>
    <fill>
      <patternFill patternType="solid">
        <fgColor theme="2" tint="-9.9978637043366805E-2"/>
        <bgColor indexed="64"/>
      </patternFill>
    </fill>
    <fill>
      <patternFill patternType="solid">
        <fgColor theme="8" tint="0.79998168889431442"/>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8">
    <xf numFmtId="0" fontId="0" fillId="0" borderId="0" xfId="0"/>
    <xf numFmtId="0" fontId="16" fillId="33" borderId="0" xfId="0" applyFont="1" applyFill="1"/>
    <xf numFmtId="14" fontId="0" fillId="0" borderId="0" xfId="0" applyNumberFormat="1"/>
    <xf numFmtId="164" fontId="0" fillId="0" borderId="0" xfId="0" applyNumberFormat="1"/>
    <xf numFmtId="0" fontId="16" fillId="33" borderId="10" xfId="0" applyFont="1" applyFill="1" applyBorder="1"/>
    <xf numFmtId="0" fontId="16" fillId="33" borderId="11" xfId="0" applyFont="1" applyFill="1" applyBorder="1"/>
    <xf numFmtId="164" fontId="16" fillId="33" borderId="11" xfId="0" applyNumberFormat="1" applyFont="1" applyFill="1" applyBorder="1"/>
    <xf numFmtId="0" fontId="0" fillId="0" borderId="0" xfId="0" pivotButton="1"/>
    <xf numFmtId="0" fontId="0" fillId="0" borderId="0" xfId="0" applyAlignment="1">
      <alignment horizontal="left"/>
    </xf>
    <xf numFmtId="165" fontId="0" fillId="0" borderId="0" xfId="0" applyNumberFormat="1"/>
    <xf numFmtId="0" fontId="0" fillId="34" borderId="15" xfId="0" applyFill="1" applyBorder="1"/>
    <xf numFmtId="0" fontId="0" fillId="34" borderId="0" xfId="0" applyFill="1"/>
    <xf numFmtId="0" fontId="0" fillId="34" borderId="13" xfId="0" applyFill="1" applyBorder="1"/>
    <xf numFmtId="0" fontId="0" fillId="34" borderId="24" xfId="0" applyFill="1" applyBorder="1"/>
    <xf numFmtId="0" fontId="0" fillId="34" borderId="14" xfId="0" applyFill="1" applyBorder="1"/>
    <xf numFmtId="0" fontId="0" fillId="34" borderId="16" xfId="0" applyFill="1" applyBorder="1"/>
    <xf numFmtId="14" fontId="0" fillId="34" borderId="15" xfId="0" applyNumberFormat="1" applyFill="1" applyBorder="1" applyAlignment="1">
      <alignment horizontal="left"/>
    </xf>
    <xf numFmtId="165" fontId="0" fillId="34" borderId="0" xfId="0" applyNumberFormat="1" applyFill="1"/>
    <xf numFmtId="165" fontId="0" fillId="34" borderId="16" xfId="0" applyNumberFormat="1" applyFill="1" applyBorder="1"/>
    <xf numFmtId="0" fontId="0" fillId="34" borderId="17" xfId="0" applyFill="1" applyBorder="1" applyAlignment="1">
      <alignment horizontal="left"/>
    </xf>
    <xf numFmtId="165" fontId="0" fillId="34" borderId="25" xfId="0" applyNumberFormat="1" applyFill="1" applyBorder="1"/>
    <xf numFmtId="165" fontId="0" fillId="34" borderId="18" xfId="0" applyNumberFormat="1" applyFill="1" applyBorder="1"/>
    <xf numFmtId="0" fontId="0" fillId="34" borderId="19" xfId="0" applyFill="1" applyBorder="1"/>
    <xf numFmtId="0" fontId="0" fillId="34" borderId="19" xfId="0" applyFill="1" applyBorder="1" applyAlignment="1">
      <alignment horizontal="center"/>
    </xf>
    <xf numFmtId="165" fontId="16" fillId="33" borderId="11" xfId="0" applyNumberFormat="1" applyFont="1" applyFill="1" applyBorder="1"/>
    <xf numFmtId="165" fontId="16" fillId="33" borderId="12" xfId="0" applyNumberFormat="1" applyFont="1" applyFill="1" applyBorder="1"/>
    <xf numFmtId="14" fontId="0" fillId="0" borderId="0" xfId="0" applyNumberFormat="1" applyAlignment="1">
      <alignment horizontal="left"/>
    </xf>
    <xf numFmtId="0" fontId="16" fillId="37" borderId="19" xfId="0" applyFont="1" applyFill="1" applyBorder="1" applyAlignment="1">
      <alignment horizontal="center"/>
    </xf>
    <xf numFmtId="0" fontId="16" fillId="37" borderId="23" xfId="0" applyFont="1" applyFill="1" applyBorder="1" applyAlignment="1">
      <alignment horizontal="center"/>
    </xf>
    <xf numFmtId="0" fontId="16" fillId="40" borderId="29" xfId="0" applyFont="1" applyFill="1" applyBorder="1"/>
    <xf numFmtId="0" fontId="16" fillId="33" borderId="22" xfId="0" applyFont="1" applyFill="1" applyBorder="1"/>
    <xf numFmtId="0" fontId="16" fillId="33" borderId="23" xfId="0" applyFont="1" applyFill="1" applyBorder="1"/>
    <xf numFmtId="10" fontId="0" fillId="0" borderId="0" xfId="0" applyNumberFormat="1"/>
    <xf numFmtId="0" fontId="16" fillId="33" borderId="19" xfId="0" applyFont="1" applyFill="1" applyBorder="1"/>
    <xf numFmtId="0" fontId="16" fillId="42" borderId="19" xfId="0" applyFont="1" applyFill="1" applyBorder="1" applyAlignment="1">
      <alignment horizontal="center"/>
    </xf>
    <xf numFmtId="0" fontId="16" fillId="41" borderId="19" xfId="0" applyFont="1" applyFill="1" applyBorder="1" applyAlignment="1">
      <alignment horizontal="center"/>
    </xf>
    <xf numFmtId="0" fontId="0" fillId="34" borderId="15" xfId="0" applyFill="1" applyBorder="1" applyAlignment="1">
      <alignment horizontal="center"/>
    </xf>
    <xf numFmtId="2" fontId="0" fillId="34" borderId="0" xfId="0" applyNumberFormat="1" applyFill="1" applyAlignment="1">
      <alignment horizontal="center"/>
    </xf>
    <xf numFmtId="2" fontId="0" fillId="34" borderId="16" xfId="0" applyNumberFormat="1" applyFill="1" applyBorder="1" applyAlignment="1">
      <alignment horizontal="center"/>
    </xf>
    <xf numFmtId="0" fontId="0" fillId="34" borderId="17" xfId="0" applyFill="1" applyBorder="1" applyAlignment="1">
      <alignment horizontal="center"/>
    </xf>
    <xf numFmtId="2" fontId="0" fillId="34" borderId="25" xfId="0" applyNumberFormat="1" applyFill="1" applyBorder="1" applyAlignment="1">
      <alignment horizontal="center"/>
    </xf>
    <xf numFmtId="2" fontId="0" fillId="34" borderId="18" xfId="0" applyNumberFormat="1" applyFill="1" applyBorder="1" applyAlignment="1">
      <alignment horizontal="center"/>
    </xf>
    <xf numFmtId="0" fontId="16" fillId="33" borderId="30" xfId="0" applyFont="1" applyFill="1" applyBorder="1"/>
    <xf numFmtId="0" fontId="16" fillId="33" borderId="32" xfId="0" applyFont="1" applyFill="1" applyBorder="1"/>
    <xf numFmtId="0" fontId="16" fillId="33" borderId="30" xfId="0" applyFont="1" applyFill="1" applyBorder="1" applyAlignment="1">
      <alignment horizontal="center"/>
    </xf>
    <xf numFmtId="0" fontId="16" fillId="33" borderId="32" xfId="0" applyFont="1" applyFill="1" applyBorder="1" applyAlignment="1">
      <alignment horizontal="center"/>
    </xf>
    <xf numFmtId="14" fontId="0" fillId="39" borderId="15" xfId="0" applyNumberFormat="1" applyFill="1" applyBorder="1" applyAlignment="1">
      <alignment horizontal="center"/>
    </xf>
    <xf numFmtId="10" fontId="0" fillId="39" borderId="16" xfId="0" applyNumberFormat="1" applyFill="1" applyBorder="1" applyAlignment="1">
      <alignment horizontal="center"/>
    </xf>
    <xf numFmtId="14" fontId="0" fillId="39" borderId="17" xfId="0" applyNumberFormat="1" applyFill="1" applyBorder="1" applyAlignment="1">
      <alignment horizontal="center"/>
    </xf>
    <xf numFmtId="10" fontId="0" fillId="39" borderId="18" xfId="0" applyNumberFormat="1" applyFill="1" applyBorder="1" applyAlignment="1">
      <alignment horizontal="center"/>
    </xf>
    <xf numFmtId="0" fontId="16" fillId="42" borderId="22" xfId="0" applyFont="1" applyFill="1" applyBorder="1" applyAlignment="1">
      <alignment horizontal="center"/>
    </xf>
    <xf numFmtId="0" fontId="16" fillId="42" borderId="23" xfId="0" applyFont="1" applyFill="1" applyBorder="1" applyAlignment="1">
      <alignment horizontal="center"/>
    </xf>
    <xf numFmtId="17" fontId="0" fillId="44" borderId="15" xfId="0" applyNumberFormat="1" applyFill="1" applyBorder="1" applyAlignment="1">
      <alignment horizontal="left"/>
    </xf>
    <xf numFmtId="0" fontId="0" fillId="44" borderId="0" xfId="0" applyFill="1"/>
    <xf numFmtId="0" fontId="0" fillId="44" borderId="16" xfId="0" applyFill="1" applyBorder="1"/>
    <xf numFmtId="10" fontId="0" fillId="44" borderId="16" xfId="0" applyNumberFormat="1" applyFill="1" applyBorder="1"/>
    <xf numFmtId="17" fontId="0" fillId="44" borderId="17" xfId="0" applyNumberFormat="1" applyFill="1" applyBorder="1" applyAlignment="1">
      <alignment horizontal="left"/>
    </xf>
    <xf numFmtId="0" fontId="0" fillId="44" borderId="25" xfId="0" applyFill="1" applyBorder="1"/>
    <xf numFmtId="10" fontId="0" fillId="44" borderId="18" xfId="0" applyNumberFormat="1" applyFill="1" applyBorder="1"/>
    <xf numFmtId="10" fontId="0" fillId="0" borderId="16" xfId="0" applyNumberFormat="1" applyBorder="1"/>
    <xf numFmtId="10" fontId="0" fillId="0" borderId="18" xfId="0" applyNumberFormat="1" applyBorder="1"/>
    <xf numFmtId="0" fontId="0" fillId="45" borderId="19" xfId="0" applyFill="1" applyBorder="1"/>
    <xf numFmtId="10" fontId="0" fillId="34" borderId="19" xfId="0" applyNumberFormat="1" applyFill="1" applyBorder="1"/>
    <xf numFmtId="0" fontId="16" fillId="46" borderId="19" xfId="0" applyFont="1" applyFill="1" applyBorder="1" applyAlignment="1">
      <alignment horizontal="center"/>
    </xf>
    <xf numFmtId="10" fontId="16" fillId="46" borderId="19" xfId="0" applyNumberFormat="1" applyFont="1" applyFill="1" applyBorder="1" applyAlignment="1">
      <alignment horizontal="center"/>
    </xf>
    <xf numFmtId="0" fontId="16" fillId="46" borderId="19" xfId="0" applyFont="1" applyFill="1" applyBorder="1"/>
    <xf numFmtId="0" fontId="16" fillId="33" borderId="22" xfId="0" applyFont="1" applyFill="1" applyBorder="1" applyAlignment="1">
      <alignment horizontal="center"/>
    </xf>
    <xf numFmtId="0" fontId="16" fillId="33" borderId="23" xfId="0" applyFont="1" applyFill="1" applyBorder="1" applyAlignment="1">
      <alignment horizontal="center"/>
    </xf>
    <xf numFmtId="0" fontId="0" fillId="39" borderId="15" xfId="0" applyFill="1" applyBorder="1" applyAlignment="1">
      <alignment horizontal="center"/>
    </xf>
    <xf numFmtId="0" fontId="0" fillId="39" borderId="17" xfId="0" applyFill="1" applyBorder="1" applyAlignment="1">
      <alignment horizontal="center"/>
    </xf>
    <xf numFmtId="0" fontId="16" fillId="35" borderId="19" xfId="0" applyFont="1" applyFill="1" applyBorder="1" applyAlignment="1">
      <alignment horizontal="center"/>
    </xf>
    <xf numFmtId="2" fontId="0" fillId="39" borderId="23" xfId="0" applyNumberFormat="1" applyFill="1" applyBorder="1" applyAlignment="1">
      <alignment horizontal="center"/>
    </xf>
    <xf numFmtId="0" fontId="16" fillId="35" borderId="27" xfId="0" applyFont="1" applyFill="1" applyBorder="1" applyAlignment="1">
      <alignment horizontal="center"/>
    </xf>
    <xf numFmtId="2" fontId="0" fillId="39" borderId="28" xfId="0" applyNumberFormat="1" applyFill="1" applyBorder="1" applyAlignment="1">
      <alignment horizontal="center"/>
    </xf>
    <xf numFmtId="0" fontId="0" fillId="47" borderId="35" xfId="0" applyFill="1" applyBorder="1"/>
    <xf numFmtId="0" fontId="0" fillId="0" borderId="35" xfId="0" applyBorder="1"/>
    <xf numFmtId="0" fontId="0" fillId="48" borderId="35" xfId="0" applyFill="1" applyBorder="1"/>
    <xf numFmtId="0" fontId="0" fillId="49" borderId="35" xfId="0" applyFill="1" applyBorder="1"/>
    <xf numFmtId="0" fontId="0" fillId="47" borderId="0" xfId="0" applyFill="1"/>
    <xf numFmtId="0" fontId="0" fillId="38" borderId="0" xfId="0" applyFill="1" applyAlignment="1">
      <alignment vertical="center"/>
    </xf>
    <xf numFmtId="0" fontId="0" fillId="50" borderId="36" xfId="0" applyFill="1" applyBorder="1" applyAlignment="1">
      <alignment vertical="center"/>
    </xf>
    <xf numFmtId="0" fontId="0" fillId="50" borderId="0" xfId="0" applyFill="1" applyAlignment="1">
      <alignment vertical="center"/>
    </xf>
    <xf numFmtId="0" fontId="19" fillId="51" borderId="36" xfId="0" applyFont="1" applyFill="1" applyBorder="1" applyAlignment="1">
      <alignment vertical="center"/>
    </xf>
    <xf numFmtId="0" fontId="19" fillId="51" borderId="0" xfId="0" applyFont="1" applyFill="1" applyAlignment="1">
      <alignment vertical="center"/>
    </xf>
    <xf numFmtId="0" fontId="0" fillId="52" borderId="0" xfId="0" applyFill="1" applyAlignment="1">
      <alignment vertical="center"/>
    </xf>
    <xf numFmtId="1" fontId="0" fillId="0" borderId="0" xfId="0" applyNumberFormat="1"/>
    <xf numFmtId="0" fontId="20" fillId="33" borderId="0" xfId="0" applyFont="1" applyFill="1"/>
    <xf numFmtId="0" fontId="0" fillId="38" borderId="0" xfId="0" applyFill="1"/>
    <xf numFmtId="165" fontId="0" fillId="38" borderId="0" xfId="0" applyNumberFormat="1" applyFill="1"/>
    <xf numFmtId="14" fontId="0" fillId="38" borderId="0" xfId="0" applyNumberFormat="1" applyFill="1"/>
    <xf numFmtId="0" fontId="20" fillId="38" borderId="0" xfId="0" applyFont="1" applyFill="1"/>
    <xf numFmtId="0" fontId="13" fillId="43" borderId="30" xfId="0" applyFont="1" applyFill="1" applyBorder="1" applyAlignment="1">
      <alignment horizontal="center"/>
    </xf>
    <xf numFmtId="0" fontId="13" fillId="43" borderId="31" xfId="0" applyFont="1" applyFill="1" applyBorder="1" applyAlignment="1">
      <alignment horizontal="center"/>
    </xf>
    <xf numFmtId="0" fontId="13" fillId="43" borderId="32" xfId="0" applyFont="1" applyFill="1" applyBorder="1" applyAlignment="1">
      <alignment horizontal="center"/>
    </xf>
    <xf numFmtId="0" fontId="13" fillId="43" borderId="10" xfId="0" applyFont="1" applyFill="1" applyBorder="1" applyAlignment="1">
      <alignment horizontal="center"/>
    </xf>
    <xf numFmtId="0" fontId="13" fillId="43" borderId="12" xfId="0" applyFont="1" applyFill="1" applyBorder="1" applyAlignment="1">
      <alignment horizontal="center"/>
    </xf>
    <xf numFmtId="0" fontId="16" fillId="36" borderId="30" xfId="0" applyFont="1" applyFill="1" applyBorder="1" applyAlignment="1">
      <alignment horizontal="center"/>
    </xf>
    <xf numFmtId="0" fontId="16" fillId="36" borderId="31" xfId="0" applyFont="1" applyFill="1" applyBorder="1" applyAlignment="1">
      <alignment horizontal="center"/>
    </xf>
    <xf numFmtId="0" fontId="16" fillId="36" borderId="32" xfId="0" applyFont="1" applyFill="1" applyBorder="1" applyAlignment="1">
      <alignment horizontal="center"/>
    </xf>
    <xf numFmtId="0" fontId="16" fillId="36" borderId="33" xfId="0" applyFont="1" applyFill="1" applyBorder="1" applyAlignment="1">
      <alignment horizontal="center"/>
    </xf>
    <xf numFmtId="0" fontId="16" fillId="36" borderId="34" xfId="0" applyFont="1" applyFill="1" applyBorder="1" applyAlignment="1">
      <alignment horizontal="center"/>
    </xf>
    <xf numFmtId="0" fontId="16" fillId="36" borderId="20" xfId="0" applyFont="1" applyFill="1" applyBorder="1" applyAlignment="1">
      <alignment horizontal="center"/>
    </xf>
    <xf numFmtId="0" fontId="16" fillId="36" borderId="21" xfId="0" applyFont="1" applyFill="1" applyBorder="1" applyAlignment="1">
      <alignment horizontal="center"/>
    </xf>
    <xf numFmtId="0" fontId="16" fillId="36" borderId="13" xfId="0" applyFont="1" applyFill="1" applyBorder="1" applyAlignment="1">
      <alignment horizontal="center"/>
    </xf>
    <xf numFmtId="0" fontId="16" fillId="36" borderId="24" xfId="0" applyFont="1" applyFill="1" applyBorder="1" applyAlignment="1">
      <alignment horizontal="center"/>
    </xf>
    <xf numFmtId="0" fontId="16" fillId="36" borderId="14" xfId="0" applyFont="1" applyFill="1" applyBorder="1" applyAlignment="1">
      <alignment horizontal="center"/>
    </xf>
    <xf numFmtId="0" fontId="18" fillId="38" borderId="22" xfId="0" applyFont="1" applyFill="1" applyBorder="1" applyAlignment="1">
      <alignment horizontal="center" vertical="center"/>
    </xf>
    <xf numFmtId="0" fontId="18" fillId="38" borderId="26"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numFmt numFmtId="165" formatCode="0.0"/>
    </dxf>
    <dxf>
      <numFmt numFmtId="0" formatCode="General"/>
    </dxf>
    <dxf>
      <numFmt numFmtId="0" formatCode="General"/>
    </dxf>
    <dxf>
      <numFmt numFmtId="19" formatCode="dd/mm/yyyy"/>
    </dxf>
    <dxf>
      <numFmt numFmtId="0" formatCode="General"/>
    </dxf>
    <dxf>
      <numFmt numFmtId="0" formatCode="General"/>
    </dxf>
    <dxf>
      <numFmt numFmtId="14" formatCode="0.00%"/>
    </dxf>
    <dxf>
      <numFmt numFmtId="1" formatCode="0"/>
    </dxf>
    <dxf>
      <numFmt numFmtId="19" formatCode="dd/mm/yyyy"/>
    </dxf>
    <dxf>
      <font>
        <b/>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Inflation Case Study Workbook.xlsx]Problem 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CPI Inflation Contribution in May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'Problem 1'!$B$32:$B$33</c:f>
              <c:strCache>
                <c:ptCount val="1"/>
                <c:pt idx="0">
                  <c:v>01 May 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A5-49E3-9BDC-5191C1A50D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A5-49E3-9BDC-5191C1A50D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A5-49E3-9BDC-5191C1A50D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A5-49E3-9BDC-5191C1A50D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A5-49E3-9BDC-5191C1A50D5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A5-49E3-9BDC-5191C1A50D5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'Problem 1'!$A$34:$A$39</c:f>
              <c:strCache>
                <c:ptCount val="6"/>
                <c:pt idx="0">
                  <c:v>Sum of Food and beverages</c:v>
                </c:pt>
                <c:pt idx="1">
                  <c:v>Sum of Pan, tobacco and intoxicants</c:v>
                </c:pt>
                <c:pt idx="2">
                  <c:v>Sum of Clothing and footwear</c:v>
                </c:pt>
                <c:pt idx="3">
                  <c:v>Sum of Housing</c:v>
                </c:pt>
                <c:pt idx="4">
                  <c:v>Sum of Fuel and light</c:v>
                </c:pt>
                <c:pt idx="5">
                  <c:v>Sum of Miscellaneous</c:v>
                </c:pt>
              </c:strCache>
            </c:strRef>
          </c:cat>
          <c:val>
            <c:numRef>
              <c:f>'Problem 1'!$B$34:$B$39</c:f>
              <c:numCache>
                <c:formatCode>General</c:formatCode>
                <c:ptCount val="6"/>
                <c:pt idx="0">
                  <c:v>179.1</c:v>
                </c:pt>
                <c:pt idx="1">
                  <c:v>201</c:v>
                </c:pt>
                <c:pt idx="2">
                  <c:v>186.2</c:v>
                </c:pt>
                <c:pt idx="3">
                  <c:v>175.6</c:v>
                </c:pt>
                <c:pt idx="4">
                  <c:v>182.8</c:v>
                </c:pt>
                <c:pt idx="5">
                  <c:v>175.7</c:v>
                </c:pt>
              </c:numCache>
            </c:numRef>
          </c:val>
          <c:extLst>
            <c:ext xmlns:c16="http://schemas.microsoft.com/office/drawing/2014/chart" uri="{C3380CC4-5D6E-409C-BE32-E72D297353CC}">
              <c16:uniqueId val="{00000000-C738-4B3E-9A4A-BC428713A4C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Inflation Case Study Workbook.xlsx]Problem 2!PivotTable2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Absolute Inflation from Jan-17 to Jan-23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2'!$B$28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'Problem 2'!$A$29:$A$36</c:f>
              <c:strCache>
                <c:ptCount val="7"/>
                <c:pt idx="0">
                  <c:v>01-01-2017</c:v>
                </c:pt>
                <c:pt idx="1">
                  <c:v>01-01-2018</c:v>
                </c:pt>
                <c:pt idx="2">
                  <c:v>01-01-2019</c:v>
                </c:pt>
                <c:pt idx="3">
                  <c:v>01-01-2020</c:v>
                </c:pt>
                <c:pt idx="4">
                  <c:v>01-01-2021</c:v>
                </c:pt>
                <c:pt idx="5">
                  <c:v>01-01-2022</c:v>
                </c:pt>
                <c:pt idx="6">
                  <c:v>01-01-2023</c:v>
                </c:pt>
              </c:strCache>
            </c:strRef>
          </c:cat>
          <c:val>
            <c:numRef>
              <c:f>'Problem 2'!$B$29:$B$36</c:f>
              <c:numCache>
                <c:formatCode>General</c:formatCode>
                <c:ptCount val="7"/>
                <c:pt idx="0">
                  <c:v>130.30000000000001</c:v>
                </c:pt>
                <c:pt idx="1">
                  <c:v>136.9</c:v>
                </c:pt>
                <c:pt idx="2">
                  <c:v>139.6</c:v>
                </c:pt>
                <c:pt idx="3">
                  <c:v>150.19999999999999</c:v>
                </c:pt>
                <c:pt idx="4">
                  <c:v>157.30000000000001</c:v>
                </c:pt>
                <c:pt idx="5">
                  <c:v>165.7</c:v>
                </c:pt>
                <c:pt idx="6">
                  <c:v>176.5</c:v>
                </c:pt>
              </c:numCache>
            </c:numRef>
          </c:val>
          <c:extLst>
            <c:ext xmlns:c16="http://schemas.microsoft.com/office/drawing/2014/chart" uri="{C3380CC4-5D6E-409C-BE32-E72D297353CC}">
              <c16:uniqueId val="{00000000-E1C5-47A0-AB59-08B858A00A3A}"/>
            </c:ext>
          </c:extLst>
        </c:ser>
        <c:dLbls>
          <c:dLblPos val="outEnd"/>
          <c:showLegendKey val="0"/>
          <c:showVal val="1"/>
          <c:showCatName val="0"/>
          <c:showSerName val="0"/>
          <c:showPercent val="0"/>
          <c:showBubbleSize val="0"/>
        </c:dLbls>
        <c:gapWidth val="100"/>
        <c:overlap val="-24"/>
        <c:axId val="685611824"/>
        <c:axId val="685619504"/>
      </c:barChart>
      <c:catAx>
        <c:axId val="685611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619504"/>
        <c:crosses val="autoZero"/>
        <c:auto val="1"/>
        <c:lblAlgn val="ctr"/>
        <c:lblOffset val="100"/>
        <c:noMultiLvlLbl val="0"/>
      </c:catAx>
      <c:valAx>
        <c:axId val="68561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61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Y-o-Y Inflation Growth Rate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'Problem 2'!$E$26:$E$26</c:f>
              <c:strCache>
                <c:ptCount val="1"/>
                <c:pt idx="0">
                  <c:v>Growth Rate</c:v>
                </c:pt>
              </c:strCache>
            </c:strRef>
          </c:tx>
          <c:spPr>
            <a:ln w="25400" cap="rnd">
              <a:solidFill>
                <a:schemeClr val="lt1"/>
              </a:solidFill>
              <a:round/>
            </a:ln>
            <a:effectLst>
              <a:outerShdw dist="25400" dir="2700000" algn="tl" rotWithShape="0">
                <a:schemeClr val="accent5"/>
              </a:outerShdw>
            </a:effectLst>
          </c:spPr>
          <c:marker>
            <c:symbol val="none"/>
          </c:marker>
          <c:dLbls>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numRef>
              <c:f>'Problem 2'!$D$27:$D$32</c:f>
              <c:numCache>
                <c:formatCode>m/d/yyyy</c:formatCode>
                <c:ptCount val="6"/>
                <c:pt idx="0">
                  <c:v>43101</c:v>
                </c:pt>
                <c:pt idx="1">
                  <c:v>43466</c:v>
                </c:pt>
                <c:pt idx="2">
                  <c:v>43831</c:v>
                </c:pt>
                <c:pt idx="3">
                  <c:v>44197</c:v>
                </c:pt>
                <c:pt idx="4">
                  <c:v>44562</c:v>
                </c:pt>
                <c:pt idx="5">
                  <c:v>44927</c:v>
                </c:pt>
              </c:numCache>
            </c:numRef>
          </c:cat>
          <c:val>
            <c:numRef>
              <c:f>'Problem 2'!$E$27:$E$32</c:f>
              <c:numCache>
                <c:formatCode>0.00%</c:formatCode>
                <c:ptCount val="6"/>
                <c:pt idx="0">
                  <c:v>5.0652340752110468E-2</c:v>
                </c:pt>
                <c:pt idx="1">
                  <c:v>1.9722425127830449E-2</c:v>
                </c:pt>
                <c:pt idx="2">
                  <c:v>7.5931232091690504E-2</c:v>
                </c:pt>
                <c:pt idx="3">
                  <c:v>4.7270306258322389E-2</c:v>
                </c:pt>
                <c:pt idx="4">
                  <c:v>5.3401144310235071E-2</c:v>
                </c:pt>
                <c:pt idx="5">
                  <c:v>6.5178032589016374E-2</c:v>
                </c:pt>
              </c:numCache>
            </c:numRef>
          </c:val>
          <c:smooth val="0"/>
          <c:extLst>
            <c:ext xmlns:c16="http://schemas.microsoft.com/office/drawing/2014/chart" uri="{C3380CC4-5D6E-409C-BE32-E72D297353CC}">
              <c16:uniqueId val="{00000000-C666-4B9B-B46C-256EF2EFF40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685613744"/>
        <c:axId val="685610384"/>
      </c:lineChart>
      <c:dateAx>
        <c:axId val="685613744"/>
        <c:scaling>
          <c:orientation val="minMax"/>
        </c:scaling>
        <c:delete val="0"/>
        <c:axPos val="b"/>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85610384"/>
        <c:crosses val="autoZero"/>
        <c:auto val="1"/>
        <c:lblOffset val="100"/>
        <c:baseTimeUnit val="years"/>
      </c:dateAx>
      <c:valAx>
        <c:axId val="685610384"/>
        <c:scaling>
          <c:orientation val="minMax"/>
        </c:scaling>
        <c:delete val="1"/>
        <c:axPos val="l"/>
        <c:numFmt formatCode="0.00%" sourceLinked="1"/>
        <c:majorTickMark val="none"/>
        <c:minorTickMark val="none"/>
        <c:tickLblPos val="nextTo"/>
        <c:crossAx val="685613744"/>
        <c:crosses val="autoZero"/>
        <c:crossBetween val="between"/>
      </c:valAx>
      <c:spPr>
        <a:noFill/>
        <a:ln>
          <a:noFill/>
        </a:ln>
        <a:effectLst/>
      </c:spPr>
    </c:plotArea>
    <c:plotVisOnly val="1"/>
    <c:dispBlanksAs val="gap"/>
    <c:showDLblsOverMax val="0"/>
  </c:chart>
  <c:spPr>
    <a:solidFill>
      <a:schemeClr val="accent5"/>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Inflation Case Study Workbook.xlsx]Problem 3!PivotTable6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Absolute Food Inflation June-22 to May-23</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solidFill>
                <a:ln>
                  <a:noFill/>
                </a:ln>
              </c15:spPr>
            </c:ext>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3'!$B$34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solidFill>
                  <a:ln>
                    <a:noFill/>
                  </a:ln>
                </c15:spPr>
                <c15:showLeaderLines val="0"/>
              </c:ext>
            </c:extLst>
          </c:dLbls>
          <c:cat>
            <c:strRef>
              <c:f>'Problem 3'!$A$35:$A$47</c:f>
              <c:strCache>
                <c:ptCount val="12"/>
                <c:pt idx="0">
                  <c:v>01-06-2022</c:v>
                </c:pt>
                <c:pt idx="1">
                  <c:v>01-07-2022</c:v>
                </c:pt>
                <c:pt idx="2">
                  <c:v>01-08-2022</c:v>
                </c:pt>
                <c:pt idx="3">
                  <c:v>01-09-2022</c:v>
                </c:pt>
                <c:pt idx="4">
                  <c:v>01-10-2022</c:v>
                </c:pt>
                <c:pt idx="5">
                  <c:v>01-11-2022</c:v>
                </c:pt>
                <c:pt idx="6">
                  <c:v>01-12-2022</c:v>
                </c:pt>
                <c:pt idx="7">
                  <c:v>01-01-2023</c:v>
                </c:pt>
                <c:pt idx="8">
                  <c:v>01-02-2023</c:v>
                </c:pt>
                <c:pt idx="9">
                  <c:v>01-03-2023</c:v>
                </c:pt>
                <c:pt idx="10">
                  <c:v>01-04-2023</c:v>
                </c:pt>
                <c:pt idx="11">
                  <c:v>01-05-2023</c:v>
                </c:pt>
              </c:strCache>
            </c:strRef>
          </c:cat>
          <c:val>
            <c:numRef>
              <c:f>'Problem 3'!$B$35:$B$47</c:f>
              <c:numCache>
                <c:formatCode>General</c:formatCode>
                <c:ptCount val="12"/>
                <c:pt idx="0">
                  <c:v>174.9</c:v>
                </c:pt>
                <c:pt idx="1">
                  <c:v>175</c:v>
                </c:pt>
                <c:pt idx="2">
                  <c:v>176.3</c:v>
                </c:pt>
                <c:pt idx="3">
                  <c:v>177.8</c:v>
                </c:pt>
                <c:pt idx="4">
                  <c:v>179.6</c:v>
                </c:pt>
                <c:pt idx="5">
                  <c:v>178.3</c:v>
                </c:pt>
                <c:pt idx="6">
                  <c:v>175.9</c:v>
                </c:pt>
                <c:pt idx="7">
                  <c:v>176.7</c:v>
                </c:pt>
                <c:pt idx="8">
                  <c:v>177</c:v>
                </c:pt>
                <c:pt idx="9">
                  <c:v>177</c:v>
                </c:pt>
                <c:pt idx="10">
                  <c:v>177.9</c:v>
                </c:pt>
                <c:pt idx="11">
                  <c:v>179.1</c:v>
                </c:pt>
              </c:numCache>
            </c:numRef>
          </c:val>
          <c:smooth val="0"/>
          <c:extLst>
            <c:ext xmlns:c16="http://schemas.microsoft.com/office/drawing/2014/chart" uri="{C3380CC4-5D6E-409C-BE32-E72D297353CC}">
              <c16:uniqueId val="{00000000-DC81-41B0-952F-FDBAD300B8C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85630544"/>
        <c:axId val="685631984"/>
      </c:lineChart>
      <c:catAx>
        <c:axId val="685630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85631984"/>
        <c:crosses val="autoZero"/>
        <c:auto val="1"/>
        <c:lblAlgn val="ctr"/>
        <c:lblOffset val="100"/>
        <c:noMultiLvlLbl val="0"/>
      </c:catAx>
      <c:valAx>
        <c:axId val="685631984"/>
        <c:scaling>
          <c:orientation val="minMax"/>
        </c:scaling>
        <c:delete val="1"/>
        <c:axPos val="l"/>
        <c:numFmt formatCode="General" sourceLinked="1"/>
        <c:majorTickMark val="none"/>
        <c:minorTickMark val="none"/>
        <c:tickLblPos val="nextTo"/>
        <c:crossAx val="685630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Food Inflation M-o-M Growth Rate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'Problem 3'!$J$38</c:f>
              <c:strCache>
                <c:ptCount val="1"/>
                <c:pt idx="0">
                  <c:v>Growth %</c:v>
                </c:pt>
              </c:strCache>
            </c:strRef>
          </c:tx>
          <c:spPr>
            <a:ln w="31750" cap="rnd">
              <a:solidFill>
                <a:schemeClr val="accent1"/>
              </a:solidFill>
              <a:round/>
            </a:ln>
            <a:effectLst/>
          </c:spPr>
          <c:marker>
            <c:symbol val="circle"/>
            <c:size val="17"/>
            <c:spPr>
              <a:solidFill>
                <a:schemeClr val="accent1"/>
              </a:solidFill>
              <a:ln>
                <a:noFill/>
              </a:ln>
              <a:effectLst/>
            </c:spPr>
          </c:marker>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'Problem 3'!$I$39:$I$49</c:f>
              <c:numCache>
                <c:formatCode>mmm\-yy</c:formatCode>
                <c:ptCount val="11"/>
                <c:pt idx="0">
                  <c:v>44743</c:v>
                </c:pt>
                <c:pt idx="1">
                  <c:v>44774</c:v>
                </c:pt>
                <c:pt idx="2">
                  <c:v>44805</c:v>
                </c:pt>
                <c:pt idx="3">
                  <c:v>44835</c:v>
                </c:pt>
                <c:pt idx="4">
                  <c:v>44866</c:v>
                </c:pt>
                <c:pt idx="5">
                  <c:v>44896</c:v>
                </c:pt>
                <c:pt idx="6">
                  <c:v>44927</c:v>
                </c:pt>
                <c:pt idx="7">
                  <c:v>44958</c:v>
                </c:pt>
                <c:pt idx="8">
                  <c:v>44986</c:v>
                </c:pt>
                <c:pt idx="9">
                  <c:v>45017</c:v>
                </c:pt>
                <c:pt idx="10">
                  <c:v>45047</c:v>
                </c:pt>
              </c:numCache>
            </c:numRef>
          </c:cat>
          <c:val>
            <c:numRef>
              <c:f>'Problem 3'!$J$39:$J$49</c:f>
              <c:numCache>
                <c:formatCode>0.00%</c:formatCode>
                <c:ptCount val="11"/>
                <c:pt idx="0">
                  <c:v>5.7175528873638828E-4</c:v>
                </c:pt>
                <c:pt idx="1">
                  <c:v>7.4285714285714935E-3</c:v>
                </c:pt>
                <c:pt idx="2">
                  <c:v>8.5082246171298923E-3</c:v>
                </c:pt>
                <c:pt idx="3">
                  <c:v>1.0123734533183255E-2</c:v>
                </c:pt>
                <c:pt idx="4">
                  <c:v>-7.2383073496658295E-3</c:v>
                </c:pt>
                <c:pt idx="5">
                  <c:v>-1.3460459899046581E-2</c:v>
                </c:pt>
                <c:pt idx="6">
                  <c:v>4.5480386583284984E-3</c:v>
                </c:pt>
                <c:pt idx="7">
                  <c:v>1.6977928692700134E-3</c:v>
                </c:pt>
                <c:pt idx="8">
                  <c:v>0</c:v>
                </c:pt>
                <c:pt idx="9">
                  <c:v>5.0847457627118961E-3</c:v>
                </c:pt>
                <c:pt idx="10">
                  <c:v>6.7453625632377095E-3</c:v>
                </c:pt>
              </c:numCache>
            </c:numRef>
          </c:val>
          <c:smooth val="0"/>
          <c:extLst>
            <c:ext xmlns:c16="http://schemas.microsoft.com/office/drawing/2014/chart" uri="{C3380CC4-5D6E-409C-BE32-E72D297353CC}">
              <c16:uniqueId val="{00000000-16F1-43EA-B82E-109A2BC34241}"/>
            </c:ext>
          </c:extLst>
        </c:ser>
        <c:dLbls>
          <c:showLegendKey val="0"/>
          <c:showVal val="0"/>
          <c:showCatName val="0"/>
          <c:showSerName val="0"/>
          <c:showPercent val="0"/>
          <c:showBubbleSize val="0"/>
        </c:dLbls>
        <c:marker val="1"/>
        <c:smooth val="0"/>
        <c:axId val="830747824"/>
        <c:axId val="830751184"/>
      </c:lineChart>
      <c:dateAx>
        <c:axId val="830747824"/>
        <c:scaling>
          <c:orientation val="minMax"/>
        </c:scaling>
        <c:delete val="0"/>
        <c:axPos val="b"/>
        <c:numFmt formatCode="mmm\-yy" sourceLinked="1"/>
        <c:majorTickMark val="none"/>
        <c:minorTickMark val="none"/>
        <c:tickLblPos val="low"/>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0751184"/>
        <c:crosses val="autoZero"/>
        <c:auto val="1"/>
        <c:lblOffset val="100"/>
        <c:baseTimeUnit val="months"/>
      </c:dateAx>
      <c:valAx>
        <c:axId val="8307511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crossAx val="83074782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Food Subcategory Contribution Inflation YoY % Change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'Problem 3'!$M$33</c:f>
              <c:strCache>
                <c:ptCount val="1"/>
                <c:pt idx="0">
                  <c:v>Inflation YoY % Change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3'!$L$34:$L$45</c:f>
              <c:strCache>
                <c:ptCount val="12"/>
                <c:pt idx="0">
                  <c:v>Sum of Cereals and products</c:v>
                </c:pt>
                <c:pt idx="1">
                  <c:v>Sum of Meat and fish</c:v>
                </c:pt>
                <c:pt idx="2">
                  <c:v>Sum of Egg</c:v>
                </c:pt>
                <c:pt idx="3">
                  <c:v>Sum of Milk and products</c:v>
                </c:pt>
                <c:pt idx="4">
                  <c:v>Sum of Oils and fats</c:v>
                </c:pt>
                <c:pt idx="5">
                  <c:v>Sum of Fruits</c:v>
                </c:pt>
                <c:pt idx="6">
                  <c:v>Sum of Vegetables</c:v>
                </c:pt>
                <c:pt idx="7">
                  <c:v>Sum of Pulses and products</c:v>
                </c:pt>
                <c:pt idx="8">
                  <c:v>Sum of Sugar and Confectionery</c:v>
                </c:pt>
                <c:pt idx="9">
                  <c:v>Sum of Spices</c:v>
                </c:pt>
                <c:pt idx="10">
                  <c:v>Sum of Non-alcoholic beverages</c:v>
                </c:pt>
                <c:pt idx="11">
                  <c:v>Sum of Prepared meals, snacks, sweets etc.</c:v>
                </c:pt>
              </c:strCache>
            </c:strRef>
          </c:cat>
          <c:val>
            <c:numRef>
              <c:f>'Problem 3'!$M$34:$M$45</c:f>
              <c:numCache>
                <c:formatCode>0.00%</c:formatCode>
                <c:ptCount val="12"/>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numCache>
            </c:numRef>
          </c:val>
          <c:extLst>
            <c:ext xmlns:c16="http://schemas.microsoft.com/office/drawing/2014/chart" uri="{C3380CC4-5D6E-409C-BE32-E72D297353CC}">
              <c16:uniqueId val="{00000000-2B4A-438E-9F55-F51B0EA0BCF9}"/>
            </c:ext>
          </c:extLst>
        </c:ser>
        <c:dLbls>
          <c:dLblPos val="outEnd"/>
          <c:showLegendKey val="0"/>
          <c:showVal val="1"/>
          <c:showCatName val="0"/>
          <c:showSerName val="0"/>
          <c:showPercent val="0"/>
          <c:showBubbleSize val="0"/>
        </c:dLbls>
        <c:gapWidth val="100"/>
        <c:overlap val="-24"/>
        <c:axId val="2024054064"/>
        <c:axId val="2024048784"/>
      </c:barChart>
      <c:catAx>
        <c:axId val="2024054064"/>
        <c:scaling>
          <c:orientation val="minMax"/>
        </c:scaling>
        <c:delete val="0"/>
        <c:axPos val="b"/>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048784"/>
        <c:crosses val="autoZero"/>
        <c:auto val="1"/>
        <c:lblAlgn val="ctr"/>
        <c:lblOffset val="100"/>
        <c:noMultiLvlLbl val="0"/>
      </c:catAx>
      <c:valAx>
        <c:axId val="20240487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40540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CPI Inflation Case Study Workbook.xlsx]Problem 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Inflation of Essential Services During Covid-19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 4'!$B$50</c:f>
              <c:strCache>
                <c:ptCount val="1"/>
                <c:pt idx="0">
                  <c:v>Food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'Problem 4'!$A$51:$A$64</c:f>
              <c:strCache>
                <c:ptCount val="13"/>
                <c:pt idx="0">
                  <c:v>01-09-2019</c:v>
                </c:pt>
                <c:pt idx="1">
                  <c:v>01-10-2019</c:v>
                </c:pt>
                <c:pt idx="2">
                  <c:v>01-11-2019</c:v>
                </c:pt>
                <c:pt idx="3">
                  <c:v>01-12-2019</c:v>
                </c:pt>
                <c:pt idx="4">
                  <c:v>01-01-2020</c:v>
                </c:pt>
                <c:pt idx="5">
                  <c:v>01-02-2020</c:v>
                </c:pt>
                <c:pt idx="6">
                  <c:v>01-03-2020</c:v>
                </c:pt>
                <c:pt idx="7">
                  <c:v>01-04-2020</c:v>
                </c:pt>
                <c:pt idx="8">
                  <c:v>01-05-2020</c:v>
                </c:pt>
                <c:pt idx="9">
                  <c:v>01-06-2020</c:v>
                </c:pt>
                <c:pt idx="10">
                  <c:v>01-07-2020</c:v>
                </c:pt>
                <c:pt idx="11">
                  <c:v>01-08-2020</c:v>
                </c:pt>
                <c:pt idx="12">
                  <c:v>01-09-2020</c:v>
                </c:pt>
              </c:strCache>
            </c:strRef>
          </c:cat>
          <c:val>
            <c:numRef>
              <c:f>'Problem 4'!$B$51:$B$64</c:f>
              <c:numCache>
                <c:formatCode>0.0</c:formatCode>
                <c:ptCount val="13"/>
                <c:pt idx="0">
                  <c:v>147</c:v>
                </c:pt>
                <c:pt idx="1">
                  <c:v>149.6</c:v>
                </c:pt>
                <c:pt idx="2">
                  <c:v>151.9</c:v>
                </c:pt>
                <c:pt idx="3">
                  <c:v>155</c:v>
                </c:pt>
                <c:pt idx="4">
                  <c:v>153.5</c:v>
                </c:pt>
                <c:pt idx="5">
                  <c:v>150.5</c:v>
                </c:pt>
                <c:pt idx="6">
                  <c:v>148.9</c:v>
                </c:pt>
                <c:pt idx="7">
                  <c:v>151.4</c:v>
                </c:pt>
                <c:pt idx="8">
                  <c:v>152.63333333333333</c:v>
                </c:pt>
                <c:pt idx="9">
                  <c:v>154</c:v>
                </c:pt>
                <c:pt idx="10">
                  <c:v>154</c:v>
                </c:pt>
                <c:pt idx="11">
                  <c:v>157</c:v>
                </c:pt>
                <c:pt idx="12">
                  <c:v>158</c:v>
                </c:pt>
              </c:numCache>
            </c:numRef>
          </c:val>
          <c:smooth val="0"/>
          <c:extLst>
            <c:ext xmlns:c16="http://schemas.microsoft.com/office/drawing/2014/chart" uri="{C3380CC4-5D6E-409C-BE32-E72D297353CC}">
              <c16:uniqueId val="{00000000-4B9D-4707-A5E7-349D3AAA4110}"/>
            </c:ext>
          </c:extLst>
        </c:ser>
        <c:ser>
          <c:idx val="1"/>
          <c:order val="1"/>
          <c:tx>
            <c:strRef>
              <c:f>'Problem 4'!$C$50</c:f>
              <c:strCache>
                <c:ptCount val="1"/>
                <c:pt idx="0">
                  <c:v>Fuel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'Problem 4'!$A$51:$A$64</c:f>
              <c:strCache>
                <c:ptCount val="13"/>
                <c:pt idx="0">
                  <c:v>01-09-2019</c:v>
                </c:pt>
                <c:pt idx="1">
                  <c:v>01-10-2019</c:v>
                </c:pt>
                <c:pt idx="2">
                  <c:v>01-11-2019</c:v>
                </c:pt>
                <c:pt idx="3">
                  <c:v>01-12-2019</c:v>
                </c:pt>
                <c:pt idx="4">
                  <c:v>01-01-2020</c:v>
                </c:pt>
                <c:pt idx="5">
                  <c:v>01-02-2020</c:v>
                </c:pt>
                <c:pt idx="6">
                  <c:v>01-03-2020</c:v>
                </c:pt>
                <c:pt idx="7">
                  <c:v>01-04-2020</c:v>
                </c:pt>
                <c:pt idx="8">
                  <c:v>01-05-2020</c:v>
                </c:pt>
                <c:pt idx="9">
                  <c:v>01-06-2020</c:v>
                </c:pt>
                <c:pt idx="10">
                  <c:v>01-07-2020</c:v>
                </c:pt>
                <c:pt idx="11">
                  <c:v>01-08-2020</c:v>
                </c:pt>
                <c:pt idx="12">
                  <c:v>01-09-2020</c:v>
                </c:pt>
              </c:strCache>
            </c:strRef>
          </c:cat>
          <c:val>
            <c:numRef>
              <c:f>'Problem 4'!$C$51:$C$64</c:f>
              <c:numCache>
                <c:formatCode>0.0</c:formatCode>
                <c:ptCount val="13"/>
                <c:pt idx="0">
                  <c:v>139.19999999999999</c:v>
                </c:pt>
                <c:pt idx="1">
                  <c:v>140.6</c:v>
                </c:pt>
                <c:pt idx="2">
                  <c:v>142.30000000000001</c:v>
                </c:pt>
                <c:pt idx="3">
                  <c:v>143.69999999999999</c:v>
                </c:pt>
                <c:pt idx="4">
                  <c:v>144.6</c:v>
                </c:pt>
                <c:pt idx="5">
                  <c:v>147.19999999999999</c:v>
                </c:pt>
                <c:pt idx="6">
                  <c:v>148.9</c:v>
                </c:pt>
                <c:pt idx="7">
                  <c:v>144.1</c:v>
                </c:pt>
                <c:pt idx="8">
                  <c:v>144.5</c:v>
                </c:pt>
                <c:pt idx="9">
                  <c:v>141.9</c:v>
                </c:pt>
                <c:pt idx="10">
                  <c:v>141.9</c:v>
                </c:pt>
                <c:pt idx="11">
                  <c:v>143</c:v>
                </c:pt>
                <c:pt idx="12">
                  <c:v>142.9</c:v>
                </c:pt>
              </c:numCache>
            </c:numRef>
          </c:val>
          <c:smooth val="0"/>
          <c:extLst>
            <c:ext xmlns:c16="http://schemas.microsoft.com/office/drawing/2014/chart" uri="{C3380CC4-5D6E-409C-BE32-E72D297353CC}">
              <c16:uniqueId val="{00000001-4B9D-4707-A5E7-349D3AAA4110}"/>
            </c:ext>
          </c:extLst>
        </c:ser>
        <c:ser>
          <c:idx val="2"/>
          <c:order val="2"/>
          <c:tx>
            <c:strRef>
              <c:f>'Problem 4'!$D$50</c:f>
              <c:strCache>
                <c:ptCount val="1"/>
                <c:pt idx="0">
                  <c:v>Healthcare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'Problem 4'!$A$51:$A$64</c:f>
              <c:strCache>
                <c:ptCount val="13"/>
                <c:pt idx="0">
                  <c:v>01-09-2019</c:v>
                </c:pt>
                <c:pt idx="1">
                  <c:v>01-10-2019</c:v>
                </c:pt>
                <c:pt idx="2">
                  <c:v>01-11-2019</c:v>
                </c:pt>
                <c:pt idx="3">
                  <c:v>01-12-2019</c:v>
                </c:pt>
                <c:pt idx="4">
                  <c:v>01-01-2020</c:v>
                </c:pt>
                <c:pt idx="5">
                  <c:v>01-02-2020</c:v>
                </c:pt>
                <c:pt idx="6">
                  <c:v>01-03-2020</c:v>
                </c:pt>
                <c:pt idx="7">
                  <c:v>01-04-2020</c:v>
                </c:pt>
                <c:pt idx="8">
                  <c:v>01-05-2020</c:v>
                </c:pt>
                <c:pt idx="9">
                  <c:v>01-06-2020</c:v>
                </c:pt>
                <c:pt idx="10">
                  <c:v>01-07-2020</c:v>
                </c:pt>
                <c:pt idx="11">
                  <c:v>01-08-2020</c:v>
                </c:pt>
                <c:pt idx="12">
                  <c:v>01-09-2020</c:v>
                </c:pt>
              </c:strCache>
            </c:strRef>
          </c:cat>
          <c:val>
            <c:numRef>
              <c:f>'Problem 4'!$D$51:$D$64</c:f>
              <c:numCache>
                <c:formatCode>0.0</c:formatCode>
                <c:ptCount val="13"/>
                <c:pt idx="0">
                  <c:v>149</c:v>
                </c:pt>
                <c:pt idx="1">
                  <c:v>149.4</c:v>
                </c:pt>
                <c:pt idx="2">
                  <c:v>149.9</c:v>
                </c:pt>
                <c:pt idx="3">
                  <c:v>150.4</c:v>
                </c:pt>
                <c:pt idx="4">
                  <c:v>151.19999999999999</c:v>
                </c:pt>
                <c:pt idx="5">
                  <c:v>151.69999999999999</c:v>
                </c:pt>
                <c:pt idx="6">
                  <c:v>152.30000000000001</c:v>
                </c:pt>
                <c:pt idx="7">
                  <c:v>150.69999999999999</c:v>
                </c:pt>
                <c:pt idx="8">
                  <c:v>153.08333333333334</c:v>
                </c:pt>
                <c:pt idx="9">
                  <c:v>154.4</c:v>
                </c:pt>
                <c:pt idx="10">
                  <c:v>154.4</c:v>
                </c:pt>
                <c:pt idx="11">
                  <c:v>155</c:v>
                </c:pt>
                <c:pt idx="12">
                  <c:v>155.6</c:v>
                </c:pt>
              </c:numCache>
            </c:numRef>
          </c:val>
          <c:smooth val="0"/>
          <c:extLst>
            <c:ext xmlns:c16="http://schemas.microsoft.com/office/drawing/2014/chart" uri="{C3380CC4-5D6E-409C-BE32-E72D297353CC}">
              <c16:uniqueId val="{00000002-4B9D-4707-A5E7-349D3AAA4110}"/>
            </c:ext>
          </c:extLst>
        </c:ser>
        <c:ser>
          <c:idx val="3"/>
          <c:order val="3"/>
          <c:tx>
            <c:strRef>
              <c:f>'Problem 4'!$E$50</c:f>
              <c:strCache>
                <c:ptCount val="1"/>
                <c:pt idx="0">
                  <c:v>Transport &amp; Comms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'Problem 4'!$A$51:$A$64</c:f>
              <c:strCache>
                <c:ptCount val="13"/>
                <c:pt idx="0">
                  <c:v>01-09-2019</c:v>
                </c:pt>
                <c:pt idx="1">
                  <c:v>01-10-2019</c:v>
                </c:pt>
                <c:pt idx="2">
                  <c:v>01-11-2019</c:v>
                </c:pt>
                <c:pt idx="3">
                  <c:v>01-12-2019</c:v>
                </c:pt>
                <c:pt idx="4">
                  <c:v>01-01-2020</c:v>
                </c:pt>
                <c:pt idx="5">
                  <c:v>01-02-2020</c:v>
                </c:pt>
                <c:pt idx="6">
                  <c:v>01-03-2020</c:v>
                </c:pt>
                <c:pt idx="7">
                  <c:v>01-04-2020</c:v>
                </c:pt>
                <c:pt idx="8">
                  <c:v>01-05-2020</c:v>
                </c:pt>
                <c:pt idx="9">
                  <c:v>01-06-2020</c:v>
                </c:pt>
                <c:pt idx="10">
                  <c:v>01-07-2020</c:v>
                </c:pt>
                <c:pt idx="11">
                  <c:v>01-08-2020</c:v>
                </c:pt>
                <c:pt idx="12">
                  <c:v>01-09-2020</c:v>
                </c:pt>
              </c:strCache>
            </c:strRef>
          </c:cat>
          <c:val>
            <c:numRef>
              <c:f>'Problem 4'!$E$51:$E$64</c:f>
              <c:numCache>
                <c:formatCode>0.0</c:formatCode>
                <c:ptCount val="13"/>
                <c:pt idx="0">
                  <c:v>126.1</c:v>
                </c:pt>
                <c:pt idx="1">
                  <c:v>126.3</c:v>
                </c:pt>
                <c:pt idx="2">
                  <c:v>126.6</c:v>
                </c:pt>
                <c:pt idx="3">
                  <c:v>129.80000000000001</c:v>
                </c:pt>
                <c:pt idx="4">
                  <c:v>130.9</c:v>
                </c:pt>
                <c:pt idx="5">
                  <c:v>130.30000000000001</c:v>
                </c:pt>
                <c:pt idx="6">
                  <c:v>129.9</c:v>
                </c:pt>
                <c:pt idx="7">
                  <c:v>130.36666666666667</c:v>
                </c:pt>
                <c:pt idx="8">
                  <c:v>136.16666666666666</c:v>
                </c:pt>
                <c:pt idx="9">
                  <c:v>135</c:v>
                </c:pt>
                <c:pt idx="10">
                  <c:v>135</c:v>
                </c:pt>
                <c:pt idx="11">
                  <c:v>138.5</c:v>
                </c:pt>
                <c:pt idx="12">
                  <c:v>139.6</c:v>
                </c:pt>
              </c:numCache>
            </c:numRef>
          </c:val>
          <c:smooth val="0"/>
          <c:extLst>
            <c:ext xmlns:c16="http://schemas.microsoft.com/office/drawing/2014/chart" uri="{C3380CC4-5D6E-409C-BE32-E72D297353CC}">
              <c16:uniqueId val="{00000003-4B9D-4707-A5E7-349D3AAA4110}"/>
            </c:ext>
          </c:extLst>
        </c:ser>
        <c:dLbls>
          <c:showLegendKey val="0"/>
          <c:showVal val="0"/>
          <c:showCatName val="0"/>
          <c:showSerName val="0"/>
          <c:showPercent val="0"/>
          <c:showBubbleSize val="0"/>
        </c:dLbls>
        <c:marker val="1"/>
        <c:smooth val="0"/>
        <c:axId val="170116079"/>
        <c:axId val="170099759"/>
      </c:lineChart>
      <c:catAx>
        <c:axId val="170116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99759"/>
        <c:crosses val="autoZero"/>
        <c:auto val="1"/>
        <c:lblAlgn val="ctr"/>
        <c:lblOffset val="100"/>
        <c:noMultiLvlLbl val="0"/>
      </c:catAx>
      <c:valAx>
        <c:axId val="1700997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Fuel vs General Infaltion Jan-2021 to May-2023</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 5'!$L$28</c:f>
              <c:strCache>
                <c:ptCount val="1"/>
                <c:pt idx="0">
                  <c:v>Sum of Fuel and light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numRef>
              <c:f>'Problem 5'!$K$29:$K$57</c:f>
              <c:numCache>
                <c:formatCode>m/d/yyyy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'Problem 5'!$L$29:$L$57</c:f>
              <c:numCache>
                <c:formatCode>General</c:formatCode>
                <c:ptCount val="29"/>
                <c:pt idx="0">
                  <c:v>147.9</c:v>
                </c:pt>
                <c:pt idx="1">
                  <c:v>152.4</c:v>
                </c:pt>
                <c:pt idx="2">
                  <c:v>155.5</c:v>
                </c:pt>
                <c:pt idx="3">
                  <c:v>155.6</c:v>
                </c:pt>
                <c:pt idx="4">
                  <c:v>159.4</c:v>
                </c:pt>
                <c:pt idx="5">
                  <c:v>159.80000000000001</c:v>
                </c:pt>
                <c:pt idx="6">
                  <c:v>160.69999999999999</c:v>
                </c:pt>
                <c:pt idx="7">
                  <c:v>162.6</c:v>
                </c:pt>
                <c:pt idx="8">
                  <c:v>162.6</c:v>
                </c:pt>
                <c:pt idx="9">
                  <c:v>164.2</c:v>
                </c:pt>
                <c:pt idx="10">
                  <c:v>163.9</c:v>
                </c:pt>
                <c:pt idx="11">
                  <c:v>164.1</c:v>
                </c:pt>
                <c:pt idx="12">
                  <c:v>164.2</c:v>
                </c:pt>
                <c:pt idx="13">
                  <c:v>165.7</c:v>
                </c:pt>
                <c:pt idx="14">
                  <c:v>167.2</c:v>
                </c:pt>
                <c:pt idx="15">
                  <c:v>172.2</c:v>
                </c:pt>
                <c:pt idx="16">
                  <c:v>174.6</c:v>
                </c:pt>
                <c:pt idx="17">
                  <c:v>176</c:v>
                </c:pt>
                <c:pt idx="18">
                  <c:v>179.6</c:v>
                </c:pt>
                <c:pt idx="19">
                  <c:v>178.8</c:v>
                </c:pt>
                <c:pt idx="20">
                  <c:v>179.5</c:v>
                </c:pt>
                <c:pt idx="21">
                  <c:v>180.5</c:v>
                </c:pt>
                <c:pt idx="22">
                  <c:v>181.3</c:v>
                </c:pt>
                <c:pt idx="23">
                  <c:v>182</c:v>
                </c:pt>
                <c:pt idx="24">
                  <c:v>182</c:v>
                </c:pt>
                <c:pt idx="25">
                  <c:v>182.1</c:v>
                </c:pt>
                <c:pt idx="26">
                  <c:v>181.9</c:v>
                </c:pt>
                <c:pt idx="27">
                  <c:v>181.7</c:v>
                </c:pt>
                <c:pt idx="28">
                  <c:v>182.8</c:v>
                </c:pt>
              </c:numCache>
            </c:numRef>
          </c:val>
          <c:extLst>
            <c:ext xmlns:c16="http://schemas.microsoft.com/office/drawing/2014/chart" uri="{C3380CC4-5D6E-409C-BE32-E72D297353CC}">
              <c16:uniqueId val="{00000000-0B4F-4131-816C-A42C4EBD387A}"/>
            </c:ext>
          </c:extLst>
        </c:ser>
        <c:ser>
          <c:idx val="1"/>
          <c:order val="1"/>
          <c:tx>
            <c:strRef>
              <c:f>'Problem 5'!$M$28</c:f>
              <c:strCache>
                <c:ptCount val="1"/>
                <c:pt idx="0">
                  <c:v>Sum of General index</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numRef>
              <c:f>'Problem 5'!$K$29:$K$57</c:f>
              <c:numCache>
                <c:formatCode>m/d/yyyy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'Problem 5'!$M$29:$M$57</c:f>
              <c:numCache>
                <c:formatCode>General</c:formatCode>
                <c:ptCount val="29"/>
                <c:pt idx="0">
                  <c:v>157.30000000000001</c:v>
                </c:pt>
                <c:pt idx="1">
                  <c:v>156.6</c:v>
                </c:pt>
                <c:pt idx="2">
                  <c:v>156.80000000000001</c:v>
                </c:pt>
                <c:pt idx="3">
                  <c:v>157.80000000000001</c:v>
                </c:pt>
                <c:pt idx="4">
                  <c:v>160.4</c:v>
                </c:pt>
                <c:pt idx="5">
                  <c:v>161.30000000000001</c:v>
                </c:pt>
                <c:pt idx="6">
                  <c:v>162.5</c:v>
                </c:pt>
                <c:pt idx="7">
                  <c:v>163.19999999999999</c:v>
                </c:pt>
                <c:pt idx="8">
                  <c:v>163.19999999999999</c:v>
                </c:pt>
                <c:pt idx="9">
                  <c:v>165.5</c:v>
                </c:pt>
                <c:pt idx="10">
                  <c:v>166.7</c:v>
                </c:pt>
                <c:pt idx="11">
                  <c:v>166.2</c:v>
                </c:pt>
                <c:pt idx="12">
                  <c:v>165.7</c:v>
                </c:pt>
                <c:pt idx="13">
                  <c:v>166.1</c:v>
                </c:pt>
                <c:pt idx="14">
                  <c:v>167.7</c:v>
                </c:pt>
                <c:pt idx="15">
                  <c:v>170.1</c:v>
                </c:pt>
                <c:pt idx="16">
                  <c:v>171.7</c:v>
                </c:pt>
                <c:pt idx="17">
                  <c:v>172.6</c:v>
                </c:pt>
                <c:pt idx="18">
                  <c:v>173.4</c:v>
                </c:pt>
                <c:pt idx="19">
                  <c:v>174.3</c:v>
                </c:pt>
                <c:pt idx="20">
                  <c:v>175.3</c:v>
                </c:pt>
                <c:pt idx="21">
                  <c:v>176.7</c:v>
                </c:pt>
                <c:pt idx="22">
                  <c:v>176.5</c:v>
                </c:pt>
                <c:pt idx="23">
                  <c:v>175.7</c:v>
                </c:pt>
                <c:pt idx="24">
                  <c:v>176.5</c:v>
                </c:pt>
                <c:pt idx="25">
                  <c:v>177.2</c:v>
                </c:pt>
                <c:pt idx="26">
                  <c:v>177.2</c:v>
                </c:pt>
                <c:pt idx="27">
                  <c:v>178.1</c:v>
                </c:pt>
                <c:pt idx="28">
                  <c:v>179.1</c:v>
                </c:pt>
              </c:numCache>
            </c:numRef>
          </c:val>
          <c:extLst>
            <c:ext xmlns:c16="http://schemas.microsoft.com/office/drawing/2014/chart" uri="{C3380CC4-5D6E-409C-BE32-E72D297353CC}">
              <c16:uniqueId val="{00000001-0B4F-4131-816C-A42C4EBD387A}"/>
            </c:ext>
          </c:extLst>
        </c:ser>
        <c:dLbls>
          <c:showLegendKey val="0"/>
          <c:showVal val="0"/>
          <c:showCatName val="0"/>
          <c:showSerName val="0"/>
          <c:showPercent val="0"/>
          <c:showBubbleSize val="0"/>
        </c:dLbls>
        <c:gapWidth val="355"/>
        <c:overlap val="-70"/>
        <c:axId val="830754064"/>
        <c:axId val="830755504"/>
      </c:barChart>
      <c:dateAx>
        <c:axId val="83075406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55504"/>
        <c:crosses val="autoZero"/>
        <c:auto val="1"/>
        <c:lblOffset val="100"/>
        <c:baseTimeUnit val="months"/>
      </c:dateAx>
      <c:valAx>
        <c:axId val="83075550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54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ustomXml" Target="../ink/ink1.xml"/><Relationship Id="rId1" Type="http://schemas.openxmlformats.org/officeDocument/2006/relationships/chart" Target="../charts/chart7.xml"/><Relationship Id="rId5" Type="http://schemas.openxmlformats.org/officeDocument/2006/relationships/image" Target="../media/image2.png"/><Relationship Id="rId4" Type="http://schemas.openxmlformats.org/officeDocument/2006/relationships/customXml" Target="../ink/ink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60960</xdr:rowOff>
    </xdr:from>
    <xdr:to>
      <xdr:col>4</xdr:col>
      <xdr:colOff>2529840</xdr:colOff>
      <xdr:row>27</xdr:row>
      <xdr:rowOff>38100</xdr:rowOff>
    </xdr:to>
    <xdr:graphicFrame macro="">
      <xdr:nvGraphicFramePr>
        <xdr:cNvPr id="3" name="Chart 2">
          <a:extLst>
            <a:ext uri="{FF2B5EF4-FFF2-40B4-BE49-F238E27FC236}">
              <a16:creationId xmlns:a16="http://schemas.microsoft.com/office/drawing/2014/main" id="{A78C9BDB-7DF0-8FB9-F5A3-7E1090B9A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1203960</xdr:colOff>
      <xdr:row>1</xdr:row>
      <xdr:rowOff>175260</xdr:rowOff>
    </xdr:from>
    <xdr:to>
      <xdr:col>6</xdr:col>
      <xdr:colOff>1447800</xdr:colOff>
      <xdr:row>10</xdr:row>
      <xdr:rowOff>7620</xdr:rowOff>
    </xdr:to>
    <xdr:sp macro="" textlink="">
      <xdr:nvSpPr>
        <xdr:cNvPr id="4" name="TextBox 3">
          <a:extLst>
            <a:ext uri="{FF2B5EF4-FFF2-40B4-BE49-F238E27FC236}">
              <a16:creationId xmlns:a16="http://schemas.microsoft.com/office/drawing/2014/main" id="{08C43577-E660-93D9-7E5E-3D76989B39D9}"/>
            </a:ext>
          </a:extLst>
        </xdr:cNvPr>
        <xdr:cNvSpPr txBox="1"/>
      </xdr:nvSpPr>
      <xdr:spPr>
        <a:xfrm>
          <a:off x="10210800" y="358140"/>
          <a:ext cx="2781300" cy="147828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ysClr val="windowText" lastClr="000000"/>
              </a:solidFill>
            </a:rPr>
            <a:t>CONCLUSION</a:t>
          </a:r>
        </a:p>
        <a:p>
          <a:pPr algn="ctr"/>
          <a:endParaRPr lang="en-IN" sz="1400" b="1">
            <a:solidFill>
              <a:srgbClr val="FF0000"/>
            </a:solidFill>
          </a:endParaRPr>
        </a:p>
        <a:p>
          <a:pPr algn="ctr"/>
          <a:r>
            <a:rPr lang="en-IN" sz="1200" b="1">
              <a:solidFill>
                <a:srgbClr val="FF0000"/>
              </a:solidFill>
            </a:rPr>
            <a:t>Pan, Tobacco</a:t>
          </a:r>
          <a:r>
            <a:rPr lang="en-IN" sz="1200" b="1" baseline="0">
              <a:solidFill>
                <a:srgbClr val="FF0000"/>
              </a:solidFill>
            </a:rPr>
            <a:t> and Intoxicants </a:t>
          </a:r>
          <a:r>
            <a:rPr lang="en-IN" sz="1200" b="1" baseline="0"/>
            <a:t>has the highest contribution of </a:t>
          </a:r>
          <a:r>
            <a:rPr lang="en-IN" sz="1200" b="1" baseline="0">
              <a:solidFill>
                <a:srgbClr val="FF0000"/>
              </a:solidFill>
            </a:rPr>
            <a:t>18% </a:t>
          </a:r>
          <a:r>
            <a:rPr lang="en-IN" sz="1200" b="1" baseline="0"/>
            <a:t>towards Inflation in May 2023.</a:t>
          </a:r>
          <a:endParaRPr lang="en-IN"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7620</xdr:rowOff>
    </xdr:from>
    <xdr:to>
      <xdr:col>2</xdr:col>
      <xdr:colOff>2179320</xdr:colOff>
      <xdr:row>23</xdr:row>
      <xdr:rowOff>15240</xdr:rowOff>
    </xdr:to>
    <xdr:graphicFrame macro="">
      <xdr:nvGraphicFramePr>
        <xdr:cNvPr id="3" name="Chart 2">
          <a:extLst>
            <a:ext uri="{FF2B5EF4-FFF2-40B4-BE49-F238E27FC236}">
              <a16:creationId xmlns:a16="http://schemas.microsoft.com/office/drawing/2014/main" id="{405C9CB6-E5B4-CDB1-1FA0-311D277E5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0</xdr:row>
      <xdr:rowOff>0</xdr:rowOff>
    </xdr:from>
    <xdr:to>
      <xdr:col>11</xdr:col>
      <xdr:colOff>30480</xdr:colOff>
      <xdr:row>22</xdr:row>
      <xdr:rowOff>179070</xdr:rowOff>
    </xdr:to>
    <xdr:graphicFrame macro="">
      <xdr:nvGraphicFramePr>
        <xdr:cNvPr id="4" name="Chart 3">
          <a:extLst>
            <a:ext uri="{FF2B5EF4-FFF2-40B4-BE49-F238E27FC236}">
              <a16:creationId xmlns:a16="http://schemas.microsoft.com/office/drawing/2014/main" id="{56251DAF-3CF9-28F4-7801-3CF0AD914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0</xdr:row>
      <xdr:rowOff>22860</xdr:rowOff>
    </xdr:from>
    <xdr:to>
      <xdr:col>5</xdr:col>
      <xdr:colOff>7620</xdr:colOff>
      <xdr:row>23</xdr:row>
      <xdr:rowOff>0</xdr:rowOff>
    </xdr:to>
    <xdr:sp macro="" textlink="">
      <xdr:nvSpPr>
        <xdr:cNvPr id="5" name="TextBox 4">
          <a:extLst>
            <a:ext uri="{FF2B5EF4-FFF2-40B4-BE49-F238E27FC236}">
              <a16:creationId xmlns:a16="http://schemas.microsoft.com/office/drawing/2014/main" id="{508EB307-7BC1-3101-5193-230D0F755DA5}"/>
            </a:ext>
          </a:extLst>
        </xdr:cNvPr>
        <xdr:cNvSpPr txBox="1"/>
      </xdr:nvSpPr>
      <xdr:spPr>
        <a:xfrm>
          <a:off x="4770120" y="22860"/>
          <a:ext cx="2811780" cy="418338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CONCLUSION</a:t>
          </a:r>
          <a:endParaRPr lang="en-IN" sz="1100" b="1"/>
        </a:p>
        <a:p>
          <a:endParaRPr lang="en-IN" sz="1100"/>
        </a:p>
        <a:p>
          <a:r>
            <a:rPr lang="en-IN" sz="1100"/>
            <a:t>The</a:t>
          </a:r>
          <a:r>
            <a:rPr lang="en-IN" sz="1100" baseline="0"/>
            <a:t> Year-on-Year inflation growth in Jan-2020 is highest at </a:t>
          </a:r>
          <a:r>
            <a:rPr lang="en-IN" sz="1100" b="1" baseline="0"/>
            <a:t>7.59%</a:t>
          </a:r>
          <a:r>
            <a:rPr lang="en-IN" sz="1100" baseline="0"/>
            <a:t> when compared to Jan-2019.</a:t>
          </a:r>
        </a:p>
        <a:p>
          <a:endParaRPr lang="en-IN" sz="1100" baseline="0"/>
        </a:p>
        <a:p>
          <a:r>
            <a:rPr lang="en-IN" sz="1100" baseline="0"/>
            <a:t>The main reason for high inflation growth during this period can mostly attibuted to steep rise in food inflation at </a:t>
          </a:r>
          <a:r>
            <a:rPr lang="en-IN" sz="1100" b="1" baseline="0"/>
            <a:t>11.72%</a:t>
          </a:r>
          <a:r>
            <a:rPr lang="en-IN" sz="1100" baseline="0"/>
            <a:t>. </a:t>
          </a:r>
        </a:p>
        <a:p>
          <a:endParaRPr lang="en-IN" sz="1100" baseline="0"/>
        </a:p>
        <a:p>
          <a:r>
            <a:rPr lang="en-IN" sz="1100" baseline="0"/>
            <a:t>Considering Food items weighs in over 50% of general inflation index, the overall inflation growth turned out to be on the higher side.</a:t>
          </a:r>
        </a:p>
        <a:p>
          <a:endParaRPr lang="en-IN" sz="1100" baseline="0"/>
        </a:p>
        <a:p>
          <a:r>
            <a:rPr lang="en-IN" sz="1100" baseline="0"/>
            <a:t>Based on analysis and external research, the high food inflation is caused by:</a:t>
          </a:r>
        </a:p>
        <a:p>
          <a:endParaRPr lang="en-IN" sz="1100" baseline="0"/>
        </a:p>
        <a:p>
          <a:r>
            <a:rPr lang="en-IN" sz="1100" baseline="0"/>
            <a:t>- Destruction of kharif crops due to extreme monsoon in 2019.</a:t>
          </a:r>
        </a:p>
        <a:p>
          <a:r>
            <a:rPr lang="en-IN" sz="1100" baseline="0"/>
            <a:t>- Hoarding essential food items like onions, tomatoes, potatoes and other raw food items.</a:t>
          </a:r>
        </a:p>
        <a:p>
          <a:r>
            <a:rPr lang="en-IN" sz="1100" baseline="0"/>
            <a:t>- Demand and supply mismatch leading to multifold rise in food prices.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5</xdr:col>
      <xdr:colOff>7620</xdr:colOff>
      <xdr:row>13</xdr:row>
      <xdr:rowOff>175260</xdr:rowOff>
    </xdr:to>
    <xdr:graphicFrame macro="">
      <xdr:nvGraphicFramePr>
        <xdr:cNvPr id="2" name="Chart 1">
          <a:extLst>
            <a:ext uri="{FF2B5EF4-FFF2-40B4-BE49-F238E27FC236}">
              <a16:creationId xmlns:a16="http://schemas.microsoft.com/office/drawing/2014/main" id="{C928DD65-FC12-B46C-DF91-CE5537984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175260</xdr:rowOff>
    </xdr:from>
    <xdr:to>
      <xdr:col>4</xdr:col>
      <xdr:colOff>1562100</xdr:colOff>
      <xdr:row>27</xdr:row>
      <xdr:rowOff>175260</xdr:rowOff>
    </xdr:to>
    <xdr:graphicFrame macro="">
      <xdr:nvGraphicFramePr>
        <xdr:cNvPr id="5" name="Chart 4">
          <a:extLst>
            <a:ext uri="{FF2B5EF4-FFF2-40B4-BE49-F238E27FC236}">
              <a16:creationId xmlns:a16="http://schemas.microsoft.com/office/drawing/2014/main" id="{32954F9E-691C-2EDA-38B7-3A56D7121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0</xdr:row>
      <xdr:rowOff>0</xdr:rowOff>
    </xdr:from>
    <xdr:to>
      <xdr:col>9</xdr:col>
      <xdr:colOff>7620</xdr:colOff>
      <xdr:row>28</xdr:row>
      <xdr:rowOff>7620</xdr:rowOff>
    </xdr:to>
    <xdr:graphicFrame macro="">
      <xdr:nvGraphicFramePr>
        <xdr:cNvPr id="10" name="Chart 9">
          <a:extLst>
            <a:ext uri="{FF2B5EF4-FFF2-40B4-BE49-F238E27FC236}">
              <a16:creationId xmlns:a16="http://schemas.microsoft.com/office/drawing/2014/main" id="{76E23357-0931-B44E-3E85-C4D8551DF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1676400</xdr:colOff>
      <xdr:row>0</xdr:row>
      <xdr:rowOff>15240</xdr:rowOff>
    </xdr:from>
    <xdr:to>
      <xdr:col>12</xdr:col>
      <xdr:colOff>15240</xdr:colOff>
      <xdr:row>18</xdr:row>
      <xdr:rowOff>15240</xdr:rowOff>
    </xdr:to>
    <xdr:sp macro="" textlink="">
      <xdr:nvSpPr>
        <xdr:cNvPr id="11" name="TextBox 10">
          <a:extLst>
            <a:ext uri="{FF2B5EF4-FFF2-40B4-BE49-F238E27FC236}">
              <a16:creationId xmlns:a16="http://schemas.microsoft.com/office/drawing/2014/main" id="{CDD3689E-4104-D349-32DD-9376A12ABA45}"/>
            </a:ext>
          </a:extLst>
        </xdr:cNvPr>
        <xdr:cNvSpPr txBox="1"/>
      </xdr:nvSpPr>
      <xdr:spPr>
        <a:xfrm>
          <a:off x="11186160" y="15240"/>
          <a:ext cx="4815840" cy="32918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ysClr val="windowText" lastClr="000000"/>
              </a:solidFill>
            </a:rPr>
            <a:t>CONCLUSION</a:t>
          </a:r>
          <a:endParaRPr lang="en-IN" sz="1100" b="1">
            <a:solidFill>
              <a:sysClr val="windowText" lastClr="000000"/>
            </a:solidFill>
          </a:endParaRPr>
        </a:p>
        <a:p>
          <a:endParaRPr lang="en-IN" sz="1100"/>
        </a:p>
        <a:p>
          <a:r>
            <a:rPr lang="en-IN" sz="1100"/>
            <a:t>Lowest Food Inflation (Absolute): </a:t>
          </a:r>
          <a:r>
            <a:rPr lang="en-IN" sz="1200" b="1">
              <a:solidFill>
                <a:srgbClr val="00B050"/>
              </a:solidFill>
            </a:rPr>
            <a:t>June 2022 - 174.9</a:t>
          </a:r>
        </a:p>
        <a:p>
          <a:endParaRPr lang="en-IN" sz="1100"/>
        </a:p>
        <a:p>
          <a:r>
            <a:rPr lang="en-IN" sz="1100"/>
            <a:t>Highest Food Inflation (Absolute):</a:t>
          </a:r>
          <a:r>
            <a:rPr lang="en-IN" sz="1100" baseline="0"/>
            <a:t> </a:t>
          </a:r>
          <a:r>
            <a:rPr lang="en-IN" sz="1200" b="1">
              <a:solidFill>
                <a:srgbClr val="FF0000"/>
              </a:solidFill>
            </a:rPr>
            <a:t>Oct 2022 - 179.6</a:t>
          </a:r>
        </a:p>
        <a:p>
          <a:endParaRPr lang="en-IN" sz="1100"/>
        </a:p>
        <a:p>
          <a:r>
            <a:rPr lang="en-IN" sz="1100"/>
            <a:t>Lowest</a:t>
          </a:r>
          <a:r>
            <a:rPr lang="en-IN" sz="1100" baseline="0"/>
            <a:t> Food Inflation Growth Rate: </a:t>
          </a:r>
          <a:r>
            <a:rPr lang="en-IN" sz="1200" b="1" baseline="0">
              <a:solidFill>
                <a:srgbClr val="00B050"/>
              </a:solidFill>
            </a:rPr>
            <a:t>Dec 2022: -1.35% MoM</a:t>
          </a:r>
          <a:endParaRPr lang="en-IN" sz="1100" b="1" baseline="0">
            <a:solidFill>
              <a:srgbClr val="00B050"/>
            </a:solidFill>
          </a:endParaRPr>
        </a:p>
        <a:p>
          <a:endParaRPr lang="en-IN" sz="1100" baseline="0"/>
        </a:p>
        <a:p>
          <a:r>
            <a:rPr lang="en-IN" sz="1100" baseline="0"/>
            <a:t>Highest Food Inflation Growth Rate: </a:t>
          </a:r>
          <a:r>
            <a:rPr lang="en-IN" sz="1200" b="1" baseline="0">
              <a:solidFill>
                <a:srgbClr val="FF0000"/>
              </a:solidFill>
            </a:rPr>
            <a:t>Oct 2022: 1.01% MoM</a:t>
          </a:r>
          <a:endParaRPr lang="en-IN" sz="1200" b="1">
            <a:solidFill>
              <a:srgbClr val="FF0000"/>
            </a:solidFill>
          </a:endParaRPr>
        </a:p>
        <a:p>
          <a:endParaRPr lang="en-IN" sz="1100"/>
        </a:p>
        <a:p>
          <a:r>
            <a:rPr lang="en-IN" sz="1100"/>
            <a:t>ABSOLUTE YoY CHANGE: </a:t>
          </a:r>
          <a:r>
            <a:rPr lang="en-IN" sz="1100" b="1"/>
            <a:t>4.2</a:t>
          </a:r>
        </a:p>
        <a:p>
          <a:endParaRPr lang="en-IN" sz="1100"/>
        </a:p>
        <a:p>
          <a:r>
            <a:rPr lang="en-IN" sz="1100"/>
            <a:t>PERCENTAGE YoY</a:t>
          </a:r>
          <a:r>
            <a:rPr lang="en-IN" sz="1100" baseline="0"/>
            <a:t> CHANGE: </a:t>
          </a:r>
          <a:r>
            <a:rPr lang="en-IN" sz="1100" b="1" baseline="0"/>
            <a:t>2.40%</a:t>
          </a:r>
        </a:p>
        <a:p>
          <a:endParaRPr lang="en-IN" sz="1100" baseline="0"/>
        </a:p>
        <a:p>
          <a:r>
            <a:rPr lang="en-IN" sz="1100" baseline="0"/>
            <a:t>HIGHEST INDIVIDUAL CATEGORY CONTRIBUTOR: </a:t>
          </a:r>
          <a:r>
            <a:rPr lang="en-IN" sz="1200" b="1" baseline="0">
              <a:solidFill>
                <a:srgbClr val="FF0000"/>
              </a:solidFill>
            </a:rPr>
            <a:t>Spices: 16.52%</a:t>
          </a:r>
        </a:p>
        <a:p>
          <a:endParaRPr lang="en-IN" sz="1100" baseline="0"/>
        </a:p>
        <a:p>
          <a:r>
            <a:rPr lang="en-IN" sz="1100" baseline="0"/>
            <a:t>LOWEST INDIVIDUAL CATEGORY CONTRIBUTOR: </a:t>
          </a:r>
          <a:r>
            <a:rPr lang="en-IN" sz="1200" b="1" baseline="0">
              <a:solidFill>
                <a:srgbClr val="00B050"/>
              </a:solidFill>
            </a:rPr>
            <a:t>Oils &amp; Fats: -15.38%</a:t>
          </a:r>
          <a:endParaRPr lang="en-IN" sz="1200" b="1">
            <a:solidFill>
              <a:srgbClr val="00B050"/>
            </a:solidFill>
          </a:endParaRPr>
        </a:p>
        <a:p>
          <a:endParaRPr lang="en-IN" sz="1100"/>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0</xdr:row>
      <xdr:rowOff>15240</xdr:rowOff>
    </xdr:from>
    <xdr:to>
      <xdr:col>9</xdr:col>
      <xdr:colOff>7620</xdr:colOff>
      <xdr:row>45</xdr:row>
      <xdr:rowOff>68580</xdr:rowOff>
    </xdr:to>
    <xdr:graphicFrame macro="">
      <xdr:nvGraphicFramePr>
        <xdr:cNvPr id="2" name="Chart 1">
          <a:extLst>
            <a:ext uri="{FF2B5EF4-FFF2-40B4-BE49-F238E27FC236}">
              <a16:creationId xmlns:a16="http://schemas.microsoft.com/office/drawing/2014/main" id="{73C563A9-8C49-9802-0F89-76A9174F1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4</xdr:row>
      <xdr:rowOff>30481</xdr:rowOff>
    </xdr:from>
    <xdr:to>
      <xdr:col>4</xdr:col>
      <xdr:colOff>1181100</xdr:colOff>
      <xdr:row>5</xdr:row>
      <xdr:rowOff>106680</xdr:rowOff>
    </xdr:to>
    <xdr:sp macro="" textlink="">
      <xdr:nvSpPr>
        <xdr:cNvPr id="6" name="TextBox 5">
          <a:extLst>
            <a:ext uri="{FF2B5EF4-FFF2-40B4-BE49-F238E27FC236}">
              <a16:creationId xmlns:a16="http://schemas.microsoft.com/office/drawing/2014/main" id="{4B6099F7-A7D5-F7F6-C5CD-B51BC5222E30}"/>
            </a:ext>
          </a:extLst>
        </xdr:cNvPr>
        <xdr:cNvSpPr txBox="1"/>
      </xdr:nvSpPr>
      <xdr:spPr>
        <a:xfrm>
          <a:off x="2301240" y="762001"/>
          <a:ext cx="1798320" cy="2590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Covid-19</a:t>
          </a:r>
          <a:r>
            <a:rPr lang="en-IN" sz="1100" baseline="0"/>
            <a:t> began in Mar-2020</a:t>
          </a:r>
          <a:endParaRPr lang="en-IN" sz="1100"/>
        </a:p>
      </xdr:txBody>
    </xdr:sp>
    <xdr:clientData/>
  </xdr:twoCellAnchor>
  <xdr:twoCellAnchor editAs="oneCell">
    <xdr:from>
      <xdr:col>3</xdr:col>
      <xdr:colOff>609420</xdr:colOff>
      <xdr:row>5</xdr:row>
      <xdr:rowOff>167400</xdr:rowOff>
    </xdr:from>
    <xdr:to>
      <xdr:col>4</xdr:col>
      <xdr:colOff>7860</xdr:colOff>
      <xdr:row>8</xdr:row>
      <xdr:rowOff>22620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20" name="Ink 19">
              <a:extLst>
                <a:ext uri="{FF2B5EF4-FFF2-40B4-BE49-F238E27FC236}">
                  <a16:creationId xmlns:a16="http://schemas.microsoft.com/office/drawing/2014/main" id="{0CFA628C-C9FF-A7F1-8F27-053F68D2429C}"/>
                </a:ext>
              </a:extLst>
            </xdr14:cNvPr>
            <xdr14:cNvContentPartPr/>
          </xdr14:nvContentPartPr>
          <xdr14:nvPr macro=""/>
          <xdr14:xfrm>
            <a:off x="2842080" y="1081800"/>
            <a:ext cx="84240" cy="411480"/>
          </xdr14:xfrm>
        </xdr:contentPart>
      </mc:Choice>
      <mc:Fallback xmlns="">
        <xdr:pic>
          <xdr:nvPicPr>
            <xdr:cNvPr id="20" name="Ink 19">
              <a:extLst>
                <a:ext uri="{FF2B5EF4-FFF2-40B4-BE49-F238E27FC236}">
                  <a16:creationId xmlns:a16="http://schemas.microsoft.com/office/drawing/2014/main" id="{0CFA628C-C9FF-A7F1-8F27-053F68D2429C}"/>
                </a:ext>
              </a:extLst>
            </xdr:cNvPr>
            <xdr:cNvPicPr/>
          </xdr:nvPicPr>
          <xdr:blipFill>
            <a:blip xmlns:r="http://schemas.openxmlformats.org/officeDocument/2006/relationships" r:embed="rId3"/>
            <a:stretch>
              <a:fillRect/>
            </a:stretch>
          </xdr:blipFill>
          <xdr:spPr>
            <a:xfrm>
              <a:off x="2833080" y="1507140"/>
              <a:ext cx="101880" cy="429120"/>
            </a:xfrm>
            <a:prstGeom prst="rect">
              <a:avLst/>
            </a:prstGeom>
          </xdr:spPr>
        </xdr:pic>
      </mc:Fallback>
    </mc:AlternateContent>
    <xdr:clientData/>
  </xdr:twoCellAnchor>
  <xdr:twoCellAnchor editAs="oneCell">
    <xdr:from>
      <xdr:col>3</xdr:col>
      <xdr:colOff>578520</xdr:colOff>
      <xdr:row>7</xdr:row>
      <xdr:rowOff>45660</xdr:rowOff>
    </xdr:from>
    <xdr:to>
      <xdr:col>4</xdr:col>
      <xdr:colOff>47880</xdr:colOff>
      <xdr:row>8</xdr:row>
      <xdr:rowOff>53580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23" name="Ink 22">
              <a:extLst>
                <a:ext uri="{FF2B5EF4-FFF2-40B4-BE49-F238E27FC236}">
                  <a16:creationId xmlns:a16="http://schemas.microsoft.com/office/drawing/2014/main" id="{271D4C91-39DC-B500-7596-F12C57C39359}"/>
                </a:ext>
              </a:extLst>
            </xdr14:cNvPr>
            <xdr14:cNvContentPartPr/>
          </xdr14:nvContentPartPr>
          <xdr14:nvPr macro=""/>
          <xdr14:xfrm>
            <a:off x="2811180" y="1333440"/>
            <a:ext cx="155160" cy="190800"/>
          </xdr14:xfrm>
        </xdr:contentPart>
      </mc:Choice>
      <mc:Fallback xmlns="">
        <xdr:pic>
          <xdr:nvPicPr>
            <xdr:cNvPr id="23" name="Ink 22">
              <a:extLst>
                <a:ext uri="{FF2B5EF4-FFF2-40B4-BE49-F238E27FC236}">
                  <a16:creationId xmlns:a16="http://schemas.microsoft.com/office/drawing/2014/main" id="{271D4C91-39DC-B500-7596-F12C57C39359}"/>
                </a:ext>
              </a:extLst>
            </xdr:cNvPr>
            <xdr:cNvPicPr/>
          </xdr:nvPicPr>
          <xdr:blipFill>
            <a:blip xmlns:r="http://schemas.openxmlformats.org/officeDocument/2006/relationships" r:embed="rId5"/>
            <a:stretch>
              <a:fillRect/>
            </a:stretch>
          </xdr:blipFill>
          <xdr:spPr>
            <a:xfrm>
              <a:off x="2787300" y="1781640"/>
              <a:ext cx="172800" cy="208440"/>
            </a:xfrm>
            <a:prstGeom prst="rect">
              <a:avLst/>
            </a:prstGeom>
          </xdr:spPr>
        </xdr:pic>
      </mc:Fallback>
    </mc:AlternateContent>
    <xdr:clientData/>
  </xdr:twoCellAnchor>
  <xdr:twoCellAnchor>
    <xdr:from>
      <xdr:col>9</xdr:col>
      <xdr:colOff>571500</xdr:colOff>
      <xdr:row>6</xdr:row>
      <xdr:rowOff>30480</xdr:rowOff>
    </xdr:from>
    <xdr:to>
      <xdr:col>16</xdr:col>
      <xdr:colOff>0</xdr:colOff>
      <xdr:row>33</xdr:row>
      <xdr:rowOff>7620</xdr:rowOff>
    </xdr:to>
    <xdr:sp macro="" textlink="">
      <xdr:nvSpPr>
        <xdr:cNvPr id="27" name="TextBox 26">
          <a:extLst>
            <a:ext uri="{FF2B5EF4-FFF2-40B4-BE49-F238E27FC236}">
              <a16:creationId xmlns:a16="http://schemas.microsoft.com/office/drawing/2014/main" id="{4CEAE6E1-B55B-09E4-BE8B-27300576F28D}"/>
            </a:ext>
          </a:extLst>
        </xdr:cNvPr>
        <xdr:cNvSpPr txBox="1"/>
      </xdr:nvSpPr>
      <xdr:spPr>
        <a:xfrm>
          <a:off x="7155180" y="1135380"/>
          <a:ext cx="6591300" cy="49149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CONCLUSION</a:t>
          </a:r>
          <a:endParaRPr lang="en-IN" sz="1100" b="1"/>
        </a:p>
        <a:p>
          <a:endParaRPr lang="en-IN" sz="1100"/>
        </a:p>
        <a:p>
          <a:r>
            <a:rPr lang="en-IN" sz="1100"/>
            <a:t>Analysis shows all</a:t>
          </a:r>
          <a:r>
            <a:rPr lang="en-IN" sz="1100" baseline="0"/>
            <a:t> essential services were affected during the onset of Covid-19 and the first lockdown. During the period spanning from September 2019 to September 2020, the inflation showcased the following trends:</a:t>
          </a:r>
        </a:p>
        <a:p>
          <a:endParaRPr lang="en-IN" sz="1100" baseline="0"/>
        </a:p>
        <a:p>
          <a:r>
            <a:rPr lang="en-IN" sz="1100" b="1" baseline="0"/>
            <a:t>Food Inflation:</a:t>
          </a:r>
        </a:p>
        <a:p>
          <a:r>
            <a:rPr lang="en-IN" sz="1100" b="0" baseline="0"/>
            <a:t>Before Covid, the food prices showcased moderate inflation of 1.29% from Sep-19 to Mar-20. However, it picked up pace and grew by 6.11% through Mar-20 to Sep-20 due to higher demand. The growth in the food inflation was further fuelled by people stocking up groceries and food items due to uncertainity in the stock availability.</a:t>
          </a:r>
        </a:p>
        <a:p>
          <a:endParaRPr lang="en-IN" sz="1100" b="0" baseline="0"/>
        </a:p>
        <a:p>
          <a:r>
            <a:rPr lang="en-IN" sz="1100" b="1" baseline="0"/>
            <a:t>Fuel Demand:</a:t>
          </a:r>
        </a:p>
        <a:p>
          <a:r>
            <a:rPr lang="en-IN" sz="1100" b="0" baseline="0"/>
            <a:t>Before onset of Covid, the fuel inflation grew by 6.97% through Sep-19 to Mar-20 which is the highest among the essntial services. However, the fuel inflation dropped after Mar-20 as lockdown was enforced and fuel demand reduced drastically leading to degrowth of 4.03% from Mar-20 to Sep-20.</a:t>
          </a:r>
        </a:p>
        <a:p>
          <a:endParaRPr lang="en-IN" sz="1100" b="0" baseline="0"/>
        </a:p>
        <a:p>
          <a:r>
            <a:rPr lang="en-IN" sz="1100" b="1" baseline="0"/>
            <a:t>Healthcare:</a:t>
          </a:r>
        </a:p>
        <a:p>
          <a:r>
            <a:rPr lang="en-IN" sz="1100" b="0" baseline="0"/>
            <a:t>Before Covid, from Sep-19 to Mar-20, the Healthcase showcased moderate growth of 2.21% which is nearly similar to 2.17% growth from Mar-20 to Sep-20 after Covid-19 began and lockdowns were initiated. This showcased the stability of healthcare inflation before and after the Covid-19 as it was the critical service area that needed utmost attention during the period of urgency.</a:t>
          </a:r>
        </a:p>
        <a:p>
          <a:endParaRPr lang="en-IN" sz="1100" b="0" baseline="0"/>
        </a:p>
        <a:p>
          <a:r>
            <a:rPr lang="en-IN" sz="1100" b="1" baseline="0"/>
            <a:t>Transport and Communications:</a:t>
          </a:r>
        </a:p>
        <a:p>
          <a:r>
            <a:rPr lang="en-IN" sz="1100" b="0" baseline="0"/>
            <a:t>The inflation of Transport and Communication services rose moderately by 3.01% during Sep-19 to Mar-20 period before the Covid. However, it showcased highest inflation growth of 7.47% after Covid-19 from Mar-20 to Sep-20. This steep rise in inflation can be attributed to health concerns of the transport personnel, fleet owners, and taxi service providers. Apart for this, the demand for personalised cab services increased as </a:t>
          </a:r>
          <a:r>
            <a:rPr lang="en-IN" sz="1100" b="0" baseline="0">
              <a:solidFill>
                <a:schemeClr val="dk1"/>
              </a:solidFill>
              <a:effectLst/>
              <a:latin typeface="+mn-lt"/>
              <a:ea typeface="+mn-ea"/>
              <a:cs typeface="+mn-cs"/>
            </a:rPr>
            <a:t>people were seeking safety </a:t>
          </a:r>
          <a:r>
            <a:rPr lang="en-IN" sz="1100" b="0" baseline="0"/>
            <a:t>by avoiding crowded public transport to prevent the spread of disease.</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11</xdr:row>
      <xdr:rowOff>0</xdr:rowOff>
    </xdr:from>
    <xdr:to>
      <xdr:col>3</xdr:col>
      <xdr:colOff>2202180</xdr:colOff>
      <xdr:row>24</xdr:row>
      <xdr:rowOff>15240</xdr:rowOff>
    </xdr:to>
    <xdr:sp macro="" textlink="">
      <xdr:nvSpPr>
        <xdr:cNvPr id="2" name="TextBox 1">
          <a:extLst>
            <a:ext uri="{FF2B5EF4-FFF2-40B4-BE49-F238E27FC236}">
              <a16:creationId xmlns:a16="http://schemas.microsoft.com/office/drawing/2014/main" id="{A9F5721B-6B3C-9055-67FF-D79AF3E3E426}"/>
            </a:ext>
          </a:extLst>
        </xdr:cNvPr>
        <xdr:cNvSpPr txBox="1"/>
      </xdr:nvSpPr>
      <xdr:spPr>
        <a:xfrm>
          <a:off x="22860" y="2026920"/>
          <a:ext cx="6545580" cy="239268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baseline="0">
              <a:solidFill>
                <a:schemeClr val="dk1"/>
              </a:solidFill>
              <a:effectLst/>
              <a:latin typeface="+mn-lt"/>
              <a:ea typeface="+mn-ea"/>
              <a:cs typeface="+mn-cs"/>
            </a:rPr>
            <a:t>CONCLUSION</a:t>
          </a:r>
          <a:endParaRPr lang="en-IN">
            <a:effectLst/>
          </a:endParaRPr>
        </a:p>
        <a:p>
          <a:endParaRPr lang="en-IN" sz="1100"/>
        </a:p>
        <a:p>
          <a:r>
            <a:rPr lang="en-IN"/>
            <a:t>Over </a:t>
          </a:r>
          <a:r>
            <a:rPr lang="en-IN" b="1"/>
            <a:t>80%</a:t>
          </a:r>
          <a:r>
            <a:rPr lang="en-IN"/>
            <a:t> of India's fuel is imported, making it a critical component of the country's economy. Fuel is an essential input for manufacturing, production, and the transportation of goods and services. Consequently, fuel inflation exhibits a strong correlation with inflation across all</a:t>
          </a:r>
          <a:r>
            <a:rPr lang="en-IN" baseline="0"/>
            <a:t> the</a:t>
          </a:r>
          <a:r>
            <a:rPr lang="en-IN"/>
            <a:t> categories.</a:t>
          </a:r>
        </a:p>
        <a:p>
          <a:endParaRPr lang="en-IN"/>
        </a:p>
        <a:p>
          <a:r>
            <a:rPr lang="en-IN"/>
            <a:t>Therefore, any increase in fuel prices is likely to have a direct and proportionate impact on the inflation of other categories by raising production and transportation costs.</a:t>
          </a:r>
        </a:p>
      </xdr:txBody>
    </xdr:sp>
    <xdr:clientData/>
  </xdr:twoCellAnchor>
  <xdr:twoCellAnchor>
    <xdr:from>
      <xdr:col>4</xdr:col>
      <xdr:colOff>83820</xdr:colOff>
      <xdr:row>0</xdr:row>
      <xdr:rowOff>19050</xdr:rowOff>
    </xdr:from>
    <xdr:to>
      <xdr:col>11</xdr:col>
      <xdr:colOff>7620</xdr:colOff>
      <xdr:row>26</xdr:row>
      <xdr:rowOff>0</xdr:rowOff>
    </xdr:to>
    <xdr:graphicFrame macro="">
      <xdr:nvGraphicFramePr>
        <xdr:cNvPr id="3" name="Chart 2">
          <a:extLst>
            <a:ext uri="{FF2B5EF4-FFF2-40B4-BE49-F238E27FC236}">
              <a16:creationId xmlns:a16="http://schemas.microsoft.com/office/drawing/2014/main" id="{22AAA188-7622-E8BA-EC7A-43883A131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6T18:55:41.147"/>
    </inkml:context>
    <inkml:brush xml:id="br0">
      <inkml:brushProperty name="width" value="0.05" units="cm"/>
      <inkml:brushProperty name="height" value="0.05" units="cm"/>
      <inkml:brushProperty name="color" value="#008C3A"/>
    </inkml:brush>
  </inkml:definitions>
  <inkml:trace contextRef="#ctx0" brushRef="#br0">233 0 16437,'-233'1143'0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6T18:55:43.791"/>
    </inkml:context>
    <inkml:brush xml:id="br0">
      <inkml:brushProperty name="width" value="0.05" units="cm"/>
      <inkml:brushProperty name="height" value="0.05" units="cm"/>
      <inkml:brushProperty name="color" value="#008C3A"/>
    </inkml:brush>
  </inkml:definitions>
  <inkml:trace contextRef="#ctx0" brushRef="#br0">23 0 9830,'-4'0'328,"-1"11"655,1 11-328,0 12 328,1 7-328,2 9 328,0 1-327,1 5 327,0-2-328,0-2 1,7-6 76,3-4-76,0-9-656</inkml:trace>
  <inkml:trace contextRef="#ctx0" brushRef="#br0" timeOffset="2943.98">87 529 9830,'0'-3'0,"3"-6"0,13 0 0,6-3 0,11-9 0,3-6 0,-1-1 0,-2 0 0,-4 1 0,-3 2 0,8-2 0,7-11 0,-5 1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Vashisth" refreshedDate="46200.003989004632" createdVersion="8" refreshedVersion="8" minRefreshableVersion="3" recordCount="372" xr:uid="{1B22CD7C-E87D-4DC9-9460-9334AC8BA034}">
  <cacheSource type="worksheet">
    <worksheetSource ref="A1:AE373" sheet="Working Data"/>
  </cacheSource>
  <cacheFields count="31">
    <cacheField name="Sector" numFmtId="0">
      <sharedItems count="3">
        <s v="Rural"/>
        <s v="Urban"/>
        <s v="Rural+Urban"/>
      </sharedItems>
    </cacheField>
    <cacheField name="Year" numFmtId="0">
      <sharedItems containsSemiMixedTypes="0" containsString="0" containsNumber="1" containsInteger="1" minValue="2013" maxValue="2023"/>
    </cacheField>
    <cacheField name="Month" numFmtId="0">
      <sharedItems/>
    </cacheField>
    <cacheField name="Cereals and products" numFmtId="0">
      <sharedItems containsString="0" containsBlank="1" containsNumber="1" minValue="107.5" maxValue="174.8"/>
    </cacheField>
    <cacheField name="Meat and fish" numFmtId="0">
      <sharedItems containsString="0" containsBlank="1" containsNumber="1" minValue="106.3" maxValue="223.4"/>
    </cacheField>
    <cacheField name="Egg" numFmtId="0">
      <sharedItems containsString="0" containsBlank="1" containsNumber="1" minValue="102.7" maxValue="197"/>
    </cacheField>
    <cacheField name="Milk and products" numFmtId="0">
      <sharedItems containsString="0" containsBlank="1" containsNumber="1" minValue="103.6" maxValue="179.6"/>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nacks, sweets etc." numFmtId="0">
      <sharedItems containsString="0" containsBlank="1" containsNumber="1" minValue="106.7" maxValue="197.7"/>
    </cacheField>
    <cacheField name="Food and beverages" numFmtId="0">
      <sharedItems containsSemiMixedTypes="0" containsString="0"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ontainsString="0" containsBlank="1" containsNumber="1" minValue="100.3" maxValue="175.6"/>
    </cacheField>
    <cacheField name="Fuel and light" numFmtId="0">
      <sharedItems containsSemiMixedTypes="0" containsString="0" containsNumber="1" minValue="105.4" maxValue="183.4"/>
    </cacheField>
    <cacheField name="Household goods and services" numFmtId="0">
      <sharedItems containsString="0" containsBlank="1"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acheField>
    <cacheField name="Persona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acheField>
    <cacheField name="Month Year" numFmtId="14">
      <sharedItems containsDate="1" containsMixedTypes="1" minDate="2013-01-01T00:00:00" maxDate="2023-05-02T00:00:00" count="125">
        <d v="2013-01-01T00:00:00"/>
        <d v="2013-02-01T00:00:00"/>
        <d v="2013-03-01T00:00:00"/>
        <d v="2013-04-01T00:00:00"/>
        <d v="2013-05-01T00:00:00"/>
        <d v="2013-06-01T00:00:00"/>
        <d v="2013-07-01T00:00:00"/>
        <d v="2013-08-01T00:00:00"/>
        <d v="2013-09-01T00:00:00"/>
        <d v="2013-10-01T00:00:00"/>
        <e v="#N/A"/>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Vashisth" refreshedDate="46200.123535995372" createdVersion="8" refreshedVersion="8" minRefreshableVersion="3" recordCount="372" xr:uid="{89DFEECA-E692-43E6-9A1C-8DD9AB8EBBD2}">
  <cacheSource type="worksheet">
    <worksheetSource ref="A1:K373" sheet="Broad Categories"/>
  </cacheSource>
  <cacheFields count="11">
    <cacheField name="Sector" numFmtId="0">
      <sharedItems count="3">
        <s v="Rural"/>
        <s v="Urban"/>
        <s v="Rural+Urban"/>
      </sharedItems>
    </cacheField>
    <cacheField name="Year" numFmtId="0">
      <sharedItems containsSemiMixedTypes="0" containsString="0" containsNumber="1" containsInteger="1" minValue="2013" maxValue="2023"/>
    </cacheField>
    <cacheField name="Month" numFmtId="0">
      <sharedItems/>
    </cacheField>
    <cacheField name="Month Year" numFmtId="164">
      <sharedItems containsDate="1" containsMixedTypes="1" minDate="2013-01-01T00:00:00" maxDate="2023-05-02T00:00:00" count="125">
        <d v="2013-01-01T00:00:00"/>
        <d v="2013-02-01T00:00:00"/>
        <d v="2013-03-01T00:00:00"/>
        <d v="2013-04-01T00:00:00"/>
        <d v="2013-05-01T00:00:00"/>
        <d v="2013-06-01T00:00:00"/>
        <d v="2013-07-01T00:00:00"/>
        <d v="2013-08-01T00:00:00"/>
        <d v="2013-09-01T00:00:00"/>
        <d v="2013-10-01T00:00:00"/>
        <e v="#N/A"/>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 name="Food and beverages" numFmtId="165">
      <sharedItems containsString="0" containsBlank="1" containsNumber="1" minValue="105.5" maxValue="183.3"/>
    </cacheField>
    <cacheField name="Pan, tobacco and intoxicants" numFmtId="165">
      <sharedItems containsString="0" containsBlank="1" containsNumber="1" minValue="105.1" maxValue="204.2"/>
    </cacheField>
    <cacheField name="Clothing and footwear" numFmtId="165">
      <sharedItems containsString="0" containsBlank="1" containsNumber="1" minValue="105.8" maxValue="190.8"/>
    </cacheField>
    <cacheField name="Housing" numFmtId="165">
      <sharedItems containsString="0" containsBlank="1" containsNumber="1" minValue="100.3" maxValue="175.6"/>
    </cacheField>
    <cacheField name="Fuel and light" numFmtId="165">
      <sharedItems containsString="0" containsBlank="1" containsNumber="1" minValue="105.4" maxValue="183.4"/>
    </cacheField>
    <cacheField name="Miscellaneous" numFmtId="165">
      <sharedItems containsString="0" containsBlank="1" containsNumber="1" minValue="103.7" maxValue="179.5"/>
    </cacheField>
    <cacheField name="General index" numFmtId="165">
      <sharedItems containsString="0" containsBlank="1" containsNumber="1" minValue="104" maxValue="17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Vashisth" refreshedDate="46200.626856828705" backgroundQuery="1" createdVersion="8" refreshedVersion="8" minRefreshableVersion="3" recordCount="0" supportSubquery="1" supportAdvancedDrill="1" xr:uid="{D17AA63D-765B-467C-B6FA-AE655606A503}">
  <cacheSource type="external" connectionId="2"/>
  <cacheFields count="8">
    <cacheField name="[Range].[Month Year].[Month Year]" caption="Month Year" numFmtId="0" hierarchy="3" level="1">
      <sharedItems count="1">
        <s v="01 May 2023"/>
      </sharedItems>
    </cacheField>
    <cacheField name="[Range].[Sector].[Sector]" caption="Sector" numFmtId="0" level="1">
      <sharedItems containsSemiMixedTypes="0" containsNonDate="0" containsString="0"/>
    </cacheField>
    <cacheField name="[Measures].[Sum of Food and beverages]" caption="Sum of Food and beverages" numFmtId="0" hierarchy="13" level="32767"/>
    <cacheField name="[Measures].[Sum of Pan, tobacco and intoxicants]" caption="Sum of Pan, tobacco and intoxicants" numFmtId="0" hierarchy="14" level="32767"/>
    <cacheField name="[Measures].[Sum of Clothing and footwear]" caption="Sum of Clothing and footwear" numFmtId="0" hierarchy="15" level="32767"/>
    <cacheField name="[Measures].[Sum of Housing]" caption="Sum of Housing" numFmtId="0" hierarchy="16" level="32767"/>
    <cacheField name="[Measures].[Sum of Fuel and light]" caption="Sum of Fuel and light" numFmtId="0" hierarchy="17" level="32767"/>
    <cacheField name="[Measures].[Sum of Miscellaneous]" caption="Sum of Miscellaneous" numFmtId="0" hierarchy="18" level="32767"/>
  </cacheFields>
  <cacheHierarchies count="19">
    <cacheHierarchy uniqueName="[Range].[Sector]" caption="Sector" attribute="1" defaultMemberUniqueName="[Range].[Sector].[All]" allUniqueName="[Range].[Sector].[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Month Year]" caption="Month Year" attribute="1" defaultMemberUniqueName="[Range].[Month Year].[All]" allUniqueName="[Range].[Month Year].[All]" dimensionUniqueName="[Range]" displayFolder="" count="2" memberValueDatatype="130" unbalanced="0">
      <fieldsUsage count="2">
        <fieldUsage x="-1"/>
        <fieldUsage x="0"/>
      </fieldsUsage>
    </cacheHierarchy>
    <cacheHierarchy uniqueName="[Range].[Food and beverages]" caption="Food and beverages" attribute="1" defaultMemberUniqueName="[Range].[Food and beverages].[All]" allUniqueName="[Range].[Food and beverages].[All]" dimensionUniqueName="[Range]" displayFolder="" count="2" memberValueDatatype="5" unbalanced="0"/>
    <cacheHierarchy uniqueName="[Range].[Pan, tobacco and intoxicants]" caption="Pan, tobacco and intoxicants" attribute="1" defaultMemberUniqueName="[Range].[Pan, tobacco and intoxicants].[All]" allUniqueName="[Range].[Pan, tobacco and intoxicants].[All]" dimensionUniqueName="[Range]" displayFolder="" count="0" memberValueDatatype="5" unbalanced="0"/>
    <cacheHierarchy uniqueName="[Range].[Clothing and footwear]" caption="Clothing and footwear" attribute="1" defaultMemberUniqueName="[Range].[Clothing and footwear].[All]" allUniqueName="[Range].[Clothing and footwear].[All]" dimensionUniqueName="[Range]" displayFolder="" count="0" memberValueDatatype="5" unbalanced="0"/>
    <cacheHierarchy uniqueName="[Range].[Housing]" caption="Housing" attribute="1" defaultMemberUniqueName="[Range].[Housing].[All]" allUniqueName="[Range].[Housing].[All]" dimensionUniqueName="[Range]" displayFolder="" count="0" memberValueDatatype="5" unbalanced="0"/>
    <cacheHierarchy uniqueName="[Range].[Fuel and light]" caption="Fuel and light" attribute="1" defaultMemberUniqueName="[Range].[Fuel and light].[All]" allUniqueName="[Range].[Fuel and light].[All]" dimensionUniqueName="[Range]" displayFolder="" count="0" memberValueDatatype="5" unbalanced="0"/>
    <cacheHierarchy uniqueName="[Range].[Miscellaneous]" caption="Miscellaneous" attribute="1" defaultMemberUniqueName="[Range].[Miscellaneous].[All]" allUniqueName="[Range].[Miscellaneous].[All]" dimensionUniqueName="[Range]" displayFolder="" count="0" memberValueDatatype="5" unbalanced="0"/>
    <cacheHierarchy uniqueName="[Range].[General index]" caption="General index" attribute="1" defaultMemberUniqueName="[Range].[General index].[All]" allUniqueName="[Range].[General index].[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Food and beverages]" caption="Sum of Food and beverages"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an, tobacco and intoxicants]" caption="Sum of Pan, tobacco and intoxicants"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Clothing and footwear]" caption="Sum of Clothing and footwear" measure="1" displayFolder="" measureGroup="Range"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Housing]" caption="Sum of Housing" measure="1" displayFolder="" measureGroup="Range" count="0" oneField="1" hidden="1">
      <fieldsUsage count="1">
        <fieldUsage x="5"/>
      </fieldsUsage>
      <extLst>
        <ext xmlns:x15="http://schemas.microsoft.com/office/spreadsheetml/2010/11/main" uri="{B97F6D7D-B522-45F9-BDA1-12C45D357490}">
          <x15:cacheHierarchy aggregatedColumn="7"/>
        </ext>
      </extLst>
    </cacheHierarchy>
    <cacheHierarchy uniqueName="[Measures].[Sum of Fuel and light]" caption="Sum of Fuel and light" measure="1" displayFolder="" measureGroup="Range" count="0" oneField="1" hidden="1">
      <fieldsUsage count="1">
        <fieldUsage x="6"/>
      </fieldsUsage>
      <extLst>
        <ext xmlns:x15="http://schemas.microsoft.com/office/spreadsheetml/2010/11/main" uri="{B97F6D7D-B522-45F9-BDA1-12C45D357490}">
          <x15:cacheHierarchy aggregatedColumn="8"/>
        </ext>
      </extLst>
    </cacheHierarchy>
    <cacheHierarchy uniqueName="[Measures].[Sum of Miscellaneous]" caption="Sum of Miscellaneous" measure="1" displayFolder="" measureGroup="Range" count="0" oneField="1" hidden="1">
      <fieldsUsage count="1">
        <fieldUsage x="7"/>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1.485256828702" createdVersion="6" refreshedVersion="6" minRefreshableVersion="3" recordCount="9816" xr:uid="{296CDCC5-63FE-4EBF-B262-41BFE2C00BB4}">
  <cacheSource type="worksheet">
    <worksheetSource name="Table1_2"/>
  </cacheSource>
  <cacheFields count="7">
    <cacheField name="Sector" numFmtId="0">
      <sharedItems containsBlank="1"/>
    </cacheField>
    <cacheField name="Year" numFmtId="0">
      <sharedItems containsString="0" containsBlank="1" containsNumber="1" containsInteger="1" minValue="2013" maxValue="2023"/>
    </cacheField>
    <cacheField name="Month" numFmtId="0">
      <sharedItems containsBlank="1"/>
    </cacheField>
    <cacheField name="Month Year" numFmtId="14">
      <sharedItems containsNonDate="0" containsDate="1" containsString="0" containsBlank="1" minDate="2013-01-01T00:00:00" maxDate="2023-05-02T00:00:00" count="125">
        <d v="2013-01-01T00:00:00"/>
        <d v="2013-02-01T00:00:00"/>
        <d v="2013-03-01T00:00:00"/>
        <d v="2013-04-01T00:00:00"/>
        <d v="2013-05-01T00:00:00"/>
        <d v="2013-06-01T00:00:00"/>
        <d v="2013-07-01T00:00:00"/>
        <d v="2013-08-01T00:00:00"/>
        <d v="2013-09-01T00:00:00"/>
        <d v="2013-10-01T00:00:00"/>
        <m/>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 name="Categories" numFmtId="0">
      <sharedItems containsBlank="1"/>
    </cacheField>
    <cacheField name="CPI Value" numFmtId="0">
      <sharedItems containsString="0" containsBlank="1" containsNumber="1" minValue="85.3" maxValue="245.3"/>
    </cacheField>
    <cacheField name="New Clubbed Category" numFmtId="0">
      <sharedItems count="12">
        <s v="Food &amp;Beverage"/>
        <s v="Recreation and amusement"/>
        <s v="Clothing and footwear"/>
        <s v="Fuel and light"/>
        <s v="Household Items"/>
        <s v="Health"/>
        <s v="Transport and communication"/>
        <s v="Education"/>
        <s v="Miscellaneous"/>
        <s v="General index"/>
        <s v="Housing"/>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n v="2013"/>
    <s v="January"/>
    <n v="107.5"/>
    <n v="106.3"/>
    <n v="108.1"/>
    <n v="104.9"/>
    <n v="106.1"/>
    <n v="103.9"/>
    <n v="101.9"/>
    <n v="106.1"/>
    <n v="106.8"/>
    <n v="103.1"/>
    <n v="104.8"/>
    <n v="106.7"/>
    <n v="105.5"/>
    <n v="105.1"/>
    <n v="106.5"/>
    <n v="105.8"/>
    <n v="106.4"/>
    <m/>
    <n v="105.5"/>
    <n v="104.8"/>
    <n v="104"/>
    <n v="103.3"/>
    <n v="103.4"/>
    <n v="103.8"/>
    <n v="104.7"/>
    <n v="104"/>
    <n v="105.1"/>
    <x v="0"/>
  </r>
  <r>
    <x v="1"/>
    <n v="2013"/>
    <s v="January"/>
    <n v="110.5"/>
    <n v="109.1"/>
    <n v="113"/>
    <n v="103.6"/>
    <n v="103.4"/>
    <n v="102.3"/>
    <n v="102.9"/>
    <n v="105.8"/>
    <n v="105.1"/>
    <n v="101.8"/>
    <n v="105.1"/>
    <n v="107.9"/>
    <n v="105.9"/>
    <n v="105.2"/>
    <n v="105.9"/>
    <n v="105"/>
    <n v="105.8"/>
    <n v="100.3"/>
    <n v="105.4"/>
    <n v="104.8"/>
    <n v="104.1"/>
    <n v="103.2"/>
    <n v="102.9"/>
    <n v="103.5"/>
    <n v="104.3"/>
    <n v="103.7"/>
    <n v="104"/>
    <x v="0"/>
  </r>
  <r>
    <x v="2"/>
    <n v="2013"/>
    <s v="January"/>
    <n v="108.4"/>
    <n v="107.3"/>
    <n v="110"/>
    <n v="104.4"/>
    <n v="105.1"/>
    <n v="103.2"/>
    <n v="102.2"/>
    <n v="106"/>
    <n v="106.2"/>
    <n v="102.7"/>
    <n v="104.9"/>
    <n v="107.3"/>
    <n v="105.6"/>
    <n v="105.1"/>
    <n v="106.3"/>
    <n v="105.5"/>
    <n v="106.2"/>
    <n v="100.3"/>
    <n v="105.5"/>
    <n v="104.8"/>
    <n v="104"/>
    <n v="103.2"/>
    <n v="103.1"/>
    <n v="103.6"/>
    <n v="104.5"/>
    <n v="103.9"/>
    <n v="104.6"/>
    <x v="0"/>
  </r>
  <r>
    <x v="0"/>
    <n v="2013"/>
    <s v="February"/>
    <n v="109.2"/>
    <n v="108.7"/>
    <n v="110.2"/>
    <n v="105.4"/>
    <n v="106.7"/>
    <n v="104"/>
    <n v="102.4"/>
    <n v="105.9"/>
    <n v="105.7"/>
    <n v="103.1"/>
    <n v="105.1"/>
    <n v="107.7"/>
    <n v="106.3"/>
    <n v="105.6"/>
    <n v="107.1"/>
    <n v="106.3"/>
    <n v="107"/>
    <m/>
    <n v="106.2"/>
    <n v="105.2"/>
    <n v="104.4"/>
    <n v="103.9"/>
    <n v="104"/>
    <n v="104.1"/>
    <n v="104.6"/>
    <n v="104.4"/>
    <n v="105.8"/>
    <x v="1"/>
  </r>
  <r>
    <x v="1"/>
    <n v="2013"/>
    <s v="February"/>
    <n v="112.9"/>
    <n v="112.9"/>
    <n v="116.9"/>
    <n v="104"/>
    <n v="103.5"/>
    <n v="103.1"/>
    <n v="104.9"/>
    <n v="104.1"/>
    <n v="103.8"/>
    <n v="102.3"/>
    <n v="106"/>
    <n v="109"/>
    <n v="107.2"/>
    <n v="106"/>
    <n v="106.6"/>
    <n v="105.5"/>
    <n v="106.4"/>
    <n v="100.4"/>
    <n v="105.7"/>
    <n v="105.2"/>
    <n v="104.7"/>
    <n v="104.4"/>
    <n v="103.3"/>
    <n v="103.7"/>
    <n v="104.3"/>
    <n v="104.3"/>
    <n v="104.7"/>
    <x v="1"/>
  </r>
  <r>
    <x v="2"/>
    <n v="2013"/>
    <s v="February"/>
    <n v="110.4"/>
    <n v="110.2"/>
    <n v="112.8"/>
    <n v="104.9"/>
    <n v="105.5"/>
    <n v="103.6"/>
    <n v="103.2"/>
    <n v="105.3"/>
    <n v="105.1"/>
    <n v="102.8"/>
    <n v="105.5"/>
    <n v="108.3"/>
    <n v="106.6"/>
    <n v="105.7"/>
    <n v="106.9"/>
    <n v="106"/>
    <n v="106.8"/>
    <n v="100.4"/>
    <n v="106"/>
    <n v="105.2"/>
    <n v="104.5"/>
    <n v="104.2"/>
    <n v="103.6"/>
    <n v="103.9"/>
    <n v="104.5"/>
    <n v="104.4"/>
    <n v="105.3"/>
    <x v="1"/>
  </r>
  <r>
    <x v="0"/>
    <n v="2013"/>
    <s v="March"/>
    <n v="110.2"/>
    <n v="108.8"/>
    <n v="109.9"/>
    <n v="105.6"/>
    <n v="106.2"/>
    <n v="105.7"/>
    <n v="101.4"/>
    <n v="105.7"/>
    <n v="105"/>
    <n v="103.3"/>
    <n v="105.6"/>
    <n v="108.2"/>
    <n v="106.6"/>
    <n v="106.5"/>
    <n v="107.6"/>
    <n v="106.8"/>
    <n v="107.5"/>
    <m/>
    <n v="106.1"/>
    <n v="105.6"/>
    <n v="104.7"/>
    <n v="104.6"/>
    <n v="104"/>
    <n v="104.3"/>
    <n v="104.3"/>
    <n v="104.6"/>
    <n v="106"/>
    <x v="2"/>
  </r>
  <r>
    <x v="1"/>
    <n v="2013"/>
    <s v="March"/>
    <n v="113.9"/>
    <n v="111.4"/>
    <n v="113.2"/>
    <n v="104.3"/>
    <n v="102.7"/>
    <n v="104.9"/>
    <n v="103.8"/>
    <n v="103.5"/>
    <n v="102.6"/>
    <n v="102.4"/>
    <n v="107"/>
    <n v="109.8"/>
    <n v="107.3"/>
    <n v="106.8"/>
    <n v="107.2"/>
    <n v="106"/>
    <n v="107"/>
    <n v="100.4"/>
    <n v="106"/>
    <n v="105.7"/>
    <n v="105.2"/>
    <n v="105.5"/>
    <n v="103.5"/>
    <n v="103.8"/>
    <n v="104.2"/>
    <n v="104.9"/>
    <n v="105"/>
    <x v="2"/>
  </r>
  <r>
    <x v="2"/>
    <n v="2013"/>
    <s v="March"/>
    <n v="111.4"/>
    <n v="109.7"/>
    <n v="111.2"/>
    <n v="105.1"/>
    <n v="104.9"/>
    <n v="105.3"/>
    <n v="102.2"/>
    <n v="105"/>
    <n v="104.2"/>
    <n v="103"/>
    <n v="106.2"/>
    <n v="108.9"/>
    <n v="106.9"/>
    <n v="106.6"/>
    <n v="107.4"/>
    <n v="106.5"/>
    <n v="107.3"/>
    <n v="100.4"/>
    <n v="106.1"/>
    <n v="105.6"/>
    <n v="104.9"/>
    <n v="105.1"/>
    <n v="103.7"/>
    <n v="104"/>
    <n v="104.3"/>
    <n v="104.7"/>
    <n v="105.5"/>
    <x v="2"/>
  </r>
  <r>
    <x v="0"/>
    <n v="2013"/>
    <s v="April"/>
    <n v="110.2"/>
    <n v="109.5"/>
    <n v="106.9"/>
    <n v="106.3"/>
    <n v="105.7"/>
    <n v="108.3"/>
    <n v="103.4"/>
    <n v="105.7"/>
    <n v="104.2"/>
    <n v="103.2"/>
    <n v="106.5"/>
    <n v="108.8"/>
    <n v="107.1"/>
    <n v="107.1"/>
    <n v="108.1"/>
    <n v="107.4"/>
    <n v="108"/>
    <m/>
    <n v="106.5"/>
    <n v="106.1"/>
    <n v="105.1"/>
    <n v="104.4"/>
    <n v="104.5"/>
    <n v="104.8"/>
    <n v="102.7"/>
    <n v="104.6"/>
    <n v="106.4"/>
    <x v="3"/>
  </r>
  <r>
    <x v="1"/>
    <n v="2013"/>
    <s v="April"/>
    <n v="114.6"/>
    <n v="113.4"/>
    <n v="106"/>
    <n v="104.7"/>
    <n v="102.1"/>
    <n v="109.5"/>
    <n v="109.7"/>
    <n v="104.6"/>
    <n v="102"/>
    <n v="103.5"/>
    <n v="108.2"/>
    <n v="110.6"/>
    <n v="108.8"/>
    <n v="108.5"/>
    <n v="107.9"/>
    <n v="106.4"/>
    <n v="107.7"/>
    <n v="100.5"/>
    <n v="106.4"/>
    <n v="106.5"/>
    <n v="105.7"/>
    <n v="105"/>
    <n v="104"/>
    <n v="105.2"/>
    <n v="103.2"/>
    <n v="105.1"/>
    <n v="105.7"/>
    <x v="3"/>
  </r>
  <r>
    <x v="2"/>
    <n v="2013"/>
    <s v="April"/>
    <n v="111.6"/>
    <n v="110.9"/>
    <n v="106.6"/>
    <n v="105.7"/>
    <n v="104.4"/>
    <n v="108.9"/>
    <n v="105.5"/>
    <n v="105.3"/>
    <n v="103.5"/>
    <n v="103.3"/>
    <n v="107.2"/>
    <n v="109.6"/>
    <n v="107.7"/>
    <n v="107.5"/>
    <n v="108"/>
    <n v="107"/>
    <n v="107.9"/>
    <n v="100.5"/>
    <n v="106.5"/>
    <n v="106.3"/>
    <n v="105.3"/>
    <n v="104.7"/>
    <n v="104.2"/>
    <n v="105"/>
    <n v="102.9"/>
    <n v="104.8"/>
    <n v="106.1"/>
    <x v="3"/>
  </r>
  <r>
    <x v="0"/>
    <n v="2013"/>
    <s v="May"/>
    <n v="110.9"/>
    <n v="109.8"/>
    <n v="105.9"/>
    <n v="107.5"/>
    <n v="105.3"/>
    <n v="108.1"/>
    <n v="107.3"/>
    <n v="106.1"/>
    <n v="103.7"/>
    <n v="104"/>
    <n v="107.4"/>
    <n v="109.9"/>
    <n v="108.1"/>
    <n v="108.1"/>
    <n v="108.8"/>
    <n v="107.9"/>
    <n v="108.6"/>
    <m/>
    <n v="107.5"/>
    <n v="106.8"/>
    <n v="105.7"/>
    <n v="104.1"/>
    <n v="105"/>
    <n v="105.5"/>
    <n v="102.1"/>
    <n v="104.8"/>
    <n v="107.2"/>
    <x v="4"/>
  </r>
  <r>
    <x v="1"/>
    <n v="2013"/>
    <s v="May"/>
    <n v="115.4"/>
    <n v="114.2"/>
    <n v="102.7"/>
    <n v="105.5"/>
    <n v="101.5"/>
    <n v="110.6"/>
    <n v="123.7"/>
    <n v="105.2"/>
    <n v="101.9"/>
    <n v="105"/>
    <n v="109.1"/>
    <n v="111.3"/>
    <n v="111.1"/>
    <n v="109.8"/>
    <n v="108.5"/>
    <n v="106.7"/>
    <n v="108.3"/>
    <n v="100.5"/>
    <n v="107.2"/>
    <n v="107.1"/>
    <n v="106.2"/>
    <n v="103.9"/>
    <n v="104.6"/>
    <n v="105.7"/>
    <n v="102.6"/>
    <n v="104.9"/>
    <n v="106.6"/>
    <x v="4"/>
  </r>
  <r>
    <x v="2"/>
    <n v="2013"/>
    <s v="May"/>
    <n v="112.3"/>
    <n v="111.3"/>
    <n v="104.7"/>
    <n v="106.8"/>
    <n v="103.9"/>
    <n v="109.3"/>
    <n v="112.9"/>
    <n v="105.8"/>
    <n v="103.1"/>
    <n v="104.3"/>
    <n v="108.1"/>
    <n v="110.5"/>
    <n v="109.2"/>
    <n v="108.6"/>
    <n v="108.7"/>
    <n v="107.4"/>
    <n v="108.5"/>
    <n v="100.5"/>
    <n v="107.4"/>
    <n v="106.9"/>
    <n v="105.9"/>
    <n v="104"/>
    <n v="104.8"/>
    <n v="105.6"/>
    <n v="102.3"/>
    <n v="104.8"/>
    <n v="106.9"/>
    <x v="4"/>
  </r>
  <r>
    <x v="0"/>
    <n v="2013"/>
    <s v="June"/>
    <n v="112.3"/>
    <n v="112.1"/>
    <n v="108.1"/>
    <n v="108.3"/>
    <n v="105.9"/>
    <n v="109.2"/>
    <n v="118"/>
    <n v="106.8"/>
    <n v="104.1"/>
    <n v="105.4"/>
    <n v="108.2"/>
    <n v="111"/>
    <n v="110.6"/>
    <n v="109"/>
    <n v="109.7"/>
    <n v="108.8"/>
    <n v="109.5"/>
    <m/>
    <n v="108.5"/>
    <n v="107.5"/>
    <n v="106.3"/>
    <n v="105"/>
    <n v="105.6"/>
    <n v="106.5"/>
    <n v="102.5"/>
    <n v="105.5"/>
    <n v="108.9"/>
    <x v="5"/>
  </r>
  <r>
    <x v="1"/>
    <n v="2013"/>
    <s v="June"/>
    <n v="117"/>
    <n v="120.1"/>
    <n v="112.5"/>
    <n v="107.3"/>
    <n v="101.3"/>
    <n v="112.4"/>
    <n v="143.6"/>
    <n v="105.4"/>
    <n v="101.4"/>
    <n v="106.4"/>
    <n v="110"/>
    <n v="112.2"/>
    <n v="115"/>
    <n v="110.9"/>
    <n v="109.2"/>
    <n v="107.2"/>
    <n v="108.9"/>
    <n v="106.6"/>
    <n v="108"/>
    <n v="107.7"/>
    <n v="106.5"/>
    <n v="105.2"/>
    <n v="105.2"/>
    <n v="108.1"/>
    <n v="103.3"/>
    <n v="106.1"/>
    <n v="109.7"/>
    <x v="5"/>
  </r>
  <r>
    <x v="2"/>
    <n v="2013"/>
    <s v="June"/>
    <n v="113.8"/>
    <n v="114.9"/>
    <n v="109.8"/>
    <n v="107.9"/>
    <n v="104.2"/>
    <n v="110.7"/>
    <n v="126.7"/>
    <n v="106.3"/>
    <n v="103.2"/>
    <n v="105.7"/>
    <n v="109"/>
    <n v="111.6"/>
    <n v="112.2"/>
    <n v="109.5"/>
    <n v="109.5"/>
    <n v="108.1"/>
    <n v="109.3"/>
    <n v="106.6"/>
    <n v="108.3"/>
    <n v="107.6"/>
    <n v="106.4"/>
    <n v="105.1"/>
    <n v="105.4"/>
    <n v="107.4"/>
    <n v="102.8"/>
    <n v="105.8"/>
    <n v="109.3"/>
    <x v="5"/>
  </r>
  <r>
    <x v="0"/>
    <n v="2013"/>
    <s v="July"/>
    <n v="113.4"/>
    <n v="114.9"/>
    <n v="110.5"/>
    <n v="109.3"/>
    <n v="106.2"/>
    <n v="110.3"/>
    <n v="129.19999999999999"/>
    <n v="107.1"/>
    <n v="104.3"/>
    <n v="106.4"/>
    <n v="109.1"/>
    <n v="112.1"/>
    <n v="113.1"/>
    <n v="109.8"/>
    <n v="110.5"/>
    <n v="109.5"/>
    <n v="110.3"/>
    <m/>
    <n v="109.5"/>
    <n v="108.3"/>
    <n v="106.9"/>
    <n v="106.8"/>
    <n v="106.4"/>
    <n v="107.8"/>
    <n v="102.5"/>
    <n v="106.5"/>
    <n v="110.7"/>
    <x v="6"/>
  </r>
  <r>
    <x v="1"/>
    <n v="2013"/>
    <s v="July"/>
    <n v="117.8"/>
    <n v="119.2"/>
    <n v="114"/>
    <n v="108.3"/>
    <n v="101.1"/>
    <n v="113.2"/>
    <n v="160.9"/>
    <n v="105.1"/>
    <n v="101.3"/>
    <n v="107.5"/>
    <n v="110.4"/>
    <n v="113.1"/>
    <n v="117.5"/>
    <n v="111.7"/>
    <n v="109.8"/>
    <n v="107.8"/>
    <n v="109.5"/>
    <n v="107.7"/>
    <n v="108.6"/>
    <n v="108.1"/>
    <n v="107.1"/>
    <n v="107.3"/>
    <n v="105.9"/>
    <n v="110.1"/>
    <n v="103.2"/>
    <n v="107.3"/>
    <n v="111.4"/>
    <x v="6"/>
  </r>
  <r>
    <x v="2"/>
    <n v="2013"/>
    <s v="July"/>
    <n v="114.8"/>
    <n v="116.4"/>
    <n v="111.9"/>
    <n v="108.9"/>
    <n v="104.3"/>
    <n v="111.7"/>
    <n v="140"/>
    <n v="106.4"/>
    <n v="103.3"/>
    <n v="106.8"/>
    <n v="109.6"/>
    <n v="112.6"/>
    <n v="114.7"/>
    <n v="110.3"/>
    <n v="110.2"/>
    <n v="108.8"/>
    <n v="110"/>
    <n v="107.7"/>
    <n v="109.2"/>
    <n v="108.2"/>
    <n v="107"/>
    <n v="107.1"/>
    <n v="106.1"/>
    <n v="109.1"/>
    <n v="102.8"/>
    <n v="106.9"/>
    <n v="111"/>
    <x v="6"/>
  </r>
  <r>
    <x v="0"/>
    <n v="2013"/>
    <s v="August"/>
    <n v="114.3"/>
    <n v="115.4"/>
    <n v="111.1"/>
    <n v="110"/>
    <n v="106.4"/>
    <n v="110.8"/>
    <n v="138.9"/>
    <n v="107.4"/>
    <n v="104.1"/>
    <n v="106.9"/>
    <n v="109.7"/>
    <n v="112.6"/>
    <n v="114.9"/>
    <n v="110.7"/>
    <n v="111.3"/>
    <n v="110.2"/>
    <n v="111.1"/>
    <m/>
    <n v="109.9"/>
    <n v="108.7"/>
    <n v="107.5"/>
    <n v="107.8"/>
    <n v="106.8"/>
    <n v="108.7"/>
    <n v="105"/>
    <n v="107.5"/>
    <n v="112.1"/>
    <x v="7"/>
  </r>
  <r>
    <x v="1"/>
    <n v="2013"/>
    <s v="August"/>
    <n v="118.3"/>
    <n v="120.4"/>
    <n v="112.7"/>
    <n v="108.9"/>
    <n v="101.1"/>
    <n v="108.7"/>
    <n v="177"/>
    <n v="104.7"/>
    <n v="101"/>
    <n v="108.5"/>
    <n v="110.9"/>
    <n v="114.3"/>
    <n v="119.6"/>
    <n v="112.4"/>
    <n v="110.6"/>
    <n v="108.3"/>
    <n v="110.2"/>
    <n v="108.9"/>
    <n v="109.3"/>
    <n v="108.7"/>
    <n v="107.6"/>
    <n v="108.1"/>
    <n v="106.5"/>
    <n v="110.8"/>
    <n v="106"/>
    <n v="108.3"/>
    <n v="112.7"/>
    <x v="7"/>
  </r>
  <r>
    <x v="2"/>
    <n v="2013"/>
    <s v="August"/>
    <n v="115.6"/>
    <n v="117.2"/>
    <n v="111.7"/>
    <n v="109.6"/>
    <n v="104.5"/>
    <n v="109.8"/>
    <n v="151.80000000000001"/>
    <n v="106.5"/>
    <n v="103.1"/>
    <n v="107.4"/>
    <n v="110.2"/>
    <n v="113.4"/>
    <n v="116.6"/>
    <n v="111.2"/>
    <n v="111"/>
    <n v="109.4"/>
    <n v="110.7"/>
    <n v="108.9"/>
    <n v="109.7"/>
    <n v="108.7"/>
    <n v="107.5"/>
    <n v="108"/>
    <n v="106.6"/>
    <n v="109.9"/>
    <n v="105.4"/>
    <n v="107.9"/>
    <n v="112.4"/>
    <x v="7"/>
  </r>
  <r>
    <x v="0"/>
    <n v="2013"/>
    <s v="September"/>
    <n v="115.4"/>
    <n v="115.7"/>
    <n v="111.7"/>
    <n v="111"/>
    <n v="107.4"/>
    <n v="110.9"/>
    <n v="154"/>
    <n v="108.1"/>
    <n v="104.2"/>
    <n v="107.9"/>
    <n v="110.4"/>
    <n v="114"/>
    <n v="117.8"/>
    <n v="111.7"/>
    <n v="112.7"/>
    <n v="111.4"/>
    <n v="112.5"/>
    <m/>
    <n v="111.1"/>
    <n v="109.6"/>
    <n v="108.3"/>
    <n v="109.3"/>
    <n v="107.7"/>
    <n v="109.8"/>
    <n v="106.7"/>
    <n v="108.7"/>
    <n v="114.2"/>
    <x v="8"/>
  </r>
  <r>
    <x v="1"/>
    <n v="2013"/>
    <s v="September"/>
    <n v="118.6"/>
    <n v="119.1"/>
    <n v="113.2"/>
    <n v="109.6"/>
    <n v="101.7"/>
    <n v="103.2"/>
    <n v="174.3"/>
    <n v="105.1"/>
    <n v="100.8"/>
    <n v="109.1"/>
    <n v="111.1"/>
    <n v="115.4"/>
    <n v="119.2"/>
    <n v="112.9"/>
    <n v="111.4"/>
    <n v="109"/>
    <n v="111.1"/>
    <n v="109.7"/>
    <n v="109.5"/>
    <n v="109.6"/>
    <n v="107.9"/>
    <n v="110.4"/>
    <n v="107.4"/>
    <n v="111.2"/>
    <n v="106.9"/>
    <n v="109.4"/>
    <n v="113.2"/>
    <x v="8"/>
  </r>
  <r>
    <x v="2"/>
    <n v="2013"/>
    <s v="September"/>
    <n v="116.4"/>
    <n v="116.9"/>
    <n v="112.3"/>
    <n v="110.5"/>
    <n v="105.3"/>
    <n v="107.3"/>
    <n v="160.9"/>
    <n v="107.1"/>
    <n v="103.1"/>
    <n v="108.3"/>
    <n v="110.7"/>
    <n v="114.6"/>
    <n v="118.3"/>
    <n v="112"/>
    <n v="112.2"/>
    <n v="110.4"/>
    <n v="111.9"/>
    <n v="109.7"/>
    <n v="110.5"/>
    <n v="109.6"/>
    <n v="108.1"/>
    <n v="109.9"/>
    <n v="107.5"/>
    <n v="110.6"/>
    <n v="106.8"/>
    <n v="109"/>
    <n v="113.7"/>
    <x v="8"/>
  </r>
  <r>
    <x v="0"/>
    <n v="2013"/>
    <s v="October"/>
    <n v="116.3"/>
    <n v="115.4"/>
    <n v="112.6"/>
    <n v="111.7"/>
    <n v="107.7"/>
    <n v="113.2"/>
    <n v="164.9"/>
    <n v="108.3"/>
    <n v="103.9"/>
    <n v="108.2"/>
    <n v="111.1"/>
    <n v="114.9"/>
    <n v="119.8"/>
    <n v="112.2"/>
    <n v="113.6"/>
    <n v="112.3"/>
    <n v="113.4"/>
    <m/>
    <n v="111.6"/>
    <n v="110.4"/>
    <n v="108.9"/>
    <n v="109.3"/>
    <n v="108.3"/>
    <n v="110.2"/>
    <n v="107.5"/>
    <n v="109.1"/>
    <n v="115.5"/>
    <x v="9"/>
  </r>
  <r>
    <x v="1"/>
    <n v="2013"/>
    <s v="October"/>
    <n v="118.9"/>
    <n v="118.1"/>
    <n v="114.5"/>
    <n v="110.4"/>
    <n v="102.3"/>
    <n v="106.2"/>
    <n v="183.5"/>
    <n v="105.3"/>
    <n v="100.2"/>
    <n v="109.6"/>
    <n v="111.4"/>
    <n v="116"/>
    <n v="120.8"/>
    <n v="113.5"/>
    <n v="112.5"/>
    <n v="109.7"/>
    <n v="112"/>
    <n v="110.5"/>
    <n v="109.7"/>
    <n v="110.2"/>
    <n v="108.2"/>
    <n v="109.7"/>
    <n v="108"/>
    <n v="111.3"/>
    <n v="107.3"/>
    <n v="109.4"/>
    <n v="114"/>
    <x v="9"/>
  </r>
  <r>
    <x v="2"/>
    <n v="2013"/>
    <s v="October"/>
    <n v="117.1"/>
    <n v="116.3"/>
    <n v="113.3"/>
    <n v="111.2"/>
    <n v="105.7"/>
    <n v="109.9"/>
    <n v="171.2"/>
    <n v="107.3"/>
    <n v="102.7"/>
    <n v="108.7"/>
    <n v="111.2"/>
    <n v="115.4"/>
    <n v="120.2"/>
    <n v="112.5"/>
    <n v="113.2"/>
    <n v="111.2"/>
    <n v="112.8"/>
    <n v="110.5"/>
    <n v="110.9"/>
    <n v="110.3"/>
    <n v="108.6"/>
    <n v="109.5"/>
    <n v="108.1"/>
    <n v="110.8"/>
    <n v="107.4"/>
    <n v="109.2"/>
    <n v="114.8"/>
    <x v="9"/>
  </r>
  <r>
    <x v="0"/>
    <n v="2013"/>
    <s v="November "/>
    <n v="117.3"/>
    <n v="114.9"/>
    <n v="116.2"/>
    <n v="112.8"/>
    <n v="108.9"/>
    <n v="116.6"/>
    <n v="178.1"/>
    <n v="109.1"/>
    <n v="103.6"/>
    <n v="109"/>
    <n v="111.8"/>
    <n v="116"/>
    <n v="122.5"/>
    <n v="112.8"/>
    <n v="114.6"/>
    <n v="113.1"/>
    <n v="114.4"/>
    <m/>
    <n v="112.6"/>
    <n v="111.3"/>
    <n v="109.7"/>
    <n v="109.6"/>
    <n v="108.7"/>
    <n v="111"/>
    <n v="108.2"/>
    <n v="109.8"/>
    <n v="117.4"/>
    <x v="10"/>
  </r>
  <r>
    <x v="1"/>
    <n v="2013"/>
    <s v="November"/>
    <n v="119.8"/>
    <n v="116.3"/>
    <n v="122.6"/>
    <n v="112"/>
    <n v="103.2"/>
    <n v="110"/>
    <n v="192.8"/>
    <n v="106.3"/>
    <n v="99.5"/>
    <n v="110.3"/>
    <n v="111.8"/>
    <n v="117.1"/>
    <n v="122.9"/>
    <n v="114.1"/>
    <n v="113.5"/>
    <n v="110.3"/>
    <n v="113"/>
    <n v="111.1"/>
    <n v="110"/>
    <n v="110.9"/>
    <n v="108.6"/>
    <n v="109.5"/>
    <n v="108.5"/>
    <n v="111.3"/>
    <n v="107.9"/>
    <n v="109.6"/>
    <n v="115"/>
    <x v="11"/>
  </r>
  <r>
    <x v="2"/>
    <n v="2013"/>
    <s v="November"/>
    <n v="118.1"/>
    <n v="115.4"/>
    <n v="118.7"/>
    <n v="112.5"/>
    <n v="106.8"/>
    <n v="113.5"/>
    <n v="183.1"/>
    <n v="108.2"/>
    <n v="102.2"/>
    <n v="109.4"/>
    <n v="111.8"/>
    <n v="116.5"/>
    <n v="122.6"/>
    <n v="113.1"/>
    <n v="114.2"/>
    <n v="111.9"/>
    <n v="113.8"/>
    <n v="111.1"/>
    <n v="111.6"/>
    <n v="111.1"/>
    <n v="109.3"/>
    <n v="109.5"/>
    <n v="108.6"/>
    <n v="111.2"/>
    <n v="108.1"/>
    <n v="109.7"/>
    <n v="116.3"/>
    <x v="11"/>
  </r>
  <r>
    <x v="0"/>
    <n v="2013"/>
    <s v="December"/>
    <n v="118.4"/>
    <n v="115.9"/>
    <n v="120.4"/>
    <n v="113.8"/>
    <n v="109.5"/>
    <n v="115.5"/>
    <n v="145.69999999999999"/>
    <n v="109.5"/>
    <n v="102.9"/>
    <n v="109.8"/>
    <n v="112.1"/>
    <n v="116.8"/>
    <n v="118.7"/>
    <n v="113.6"/>
    <n v="115.8"/>
    <n v="114"/>
    <n v="115.5"/>
    <m/>
    <n v="112.8"/>
    <n v="112.1"/>
    <n v="110.1"/>
    <n v="109.9"/>
    <n v="109.2"/>
    <n v="111.6"/>
    <n v="108.1"/>
    <n v="110.1"/>
    <n v="115.5"/>
    <x v="12"/>
  </r>
  <r>
    <x v="1"/>
    <n v="2013"/>
    <s v="December"/>
    <n v="120.5"/>
    <n v="118.1"/>
    <n v="128.5"/>
    <n v="112.8"/>
    <n v="103.4"/>
    <n v="110.7"/>
    <n v="144.80000000000001"/>
    <n v="107.1"/>
    <n v="98.6"/>
    <n v="111.9"/>
    <n v="112.1"/>
    <n v="118.1"/>
    <n v="117.8"/>
    <n v="115"/>
    <n v="114.2"/>
    <n v="110.9"/>
    <n v="113.7"/>
    <n v="110.7"/>
    <n v="110.4"/>
    <n v="111.3"/>
    <n v="109"/>
    <n v="109.7"/>
    <n v="108.9"/>
    <n v="111.4"/>
    <n v="107.7"/>
    <n v="109.8"/>
    <n v="113.3"/>
    <x v="12"/>
  </r>
  <r>
    <x v="2"/>
    <n v="2013"/>
    <s v="December"/>
    <n v="119.1"/>
    <n v="116.7"/>
    <n v="123.5"/>
    <n v="113.4"/>
    <n v="107.3"/>
    <n v="113.3"/>
    <n v="145.4"/>
    <n v="108.7"/>
    <n v="101.5"/>
    <n v="110.5"/>
    <n v="112.1"/>
    <n v="117.4"/>
    <n v="118.4"/>
    <n v="114"/>
    <n v="115.2"/>
    <n v="112.7"/>
    <n v="114.8"/>
    <n v="110.7"/>
    <n v="111.9"/>
    <n v="111.7"/>
    <n v="109.7"/>
    <n v="109.8"/>
    <n v="109"/>
    <n v="111.5"/>
    <n v="107.9"/>
    <n v="110"/>
    <n v="114.5"/>
    <x v="12"/>
  </r>
  <r>
    <x v="0"/>
    <n v="2014"/>
    <s v="January"/>
    <n v="118.9"/>
    <n v="117.1"/>
    <n v="120.5"/>
    <n v="114.4"/>
    <n v="109"/>
    <n v="115.5"/>
    <n v="123.9"/>
    <n v="109.6"/>
    <n v="101.8"/>
    <n v="110.2"/>
    <n v="112.4"/>
    <n v="117.3"/>
    <n v="116"/>
    <n v="114"/>
    <n v="116.5"/>
    <n v="114.5"/>
    <n v="116.2"/>
    <m/>
    <n v="113"/>
    <n v="112.6"/>
    <n v="110.6"/>
    <n v="110.5"/>
    <n v="109.6"/>
    <n v="111.8"/>
    <n v="108.3"/>
    <n v="110.6"/>
    <n v="114.2"/>
    <x v="13"/>
  </r>
  <r>
    <x v="1"/>
    <n v="2014"/>
    <s v="January"/>
    <n v="121.2"/>
    <n v="122"/>
    <n v="129.9"/>
    <n v="113.6"/>
    <n v="102.9"/>
    <n v="112.1"/>
    <n v="118.9"/>
    <n v="107.5"/>
    <n v="96.9"/>
    <n v="112.7"/>
    <n v="112.1"/>
    <n v="119"/>
    <n v="115.5"/>
    <n v="115.7"/>
    <n v="114.8"/>
    <n v="111.3"/>
    <n v="114.3"/>
    <n v="111.6"/>
    <n v="111"/>
    <n v="111.9"/>
    <n v="109.7"/>
    <n v="110.8"/>
    <n v="109.8"/>
    <n v="111.5"/>
    <n v="108"/>
    <n v="110.5"/>
    <n v="112.9"/>
    <x v="13"/>
  </r>
  <r>
    <x v="2"/>
    <n v="2014"/>
    <s v="January"/>
    <n v="119.6"/>
    <n v="118.8"/>
    <n v="124.1"/>
    <n v="114.1"/>
    <n v="106.8"/>
    <n v="113.9"/>
    <n v="122.2"/>
    <n v="108.9"/>
    <n v="100.2"/>
    <n v="111"/>
    <n v="112.3"/>
    <n v="118.1"/>
    <n v="115.8"/>
    <n v="114.5"/>
    <n v="115.8"/>
    <n v="113.2"/>
    <n v="115.4"/>
    <n v="111.6"/>
    <n v="112.2"/>
    <n v="112.3"/>
    <n v="110.3"/>
    <n v="110.7"/>
    <n v="109.7"/>
    <n v="111.6"/>
    <n v="108.2"/>
    <n v="110.6"/>
    <n v="113.6"/>
    <x v="13"/>
  </r>
  <r>
    <x v="0"/>
    <n v="2014"/>
    <s v="February"/>
    <n v="119.4"/>
    <n v="117.7"/>
    <n v="121.2"/>
    <n v="115"/>
    <n v="109"/>
    <n v="116.6"/>
    <n v="116"/>
    <n v="109.8"/>
    <n v="101.1"/>
    <n v="110.4"/>
    <n v="112.9"/>
    <n v="117.8"/>
    <n v="115.3"/>
    <n v="114.2"/>
    <n v="117.1"/>
    <n v="114.5"/>
    <n v="116.7"/>
    <m/>
    <n v="113.2"/>
    <n v="112.9"/>
    <n v="110.9"/>
    <n v="110.8"/>
    <n v="109.9"/>
    <n v="112"/>
    <n v="108.7"/>
    <n v="110.9"/>
    <n v="114"/>
    <x v="14"/>
  </r>
  <r>
    <x v="1"/>
    <n v="2014"/>
    <s v="February"/>
    <n v="121.9"/>
    <n v="122"/>
    <n v="124.5"/>
    <n v="115.2"/>
    <n v="102.5"/>
    <n v="114.1"/>
    <n v="111.5"/>
    <n v="108.2"/>
    <n v="95.4"/>
    <n v="113.5"/>
    <n v="112.1"/>
    <n v="119.9"/>
    <n v="115.2"/>
    <n v="116.2"/>
    <n v="115.3"/>
    <n v="111.7"/>
    <n v="114.7"/>
    <n v="112.5"/>
    <n v="111.1"/>
    <n v="112.6"/>
    <n v="110.4"/>
    <n v="111.3"/>
    <n v="110.3"/>
    <n v="111.6"/>
    <n v="108.7"/>
    <n v="111"/>
    <n v="113.1"/>
    <x v="14"/>
  </r>
  <r>
    <x v="2"/>
    <n v="2014"/>
    <s v="February"/>
    <n v="120.2"/>
    <n v="119.2"/>
    <n v="122.5"/>
    <n v="115.1"/>
    <n v="106.6"/>
    <n v="115.4"/>
    <n v="114.5"/>
    <n v="109.3"/>
    <n v="99.2"/>
    <n v="111.4"/>
    <n v="112.6"/>
    <n v="118.8"/>
    <n v="115.3"/>
    <n v="114.7"/>
    <n v="116.4"/>
    <n v="113.3"/>
    <n v="115.9"/>
    <n v="112.5"/>
    <n v="112.4"/>
    <n v="112.8"/>
    <n v="110.7"/>
    <n v="111.1"/>
    <n v="110.1"/>
    <n v="111.8"/>
    <n v="108.7"/>
    <n v="110.9"/>
    <n v="113.6"/>
    <x v="14"/>
  </r>
  <r>
    <x v="0"/>
    <n v="2014"/>
    <s v="March"/>
    <n v="120.1"/>
    <n v="118.1"/>
    <n v="120.7"/>
    <n v="116.1"/>
    <n v="109.3"/>
    <n v="119.6"/>
    <n v="117.9"/>
    <n v="110.2"/>
    <n v="101.2"/>
    <n v="110.7"/>
    <n v="113"/>
    <n v="118.3"/>
    <n v="116.2"/>
    <n v="114.6"/>
    <n v="117.5"/>
    <n v="114.9"/>
    <n v="117.2"/>
    <m/>
    <n v="113.4"/>
    <n v="113.4"/>
    <n v="111.4"/>
    <n v="111.2"/>
    <n v="110.2"/>
    <n v="112.4"/>
    <n v="108.9"/>
    <n v="111.3"/>
    <n v="114.6"/>
    <x v="15"/>
  </r>
  <r>
    <x v="1"/>
    <n v="2014"/>
    <s v="March"/>
    <n v="122.1"/>
    <n v="121.4"/>
    <n v="121.5"/>
    <n v="116.2"/>
    <n v="102.8"/>
    <n v="117.7"/>
    <n v="113.3"/>
    <n v="108.9"/>
    <n v="96.3"/>
    <n v="114.1"/>
    <n v="112.2"/>
    <n v="120.5"/>
    <n v="116"/>
    <n v="116.7"/>
    <n v="115.8"/>
    <n v="112.1"/>
    <n v="115.2"/>
    <n v="113.2"/>
    <n v="110.9"/>
    <n v="113"/>
    <n v="110.8"/>
    <n v="111.6"/>
    <n v="110.9"/>
    <n v="111.8"/>
    <n v="109.2"/>
    <n v="111.4"/>
    <n v="113.7"/>
    <x v="15"/>
  </r>
  <r>
    <x v="2"/>
    <n v="2014"/>
    <s v="March"/>
    <n v="120.7"/>
    <n v="119.3"/>
    <n v="121"/>
    <n v="116.1"/>
    <n v="106.9"/>
    <n v="118.7"/>
    <n v="116.3"/>
    <n v="109.8"/>
    <n v="99.6"/>
    <n v="111.8"/>
    <n v="112.7"/>
    <n v="119.3"/>
    <n v="116.1"/>
    <n v="115.2"/>
    <n v="116.8"/>
    <n v="113.7"/>
    <n v="116.4"/>
    <n v="113.2"/>
    <n v="112.5"/>
    <n v="113.2"/>
    <n v="111.2"/>
    <n v="111.4"/>
    <n v="110.6"/>
    <n v="112"/>
    <n v="109"/>
    <n v="111.3"/>
    <n v="114.2"/>
    <x v="15"/>
  </r>
  <r>
    <x v="0"/>
    <n v="2014"/>
    <s v="April"/>
    <n v="120.2"/>
    <n v="118.9"/>
    <n v="118.1"/>
    <n v="117"/>
    <n v="109.7"/>
    <n v="125.5"/>
    <n v="120.5"/>
    <n v="111"/>
    <n v="102.6"/>
    <n v="111.2"/>
    <n v="113.5"/>
    <n v="118.7"/>
    <n v="117.2"/>
    <n v="115.4"/>
    <n v="118.1"/>
    <n v="116.1"/>
    <n v="117.8"/>
    <m/>
    <n v="113.4"/>
    <n v="113.7"/>
    <n v="111.8"/>
    <n v="111.2"/>
    <n v="110.5"/>
    <n v="113"/>
    <n v="108.9"/>
    <n v="111.5"/>
    <n v="115.4"/>
    <x v="16"/>
  </r>
  <r>
    <x v="1"/>
    <n v="2014"/>
    <s v="April"/>
    <n v="122.5"/>
    <n v="121.7"/>
    <n v="113.3"/>
    <n v="117"/>
    <n v="103.1"/>
    <n v="126.7"/>
    <n v="121.2"/>
    <n v="111"/>
    <n v="100.3"/>
    <n v="115.3"/>
    <n v="112.7"/>
    <n v="121"/>
    <n v="118.2"/>
    <n v="117.6"/>
    <n v="116.3"/>
    <n v="112.5"/>
    <n v="115.7"/>
    <n v="113.9"/>
    <n v="110.9"/>
    <n v="113.4"/>
    <n v="111"/>
    <n v="111.2"/>
    <n v="111.2"/>
    <n v="112.5"/>
    <n v="109.1"/>
    <n v="111.4"/>
    <n v="114.7"/>
    <x v="16"/>
  </r>
  <r>
    <x v="2"/>
    <n v="2014"/>
    <s v="April"/>
    <n v="120.9"/>
    <n v="119.9"/>
    <n v="116.2"/>
    <n v="117"/>
    <n v="107.3"/>
    <n v="126.1"/>
    <n v="120.7"/>
    <n v="111"/>
    <n v="101.8"/>
    <n v="112.6"/>
    <n v="113.2"/>
    <n v="119.8"/>
    <n v="117.6"/>
    <n v="116"/>
    <n v="117.4"/>
    <n v="114.6"/>
    <n v="117"/>
    <n v="113.9"/>
    <n v="112.5"/>
    <n v="113.6"/>
    <n v="111.5"/>
    <n v="111.2"/>
    <n v="110.9"/>
    <n v="112.7"/>
    <n v="109"/>
    <n v="111.5"/>
    <n v="115.1"/>
    <x v="16"/>
  </r>
  <r>
    <x v="0"/>
    <n v="2014"/>
    <s v="May"/>
    <n v="120.3"/>
    <n v="120.2"/>
    <n v="116.9"/>
    <n v="118"/>
    <n v="110.1"/>
    <n v="126.3"/>
    <n v="123.9"/>
    <n v="111.5"/>
    <n v="103.5"/>
    <n v="111.6"/>
    <n v="114.2"/>
    <n v="119.2"/>
    <n v="118.2"/>
    <n v="116.3"/>
    <n v="118.7"/>
    <n v="116.8"/>
    <n v="118.5"/>
    <m/>
    <n v="113.4"/>
    <n v="114.1"/>
    <n v="112.1"/>
    <n v="111.4"/>
    <n v="110.9"/>
    <n v="113.1"/>
    <n v="108.9"/>
    <n v="111.8"/>
    <n v="116"/>
    <x v="17"/>
  </r>
  <r>
    <x v="1"/>
    <n v="2014"/>
    <s v="May"/>
    <n v="122.7"/>
    <n v="124.1"/>
    <n v="114.2"/>
    <n v="119.1"/>
    <n v="103.5"/>
    <n v="129.19999999999999"/>
    <n v="127"/>
    <n v="112.6"/>
    <n v="101.3"/>
    <n v="117"/>
    <n v="112.9"/>
    <n v="121.7"/>
    <n v="120"/>
    <n v="118.3"/>
    <n v="116.8"/>
    <n v="112.9"/>
    <n v="116.2"/>
    <n v="114.3"/>
    <n v="111.1"/>
    <n v="114.1"/>
    <n v="111.2"/>
    <n v="111.3"/>
    <n v="111.5"/>
    <n v="112.9"/>
    <n v="109.3"/>
    <n v="111.7"/>
    <n v="115.6"/>
    <x v="17"/>
  </r>
  <r>
    <x v="2"/>
    <n v="2014"/>
    <s v="May"/>
    <n v="121.1"/>
    <n v="121.6"/>
    <n v="115.9"/>
    <n v="118.4"/>
    <n v="107.7"/>
    <n v="127.7"/>
    <n v="125"/>
    <n v="111.9"/>
    <n v="102.8"/>
    <n v="113.4"/>
    <n v="113.7"/>
    <n v="120.4"/>
    <n v="118.9"/>
    <n v="116.8"/>
    <n v="118"/>
    <n v="115.2"/>
    <n v="117.6"/>
    <n v="114.3"/>
    <n v="112.5"/>
    <n v="114.1"/>
    <n v="111.8"/>
    <n v="111.3"/>
    <n v="111.2"/>
    <n v="113"/>
    <n v="109.1"/>
    <n v="111.8"/>
    <n v="115.8"/>
    <x v="17"/>
  </r>
  <r>
    <x v="0"/>
    <n v="2014"/>
    <s v="June"/>
    <n v="120.7"/>
    <n v="121.6"/>
    <n v="116.1"/>
    <n v="119.3"/>
    <n v="110.3"/>
    <n v="125.8"/>
    <n v="129.30000000000001"/>
    <n v="112.2"/>
    <n v="103.6"/>
    <n v="112.3"/>
    <n v="114.9"/>
    <n v="120.1"/>
    <n v="119.5"/>
    <n v="117.3"/>
    <n v="119.7"/>
    <n v="117.3"/>
    <n v="119.3"/>
    <m/>
    <n v="114.4"/>
    <n v="114.9"/>
    <n v="112.8"/>
    <n v="112.2"/>
    <n v="111.4"/>
    <n v="114.3"/>
    <n v="108"/>
    <n v="112.3"/>
    <n v="117"/>
    <x v="18"/>
  </r>
  <r>
    <x v="1"/>
    <n v="2014"/>
    <s v="June"/>
    <n v="123.1"/>
    <n v="125.9"/>
    <n v="115.4"/>
    <n v="120.4"/>
    <n v="103.4"/>
    <n v="131.19999999999999"/>
    <n v="137.5"/>
    <n v="112.8"/>
    <n v="101.4"/>
    <n v="118.3"/>
    <n v="113.2"/>
    <n v="122.4"/>
    <n v="122"/>
    <n v="119"/>
    <n v="117.4"/>
    <n v="113.2"/>
    <n v="116.7"/>
    <n v="113.9"/>
    <n v="111.2"/>
    <n v="114.3"/>
    <n v="111.4"/>
    <n v="111.5"/>
    <n v="111.8"/>
    <n v="115.1"/>
    <n v="108.7"/>
    <n v="112.2"/>
    <n v="116.4"/>
    <x v="18"/>
  </r>
  <r>
    <x v="2"/>
    <n v="2014"/>
    <s v="June"/>
    <n v="121.5"/>
    <n v="123.1"/>
    <n v="115.8"/>
    <n v="119.7"/>
    <n v="107.8"/>
    <n v="128.30000000000001"/>
    <n v="132.1"/>
    <n v="112.4"/>
    <n v="102.9"/>
    <n v="114.3"/>
    <n v="114.2"/>
    <n v="121.2"/>
    <n v="120.4"/>
    <n v="117.8"/>
    <n v="118.8"/>
    <n v="115.6"/>
    <n v="118.3"/>
    <n v="113.9"/>
    <n v="113.2"/>
    <n v="114.6"/>
    <n v="112.3"/>
    <n v="111.8"/>
    <n v="111.6"/>
    <n v="114.8"/>
    <n v="108.3"/>
    <n v="112.3"/>
    <n v="116.7"/>
    <x v="18"/>
  </r>
  <r>
    <x v="0"/>
    <n v="2014"/>
    <s v="July"/>
    <n v="121.7"/>
    <n v="122.5"/>
    <n v="117.7"/>
    <n v="120.6"/>
    <n v="110.4"/>
    <n v="129.1"/>
    <n v="150.1"/>
    <n v="113.2"/>
    <n v="104.8"/>
    <n v="113.3"/>
    <n v="115.6"/>
    <n v="120.9"/>
    <n v="123.3"/>
    <n v="118"/>
    <n v="120.7"/>
    <n v="118.3"/>
    <n v="120.3"/>
    <m/>
    <n v="115.3"/>
    <n v="115.4"/>
    <n v="113.4"/>
    <n v="113.2"/>
    <n v="111.8"/>
    <n v="115.5"/>
    <n v="108.8"/>
    <n v="113.1"/>
    <n v="119.5"/>
    <x v="19"/>
  </r>
  <r>
    <x v="1"/>
    <n v="2014"/>
    <s v="July"/>
    <n v="123.8"/>
    <n v="126.4"/>
    <n v="118"/>
    <n v="121.6"/>
    <n v="103.5"/>
    <n v="133.69999999999999"/>
    <n v="172.4"/>
    <n v="113.1"/>
    <n v="102.7"/>
    <n v="120"/>
    <n v="113.8"/>
    <n v="123.4"/>
    <n v="127.1"/>
    <n v="121"/>
    <n v="118"/>
    <n v="113.6"/>
    <n v="117.4"/>
    <n v="114.8"/>
    <n v="111.6"/>
    <n v="114.9"/>
    <n v="111.5"/>
    <n v="113"/>
    <n v="112.4"/>
    <n v="117.8"/>
    <n v="109.7"/>
    <n v="113.5"/>
    <n v="118.9"/>
    <x v="19"/>
  </r>
  <r>
    <x v="2"/>
    <n v="2014"/>
    <s v="July"/>
    <n v="122.4"/>
    <n v="123.9"/>
    <n v="117.8"/>
    <n v="121"/>
    <n v="107.9"/>
    <n v="131.19999999999999"/>
    <n v="157.69999999999999"/>
    <n v="113.2"/>
    <n v="104.1"/>
    <n v="115.5"/>
    <n v="114.8"/>
    <n v="122.1"/>
    <n v="124.7"/>
    <n v="118.8"/>
    <n v="119.6"/>
    <n v="116.3"/>
    <n v="119.1"/>
    <n v="114.8"/>
    <n v="113.9"/>
    <n v="115.2"/>
    <n v="112.7"/>
    <n v="113.1"/>
    <n v="112.1"/>
    <n v="116.8"/>
    <n v="109.2"/>
    <n v="113.3"/>
    <n v="119.2"/>
    <x v="19"/>
  </r>
  <r>
    <x v="0"/>
    <n v="2014"/>
    <s v="August"/>
    <n v="121.8"/>
    <n v="122.8"/>
    <n v="117.8"/>
    <n v="121.9"/>
    <n v="110.6"/>
    <n v="129.69999999999999"/>
    <n v="161.1"/>
    <n v="114.1"/>
    <n v="105.1"/>
    <n v="114.6"/>
    <n v="115.8"/>
    <n v="121.7"/>
    <n v="125.3"/>
    <n v="118.8"/>
    <n v="120.9"/>
    <n v="118.8"/>
    <n v="120.7"/>
    <m/>
    <n v="115.4"/>
    <n v="115.9"/>
    <n v="114"/>
    <n v="113.2"/>
    <n v="112.2"/>
    <n v="116.2"/>
    <n v="109.4"/>
    <n v="113.5"/>
    <n v="120.7"/>
    <x v="20"/>
  </r>
  <r>
    <x v="1"/>
    <n v="2014"/>
    <s v="August"/>
    <n v="124.8"/>
    <n v="127.3"/>
    <n v="116.5"/>
    <n v="122.2"/>
    <n v="103.6"/>
    <n v="132.69999999999999"/>
    <n v="181.9"/>
    <n v="115.2"/>
    <n v="102.7"/>
    <n v="122.1"/>
    <n v="114.4"/>
    <n v="124.7"/>
    <n v="128.9"/>
    <n v="123"/>
    <n v="118.6"/>
    <n v="114.1"/>
    <n v="117.9"/>
    <n v="115.5"/>
    <n v="111.8"/>
    <n v="115.3"/>
    <n v="112.2"/>
    <n v="112.5"/>
    <n v="112.9"/>
    <n v="119.2"/>
    <n v="110.5"/>
    <n v="113.9"/>
    <n v="119.9"/>
    <x v="20"/>
  </r>
  <r>
    <x v="2"/>
    <n v="2014"/>
    <s v="August"/>
    <n v="122.7"/>
    <n v="124.4"/>
    <n v="117.3"/>
    <n v="122"/>
    <n v="108"/>
    <n v="131.1"/>
    <n v="168.2"/>
    <n v="114.5"/>
    <n v="104.3"/>
    <n v="117.1"/>
    <n v="115.2"/>
    <n v="123.1"/>
    <n v="126.6"/>
    <n v="119.9"/>
    <n v="120"/>
    <n v="116.8"/>
    <n v="119.6"/>
    <n v="115.5"/>
    <n v="114"/>
    <n v="115.6"/>
    <n v="113.3"/>
    <n v="112.8"/>
    <n v="112.6"/>
    <n v="118"/>
    <n v="109.9"/>
    <n v="113.7"/>
    <n v="120.3"/>
    <x v="20"/>
  </r>
  <r>
    <x v="0"/>
    <n v="2014"/>
    <s v="September"/>
    <n v="122.3"/>
    <n v="122.4"/>
    <n v="117.8"/>
    <n v="122.7"/>
    <n v="110.4"/>
    <n v="129.80000000000001"/>
    <n v="158.80000000000001"/>
    <n v="115"/>
    <n v="104.7"/>
    <n v="114.9"/>
    <n v="116.5"/>
    <n v="122.6"/>
    <n v="125.3"/>
    <n v="119.5"/>
    <n v="121.7"/>
    <n v="119.2"/>
    <n v="121.3"/>
    <m/>
    <n v="115.8"/>
    <n v="116.7"/>
    <n v="114.5"/>
    <n v="112.8"/>
    <n v="112.6"/>
    <n v="116.6"/>
    <n v="109.1"/>
    <n v="113.7"/>
    <n v="120.9"/>
    <x v="21"/>
  </r>
  <r>
    <x v="1"/>
    <n v="2014"/>
    <s v="September"/>
    <n v="124.2"/>
    <n v="125.4"/>
    <n v="116.4"/>
    <n v="122.7"/>
    <n v="103.5"/>
    <n v="124.5"/>
    <n v="168.6"/>
    <n v="116.9"/>
    <n v="101.9"/>
    <n v="122.9"/>
    <n v="114.8"/>
    <n v="125.2"/>
    <n v="126.7"/>
    <n v="124.3"/>
    <n v="119.2"/>
    <n v="114.5"/>
    <n v="118.4"/>
    <n v="116.1"/>
    <n v="111.8"/>
    <n v="115.5"/>
    <n v="112.3"/>
    <n v="111.2"/>
    <n v="113.4"/>
    <n v="120"/>
    <n v="110"/>
    <n v="113.6"/>
    <n v="119.2"/>
    <x v="21"/>
  </r>
  <r>
    <x v="2"/>
    <n v="2014"/>
    <s v="September"/>
    <n v="122.9"/>
    <n v="123.5"/>
    <n v="117.3"/>
    <n v="122.7"/>
    <n v="107.9"/>
    <n v="127.3"/>
    <n v="162.1"/>
    <n v="115.6"/>
    <n v="103.8"/>
    <n v="117.6"/>
    <n v="115.8"/>
    <n v="123.8"/>
    <n v="125.8"/>
    <n v="120.8"/>
    <n v="120.7"/>
    <n v="117.2"/>
    <n v="120.1"/>
    <n v="116.1"/>
    <n v="114.3"/>
    <n v="116.1"/>
    <n v="113.7"/>
    <n v="112"/>
    <n v="113.1"/>
    <n v="118.6"/>
    <n v="109.5"/>
    <n v="113.7"/>
    <n v="120.1"/>
    <x v="21"/>
  </r>
  <r>
    <x v="0"/>
    <n v="2014"/>
    <s v="October"/>
    <n v="122.6"/>
    <n v="122.5"/>
    <n v="118.3"/>
    <n v="123.2"/>
    <n v="110.5"/>
    <n v="128.9"/>
    <n v="155.30000000000001"/>
    <n v="115.5"/>
    <n v="104"/>
    <n v="115.3"/>
    <n v="116.8"/>
    <n v="123.2"/>
    <n v="125.1"/>
    <n v="120"/>
    <n v="122.7"/>
    <n v="120.3"/>
    <n v="122.3"/>
    <m/>
    <n v="116.4"/>
    <n v="117.5"/>
    <n v="115.3"/>
    <n v="112.6"/>
    <n v="113"/>
    <n v="116.9"/>
    <n v="109.3"/>
    <n v="114"/>
    <n v="121"/>
    <x v="22"/>
  </r>
  <r>
    <x v="1"/>
    <n v="2014"/>
    <s v="October"/>
    <n v="124.6"/>
    <n v="126.1"/>
    <n v="117.8"/>
    <n v="123.1"/>
    <n v="103.5"/>
    <n v="123.5"/>
    <n v="159.6"/>
    <n v="117.4"/>
    <n v="101.2"/>
    <n v="123.8"/>
    <n v="115.2"/>
    <n v="125.9"/>
    <n v="125.8"/>
    <n v="124.3"/>
    <n v="119.6"/>
    <n v="114.9"/>
    <n v="118.9"/>
    <n v="116.7"/>
    <n v="112"/>
    <n v="115.8"/>
    <n v="112.6"/>
    <n v="111"/>
    <n v="113.6"/>
    <n v="120.2"/>
    <n v="110.1"/>
    <n v="113.7"/>
    <n v="119.1"/>
    <x v="22"/>
  </r>
  <r>
    <x v="2"/>
    <n v="2014"/>
    <s v="October"/>
    <n v="123.2"/>
    <n v="123.8"/>
    <n v="118.1"/>
    <n v="123.2"/>
    <n v="107.9"/>
    <n v="126.4"/>
    <n v="156.80000000000001"/>
    <n v="116.1"/>
    <n v="103.1"/>
    <n v="118.1"/>
    <n v="116.1"/>
    <n v="124.5"/>
    <n v="125.4"/>
    <n v="121.1"/>
    <n v="121.5"/>
    <n v="118.1"/>
    <n v="121"/>
    <n v="116.7"/>
    <n v="114.7"/>
    <n v="116.7"/>
    <n v="114.3"/>
    <n v="111.8"/>
    <n v="113.3"/>
    <n v="118.8"/>
    <n v="109.6"/>
    <n v="113.9"/>
    <n v="120.1"/>
    <x v="22"/>
  </r>
  <r>
    <x v="0"/>
    <n v="2014"/>
    <s v="November"/>
    <n v="122.7"/>
    <n v="122.6"/>
    <n v="119.9"/>
    <n v="124"/>
    <n v="110.5"/>
    <n v="128.80000000000001"/>
    <n v="152"/>
    <n v="116.2"/>
    <n v="103.3"/>
    <n v="115.8"/>
    <n v="116.8"/>
    <n v="124.5"/>
    <n v="124.9"/>
    <n v="120.8"/>
    <n v="123.3"/>
    <n v="120.5"/>
    <n v="122.9"/>
    <m/>
    <n v="117.3"/>
    <n v="118.1"/>
    <n v="115.9"/>
    <n v="112"/>
    <n v="113.3"/>
    <n v="117.2"/>
    <n v="108.8"/>
    <n v="114.1"/>
    <n v="121.1"/>
    <x v="23"/>
  </r>
  <r>
    <x v="1"/>
    <n v="2014"/>
    <s v="November"/>
    <n v="124.5"/>
    <n v="125.6"/>
    <n v="122.7"/>
    <n v="124.6"/>
    <n v="103.2"/>
    <n v="122.2"/>
    <n v="153.19999999999999"/>
    <n v="119.3"/>
    <n v="99.8"/>
    <n v="124.6"/>
    <n v="115.8"/>
    <n v="126.9"/>
    <n v="125.4"/>
    <n v="125.8"/>
    <n v="120.3"/>
    <n v="115.4"/>
    <n v="119.5"/>
    <n v="117.1"/>
    <n v="112.6"/>
    <n v="116.4"/>
    <n v="113"/>
    <n v="109.7"/>
    <n v="114"/>
    <n v="120.3"/>
    <n v="109.6"/>
    <n v="113.4"/>
    <n v="119"/>
    <x v="23"/>
  </r>
  <r>
    <x v="2"/>
    <n v="2014"/>
    <s v="November"/>
    <n v="123.3"/>
    <n v="123.7"/>
    <n v="121"/>
    <n v="124.2"/>
    <n v="107.8"/>
    <n v="125.7"/>
    <n v="152.4"/>
    <n v="117.2"/>
    <n v="102.1"/>
    <n v="118.7"/>
    <n v="116.4"/>
    <n v="125.6"/>
    <n v="125.1"/>
    <n v="122.1"/>
    <n v="122.1"/>
    <n v="118.4"/>
    <n v="121.6"/>
    <n v="117.1"/>
    <n v="115.5"/>
    <n v="117.3"/>
    <n v="114.8"/>
    <n v="110.8"/>
    <n v="113.7"/>
    <n v="119"/>
    <n v="109.1"/>
    <n v="113.8"/>
    <n v="120.1"/>
    <x v="23"/>
  </r>
  <r>
    <x v="0"/>
    <n v="2014"/>
    <s v="December"/>
    <n v="122.4"/>
    <n v="122.4"/>
    <n v="121.8"/>
    <n v="124.2"/>
    <n v="110.2"/>
    <n v="128.6"/>
    <n v="140.30000000000001"/>
    <n v="116.3"/>
    <n v="102"/>
    <n v="116"/>
    <n v="117.3"/>
    <n v="124.8"/>
    <n v="123.3"/>
    <n v="121.7"/>
    <n v="123.8"/>
    <n v="120.6"/>
    <n v="123.3"/>
    <m/>
    <n v="117.4"/>
    <n v="118.2"/>
    <n v="116.2"/>
    <n v="111.5"/>
    <n v="113.3"/>
    <n v="117.7"/>
    <n v="109.4"/>
    <n v="114.2"/>
    <n v="120.3"/>
    <x v="24"/>
  </r>
  <r>
    <x v="1"/>
    <n v="2014"/>
    <s v="December"/>
    <n v="124"/>
    <n v="124.7"/>
    <n v="126.3"/>
    <n v="124.9"/>
    <n v="103"/>
    <n v="122.3"/>
    <n v="141"/>
    <n v="120.1"/>
    <n v="97.8"/>
    <n v="125.4"/>
    <n v="116.1"/>
    <n v="127.6"/>
    <n v="124"/>
    <n v="126.4"/>
    <n v="120.7"/>
    <n v="115.8"/>
    <n v="120"/>
    <n v="116.5"/>
    <n v="113"/>
    <n v="116.8"/>
    <n v="113.2"/>
    <n v="108.8"/>
    <n v="114.3"/>
    <n v="120.7"/>
    <n v="110.4"/>
    <n v="113.4"/>
    <n v="118.4"/>
    <x v="24"/>
  </r>
  <r>
    <x v="2"/>
    <n v="2014"/>
    <s v="December"/>
    <n v="122.9"/>
    <n v="123.2"/>
    <n v="123.5"/>
    <n v="124.5"/>
    <n v="107.6"/>
    <n v="125.7"/>
    <n v="140.5"/>
    <n v="117.6"/>
    <n v="100.6"/>
    <n v="119.1"/>
    <n v="116.8"/>
    <n v="126.1"/>
    <n v="123.6"/>
    <n v="123"/>
    <n v="122.6"/>
    <n v="118.6"/>
    <n v="122"/>
    <n v="116.5"/>
    <n v="115.7"/>
    <n v="117.5"/>
    <n v="115.1"/>
    <n v="110.1"/>
    <n v="113.9"/>
    <n v="119.5"/>
    <n v="109.8"/>
    <n v="113.8"/>
    <n v="119.4"/>
    <x v="24"/>
  </r>
  <r>
    <x v="0"/>
    <n v="2015"/>
    <s v="January"/>
    <n v="123.1"/>
    <n v="123.1"/>
    <n v="122.1"/>
    <n v="124.9"/>
    <n v="111"/>
    <n v="130.4"/>
    <n v="132.30000000000001"/>
    <n v="117.2"/>
    <n v="100.5"/>
    <n v="117.2"/>
    <n v="117.9"/>
    <n v="125.6"/>
    <n v="122.8"/>
    <n v="122.7"/>
    <n v="124.4"/>
    <n v="121.6"/>
    <n v="124"/>
    <m/>
    <n v="118.4"/>
    <n v="118.9"/>
    <n v="116.6"/>
    <n v="111"/>
    <n v="114"/>
    <n v="118.2"/>
    <n v="110.2"/>
    <n v="114.5"/>
    <n v="120.3"/>
    <x v="25"/>
  </r>
  <r>
    <x v="1"/>
    <n v="2015"/>
    <s v="January"/>
    <n v="124"/>
    <n v="125.5"/>
    <n v="126.6"/>
    <n v="125.2"/>
    <n v="104.3"/>
    <n v="121.3"/>
    <n v="134.4"/>
    <n v="122.9"/>
    <n v="96.1"/>
    <n v="126.6"/>
    <n v="116.5"/>
    <n v="128"/>
    <n v="123.5"/>
    <n v="127.4"/>
    <n v="121"/>
    <n v="116.1"/>
    <n v="120.2"/>
    <n v="117.3"/>
    <n v="113.4"/>
    <n v="117.2"/>
    <n v="113.7"/>
    <n v="107.9"/>
    <n v="114.6"/>
    <n v="120.8"/>
    <n v="111.4"/>
    <n v="113.4"/>
    <n v="118.5"/>
    <x v="25"/>
  </r>
  <r>
    <x v="2"/>
    <n v="2015"/>
    <s v="January"/>
    <n v="123.4"/>
    <n v="123.9"/>
    <n v="123.8"/>
    <n v="125"/>
    <n v="108.5"/>
    <n v="126.2"/>
    <n v="133"/>
    <n v="119.1"/>
    <n v="99"/>
    <n v="120.3"/>
    <n v="117.3"/>
    <n v="126.7"/>
    <n v="123.1"/>
    <n v="124"/>
    <n v="123.1"/>
    <n v="119.3"/>
    <n v="122.5"/>
    <n v="117.3"/>
    <n v="116.5"/>
    <n v="118.1"/>
    <n v="115.5"/>
    <n v="109.4"/>
    <n v="114.3"/>
    <n v="119.7"/>
    <n v="110.7"/>
    <n v="114"/>
    <n v="119.5"/>
    <x v="25"/>
  </r>
  <r>
    <x v="0"/>
    <n v="2015"/>
    <s v="February"/>
    <n v="123.4"/>
    <n v="124.4"/>
    <n v="122.1"/>
    <n v="125.8"/>
    <n v="111.5"/>
    <n v="129.4"/>
    <n v="128.19999999999999"/>
    <n v="118.8"/>
    <n v="100"/>
    <n v="118.6"/>
    <n v="118.8"/>
    <n v="126.8"/>
    <n v="122.8"/>
    <n v="124.2"/>
    <n v="125.4"/>
    <n v="122.7"/>
    <n v="125"/>
    <m/>
    <n v="120"/>
    <n v="119.6"/>
    <n v="117.7"/>
    <n v="110.9"/>
    <n v="114.8"/>
    <n v="118.7"/>
    <n v="110.8"/>
    <n v="115"/>
    <n v="120.6"/>
    <x v="26"/>
  </r>
  <r>
    <x v="1"/>
    <n v="2015"/>
    <s v="February"/>
    <n v="124.3"/>
    <n v="126.5"/>
    <n v="119.5"/>
    <n v="125.6"/>
    <n v="104.9"/>
    <n v="121.6"/>
    <n v="131.80000000000001"/>
    <n v="125.1"/>
    <n v="95"/>
    <n v="127.7"/>
    <n v="116.8"/>
    <n v="128.6"/>
    <n v="123.7"/>
    <n v="128.1"/>
    <n v="121.3"/>
    <n v="116.5"/>
    <n v="120.6"/>
    <n v="118.1"/>
    <n v="114"/>
    <n v="117.7"/>
    <n v="114.1"/>
    <n v="106.8"/>
    <n v="114.9"/>
    <n v="120.4"/>
    <n v="111.7"/>
    <n v="113.2"/>
    <n v="118.7"/>
    <x v="26"/>
  </r>
  <r>
    <x v="2"/>
    <n v="2015"/>
    <s v="February"/>
    <n v="123.7"/>
    <n v="125.1"/>
    <n v="121.1"/>
    <n v="125.7"/>
    <n v="109.1"/>
    <n v="125.8"/>
    <n v="129.4"/>
    <n v="120.9"/>
    <n v="98.3"/>
    <n v="121.6"/>
    <n v="118"/>
    <n v="127.6"/>
    <n v="123.1"/>
    <n v="125.2"/>
    <n v="123.8"/>
    <n v="120.1"/>
    <n v="123.3"/>
    <n v="118.1"/>
    <n v="117.7"/>
    <n v="118.7"/>
    <n v="116.3"/>
    <n v="108.7"/>
    <n v="114.9"/>
    <n v="119.7"/>
    <n v="111.2"/>
    <n v="114.1"/>
    <n v="119.7"/>
    <x v="26"/>
  </r>
  <r>
    <x v="0"/>
    <n v="2015"/>
    <s v="March"/>
    <n v="123.3"/>
    <n v="124.7"/>
    <n v="118.9"/>
    <n v="126"/>
    <n v="111.8"/>
    <n v="130.9"/>
    <n v="128"/>
    <n v="119.9"/>
    <n v="98.9"/>
    <n v="119.4"/>
    <n v="118.9"/>
    <n v="127.7"/>
    <n v="123.1"/>
    <n v="124.7"/>
    <n v="126"/>
    <n v="122.9"/>
    <n v="125.5"/>
    <m/>
    <n v="120.6"/>
    <n v="120.2"/>
    <n v="118.2"/>
    <n v="111.6"/>
    <n v="115.5"/>
    <n v="119.4"/>
    <n v="110.8"/>
    <n v="115.5"/>
    <n v="121.1"/>
    <x v="27"/>
  </r>
  <r>
    <x v="1"/>
    <n v="2015"/>
    <s v="March"/>
    <n v="124"/>
    <n v="126.7"/>
    <n v="113.5"/>
    <n v="125.9"/>
    <n v="104.8"/>
    <n v="123.8"/>
    <n v="131.4"/>
    <n v="127.2"/>
    <n v="93.2"/>
    <n v="127.4"/>
    <n v="117"/>
    <n v="129.19999999999999"/>
    <n v="123.9"/>
    <n v="128.80000000000001"/>
    <n v="121.7"/>
    <n v="116.9"/>
    <n v="120.9"/>
    <n v="118.6"/>
    <n v="114.4"/>
    <n v="118"/>
    <n v="114.3"/>
    <n v="108.4"/>
    <n v="115.4"/>
    <n v="120.6"/>
    <n v="111.3"/>
    <n v="113.8"/>
    <n v="119.1"/>
    <x v="27"/>
  </r>
  <r>
    <x v="2"/>
    <n v="2015"/>
    <s v="March"/>
    <n v="123.5"/>
    <n v="125.4"/>
    <n v="116.8"/>
    <n v="126"/>
    <n v="109.2"/>
    <n v="127.6"/>
    <n v="129.19999999999999"/>
    <n v="122.4"/>
    <n v="97"/>
    <n v="122.1"/>
    <n v="118.1"/>
    <n v="128.4"/>
    <n v="123.4"/>
    <n v="125.8"/>
    <n v="124.3"/>
    <n v="120.4"/>
    <n v="123.7"/>
    <n v="118.6"/>
    <n v="118.3"/>
    <n v="119.2"/>
    <n v="116.7"/>
    <n v="109.9"/>
    <n v="115.4"/>
    <n v="120.1"/>
    <n v="111"/>
    <n v="114.7"/>
    <n v="120.2"/>
    <x v="27"/>
  </r>
  <r>
    <x v="0"/>
    <n v="2015"/>
    <s v="April"/>
    <n v="123.3"/>
    <n v="125.5"/>
    <n v="117.2"/>
    <n v="126.8"/>
    <n v="111.9"/>
    <n v="134.19999999999999"/>
    <n v="127.5"/>
    <n v="121.5"/>
    <n v="97.8"/>
    <n v="119.8"/>
    <n v="119.4"/>
    <n v="128.69999999999999"/>
    <n v="123.6"/>
    <n v="125.7"/>
    <n v="126.4"/>
    <n v="123.3"/>
    <n v="126"/>
    <m/>
    <n v="121.2"/>
    <n v="120.9"/>
    <n v="118.6"/>
    <n v="111.9"/>
    <n v="116.2"/>
    <n v="119.9"/>
    <n v="111.6"/>
    <n v="116"/>
    <n v="121.5"/>
    <x v="28"/>
  </r>
  <r>
    <x v="1"/>
    <n v="2015"/>
    <s v="April"/>
    <n v="123.8"/>
    <n v="128.19999999999999"/>
    <n v="110"/>
    <n v="126.3"/>
    <n v="104.5"/>
    <n v="130.6"/>
    <n v="130.80000000000001"/>
    <n v="131.30000000000001"/>
    <n v="91.6"/>
    <n v="127.7"/>
    <n v="117.2"/>
    <n v="129.5"/>
    <n v="124.6"/>
    <n v="130.1"/>
    <n v="122.1"/>
    <n v="117.2"/>
    <n v="121.3"/>
    <n v="119.2"/>
    <n v="114.7"/>
    <n v="118.4"/>
    <n v="114.6"/>
    <n v="108.4"/>
    <n v="115.6"/>
    <n v="121.7"/>
    <n v="111.8"/>
    <n v="114.2"/>
    <n v="119.7"/>
    <x v="28"/>
  </r>
  <r>
    <x v="2"/>
    <n v="2015"/>
    <s v="April"/>
    <n v="123.5"/>
    <n v="126.4"/>
    <n v="114.4"/>
    <n v="126.6"/>
    <n v="109.2"/>
    <n v="132.5"/>
    <n v="128.6"/>
    <n v="124.8"/>
    <n v="95.7"/>
    <n v="122.4"/>
    <n v="118.5"/>
    <n v="129.1"/>
    <n v="124"/>
    <n v="126.9"/>
    <n v="124.7"/>
    <n v="120.8"/>
    <n v="124.1"/>
    <n v="119.2"/>
    <n v="118.7"/>
    <n v="119.7"/>
    <n v="117.1"/>
    <n v="110.1"/>
    <n v="115.9"/>
    <n v="121"/>
    <n v="111.7"/>
    <n v="115.1"/>
    <n v="120.7"/>
    <x v="28"/>
  </r>
  <r>
    <x v="0"/>
    <n v="2015"/>
    <s v="May"/>
    <n v="123.5"/>
    <n v="127.1"/>
    <n v="117.3"/>
    <n v="127.7"/>
    <n v="112.5"/>
    <n v="134.1"/>
    <n v="128.5"/>
    <n v="124.3"/>
    <n v="97.6"/>
    <n v="120.7"/>
    <n v="120.2"/>
    <n v="129.80000000000001"/>
    <n v="124.4"/>
    <n v="126.7"/>
    <n v="127.3"/>
    <n v="124.1"/>
    <n v="126.8"/>
    <m/>
    <n v="121.9"/>
    <n v="121.5"/>
    <n v="119.4"/>
    <n v="113.3"/>
    <n v="116.7"/>
    <n v="120.5"/>
    <n v="112.3"/>
    <n v="116.9"/>
    <n v="122.4"/>
    <x v="29"/>
  </r>
  <r>
    <x v="1"/>
    <n v="2015"/>
    <s v="May"/>
    <n v="123.8"/>
    <n v="129.69999999999999"/>
    <n v="111.3"/>
    <n v="126.6"/>
    <n v="105.2"/>
    <n v="130.80000000000001"/>
    <n v="135.6"/>
    <n v="142.6"/>
    <n v="90.8"/>
    <n v="128.80000000000001"/>
    <n v="117.7"/>
    <n v="129.9"/>
    <n v="126.1"/>
    <n v="131.30000000000001"/>
    <n v="122.4"/>
    <n v="117.4"/>
    <n v="121.6"/>
    <n v="119.6"/>
    <n v="114.9"/>
    <n v="118.7"/>
    <n v="114.9"/>
    <n v="110.8"/>
    <n v="116"/>
    <n v="122"/>
    <n v="112.4"/>
    <n v="115.2"/>
    <n v="120.7"/>
    <x v="29"/>
  </r>
  <r>
    <x v="2"/>
    <n v="2015"/>
    <s v="May"/>
    <n v="123.6"/>
    <n v="128"/>
    <n v="115"/>
    <n v="127.3"/>
    <n v="109.8"/>
    <n v="132.6"/>
    <n v="130.9"/>
    <n v="130.5"/>
    <n v="95.3"/>
    <n v="123.4"/>
    <n v="119.2"/>
    <n v="129.80000000000001"/>
    <n v="125"/>
    <n v="127.9"/>
    <n v="125.4"/>
    <n v="121.3"/>
    <n v="124.7"/>
    <n v="119.6"/>
    <n v="119.2"/>
    <n v="120.2"/>
    <n v="117.7"/>
    <n v="112"/>
    <n v="116.3"/>
    <n v="121.4"/>
    <n v="112.3"/>
    <n v="116.1"/>
    <n v="121.6"/>
    <x v="29"/>
  </r>
  <r>
    <x v="0"/>
    <n v="2015"/>
    <s v="June"/>
    <n v="124.1"/>
    <n v="130.4"/>
    <n v="122.1"/>
    <n v="128.69999999999999"/>
    <n v="114.1"/>
    <n v="133.19999999999999"/>
    <n v="135.19999999999999"/>
    <n v="131.9"/>
    <n v="96.3"/>
    <n v="123"/>
    <n v="121.1"/>
    <n v="131.19999999999999"/>
    <n v="126.6"/>
    <n v="128.19999999999999"/>
    <n v="128.4"/>
    <n v="125.1"/>
    <n v="128"/>
    <m/>
    <n v="122.6"/>
    <n v="122.8"/>
    <n v="120.4"/>
    <n v="114.2"/>
    <n v="117.9"/>
    <n v="122"/>
    <n v="113"/>
    <n v="117.9"/>
    <n v="124.1"/>
    <x v="30"/>
  </r>
  <r>
    <x v="1"/>
    <n v="2015"/>
    <s v="June"/>
    <n v="123.6"/>
    <n v="134.4"/>
    <n v="120.9"/>
    <n v="127.3"/>
    <n v="106"/>
    <n v="132.30000000000001"/>
    <n v="146.69999999999999"/>
    <n v="148.1"/>
    <n v="89.8"/>
    <n v="130.5"/>
    <n v="118"/>
    <n v="130.5"/>
    <n v="128.5"/>
    <n v="132.1"/>
    <n v="123.2"/>
    <n v="117.6"/>
    <n v="122.3"/>
    <n v="119"/>
    <n v="115.1"/>
    <n v="119.2"/>
    <n v="115.4"/>
    <n v="111.7"/>
    <n v="116.2"/>
    <n v="123.8"/>
    <n v="112.5"/>
    <n v="116"/>
    <n v="121.7"/>
    <x v="30"/>
  </r>
  <r>
    <x v="2"/>
    <n v="2015"/>
    <s v="June"/>
    <n v="123.9"/>
    <n v="131.80000000000001"/>
    <n v="121.6"/>
    <n v="128.19999999999999"/>
    <n v="111.1"/>
    <n v="132.80000000000001"/>
    <n v="139.1"/>
    <n v="137.4"/>
    <n v="94.1"/>
    <n v="125.5"/>
    <n v="119.8"/>
    <n v="130.9"/>
    <n v="127.3"/>
    <n v="129.19999999999999"/>
    <n v="126.4"/>
    <n v="122"/>
    <n v="125.7"/>
    <n v="119"/>
    <n v="119.8"/>
    <n v="121.1"/>
    <n v="118.5"/>
    <n v="112.9"/>
    <n v="116.9"/>
    <n v="123.1"/>
    <n v="112.8"/>
    <n v="117"/>
    <n v="123"/>
    <x v="30"/>
  </r>
  <r>
    <x v="0"/>
    <n v="2015"/>
    <s v="July"/>
    <n v="124"/>
    <n v="131.5"/>
    <n v="122"/>
    <n v="128.69999999999999"/>
    <n v="113.5"/>
    <n v="133.30000000000001"/>
    <n v="140.80000000000001"/>
    <n v="133.80000000000001"/>
    <n v="94.1"/>
    <n v="123.4"/>
    <n v="121"/>
    <n v="131.69999999999999"/>
    <n v="127.5"/>
    <n v="129.4"/>
    <n v="128.80000000000001"/>
    <n v="125.5"/>
    <n v="128.30000000000001"/>
    <m/>
    <n v="123"/>
    <n v="123"/>
    <n v="120.8"/>
    <n v="114.1"/>
    <n v="118"/>
    <n v="122.9"/>
    <n v="112.7"/>
    <n v="118.1"/>
    <n v="124.7"/>
    <x v="31"/>
  </r>
  <r>
    <x v="1"/>
    <n v="2015"/>
    <s v="July"/>
    <n v="123.2"/>
    <n v="134.30000000000001"/>
    <n v="119.5"/>
    <n v="127.7"/>
    <n v="106.3"/>
    <n v="132.80000000000001"/>
    <n v="153.5"/>
    <n v="149.5"/>
    <n v="85.7"/>
    <n v="131.5"/>
    <n v="118.3"/>
    <n v="131.1"/>
    <n v="129.5"/>
    <n v="133.1"/>
    <n v="123.5"/>
    <n v="117.9"/>
    <n v="122.7"/>
    <n v="119.9"/>
    <n v="115.3"/>
    <n v="119.5"/>
    <n v="116"/>
    <n v="111.5"/>
    <n v="116.6"/>
    <n v="125.4"/>
    <n v="111.7"/>
    <n v="116.3"/>
    <n v="122.4"/>
    <x v="31"/>
  </r>
  <r>
    <x v="2"/>
    <n v="2015"/>
    <s v="July"/>
    <n v="123.7"/>
    <n v="132.5"/>
    <n v="121"/>
    <n v="128.30000000000001"/>
    <n v="110.9"/>
    <n v="133.1"/>
    <n v="145.1"/>
    <n v="139.1"/>
    <n v="91.3"/>
    <n v="126.1"/>
    <n v="119.9"/>
    <n v="131.4"/>
    <n v="128.19999999999999"/>
    <n v="130.4"/>
    <n v="126.7"/>
    <n v="122.3"/>
    <n v="126.1"/>
    <n v="119.9"/>
    <n v="120.1"/>
    <n v="121.3"/>
    <n v="119"/>
    <n v="112.7"/>
    <n v="117.2"/>
    <n v="124.4"/>
    <n v="112.3"/>
    <n v="117.2"/>
    <n v="123.6"/>
    <x v="31"/>
  </r>
  <r>
    <x v="0"/>
    <n v="2015"/>
    <s v="August"/>
    <n v="124.7"/>
    <n v="131.30000000000001"/>
    <n v="121.3"/>
    <n v="128.80000000000001"/>
    <n v="114"/>
    <n v="134.19999999999999"/>
    <n v="153.6"/>
    <n v="137.9"/>
    <n v="93.1"/>
    <n v="123.9"/>
    <n v="121.5"/>
    <n v="132.5"/>
    <n v="129.80000000000001"/>
    <n v="130.1"/>
    <n v="129.5"/>
    <n v="126.3"/>
    <n v="129"/>
    <m/>
    <n v="123.8"/>
    <n v="123.7"/>
    <n v="121.1"/>
    <n v="113.6"/>
    <n v="118.5"/>
    <n v="123.6"/>
    <n v="112.5"/>
    <n v="118.2"/>
    <n v="126.1"/>
    <x v="32"/>
  </r>
  <r>
    <x v="1"/>
    <n v="2015"/>
    <s v="August"/>
    <n v="123.1"/>
    <n v="131.69999999999999"/>
    <n v="118.1"/>
    <n v="128"/>
    <n v="106.8"/>
    <n v="130.1"/>
    <n v="165.5"/>
    <n v="156"/>
    <n v="85.3"/>
    <n v="132.69999999999999"/>
    <n v="118.8"/>
    <n v="131.69999999999999"/>
    <n v="131.1"/>
    <n v="134.19999999999999"/>
    <n v="123.7"/>
    <n v="118.2"/>
    <n v="122.9"/>
    <n v="120.9"/>
    <n v="115.3"/>
    <n v="120"/>
    <n v="116.6"/>
    <n v="109.9"/>
    <n v="117.2"/>
    <n v="126.2"/>
    <n v="112"/>
    <n v="116.2"/>
    <n v="123.2"/>
    <x v="32"/>
  </r>
  <r>
    <x v="2"/>
    <n v="2015"/>
    <s v="August"/>
    <n v="124.2"/>
    <n v="131.4"/>
    <n v="120.1"/>
    <n v="128.5"/>
    <n v="111.4"/>
    <n v="132.30000000000001"/>
    <n v="157.6"/>
    <n v="144"/>
    <n v="90.5"/>
    <n v="126.8"/>
    <n v="120.4"/>
    <n v="132.1"/>
    <n v="130.30000000000001"/>
    <n v="131.19999999999999"/>
    <n v="127.2"/>
    <n v="122.9"/>
    <n v="126.6"/>
    <n v="120.9"/>
    <n v="120.6"/>
    <n v="122"/>
    <n v="119.4"/>
    <n v="111.7"/>
    <n v="117.8"/>
    <n v="125.1"/>
    <n v="112.3"/>
    <n v="117.2"/>
    <n v="124.8"/>
    <x v="32"/>
  </r>
  <r>
    <x v="0"/>
    <n v="2015"/>
    <s v="September"/>
    <n v="125.1"/>
    <n v="131.1"/>
    <n v="120.7"/>
    <n v="129.19999999999999"/>
    <n v="114.7"/>
    <n v="132.30000000000001"/>
    <n v="158.9"/>
    <n v="142.1"/>
    <n v="92.5"/>
    <n v="125.4"/>
    <n v="121.9"/>
    <n v="132.69999999999999"/>
    <n v="131"/>
    <n v="131"/>
    <n v="130.4"/>
    <n v="126.8"/>
    <n v="129.9"/>
    <m/>
    <n v="123.7"/>
    <n v="124.5"/>
    <n v="121.4"/>
    <n v="113.8"/>
    <n v="119.6"/>
    <n v="124.5"/>
    <n v="113.7"/>
    <n v="118.8"/>
    <n v="127"/>
    <x v="33"/>
  </r>
  <r>
    <x v="1"/>
    <n v="2015"/>
    <s v="September"/>
    <n v="123.4"/>
    <n v="129"/>
    <n v="115.6"/>
    <n v="128.30000000000001"/>
    <n v="107"/>
    <n v="124"/>
    <n v="168.5"/>
    <n v="165.4"/>
    <n v="86.3"/>
    <n v="134.4"/>
    <n v="119.1"/>
    <n v="132.30000000000001"/>
    <n v="131.5"/>
    <n v="134.69999999999999"/>
    <n v="124"/>
    <n v="118.6"/>
    <n v="123.2"/>
    <n v="121.6"/>
    <n v="115.1"/>
    <n v="120.4"/>
    <n v="117.1"/>
    <n v="109.1"/>
    <n v="117.3"/>
    <n v="126.5"/>
    <n v="112.9"/>
    <n v="116.2"/>
    <n v="123.5"/>
    <x v="33"/>
  </r>
  <r>
    <x v="2"/>
    <n v="2015"/>
    <s v="September"/>
    <n v="124.6"/>
    <n v="130.4"/>
    <n v="118.7"/>
    <n v="128.9"/>
    <n v="111.9"/>
    <n v="128.4"/>
    <n v="162.19999999999999"/>
    <n v="150"/>
    <n v="90.4"/>
    <n v="128.4"/>
    <n v="120.7"/>
    <n v="132.5"/>
    <n v="131.19999999999999"/>
    <n v="132"/>
    <n v="127.9"/>
    <n v="123.4"/>
    <n v="127.2"/>
    <n v="121.6"/>
    <n v="120.4"/>
    <n v="122.6"/>
    <n v="119.8"/>
    <n v="111.3"/>
    <n v="118.3"/>
    <n v="125.7"/>
    <n v="113.4"/>
    <n v="117.5"/>
    <n v="125.4"/>
    <x v="33"/>
  </r>
  <r>
    <x v="0"/>
    <n v="2015"/>
    <s v="October"/>
    <n v="125.6"/>
    <n v="130.4"/>
    <n v="120.8"/>
    <n v="129.4"/>
    <n v="115.8"/>
    <n v="133.19999999999999"/>
    <n v="157.69999999999999"/>
    <n v="154.19999999999999"/>
    <n v="93.7"/>
    <n v="126.6"/>
    <n v="122.3"/>
    <n v="133.1"/>
    <n v="131.80000000000001"/>
    <n v="131.5"/>
    <n v="131.1"/>
    <n v="127.3"/>
    <n v="130.6"/>
    <m/>
    <n v="124.4"/>
    <n v="125.1"/>
    <n v="122"/>
    <n v="113.8"/>
    <n v="120.1"/>
    <n v="125.1"/>
    <n v="114.2"/>
    <n v="119.2"/>
    <n v="127.7"/>
    <x v="34"/>
  </r>
  <r>
    <x v="1"/>
    <n v="2015"/>
    <s v="October"/>
    <n v="123.6"/>
    <n v="128.6"/>
    <n v="115.9"/>
    <n v="128.5"/>
    <n v="109"/>
    <n v="124.1"/>
    <n v="165.8"/>
    <n v="187.2"/>
    <n v="89.4"/>
    <n v="135.80000000000001"/>
    <n v="119.4"/>
    <n v="132.9"/>
    <n v="132.6"/>
    <n v="135.30000000000001"/>
    <n v="124.4"/>
    <n v="118.8"/>
    <n v="123.6"/>
    <n v="122.4"/>
    <n v="114.9"/>
    <n v="120.7"/>
    <n v="117.7"/>
    <n v="109.3"/>
    <n v="117.7"/>
    <n v="126.5"/>
    <n v="113.5"/>
    <n v="116.5"/>
    <n v="124.2"/>
    <x v="34"/>
  </r>
  <r>
    <x v="2"/>
    <n v="2015"/>
    <s v="October"/>
    <n v="125"/>
    <n v="129.80000000000001"/>
    <n v="118.9"/>
    <n v="129.1"/>
    <n v="113.3"/>
    <n v="129"/>
    <n v="160.4"/>
    <n v="165.3"/>
    <n v="92.3"/>
    <n v="129.69999999999999"/>
    <n v="121.1"/>
    <n v="133"/>
    <n v="132.1"/>
    <n v="132.5"/>
    <n v="128.5"/>
    <n v="123.8"/>
    <n v="127.8"/>
    <n v="122.4"/>
    <n v="120.8"/>
    <n v="123"/>
    <n v="120.4"/>
    <n v="111.4"/>
    <n v="118.7"/>
    <n v="125.9"/>
    <n v="113.9"/>
    <n v="117.9"/>
    <n v="126.1"/>
    <x v="34"/>
  </r>
  <r>
    <x v="0"/>
    <n v="2015"/>
    <s v="November"/>
    <n v="126.1"/>
    <n v="130.6"/>
    <n v="121.7"/>
    <n v="129.5"/>
    <n v="117.8"/>
    <n v="132.1"/>
    <n v="155.19999999999999"/>
    <n v="160.80000000000001"/>
    <n v="94.5"/>
    <n v="128.30000000000001"/>
    <n v="123.1"/>
    <n v="134.19999999999999"/>
    <n v="132.4"/>
    <n v="132.19999999999999"/>
    <n v="132.1"/>
    <n v="128.19999999999999"/>
    <n v="131.5"/>
    <m/>
    <n v="125.6"/>
    <n v="125.6"/>
    <n v="122.6"/>
    <n v="114"/>
    <n v="120.9"/>
    <n v="125.8"/>
    <n v="114.2"/>
    <n v="119.6"/>
    <n v="128.30000000000001"/>
    <x v="35"/>
  </r>
  <r>
    <x v="1"/>
    <n v="2015"/>
    <s v="November"/>
    <n v="124"/>
    <n v="129.80000000000001"/>
    <n v="121.5"/>
    <n v="128.6"/>
    <n v="110"/>
    <n v="123.7"/>
    <n v="164.6"/>
    <n v="191.6"/>
    <n v="90.8"/>
    <n v="137.1"/>
    <n v="119.8"/>
    <n v="133.69999999999999"/>
    <n v="133.30000000000001"/>
    <n v="137.6"/>
    <n v="125"/>
    <n v="119.3"/>
    <n v="124.2"/>
    <n v="122.9"/>
    <n v="115.1"/>
    <n v="121"/>
    <n v="118.1"/>
    <n v="109.3"/>
    <n v="117.9"/>
    <n v="126.6"/>
    <n v="113.3"/>
    <n v="116.6"/>
    <n v="124.6"/>
    <x v="35"/>
  </r>
  <r>
    <x v="2"/>
    <n v="2015"/>
    <s v="November"/>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x v="35"/>
  </r>
  <r>
    <x v="0"/>
    <n v="2015"/>
    <s v="December"/>
    <n v="126.3"/>
    <n v="131.30000000000001"/>
    <n v="123.3"/>
    <n v="129.80000000000001"/>
    <n v="118.3"/>
    <n v="131.6"/>
    <n v="145.5"/>
    <n v="162.1"/>
    <n v="95.4"/>
    <n v="128.9"/>
    <n v="123.3"/>
    <n v="135.1"/>
    <n v="131.4"/>
    <n v="133.1"/>
    <n v="132.5"/>
    <n v="128.5"/>
    <n v="131.9"/>
    <m/>
    <n v="125.7"/>
    <n v="126"/>
    <n v="123.1"/>
    <n v="114"/>
    <n v="121.6"/>
    <n v="125.6"/>
    <n v="114.1"/>
    <n v="119.8"/>
    <n v="127.9"/>
    <x v="36"/>
  </r>
  <r>
    <x v="1"/>
    <n v="2015"/>
    <s v="December"/>
    <n v="124.3"/>
    <n v="131.69999999999999"/>
    <n v="127.1"/>
    <n v="128.6"/>
    <n v="110"/>
    <n v="120.8"/>
    <n v="149"/>
    <n v="190.1"/>
    <n v="92.7"/>
    <n v="138.6"/>
    <n v="120.2"/>
    <n v="134.19999999999999"/>
    <n v="131.5"/>
    <n v="138.19999999999999"/>
    <n v="125.4"/>
    <n v="119.5"/>
    <n v="124.5"/>
    <n v="122.4"/>
    <n v="116"/>
    <n v="121"/>
    <n v="118.6"/>
    <n v="109.3"/>
    <n v="118.1"/>
    <n v="126.6"/>
    <n v="113.2"/>
    <n v="116.7"/>
    <n v="124"/>
    <x v="36"/>
  </r>
  <r>
    <x v="2"/>
    <n v="2015"/>
    <s v="December"/>
    <n v="125.7"/>
    <n v="131.4"/>
    <n v="124.8"/>
    <n v="129.4"/>
    <n v="115.3"/>
    <n v="126.6"/>
    <n v="146.69999999999999"/>
    <n v="171.5"/>
    <n v="94.5"/>
    <n v="132.1"/>
    <n v="122"/>
    <n v="134.69999999999999"/>
    <n v="131.4"/>
    <n v="134.5"/>
    <n v="129.69999999999999"/>
    <n v="124.8"/>
    <n v="129"/>
    <n v="122.4"/>
    <n v="122"/>
    <n v="123.6"/>
    <n v="121.4"/>
    <n v="111.5"/>
    <n v="119.6"/>
    <n v="126.2"/>
    <n v="113.7"/>
    <n v="118.3"/>
    <n v="126.1"/>
    <x v="36"/>
  </r>
  <r>
    <x v="0"/>
    <n v="2016"/>
    <s v="January"/>
    <n v="126.8"/>
    <n v="133.19999999999999"/>
    <n v="126.5"/>
    <n v="130.30000000000001"/>
    <n v="118.9"/>
    <n v="131.6"/>
    <n v="140.1"/>
    <n v="163.80000000000001"/>
    <n v="97.7"/>
    <n v="129.6"/>
    <n v="124.3"/>
    <n v="135.9"/>
    <n v="131.4"/>
    <n v="133.6"/>
    <n v="133.19999999999999"/>
    <n v="128.9"/>
    <n v="132.6"/>
    <m/>
    <n v="126.2"/>
    <n v="126.6"/>
    <n v="123.7"/>
    <n v="113.6"/>
    <n v="121.4"/>
    <n v="126.2"/>
    <n v="114.9"/>
    <n v="120.1"/>
    <n v="128.1"/>
    <x v="37"/>
  </r>
  <r>
    <x v="1"/>
    <n v="2016"/>
    <s v="January"/>
    <n v="124.7"/>
    <n v="135.9"/>
    <n v="132"/>
    <n v="129.19999999999999"/>
    <n v="109.7"/>
    <n v="119"/>
    <n v="144.1"/>
    <n v="184.2"/>
    <n v="96.7"/>
    <n v="139.5"/>
    <n v="120.5"/>
    <n v="134.69999999999999"/>
    <n v="131.19999999999999"/>
    <n v="139.5"/>
    <n v="125.8"/>
    <n v="119.8"/>
    <n v="124.9"/>
    <n v="123.4"/>
    <n v="116.9"/>
    <n v="121.6"/>
    <n v="119.1"/>
    <n v="108.9"/>
    <n v="118.5"/>
    <n v="126.4"/>
    <n v="114"/>
    <n v="116.8"/>
    <n v="124.2"/>
    <x v="37"/>
  </r>
  <r>
    <x v="2"/>
    <n v="2016"/>
    <s v="January"/>
    <n v="126.1"/>
    <n v="134.1"/>
    <n v="128.6"/>
    <n v="129.9"/>
    <n v="115.5"/>
    <n v="125.7"/>
    <n v="141.5"/>
    <n v="170.7"/>
    <n v="97.4"/>
    <n v="132.9"/>
    <n v="122.7"/>
    <n v="135.30000000000001"/>
    <n v="131.30000000000001"/>
    <n v="135.19999999999999"/>
    <n v="130.30000000000001"/>
    <n v="125.1"/>
    <n v="129.5"/>
    <n v="123.4"/>
    <n v="122.7"/>
    <n v="124.2"/>
    <n v="122"/>
    <n v="111.1"/>
    <n v="119.8"/>
    <n v="126.3"/>
    <n v="114.5"/>
    <n v="118.5"/>
    <n v="126.3"/>
    <x v="37"/>
  </r>
  <r>
    <x v="0"/>
    <n v="2016"/>
    <s v="February"/>
    <n v="127.1"/>
    <n v="133.69999999999999"/>
    <n v="127.7"/>
    <n v="130.69999999999999"/>
    <n v="118.5"/>
    <n v="130.4"/>
    <n v="130.9"/>
    <n v="162.80000000000001"/>
    <n v="98.7"/>
    <n v="130.6"/>
    <n v="124.8"/>
    <n v="136.4"/>
    <n v="130.30000000000001"/>
    <n v="134.4"/>
    <n v="133.9"/>
    <n v="129.80000000000001"/>
    <n v="133.4"/>
    <m/>
    <n v="127.5"/>
    <n v="127.1"/>
    <n v="124.3"/>
    <n v="113.9"/>
    <n v="122.3"/>
    <n v="127.1"/>
    <n v="116.8"/>
    <n v="120.9"/>
    <n v="127.9"/>
    <x v="38"/>
  </r>
  <r>
    <x v="1"/>
    <n v="2016"/>
    <s v="February"/>
    <n v="124.8"/>
    <n v="135.1"/>
    <n v="130.30000000000001"/>
    <n v="129.6"/>
    <n v="108.4"/>
    <n v="118.6"/>
    <n v="129.19999999999999"/>
    <n v="176.4"/>
    <n v="99.1"/>
    <n v="139.69999999999999"/>
    <n v="120.6"/>
    <n v="135.19999999999999"/>
    <n v="129.1"/>
    <n v="140"/>
    <n v="126.2"/>
    <n v="120.1"/>
    <n v="125.3"/>
    <n v="124.4"/>
    <n v="116"/>
    <n v="121.8"/>
    <n v="119.5"/>
    <n v="109.1"/>
    <n v="118.8"/>
    <n v="126.3"/>
    <n v="116.2"/>
    <n v="117.2"/>
    <n v="123.8"/>
    <x v="38"/>
  </r>
  <r>
    <x v="2"/>
    <n v="2016"/>
    <s v="February"/>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x v="38"/>
  </r>
  <r>
    <x v="0"/>
    <n v="2016"/>
    <s v="March"/>
    <n v="127.3"/>
    <n v="134.4"/>
    <n v="125.1"/>
    <n v="130.5"/>
    <n v="118.3"/>
    <n v="131.69999999999999"/>
    <n v="130.69999999999999"/>
    <n v="161.19999999999999"/>
    <n v="100.4"/>
    <n v="130.80000000000001"/>
    <n v="124.9"/>
    <n v="137"/>
    <n v="130.4"/>
    <n v="135"/>
    <n v="134.4"/>
    <n v="130.19999999999999"/>
    <n v="133.80000000000001"/>
    <m/>
    <n v="127"/>
    <n v="127.7"/>
    <n v="124.8"/>
    <n v="113.6"/>
    <n v="122.5"/>
    <n v="127.5"/>
    <n v="117.4"/>
    <n v="121.1"/>
    <n v="128"/>
    <x v="39"/>
  </r>
  <r>
    <x v="1"/>
    <n v="2016"/>
    <s v="March"/>
    <n v="124.8"/>
    <n v="136.30000000000001"/>
    <n v="123.7"/>
    <n v="129.69999999999999"/>
    <n v="107.9"/>
    <n v="119.9"/>
    <n v="128.1"/>
    <n v="170.3"/>
    <n v="101.8"/>
    <n v="140.1"/>
    <n v="120.7"/>
    <n v="135.4"/>
    <n v="128.9"/>
    <n v="140.6"/>
    <n v="126.4"/>
    <n v="120.3"/>
    <n v="125.5"/>
    <n v="124.9"/>
    <n v="114.8"/>
    <n v="122.3"/>
    <n v="119.7"/>
    <n v="108.5"/>
    <n v="119.1"/>
    <n v="126.4"/>
    <n v="117.1"/>
    <n v="117.3"/>
    <n v="123.8"/>
    <x v="39"/>
  </r>
  <r>
    <x v="2"/>
    <n v="2016"/>
    <s v="March"/>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x v="39"/>
  </r>
  <r>
    <x v="0"/>
    <n v="2016"/>
    <s v="April"/>
    <n v="127.4"/>
    <n v="135.4"/>
    <n v="123.4"/>
    <n v="131.30000000000001"/>
    <n v="118.2"/>
    <n v="138.1"/>
    <n v="134.1"/>
    <n v="162.69999999999999"/>
    <n v="105"/>
    <n v="131.4"/>
    <n v="125.4"/>
    <n v="137.4"/>
    <n v="131.80000000000001"/>
    <n v="135.5"/>
    <n v="135"/>
    <n v="130.6"/>
    <n v="134.4"/>
    <m/>
    <n v="127"/>
    <n v="128"/>
    <n v="125.2"/>
    <n v="114.4"/>
    <n v="123.2"/>
    <n v="127.9"/>
    <n v="118.4"/>
    <n v="121.7"/>
    <n v="129"/>
    <x v="40"/>
  </r>
  <r>
    <x v="1"/>
    <n v="2016"/>
    <s v="April"/>
    <n v="124.9"/>
    <n v="139.30000000000001"/>
    <n v="119.9"/>
    <n v="130.19999999999999"/>
    <n v="108.9"/>
    <n v="131.1"/>
    <n v="136.80000000000001"/>
    <n v="176.9"/>
    <n v="109.1"/>
    <n v="140.4"/>
    <n v="121.1"/>
    <n v="135.9"/>
    <n v="131.80000000000001"/>
    <n v="141.5"/>
    <n v="126.8"/>
    <n v="120.5"/>
    <n v="125.8"/>
    <n v="125.6"/>
    <n v="114.6"/>
    <n v="122.8"/>
    <n v="120"/>
    <n v="110"/>
    <n v="119.5"/>
    <n v="127.6"/>
    <n v="117.6"/>
    <n v="118.2"/>
    <n v="125.3"/>
    <x v="40"/>
  </r>
  <r>
    <x v="2"/>
    <n v="2016"/>
    <s v="April"/>
    <n v="126.6"/>
    <n v="136.80000000000001"/>
    <n v="122"/>
    <n v="130.9"/>
    <n v="114.8"/>
    <n v="134.80000000000001"/>
    <n v="135"/>
    <n v="167.5"/>
    <n v="106.4"/>
    <n v="134.4"/>
    <n v="123.6"/>
    <n v="136.69999999999999"/>
    <n v="131.80000000000001"/>
    <n v="137.1"/>
    <n v="131.80000000000001"/>
    <n v="126.4"/>
    <n v="131"/>
    <n v="125.6"/>
    <n v="122.3"/>
    <n v="125.5"/>
    <n v="123.2"/>
    <n v="112.1"/>
    <n v="121.1"/>
    <n v="127.7"/>
    <n v="118.1"/>
    <n v="120"/>
    <n v="127.3"/>
    <x v="40"/>
  </r>
  <r>
    <x v="0"/>
    <n v="2016"/>
    <s v="May"/>
    <n v="127.6"/>
    <n v="137.5"/>
    <n v="124.4"/>
    <n v="132.4"/>
    <n v="118.2"/>
    <n v="138.1"/>
    <n v="141.80000000000001"/>
    <n v="166"/>
    <n v="107.5"/>
    <n v="132.19999999999999"/>
    <n v="126.1"/>
    <n v="138.30000000000001"/>
    <n v="133.6"/>
    <n v="136"/>
    <n v="135.4"/>
    <n v="131.1"/>
    <n v="134.80000000000001"/>
    <m/>
    <n v="127.4"/>
    <n v="128.5"/>
    <n v="125.8"/>
    <n v="115.1"/>
    <n v="123.6"/>
    <n v="129.1"/>
    <n v="119.7"/>
    <n v="122.5"/>
    <n v="130.30000000000001"/>
    <x v="41"/>
  </r>
  <r>
    <x v="1"/>
    <n v="2016"/>
    <s v="May"/>
    <n v="125"/>
    <n v="142.1"/>
    <n v="127"/>
    <n v="130.4"/>
    <n v="109.6"/>
    <n v="133.5"/>
    <n v="151.4"/>
    <n v="182.8"/>
    <n v="111.1"/>
    <n v="141.5"/>
    <n v="121.5"/>
    <n v="136.30000000000001"/>
    <n v="134.6"/>
    <n v="142.19999999999999"/>
    <n v="127.2"/>
    <n v="120.7"/>
    <n v="126.2"/>
    <n v="126"/>
    <n v="115"/>
    <n v="123.2"/>
    <n v="120.3"/>
    <n v="110.7"/>
    <n v="119.8"/>
    <n v="128"/>
    <n v="118.5"/>
    <n v="118.7"/>
    <n v="126.6"/>
    <x v="41"/>
  </r>
  <r>
    <x v="2"/>
    <n v="2016"/>
    <s v="May"/>
    <n v="126.8"/>
    <n v="139.1"/>
    <n v="125.4"/>
    <n v="131.69999999999999"/>
    <n v="115"/>
    <n v="136"/>
    <n v="145.1"/>
    <n v="171.7"/>
    <n v="108.7"/>
    <n v="135.30000000000001"/>
    <n v="124.2"/>
    <n v="137.4"/>
    <n v="134"/>
    <n v="137.69999999999999"/>
    <n v="132.19999999999999"/>
    <n v="126.8"/>
    <n v="131.4"/>
    <n v="126"/>
    <n v="122.7"/>
    <n v="126"/>
    <n v="123.7"/>
    <n v="112.8"/>
    <n v="121.5"/>
    <n v="128.5"/>
    <n v="119.2"/>
    <n v="120.7"/>
    <n v="128.6"/>
    <x v="41"/>
  </r>
  <r>
    <x v="0"/>
    <n v="2016"/>
    <s v="June"/>
    <n v="128.6"/>
    <n v="138.6"/>
    <n v="126.6"/>
    <n v="133.6"/>
    <n v="118.6"/>
    <n v="137.4"/>
    <n v="152.5"/>
    <n v="169.2"/>
    <n v="108.8"/>
    <n v="133.1"/>
    <n v="126.4"/>
    <n v="139.19999999999999"/>
    <n v="136"/>
    <n v="137.19999999999999"/>
    <n v="136.30000000000001"/>
    <n v="131.6"/>
    <n v="135.6"/>
    <m/>
    <n v="128"/>
    <n v="129.30000000000001"/>
    <n v="126.2"/>
    <n v="116.3"/>
    <n v="124.1"/>
    <n v="130.19999999999999"/>
    <n v="119.9"/>
    <n v="123.3"/>
    <n v="131.9"/>
    <x v="42"/>
  </r>
  <r>
    <x v="1"/>
    <n v="2016"/>
    <s v="June"/>
    <n v="125.9"/>
    <n v="143.9"/>
    <n v="130.9"/>
    <n v="131"/>
    <n v="110.2"/>
    <n v="135.5"/>
    <n v="173.7"/>
    <n v="184.4"/>
    <n v="112"/>
    <n v="142.80000000000001"/>
    <n v="121.6"/>
    <n v="136.9"/>
    <n v="138.19999999999999"/>
    <n v="142.69999999999999"/>
    <n v="127.6"/>
    <n v="121.1"/>
    <n v="126.6"/>
    <n v="125.5"/>
    <n v="115.5"/>
    <n v="123.2"/>
    <n v="120.6"/>
    <n v="112.3"/>
    <n v="119.9"/>
    <n v="129.30000000000001"/>
    <n v="118.8"/>
    <n v="119.6"/>
    <n v="128.1"/>
    <x v="42"/>
  </r>
  <r>
    <x v="2"/>
    <n v="2016"/>
    <s v="June"/>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x v="42"/>
  </r>
  <r>
    <x v="0"/>
    <n v="2016"/>
    <s v="July"/>
    <n v="129.30000000000001"/>
    <n v="139.5"/>
    <n v="129.6"/>
    <n v="134.5"/>
    <n v="119.5"/>
    <n v="138.5"/>
    <n v="158.19999999999999"/>
    <n v="171.8"/>
    <n v="110.3"/>
    <n v="134.30000000000001"/>
    <n v="127.3"/>
    <n v="139.9"/>
    <n v="137.6"/>
    <n v="138"/>
    <n v="137.19999999999999"/>
    <n v="132.19999999999999"/>
    <n v="136.5"/>
    <m/>
    <n v="128.19999999999999"/>
    <n v="130"/>
    <n v="126.7"/>
    <n v="116.4"/>
    <n v="125.2"/>
    <n v="130.80000000000001"/>
    <n v="120.9"/>
    <n v="123.8"/>
    <n v="133"/>
    <x v="43"/>
  </r>
  <r>
    <x v="1"/>
    <n v="2016"/>
    <s v="July"/>
    <n v="126.8"/>
    <n v="144.19999999999999"/>
    <n v="136.6"/>
    <n v="131.80000000000001"/>
    <n v="111"/>
    <n v="137"/>
    <n v="179.5"/>
    <n v="188.4"/>
    <n v="113.3"/>
    <n v="143.9"/>
    <n v="121.7"/>
    <n v="137.5"/>
    <n v="139.80000000000001"/>
    <n v="142.9"/>
    <n v="127.9"/>
    <n v="121.1"/>
    <n v="126.9"/>
    <n v="126.4"/>
    <n v="115.5"/>
    <n v="123.5"/>
    <n v="120.9"/>
    <n v="111.7"/>
    <n v="120.3"/>
    <n v="130.80000000000001"/>
    <n v="120"/>
    <n v="119.9"/>
    <n v="129"/>
    <x v="43"/>
  </r>
  <r>
    <x v="2"/>
    <n v="2016"/>
    <s v="July"/>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x v="43"/>
  </r>
  <r>
    <x v="0"/>
    <n v="2016"/>
    <s v="August"/>
    <n v="130.1"/>
    <n v="138.80000000000001"/>
    <n v="130.30000000000001"/>
    <n v="135.30000000000001"/>
    <n v="119.9"/>
    <n v="140.19999999999999"/>
    <n v="156.9"/>
    <n v="172.2"/>
    <n v="112.1"/>
    <n v="134.9"/>
    <n v="128.1"/>
    <n v="140.69999999999999"/>
    <n v="138"/>
    <n v="138.9"/>
    <n v="137.80000000000001"/>
    <n v="133"/>
    <n v="137.1"/>
    <m/>
    <n v="129.1"/>
    <n v="130.6"/>
    <n v="127"/>
    <n v="116"/>
    <n v="125.5"/>
    <n v="131.9"/>
    <n v="122"/>
    <n v="124.2"/>
    <n v="133.5"/>
    <x v="44"/>
  </r>
  <r>
    <x v="1"/>
    <n v="2016"/>
    <s v="August"/>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x v="44"/>
  </r>
  <r>
    <x v="2"/>
    <n v="2016"/>
    <s v="August"/>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x v="44"/>
  </r>
  <r>
    <x v="0"/>
    <n v="2016"/>
    <s v="September"/>
    <n v="130.80000000000001"/>
    <n v="138.19999999999999"/>
    <n v="130.5"/>
    <n v="135.5"/>
    <n v="120.2"/>
    <n v="139.19999999999999"/>
    <n v="149.5"/>
    <n v="170.4"/>
    <n v="113.1"/>
    <n v="135.80000000000001"/>
    <n v="128.80000000000001"/>
    <n v="141.5"/>
    <n v="137.19999999999999"/>
    <n v="139.9"/>
    <n v="138.5"/>
    <n v="133.5"/>
    <n v="137.80000000000001"/>
    <m/>
    <n v="129.69999999999999"/>
    <n v="131.1"/>
    <n v="127.8"/>
    <n v="117"/>
    <n v="125.7"/>
    <n v="132.19999999999999"/>
    <n v="122.8"/>
    <n v="124.9"/>
    <n v="133.4"/>
    <x v="45"/>
  </r>
  <r>
    <x v="1"/>
    <n v="2016"/>
    <s v="September"/>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x v="45"/>
  </r>
  <r>
    <x v="2"/>
    <n v="2016"/>
    <s v="September"/>
    <n v="129.9"/>
    <n v="138"/>
    <n v="130.5"/>
    <n v="134.4"/>
    <n v="117.2"/>
    <n v="136.1"/>
    <n v="150.69999999999999"/>
    <n v="171.5"/>
    <n v="113.8"/>
    <n v="138.80000000000001"/>
    <n v="126"/>
    <n v="140.19999999999999"/>
    <n v="136.6"/>
    <n v="141"/>
    <n v="134.6"/>
    <n v="128.6"/>
    <n v="133.80000000000001"/>
    <n v="127.9"/>
    <n v="124.1"/>
    <n v="127.9"/>
    <n v="125.4"/>
    <n v="114.3"/>
    <n v="122.9"/>
    <n v="131.80000000000001"/>
    <n v="122.1"/>
    <n v="122.8"/>
    <n v="130.9"/>
    <x v="45"/>
  </r>
  <r>
    <x v="0"/>
    <n v="2016"/>
    <s v="October"/>
    <n v="131.30000000000001"/>
    <n v="137.6"/>
    <n v="130.1"/>
    <n v="136"/>
    <n v="120.8"/>
    <n v="138.4"/>
    <n v="149.19999999999999"/>
    <n v="170.2"/>
    <n v="113.4"/>
    <n v="136.30000000000001"/>
    <n v="128.69999999999999"/>
    <n v="142.4"/>
    <n v="137.4"/>
    <n v="140.9"/>
    <n v="139.6"/>
    <n v="134.30000000000001"/>
    <n v="138.80000000000001"/>
    <m/>
    <n v="129.80000000000001"/>
    <n v="131.80000000000001"/>
    <n v="128.69999999999999"/>
    <n v="117.8"/>
    <n v="126.5"/>
    <n v="133"/>
    <n v="123"/>
    <n v="125.7"/>
    <n v="133.80000000000001"/>
    <x v="46"/>
  </r>
  <r>
    <x v="1"/>
    <n v="2016"/>
    <s v="October"/>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x v="46"/>
  </r>
  <r>
    <x v="2"/>
    <n v="2016"/>
    <s v="October"/>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x v="46"/>
  </r>
  <r>
    <x v="0"/>
    <n v="2016"/>
    <s v="November"/>
    <n v="132"/>
    <n v="137.4"/>
    <n v="130.6"/>
    <n v="136.19999999999999"/>
    <n v="121.1"/>
    <n v="136.9"/>
    <n v="141.80000000000001"/>
    <n v="170"/>
    <n v="113.4"/>
    <n v="136.80000000000001"/>
    <n v="128.69999999999999"/>
    <n v="143.1"/>
    <n v="136.6"/>
    <n v="141.19999999999999"/>
    <n v="139.9"/>
    <n v="134.5"/>
    <n v="139.19999999999999"/>
    <m/>
    <n v="130.30000000000001"/>
    <n v="132.1"/>
    <n v="129.1"/>
    <n v="118.2"/>
    <n v="126.9"/>
    <n v="133.69999999999999"/>
    <n v="123.5"/>
    <n v="126.1"/>
    <n v="133.6"/>
    <x v="47"/>
  </r>
  <r>
    <x v="1"/>
    <n v="2016"/>
    <s v="November"/>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x v="47"/>
  </r>
  <r>
    <x v="2"/>
    <n v="2016"/>
    <s v="November"/>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x v="47"/>
  </r>
  <r>
    <x v="0"/>
    <n v="2016"/>
    <s v="December"/>
    <n v="132.6"/>
    <n v="137.30000000000001"/>
    <n v="131.6"/>
    <n v="136.30000000000001"/>
    <n v="121.6"/>
    <n v="135.6"/>
    <n v="127.5"/>
    <n v="167.9"/>
    <n v="113.8"/>
    <n v="137.5"/>
    <n v="129.1"/>
    <n v="143.6"/>
    <n v="134.69999999999999"/>
    <n v="142.4"/>
    <n v="140.4"/>
    <n v="135.19999999999999"/>
    <n v="139.69999999999999"/>
    <m/>
    <n v="132"/>
    <n v="132.9"/>
    <n v="129.69999999999999"/>
    <n v="118.6"/>
    <n v="127.3"/>
    <n v="134.19999999999999"/>
    <n v="121.9"/>
    <n v="126.3"/>
    <n v="132.80000000000001"/>
    <x v="48"/>
  </r>
  <r>
    <x v="1"/>
    <n v="2016"/>
    <s v="December"/>
    <n v="131.6"/>
    <n v="138.19999999999999"/>
    <n v="134.9"/>
    <n v="133.1"/>
    <n v="113.5"/>
    <n v="129.30000000000001"/>
    <n v="121.1"/>
    <n v="170.3"/>
    <n v="115.5"/>
    <n v="145.5"/>
    <n v="123.1"/>
    <n v="140.9"/>
    <n v="132.80000000000001"/>
    <n v="145"/>
    <n v="130"/>
    <n v="122.2"/>
    <n v="128.80000000000001"/>
    <n v="128.5"/>
    <n v="117.8"/>
    <n v="125"/>
    <n v="122.3"/>
    <n v="113.7"/>
    <n v="121.8"/>
    <n v="132.30000000000001"/>
    <n v="119.9"/>
    <n v="121.4"/>
    <n v="127.6"/>
    <x v="48"/>
  </r>
  <r>
    <x v="2"/>
    <n v="2016"/>
    <s v="December"/>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x v="48"/>
  </r>
  <r>
    <x v="0"/>
    <n v="2017"/>
    <s v="January"/>
    <n v="133.1"/>
    <n v="137.80000000000001"/>
    <n v="131.9"/>
    <n v="136.69999999999999"/>
    <n v="122"/>
    <n v="136"/>
    <n v="119.8"/>
    <n v="161.69999999999999"/>
    <n v="114.8"/>
    <n v="136.9"/>
    <n v="129"/>
    <n v="143.9"/>
    <n v="133.69999999999999"/>
    <n v="143.1"/>
    <n v="140.69999999999999"/>
    <n v="135.80000000000001"/>
    <n v="140"/>
    <m/>
    <n v="132.1"/>
    <n v="133.19999999999999"/>
    <n v="129.9"/>
    <n v="119.1"/>
    <n v="127"/>
    <n v="134.6"/>
    <n v="122.3"/>
    <n v="126.6"/>
    <n v="132.4"/>
    <x v="49"/>
  </r>
  <r>
    <x v="1"/>
    <n v="2017"/>
    <s v="January"/>
    <n v="132.19999999999999"/>
    <n v="138.9"/>
    <n v="132.6"/>
    <n v="133.1"/>
    <n v="114"/>
    <n v="129.6"/>
    <n v="118.7"/>
    <n v="155.1"/>
    <n v="117.3"/>
    <n v="144.9"/>
    <n v="123.2"/>
    <n v="141.6"/>
    <n v="132"/>
    <n v="145.6"/>
    <n v="130.19999999999999"/>
    <n v="122.3"/>
    <n v="129"/>
    <n v="129.6"/>
    <n v="118"/>
    <n v="125.1"/>
    <n v="122.6"/>
    <n v="115.2"/>
    <n v="122"/>
    <n v="132.4"/>
    <n v="120.9"/>
    <n v="122.1"/>
    <n v="127.8"/>
    <x v="49"/>
  </r>
  <r>
    <x v="2"/>
    <n v="2017"/>
    <s v="January"/>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x v="49"/>
  </r>
  <r>
    <x v="0"/>
    <n v="2017"/>
    <s v="February"/>
    <n v="133.30000000000001"/>
    <n v="138.30000000000001"/>
    <n v="129.30000000000001"/>
    <n v="137.19999999999999"/>
    <n v="122.1"/>
    <n v="138.69999999999999"/>
    <n v="119.1"/>
    <n v="156.9"/>
    <n v="116.2"/>
    <n v="136"/>
    <n v="129.4"/>
    <n v="144.4"/>
    <n v="133.6"/>
    <n v="143.69999999999999"/>
    <n v="140.9"/>
    <n v="135.80000000000001"/>
    <n v="140.19999999999999"/>
    <m/>
    <n v="133.19999999999999"/>
    <n v="133.6"/>
    <n v="130.1"/>
    <n v="119.5"/>
    <n v="127.7"/>
    <n v="134.9"/>
    <n v="123.2"/>
    <n v="127"/>
    <n v="132.6"/>
    <x v="50"/>
  </r>
  <r>
    <x v="1"/>
    <n v="2017"/>
    <s v="February"/>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x v="50"/>
  </r>
  <r>
    <x v="2"/>
    <n v="2017"/>
    <s v="February"/>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x v="50"/>
  </r>
  <r>
    <x v="0"/>
    <n v="2017"/>
    <s v="March"/>
    <n v="133.6"/>
    <n v="138.80000000000001"/>
    <n v="128.80000000000001"/>
    <n v="137.19999999999999"/>
    <n v="121.6"/>
    <n v="139.69999999999999"/>
    <n v="119.7"/>
    <n v="148"/>
    <n v="116.9"/>
    <n v="135.6"/>
    <n v="129.80000000000001"/>
    <n v="145.4"/>
    <n v="133.4"/>
    <n v="144.19999999999999"/>
    <n v="141.6"/>
    <n v="136.19999999999999"/>
    <n v="140.80000000000001"/>
    <m/>
    <n v="134.19999999999999"/>
    <n v="134.1"/>
    <n v="130.6"/>
    <n v="119.8"/>
    <n v="128.30000000000001"/>
    <n v="135.19999999999999"/>
    <n v="123.3"/>
    <n v="127.4"/>
    <n v="132.80000000000001"/>
    <x v="51"/>
  </r>
  <r>
    <x v="1"/>
    <n v="2017"/>
    <s v="March"/>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x v="51"/>
  </r>
  <r>
    <x v="2"/>
    <n v="2017"/>
    <s v="March"/>
    <n v="133.30000000000001"/>
    <n v="139"/>
    <n v="128.6"/>
    <n v="136.30000000000001"/>
    <n v="118.8"/>
    <n v="138.30000000000001"/>
    <n v="120.5"/>
    <n v="143.9"/>
    <n v="118"/>
    <n v="137.9"/>
    <n v="127.2"/>
    <n v="144"/>
    <n v="133.1"/>
    <n v="145.1"/>
    <n v="137.30000000000001"/>
    <n v="130.6"/>
    <n v="136.4"/>
    <n v="131.1"/>
    <n v="129.1"/>
    <n v="130.1"/>
    <n v="127.8"/>
    <n v="117.6"/>
    <n v="125"/>
    <n v="133.80000000000001"/>
    <n v="122.6"/>
    <n v="125.1"/>
    <n v="130.9"/>
    <x v="51"/>
  </r>
  <r>
    <x v="0"/>
    <n v="2017"/>
    <s v="April"/>
    <n v="133.19999999999999"/>
    <n v="138.69999999999999"/>
    <n v="127.1"/>
    <n v="137.69999999999999"/>
    <n v="121.3"/>
    <n v="141.80000000000001"/>
    <n v="121.5"/>
    <n v="144.5"/>
    <n v="117.4"/>
    <n v="134.1"/>
    <n v="130"/>
    <n v="145.5"/>
    <n v="133.5"/>
    <n v="144.4"/>
    <n v="142.4"/>
    <n v="136.80000000000001"/>
    <n v="141.6"/>
    <m/>
    <n v="135"/>
    <n v="134.30000000000001"/>
    <n v="131"/>
    <n v="119.2"/>
    <n v="128.30000000000001"/>
    <n v="135.69999999999999"/>
    <n v="123.7"/>
    <n v="127.5"/>
    <n v="132.9"/>
    <x v="52"/>
  </r>
  <r>
    <x v="1"/>
    <n v="2017"/>
    <s v="April"/>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x v="52"/>
  </r>
  <r>
    <x v="2"/>
    <n v="2017"/>
    <s v="April"/>
    <n v="133"/>
    <n v="139.4"/>
    <n v="126.1"/>
    <n v="137.19999999999999"/>
    <n v="118.4"/>
    <n v="139.9"/>
    <n v="123.4"/>
    <n v="140.9"/>
    <n v="118.5"/>
    <n v="136.5"/>
    <n v="127.4"/>
    <n v="144.19999999999999"/>
    <n v="133.5"/>
    <n v="145.4"/>
    <n v="138"/>
    <n v="131.1"/>
    <n v="137"/>
    <n v="131.69999999999999"/>
    <n v="129.80000000000001"/>
    <n v="130.4"/>
    <n v="128.1"/>
    <n v="116.6"/>
    <n v="125.1"/>
    <n v="134.5"/>
    <n v="123.1"/>
    <n v="125.1"/>
    <n v="131.1"/>
    <x v="52"/>
  </r>
  <r>
    <x v="0"/>
    <n v="2017"/>
    <s v="May"/>
    <n v="133.1"/>
    <n v="140.30000000000001"/>
    <n v="126.8"/>
    <n v="138.19999999999999"/>
    <n v="120.8"/>
    <n v="140.19999999999999"/>
    <n v="123.8"/>
    <n v="141.80000000000001"/>
    <n v="118.6"/>
    <n v="134"/>
    <n v="130.30000000000001"/>
    <n v="145.80000000000001"/>
    <n v="133.80000000000001"/>
    <n v="145.5"/>
    <n v="142.5"/>
    <n v="137.30000000000001"/>
    <n v="141.80000000000001"/>
    <m/>
    <n v="135"/>
    <n v="134.9"/>
    <n v="131.4"/>
    <n v="119.4"/>
    <n v="129.4"/>
    <n v="136.30000000000001"/>
    <n v="123.7"/>
    <n v="127.9"/>
    <n v="133.30000000000001"/>
    <x v="53"/>
  </r>
  <r>
    <x v="1"/>
    <n v="2017"/>
    <s v="May"/>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x v="53"/>
  </r>
  <r>
    <x v="2"/>
    <n v="2017"/>
    <s v="May"/>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x v="53"/>
  </r>
  <r>
    <x v="0"/>
    <n v="2017"/>
    <s v="June"/>
    <n v="133.5"/>
    <n v="143.69999999999999"/>
    <n v="128"/>
    <n v="138.6"/>
    <n v="120.9"/>
    <n v="140.9"/>
    <n v="128.80000000000001"/>
    <n v="140.19999999999999"/>
    <n v="118.9"/>
    <n v="133.5"/>
    <n v="130.4"/>
    <n v="146.5"/>
    <n v="134.9"/>
    <n v="145.80000000000001"/>
    <n v="143.1"/>
    <n v="137.69999999999999"/>
    <n v="142.30000000000001"/>
    <m/>
    <n v="134.80000000000001"/>
    <n v="135.19999999999999"/>
    <n v="131.30000000000001"/>
    <n v="119.4"/>
    <n v="129.80000000000001"/>
    <n v="136.9"/>
    <n v="124.1"/>
    <n v="128.1"/>
    <n v="133.9"/>
    <x v="54"/>
  </r>
  <r>
    <x v="1"/>
    <n v="2017"/>
    <s v="June"/>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x v="54"/>
  </r>
  <r>
    <x v="2"/>
    <n v="2017"/>
    <s v="June"/>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x v="54"/>
  </r>
  <r>
    <x v="0"/>
    <n v="2017"/>
    <s v="July"/>
    <n v="134"/>
    <n v="144.19999999999999"/>
    <n v="129.80000000000001"/>
    <n v="139"/>
    <n v="120.9"/>
    <n v="143.9"/>
    <n v="151.5"/>
    <n v="138.1"/>
    <n v="120"/>
    <n v="133.9"/>
    <n v="131.4"/>
    <n v="147.69999999999999"/>
    <n v="138.5"/>
    <n v="147.4"/>
    <n v="144.30000000000001"/>
    <n v="138.1"/>
    <n v="143.5"/>
    <m/>
    <n v="135.30000000000001"/>
    <n v="136.1"/>
    <n v="132.1"/>
    <n v="119.1"/>
    <n v="130.6"/>
    <n v="138.6"/>
    <n v="124.4"/>
    <n v="128.6"/>
    <n v="136.19999999999999"/>
    <x v="55"/>
  </r>
  <r>
    <x v="1"/>
    <n v="2017"/>
    <s v="July"/>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x v="55"/>
  </r>
  <r>
    <x v="2"/>
    <n v="2017"/>
    <s v="July"/>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x v="55"/>
  </r>
  <r>
    <x v="0"/>
    <n v="2017"/>
    <s v="August"/>
    <n v="134.80000000000001"/>
    <n v="143.1"/>
    <n v="130"/>
    <n v="139.4"/>
    <n v="120.5"/>
    <n v="148"/>
    <n v="162.9"/>
    <n v="137.4"/>
    <n v="120.8"/>
    <n v="134.69999999999999"/>
    <n v="131.6"/>
    <n v="148.69999999999999"/>
    <n v="140.6"/>
    <n v="149"/>
    <n v="145.30000000000001"/>
    <n v="139.19999999999999"/>
    <n v="144.5"/>
    <m/>
    <n v="136.4"/>
    <n v="137.30000000000001"/>
    <n v="133"/>
    <n v="120.3"/>
    <n v="131.5"/>
    <n v="140.19999999999999"/>
    <n v="125.4"/>
    <n v="129.69999999999999"/>
    <n v="137.80000000000001"/>
    <x v="56"/>
  </r>
  <r>
    <x v="1"/>
    <n v="2017"/>
    <s v="August"/>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x v="56"/>
  </r>
  <r>
    <x v="2"/>
    <n v="2017"/>
    <s v="August"/>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x v="56"/>
  </r>
  <r>
    <x v="0"/>
    <n v="2017"/>
    <s v="September"/>
    <n v="135.19999999999999"/>
    <n v="142"/>
    <n v="130.5"/>
    <n v="140.19999999999999"/>
    <n v="120.7"/>
    <n v="147.80000000000001"/>
    <n v="154.5"/>
    <n v="137.1"/>
    <n v="121"/>
    <n v="134.69999999999999"/>
    <n v="131.69999999999999"/>
    <n v="149.30000000000001"/>
    <n v="139.6"/>
    <n v="149.80000000000001"/>
    <n v="146.1"/>
    <n v="139.69999999999999"/>
    <n v="145.19999999999999"/>
    <m/>
    <n v="137.4"/>
    <n v="137.9"/>
    <n v="133.4"/>
    <n v="121.2"/>
    <n v="132.30000000000001"/>
    <n v="139.6"/>
    <n v="126.7"/>
    <n v="130.30000000000001"/>
    <n v="137.6"/>
    <x v="57"/>
  </r>
  <r>
    <x v="1"/>
    <n v="2017"/>
    <s v="September"/>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x v="57"/>
  </r>
  <r>
    <x v="2"/>
    <n v="2017"/>
    <s v="September"/>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x v="57"/>
  </r>
  <r>
    <x v="0"/>
    <n v="2017"/>
    <s v="October"/>
    <n v="135.9"/>
    <n v="141.9"/>
    <n v="131"/>
    <n v="141.5"/>
    <n v="121.4"/>
    <n v="146.69999999999999"/>
    <n v="157.1"/>
    <n v="136.4"/>
    <n v="121.4"/>
    <n v="135.6"/>
    <n v="131.30000000000001"/>
    <n v="150.30000000000001"/>
    <n v="140.4"/>
    <n v="150.5"/>
    <n v="147.19999999999999"/>
    <n v="140.6"/>
    <n v="146.19999999999999"/>
    <m/>
    <n v="138.1"/>
    <n v="138.4"/>
    <n v="134.19999999999999"/>
    <n v="121"/>
    <n v="133"/>
    <n v="140.1"/>
    <n v="127.4"/>
    <n v="130.69999999999999"/>
    <n v="138.30000000000001"/>
    <x v="58"/>
  </r>
  <r>
    <x v="1"/>
    <n v="2017"/>
    <s v="October"/>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x v="58"/>
  </r>
  <r>
    <x v="2"/>
    <n v="2017"/>
    <s v="October"/>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x v="58"/>
  </r>
  <r>
    <x v="0"/>
    <n v="2017"/>
    <s v="November"/>
    <n v="136.30000000000001"/>
    <n v="142.5"/>
    <n v="140.5"/>
    <n v="141.5"/>
    <n v="121.6"/>
    <n v="147.30000000000001"/>
    <n v="168"/>
    <n v="135.80000000000001"/>
    <n v="122.5"/>
    <n v="136"/>
    <n v="131.9"/>
    <n v="151.4"/>
    <n v="142.4"/>
    <n v="152.1"/>
    <n v="148.19999999999999"/>
    <n v="141.5"/>
    <n v="147.30000000000001"/>
    <m/>
    <n v="141.1"/>
    <n v="139.4"/>
    <n v="135.80000000000001"/>
    <n v="121.6"/>
    <n v="133.69999999999999"/>
    <n v="141.5"/>
    <n v="128.1"/>
    <n v="131.69999999999999"/>
    <n v="140"/>
    <x v="59"/>
  </r>
  <r>
    <x v="1"/>
    <n v="2017"/>
    <s v="November"/>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x v="59"/>
  </r>
  <r>
    <x v="2"/>
    <n v="2017"/>
    <s v="November"/>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x v="59"/>
  </r>
  <r>
    <x v="0"/>
    <n v="2017"/>
    <s v="December"/>
    <n v="136.4"/>
    <n v="143.69999999999999"/>
    <n v="144.80000000000001"/>
    <n v="141.9"/>
    <n v="123.1"/>
    <n v="147.19999999999999"/>
    <n v="161"/>
    <n v="133.80000000000001"/>
    <n v="121.9"/>
    <n v="135.80000000000001"/>
    <n v="131.1"/>
    <n v="151.4"/>
    <n v="141.5"/>
    <n v="153.19999999999999"/>
    <n v="148"/>
    <n v="141.9"/>
    <n v="147.19999999999999"/>
    <m/>
    <n v="142.6"/>
    <n v="139.5"/>
    <n v="136.1"/>
    <n v="122"/>
    <n v="133.4"/>
    <n v="141.1"/>
    <n v="127.8"/>
    <n v="131.9"/>
    <n v="139.80000000000001"/>
    <x v="60"/>
  </r>
  <r>
    <x v="1"/>
    <n v="2017"/>
    <s v="December"/>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x v="60"/>
  </r>
  <r>
    <x v="2"/>
    <n v="2017"/>
    <s v="December"/>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x v="60"/>
  </r>
  <r>
    <x v="0"/>
    <n v="2018"/>
    <s v="January"/>
    <n v="136.6"/>
    <n v="144.4"/>
    <n v="143.80000000000001"/>
    <n v="142"/>
    <n v="123.2"/>
    <n v="147.9"/>
    <n v="152.1"/>
    <n v="131.80000000000001"/>
    <n v="119.5"/>
    <n v="136"/>
    <n v="131.19999999999999"/>
    <n v="151.80000000000001"/>
    <n v="140.4"/>
    <n v="153.6"/>
    <n v="148.30000000000001"/>
    <n v="142.30000000000001"/>
    <n v="147.5"/>
    <m/>
    <n v="142.30000000000001"/>
    <n v="139.80000000000001"/>
    <n v="136"/>
    <n v="122.7"/>
    <n v="134.30000000000001"/>
    <n v="141.6"/>
    <n v="128.6"/>
    <n v="132.30000000000001"/>
    <n v="139.30000000000001"/>
    <x v="61"/>
  </r>
  <r>
    <x v="1"/>
    <n v="2018"/>
    <s v="January"/>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x v="61"/>
  </r>
  <r>
    <x v="2"/>
    <n v="2018"/>
    <s v="January"/>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x v="61"/>
  </r>
  <r>
    <x v="0"/>
    <n v="2018"/>
    <s v="February"/>
    <n v="136.4"/>
    <n v="143.69999999999999"/>
    <n v="140.6"/>
    <n v="141.5"/>
    <n v="122.9"/>
    <n v="149.4"/>
    <n v="142.4"/>
    <n v="130.19999999999999"/>
    <n v="117.9"/>
    <n v="135.6"/>
    <n v="130.5"/>
    <n v="151.69999999999999"/>
    <n v="138.69999999999999"/>
    <n v="153.30000000000001"/>
    <n v="148.69999999999999"/>
    <n v="142.4"/>
    <n v="147.80000000000001"/>
    <m/>
    <n v="142.4"/>
    <n v="139.9"/>
    <n v="136.19999999999999"/>
    <n v="123.3"/>
    <n v="134.30000000000001"/>
    <n v="141.5"/>
    <n v="128.80000000000001"/>
    <n v="132.5"/>
    <n v="138.5"/>
    <x v="62"/>
  </r>
  <r>
    <x v="1"/>
    <n v="2018"/>
    <s v="February"/>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x v="62"/>
  </r>
  <r>
    <x v="2"/>
    <n v="2018"/>
    <s v="February"/>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x v="62"/>
  </r>
  <r>
    <x v="0"/>
    <n v="2018"/>
    <s v="March"/>
    <n v="136.80000000000001"/>
    <n v="143.80000000000001"/>
    <n v="140"/>
    <n v="142"/>
    <n v="123.2"/>
    <n v="152.9"/>
    <n v="138"/>
    <n v="129.30000000000001"/>
    <n v="117.1"/>
    <n v="136.30000000000001"/>
    <n v="131.19999999999999"/>
    <n v="152.80000000000001"/>
    <n v="138.6"/>
    <n v="155.1"/>
    <n v="149.19999999999999"/>
    <n v="143"/>
    <n v="148.30000000000001"/>
    <m/>
    <n v="142.6"/>
    <n v="139.9"/>
    <n v="136.69999999999999"/>
    <n v="124.6"/>
    <n v="135.1"/>
    <n v="142.69999999999999"/>
    <n v="129.30000000000001"/>
    <n v="133.30000000000001"/>
    <n v="138.69999999999999"/>
    <x v="63"/>
  </r>
  <r>
    <x v="1"/>
    <n v="2018"/>
    <s v="March"/>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x v="63"/>
  </r>
  <r>
    <x v="2"/>
    <n v="2018"/>
    <s v="March"/>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x v="63"/>
  </r>
  <r>
    <x v="0"/>
    <n v="2018"/>
    <s v="April"/>
    <n v="137.1"/>
    <n v="144.5"/>
    <n v="135.9"/>
    <n v="142.4"/>
    <n v="123.5"/>
    <n v="156.4"/>
    <n v="135.1"/>
    <n v="128.4"/>
    <n v="115.2"/>
    <n v="137.19999999999999"/>
    <n v="131.9"/>
    <n v="153.80000000000001"/>
    <n v="138.6"/>
    <n v="156.1"/>
    <n v="150.1"/>
    <n v="143.30000000000001"/>
    <n v="149.1"/>
    <m/>
    <n v="143.80000000000001"/>
    <n v="140.9"/>
    <n v="137.6"/>
    <n v="125.3"/>
    <n v="136"/>
    <n v="143.69999999999999"/>
    <n v="130.4"/>
    <n v="134.19999999999999"/>
    <n v="139.1"/>
    <x v="64"/>
  </r>
  <r>
    <x v="1"/>
    <n v="2018"/>
    <s v="April"/>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x v="64"/>
  </r>
  <r>
    <x v="2"/>
    <n v="2018"/>
    <s v="April"/>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x v="64"/>
  </r>
  <r>
    <x v="0"/>
    <n v="2018"/>
    <s v="May"/>
    <n v="137.4"/>
    <n v="145.69999999999999"/>
    <n v="135.5"/>
    <n v="142.9"/>
    <n v="123.6"/>
    <n v="157.5"/>
    <n v="137.80000000000001"/>
    <n v="127.2"/>
    <n v="111.8"/>
    <n v="137.4"/>
    <n v="132.19999999999999"/>
    <n v="154.30000000000001"/>
    <n v="139.1"/>
    <n v="157"/>
    <n v="150.80000000000001"/>
    <n v="144.1"/>
    <n v="149.80000000000001"/>
    <m/>
    <n v="144.30000000000001"/>
    <n v="141.80000000000001"/>
    <n v="138.4"/>
    <n v="126.4"/>
    <n v="136.80000000000001"/>
    <n v="144.4"/>
    <n v="131.19999999999999"/>
    <n v="135.1"/>
    <n v="139.80000000000001"/>
    <x v="65"/>
  </r>
  <r>
    <x v="1"/>
    <n v="2018"/>
    <s v="May"/>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x v="65"/>
  </r>
  <r>
    <x v="2"/>
    <n v="2018"/>
    <s v="May"/>
    <n v="136.6"/>
    <n v="146.6"/>
    <n v="133.6"/>
    <n v="142.1"/>
    <n v="121"/>
    <n v="154.6"/>
    <n v="135.6"/>
    <n v="122.3"/>
    <n v="109.6"/>
    <n v="138.1"/>
    <n v="129.9"/>
    <n v="151.69999999999999"/>
    <n v="138.1"/>
    <n v="157.9"/>
    <n v="146"/>
    <n v="137.4"/>
    <n v="144.69999999999999"/>
    <n v="143.19999999999999"/>
    <n v="136.9"/>
    <n v="137.4"/>
    <n v="136"/>
    <n v="122.9"/>
    <n v="131.80000000000001"/>
    <n v="142.1"/>
    <n v="129.9"/>
    <n v="132.1"/>
    <n v="137.80000000000001"/>
    <x v="65"/>
  </r>
  <r>
    <x v="0"/>
    <n v="2018"/>
    <s v="June"/>
    <n v="137.6"/>
    <n v="148.1"/>
    <n v="136.69999999999999"/>
    <n v="143.19999999999999"/>
    <n v="124"/>
    <n v="154.1"/>
    <n v="143.5"/>
    <n v="126"/>
    <n v="112.4"/>
    <n v="137.6"/>
    <n v="132.80000000000001"/>
    <n v="154.30000000000001"/>
    <n v="140"/>
    <n v="157.30000000000001"/>
    <n v="151.30000000000001"/>
    <n v="144.69999999999999"/>
    <n v="150.30000000000001"/>
    <m/>
    <n v="145.1"/>
    <n v="142.19999999999999"/>
    <n v="138.4"/>
    <n v="127.4"/>
    <n v="137.80000000000001"/>
    <n v="145.1"/>
    <n v="131.4"/>
    <n v="135.6"/>
    <n v="140.5"/>
    <x v="66"/>
  </r>
  <r>
    <x v="1"/>
    <n v="2018"/>
    <s v="June"/>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x v="66"/>
  </r>
  <r>
    <x v="2"/>
    <n v="2018"/>
    <s v="June"/>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x v="66"/>
  </r>
  <r>
    <x v="0"/>
    <n v="2018"/>
    <s v="July"/>
    <n v="138.4"/>
    <n v="149.30000000000001"/>
    <n v="139.30000000000001"/>
    <n v="143.4"/>
    <n v="124.1"/>
    <n v="153.30000000000001"/>
    <n v="154.19999999999999"/>
    <n v="126.4"/>
    <n v="114.3"/>
    <n v="138.19999999999999"/>
    <n v="132.80000000000001"/>
    <n v="154.80000000000001"/>
    <n v="142"/>
    <n v="156.1"/>
    <n v="151.5"/>
    <n v="145.1"/>
    <n v="150.6"/>
    <m/>
    <n v="146.80000000000001"/>
    <n v="143.1"/>
    <n v="139"/>
    <n v="127.5"/>
    <n v="138.4"/>
    <n v="145.80000000000001"/>
    <n v="131.4"/>
    <n v="136"/>
    <n v="141.80000000000001"/>
    <x v="67"/>
  </r>
  <r>
    <x v="1"/>
    <n v="2018"/>
    <s v="July"/>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x v="67"/>
  </r>
  <r>
    <x v="2"/>
    <n v="2018"/>
    <s v="July"/>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x v="67"/>
  </r>
  <r>
    <x v="0"/>
    <n v="2018"/>
    <s v="August"/>
    <n v="139.19999999999999"/>
    <n v="148.80000000000001"/>
    <n v="139.1"/>
    <n v="143.5"/>
    <n v="125"/>
    <n v="154.4"/>
    <n v="156.30000000000001"/>
    <n v="126.8"/>
    <n v="115.4"/>
    <n v="138.6"/>
    <n v="133.80000000000001"/>
    <n v="155.19999999999999"/>
    <n v="142.69999999999999"/>
    <n v="156.4"/>
    <n v="152.1"/>
    <n v="145.80000000000001"/>
    <n v="151.30000000000001"/>
    <m/>
    <n v="147.69999999999999"/>
    <n v="143.80000000000001"/>
    <n v="139.4"/>
    <n v="128.30000000000001"/>
    <n v="138.6"/>
    <n v="146.9"/>
    <n v="131.30000000000001"/>
    <n v="136.6"/>
    <n v="142.5"/>
    <x v="68"/>
  </r>
  <r>
    <x v="1"/>
    <n v="2018"/>
    <s v="August"/>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x v="68"/>
  </r>
  <r>
    <x v="2"/>
    <n v="2018"/>
    <s v="August"/>
    <n v="138.30000000000001"/>
    <n v="148"/>
    <n v="138.1"/>
    <n v="142.6"/>
    <n v="122.2"/>
    <n v="150.6"/>
    <n v="156.6"/>
    <n v="122.4"/>
    <n v="114.7"/>
    <n v="139.4"/>
    <n v="131.1"/>
    <n v="153"/>
    <n v="141.69999999999999"/>
    <n v="157.9"/>
    <n v="147.30000000000001"/>
    <n v="138.80000000000001"/>
    <n v="146.1"/>
    <n v="144.6"/>
    <n v="140.9"/>
    <n v="139.4"/>
    <n v="137.69999999999999"/>
    <n v="124.3"/>
    <n v="133.6"/>
    <n v="146"/>
    <n v="130.1"/>
    <n v="133.9"/>
    <n v="140.4"/>
    <x v="68"/>
  </r>
  <r>
    <x v="0"/>
    <n v="2018"/>
    <s v="September"/>
    <n v="139.4"/>
    <n v="147.19999999999999"/>
    <n v="136.6"/>
    <n v="143.69999999999999"/>
    <n v="124.6"/>
    <n v="150.1"/>
    <n v="149.4"/>
    <n v="125.4"/>
    <n v="114.4"/>
    <n v="138.69999999999999"/>
    <n v="133.1"/>
    <n v="155.9"/>
    <n v="141.30000000000001"/>
    <n v="157.69999999999999"/>
    <n v="152.1"/>
    <n v="146.1"/>
    <n v="151.30000000000001"/>
    <m/>
    <n v="149"/>
    <n v="144"/>
    <n v="140"/>
    <n v="129.9"/>
    <n v="140"/>
    <n v="147.6"/>
    <n v="132"/>
    <n v="137.4"/>
    <n v="142.1"/>
    <x v="69"/>
  </r>
  <r>
    <x v="1"/>
    <n v="2018"/>
    <s v="September"/>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x v="69"/>
  </r>
  <r>
    <x v="2"/>
    <n v="2018"/>
    <s v="September"/>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x v="69"/>
  </r>
  <r>
    <x v="0"/>
    <n v="2018"/>
    <s v="October"/>
    <n v="139.30000000000001"/>
    <n v="147.6"/>
    <n v="134.6"/>
    <n v="141.9"/>
    <n v="123.5"/>
    <n v="144.5"/>
    <n v="147.6"/>
    <n v="121.4"/>
    <n v="112.3"/>
    <n v="139.5"/>
    <n v="134.6"/>
    <n v="155.19999999999999"/>
    <n v="140.19999999999999"/>
    <n v="159.6"/>
    <n v="150.69999999999999"/>
    <n v="144.5"/>
    <n v="149.80000000000001"/>
    <m/>
    <n v="149.69999999999999"/>
    <n v="147.5"/>
    <n v="144.80000000000001"/>
    <n v="130.80000000000001"/>
    <n v="140.1"/>
    <n v="148"/>
    <n v="134.4"/>
    <n v="139.80000000000001"/>
    <n v="142.19999999999999"/>
    <x v="70"/>
  </r>
  <r>
    <x v="1"/>
    <n v="2018"/>
    <s v="October"/>
    <n v="137.6"/>
    <n v="144.9"/>
    <n v="133.5"/>
    <n v="141.5"/>
    <n v="118"/>
    <n v="139.5"/>
    <n v="153"/>
    <n v="113.2"/>
    <n v="112.8"/>
    <n v="141.1"/>
    <n v="127.6"/>
    <n v="152"/>
    <n v="139.4"/>
    <n v="164"/>
    <n v="141.5"/>
    <n v="129.80000000000001"/>
    <n v="139.69999999999999"/>
    <n v="146.30000000000001"/>
    <n v="133.4"/>
    <n v="135.1"/>
    <n v="136.19999999999999"/>
    <n v="123.3"/>
    <n v="130.69999999999999"/>
    <n v="145.5"/>
    <n v="130.4"/>
    <n v="132.5"/>
    <n v="138.9"/>
    <x v="70"/>
  </r>
  <r>
    <x v="2"/>
    <n v="2018"/>
    <s v="October"/>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x v="70"/>
  </r>
  <r>
    <x v="0"/>
    <n v="2018"/>
    <s v="November"/>
    <n v="137.1"/>
    <n v="150.80000000000001"/>
    <n v="136.69999999999999"/>
    <n v="141.9"/>
    <n v="122.8"/>
    <n v="143.9"/>
    <n v="147.5"/>
    <n v="121"/>
    <n v="111.6"/>
    <n v="140.6"/>
    <n v="137.5"/>
    <n v="156.1"/>
    <n v="140"/>
    <n v="161.9"/>
    <n v="151.69999999999999"/>
    <n v="145.5"/>
    <n v="150.80000000000001"/>
    <m/>
    <n v="150.30000000000001"/>
    <n v="148"/>
    <n v="145.4"/>
    <n v="130.30000000000001"/>
    <n v="143.1"/>
    <n v="150.19999999999999"/>
    <n v="133.1"/>
    <n v="140.1"/>
    <n v="142.4"/>
    <x v="71"/>
  </r>
  <r>
    <x v="1"/>
    <n v="2018"/>
    <s v="November"/>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x v="71"/>
  </r>
  <r>
    <x v="2"/>
    <n v="2018"/>
    <s v="November"/>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x v="71"/>
  </r>
  <r>
    <x v="0"/>
    <n v="2018"/>
    <s v="December"/>
    <n v="137.1"/>
    <n v="151.9"/>
    <n v="137.4"/>
    <n v="142.4"/>
    <n v="124.2"/>
    <n v="140.19999999999999"/>
    <n v="136.6"/>
    <n v="120.9"/>
    <n v="109.9"/>
    <n v="140.19999999999999"/>
    <n v="137.80000000000001"/>
    <n v="156"/>
    <n v="138.5"/>
    <n v="162.4"/>
    <n v="151.6"/>
    <n v="145.9"/>
    <n v="150.80000000000001"/>
    <m/>
    <n v="149"/>
    <n v="149.5"/>
    <n v="149.6"/>
    <n v="128.9"/>
    <n v="143.30000000000001"/>
    <n v="155.1"/>
    <n v="133.19999999999999"/>
    <n v="141.6"/>
    <n v="141.9"/>
    <x v="72"/>
  </r>
  <r>
    <x v="1"/>
    <n v="2018"/>
    <s v="December"/>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x v="72"/>
  </r>
  <r>
    <x v="2"/>
    <n v="2018"/>
    <s v="December"/>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x v="72"/>
  </r>
  <r>
    <x v="0"/>
    <n v="2019"/>
    <s v="January"/>
    <n v="136.6"/>
    <n v="152.5"/>
    <n v="138.19999999999999"/>
    <n v="142.4"/>
    <n v="123.9"/>
    <n v="135.5"/>
    <n v="131.69999999999999"/>
    <n v="121.3"/>
    <n v="108.4"/>
    <n v="138.9"/>
    <n v="137"/>
    <n v="155.80000000000001"/>
    <n v="137.4"/>
    <n v="162.69999999999999"/>
    <n v="150.6"/>
    <n v="145.1"/>
    <n v="149.9"/>
    <m/>
    <n v="146.19999999999999"/>
    <n v="150.1"/>
    <n v="149.6"/>
    <n v="128.6"/>
    <n v="142.9"/>
    <n v="155.19999999999999"/>
    <n v="133.5"/>
    <n v="141.69999999999999"/>
    <n v="141"/>
    <x v="73"/>
  </r>
  <r>
    <x v="1"/>
    <n v="2019"/>
    <s v="January"/>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x v="73"/>
  </r>
  <r>
    <x v="2"/>
    <n v="2019"/>
    <s v="January"/>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x v="73"/>
  </r>
  <r>
    <x v="0"/>
    <n v="2019"/>
    <s v="February"/>
    <n v="136.80000000000001"/>
    <n v="153"/>
    <n v="139.1"/>
    <n v="142.5"/>
    <n v="124.1"/>
    <n v="135.80000000000001"/>
    <n v="128.69999999999999"/>
    <n v="121.5"/>
    <n v="108.3"/>
    <n v="139.19999999999999"/>
    <n v="137.4"/>
    <n v="156.19999999999999"/>
    <n v="137.19999999999999"/>
    <n v="162.80000000000001"/>
    <n v="150.5"/>
    <n v="146.1"/>
    <n v="149.9"/>
    <m/>
    <n v="145.30000000000001"/>
    <n v="150.1"/>
    <n v="149.9"/>
    <n v="129.19999999999999"/>
    <n v="143.4"/>
    <n v="155.5"/>
    <n v="134.9"/>
    <n v="142.19999999999999"/>
    <n v="141"/>
    <x v="74"/>
  </r>
  <r>
    <x v="1"/>
    <n v="2019"/>
    <s v="February"/>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x v="74"/>
  </r>
  <r>
    <x v="2"/>
    <n v="2019"/>
    <s v="February"/>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x v="74"/>
  </r>
  <r>
    <x v="0"/>
    <n v="2019"/>
    <s v="March"/>
    <n v="136.9"/>
    <n v="154.1"/>
    <n v="138.69999999999999"/>
    <n v="142.5"/>
    <n v="124.1"/>
    <n v="136.1"/>
    <n v="128.19999999999999"/>
    <n v="122.3"/>
    <n v="108.3"/>
    <n v="138.9"/>
    <n v="137.4"/>
    <n v="156.4"/>
    <n v="137.30000000000001"/>
    <n v="162.9"/>
    <n v="150.80000000000001"/>
    <n v="146.1"/>
    <n v="150.1"/>
    <m/>
    <n v="146.4"/>
    <n v="150"/>
    <n v="150.4"/>
    <n v="129.9"/>
    <n v="143.80000000000001"/>
    <n v="155.5"/>
    <n v="134"/>
    <n v="142.4"/>
    <n v="141.19999999999999"/>
    <x v="75"/>
  </r>
  <r>
    <x v="1"/>
    <n v="2019"/>
    <s v="March"/>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x v="75"/>
  </r>
  <r>
    <x v="2"/>
    <n v="2019"/>
    <s v="March"/>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x v="75"/>
  </r>
  <r>
    <x v="0"/>
    <n v="2019"/>
    <s v="May"/>
    <n v="137.4"/>
    <n v="159.5"/>
    <n v="134.5"/>
    <n v="142.6"/>
    <n v="124"/>
    <n v="143.69999999999999"/>
    <n v="133.4"/>
    <n v="125.1"/>
    <n v="109.3"/>
    <n v="139.30000000000001"/>
    <n v="137.69999999999999"/>
    <n v="156.4"/>
    <n v="139.19999999999999"/>
    <n v="163.30000000000001"/>
    <n v="151.30000000000001"/>
    <n v="146.6"/>
    <n v="150.69999999999999"/>
    <m/>
    <n v="146.9"/>
    <n v="149.5"/>
    <n v="151.30000000000001"/>
    <n v="130.19999999999999"/>
    <n v="145.9"/>
    <n v="156.69999999999999"/>
    <n v="133.9"/>
    <n v="142.9"/>
    <n v="142.4"/>
    <x v="76"/>
  </r>
  <r>
    <x v="1"/>
    <n v="2019"/>
    <s v="May"/>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x v="76"/>
  </r>
  <r>
    <x v="2"/>
    <n v="2019"/>
    <s v="May"/>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x v="76"/>
  </r>
  <r>
    <x v="0"/>
    <n v="2019"/>
    <s v="June"/>
    <n v="137.80000000000001"/>
    <n v="163.5"/>
    <n v="136.19999999999999"/>
    <n v="143.19999999999999"/>
    <n v="124.3"/>
    <n v="143.30000000000001"/>
    <n v="140.6"/>
    <n v="128.69999999999999"/>
    <n v="110.6"/>
    <n v="140.4"/>
    <n v="138"/>
    <n v="156.6"/>
    <n v="141"/>
    <n v="164.2"/>
    <n v="151.4"/>
    <n v="146.5"/>
    <n v="150.69999999999999"/>
    <m/>
    <n v="147.80000000000001"/>
    <n v="149.6"/>
    <n v="151.69999999999999"/>
    <n v="130.19999999999999"/>
    <n v="146.4"/>
    <n v="157.69999999999999"/>
    <n v="134.80000000000001"/>
    <n v="143.30000000000001"/>
    <n v="143.6"/>
    <x v="77"/>
  </r>
  <r>
    <x v="1"/>
    <n v="2019"/>
    <s v="June"/>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x v="77"/>
  </r>
  <r>
    <x v="2"/>
    <n v="2019"/>
    <s v="June"/>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x v="77"/>
  </r>
  <r>
    <x v="0"/>
    <n v="2019"/>
    <s v="July"/>
    <n v="138.4"/>
    <n v="164"/>
    <n v="138.4"/>
    <n v="143.9"/>
    <n v="124.4"/>
    <n v="146.4"/>
    <n v="150.1"/>
    <n v="130.6"/>
    <n v="110.8"/>
    <n v="141.69999999999999"/>
    <n v="138.5"/>
    <n v="156.69999999999999"/>
    <n v="143"/>
    <n v="164.5"/>
    <n v="151.6"/>
    <n v="146.6"/>
    <n v="150.9"/>
    <m/>
    <n v="146.80000000000001"/>
    <n v="150"/>
    <n v="152.19999999999999"/>
    <n v="131.19999999999999"/>
    <n v="147.5"/>
    <n v="159.1"/>
    <n v="136.1"/>
    <n v="144.19999999999999"/>
    <n v="144.9"/>
    <x v="78"/>
  </r>
  <r>
    <x v="1"/>
    <n v="2019"/>
    <s v="July"/>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x v="78"/>
  </r>
  <r>
    <x v="2"/>
    <n v="2019"/>
    <s v="July"/>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x v="78"/>
  </r>
  <r>
    <x v="0"/>
    <n v="2019"/>
    <s v="August"/>
    <n v="139.19999999999999"/>
    <n v="161.9"/>
    <n v="137.1"/>
    <n v="144.6"/>
    <n v="124.7"/>
    <n v="145.5"/>
    <n v="156.19999999999999"/>
    <n v="131.5"/>
    <n v="111.7"/>
    <n v="142.69999999999999"/>
    <n v="138.5"/>
    <n v="156.9"/>
    <n v="144"/>
    <n v="165.1"/>
    <n v="151.80000000000001"/>
    <n v="146.6"/>
    <n v="151.1"/>
    <m/>
    <n v="146.4"/>
    <n v="150.19999999999999"/>
    <n v="152.69999999999999"/>
    <n v="131.4"/>
    <n v="148"/>
    <n v="159.69999999999999"/>
    <n v="138.80000000000001"/>
    <n v="144.9"/>
    <n v="145.69999999999999"/>
    <x v="79"/>
  </r>
  <r>
    <x v="1"/>
    <n v="2019"/>
    <s v="August"/>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x v="79"/>
  </r>
  <r>
    <x v="2"/>
    <n v="2019"/>
    <s v="August"/>
    <n v="140.1"/>
    <n v="160.6"/>
    <n v="138.5"/>
    <n v="144.69999999999999"/>
    <n v="122.9"/>
    <n v="149.4"/>
    <n v="167.4"/>
    <n v="130.9"/>
    <n v="112"/>
    <n v="142.6"/>
    <n v="134.9"/>
    <n v="156.6"/>
    <n v="145.9"/>
    <n v="165.8"/>
    <n v="149.1"/>
    <n v="140.6"/>
    <n v="147.9"/>
    <n v="151.6"/>
    <n v="138.5"/>
    <n v="144.5"/>
    <n v="148.5"/>
    <n v="125.8"/>
    <n v="140.9"/>
    <n v="154.9"/>
    <n v="138.4"/>
    <n v="140.19999999999999"/>
    <n v="145"/>
    <x v="79"/>
  </r>
  <r>
    <x v="0"/>
    <n v="2019"/>
    <s v="September"/>
    <n v="140.1"/>
    <n v="161.9"/>
    <n v="138.30000000000001"/>
    <n v="145.69999999999999"/>
    <n v="125.1"/>
    <n v="143.80000000000001"/>
    <n v="163.4"/>
    <n v="132.19999999999999"/>
    <n v="112.8"/>
    <n v="144.19999999999999"/>
    <n v="138.5"/>
    <n v="157.19999999999999"/>
    <n v="145.5"/>
    <n v="165.7"/>
    <n v="151.69999999999999"/>
    <n v="146.6"/>
    <n v="151"/>
    <m/>
    <n v="146.9"/>
    <n v="150.30000000000001"/>
    <n v="153.4"/>
    <n v="131.6"/>
    <n v="148.30000000000001"/>
    <n v="160.19999999999999"/>
    <n v="140.19999999999999"/>
    <n v="145.4"/>
    <n v="146.69999999999999"/>
    <x v="80"/>
  </r>
  <r>
    <x v="1"/>
    <n v="2019"/>
    <s v="September"/>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x v="80"/>
  </r>
  <r>
    <x v="2"/>
    <n v="2019"/>
    <s v="September"/>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x v="80"/>
  </r>
  <r>
    <x v="0"/>
    <n v="2019"/>
    <s v="October"/>
    <n v="141"/>
    <n v="161.6"/>
    <n v="141.19999999999999"/>
    <n v="146.5"/>
    <n v="125.6"/>
    <n v="145.69999999999999"/>
    <n v="178.8"/>
    <n v="133.1"/>
    <n v="113.6"/>
    <n v="145.5"/>
    <n v="138.6"/>
    <n v="157.4"/>
    <n v="148.30000000000001"/>
    <n v="166.3"/>
    <n v="151.69999999999999"/>
    <n v="146.69999999999999"/>
    <n v="151"/>
    <m/>
    <n v="147.69999999999999"/>
    <n v="150.6"/>
    <n v="153.69999999999999"/>
    <n v="131.69999999999999"/>
    <n v="148.69999999999999"/>
    <n v="160.69999999999999"/>
    <n v="140.30000000000001"/>
    <n v="145.69999999999999"/>
    <n v="148.30000000000001"/>
    <x v="81"/>
  </r>
  <r>
    <x v="1"/>
    <n v="2019"/>
    <s v="October"/>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x v="81"/>
  </r>
  <r>
    <x v="2"/>
    <n v="2019"/>
    <s v="October"/>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x v="81"/>
  </r>
  <r>
    <x v="0"/>
    <n v="2019"/>
    <s v="November"/>
    <n v="141.80000000000001"/>
    <n v="163.69999999999999"/>
    <n v="143.80000000000001"/>
    <n v="147.1"/>
    <n v="126"/>
    <n v="146.19999999999999"/>
    <n v="191.4"/>
    <n v="136.19999999999999"/>
    <n v="113.8"/>
    <n v="147.30000000000001"/>
    <n v="138.69999999999999"/>
    <n v="157.69999999999999"/>
    <n v="150.9"/>
    <n v="167.2"/>
    <n v="152.30000000000001"/>
    <n v="147"/>
    <n v="151.5"/>
    <m/>
    <n v="148.4"/>
    <n v="150.9"/>
    <n v="154.30000000000001"/>
    <n v="132.1"/>
    <n v="149.1"/>
    <n v="160.80000000000001"/>
    <n v="140.6"/>
    <n v="146.1"/>
    <n v="149.9"/>
    <x v="82"/>
  </r>
  <r>
    <x v="1"/>
    <n v="2019"/>
    <s v="November"/>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x v="82"/>
  </r>
  <r>
    <x v="2"/>
    <n v="2019"/>
    <s v="November"/>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x v="82"/>
  </r>
  <r>
    <x v="0"/>
    <n v="2019"/>
    <s v="December"/>
    <n v="142.80000000000001"/>
    <n v="165.3"/>
    <n v="149.5"/>
    <n v="148.69999999999999"/>
    <n v="127.5"/>
    <n v="144.30000000000001"/>
    <n v="209.5"/>
    <n v="138.80000000000001"/>
    <n v="113.6"/>
    <n v="149.1"/>
    <n v="139.30000000000001"/>
    <n v="158.30000000000001"/>
    <n v="154.30000000000001"/>
    <n v="167.8"/>
    <n v="152.6"/>
    <n v="147.30000000000001"/>
    <n v="151.9"/>
    <m/>
    <n v="149.9"/>
    <n v="151.19999999999999"/>
    <n v="154.80000000000001"/>
    <n v="135"/>
    <n v="149.5"/>
    <n v="161.1"/>
    <n v="140.6"/>
    <n v="147.1"/>
    <n v="152.30000000000001"/>
    <x v="83"/>
  </r>
  <r>
    <x v="1"/>
    <n v="2019"/>
    <s v="December"/>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x v="83"/>
  </r>
  <r>
    <x v="2"/>
    <n v="2019"/>
    <s v="December"/>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x v="83"/>
  </r>
  <r>
    <x v="0"/>
    <n v="2020"/>
    <s v="January"/>
    <n v="143.69999999999999"/>
    <n v="167.3"/>
    <n v="153.5"/>
    <n v="150.5"/>
    <n v="132"/>
    <n v="142.19999999999999"/>
    <n v="191.5"/>
    <n v="141.1"/>
    <n v="113.8"/>
    <n v="151.6"/>
    <n v="139.69999999999999"/>
    <n v="158.69999999999999"/>
    <n v="153"/>
    <n v="168.6"/>
    <n v="152.80000000000001"/>
    <n v="147.4"/>
    <n v="152.1"/>
    <m/>
    <n v="150.4"/>
    <n v="151.69999999999999"/>
    <n v="155.69999999999999"/>
    <n v="136.30000000000001"/>
    <n v="150.1"/>
    <n v="161.69999999999999"/>
    <n v="142.5"/>
    <n v="148.1"/>
    <n v="151.9"/>
    <x v="84"/>
  </r>
  <r>
    <x v="1"/>
    <n v="2020"/>
    <s v="January"/>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x v="84"/>
  </r>
  <r>
    <x v="2"/>
    <n v="2020"/>
    <s v="January"/>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x v="84"/>
  </r>
  <r>
    <x v="0"/>
    <n v="2020"/>
    <s v="February"/>
    <n v="144.19999999999999"/>
    <n v="167.5"/>
    <n v="150.9"/>
    <n v="150.9"/>
    <n v="133.69999999999999"/>
    <n v="140.69999999999999"/>
    <n v="165.1"/>
    <n v="141.80000000000001"/>
    <n v="113.1"/>
    <n v="152.80000000000001"/>
    <n v="140.1"/>
    <n v="159.19999999999999"/>
    <n v="149.80000000000001"/>
    <n v="169.4"/>
    <n v="153"/>
    <n v="147.5"/>
    <n v="152.30000000000001"/>
    <m/>
    <n v="152.30000000000001"/>
    <n v="151.80000000000001"/>
    <n v="156.19999999999999"/>
    <n v="136"/>
    <n v="150.4"/>
    <n v="161.9"/>
    <n v="143.4"/>
    <n v="148.4"/>
    <n v="150.4"/>
    <x v="85"/>
  </r>
  <r>
    <x v="1"/>
    <n v="2020"/>
    <s v="February"/>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x v="85"/>
  </r>
  <r>
    <x v="2"/>
    <n v="2020"/>
    <s v="February"/>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x v="85"/>
  </r>
  <r>
    <x v="0"/>
    <n v="2020"/>
    <s v="March"/>
    <n v="144.4"/>
    <n v="166.8"/>
    <n v="147.6"/>
    <n v="151.69999999999999"/>
    <n v="133.30000000000001"/>
    <n v="141.80000000000001"/>
    <n v="152.30000000000001"/>
    <n v="141.80000000000001"/>
    <n v="112.6"/>
    <n v="154"/>
    <n v="140.1"/>
    <n v="160"/>
    <n v="148.19999999999999"/>
    <n v="170.5"/>
    <n v="153.4"/>
    <n v="147.6"/>
    <n v="152.5"/>
    <m/>
    <n v="153.4"/>
    <n v="151.5"/>
    <n v="156.69999999999999"/>
    <n v="135.80000000000001"/>
    <n v="151.19999999999999"/>
    <n v="161.19999999999999"/>
    <n v="145.1"/>
    <n v="148.6"/>
    <n v="149.80000000000001"/>
    <x v="86"/>
  </r>
  <r>
    <x v="1"/>
    <n v="2020"/>
    <s v="March"/>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x v="86"/>
  </r>
  <r>
    <x v="2"/>
    <n v="2020"/>
    <s v="March"/>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x v="86"/>
  </r>
  <r>
    <x v="0"/>
    <n v="2020"/>
    <s v="April"/>
    <n v="147.19999999999999"/>
    <m/>
    <n v="146.9"/>
    <n v="155.6"/>
    <n v="137.1"/>
    <n v="147.30000000000001"/>
    <n v="162.69999999999999"/>
    <n v="150.19999999999999"/>
    <n v="119.8"/>
    <n v="158.69999999999999"/>
    <n v="139.19999999999999"/>
    <m/>
    <n v="150.1"/>
    <m/>
    <m/>
    <m/>
    <m/>
    <m/>
    <n v="148.4"/>
    <m/>
    <n v="154.30000000000001"/>
    <n v="136.03333333333333"/>
    <m/>
    <m/>
    <m/>
    <m/>
    <m/>
    <x v="87"/>
  </r>
  <r>
    <x v="1"/>
    <n v="2020"/>
    <s v="April"/>
    <n v="151.80000000000001"/>
    <m/>
    <n v="151.9"/>
    <n v="155.5"/>
    <n v="131.6"/>
    <n v="152.9"/>
    <n v="180"/>
    <n v="150.80000000000001"/>
    <n v="121.2"/>
    <n v="154"/>
    <n v="133.5"/>
    <m/>
    <n v="153.5"/>
    <m/>
    <m/>
    <m/>
    <m/>
    <n v="155.6"/>
    <n v="137.1"/>
    <m/>
    <n v="144.80000000000001"/>
    <n v="125.3"/>
    <m/>
    <m/>
    <m/>
    <m/>
    <m/>
    <x v="87"/>
  </r>
  <r>
    <x v="2"/>
    <n v="2020"/>
    <s v="April"/>
    <n v="148.69999999999999"/>
    <m/>
    <n v="148.80000000000001"/>
    <n v="155.6"/>
    <n v="135.1"/>
    <n v="149.9"/>
    <n v="168.6"/>
    <n v="150.4"/>
    <n v="120.3"/>
    <n v="157.1"/>
    <n v="136.80000000000001"/>
    <m/>
    <n v="151.4"/>
    <m/>
    <m/>
    <m/>
    <m/>
    <n v="155.6"/>
    <n v="144.1"/>
    <m/>
    <n v="150.69999999999999"/>
    <n v="130.36666666666667"/>
    <m/>
    <m/>
    <m/>
    <m/>
    <m/>
    <x v="87"/>
  </r>
  <r>
    <x v="0"/>
    <n v="2020"/>
    <s v="May"/>
    <m/>
    <m/>
    <m/>
    <m/>
    <m/>
    <m/>
    <m/>
    <m/>
    <m/>
    <m/>
    <m/>
    <m/>
    <n v="151.33333333333334"/>
    <m/>
    <m/>
    <m/>
    <m/>
    <m/>
    <n v="148.28333333333333"/>
    <m/>
    <n v="157.06666666666663"/>
    <n v="142.13333333333333"/>
    <m/>
    <m/>
    <m/>
    <m/>
    <m/>
    <x v="88"/>
  </r>
  <r>
    <x v="1"/>
    <n v="2020"/>
    <s v="May"/>
    <m/>
    <m/>
    <m/>
    <m/>
    <m/>
    <m/>
    <m/>
    <m/>
    <m/>
    <m/>
    <m/>
    <m/>
    <n v="154.86666666666665"/>
    <m/>
    <m/>
    <m/>
    <m/>
    <m/>
    <n v="138.31666666666669"/>
    <m/>
    <n v="146.51666666666668"/>
    <n v="130.83333333333334"/>
    <m/>
    <m/>
    <m/>
    <m/>
    <m/>
    <x v="88"/>
  </r>
  <r>
    <x v="2"/>
    <n v="2020"/>
    <s v="May"/>
    <m/>
    <m/>
    <m/>
    <m/>
    <m/>
    <m/>
    <m/>
    <m/>
    <m/>
    <m/>
    <m/>
    <m/>
    <n v="152.63333333333333"/>
    <m/>
    <m/>
    <m/>
    <m/>
    <m/>
    <n v="144.5"/>
    <m/>
    <n v="153.08333333333334"/>
    <n v="136.16666666666666"/>
    <m/>
    <m/>
    <m/>
    <m/>
    <m/>
    <x v="88"/>
  </r>
  <r>
    <x v="0"/>
    <n v="2020"/>
    <s v="June"/>
    <n v="148.1999999999999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n v="152.69999999999999"/>
    <x v="89"/>
  </r>
  <r>
    <x v="1"/>
    <n v="2020"/>
    <s v="June"/>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x v="89"/>
  </r>
  <r>
    <x v="2"/>
    <n v="2020"/>
    <s v="June"/>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x v="89"/>
  </r>
  <r>
    <x v="0"/>
    <n v="2020"/>
    <s v="July"/>
    <n v="148.1999999999999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n v="152.69999999999999"/>
    <x v="90"/>
  </r>
  <r>
    <x v="1"/>
    <n v="2020"/>
    <s v="July"/>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x v="90"/>
  </r>
  <r>
    <x v="2"/>
    <n v="2020"/>
    <s v="July"/>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x v="90"/>
  </r>
  <r>
    <x v="0"/>
    <n v="2020"/>
    <s v="August"/>
    <n v="147.6"/>
    <n v="187.2"/>
    <n v="148.4"/>
    <n v="153.30000000000001"/>
    <n v="139.80000000000001"/>
    <n v="146.9"/>
    <n v="171"/>
    <n v="149.9"/>
    <n v="114.2"/>
    <n v="160"/>
    <n v="143.5"/>
    <n v="161.5"/>
    <n v="155.30000000000001"/>
    <n v="180.9"/>
    <n v="155.1"/>
    <n v="149.30000000000001"/>
    <n v="154.30000000000001"/>
    <m/>
    <n v="145.80000000000001"/>
    <n v="151.9"/>
    <n v="158.80000000000001"/>
    <n v="143.6"/>
    <n v="152.19999999999999"/>
    <n v="162.69999999999999"/>
    <n v="153.6"/>
    <n v="153"/>
    <n v="154.69999999999999"/>
    <x v="91"/>
  </r>
  <r>
    <x v="1"/>
    <n v="2020"/>
    <s v="August"/>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x v="91"/>
  </r>
  <r>
    <x v="2"/>
    <n v="2020"/>
    <s v="August"/>
    <n v="148.9"/>
    <n v="190.9"/>
    <n v="150.80000000000001"/>
    <n v="153.30000000000001"/>
    <n v="137.4"/>
    <n v="150.4"/>
    <n v="178.1"/>
    <n v="150.4"/>
    <n v="115.1"/>
    <n v="160"/>
    <n v="140.6"/>
    <n v="162.30000000000001"/>
    <n v="157"/>
    <n v="182.6"/>
    <n v="153.1"/>
    <n v="143.4"/>
    <n v="151.69999999999999"/>
    <n v="155.5"/>
    <n v="143"/>
    <n v="148.4"/>
    <n v="155"/>
    <n v="138.5"/>
    <n v="146"/>
    <n v="158.5"/>
    <n v="154.30000000000001"/>
    <n v="149"/>
    <n v="153.9"/>
    <x v="91"/>
  </r>
  <r>
    <x v="0"/>
    <n v="2020"/>
    <s v="September"/>
    <n v="146.9"/>
    <n v="183.9"/>
    <n v="149.5"/>
    <n v="153.4"/>
    <n v="140.4"/>
    <n v="147"/>
    <n v="178.8"/>
    <n v="149.30000000000001"/>
    <n v="115.1"/>
    <n v="160"/>
    <n v="145.4"/>
    <n v="161.6"/>
    <n v="156.1"/>
    <n v="182.9"/>
    <n v="155.4"/>
    <n v="149.9"/>
    <n v="154.6"/>
    <m/>
    <n v="146.4"/>
    <n v="151.6"/>
    <n v="159.1"/>
    <n v="144.6"/>
    <n v="152.80000000000001"/>
    <n v="161.1"/>
    <n v="157.4"/>
    <n v="153.69999999999999"/>
    <n v="155.4"/>
    <x v="92"/>
  </r>
  <r>
    <x v="1"/>
    <n v="2020"/>
    <s v="September"/>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x v="92"/>
  </r>
  <r>
    <x v="2"/>
    <n v="2020"/>
    <s v="September"/>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x v="92"/>
  </r>
  <r>
    <x v="0"/>
    <n v="2020"/>
    <s v="October"/>
    <n v="146"/>
    <n v="186.3"/>
    <n v="159.19999999999999"/>
    <n v="153.6"/>
    <n v="142.6"/>
    <n v="147.19999999999999"/>
    <n v="200.6"/>
    <n v="150.30000000000001"/>
    <n v="115.3"/>
    <n v="160.9"/>
    <n v="147.4"/>
    <n v="161.9"/>
    <n v="159.6"/>
    <n v="182.7"/>
    <n v="155.69999999999999"/>
    <n v="150.6"/>
    <n v="155"/>
    <m/>
    <n v="146.80000000000001"/>
    <n v="152"/>
    <n v="159.5"/>
    <n v="146.4"/>
    <n v="152.4"/>
    <n v="162.5"/>
    <n v="156.19999999999999"/>
    <n v="154.30000000000001"/>
    <n v="157.5"/>
    <x v="93"/>
  </r>
  <r>
    <x v="1"/>
    <n v="2020"/>
    <s v="October"/>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x v="93"/>
  </r>
  <r>
    <x v="2"/>
    <n v="2020"/>
    <s v="October"/>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x v="93"/>
  </r>
  <r>
    <x v="0"/>
    <n v="2020"/>
    <s v="November"/>
    <n v="145.4"/>
    <n v="188.6"/>
    <n v="171.6"/>
    <n v="153.80000000000001"/>
    <n v="145.4"/>
    <n v="146.5"/>
    <n v="222.2"/>
    <n v="155.9"/>
    <n v="114.9"/>
    <n v="162"/>
    <n v="150"/>
    <n v="162.69999999999999"/>
    <n v="163.4"/>
    <n v="183.4"/>
    <n v="156.30000000000001"/>
    <n v="151"/>
    <n v="155.5"/>
    <m/>
    <n v="147.5"/>
    <n v="152.80000000000001"/>
    <n v="160.4"/>
    <n v="146.1"/>
    <n v="153.6"/>
    <n v="161.6"/>
    <n v="156.19999999999999"/>
    <n v="154.5"/>
    <n v="159.80000000000001"/>
    <x v="94"/>
  </r>
  <r>
    <x v="1"/>
    <n v="2020"/>
    <s v="November"/>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x v="94"/>
  </r>
  <r>
    <x v="2"/>
    <n v="2020"/>
    <s v="November"/>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x v="94"/>
  </r>
  <r>
    <x v="0"/>
    <n v="2020"/>
    <s v="December"/>
    <n v="144.6"/>
    <n v="188.5"/>
    <n v="173.4"/>
    <n v="154"/>
    <n v="150"/>
    <n v="145.9"/>
    <n v="225.2"/>
    <n v="159.5"/>
    <n v="114.4"/>
    <n v="163.5"/>
    <n v="153.4"/>
    <n v="163.6"/>
    <n v="164.5"/>
    <n v="183.6"/>
    <n v="157"/>
    <n v="151.6"/>
    <n v="156.30000000000001"/>
    <m/>
    <n v="148.69999999999999"/>
    <n v="153.4"/>
    <n v="161.6"/>
    <n v="146.4"/>
    <n v="153.9"/>
    <n v="162.9"/>
    <n v="156.6"/>
    <n v="155.19999999999999"/>
    <n v="160.69999999999999"/>
    <x v="95"/>
  </r>
  <r>
    <x v="1"/>
    <n v="2020"/>
    <s v="December"/>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x v="95"/>
  </r>
  <r>
    <x v="2"/>
    <n v="2020"/>
    <s v="December"/>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x v="95"/>
  </r>
  <r>
    <x v="0"/>
    <n v="2021"/>
    <s v="January"/>
    <n v="143.4"/>
    <n v="187.5"/>
    <n v="173.4"/>
    <n v="154"/>
    <n v="154.80000000000001"/>
    <n v="147"/>
    <n v="187.8"/>
    <n v="159.5"/>
    <n v="113.8"/>
    <n v="164.5"/>
    <n v="156.1"/>
    <n v="164.3"/>
    <n v="159.6"/>
    <n v="184.6"/>
    <n v="157.5"/>
    <n v="152.4"/>
    <n v="156.80000000000001"/>
    <m/>
    <n v="150.9"/>
    <n v="153.9"/>
    <n v="162.5"/>
    <n v="147.5"/>
    <n v="155.1"/>
    <n v="163.5"/>
    <n v="156.19999999999999"/>
    <n v="155.9"/>
    <n v="158.5"/>
    <x v="96"/>
  </r>
  <r>
    <x v="1"/>
    <n v="2021"/>
    <s v="January"/>
    <n v="148"/>
    <n v="194.8"/>
    <n v="178.4"/>
    <n v="154.4"/>
    <n v="144.1"/>
    <n v="152.6"/>
    <n v="206.8"/>
    <n v="162.1"/>
    <n v="116.3"/>
    <n v="163"/>
    <n v="145.9"/>
    <n v="167.2"/>
    <n v="163.4"/>
    <n v="191.8"/>
    <n v="152.5"/>
    <n v="137.30000000000001"/>
    <n v="150.19999999999999"/>
    <n v="157.69999999999999"/>
    <n v="142.9"/>
    <n v="145.69999999999999"/>
    <n v="154.1"/>
    <n v="136.9"/>
    <n v="145.4"/>
    <n v="156.1"/>
    <n v="157.69999999999999"/>
    <n v="147.6"/>
    <n v="156"/>
    <x v="96"/>
  </r>
  <r>
    <x v="2"/>
    <n v="2021"/>
    <s v="January"/>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x v="96"/>
  </r>
  <r>
    <x v="0"/>
    <n v="2021"/>
    <s v="February"/>
    <n v="142.80000000000001"/>
    <n v="184"/>
    <n v="168"/>
    <n v="154.4"/>
    <n v="163"/>
    <n v="147.80000000000001"/>
    <n v="149.69999999999999"/>
    <n v="158.30000000000001"/>
    <n v="111.8"/>
    <n v="165"/>
    <n v="160"/>
    <n v="165.8"/>
    <n v="154.69999999999999"/>
    <n v="186.5"/>
    <n v="159.1"/>
    <n v="153.9"/>
    <n v="158.4"/>
    <m/>
    <n v="154.4"/>
    <n v="154.80000000000001"/>
    <n v="164.3"/>
    <n v="150.19999999999999"/>
    <n v="157"/>
    <n v="163.6"/>
    <n v="155.19999999999999"/>
    <n v="157.19999999999999"/>
    <n v="156.69999999999999"/>
    <x v="97"/>
  </r>
  <r>
    <x v="1"/>
    <n v="2021"/>
    <s v="February"/>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x v="97"/>
  </r>
  <r>
    <x v="2"/>
    <n v="2021"/>
    <s v="February"/>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x v="97"/>
  </r>
  <r>
    <x v="0"/>
    <n v="2021"/>
    <s v="March"/>
    <n v="142.5"/>
    <n v="189.4"/>
    <n v="163.19999999999999"/>
    <n v="154.5"/>
    <n v="168.2"/>
    <n v="150.5"/>
    <n v="141"/>
    <n v="159.19999999999999"/>
    <n v="111.7"/>
    <n v="164"/>
    <n v="160.6"/>
    <n v="166.4"/>
    <n v="154.5"/>
    <n v="186.1"/>
    <n v="159.6"/>
    <n v="154.4"/>
    <n v="158.9"/>
    <m/>
    <n v="156"/>
    <n v="154.80000000000001"/>
    <n v="164.6"/>
    <n v="151.30000000000001"/>
    <n v="157.80000000000001"/>
    <n v="163.80000000000001"/>
    <n v="153.1"/>
    <n v="157.30000000000001"/>
    <n v="156.69999999999999"/>
    <x v="98"/>
  </r>
  <r>
    <x v="1"/>
    <n v="2021"/>
    <s v="March"/>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x v="98"/>
  </r>
  <r>
    <x v="2"/>
    <n v="2021"/>
    <s v="March"/>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x v="98"/>
  </r>
  <r>
    <x v="0"/>
    <n v="2021"/>
    <s v="April"/>
    <n v="142.69999999999999"/>
    <n v="195.5"/>
    <n v="163.4"/>
    <n v="155"/>
    <n v="175.2"/>
    <n v="160.6"/>
    <n v="135.1"/>
    <n v="161.1"/>
    <n v="112.2"/>
    <n v="164.4"/>
    <n v="161.9"/>
    <n v="166.8"/>
    <n v="155.6"/>
    <n v="186.8"/>
    <n v="160.69999999999999"/>
    <n v="155.1"/>
    <n v="159.9"/>
    <m/>
    <n v="156"/>
    <n v="155.5"/>
    <n v="165.3"/>
    <n v="151.69999999999999"/>
    <n v="158.6"/>
    <n v="164.1"/>
    <n v="154.6"/>
    <n v="158"/>
    <n v="157.6"/>
    <x v="99"/>
  </r>
  <r>
    <x v="1"/>
    <n v="2021"/>
    <s v="April"/>
    <n v="147.6"/>
    <n v="202.5"/>
    <n v="166.4"/>
    <n v="156"/>
    <n v="161.4"/>
    <n v="168.8"/>
    <n v="161.6"/>
    <n v="162.80000000000001"/>
    <n v="114.8"/>
    <n v="162.80000000000001"/>
    <n v="151.5"/>
    <n v="171.4"/>
    <n v="162"/>
    <n v="194.4"/>
    <n v="155.9"/>
    <n v="139.30000000000001"/>
    <n v="153.4"/>
    <n v="161.4"/>
    <n v="154.9"/>
    <n v="147.6"/>
    <n v="157.5"/>
    <n v="142.1"/>
    <n v="149.1"/>
    <n v="157.6"/>
    <n v="156.6"/>
    <n v="150.5"/>
    <n v="158"/>
    <x v="99"/>
  </r>
  <r>
    <x v="2"/>
    <n v="2021"/>
    <s v="April"/>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x v="99"/>
  </r>
  <r>
    <x v="0"/>
    <n v="2021"/>
    <s v="May"/>
    <n v="145.1"/>
    <n v="198.5"/>
    <n v="168.6"/>
    <n v="155.80000000000001"/>
    <n v="184.4"/>
    <n v="162.30000000000001"/>
    <n v="138.4"/>
    <n v="165.1"/>
    <n v="114.3"/>
    <n v="169.7"/>
    <n v="164.6"/>
    <n v="169.8"/>
    <n v="158.69999999999999"/>
    <n v="189.6"/>
    <n v="165.3"/>
    <n v="160.6"/>
    <n v="164.5"/>
    <m/>
    <n v="161.69999999999999"/>
    <n v="158.80000000000001"/>
    <n v="169.1"/>
    <n v="153.19999999999999"/>
    <n v="160"/>
    <n v="167.6"/>
    <n v="159.30000000000001"/>
    <n v="161.1"/>
    <n v="161.1"/>
    <x v="100"/>
  </r>
  <r>
    <x v="1"/>
    <n v="2021"/>
    <s v="May"/>
    <n v="148.80000000000001"/>
    <n v="204.3"/>
    <n v="173"/>
    <n v="156.5"/>
    <n v="168.8"/>
    <n v="172.5"/>
    <n v="166.5"/>
    <n v="165.9"/>
    <n v="115.9"/>
    <n v="165.2"/>
    <n v="152"/>
    <n v="171.1"/>
    <n v="164.2"/>
    <n v="198.2"/>
    <n v="156.5"/>
    <n v="140.19999999999999"/>
    <n v="154.1"/>
    <n v="161.6"/>
    <n v="155.5"/>
    <n v="150.1"/>
    <n v="160.4"/>
    <n v="145"/>
    <n v="152.6"/>
    <n v="156.6"/>
    <n v="157.5"/>
    <n v="152.30000000000001"/>
    <n v="159.5"/>
    <x v="100"/>
  </r>
  <r>
    <x v="2"/>
    <n v="2021"/>
    <s v="May"/>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x v="100"/>
  </r>
  <r>
    <x v="0"/>
    <n v="2021"/>
    <s v="June"/>
    <n v="145.6"/>
    <n v="200.1"/>
    <n v="179.3"/>
    <n v="156.1"/>
    <n v="190.4"/>
    <n v="158.6"/>
    <n v="144.69999999999999"/>
    <n v="165.5"/>
    <n v="114.6"/>
    <n v="170"/>
    <n v="165.5"/>
    <n v="171.7"/>
    <n v="160.5"/>
    <n v="189.1"/>
    <n v="165.3"/>
    <n v="159.9"/>
    <n v="164.6"/>
    <m/>
    <n v="162.1"/>
    <n v="159.19999999999999"/>
    <n v="169.7"/>
    <n v="154.19999999999999"/>
    <n v="160.4"/>
    <n v="166.8"/>
    <n v="159.4"/>
    <n v="161.5"/>
    <n v="162.1"/>
    <x v="101"/>
  </r>
  <r>
    <x v="1"/>
    <n v="2021"/>
    <s v="June"/>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x v="101"/>
  </r>
  <r>
    <x v="2"/>
    <n v="2021"/>
    <s v="June"/>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x v="101"/>
  </r>
  <r>
    <x v="0"/>
    <n v="2021"/>
    <s v="July"/>
    <n v="145.1"/>
    <n v="204.5"/>
    <n v="180.4"/>
    <n v="157.1"/>
    <n v="188.7"/>
    <n v="157.69999999999999"/>
    <n v="152.80000000000001"/>
    <n v="163.6"/>
    <n v="113.9"/>
    <n v="169.7"/>
    <n v="166.2"/>
    <n v="171"/>
    <n v="161.69999999999999"/>
    <n v="189.7"/>
    <n v="166"/>
    <n v="161.1"/>
    <n v="165.3"/>
    <m/>
    <n v="162.5"/>
    <n v="160.30000000000001"/>
    <n v="170.4"/>
    <n v="157.1"/>
    <n v="160.69999999999999"/>
    <n v="167.2"/>
    <n v="160.4"/>
    <n v="162.80000000000001"/>
    <n v="163.19999999999999"/>
    <x v="102"/>
  </r>
  <r>
    <x v="1"/>
    <n v="2021"/>
    <s v="July"/>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x v="102"/>
  </r>
  <r>
    <x v="2"/>
    <n v="2021"/>
    <s v="July"/>
    <n v="146.4"/>
    <n v="206.8"/>
    <n v="182.2"/>
    <n v="157.5"/>
    <n v="182.1"/>
    <n v="163.9"/>
    <n v="164.2"/>
    <n v="164"/>
    <n v="114.5"/>
    <n v="168.3"/>
    <n v="160.9"/>
    <n v="172.2"/>
    <n v="164"/>
    <n v="191.2"/>
    <n v="162.80000000000001"/>
    <n v="153.1"/>
    <n v="161.4"/>
    <n v="161.5"/>
    <n v="160.69999999999999"/>
    <n v="155.80000000000001"/>
    <n v="167"/>
    <n v="153.1"/>
    <n v="155.30000000000001"/>
    <n v="163.19999999999999"/>
    <n v="160.1"/>
    <n v="159"/>
    <n v="162.5"/>
    <x v="102"/>
  </r>
  <r>
    <x v="0"/>
    <n v="2021"/>
    <s v="August"/>
    <n v="144.9"/>
    <n v="202.3"/>
    <n v="176.5"/>
    <n v="157.5"/>
    <n v="190.9"/>
    <n v="155.69999999999999"/>
    <n v="153.9"/>
    <n v="162.80000000000001"/>
    <n v="115.2"/>
    <n v="169.8"/>
    <n v="167.6"/>
    <n v="171.9"/>
    <n v="161.80000000000001"/>
    <n v="190.2"/>
    <n v="167"/>
    <n v="162.6"/>
    <n v="166.3"/>
    <m/>
    <n v="163.1"/>
    <n v="160.9"/>
    <n v="171.1"/>
    <n v="157.69999999999999"/>
    <n v="161.1"/>
    <n v="167.5"/>
    <n v="160.30000000000001"/>
    <n v="163.30000000000001"/>
    <n v="163.6"/>
    <x v="103"/>
  </r>
  <r>
    <x v="1"/>
    <n v="2021"/>
    <s v="August"/>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x v="103"/>
  </r>
  <r>
    <x v="2"/>
    <n v="2021"/>
    <s v="August"/>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x v="103"/>
  </r>
  <r>
    <x v="0"/>
    <n v="2021"/>
    <s v="September"/>
    <n v="145.4"/>
    <n v="202.1"/>
    <n v="172"/>
    <n v="158"/>
    <n v="195.5"/>
    <n v="152.69999999999999"/>
    <n v="151.4"/>
    <n v="163.9"/>
    <n v="119.3"/>
    <n v="170.1"/>
    <n v="168.3"/>
    <n v="172.8"/>
    <n v="162.1"/>
    <n v="190.5"/>
    <n v="167.7"/>
    <n v="163.6"/>
    <n v="167.1"/>
    <m/>
    <n v="163.69999999999999"/>
    <n v="161.30000000000001"/>
    <n v="171.9"/>
    <n v="157.80000000000001"/>
    <n v="162.69999999999999"/>
    <n v="168.5"/>
    <n v="160.19999999999999"/>
    <n v="163.80000000000001"/>
    <n v="164"/>
    <x v="104"/>
  </r>
  <r>
    <x v="1"/>
    <n v="2021"/>
    <s v="September"/>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x v="104"/>
  </r>
  <r>
    <x v="2"/>
    <n v="2021"/>
    <s v="September"/>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x v="104"/>
  </r>
  <r>
    <x v="0"/>
    <n v="2021"/>
    <s v="October"/>
    <n v="146.1"/>
    <n v="202.5"/>
    <n v="170.1"/>
    <n v="158.4"/>
    <n v="198.8"/>
    <n v="152.6"/>
    <n v="170.4"/>
    <n v="165.2"/>
    <n v="121.6"/>
    <n v="170.6"/>
    <n v="168.8"/>
    <n v="173.6"/>
    <n v="165.5"/>
    <n v="191.2"/>
    <n v="168.9"/>
    <n v="164.8"/>
    <n v="168.3"/>
    <m/>
    <n v="165.5"/>
    <n v="162"/>
    <n v="172.5"/>
    <n v="159.5"/>
    <n v="163.19999999999999"/>
    <n v="169"/>
    <n v="161.1"/>
    <n v="164.7"/>
    <n v="166.3"/>
    <x v="105"/>
  </r>
  <r>
    <x v="1"/>
    <n v="2021"/>
    <s v="October"/>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x v="105"/>
  </r>
  <r>
    <x v="2"/>
    <n v="2021"/>
    <s v="October"/>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x v="105"/>
  </r>
  <r>
    <x v="0"/>
    <n v="2021"/>
    <s v="November"/>
    <n v="146.9"/>
    <n v="199.8"/>
    <n v="171.5"/>
    <n v="159.1"/>
    <n v="198.4"/>
    <n v="153.19999999999999"/>
    <n v="183.9"/>
    <n v="165.4"/>
    <n v="122.1"/>
    <n v="170.8"/>
    <n v="169.1"/>
    <n v="174.3"/>
    <n v="167.5"/>
    <n v="191.4"/>
    <n v="170.4"/>
    <n v="166"/>
    <n v="169.8"/>
    <m/>
    <n v="165.3"/>
    <n v="162.9"/>
    <n v="173.4"/>
    <n v="158.9"/>
    <n v="163.80000000000001"/>
    <n v="169.3"/>
    <n v="162.4"/>
    <n v="165.2"/>
    <n v="167.6"/>
    <x v="106"/>
  </r>
  <r>
    <x v="1"/>
    <n v="2021"/>
    <s v="November"/>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x v="106"/>
  </r>
  <r>
    <x v="2"/>
    <n v="2021"/>
    <s v="November"/>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x v="106"/>
  </r>
  <r>
    <x v="0"/>
    <n v="2021"/>
    <s v="December"/>
    <n v="147.4"/>
    <n v="197"/>
    <n v="176.5"/>
    <n v="159.80000000000001"/>
    <n v="195.8"/>
    <n v="152"/>
    <n v="172.3"/>
    <n v="164.5"/>
    <n v="120.6"/>
    <n v="171.7"/>
    <n v="169.7"/>
    <n v="175.1"/>
    <n v="165.8"/>
    <n v="190.8"/>
    <n v="171.8"/>
    <n v="167.3"/>
    <n v="171.2"/>
    <m/>
    <n v="165.6"/>
    <n v="163.9"/>
    <n v="174"/>
    <n v="160.1"/>
    <n v="164.5"/>
    <n v="169.7"/>
    <n v="162.80000000000001"/>
    <n v="166"/>
    <n v="167"/>
    <x v="107"/>
  </r>
  <r>
    <x v="1"/>
    <n v="2021"/>
    <s v="December"/>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x v="107"/>
  </r>
  <r>
    <x v="2"/>
    <n v="2021"/>
    <s v="December"/>
    <n v="148.69999999999999"/>
    <n v="198.8"/>
    <n v="177.9"/>
    <n v="159.9"/>
    <n v="187.6"/>
    <n v="154.9"/>
    <n v="188.3"/>
    <n v="164.4"/>
    <n v="121"/>
    <n v="170.5"/>
    <n v="164.2"/>
    <n v="176.5"/>
    <n v="168.2"/>
    <n v="192.4"/>
    <n v="168.5"/>
    <n v="158.69999999999999"/>
    <n v="167"/>
    <n v="163.4"/>
    <n v="164.1"/>
    <n v="160.19999999999999"/>
    <n v="170.6"/>
    <n v="155.69999999999999"/>
    <n v="160.6"/>
    <n v="164.4"/>
    <n v="162.6"/>
    <n v="162"/>
    <n v="166.2"/>
    <x v="107"/>
  </r>
  <r>
    <x v="0"/>
    <n v="2022"/>
    <s v="January"/>
    <n v="148.30000000000001"/>
    <n v="196.9"/>
    <n v="178"/>
    <n v="160.5"/>
    <n v="192.6"/>
    <n v="151.19999999999999"/>
    <n v="159.19999999999999"/>
    <n v="164"/>
    <n v="119.3"/>
    <n v="173.3"/>
    <n v="169.8"/>
    <n v="175.8"/>
    <n v="164.1"/>
    <n v="190.7"/>
    <n v="173.2"/>
    <n v="169.3"/>
    <n v="172.7"/>
    <m/>
    <n v="165.8"/>
    <n v="164.9"/>
    <n v="174.7"/>
    <n v="160.80000000000001"/>
    <n v="164.9"/>
    <n v="169.9"/>
    <n v="163.19999999999999"/>
    <n v="166.6"/>
    <n v="166.4"/>
    <x v="108"/>
  </r>
  <r>
    <x v="1"/>
    <n v="2022"/>
    <s v="January"/>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x v="108"/>
  </r>
  <r>
    <x v="2"/>
    <n v="2022"/>
    <s v="January"/>
    <n v="149.5"/>
    <n v="198.7"/>
    <n v="178.8"/>
    <n v="160.5"/>
    <n v="184.7"/>
    <n v="153.69999999999999"/>
    <n v="174.3"/>
    <n v="163.9"/>
    <n v="120"/>
    <n v="172.1"/>
    <n v="164.3"/>
    <n v="177.3"/>
    <n v="166.4"/>
    <n v="192.2"/>
    <n v="169.9"/>
    <n v="160.69999999999999"/>
    <n v="168.5"/>
    <n v="164.5"/>
    <n v="164.2"/>
    <n v="161.1"/>
    <n v="171.4"/>
    <n v="156.5"/>
    <n v="161.19999999999999"/>
    <n v="164.7"/>
    <n v="163"/>
    <n v="162.69999999999999"/>
    <n v="165.7"/>
    <x v="108"/>
  </r>
  <r>
    <x v="0"/>
    <n v="2022"/>
    <s v="February"/>
    <n v="148.80000000000001"/>
    <n v="198.1"/>
    <n v="175.5"/>
    <n v="160.69999999999999"/>
    <n v="192.6"/>
    <n v="151.4"/>
    <n v="155.19999999999999"/>
    <n v="163.9"/>
    <n v="118.1"/>
    <n v="175.4"/>
    <n v="170.5"/>
    <n v="176.3"/>
    <n v="163.9"/>
    <n v="191.5"/>
    <n v="174.1"/>
    <n v="171"/>
    <n v="173.7"/>
    <m/>
    <n v="167.4"/>
    <n v="165.7"/>
    <n v="175.3"/>
    <n v="161.19999999999999"/>
    <n v="165.5"/>
    <n v="170.3"/>
    <n v="164.5"/>
    <n v="167.3"/>
    <n v="166.7"/>
    <x v="109"/>
  </r>
  <r>
    <x v="1"/>
    <n v="2022"/>
    <s v="February"/>
    <n v="152.5"/>
    <n v="205.2"/>
    <n v="176.4"/>
    <n v="160.6"/>
    <n v="171.5"/>
    <n v="156.4"/>
    <n v="198"/>
    <n v="163.19999999999999"/>
    <n v="120.6"/>
    <n v="172.2"/>
    <n v="156.69999999999999"/>
    <n v="180"/>
    <n v="170.2"/>
    <n v="196.5"/>
    <n v="165.7"/>
    <n v="150.4"/>
    <n v="163.4"/>
    <n v="165.5"/>
    <n v="163"/>
    <n v="157.4"/>
    <n v="167.2"/>
    <n v="153.1"/>
    <n v="159.5"/>
    <n v="162"/>
    <n v="164.2"/>
    <n v="159.4"/>
    <n v="165.5"/>
    <x v="109"/>
  </r>
  <r>
    <x v="2"/>
    <n v="2022"/>
    <s v="February"/>
    <n v="150"/>
    <n v="200.6"/>
    <n v="175.8"/>
    <n v="160.69999999999999"/>
    <n v="184.9"/>
    <n v="153.69999999999999"/>
    <n v="169.7"/>
    <n v="163.69999999999999"/>
    <n v="118.9"/>
    <n v="174.3"/>
    <n v="164.7"/>
    <n v="178"/>
    <n v="166.2"/>
    <n v="192.8"/>
    <n v="170.8"/>
    <n v="162.4"/>
    <n v="169.6"/>
    <n v="165.5"/>
    <n v="165.7"/>
    <n v="161.80000000000001"/>
    <n v="172.2"/>
    <n v="156.9"/>
    <n v="162.1"/>
    <n v="165.4"/>
    <n v="164.4"/>
    <n v="163.5"/>
    <n v="166.1"/>
    <x v="109"/>
  </r>
  <r>
    <x v="0"/>
    <n v="2022"/>
    <s v="March"/>
    <n v="150.19999999999999"/>
    <n v="208"/>
    <n v="167.9"/>
    <n v="162"/>
    <n v="203.1"/>
    <n v="155.9"/>
    <n v="155.80000000000001"/>
    <n v="164.2"/>
    <n v="118.1"/>
    <n v="178.7"/>
    <n v="171.2"/>
    <n v="177.4"/>
    <n v="166.6"/>
    <n v="192.3"/>
    <n v="175.4"/>
    <n v="173.2"/>
    <n v="175.1"/>
    <m/>
    <n v="168.9"/>
    <n v="166.5"/>
    <n v="176"/>
    <n v="162"/>
    <n v="166.6"/>
    <n v="170.6"/>
    <n v="167.4"/>
    <n v="168.3"/>
    <n v="168.7"/>
    <x v="110"/>
  </r>
  <r>
    <x v="1"/>
    <n v="2022"/>
    <s v="March"/>
    <n v="153.69999999999999"/>
    <n v="215.8"/>
    <n v="167.7"/>
    <n v="162.6"/>
    <n v="180"/>
    <n v="159.6"/>
    <n v="188.4"/>
    <n v="163.4"/>
    <n v="120.3"/>
    <n v="174.7"/>
    <n v="157.1"/>
    <n v="181.5"/>
    <n v="171.5"/>
    <n v="197.5"/>
    <n v="167.1"/>
    <n v="152.6"/>
    <n v="164.9"/>
    <n v="165.3"/>
    <n v="164.5"/>
    <n v="158.6"/>
    <n v="168.2"/>
    <n v="154.19999999999999"/>
    <n v="160.80000000000001"/>
    <n v="162.69999999999999"/>
    <n v="166.8"/>
    <n v="160.6"/>
    <n v="166.5"/>
    <x v="110"/>
  </r>
  <r>
    <x v="2"/>
    <n v="2022"/>
    <s v="March"/>
    <n v="151.30000000000001"/>
    <n v="210.7"/>
    <n v="167.8"/>
    <n v="162.19999999999999"/>
    <n v="194.6"/>
    <n v="157.6"/>
    <n v="166.9"/>
    <n v="163.9"/>
    <n v="118.8"/>
    <n v="177.4"/>
    <n v="165.3"/>
    <n v="179.3"/>
    <n v="168.4"/>
    <n v="193.7"/>
    <n v="172.1"/>
    <n v="164.6"/>
    <n v="171.1"/>
    <n v="165.3"/>
    <n v="167.2"/>
    <n v="162.80000000000001"/>
    <n v="173"/>
    <n v="157.9"/>
    <n v="163.30000000000001"/>
    <n v="166"/>
    <n v="167.2"/>
    <n v="164.6"/>
    <n v="167.7"/>
    <x v="110"/>
  </r>
  <r>
    <x v="0"/>
    <n v="2022"/>
    <s v="April"/>
    <n v="151.80000000000001"/>
    <n v="209.7"/>
    <n v="164.5"/>
    <n v="163.80000000000001"/>
    <n v="207.4"/>
    <n v="169.7"/>
    <n v="153.6"/>
    <n v="165.1"/>
    <n v="118.2"/>
    <n v="182.9"/>
    <n v="172.4"/>
    <n v="178.9"/>
    <n v="168.6"/>
    <n v="192.8"/>
    <n v="177.5"/>
    <n v="175.1"/>
    <n v="177.1"/>
    <m/>
    <n v="173.3"/>
    <n v="167.7"/>
    <n v="177"/>
    <n v="166.2"/>
    <n v="167.2"/>
    <n v="170.9"/>
    <n v="169"/>
    <n v="170.2"/>
    <n v="170.8"/>
    <x v="111"/>
  </r>
  <r>
    <x v="1"/>
    <n v="2022"/>
    <s v="April"/>
    <n v="155.4"/>
    <n v="215.8"/>
    <n v="164.6"/>
    <n v="164.2"/>
    <n v="186"/>
    <n v="175.9"/>
    <n v="190.7"/>
    <n v="164"/>
    <n v="120.5"/>
    <n v="178"/>
    <n v="157.5"/>
    <n v="183.3"/>
    <n v="174.5"/>
    <n v="197.1"/>
    <n v="168.4"/>
    <n v="154.5"/>
    <n v="166.3"/>
    <n v="167"/>
    <n v="170.5"/>
    <n v="159.80000000000001"/>
    <n v="169"/>
    <n v="159.30000000000001"/>
    <n v="162.19999999999999"/>
    <n v="164"/>
    <n v="168.4"/>
    <n v="163.1"/>
    <n v="169.2"/>
    <x v="111"/>
  </r>
  <r>
    <x v="2"/>
    <n v="2022"/>
    <s v="April"/>
    <n v="152.9"/>
    <n v="211.8"/>
    <n v="164.5"/>
    <n v="163.9"/>
    <n v="199.5"/>
    <n v="172.6"/>
    <n v="166.2"/>
    <n v="164.7"/>
    <n v="119"/>
    <n v="181.3"/>
    <n v="166.2"/>
    <n v="180.9"/>
    <n v="170.8"/>
    <n v="193.9"/>
    <n v="173.9"/>
    <n v="166.5"/>
    <n v="172.8"/>
    <n v="167"/>
    <n v="172.2"/>
    <n v="164"/>
    <n v="174"/>
    <n v="162.6"/>
    <n v="164.4"/>
    <n v="166.9"/>
    <n v="168.8"/>
    <n v="166.8"/>
    <n v="170.1"/>
    <x v="111"/>
  </r>
  <r>
    <x v="0"/>
    <n v="2022"/>
    <s v="May"/>
    <n v="152.9"/>
    <n v="214.7"/>
    <n v="161.4"/>
    <n v="164.6"/>
    <n v="209.9"/>
    <n v="168"/>
    <n v="160.4"/>
    <n v="165"/>
    <n v="118.9"/>
    <n v="186.6"/>
    <n v="173.2"/>
    <n v="180.4"/>
    <n v="170.8"/>
    <n v="192.9"/>
    <n v="179.3"/>
    <n v="177.2"/>
    <n v="179"/>
    <m/>
    <n v="175.3"/>
    <n v="168.9"/>
    <n v="177.7"/>
    <n v="167.1"/>
    <n v="167.6"/>
    <n v="171.8"/>
    <n v="168.5"/>
    <n v="170.9"/>
    <n v="172.5"/>
    <x v="112"/>
  </r>
  <r>
    <x v="1"/>
    <n v="2022"/>
    <s v="May"/>
    <n v="156.69999999999999"/>
    <n v="221.2"/>
    <n v="164.1"/>
    <n v="165.4"/>
    <n v="189.5"/>
    <n v="174.5"/>
    <n v="203.2"/>
    <n v="164.1"/>
    <n v="121.2"/>
    <n v="181.4"/>
    <n v="158.5"/>
    <n v="184.9"/>
    <n v="177.5"/>
    <n v="197.5"/>
    <n v="170"/>
    <n v="155.9"/>
    <n v="167.8"/>
    <n v="167.5"/>
    <n v="173.5"/>
    <n v="161.1"/>
    <n v="170.1"/>
    <n v="159.4"/>
    <n v="163.19999999999999"/>
    <n v="165.2"/>
    <n v="168.2"/>
    <n v="163.80000000000001"/>
    <n v="170.8"/>
    <x v="112"/>
  </r>
  <r>
    <x v="2"/>
    <n v="2022"/>
    <s v="May"/>
    <n v="154.1"/>
    <n v="217"/>
    <n v="162.4"/>
    <n v="164.9"/>
    <n v="202.4"/>
    <n v="171"/>
    <n v="174.9"/>
    <n v="164.7"/>
    <n v="119.7"/>
    <n v="184.9"/>
    <n v="167.1"/>
    <n v="182.5"/>
    <n v="173.3"/>
    <n v="194.1"/>
    <n v="175.6"/>
    <n v="168.4"/>
    <n v="174.6"/>
    <n v="167.5"/>
    <n v="174.6"/>
    <n v="165.2"/>
    <n v="174.8"/>
    <n v="163"/>
    <n v="165.1"/>
    <n v="167.9"/>
    <n v="168.4"/>
    <n v="167.5"/>
    <n v="171.7"/>
    <x v="112"/>
  </r>
  <r>
    <x v="0"/>
    <n v="2022"/>
    <s v="June"/>
    <n v="153.80000000000001"/>
    <n v="217.2"/>
    <n v="169.6"/>
    <n v="165.4"/>
    <n v="208.1"/>
    <n v="165.8"/>
    <n v="167.3"/>
    <n v="164.6"/>
    <n v="119.1"/>
    <n v="188.9"/>
    <n v="174.2"/>
    <n v="181.9"/>
    <n v="172.4"/>
    <n v="192.9"/>
    <n v="180.7"/>
    <n v="178.7"/>
    <n v="180.4"/>
    <m/>
    <n v="176.7"/>
    <n v="170.3"/>
    <n v="178.2"/>
    <n v="165.5"/>
    <n v="168"/>
    <n v="172.6"/>
    <n v="169.5"/>
    <n v="171"/>
    <n v="173.6"/>
    <x v="113"/>
  </r>
  <r>
    <x v="1"/>
    <n v="2022"/>
    <s v="June"/>
    <n v="157.5"/>
    <n v="223.4"/>
    <n v="172.8"/>
    <n v="166.4"/>
    <n v="188.6"/>
    <n v="174.1"/>
    <n v="211.5"/>
    <n v="163.6"/>
    <n v="121.4"/>
    <n v="183.5"/>
    <n v="159.1"/>
    <n v="186.3"/>
    <n v="179.3"/>
    <n v="198.3"/>
    <n v="171.6"/>
    <n v="157.4"/>
    <n v="169.4"/>
    <n v="166.8"/>
    <n v="174.9"/>
    <n v="162.1"/>
    <n v="170.9"/>
    <n v="157.19999999999999"/>
    <n v="164.1"/>
    <n v="166.5"/>
    <n v="169.2"/>
    <n v="163.80000000000001"/>
    <n v="171.4"/>
    <x v="113"/>
  </r>
  <r>
    <x v="2"/>
    <n v="2022"/>
    <s v="June"/>
    <n v="155"/>
    <n v="219.4"/>
    <n v="170.8"/>
    <n v="165.8"/>
    <n v="200.9"/>
    <n v="169.7"/>
    <n v="182.3"/>
    <n v="164.3"/>
    <n v="119.9"/>
    <n v="187.1"/>
    <n v="167.9"/>
    <n v="183.9"/>
    <n v="174.9"/>
    <n v="194.3"/>
    <n v="177.1"/>
    <n v="169.9"/>
    <n v="176"/>
    <n v="166.8"/>
    <n v="176"/>
    <n v="166.4"/>
    <n v="175.4"/>
    <n v="161.1"/>
    <n v="165.8"/>
    <n v="169"/>
    <n v="169.4"/>
    <n v="167.5"/>
    <n v="172.6"/>
    <x v="113"/>
  </r>
  <r>
    <x v="0"/>
    <n v="2022"/>
    <s v="July"/>
    <n v="155.19999999999999"/>
    <n v="210.8"/>
    <n v="174.3"/>
    <n v="166.3"/>
    <n v="202.2"/>
    <n v="169.6"/>
    <n v="168.6"/>
    <n v="164.4"/>
    <n v="119.2"/>
    <n v="191.8"/>
    <n v="174.5"/>
    <n v="183.1"/>
    <n v="172.5"/>
    <n v="193.2"/>
    <n v="182"/>
    <n v="180.3"/>
    <n v="181.7"/>
    <m/>
    <n v="179.6"/>
    <n v="171.3"/>
    <n v="178.8"/>
    <n v="166.3"/>
    <n v="168.6"/>
    <n v="174.7"/>
    <n v="169.7"/>
    <n v="171.8"/>
    <n v="174.3"/>
    <x v="114"/>
  </r>
  <r>
    <x v="1"/>
    <n v="2022"/>
    <s v="July"/>
    <n v="159.30000000000001"/>
    <n v="217.1"/>
    <n v="176.6"/>
    <n v="167.1"/>
    <n v="184.8"/>
    <n v="179.5"/>
    <n v="208.5"/>
    <n v="164"/>
    <n v="121.5"/>
    <n v="186.3"/>
    <n v="159.80000000000001"/>
    <n v="187.7"/>
    <n v="179.4"/>
    <n v="198.6"/>
    <n v="172.7"/>
    <n v="158.69999999999999"/>
    <n v="170.6"/>
    <n v="167.8"/>
    <n v="179.5"/>
    <n v="163.1"/>
    <n v="171.7"/>
    <n v="157.4"/>
    <n v="164.6"/>
    <n v="169.1"/>
    <n v="169.8"/>
    <n v="164.7"/>
    <n v="172.3"/>
    <x v="114"/>
  </r>
  <r>
    <x v="2"/>
    <n v="2022"/>
    <s v="July"/>
    <n v="156.5"/>
    <n v="213"/>
    <n v="175.2"/>
    <n v="166.6"/>
    <n v="195.8"/>
    <n v="174.2"/>
    <n v="182.1"/>
    <n v="164.3"/>
    <n v="120"/>
    <n v="190"/>
    <n v="168.4"/>
    <n v="185.2"/>
    <n v="175"/>
    <n v="194.6"/>
    <n v="178.3"/>
    <n v="171.3"/>
    <n v="177.3"/>
    <n v="167.8"/>
    <n v="179.6"/>
    <n v="167.4"/>
    <n v="176.1"/>
    <n v="161.6"/>
    <n v="166.3"/>
    <n v="171.4"/>
    <n v="169.7"/>
    <n v="168.4"/>
    <n v="173.4"/>
    <x v="114"/>
  </r>
  <r>
    <x v="0"/>
    <n v="2022"/>
    <s v="August"/>
    <n v="159.5"/>
    <n v="204.1"/>
    <n v="168.3"/>
    <n v="167.9"/>
    <n v="198.1"/>
    <n v="169.2"/>
    <n v="173.1"/>
    <n v="167.1"/>
    <n v="120.2"/>
    <n v="195.6"/>
    <n v="174.8"/>
    <n v="184"/>
    <n v="173.9"/>
    <n v="193.7"/>
    <n v="183.2"/>
    <n v="181.7"/>
    <n v="183"/>
    <m/>
    <n v="179.1"/>
    <n v="172.3"/>
    <n v="179.4"/>
    <n v="166.6"/>
    <n v="169.3"/>
    <n v="175.7"/>
    <n v="171.1"/>
    <n v="172.6"/>
    <n v="175.3"/>
    <x v="115"/>
  </r>
  <r>
    <x v="1"/>
    <n v="2022"/>
    <s v="August"/>
    <n v="162.1"/>
    <n v="210.9"/>
    <n v="170.6"/>
    <n v="168.4"/>
    <n v="182.5"/>
    <n v="177.1"/>
    <n v="213.1"/>
    <n v="167.3"/>
    <n v="122.2"/>
    <n v="189.7"/>
    <n v="160.5"/>
    <n v="188.9"/>
    <n v="180.4"/>
    <n v="198.7"/>
    <n v="173.7"/>
    <n v="160"/>
    <n v="171.6"/>
    <n v="169"/>
    <n v="178.4"/>
    <n v="164.2"/>
    <n v="172.6"/>
    <n v="157.69999999999999"/>
    <n v="165.1"/>
    <n v="169.9"/>
    <n v="171.4"/>
    <n v="165.4"/>
    <n v="173.1"/>
    <x v="115"/>
  </r>
  <r>
    <x v="2"/>
    <n v="2022"/>
    <s v="August"/>
    <n v="160.30000000000001"/>
    <n v="206.5"/>
    <n v="169.2"/>
    <n v="168.1"/>
    <n v="192.4"/>
    <n v="172.9"/>
    <n v="186.7"/>
    <n v="167.2"/>
    <n v="120.9"/>
    <n v="193.6"/>
    <n v="168.8"/>
    <n v="186.3"/>
    <n v="176.3"/>
    <n v="195"/>
    <n v="179.5"/>
    <n v="172.7"/>
    <n v="178.5"/>
    <n v="169"/>
    <n v="178.8"/>
    <n v="168.5"/>
    <n v="176.8"/>
    <n v="161.9"/>
    <n v="166.9"/>
    <n v="172.3"/>
    <n v="171.2"/>
    <n v="169.1"/>
    <n v="174.3"/>
    <x v="115"/>
  </r>
  <r>
    <x v="0"/>
    <n v="2022"/>
    <s v="September"/>
    <n v="162.9"/>
    <n v="206.7"/>
    <n v="169"/>
    <n v="169.5"/>
    <n v="194.1"/>
    <n v="164.1"/>
    <n v="176.9"/>
    <n v="169"/>
    <n v="120.8"/>
    <n v="199.1"/>
    <n v="175.4"/>
    <n v="184.8"/>
    <n v="175.5"/>
    <n v="194.5"/>
    <n v="184.7"/>
    <n v="183.3"/>
    <n v="184.5"/>
    <m/>
    <n v="179.7"/>
    <n v="173.6"/>
    <n v="180.2"/>
    <n v="166.9"/>
    <n v="170"/>
    <n v="176.2"/>
    <n v="170.8"/>
    <n v="173.1"/>
    <n v="176.4"/>
    <x v="116"/>
  </r>
  <r>
    <x v="1"/>
    <n v="2022"/>
    <s v="September"/>
    <n v="164.9"/>
    <n v="213.7"/>
    <n v="170.9"/>
    <n v="170.1"/>
    <n v="179.3"/>
    <n v="167.5"/>
    <n v="220.8"/>
    <n v="169.2"/>
    <n v="123.1"/>
    <n v="193.6"/>
    <n v="161.1"/>
    <n v="190.4"/>
    <n v="181.8"/>
    <n v="199.7"/>
    <n v="175"/>
    <n v="161.69999999999999"/>
    <n v="173"/>
    <n v="169.5"/>
    <n v="179.2"/>
    <n v="165"/>
    <n v="173.8"/>
    <n v="158.19999999999999"/>
    <n v="165.8"/>
    <n v="170.9"/>
    <n v="171.1"/>
    <n v="166.1"/>
    <n v="174.1"/>
    <x v="116"/>
  </r>
  <r>
    <x v="2"/>
    <n v="2022"/>
    <s v="September"/>
    <n v="163.5"/>
    <n v="209.2"/>
    <n v="169.7"/>
    <n v="169.7"/>
    <n v="188.7"/>
    <n v="165.7"/>
    <n v="191.8"/>
    <n v="169.1"/>
    <n v="121.6"/>
    <n v="197.3"/>
    <n v="169.4"/>
    <n v="187.4"/>
    <n v="177.8"/>
    <n v="195.9"/>
    <n v="180.9"/>
    <n v="174.3"/>
    <n v="179.9"/>
    <n v="169.5"/>
    <n v="179.5"/>
    <n v="169.5"/>
    <n v="177.8"/>
    <n v="162.30000000000001"/>
    <n v="167.6"/>
    <n v="173.1"/>
    <n v="170.9"/>
    <n v="169.7"/>
    <n v="175.3"/>
    <x v="116"/>
  </r>
  <r>
    <x v="0"/>
    <n v="2022"/>
    <s v="October"/>
    <n v="164.7"/>
    <n v="208.8"/>
    <n v="170.3"/>
    <n v="170.9"/>
    <n v="191.6"/>
    <n v="162.19999999999999"/>
    <n v="184.8"/>
    <n v="169.7"/>
    <n v="121.1"/>
    <n v="201.6"/>
    <n v="175.8"/>
    <n v="185.6"/>
    <n v="177.4"/>
    <n v="194.9"/>
    <n v="186.1"/>
    <n v="184.4"/>
    <n v="185.9"/>
    <m/>
    <n v="180.8"/>
    <n v="174.4"/>
    <n v="181.2"/>
    <n v="167.4"/>
    <n v="170.6"/>
    <n v="176.5"/>
    <n v="172"/>
    <n v="173.9"/>
    <n v="177.9"/>
    <x v="117"/>
  </r>
  <r>
    <x v="1"/>
    <n v="2022"/>
    <s v="October"/>
    <n v="166.4"/>
    <n v="214.9"/>
    <n v="171.9"/>
    <n v="171"/>
    <n v="177.7"/>
    <n v="165.7"/>
    <n v="228.6"/>
    <n v="169.9"/>
    <n v="123.4"/>
    <n v="196.4"/>
    <n v="161.6"/>
    <n v="191.5"/>
    <n v="183.3"/>
    <n v="200.1"/>
    <n v="175.5"/>
    <n v="162.6"/>
    <n v="173.6"/>
    <n v="171.2"/>
    <n v="180"/>
    <n v="166"/>
    <n v="174.7"/>
    <n v="158.80000000000001"/>
    <n v="166.3"/>
    <n v="171.2"/>
    <n v="172.3"/>
    <n v="166.8"/>
    <n v="175.3"/>
    <x v="117"/>
  </r>
  <r>
    <x v="2"/>
    <n v="2022"/>
    <s v="October"/>
    <n v="165.2"/>
    <n v="210.9"/>
    <n v="170.9"/>
    <n v="170.9"/>
    <n v="186.5"/>
    <n v="163.80000000000001"/>
    <n v="199.7"/>
    <n v="169.8"/>
    <n v="121.9"/>
    <n v="199.9"/>
    <n v="169.9"/>
    <n v="188.3"/>
    <n v="179.6"/>
    <n v="196.3"/>
    <n v="181.9"/>
    <n v="175.3"/>
    <n v="181"/>
    <n v="171.2"/>
    <n v="180.5"/>
    <n v="170.4"/>
    <n v="178.7"/>
    <n v="162.9"/>
    <n v="168.2"/>
    <n v="173.4"/>
    <n v="172.1"/>
    <n v="170.5"/>
    <n v="176.7"/>
    <x v="117"/>
  </r>
  <r>
    <x v="0"/>
    <n v="2022"/>
    <s v="November"/>
    <n v="166.9"/>
    <n v="207.2"/>
    <n v="180.2"/>
    <n v="172.3"/>
    <n v="194"/>
    <n v="159.1"/>
    <n v="171.6"/>
    <n v="170.2"/>
    <n v="121.5"/>
    <n v="204.8"/>
    <n v="176.4"/>
    <n v="186.9"/>
    <n v="176.6"/>
    <n v="195.5"/>
    <n v="187.2"/>
    <n v="185.2"/>
    <n v="186.9"/>
    <m/>
    <n v="181.9"/>
    <n v="175.5"/>
    <n v="182.3"/>
    <n v="167.5"/>
    <n v="170.8"/>
    <n v="176.9"/>
    <n v="173.4"/>
    <n v="174.6"/>
    <n v="177.8"/>
    <x v="118"/>
  </r>
  <r>
    <x v="1"/>
    <n v="2022"/>
    <s v="November"/>
    <n v="168.4"/>
    <n v="213.4"/>
    <n v="183.2"/>
    <n v="172.3"/>
    <n v="180"/>
    <n v="162.6"/>
    <n v="205.5"/>
    <n v="171"/>
    <n v="123.4"/>
    <n v="198.8"/>
    <n v="162.1"/>
    <n v="192.4"/>
    <n v="181.3"/>
    <n v="200.6"/>
    <n v="176.7"/>
    <n v="163.5"/>
    <n v="174.7"/>
    <n v="171.8"/>
    <n v="180.3"/>
    <n v="166.9"/>
    <n v="175.8"/>
    <n v="158.9"/>
    <n v="166.7"/>
    <n v="171.5"/>
    <n v="173.8"/>
    <n v="167.4"/>
    <n v="174.1"/>
    <x v="118"/>
  </r>
  <r>
    <x v="2"/>
    <n v="2022"/>
    <s v="November"/>
    <n v="167.4"/>
    <n v="209.4"/>
    <n v="181.4"/>
    <n v="172.3"/>
    <n v="188.9"/>
    <n v="160.69999999999999"/>
    <n v="183.1"/>
    <n v="170.5"/>
    <n v="122.1"/>
    <n v="202.8"/>
    <n v="170.4"/>
    <n v="189.5"/>
    <n v="178.3"/>
    <n v="196.9"/>
    <n v="183.1"/>
    <n v="176.2"/>
    <n v="182.1"/>
    <n v="171.8"/>
    <n v="181.3"/>
    <n v="171.4"/>
    <n v="179.8"/>
    <n v="163"/>
    <n v="168.5"/>
    <n v="173.7"/>
    <n v="173.6"/>
    <n v="171.1"/>
    <n v="176.5"/>
    <x v="118"/>
  </r>
  <r>
    <x v="0"/>
    <n v="2022"/>
    <s v="December"/>
    <n v="168.8"/>
    <n v="206.9"/>
    <n v="189.1"/>
    <n v="173.4"/>
    <n v="193.9"/>
    <n v="156.69999999999999"/>
    <n v="150.19999999999999"/>
    <n v="170.5"/>
    <n v="121.2"/>
    <n v="207.5"/>
    <n v="176.8"/>
    <n v="187.7"/>
    <n v="174.4"/>
    <n v="195.9"/>
    <n v="188.1"/>
    <n v="185.9"/>
    <n v="187.8"/>
    <m/>
    <n v="182.8"/>
    <n v="176.4"/>
    <n v="183.5"/>
    <n v="167.8"/>
    <n v="171.2"/>
    <n v="177.3"/>
    <n v="175.7"/>
    <n v="175.5"/>
    <n v="177.1"/>
    <x v="119"/>
  </r>
  <r>
    <x v="1"/>
    <n v="2022"/>
    <s v="December"/>
    <n v="170.2"/>
    <n v="212.9"/>
    <n v="191.9"/>
    <n v="173.9"/>
    <n v="179.1"/>
    <n v="159.5"/>
    <n v="178.7"/>
    <n v="171.3"/>
    <n v="123.1"/>
    <n v="200.5"/>
    <n v="162.80000000000001"/>
    <n v="193.3"/>
    <n v="178.6"/>
    <n v="201.1"/>
    <n v="177.7"/>
    <n v="164.5"/>
    <n v="175.7"/>
    <n v="170.7"/>
    <n v="180.6"/>
    <n v="167.3"/>
    <n v="177.2"/>
    <n v="159.4"/>
    <n v="167.1"/>
    <n v="171.8"/>
    <n v="176"/>
    <n v="168.2"/>
    <n v="174.1"/>
    <x v="119"/>
  </r>
  <r>
    <x v="2"/>
    <n v="2022"/>
    <s v="December"/>
    <n v="169.2"/>
    <n v="209"/>
    <n v="190.2"/>
    <n v="173.6"/>
    <n v="188.5"/>
    <n v="158"/>
    <n v="159.9"/>
    <n v="170.8"/>
    <n v="121.8"/>
    <n v="205.2"/>
    <n v="171"/>
    <n v="190.3"/>
    <n v="175.9"/>
    <n v="197.3"/>
    <n v="184"/>
    <n v="177"/>
    <n v="183"/>
    <n v="170.7"/>
    <n v="182"/>
    <n v="172.1"/>
    <n v="181.1"/>
    <n v="163.4"/>
    <n v="168.9"/>
    <n v="174.1"/>
    <n v="175.8"/>
    <n v="172"/>
    <n v="175.7"/>
    <x v="119"/>
  </r>
  <r>
    <x v="0"/>
    <n v="2023"/>
    <s v="January"/>
    <n v="174"/>
    <n v="208.3"/>
    <n v="192.9"/>
    <n v="174.3"/>
    <n v="192.6"/>
    <n v="156.30000000000001"/>
    <n v="142.9"/>
    <n v="170.7"/>
    <n v="120.3"/>
    <n v="210.5"/>
    <n v="176.9"/>
    <n v="188.5"/>
    <n v="175"/>
    <n v="196.9"/>
    <n v="189"/>
    <n v="186.3"/>
    <n v="188.6"/>
    <m/>
    <n v="183.2"/>
    <n v="177.2"/>
    <n v="184.7"/>
    <n v="168.2"/>
    <n v="171.8"/>
    <n v="177.8"/>
    <n v="178.4"/>
    <n v="176.5"/>
    <n v="177.8"/>
    <x v="120"/>
  </r>
  <r>
    <x v="1"/>
    <n v="2023"/>
    <s v="January"/>
    <n v="173.3"/>
    <n v="215.2"/>
    <n v="197"/>
    <n v="175.2"/>
    <n v="178"/>
    <n v="160.5"/>
    <n v="175.3"/>
    <n v="171.2"/>
    <n v="122.7"/>
    <n v="204.3"/>
    <n v="163.69999999999999"/>
    <n v="194.3"/>
    <n v="179.5"/>
    <n v="201.6"/>
    <n v="178.7"/>
    <n v="165.3"/>
    <n v="176.6"/>
    <n v="172.1"/>
    <n v="180.1"/>
    <n v="168"/>
    <n v="178.5"/>
    <n v="159.5"/>
    <n v="167.8"/>
    <n v="171.8"/>
    <n v="178.8"/>
    <n v="168.9"/>
    <n v="174.9"/>
    <x v="120"/>
  </r>
  <r>
    <x v="2"/>
    <n v="2023"/>
    <s v="January"/>
    <n v="173.8"/>
    <n v="210.7"/>
    <n v="194.5"/>
    <n v="174.6"/>
    <n v="187.2"/>
    <n v="158.30000000000001"/>
    <n v="153.9"/>
    <n v="170.9"/>
    <n v="121.1"/>
    <n v="208.4"/>
    <n v="171.4"/>
    <n v="191.2"/>
    <n v="176.7"/>
    <n v="198.2"/>
    <n v="184.9"/>
    <n v="177.6"/>
    <n v="183.8"/>
    <n v="172.1"/>
    <n v="182"/>
    <n v="172.9"/>
    <n v="182.3"/>
    <n v="163.6"/>
    <n v="169.5"/>
    <n v="174.3"/>
    <n v="178.6"/>
    <n v="172.8"/>
    <n v="176.5"/>
    <x v="120"/>
  </r>
  <r>
    <x v="0"/>
    <n v="2023"/>
    <s v="February"/>
    <n v="174.2"/>
    <n v="205.2"/>
    <n v="173.9"/>
    <n v="177"/>
    <n v="183.4"/>
    <n v="167.2"/>
    <n v="140.9"/>
    <n v="170.4"/>
    <n v="119.1"/>
    <n v="212.1"/>
    <n v="177.6"/>
    <n v="189.9"/>
    <n v="174.8"/>
    <n v="198.3"/>
    <n v="190"/>
    <n v="187"/>
    <n v="189.6"/>
    <m/>
    <n v="181.6"/>
    <n v="178.6"/>
    <n v="186.6"/>
    <n v="169"/>
    <n v="172.8"/>
    <n v="178.5"/>
    <n v="180.7"/>
    <n v="177.9"/>
    <n v="178"/>
    <x v="121"/>
  </r>
  <r>
    <x v="1"/>
    <n v="2023"/>
    <s v="February"/>
    <n v="174.7"/>
    <n v="212.2"/>
    <n v="177.2"/>
    <n v="177.9"/>
    <n v="172.2"/>
    <n v="172.1"/>
    <n v="175.8"/>
    <n v="172.2"/>
    <n v="121.9"/>
    <n v="204.8"/>
    <n v="164.9"/>
    <n v="196.6"/>
    <n v="180.7"/>
    <n v="202.7"/>
    <n v="180.3"/>
    <n v="167"/>
    <n v="178.2"/>
    <n v="173.5"/>
    <n v="182.8"/>
    <n v="169.2"/>
    <n v="180.8"/>
    <n v="159.80000000000001"/>
    <n v="168.4"/>
    <n v="172.5"/>
    <n v="181.4"/>
    <n v="170"/>
    <n v="176.3"/>
    <x v="121"/>
  </r>
  <r>
    <x v="2"/>
    <n v="2023"/>
    <s v="February"/>
    <n v="174.4"/>
    <n v="207.7"/>
    <n v="175.2"/>
    <n v="177.3"/>
    <n v="179.3"/>
    <n v="169.5"/>
    <n v="152.69999999999999"/>
    <n v="171"/>
    <n v="120"/>
    <n v="209.7"/>
    <n v="172.3"/>
    <n v="193"/>
    <n v="177"/>
    <n v="199.5"/>
    <n v="186.2"/>
    <n v="178.7"/>
    <n v="185.1"/>
    <n v="173.5"/>
    <n v="182.1"/>
    <n v="174.2"/>
    <n v="184.4"/>
    <n v="164.2"/>
    <n v="170.3"/>
    <n v="175"/>
    <n v="181"/>
    <n v="174.1"/>
    <n v="177.2"/>
    <x v="121"/>
  </r>
  <r>
    <x v="0"/>
    <n v="2023"/>
    <s v="March"/>
    <n v="174.3"/>
    <n v="205.2"/>
    <n v="173.9"/>
    <n v="177"/>
    <n v="183.3"/>
    <n v="167.2"/>
    <n v="140.9"/>
    <n v="170.5"/>
    <n v="119.1"/>
    <n v="212.1"/>
    <n v="177.6"/>
    <n v="189.9"/>
    <n v="174.8"/>
    <n v="198.4"/>
    <n v="190"/>
    <n v="187"/>
    <n v="189.6"/>
    <m/>
    <n v="181.4"/>
    <n v="178.6"/>
    <n v="186.6"/>
    <n v="169"/>
    <n v="172.8"/>
    <n v="178.5"/>
    <n v="180.7"/>
    <n v="177.9"/>
    <n v="178"/>
    <x v="122"/>
  </r>
  <r>
    <x v="1"/>
    <n v="2023"/>
    <s v="March"/>
    <n v="174.7"/>
    <n v="212.2"/>
    <n v="177.2"/>
    <n v="177.9"/>
    <n v="172.2"/>
    <n v="172.1"/>
    <n v="175.9"/>
    <n v="172.2"/>
    <n v="121.9"/>
    <n v="204.8"/>
    <n v="164.9"/>
    <n v="196.6"/>
    <n v="180.8"/>
    <n v="202.7"/>
    <n v="180.2"/>
    <n v="167"/>
    <n v="178.2"/>
    <n v="173.5"/>
    <n v="182.6"/>
    <n v="169.2"/>
    <n v="180.8"/>
    <n v="159.80000000000001"/>
    <n v="168.4"/>
    <n v="172.5"/>
    <n v="181.5"/>
    <n v="170"/>
    <n v="176.3"/>
    <x v="122"/>
  </r>
  <r>
    <x v="2"/>
    <n v="2023"/>
    <s v="March"/>
    <n v="174.4"/>
    <n v="207.7"/>
    <n v="175.2"/>
    <n v="177.3"/>
    <n v="179.2"/>
    <n v="169.5"/>
    <n v="152.80000000000001"/>
    <n v="171.1"/>
    <n v="120"/>
    <n v="209.7"/>
    <n v="172.3"/>
    <n v="193"/>
    <n v="177"/>
    <n v="199.5"/>
    <n v="186.1"/>
    <n v="178.7"/>
    <n v="185.1"/>
    <n v="173.5"/>
    <n v="181.9"/>
    <n v="174.2"/>
    <n v="184.4"/>
    <n v="164.2"/>
    <n v="170.3"/>
    <n v="175"/>
    <n v="181"/>
    <n v="174.1"/>
    <n v="177.2"/>
    <x v="122"/>
  </r>
  <r>
    <x v="0"/>
    <n v="2023"/>
    <s v="April"/>
    <n v="173.3"/>
    <n v="206.9"/>
    <n v="167.9"/>
    <n v="178.2"/>
    <n v="178.5"/>
    <n v="173.7"/>
    <n v="142.80000000000001"/>
    <n v="172.8"/>
    <n v="120.4"/>
    <n v="215.5"/>
    <n v="178.2"/>
    <n v="190.5"/>
    <n v="175.5"/>
    <n v="199.5"/>
    <n v="190.7"/>
    <n v="187.3"/>
    <n v="190.2"/>
    <m/>
    <n v="181.5"/>
    <n v="179.1"/>
    <n v="187.2"/>
    <n v="169.4"/>
    <n v="173.2"/>
    <n v="179.4"/>
    <n v="183.8"/>
    <n v="178.9"/>
    <n v="178.8"/>
    <x v="123"/>
  </r>
  <r>
    <x v="1"/>
    <n v="2023"/>
    <s v="April"/>
    <n v="174.8"/>
    <n v="213.7"/>
    <n v="172.4"/>
    <n v="178.8"/>
    <n v="168.7"/>
    <n v="179.2"/>
    <n v="179.9"/>
    <n v="174.7"/>
    <n v="123.1"/>
    <n v="207.8"/>
    <n v="165.5"/>
    <n v="197"/>
    <n v="182.1"/>
    <n v="203.5"/>
    <n v="181"/>
    <n v="167.7"/>
    <n v="178.9"/>
    <n v="175.2"/>
    <n v="182.1"/>
    <n v="169.6"/>
    <n v="181.5"/>
    <n v="160.1"/>
    <n v="168.8"/>
    <n v="174.2"/>
    <n v="184.4"/>
    <n v="170.9"/>
    <n v="177.4"/>
    <x v="123"/>
  </r>
  <r>
    <x v="2"/>
    <n v="2023"/>
    <s v="April"/>
    <n v="173.8"/>
    <n v="209.3"/>
    <n v="169.6"/>
    <n v="178.4"/>
    <n v="174.9"/>
    <n v="176.3"/>
    <n v="155.4"/>
    <n v="173.4"/>
    <n v="121.3"/>
    <n v="212.9"/>
    <n v="172.9"/>
    <n v="193.5"/>
    <n v="177.9"/>
    <n v="200.6"/>
    <n v="186.9"/>
    <n v="179.2"/>
    <n v="185.7"/>
    <n v="175.2"/>
    <n v="181.7"/>
    <n v="174.6"/>
    <n v="185"/>
    <n v="164.5"/>
    <n v="170.7"/>
    <n v="176.4"/>
    <n v="184"/>
    <n v="175"/>
    <n v="178.1"/>
    <x v="123"/>
  </r>
  <r>
    <x v="0"/>
    <n v="2023"/>
    <s v="May"/>
    <n v="173.2"/>
    <n v="211.5"/>
    <n v="171"/>
    <n v="179.6"/>
    <n v="173.3"/>
    <n v="169"/>
    <n v="148.69999999999999"/>
    <n v="174.9"/>
    <n v="121.9"/>
    <n v="221"/>
    <n v="178.7"/>
    <n v="191.1"/>
    <n v="176.8"/>
    <n v="199.9"/>
    <n v="191.2"/>
    <n v="187.9"/>
    <n v="190.8"/>
    <m/>
    <n v="182.5"/>
    <n v="179.8"/>
    <n v="187.8"/>
    <n v="169.7"/>
    <n v="173.8"/>
    <n v="180.3"/>
    <n v="184.9"/>
    <n v="179.5"/>
    <n v="179.8"/>
    <x v="124"/>
  </r>
  <r>
    <x v="1"/>
    <n v="2023"/>
    <s v="May"/>
    <n v="174.7"/>
    <n v="219.4"/>
    <n v="176.7"/>
    <n v="179.4"/>
    <n v="164.4"/>
    <n v="175.8"/>
    <n v="185"/>
    <n v="176.9"/>
    <n v="124.2"/>
    <n v="211.9"/>
    <n v="165.9"/>
    <n v="197.7"/>
    <n v="183.1"/>
    <n v="204.2"/>
    <n v="181.3"/>
    <n v="168.1"/>
    <n v="179.3"/>
    <n v="175.6"/>
    <n v="183.4"/>
    <n v="170.1"/>
    <n v="182.2"/>
    <n v="160.4"/>
    <n v="169.2"/>
    <n v="174.8"/>
    <n v="185.6"/>
    <n v="171.6"/>
    <n v="178.2"/>
    <x v="124"/>
  </r>
  <r>
    <x v="2"/>
    <n v="2023"/>
    <s v="May"/>
    <n v="173.7"/>
    <n v="214.3"/>
    <n v="173.2"/>
    <n v="179.5"/>
    <n v="170"/>
    <n v="172.2"/>
    <n v="161"/>
    <n v="175.6"/>
    <n v="122.7"/>
    <n v="218"/>
    <n v="173.4"/>
    <n v="194.2"/>
    <n v="179.1"/>
    <n v="201"/>
    <n v="187.3"/>
    <n v="179.7"/>
    <n v="186.2"/>
    <n v="175.6"/>
    <n v="182.8"/>
    <n v="175.2"/>
    <n v="185.7"/>
    <n v="164.8"/>
    <n v="171.2"/>
    <n v="177.1"/>
    <n v="185.2"/>
    <n v="175.7"/>
    <n v="179.1"/>
    <x v="1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n v="2013"/>
    <s v="January"/>
    <x v="0"/>
    <n v="105.5"/>
    <n v="105.1"/>
    <n v="106.4"/>
    <m/>
    <n v="105.5"/>
    <n v="104"/>
    <n v="105.1"/>
  </r>
  <r>
    <x v="1"/>
    <n v="2013"/>
    <s v="January"/>
    <x v="0"/>
    <n v="105.9"/>
    <n v="105.2"/>
    <n v="105.8"/>
    <n v="100.3"/>
    <n v="105.4"/>
    <n v="103.7"/>
    <n v="104"/>
  </r>
  <r>
    <x v="2"/>
    <n v="2013"/>
    <s v="January"/>
    <x v="0"/>
    <n v="105.6"/>
    <n v="105.1"/>
    <n v="106.2"/>
    <n v="100.3"/>
    <n v="105.5"/>
    <n v="103.9"/>
    <n v="104.6"/>
  </r>
  <r>
    <x v="0"/>
    <n v="2013"/>
    <s v="February"/>
    <x v="1"/>
    <n v="106.3"/>
    <n v="105.6"/>
    <n v="107"/>
    <m/>
    <n v="106.2"/>
    <n v="104.4"/>
    <n v="105.8"/>
  </r>
  <r>
    <x v="1"/>
    <n v="2013"/>
    <s v="February"/>
    <x v="1"/>
    <n v="107.2"/>
    <n v="106"/>
    <n v="106.4"/>
    <n v="100.4"/>
    <n v="105.7"/>
    <n v="104.3"/>
    <n v="104.7"/>
  </r>
  <r>
    <x v="2"/>
    <n v="2013"/>
    <s v="February"/>
    <x v="1"/>
    <n v="106.6"/>
    <n v="105.7"/>
    <n v="106.8"/>
    <n v="100.4"/>
    <n v="106"/>
    <n v="104.4"/>
    <n v="105.3"/>
  </r>
  <r>
    <x v="0"/>
    <n v="2013"/>
    <s v="March"/>
    <x v="2"/>
    <n v="106.6"/>
    <n v="106.5"/>
    <n v="107.5"/>
    <m/>
    <n v="106.1"/>
    <n v="104.6"/>
    <n v="106"/>
  </r>
  <r>
    <x v="1"/>
    <n v="2013"/>
    <s v="March"/>
    <x v="2"/>
    <n v="107.3"/>
    <n v="106.8"/>
    <n v="107"/>
    <n v="100.4"/>
    <n v="106"/>
    <n v="104.9"/>
    <n v="105"/>
  </r>
  <r>
    <x v="2"/>
    <n v="2013"/>
    <s v="March"/>
    <x v="2"/>
    <n v="106.9"/>
    <n v="106.6"/>
    <n v="107.3"/>
    <n v="100.4"/>
    <n v="106.1"/>
    <n v="104.7"/>
    <n v="105.5"/>
  </r>
  <r>
    <x v="0"/>
    <n v="2013"/>
    <s v="April"/>
    <x v="3"/>
    <n v="107.1"/>
    <n v="107.1"/>
    <n v="108"/>
    <m/>
    <n v="106.5"/>
    <n v="104.6"/>
    <n v="106.4"/>
  </r>
  <r>
    <x v="1"/>
    <n v="2013"/>
    <s v="April"/>
    <x v="3"/>
    <n v="108.8"/>
    <n v="108.5"/>
    <n v="107.7"/>
    <n v="100.5"/>
    <n v="106.4"/>
    <n v="105.1"/>
    <n v="105.7"/>
  </r>
  <r>
    <x v="2"/>
    <n v="2013"/>
    <s v="April"/>
    <x v="3"/>
    <n v="107.7"/>
    <n v="107.5"/>
    <n v="107.9"/>
    <n v="100.5"/>
    <n v="106.5"/>
    <n v="104.8"/>
    <n v="106.1"/>
  </r>
  <r>
    <x v="0"/>
    <n v="2013"/>
    <s v="May"/>
    <x v="4"/>
    <n v="108.1"/>
    <n v="108.1"/>
    <n v="108.6"/>
    <m/>
    <n v="107.5"/>
    <n v="104.8"/>
    <n v="107.2"/>
  </r>
  <r>
    <x v="1"/>
    <n v="2013"/>
    <s v="May"/>
    <x v="4"/>
    <n v="111.1"/>
    <n v="109.8"/>
    <n v="108.3"/>
    <n v="100.5"/>
    <n v="107.2"/>
    <n v="104.9"/>
    <n v="106.6"/>
  </r>
  <r>
    <x v="2"/>
    <n v="2013"/>
    <s v="May"/>
    <x v="4"/>
    <n v="109.2"/>
    <n v="108.6"/>
    <n v="108.5"/>
    <n v="100.5"/>
    <n v="107.4"/>
    <n v="104.8"/>
    <n v="106.9"/>
  </r>
  <r>
    <x v="0"/>
    <n v="2013"/>
    <s v="June"/>
    <x v="5"/>
    <n v="110.6"/>
    <n v="109"/>
    <n v="109.5"/>
    <m/>
    <n v="108.5"/>
    <n v="105.5"/>
    <n v="108.9"/>
  </r>
  <r>
    <x v="1"/>
    <n v="2013"/>
    <s v="June"/>
    <x v="5"/>
    <n v="115"/>
    <n v="110.9"/>
    <n v="108.9"/>
    <n v="106.6"/>
    <n v="108"/>
    <n v="106.1"/>
    <n v="109.7"/>
  </r>
  <r>
    <x v="2"/>
    <n v="2013"/>
    <s v="June"/>
    <x v="5"/>
    <n v="112.2"/>
    <n v="109.5"/>
    <n v="109.3"/>
    <n v="106.6"/>
    <n v="108.3"/>
    <n v="105.8"/>
    <n v="109.3"/>
  </r>
  <r>
    <x v="0"/>
    <n v="2013"/>
    <s v="July"/>
    <x v="6"/>
    <n v="113.1"/>
    <n v="109.8"/>
    <n v="110.3"/>
    <m/>
    <n v="109.5"/>
    <n v="106.5"/>
    <n v="110.7"/>
  </r>
  <r>
    <x v="1"/>
    <n v="2013"/>
    <s v="July"/>
    <x v="6"/>
    <n v="117.5"/>
    <n v="111.7"/>
    <n v="109.5"/>
    <n v="107.7"/>
    <n v="108.6"/>
    <n v="107.3"/>
    <n v="111.4"/>
  </r>
  <r>
    <x v="2"/>
    <n v="2013"/>
    <s v="July"/>
    <x v="6"/>
    <n v="114.7"/>
    <n v="110.3"/>
    <n v="110"/>
    <n v="107.7"/>
    <n v="109.2"/>
    <n v="106.9"/>
    <n v="111"/>
  </r>
  <r>
    <x v="0"/>
    <n v="2013"/>
    <s v="August"/>
    <x v="7"/>
    <n v="114.9"/>
    <n v="110.7"/>
    <n v="111.1"/>
    <m/>
    <n v="109.9"/>
    <n v="107.5"/>
    <n v="112.1"/>
  </r>
  <r>
    <x v="1"/>
    <n v="2013"/>
    <s v="August"/>
    <x v="7"/>
    <n v="119.6"/>
    <n v="112.4"/>
    <n v="110.2"/>
    <n v="108.9"/>
    <n v="109.3"/>
    <n v="108.3"/>
    <n v="112.7"/>
  </r>
  <r>
    <x v="2"/>
    <n v="2013"/>
    <s v="August"/>
    <x v="7"/>
    <n v="116.6"/>
    <n v="111.2"/>
    <n v="110.7"/>
    <n v="108.9"/>
    <n v="109.7"/>
    <n v="107.9"/>
    <n v="112.4"/>
  </r>
  <r>
    <x v="0"/>
    <n v="2013"/>
    <s v="September"/>
    <x v="8"/>
    <n v="117.8"/>
    <n v="111.7"/>
    <n v="112.5"/>
    <m/>
    <n v="111.1"/>
    <n v="108.7"/>
    <n v="114.2"/>
  </r>
  <r>
    <x v="1"/>
    <n v="2013"/>
    <s v="September"/>
    <x v="8"/>
    <n v="119.2"/>
    <n v="112.9"/>
    <n v="111.1"/>
    <n v="109.7"/>
    <n v="109.5"/>
    <n v="109.4"/>
    <n v="113.2"/>
  </r>
  <r>
    <x v="2"/>
    <n v="2013"/>
    <s v="September"/>
    <x v="8"/>
    <n v="118.3"/>
    <n v="112"/>
    <n v="111.9"/>
    <n v="109.7"/>
    <n v="110.5"/>
    <n v="109"/>
    <n v="113.7"/>
  </r>
  <r>
    <x v="0"/>
    <n v="2013"/>
    <s v="October"/>
    <x v="9"/>
    <n v="119.8"/>
    <n v="112.2"/>
    <n v="113.4"/>
    <m/>
    <n v="111.6"/>
    <n v="109.1"/>
    <n v="115.5"/>
  </r>
  <r>
    <x v="1"/>
    <n v="2013"/>
    <s v="October"/>
    <x v="9"/>
    <n v="120.8"/>
    <n v="113.5"/>
    <n v="112"/>
    <n v="110.5"/>
    <n v="109.7"/>
    <n v="109.4"/>
    <n v="114"/>
  </r>
  <r>
    <x v="2"/>
    <n v="2013"/>
    <s v="October"/>
    <x v="9"/>
    <n v="120.2"/>
    <n v="112.5"/>
    <n v="112.8"/>
    <n v="110.5"/>
    <n v="110.9"/>
    <n v="109.2"/>
    <n v="114.8"/>
  </r>
  <r>
    <x v="0"/>
    <n v="2013"/>
    <s v="November "/>
    <x v="10"/>
    <n v="122.5"/>
    <n v="112.8"/>
    <n v="114.4"/>
    <m/>
    <n v="112.6"/>
    <n v="109.8"/>
    <n v="117.4"/>
  </r>
  <r>
    <x v="1"/>
    <n v="2013"/>
    <s v="November"/>
    <x v="11"/>
    <n v="122.9"/>
    <n v="114.1"/>
    <n v="113"/>
    <n v="111.1"/>
    <n v="110"/>
    <n v="109.6"/>
    <n v="115"/>
  </r>
  <r>
    <x v="2"/>
    <n v="2013"/>
    <s v="November"/>
    <x v="11"/>
    <n v="122.6"/>
    <n v="113.1"/>
    <n v="113.8"/>
    <n v="111.1"/>
    <n v="111.6"/>
    <n v="109.7"/>
    <n v="116.3"/>
  </r>
  <r>
    <x v="0"/>
    <n v="2013"/>
    <s v="December"/>
    <x v="12"/>
    <n v="118.7"/>
    <n v="113.6"/>
    <n v="115.5"/>
    <m/>
    <n v="112.8"/>
    <n v="110.1"/>
    <n v="115.5"/>
  </r>
  <r>
    <x v="1"/>
    <n v="2013"/>
    <s v="December"/>
    <x v="12"/>
    <n v="117.8"/>
    <n v="115"/>
    <n v="113.7"/>
    <n v="110.7"/>
    <n v="110.4"/>
    <n v="109.8"/>
    <n v="113.3"/>
  </r>
  <r>
    <x v="2"/>
    <n v="2013"/>
    <s v="December"/>
    <x v="12"/>
    <n v="118.4"/>
    <n v="114"/>
    <n v="114.8"/>
    <n v="110.7"/>
    <n v="111.9"/>
    <n v="110"/>
    <n v="114.5"/>
  </r>
  <r>
    <x v="0"/>
    <n v="2014"/>
    <s v="January"/>
    <x v="13"/>
    <n v="116"/>
    <n v="114"/>
    <n v="116.2"/>
    <m/>
    <n v="113"/>
    <n v="110.6"/>
    <n v="114.2"/>
  </r>
  <r>
    <x v="1"/>
    <n v="2014"/>
    <s v="January"/>
    <x v="13"/>
    <n v="115.5"/>
    <n v="115.7"/>
    <n v="114.3"/>
    <n v="111.6"/>
    <n v="111"/>
    <n v="110.5"/>
    <n v="112.9"/>
  </r>
  <r>
    <x v="2"/>
    <n v="2014"/>
    <s v="January"/>
    <x v="13"/>
    <n v="115.8"/>
    <n v="114.5"/>
    <n v="115.4"/>
    <n v="111.6"/>
    <n v="112.2"/>
    <n v="110.6"/>
    <n v="113.6"/>
  </r>
  <r>
    <x v="0"/>
    <n v="2014"/>
    <s v="February"/>
    <x v="14"/>
    <n v="115.3"/>
    <n v="114.2"/>
    <n v="116.7"/>
    <m/>
    <n v="113.2"/>
    <n v="110.9"/>
    <n v="114"/>
  </r>
  <r>
    <x v="1"/>
    <n v="2014"/>
    <s v="February"/>
    <x v="14"/>
    <n v="115.2"/>
    <n v="116.2"/>
    <n v="114.7"/>
    <n v="112.5"/>
    <n v="111.1"/>
    <n v="111"/>
    <n v="113.1"/>
  </r>
  <r>
    <x v="2"/>
    <n v="2014"/>
    <s v="February"/>
    <x v="14"/>
    <n v="115.3"/>
    <n v="114.7"/>
    <n v="115.9"/>
    <n v="112.5"/>
    <n v="112.4"/>
    <n v="110.9"/>
    <n v="113.6"/>
  </r>
  <r>
    <x v="0"/>
    <n v="2014"/>
    <s v="March"/>
    <x v="15"/>
    <n v="116.2"/>
    <n v="114.6"/>
    <n v="117.2"/>
    <m/>
    <n v="113.4"/>
    <n v="111.3"/>
    <n v="114.6"/>
  </r>
  <r>
    <x v="1"/>
    <n v="2014"/>
    <s v="March"/>
    <x v="15"/>
    <n v="116"/>
    <n v="116.7"/>
    <n v="115.2"/>
    <n v="113.2"/>
    <n v="110.9"/>
    <n v="111.4"/>
    <n v="113.7"/>
  </r>
  <r>
    <x v="2"/>
    <n v="2014"/>
    <s v="March"/>
    <x v="15"/>
    <n v="116.1"/>
    <n v="115.2"/>
    <n v="116.4"/>
    <n v="113.2"/>
    <n v="112.5"/>
    <n v="111.3"/>
    <n v="114.2"/>
  </r>
  <r>
    <x v="0"/>
    <n v="2014"/>
    <s v="April"/>
    <x v="16"/>
    <n v="117.2"/>
    <n v="115.4"/>
    <n v="117.8"/>
    <m/>
    <n v="113.4"/>
    <n v="111.5"/>
    <n v="115.4"/>
  </r>
  <r>
    <x v="1"/>
    <n v="2014"/>
    <s v="April"/>
    <x v="16"/>
    <n v="118.2"/>
    <n v="117.6"/>
    <n v="115.7"/>
    <n v="113.9"/>
    <n v="110.9"/>
    <n v="111.4"/>
    <n v="114.7"/>
  </r>
  <r>
    <x v="2"/>
    <n v="2014"/>
    <s v="April"/>
    <x v="16"/>
    <n v="117.6"/>
    <n v="116"/>
    <n v="117"/>
    <n v="113.9"/>
    <n v="112.5"/>
    <n v="111.5"/>
    <n v="115.1"/>
  </r>
  <r>
    <x v="0"/>
    <n v="2014"/>
    <s v="May"/>
    <x v="17"/>
    <n v="118.2"/>
    <n v="116.3"/>
    <n v="118.5"/>
    <m/>
    <n v="113.4"/>
    <n v="111.8"/>
    <n v="116"/>
  </r>
  <r>
    <x v="1"/>
    <n v="2014"/>
    <s v="May"/>
    <x v="17"/>
    <n v="120"/>
    <n v="118.3"/>
    <n v="116.2"/>
    <n v="114.3"/>
    <n v="111.1"/>
    <n v="111.7"/>
    <n v="115.6"/>
  </r>
  <r>
    <x v="2"/>
    <n v="2014"/>
    <s v="May"/>
    <x v="17"/>
    <n v="118.9"/>
    <n v="116.8"/>
    <n v="117.6"/>
    <n v="114.3"/>
    <n v="112.5"/>
    <n v="111.8"/>
    <n v="115.8"/>
  </r>
  <r>
    <x v="0"/>
    <n v="2014"/>
    <s v="June"/>
    <x v="18"/>
    <n v="119.5"/>
    <n v="117.3"/>
    <n v="119.3"/>
    <m/>
    <n v="114.4"/>
    <n v="112.3"/>
    <n v="117"/>
  </r>
  <r>
    <x v="1"/>
    <n v="2014"/>
    <s v="June"/>
    <x v="18"/>
    <n v="122"/>
    <n v="119"/>
    <n v="116.7"/>
    <n v="113.9"/>
    <n v="111.2"/>
    <n v="112.2"/>
    <n v="116.4"/>
  </r>
  <r>
    <x v="2"/>
    <n v="2014"/>
    <s v="June"/>
    <x v="18"/>
    <n v="120.4"/>
    <n v="117.8"/>
    <n v="118.3"/>
    <n v="113.9"/>
    <n v="113.2"/>
    <n v="112.3"/>
    <n v="116.7"/>
  </r>
  <r>
    <x v="0"/>
    <n v="2014"/>
    <s v="July"/>
    <x v="19"/>
    <n v="123.3"/>
    <n v="118"/>
    <n v="120.3"/>
    <m/>
    <n v="115.3"/>
    <n v="113.1"/>
    <n v="119.5"/>
  </r>
  <r>
    <x v="1"/>
    <n v="2014"/>
    <s v="July"/>
    <x v="19"/>
    <n v="127.1"/>
    <n v="121"/>
    <n v="117.4"/>
    <n v="114.8"/>
    <n v="111.6"/>
    <n v="113.5"/>
    <n v="118.9"/>
  </r>
  <r>
    <x v="2"/>
    <n v="2014"/>
    <s v="July"/>
    <x v="19"/>
    <n v="124.7"/>
    <n v="118.8"/>
    <n v="119.1"/>
    <n v="114.8"/>
    <n v="113.9"/>
    <n v="113.3"/>
    <n v="119.2"/>
  </r>
  <r>
    <x v="0"/>
    <n v="2014"/>
    <s v="August"/>
    <x v="20"/>
    <n v="125.3"/>
    <n v="118.8"/>
    <n v="120.7"/>
    <m/>
    <n v="115.4"/>
    <n v="113.5"/>
    <n v="120.7"/>
  </r>
  <r>
    <x v="1"/>
    <n v="2014"/>
    <s v="August"/>
    <x v="20"/>
    <n v="128.9"/>
    <n v="123"/>
    <n v="117.9"/>
    <n v="115.5"/>
    <n v="111.8"/>
    <n v="113.9"/>
    <n v="119.9"/>
  </r>
  <r>
    <x v="2"/>
    <n v="2014"/>
    <s v="August"/>
    <x v="20"/>
    <n v="126.6"/>
    <n v="119.9"/>
    <n v="119.6"/>
    <n v="115.5"/>
    <n v="114"/>
    <n v="113.7"/>
    <n v="120.3"/>
  </r>
  <r>
    <x v="0"/>
    <n v="2014"/>
    <s v="September"/>
    <x v="21"/>
    <n v="125.3"/>
    <n v="119.5"/>
    <n v="121.3"/>
    <m/>
    <n v="115.8"/>
    <n v="113.7"/>
    <n v="120.9"/>
  </r>
  <r>
    <x v="1"/>
    <n v="2014"/>
    <s v="September"/>
    <x v="21"/>
    <n v="126.7"/>
    <n v="124.3"/>
    <n v="118.4"/>
    <n v="116.1"/>
    <n v="111.8"/>
    <n v="113.6"/>
    <n v="119.2"/>
  </r>
  <r>
    <x v="2"/>
    <n v="2014"/>
    <s v="September"/>
    <x v="21"/>
    <n v="125.8"/>
    <n v="120.8"/>
    <n v="120.1"/>
    <n v="116.1"/>
    <n v="114.3"/>
    <n v="113.7"/>
    <n v="120.1"/>
  </r>
  <r>
    <x v="0"/>
    <n v="2014"/>
    <s v="October"/>
    <x v="22"/>
    <n v="125.1"/>
    <n v="120"/>
    <n v="122.3"/>
    <m/>
    <n v="116.4"/>
    <n v="114"/>
    <n v="121"/>
  </r>
  <r>
    <x v="1"/>
    <n v="2014"/>
    <s v="October"/>
    <x v="22"/>
    <n v="125.8"/>
    <n v="124.3"/>
    <n v="118.9"/>
    <n v="116.7"/>
    <n v="112"/>
    <n v="113.7"/>
    <n v="119.1"/>
  </r>
  <r>
    <x v="2"/>
    <n v="2014"/>
    <s v="October"/>
    <x v="22"/>
    <n v="125.4"/>
    <n v="121.1"/>
    <n v="121"/>
    <n v="116.7"/>
    <n v="114.7"/>
    <n v="113.9"/>
    <n v="120.1"/>
  </r>
  <r>
    <x v="0"/>
    <n v="2014"/>
    <s v="November"/>
    <x v="23"/>
    <n v="124.9"/>
    <n v="120.8"/>
    <n v="122.9"/>
    <m/>
    <n v="117.3"/>
    <n v="114.1"/>
    <n v="121.1"/>
  </r>
  <r>
    <x v="1"/>
    <n v="2014"/>
    <s v="November"/>
    <x v="23"/>
    <n v="125.4"/>
    <n v="125.8"/>
    <n v="119.5"/>
    <n v="117.1"/>
    <n v="112.6"/>
    <n v="113.4"/>
    <n v="119"/>
  </r>
  <r>
    <x v="2"/>
    <n v="2014"/>
    <s v="November"/>
    <x v="23"/>
    <n v="125.1"/>
    <n v="122.1"/>
    <n v="121.6"/>
    <n v="117.1"/>
    <n v="115.5"/>
    <n v="113.8"/>
    <n v="120.1"/>
  </r>
  <r>
    <x v="0"/>
    <n v="2014"/>
    <s v="December"/>
    <x v="24"/>
    <n v="123.3"/>
    <n v="121.7"/>
    <n v="123.3"/>
    <m/>
    <n v="117.4"/>
    <n v="114.2"/>
    <n v="120.3"/>
  </r>
  <r>
    <x v="1"/>
    <n v="2014"/>
    <s v="December"/>
    <x v="24"/>
    <n v="124"/>
    <n v="126.4"/>
    <n v="120"/>
    <n v="116.5"/>
    <n v="113"/>
    <n v="113.4"/>
    <n v="118.4"/>
  </r>
  <r>
    <x v="2"/>
    <n v="2014"/>
    <s v="December"/>
    <x v="24"/>
    <n v="123.6"/>
    <n v="123"/>
    <n v="122"/>
    <n v="116.5"/>
    <n v="115.7"/>
    <n v="113.8"/>
    <n v="119.4"/>
  </r>
  <r>
    <x v="0"/>
    <n v="2015"/>
    <s v="January"/>
    <x v="25"/>
    <n v="122.8"/>
    <n v="122.7"/>
    <n v="124"/>
    <m/>
    <n v="118.4"/>
    <n v="114.5"/>
    <n v="120.3"/>
  </r>
  <r>
    <x v="1"/>
    <n v="2015"/>
    <s v="January"/>
    <x v="25"/>
    <n v="123.5"/>
    <n v="127.4"/>
    <n v="120.2"/>
    <n v="117.3"/>
    <n v="113.4"/>
    <n v="113.4"/>
    <n v="118.5"/>
  </r>
  <r>
    <x v="2"/>
    <n v="2015"/>
    <s v="January"/>
    <x v="25"/>
    <n v="123.1"/>
    <n v="124"/>
    <n v="122.5"/>
    <n v="117.3"/>
    <n v="116.5"/>
    <n v="114"/>
    <n v="119.5"/>
  </r>
  <r>
    <x v="0"/>
    <n v="2015"/>
    <s v="February"/>
    <x v="26"/>
    <n v="122.8"/>
    <n v="124.2"/>
    <n v="125"/>
    <m/>
    <n v="120"/>
    <n v="115"/>
    <n v="120.6"/>
  </r>
  <r>
    <x v="1"/>
    <n v="2015"/>
    <s v="February"/>
    <x v="26"/>
    <n v="123.7"/>
    <n v="128.1"/>
    <n v="120.6"/>
    <n v="118.1"/>
    <n v="114"/>
    <n v="113.2"/>
    <n v="118.7"/>
  </r>
  <r>
    <x v="2"/>
    <n v="2015"/>
    <s v="February"/>
    <x v="26"/>
    <n v="123.1"/>
    <n v="125.2"/>
    <n v="123.3"/>
    <n v="118.1"/>
    <n v="117.7"/>
    <n v="114.1"/>
    <n v="119.7"/>
  </r>
  <r>
    <x v="0"/>
    <n v="2015"/>
    <s v="March"/>
    <x v="27"/>
    <n v="123.1"/>
    <n v="124.7"/>
    <n v="125.5"/>
    <m/>
    <n v="120.6"/>
    <n v="115.5"/>
    <n v="121.1"/>
  </r>
  <r>
    <x v="1"/>
    <n v="2015"/>
    <s v="March"/>
    <x v="27"/>
    <n v="123.9"/>
    <n v="128.80000000000001"/>
    <n v="120.9"/>
    <n v="118.6"/>
    <n v="114.4"/>
    <n v="113.8"/>
    <n v="119.1"/>
  </r>
  <r>
    <x v="2"/>
    <n v="2015"/>
    <s v="March"/>
    <x v="27"/>
    <n v="123.4"/>
    <n v="125.8"/>
    <n v="123.7"/>
    <n v="118.6"/>
    <n v="118.3"/>
    <n v="114.7"/>
    <n v="120.2"/>
  </r>
  <r>
    <x v="0"/>
    <n v="2015"/>
    <s v="April"/>
    <x v="28"/>
    <n v="123.6"/>
    <n v="125.7"/>
    <n v="126"/>
    <m/>
    <n v="121.2"/>
    <n v="116"/>
    <n v="121.5"/>
  </r>
  <r>
    <x v="1"/>
    <n v="2015"/>
    <s v="April"/>
    <x v="28"/>
    <n v="124.6"/>
    <n v="130.1"/>
    <n v="121.3"/>
    <n v="119.2"/>
    <n v="114.7"/>
    <n v="114.2"/>
    <n v="119.7"/>
  </r>
  <r>
    <x v="2"/>
    <n v="2015"/>
    <s v="April"/>
    <x v="28"/>
    <n v="124"/>
    <n v="126.9"/>
    <n v="124.1"/>
    <n v="119.2"/>
    <n v="118.7"/>
    <n v="115.1"/>
    <n v="120.7"/>
  </r>
  <r>
    <x v="0"/>
    <n v="2015"/>
    <s v="May"/>
    <x v="29"/>
    <n v="124.4"/>
    <n v="126.7"/>
    <n v="126.8"/>
    <m/>
    <n v="121.9"/>
    <n v="116.9"/>
    <n v="122.4"/>
  </r>
  <r>
    <x v="1"/>
    <n v="2015"/>
    <s v="May"/>
    <x v="29"/>
    <n v="126.1"/>
    <n v="131.30000000000001"/>
    <n v="121.6"/>
    <n v="119.6"/>
    <n v="114.9"/>
    <n v="115.2"/>
    <n v="120.7"/>
  </r>
  <r>
    <x v="2"/>
    <n v="2015"/>
    <s v="May"/>
    <x v="29"/>
    <n v="125"/>
    <n v="127.9"/>
    <n v="124.7"/>
    <n v="119.6"/>
    <n v="119.2"/>
    <n v="116.1"/>
    <n v="121.6"/>
  </r>
  <r>
    <x v="0"/>
    <n v="2015"/>
    <s v="June"/>
    <x v="30"/>
    <n v="126.6"/>
    <n v="128.19999999999999"/>
    <n v="128"/>
    <m/>
    <n v="122.6"/>
    <n v="117.9"/>
    <n v="124.1"/>
  </r>
  <r>
    <x v="1"/>
    <n v="2015"/>
    <s v="June"/>
    <x v="30"/>
    <n v="128.5"/>
    <n v="132.1"/>
    <n v="122.3"/>
    <n v="119"/>
    <n v="115.1"/>
    <n v="116"/>
    <n v="121.7"/>
  </r>
  <r>
    <x v="2"/>
    <n v="2015"/>
    <s v="June"/>
    <x v="30"/>
    <n v="127.3"/>
    <n v="129.19999999999999"/>
    <n v="125.7"/>
    <n v="119"/>
    <n v="119.8"/>
    <n v="117"/>
    <n v="123"/>
  </r>
  <r>
    <x v="0"/>
    <n v="2015"/>
    <s v="July"/>
    <x v="31"/>
    <n v="127.5"/>
    <n v="129.4"/>
    <n v="128.30000000000001"/>
    <m/>
    <n v="123"/>
    <n v="118.1"/>
    <n v="124.7"/>
  </r>
  <r>
    <x v="1"/>
    <n v="2015"/>
    <s v="July"/>
    <x v="31"/>
    <n v="129.5"/>
    <n v="133.1"/>
    <n v="122.7"/>
    <n v="119.9"/>
    <n v="115.3"/>
    <n v="116.3"/>
    <n v="122.4"/>
  </r>
  <r>
    <x v="2"/>
    <n v="2015"/>
    <s v="July"/>
    <x v="31"/>
    <n v="128.19999999999999"/>
    <n v="130.4"/>
    <n v="126.1"/>
    <n v="119.9"/>
    <n v="120.1"/>
    <n v="117.2"/>
    <n v="123.6"/>
  </r>
  <r>
    <x v="0"/>
    <n v="2015"/>
    <s v="August"/>
    <x v="32"/>
    <n v="129.80000000000001"/>
    <n v="130.1"/>
    <n v="129"/>
    <m/>
    <n v="123.8"/>
    <n v="118.2"/>
    <n v="126.1"/>
  </r>
  <r>
    <x v="1"/>
    <n v="2015"/>
    <s v="August"/>
    <x v="32"/>
    <n v="131.1"/>
    <n v="134.19999999999999"/>
    <n v="122.9"/>
    <n v="120.9"/>
    <n v="115.3"/>
    <n v="116.2"/>
    <n v="123.2"/>
  </r>
  <r>
    <x v="2"/>
    <n v="2015"/>
    <s v="August"/>
    <x v="32"/>
    <n v="130.30000000000001"/>
    <n v="131.19999999999999"/>
    <n v="126.6"/>
    <n v="120.9"/>
    <n v="120.6"/>
    <n v="117.2"/>
    <n v="124.8"/>
  </r>
  <r>
    <x v="0"/>
    <n v="2015"/>
    <s v="September"/>
    <x v="33"/>
    <n v="131"/>
    <n v="131"/>
    <n v="129.9"/>
    <m/>
    <n v="123.7"/>
    <n v="118.8"/>
    <n v="127"/>
  </r>
  <r>
    <x v="1"/>
    <n v="2015"/>
    <s v="September"/>
    <x v="33"/>
    <n v="131.5"/>
    <n v="134.69999999999999"/>
    <n v="123.2"/>
    <n v="121.6"/>
    <n v="115.1"/>
    <n v="116.2"/>
    <n v="123.5"/>
  </r>
  <r>
    <x v="2"/>
    <n v="2015"/>
    <s v="September"/>
    <x v="33"/>
    <n v="131.19999999999999"/>
    <n v="132"/>
    <n v="127.2"/>
    <n v="121.6"/>
    <n v="120.4"/>
    <n v="117.5"/>
    <n v="125.4"/>
  </r>
  <r>
    <x v="0"/>
    <n v="2015"/>
    <s v="October"/>
    <x v="34"/>
    <n v="131.80000000000001"/>
    <n v="131.5"/>
    <n v="130.6"/>
    <m/>
    <n v="124.4"/>
    <n v="119.2"/>
    <n v="127.7"/>
  </r>
  <r>
    <x v="1"/>
    <n v="2015"/>
    <s v="October"/>
    <x v="34"/>
    <n v="132.6"/>
    <n v="135.30000000000001"/>
    <n v="123.6"/>
    <n v="122.4"/>
    <n v="114.9"/>
    <n v="116.5"/>
    <n v="124.2"/>
  </r>
  <r>
    <x v="2"/>
    <n v="2015"/>
    <s v="October"/>
    <x v="34"/>
    <n v="132.1"/>
    <n v="132.5"/>
    <n v="127.8"/>
    <n v="122.4"/>
    <n v="120.8"/>
    <n v="117.9"/>
    <n v="126.1"/>
  </r>
  <r>
    <x v="0"/>
    <n v="2015"/>
    <s v="November"/>
    <x v="35"/>
    <n v="132.4"/>
    <n v="132.19999999999999"/>
    <n v="131.5"/>
    <m/>
    <n v="125.6"/>
    <n v="119.6"/>
    <n v="128.30000000000001"/>
  </r>
  <r>
    <x v="1"/>
    <n v="2015"/>
    <s v="November"/>
    <x v="35"/>
    <n v="133.30000000000001"/>
    <n v="137.6"/>
    <n v="124.2"/>
    <n v="122.9"/>
    <n v="115.1"/>
    <n v="116.6"/>
    <n v="124.6"/>
  </r>
  <r>
    <x v="2"/>
    <n v="2015"/>
    <s v="November"/>
    <x v="35"/>
    <n v="132.69999999999999"/>
    <n v="133.6"/>
    <n v="128.6"/>
    <n v="122.9"/>
    <n v="121.6"/>
    <n v="118.1"/>
    <n v="126.6"/>
  </r>
  <r>
    <x v="0"/>
    <n v="2015"/>
    <s v="December"/>
    <x v="36"/>
    <n v="131.4"/>
    <n v="133.1"/>
    <n v="131.9"/>
    <m/>
    <n v="125.7"/>
    <n v="119.8"/>
    <n v="127.9"/>
  </r>
  <r>
    <x v="1"/>
    <n v="2015"/>
    <s v="December"/>
    <x v="36"/>
    <n v="131.5"/>
    <n v="138.19999999999999"/>
    <n v="124.5"/>
    <n v="122.4"/>
    <n v="116"/>
    <n v="116.7"/>
    <n v="124"/>
  </r>
  <r>
    <x v="2"/>
    <n v="2015"/>
    <s v="December"/>
    <x v="36"/>
    <n v="131.4"/>
    <n v="134.5"/>
    <n v="129"/>
    <n v="122.4"/>
    <n v="122"/>
    <n v="118.3"/>
    <n v="126.1"/>
  </r>
  <r>
    <x v="0"/>
    <n v="2016"/>
    <s v="January"/>
    <x v="37"/>
    <n v="131.4"/>
    <n v="133.6"/>
    <n v="132.6"/>
    <m/>
    <n v="126.2"/>
    <n v="120.1"/>
    <n v="128.1"/>
  </r>
  <r>
    <x v="1"/>
    <n v="2016"/>
    <s v="January"/>
    <x v="37"/>
    <n v="131.19999999999999"/>
    <n v="139.5"/>
    <n v="124.9"/>
    <n v="123.4"/>
    <n v="116.9"/>
    <n v="116.8"/>
    <n v="124.2"/>
  </r>
  <r>
    <x v="2"/>
    <n v="2016"/>
    <s v="January"/>
    <x v="37"/>
    <n v="131.30000000000001"/>
    <n v="135.19999999999999"/>
    <n v="129.5"/>
    <n v="123.4"/>
    <n v="122.7"/>
    <n v="118.5"/>
    <n v="126.3"/>
  </r>
  <r>
    <x v="0"/>
    <n v="2016"/>
    <s v="February"/>
    <x v="38"/>
    <n v="130.30000000000001"/>
    <n v="134.4"/>
    <n v="133.4"/>
    <m/>
    <n v="127.5"/>
    <n v="120.9"/>
    <n v="127.9"/>
  </r>
  <r>
    <x v="1"/>
    <n v="2016"/>
    <s v="February"/>
    <x v="38"/>
    <n v="129.1"/>
    <n v="140"/>
    <n v="125.3"/>
    <n v="124.4"/>
    <n v="116"/>
    <n v="117.2"/>
    <n v="123.8"/>
  </r>
  <r>
    <x v="2"/>
    <n v="2016"/>
    <s v="February"/>
    <x v="38"/>
    <n v="129.9"/>
    <n v="135.9"/>
    <n v="130.19999999999999"/>
    <n v="124.4"/>
    <n v="123.1"/>
    <n v="119.1"/>
    <n v="126"/>
  </r>
  <r>
    <x v="0"/>
    <n v="2016"/>
    <s v="March"/>
    <x v="39"/>
    <n v="130.4"/>
    <n v="135"/>
    <n v="133.80000000000001"/>
    <m/>
    <n v="127"/>
    <n v="121.1"/>
    <n v="128"/>
  </r>
  <r>
    <x v="1"/>
    <n v="2016"/>
    <s v="March"/>
    <x v="39"/>
    <n v="128.9"/>
    <n v="140.6"/>
    <n v="125.5"/>
    <n v="124.9"/>
    <n v="114.8"/>
    <n v="117.3"/>
    <n v="123.8"/>
  </r>
  <r>
    <x v="2"/>
    <n v="2016"/>
    <s v="March"/>
    <x v="39"/>
    <n v="129.80000000000001"/>
    <n v="136.5"/>
    <n v="130.5"/>
    <n v="124.9"/>
    <n v="122.4"/>
    <n v="119.3"/>
    <n v="126"/>
  </r>
  <r>
    <x v="0"/>
    <n v="2016"/>
    <s v="April"/>
    <x v="40"/>
    <n v="131.80000000000001"/>
    <n v="135.5"/>
    <n v="134.4"/>
    <m/>
    <n v="127"/>
    <n v="121.7"/>
    <n v="129"/>
  </r>
  <r>
    <x v="1"/>
    <n v="2016"/>
    <s v="April"/>
    <x v="40"/>
    <n v="131.80000000000001"/>
    <n v="141.5"/>
    <n v="125.8"/>
    <n v="125.6"/>
    <n v="114.6"/>
    <n v="118.2"/>
    <n v="125.3"/>
  </r>
  <r>
    <x v="2"/>
    <n v="2016"/>
    <s v="April"/>
    <x v="40"/>
    <n v="131.80000000000001"/>
    <n v="137.1"/>
    <n v="131"/>
    <n v="125.6"/>
    <n v="122.3"/>
    <n v="120"/>
    <n v="127.3"/>
  </r>
  <r>
    <x v="0"/>
    <n v="2016"/>
    <s v="May"/>
    <x v="41"/>
    <n v="133.6"/>
    <n v="136"/>
    <n v="134.80000000000001"/>
    <m/>
    <n v="127.4"/>
    <n v="122.5"/>
    <n v="130.30000000000001"/>
  </r>
  <r>
    <x v="1"/>
    <n v="2016"/>
    <s v="May"/>
    <x v="41"/>
    <n v="134.6"/>
    <n v="142.19999999999999"/>
    <n v="126.2"/>
    <n v="126"/>
    <n v="115"/>
    <n v="118.7"/>
    <n v="126.6"/>
  </r>
  <r>
    <x v="2"/>
    <n v="2016"/>
    <s v="May"/>
    <x v="41"/>
    <n v="134"/>
    <n v="137.69999999999999"/>
    <n v="131.4"/>
    <n v="126"/>
    <n v="122.7"/>
    <n v="120.7"/>
    <n v="128.6"/>
  </r>
  <r>
    <x v="0"/>
    <n v="2016"/>
    <s v="June"/>
    <x v="42"/>
    <n v="136"/>
    <n v="137.19999999999999"/>
    <n v="135.6"/>
    <m/>
    <n v="128"/>
    <n v="123.3"/>
    <n v="131.9"/>
  </r>
  <r>
    <x v="1"/>
    <n v="2016"/>
    <s v="June"/>
    <x v="42"/>
    <n v="138.19999999999999"/>
    <n v="142.69999999999999"/>
    <n v="126.6"/>
    <n v="125.5"/>
    <n v="115.5"/>
    <n v="119.6"/>
    <n v="128.1"/>
  </r>
  <r>
    <x v="2"/>
    <n v="2016"/>
    <s v="June"/>
    <x v="42"/>
    <n v="136.80000000000001"/>
    <n v="138.69999999999999"/>
    <n v="132"/>
    <n v="125.5"/>
    <n v="123.3"/>
    <n v="121.5"/>
    <n v="130.1"/>
  </r>
  <r>
    <x v="0"/>
    <n v="2016"/>
    <s v="July"/>
    <x v="43"/>
    <n v="137.6"/>
    <n v="138"/>
    <n v="136.5"/>
    <m/>
    <n v="128.19999999999999"/>
    <n v="123.8"/>
    <n v="133"/>
  </r>
  <r>
    <x v="1"/>
    <n v="2016"/>
    <s v="July"/>
    <x v="43"/>
    <n v="139.80000000000001"/>
    <n v="142.9"/>
    <n v="126.9"/>
    <n v="126.4"/>
    <n v="115.5"/>
    <n v="119.9"/>
    <n v="129"/>
  </r>
  <r>
    <x v="2"/>
    <n v="2016"/>
    <s v="July"/>
    <x v="43"/>
    <n v="138.4"/>
    <n v="139.30000000000001"/>
    <n v="132.69999999999999"/>
    <n v="126.4"/>
    <n v="123.4"/>
    <n v="121.9"/>
    <n v="131.1"/>
  </r>
  <r>
    <x v="0"/>
    <n v="2016"/>
    <s v="August"/>
    <x v="44"/>
    <n v="138"/>
    <n v="138.9"/>
    <n v="137.1"/>
    <m/>
    <n v="129.1"/>
    <n v="124.2"/>
    <n v="133.5"/>
  </r>
  <r>
    <x v="1"/>
    <n v="2016"/>
    <s v="August"/>
    <x v="44"/>
    <n v="137.6"/>
    <n v="143.6"/>
    <n v="127.3"/>
    <n v="127.3"/>
    <n v="114.7"/>
    <n v="119.9"/>
    <n v="128.4"/>
  </r>
  <r>
    <x v="2"/>
    <n v="2016"/>
    <s v="August"/>
    <x v="44"/>
    <n v="137.9"/>
    <n v="140.19999999999999"/>
    <n v="133.19999999999999"/>
    <n v="127.3"/>
    <n v="123.6"/>
    <n v="122.1"/>
    <n v="131.1"/>
  </r>
  <r>
    <x v="0"/>
    <n v="2016"/>
    <s v="September"/>
    <x v="45"/>
    <n v="137.19999999999999"/>
    <n v="139.9"/>
    <n v="137.80000000000001"/>
    <m/>
    <n v="129.69999999999999"/>
    <n v="124.9"/>
    <n v="133.4"/>
  </r>
  <r>
    <x v="1"/>
    <n v="2016"/>
    <s v="September"/>
    <x v="45"/>
    <n v="135.69999999999999"/>
    <n v="143.9"/>
    <n v="127.7"/>
    <n v="127.9"/>
    <n v="114.8"/>
    <n v="120.5"/>
    <n v="128"/>
  </r>
  <r>
    <x v="2"/>
    <n v="2016"/>
    <s v="September"/>
    <x v="45"/>
    <n v="136.6"/>
    <n v="141"/>
    <n v="133.80000000000001"/>
    <n v="127.9"/>
    <n v="124.1"/>
    <n v="122.8"/>
    <n v="130.9"/>
  </r>
  <r>
    <x v="0"/>
    <n v="2016"/>
    <s v="October"/>
    <x v="46"/>
    <n v="137.4"/>
    <n v="140.9"/>
    <n v="138.80000000000001"/>
    <m/>
    <n v="129.80000000000001"/>
    <n v="125.7"/>
    <n v="133.80000000000001"/>
  </r>
  <r>
    <x v="1"/>
    <n v="2016"/>
    <s v="October"/>
    <x v="46"/>
    <n v="136.30000000000001"/>
    <n v="144.30000000000001"/>
    <n v="128"/>
    <n v="128.69999999999999"/>
    <n v="115.2"/>
    <n v="120.9"/>
    <n v="128.6"/>
  </r>
  <r>
    <x v="2"/>
    <n v="2016"/>
    <s v="October"/>
    <x v="46"/>
    <n v="137"/>
    <n v="141.80000000000001"/>
    <n v="134.5"/>
    <n v="128.69999999999999"/>
    <n v="124.3"/>
    <n v="123.4"/>
    <n v="131.4"/>
  </r>
  <r>
    <x v="0"/>
    <n v="2016"/>
    <s v="November"/>
    <x v="47"/>
    <n v="136.6"/>
    <n v="141.19999999999999"/>
    <n v="139.19999999999999"/>
    <m/>
    <n v="130.30000000000001"/>
    <n v="126.1"/>
    <n v="133.6"/>
  </r>
  <r>
    <x v="1"/>
    <n v="2016"/>
    <s v="November"/>
    <x v="47"/>
    <n v="135.19999999999999"/>
    <n v="144.30000000000001"/>
    <n v="128.5"/>
    <n v="129.1"/>
    <n v="116.2"/>
    <n v="121.3"/>
    <n v="128.5"/>
  </r>
  <r>
    <x v="2"/>
    <n v="2016"/>
    <s v="November"/>
    <x v="47"/>
    <n v="136.1"/>
    <n v="142"/>
    <n v="135"/>
    <n v="129.1"/>
    <n v="125"/>
    <n v="123.8"/>
    <n v="131.19999999999999"/>
  </r>
  <r>
    <x v="0"/>
    <n v="2016"/>
    <s v="December"/>
    <x v="48"/>
    <n v="134.69999999999999"/>
    <n v="142.4"/>
    <n v="139.69999999999999"/>
    <m/>
    <n v="132"/>
    <n v="126.3"/>
    <n v="132.80000000000001"/>
  </r>
  <r>
    <x v="1"/>
    <n v="2016"/>
    <s v="December"/>
    <x v="48"/>
    <n v="132.80000000000001"/>
    <n v="145"/>
    <n v="128.80000000000001"/>
    <n v="128.5"/>
    <n v="117.8"/>
    <n v="121.4"/>
    <n v="127.6"/>
  </r>
  <r>
    <x v="2"/>
    <n v="2016"/>
    <s v="December"/>
    <x v="48"/>
    <n v="134"/>
    <n v="143.1"/>
    <n v="135.4"/>
    <n v="128.5"/>
    <n v="126.6"/>
    <n v="123.9"/>
    <n v="130.4"/>
  </r>
  <r>
    <x v="0"/>
    <n v="2017"/>
    <s v="January"/>
    <x v="49"/>
    <n v="133.69999999999999"/>
    <n v="143.1"/>
    <n v="140"/>
    <m/>
    <n v="132.1"/>
    <n v="126.6"/>
    <n v="132.4"/>
  </r>
  <r>
    <x v="1"/>
    <n v="2017"/>
    <s v="January"/>
    <x v="49"/>
    <n v="132"/>
    <n v="145.6"/>
    <n v="129"/>
    <n v="129.6"/>
    <n v="118"/>
    <n v="122.1"/>
    <n v="127.8"/>
  </r>
  <r>
    <x v="2"/>
    <n v="2017"/>
    <s v="January"/>
    <x v="49"/>
    <n v="133.1"/>
    <n v="143.80000000000001"/>
    <n v="135.6"/>
    <n v="129.6"/>
    <n v="126.8"/>
    <n v="124.4"/>
    <n v="130.30000000000001"/>
  </r>
  <r>
    <x v="0"/>
    <n v="2017"/>
    <s v="February"/>
    <x v="50"/>
    <n v="133.6"/>
    <n v="143.69999999999999"/>
    <n v="140.19999999999999"/>
    <m/>
    <n v="133.19999999999999"/>
    <n v="127"/>
    <n v="132.6"/>
  </r>
  <r>
    <x v="1"/>
    <n v="2017"/>
    <s v="February"/>
    <x v="50"/>
    <n v="132.1"/>
    <n v="146.30000000000001"/>
    <n v="129.30000000000001"/>
    <n v="130.5"/>
    <n v="119.2"/>
    <n v="122.4"/>
    <n v="128.19999999999999"/>
  </r>
  <r>
    <x v="2"/>
    <n v="2017"/>
    <s v="February"/>
    <x v="50"/>
    <n v="133"/>
    <n v="144.4"/>
    <n v="135.9"/>
    <n v="130.5"/>
    <n v="127.9"/>
    <n v="124.8"/>
    <n v="130.6"/>
  </r>
  <r>
    <x v="0"/>
    <n v="2017"/>
    <s v="March"/>
    <x v="51"/>
    <n v="133.4"/>
    <n v="144.19999999999999"/>
    <n v="140.80000000000001"/>
    <m/>
    <n v="134.19999999999999"/>
    <n v="127.4"/>
    <n v="132.80000000000001"/>
  </r>
  <r>
    <x v="1"/>
    <n v="2017"/>
    <s v="March"/>
    <x v="51"/>
    <n v="132.6"/>
    <n v="147.5"/>
    <n v="129.6"/>
    <n v="131.1"/>
    <n v="120.8"/>
    <n v="122.6"/>
    <n v="128.69999999999999"/>
  </r>
  <r>
    <x v="2"/>
    <n v="2017"/>
    <s v="March"/>
    <x v="51"/>
    <n v="133.1"/>
    <n v="145.1"/>
    <n v="136.4"/>
    <n v="131.1"/>
    <n v="129.1"/>
    <n v="125.1"/>
    <n v="130.9"/>
  </r>
  <r>
    <x v="0"/>
    <n v="2017"/>
    <s v="April"/>
    <x v="52"/>
    <n v="133.5"/>
    <n v="144.4"/>
    <n v="141.6"/>
    <m/>
    <n v="135"/>
    <n v="127.5"/>
    <n v="132.9"/>
  </r>
  <r>
    <x v="1"/>
    <n v="2017"/>
    <s v="April"/>
    <x v="52"/>
    <n v="133.4"/>
    <n v="148"/>
    <n v="130"/>
    <n v="131.69999999999999"/>
    <n v="121.4"/>
    <n v="122.5"/>
    <n v="129.1"/>
  </r>
  <r>
    <x v="2"/>
    <n v="2017"/>
    <s v="April"/>
    <x v="52"/>
    <n v="133.5"/>
    <n v="145.4"/>
    <n v="137"/>
    <n v="131.69999999999999"/>
    <n v="129.80000000000001"/>
    <n v="125.1"/>
    <n v="131.1"/>
  </r>
  <r>
    <x v="0"/>
    <n v="2017"/>
    <s v="May"/>
    <x v="53"/>
    <n v="133.80000000000001"/>
    <n v="145.5"/>
    <n v="141.80000000000001"/>
    <m/>
    <n v="135"/>
    <n v="127.9"/>
    <n v="133.30000000000001"/>
  </r>
  <r>
    <x v="1"/>
    <n v="2017"/>
    <s v="May"/>
    <x v="53"/>
    <n v="133.6"/>
    <n v="148.30000000000001"/>
    <n v="130.19999999999999"/>
    <n v="132.1"/>
    <n v="120.1"/>
    <n v="122.6"/>
    <n v="129.30000000000001"/>
  </r>
  <r>
    <x v="2"/>
    <n v="2017"/>
    <s v="May"/>
    <x v="53"/>
    <n v="133.69999999999999"/>
    <n v="146.19999999999999"/>
    <n v="137.19999999999999"/>
    <n v="132.1"/>
    <n v="129.4"/>
    <n v="125.3"/>
    <n v="131.4"/>
  </r>
  <r>
    <x v="0"/>
    <n v="2017"/>
    <s v="June"/>
    <x v="54"/>
    <n v="134.9"/>
    <n v="145.80000000000001"/>
    <n v="142.30000000000001"/>
    <m/>
    <n v="134.80000000000001"/>
    <n v="128.1"/>
    <n v="133.9"/>
  </r>
  <r>
    <x v="1"/>
    <n v="2017"/>
    <s v="June"/>
    <x v="54"/>
    <n v="135.69999999999999"/>
    <n v="148.6"/>
    <n v="130.19999999999999"/>
    <n v="131.4"/>
    <n v="119"/>
    <n v="122.7"/>
    <n v="129.9"/>
  </r>
  <r>
    <x v="2"/>
    <n v="2017"/>
    <s v="June"/>
    <x v="54"/>
    <n v="135.19999999999999"/>
    <n v="146.5"/>
    <n v="137.5"/>
    <n v="131.4"/>
    <n v="128.80000000000001"/>
    <n v="125.5"/>
    <n v="132"/>
  </r>
  <r>
    <x v="0"/>
    <n v="2017"/>
    <s v="July"/>
    <x v="55"/>
    <n v="138.5"/>
    <n v="147.4"/>
    <n v="143.5"/>
    <m/>
    <n v="135.30000000000001"/>
    <n v="128.6"/>
    <n v="136.19999999999999"/>
  </r>
  <r>
    <x v="1"/>
    <n v="2017"/>
    <s v="July"/>
    <x v="55"/>
    <n v="139.80000000000001"/>
    <n v="150.5"/>
    <n v="130.4"/>
    <n v="132.6"/>
    <n v="119.7"/>
    <n v="123"/>
    <n v="131.80000000000001"/>
  </r>
  <r>
    <x v="2"/>
    <n v="2017"/>
    <s v="July"/>
    <x v="55"/>
    <n v="139"/>
    <n v="148.19999999999999"/>
    <n v="138.30000000000001"/>
    <n v="132.6"/>
    <n v="129.4"/>
    <n v="125.9"/>
    <n v="134.19999999999999"/>
  </r>
  <r>
    <x v="0"/>
    <n v="2017"/>
    <s v="August"/>
    <x v="56"/>
    <n v="140.6"/>
    <n v="149"/>
    <n v="144.5"/>
    <m/>
    <n v="136.4"/>
    <n v="129.69999999999999"/>
    <n v="137.80000000000001"/>
  </r>
  <r>
    <x v="1"/>
    <n v="2017"/>
    <s v="August"/>
    <x v="56"/>
    <n v="140.5"/>
    <n v="152.1"/>
    <n v="131.4"/>
    <n v="134.4"/>
    <n v="118.9"/>
    <n v="123.8"/>
    <n v="132.69999999999999"/>
  </r>
  <r>
    <x v="2"/>
    <n v="2017"/>
    <s v="August"/>
    <x v="56"/>
    <n v="140.6"/>
    <n v="149.80000000000001"/>
    <n v="139.30000000000001"/>
    <n v="134.4"/>
    <n v="129.80000000000001"/>
    <n v="126.8"/>
    <n v="135.4"/>
  </r>
  <r>
    <x v="0"/>
    <n v="2017"/>
    <s v="September"/>
    <x v="57"/>
    <n v="139.6"/>
    <n v="149.80000000000001"/>
    <n v="145.19999999999999"/>
    <m/>
    <n v="137.4"/>
    <n v="130.30000000000001"/>
    <n v="137.6"/>
  </r>
  <r>
    <x v="1"/>
    <n v="2017"/>
    <s v="September"/>
    <x v="57"/>
    <n v="138"/>
    <n v="153.6"/>
    <n v="132"/>
    <n v="135.69999999999999"/>
    <n v="120.6"/>
    <n v="124.5"/>
    <n v="132.4"/>
  </r>
  <r>
    <x v="2"/>
    <n v="2017"/>
    <s v="September"/>
    <x v="57"/>
    <n v="139"/>
    <n v="150.80000000000001"/>
    <n v="140"/>
    <n v="135.69999999999999"/>
    <n v="131"/>
    <n v="127.5"/>
    <n v="135.19999999999999"/>
  </r>
  <r>
    <x v="0"/>
    <n v="2017"/>
    <s v="October"/>
    <x v="58"/>
    <n v="140.4"/>
    <n v="150.5"/>
    <n v="146.19999999999999"/>
    <m/>
    <n v="138.1"/>
    <n v="130.69999999999999"/>
    <n v="138.30000000000001"/>
  </r>
  <r>
    <x v="1"/>
    <n v="2017"/>
    <s v="October"/>
    <x v="58"/>
    <n v="139.69999999999999"/>
    <n v="154.6"/>
    <n v="132.6"/>
    <n v="137.30000000000001"/>
    <n v="122.6"/>
    <n v="124.5"/>
    <n v="133.5"/>
  </r>
  <r>
    <x v="2"/>
    <n v="2017"/>
    <s v="October"/>
    <x v="58"/>
    <n v="140.1"/>
    <n v="151.6"/>
    <n v="140.80000000000001"/>
    <n v="137.30000000000001"/>
    <n v="132.19999999999999"/>
    <n v="127.7"/>
    <n v="136.1"/>
  </r>
  <r>
    <x v="0"/>
    <n v="2017"/>
    <s v="November"/>
    <x v="59"/>
    <n v="142.4"/>
    <n v="152.1"/>
    <n v="147.30000000000001"/>
    <m/>
    <n v="141.1"/>
    <n v="131.69999999999999"/>
    <n v="140"/>
  </r>
  <r>
    <x v="1"/>
    <n v="2017"/>
    <s v="November"/>
    <x v="59"/>
    <n v="141.5"/>
    <n v="156.19999999999999"/>
    <n v="133.5"/>
    <n v="138.6"/>
    <n v="125.7"/>
    <n v="124.9"/>
    <n v="134.80000000000001"/>
  </r>
  <r>
    <x v="2"/>
    <n v="2017"/>
    <s v="November"/>
    <x v="59"/>
    <n v="142.1"/>
    <n v="153.19999999999999"/>
    <n v="141.80000000000001"/>
    <n v="138.6"/>
    <n v="135.30000000000001"/>
    <n v="128.4"/>
    <n v="137.6"/>
  </r>
  <r>
    <x v="0"/>
    <n v="2017"/>
    <s v="December"/>
    <x v="60"/>
    <n v="141.5"/>
    <n v="153.19999999999999"/>
    <n v="147.19999999999999"/>
    <m/>
    <n v="142.6"/>
    <n v="131.9"/>
    <n v="139.80000000000001"/>
  </r>
  <r>
    <x v="1"/>
    <n v="2017"/>
    <s v="December"/>
    <x v="60"/>
    <n v="138.80000000000001"/>
    <n v="157"/>
    <n v="134"/>
    <n v="139.1"/>
    <n v="126.8"/>
    <n v="125.1"/>
    <n v="134.1"/>
  </r>
  <r>
    <x v="2"/>
    <n v="2017"/>
    <s v="December"/>
    <x v="60"/>
    <n v="140.5"/>
    <n v="154.19999999999999"/>
    <n v="142"/>
    <n v="139.1"/>
    <n v="136.6"/>
    <n v="128.6"/>
    <n v="137.19999999999999"/>
  </r>
  <r>
    <x v="0"/>
    <n v="2018"/>
    <s v="January"/>
    <x v="61"/>
    <n v="140.4"/>
    <n v="153.6"/>
    <n v="147.5"/>
    <m/>
    <n v="142.30000000000001"/>
    <n v="132.30000000000001"/>
    <n v="139.30000000000001"/>
  </r>
  <r>
    <x v="1"/>
    <n v="2018"/>
    <s v="January"/>
    <x v="61"/>
    <n v="137.19999999999999"/>
    <n v="157.69999999999999"/>
    <n v="134.4"/>
    <n v="140.4"/>
    <n v="127.3"/>
    <n v="125.8"/>
    <n v="134.1"/>
  </r>
  <r>
    <x v="2"/>
    <n v="2018"/>
    <s v="January"/>
    <x v="61"/>
    <n v="139.19999999999999"/>
    <n v="154.69999999999999"/>
    <n v="142.30000000000001"/>
    <n v="140.4"/>
    <n v="136.6"/>
    <n v="129.1"/>
    <n v="136.9"/>
  </r>
  <r>
    <x v="0"/>
    <n v="2018"/>
    <s v="February"/>
    <x v="62"/>
    <n v="138.69999999999999"/>
    <n v="153.30000000000001"/>
    <n v="147.80000000000001"/>
    <m/>
    <n v="142.4"/>
    <n v="132.5"/>
    <n v="138.5"/>
  </r>
  <r>
    <x v="1"/>
    <n v="2018"/>
    <s v="February"/>
    <x v="62"/>
    <n v="135.6"/>
    <n v="159.30000000000001"/>
    <n v="134.69999999999999"/>
    <n v="141.30000000000001"/>
    <n v="127.3"/>
    <n v="126.5"/>
    <n v="134"/>
  </r>
  <r>
    <x v="2"/>
    <n v="2018"/>
    <s v="February"/>
    <x v="62"/>
    <n v="137.6"/>
    <n v="154.9"/>
    <n v="142.6"/>
    <n v="141.30000000000001"/>
    <n v="136.69999999999999"/>
    <n v="129.6"/>
    <n v="136.4"/>
  </r>
  <r>
    <x v="0"/>
    <n v="2018"/>
    <s v="March"/>
    <x v="63"/>
    <n v="138.6"/>
    <n v="155.1"/>
    <n v="148.30000000000001"/>
    <m/>
    <n v="142.6"/>
    <n v="133.30000000000001"/>
    <n v="138.69999999999999"/>
  </r>
  <r>
    <x v="1"/>
    <n v="2018"/>
    <s v="March"/>
    <x v="63"/>
    <n v="134.80000000000001"/>
    <n v="159.69999999999999"/>
    <n v="135.19999999999999"/>
    <n v="142"/>
    <n v="126.4"/>
    <n v="127.1"/>
    <n v="134"/>
  </r>
  <r>
    <x v="2"/>
    <n v="2018"/>
    <s v="March"/>
    <x v="63"/>
    <n v="137.19999999999999"/>
    <n v="156.30000000000001"/>
    <n v="143.1"/>
    <n v="142"/>
    <n v="136.5"/>
    <n v="130.30000000000001"/>
    <n v="136.5"/>
  </r>
  <r>
    <x v="0"/>
    <n v="2018"/>
    <s v="April"/>
    <x v="64"/>
    <n v="138.6"/>
    <n v="156.1"/>
    <n v="149.1"/>
    <m/>
    <n v="143.80000000000001"/>
    <n v="134.19999999999999"/>
    <n v="139.1"/>
  </r>
  <r>
    <x v="1"/>
    <n v="2018"/>
    <s v="April"/>
    <x v="64"/>
    <n v="135.69999999999999"/>
    <n v="159.19999999999999"/>
    <n v="136.19999999999999"/>
    <n v="142.9"/>
    <n v="124.6"/>
    <n v="128.19999999999999"/>
    <n v="134.80000000000001"/>
  </r>
  <r>
    <x v="2"/>
    <n v="2018"/>
    <s v="April"/>
    <x v="64"/>
    <n v="137.5"/>
    <n v="156.9"/>
    <n v="144"/>
    <n v="142.9"/>
    <n v="136.5"/>
    <n v="131.30000000000001"/>
    <n v="137.1"/>
  </r>
  <r>
    <x v="0"/>
    <n v="2018"/>
    <s v="May"/>
    <x v="65"/>
    <n v="139.1"/>
    <n v="157"/>
    <n v="149.80000000000001"/>
    <m/>
    <n v="144.30000000000001"/>
    <n v="135.1"/>
    <n v="139.80000000000001"/>
  </r>
  <r>
    <x v="1"/>
    <n v="2018"/>
    <s v="May"/>
    <x v="65"/>
    <n v="136.4"/>
    <n v="160.30000000000001"/>
    <n v="137"/>
    <n v="143.19999999999999"/>
    <n v="124.7"/>
    <n v="128.9"/>
    <n v="135.4"/>
  </r>
  <r>
    <x v="2"/>
    <n v="2018"/>
    <s v="May"/>
    <x v="65"/>
    <n v="138.1"/>
    <n v="157.9"/>
    <n v="144.69999999999999"/>
    <n v="143.19999999999999"/>
    <n v="136.9"/>
    <n v="132.1"/>
    <n v="137.80000000000001"/>
  </r>
  <r>
    <x v="0"/>
    <n v="2018"/>
    <s v="June"/>
    <x v="66"/>
    <n v="140"/>
    <n v="157.30000000000001"/>
    <n v="150.30000000000001"/>
    <m/>
    <n v="145.1"/>
    <n v="135.6"/>
    <n v="140.5"/>
  </r>
  <r>
    <x v="1"/>
    <n v="2018"/>
    <s v="June"/>
    <x v="66"/>
    <n v="138.4"/>
    <n v="161"/>
    <n v="137.4"/>
    <n v="142.5"/>
    <n v="126.5"/>
    <n v="129.5"/>
    <n v="136.19999999999999"/>
  </r>
  <r>
    <x v="2"/>
    <n v="2018"/>
    <s v="June"/>
    <x v="66"/>
    <n v="139.4"/>
    <n v="158.30000000000001"/>
    <n v="145.19999999999999"/>
    <n v="142.5"/>
    <n v="138.1"/>
    <n v="132.6"/>
    <n v="138.5"/>
  </r>
  <r>
    <x v="0"/>
    <n v="2018"/>
    <s v="July"/>
    <x v="67"/>
    <n v="142"/>
    <n v="156.1"/>
    <n v="150.6"/>
    <m/>
    <n v="146.80000000000001"/>
    <n v="136"/>
    <n v="141.80000000000001"/>
  </r>
  <r>
    <x v="1"/>
    <n v="2018"/>
    <s v="July"/>
    <x v="67"/>
    <n v="140.30000000000001"/>
    <n v="161.4"/>
    <n v="137.9"/>
    <n v="143.6"/>
    <n v="128.1"/>
    <n v="130.19999999999999"/>
    <n v="137.5"/>
  </r>
  <r>
    <x v="2"/>
    <n v="2018"/>
    <s v="July"/>
    <x v="67"/>
    <n v="141.4"/>
    <n v="157.5"/>
    <n v="145.6"/>
    <n v="143.6"/>
    <n v="139.69999999999999"/>
    <n v="133.19999999999999"/>
    <n v="139.80000000000001"/>
  </r>
  <r>
    <x v="0"/>
    <n v="2018"/>
    <s v="August"/>
    <x v="68"/>
    <n v="142.69999999999999"/>
    <n v="156.4"/>
    <n v="151.30000000000001"/>
    <m/>
    <n v="147.69999999999999"/>
    <n v="136.6"/>
    <n v="142.5"/>
  </r>
  <r>
    <x v="1"/>
    <n v="2018"/>
    <s v="August"/>
    <x v="68"/>
    <n v="140.1"/>
    <n v="162.1"/>
    <n v="138.30000000000001"/>
    <n v="144.6"/>
    <n v="129.80000000000001"/>
    <n v="131"/>
    <n v="138"/>
  </r>
  <r>
    <x v="2"/>
    <n v="2018"/>
    <s v="August"/>
    <x v="68"/>
    <n v="141.69999999999999"/>
    <n v="157.9"/>
    <n v="146.1"/>
    <n v="144.6"/>
    <n v="140.9"/>
    <n v="133.9"/>
    <n v="140.4"/>
  </r>
  <r>
    <x v="0"/>
    <n v="2018"/>
    <s v="September"/>
    <x v="69"/>
    <n v="141.30000000000001"/>
    <n v="157.69999999999999"/>
    <n v="151.30000000000001"/>
    <m/>
    <n v="149"/>
    <n v="137.4"/>
    <n v="142.1"/>
  </r>
  <r>
    <x v="1"/>
    <n v="2018"/>
    <s v="September"/>
    <x v="69"/>
    <n v="138.9"/>
    <n v="163.30000000000001"/>
    <n v="139.1"/>
    <n v="145.30000000000001"/>
    <n v="131.19999999999999"/>
    <n v="131.9"/>
    <n v="138.1"/>
  </r>
  <r>
    <x v="2"/>
    <n v="2018"/>
    <s v="September"/>
    <x v="69"/>
    <n v="140.4"/>
    <n v="159.19999999999999"/>
    <n v="146.5"/>
    <n v="145.30000000000001"/>
    <n v="142.30000000000001"/>
    <n v="134.69999999999999"/>
    <n v="140.19999999999999"/>
  </r>
  <r>
    <x v="0"/>
    <n v="2018"/>
    <s v="October"/>
    <x v="70"/>
    <n v="140.19999999999999"/>
    <n v="159.6"/>
    <n v="149.80000000000001"/>
    <m/>
    <n v="149.69999999999999"/>
    <n v="139.80000000000001"/>
    <n v="142.19999999999999"/>
  </r>
  <r>
    <x v="1"/>
    <n v="2018"/>
    <s v="October"/>
    <x v="70"/>
    <n v="139.4"/>
    <n v="164"/>
    <n v="139.69999999999999"/>
    <n v="146.30000000000001"/>
    <n v="133.4"/>
    <n v="132.5"/>
    <n v="138.9"/>
  </r>
  <r>
    <x v="2"/>
    <n v="2018"/>
    <s v="October"/>
    <x v="70"/>
    <n v="139.69999999999999"/>
    <n v="162.6"/>
    <n v="146.80000000000001"/>
    <n v="146.9"/>
    <n v="145.30000000000001"/>
    <n v="136.30000000000001"/>
    <n v="140.80000000000001"/>
  </r>
  <r>
    <x v="0"/>
    <n v="2018"/>
    <s v="November"/>
    <x v="71"/>
    <n v="140"/>
    <n v="161.9"/>
    <n v="150.80000000000001"/>
    <m/>
    <n v="150.30000000000001"/>
    <n v="140.1"/>
    <n v="142.4"/>
  </r>
  <r>
    <x v="1"/>
    <n v="2018"/>
    <s v="November"/>
    <x v="71"/>
    <n v="139.1"/>
    <n v="164.4"/>
    <n v="140.5"/>
    <n v="146.9"/>
    <n v="136.69999999999999"/>
    <n v="132.19999999999999"/>
    <n v="139"/>
  </r>
  <r>
    <x v="2"/>
    <n v="2018"/>
    <s v="November"/>
    <x v="71"/>
    <n v="139.69999999999999"/>
    <n v="162.6"/>
    <n v="146.69999999999999"/>
    <n v="146.9"/>
    <n v="145.1"/>
    <n v="136.30000000000001"/>
    <n v="140.80000000000001"/>
  </r>
  <r>
    <x v="0"/>
    <n v="2018"/>
    <s v="December"/>
    <x v="72"/>
    <n v="138.5"/>
    <n v="162.4"/>
    <n v="150.80000000000001"/>
    <m/>
    <n v="149"/>
    <n v="141.6"/>
    <n v="141.9"/>
  </r>
  <r>
    <x v="1"/>
    <n v="2018"/>
    <s v="December"/>
    <x v="72"/>
    <n v="137.6"/>
    <n v="164.6"/>
    <n v="140.80000000000001"/>
    <n v="146.5"/>
    <n v="132.4"/>
    <n v="131.69999999999999"/>
    <n v="138"/>
  </r>
  <r>
    <x v="2"/>
    <n v="2018"/>
    <s v="December"/>
    <x v="72"/>
    <n v="138.19999999999999"/>
    <n v="163"/>
    <n v="146.80000000000001"/>
    <n v="146.5"/>
    <n v="142.69999999999999"/>
    <n v="136.80000000000001"/>
    <n v="140.1"/>
  </r>
  <r>
    <x v="0"/>
    <n v="2019"/>
    <s v="January"/>
    <x v="73"/>
    <n v="137.4"/>
    <n v="162.69999999999999"/>
    <n v="149.9"/>
    <m/>
    <n v="146.19999999999999"/>
    <n v="141.69999999999999"/>
    <n v="141"/>
  </r>
  <r>
    <x v="1"/>
    <n v="2019"/>
    <s v="January"/>
    <x v="73"/>
    <n v="137.30000000000001"/>
    <n v="164.7"/>
    <n v="141.1"/>
    <n v="147.69999999999999"/>
    <n v="128.6"/>
    <n v="131.80000000000001"/>
    <n v="138"/>
  </r>
  <r>
    <x v="2"/>
    <n v="2019"/>
    <s v="January"/>
    <x v="73"/>
    <n v="137.4"/>
    <n v="163.19999999999999"/>
    <n v="146.4"/>
    <n v="147.69999999999999"/>
    <n v="139.5"/>
    <n v="136.9"/>
    <n v="139.6"/>
  </r>
  <r>
    <x v="0"/>
    <n v="2019"/>
    <s v="February"/>
    <x v="74"/>
    <n v="137.19999999999999"/>
    <n v="162.80000000000001"/>
    <n v="149.9"/>
    <m/>
    <n v="145.30000000000001"/>
    <n v="142.19999999999999"/>
    <n v="141"/>
  </r>
  <r>
    <x v="1"/>
    <n v="2019"/>
    <s v="February"/>
    <x v="74"/>
    <n v="138"/>
    <n v="164.9"/>
    <n v="141.4"/>
    <n v="148.5"/>
    <n v="127.1"/>
    <n v="132.4"/>
    <n v="138.6"/>
  </r>
  <r>
    <x v="2"/>
    <n v="2019"/>
    <s v="February"/>
    <x v="74"/>
    <n v="137.5"/>
    <n v="163.4"/>
    <n v="146.5"/>
    <n v="148.5"/>
    <n v="138.4"/>
    <n v="137.4"/>
    <n v="139.9"/>
  </r>
  <r>
    <x v="0"/>
    <n v="2019"/>
    <s v="March"/>
    <x v="75"/>
    <n v="137.30000000000001"/>
    <n v="162.9"/>
    <n v="150.1"/>
    <m/>
    <n v="146.4"/>
    <n v="142.4"/>
    <n v="141.19999999999999"/>
  </r>
  <r>
    <x v="1"/>
    <n v="2019"/>
    <s v="March"/>
    <x v="75"/>
    <n v="139.6"/>
    <n v="165.3"/>
    <n v="141.6"/>
    <n v="149"/>
    <n v="128.80000000000001"/>
    <n v="132.80000000000001"/>
    <n v="139.5"/>
  </r>
  <r>
    <x v="2"/>
    <n v="2019"/>
    <s v="March"/>
    <x v="75"/>
    <n v="138.1"/>
    <n v="163.5"/>
    <n v="146.69999999999999"/>
    <n v="149"/>
    <n v="139.69999999999999"/>
    <n v="137.69999999999999"/>
    <n v="140.4"/>
  </r>
  <r>
    <x v="0"/>
    <n v="2019"/>
    <s v="May"/>
    <x v="76"/>
    <n v="139.19999999999999"/>
    <n v="163.30000000000001"/>
    <n v="150.69999999999999"/>
    <m/>
    <n v="146.9"/>
    <n v="142.9"/>
    <n v="142.4"/>
  </r>
  <r>
    <x v="1"/>
    <n v="2019"/>
    <s v="May"/>
    <x v="76"/>
    <n v="143.80000000000001"/>
    <n v="166.2"/>
    <n v="142.19999999999999"/>
    <n v="150.1"/>
    <n v="129.4"/>
    <n v="133.30000000000001"/>
    <n v="141.5"/>
  </r>
  <r>
    <x v="2"/>
    <n v="2019"/>
    <s v="May"/>
    <x v="76"/>
    <n v="140.9"/>
    <n v="164.1"/>
    <n v="147.30000000000001"/>
    <n v="150.1"/>
    <n v="140.30000000000001"/>
    <n v="138.19999999999999"/>
    <n v="142"/>
  </r>
  <r>
    <x v="0"/>
    <n v="2019"/>
    <s v="June"/>
    <x v="77"/>
    <n v="141"/>
    <n v="164.2"/>
    <n v="150.69999999999999"/>
    <m/>
    <n v="147.80000000000001"/>
    <n v="143.30000000000001"/>
    <n v="143.6"/>
  </r>
  <r>
    <x v="1"/>
    <n v="2019"/>
    <s v="June"/>
    <x v="77"/>
    <n v="145.6"/>
    <n v="166.7"/>
    <n v="142.4"/>
    <n v="149.4"/>
    <n v="130.5"/>
    <n v="133.6"/>
    <n v="142.1"/>
  </r>
  <r>
    <x v="2"/>
    <n v="2019"/>
    <s v="June"/>
    <x v="77"/>
    <n v="142.69999999999999"/>
    <n v="164.9"/>
    <n v="147.4"/>
    <n v="149.4"/>
    <n v="141.19999999999999"/>
    <n v="138.6"/>
    <n v="142.9"/>
  </r>
  <r>
    <x v="0"/>
    <n v="2019"/>
    <s v="July"/>
    <x v="78"/>
    <n v="143"/>
    <n v="164.5"/>
    <n v="150.9"/>
    <m/>
    <n v="146.80000000000001"/>
    <n v="144.19999999999999"/>
    <n v="144.9"/>
  </r>
  <r>
    <x v="1"/>
    <n v="2019"/>
    <s v="July"/>
    <x v="78"/>
    <n v="147.69999999999999"/>
    <n v="167.2"/>
    <n v="142.69999999999999"/>
    <n v="150.6"/>
    <n v="127"/>
    <n v="134.5"/>
    <n v="143.30000000000001"/>
  </r>
  <r>
    <x v="2"/>
    <n v="2019"/>
    <s v="July"/>
    <x v="78"/>
    <n v="144.69999999999999"/>
    <n v="165.2"/>
    <n v="147.6"/>
    <n v="150.6"/>
    <n v="139.30000000000001"/>
    <n v="139.5"/>
    <n v="144.19999999999999"/>
  </r>
  <r>
    <x v="0"/>
    <n v="2019"/>
    <s v="August"/>
    <x v="79"/>
    <n v="144"/>
    <n v="165.1"/>
    <n v="151.1"/>
    <m/>
    <n v="146.4"/>
    <n v="144.9"/>
    <n v="145.69999999999999"/>
  </r>
  <r>
    <x v="1"/>
    <n v="2019"/>
    <s v="August"/>
    <x v="79"/>
    <n v="149.1"/>
    <n v="167.9"/>
    <n v="143"/>
    <n v="151.6"/>
    <n v="125.5"/>
    <n v="135.30000000000001"/>
    <n v="144.19999999999999"/>
  </r>
  <r>
    <x v="2"/>
    <n v="2019"/>
    <s v="August"/>
    <x v="79"/>
    <n v="145.9"/>
    <n v="165.8"/>
    <n v="147.9"/>
    <n v="151.6"/>
    <n v="138.5"/>
    <n v="140.19999999999999"/>
    <n v="145"/>
  </r>
  <r>
    <x v="0"/>
    <n v="2019"/>
    <s v="September"/>
    <x v="80"/>
    <n v="145.5"/>
    <n v="165.7"/>
    <n v="151"/>
    <m/>
    <n v="146.9"/>
    <n v="145.4"/>
    <n v="146.69999999999999"/>
  </r>
  <r>
    <x v="1"/>
    <n v="2019"/>
    <s v="September"/>
    <x v="80"/>
    <n v="149.5"/>
    <n v="168.6"/>
    <n v="143.30000000000001"/>
    <n v="152.19999999999999"/>
    <n v="126.6"/>
    <n v="135.69999999999999"/>
    <n v="144.69999999999999"/>
  </r>
  <r>
    <x v="2"/>
    <n v="2019"/>
    <s v="September"/>
    <x v="80"/>
    <n v="147"/>
    <n v="166.5"/>
    <n v="147.9"/>
    <n v="152.19999999999999"/>
    <n v="139.19999999999999"/>
    <n v="140.69999999999999"/>
    <n v="145.80000000000001"/>
  </r>
  <r>
    <x v="0"/>
    <n v="2019"/>
    <s v="October"/>
    <x v="81"/>
    <n v="148.30000000000001"/>
    <n v="166.3"/>
    <n v="151"/>
    <m/>
    <n v="147.69999999999999"/>
    <n v="145.69999999999999"/>
    <n v="148.30000000000001"/>
  </r>
  <r>
    <x v="1"/>
    <n v="2019"/>
    <s v="October"/>
    <x v="81"/>
    <n v="151.9"/>
    <n v="169.3"/>
    <n v="143.9"/>
    <n v="153"/>
    <n v="128.9"/>
    <n v="136"/>
    <n v="146"/>
  </r>
  <r>
    <x v="2"/>
    <n v="2019"/>
    <s v="October"/>
    <x v="81"/>
    <n v="149.6"/>
    <n v="167.1"/>
    <n v="148.19999999999999"/>
    <n v="153"/>
    <n v="140.6"/>
    <n v="141"/>
    <n v="147.19999999999999"/>
  </r>
  <r>
    <x v="0"/>
    <n v="2019"/>
    <s v="November"/>
    <x v="82"/>
    <n v="150.9"/>
    <n v="167.2"/>
    <n v="151.5"/>
    <m/>
    <n v="148.4"/>
    <n v="146.1"/>
    <n v="149.9"/>
  </r>
  <r>
    <x v="1"/>
    <n v="2019"/>
    <s v="November"/>
    <x v="82"/>
    <n v="153.6"/>
    <n v="169.9"/>
    <n v="144.19999999999999"/>
    <n v="153.5"/>
    <n v="132.19999999999999"/>
    <n v="136.30000000000001"/>
    <n v="147"/>
  </r>
  <r>
    <x v="2"/>
    <n v="2019"/>
    <s v="November"/>
    <x v="82"/>
    <n v="151.9"/>
    <n v="167.9"/>
    <n v="148.6"/>
    <n v="153.5"/>
    <n v="142.30000000000001"/>
    <n v="141.30000000000001"/>
    <n v="148.6"/>
  </r>
  <r>
    <x v="0"/>
    <n v="2019"/>
    <s v="December"/>
    <x v="83"/>
    <n v="154.30000000000001"/>
    <n v="167.8"/>
    <n v="151.9"/>
    <m/>
    <n v="149.9"/>
    <n v="147.1"/>
    <n v="152.30000000000001"/>
  </r>
  <r>
    <x v="1"/>
    <n v="2019"/>
    <s v="December"/>
    <x v="83"/>
    <n v="156.30000000000001"/>
    <n v="170.4"/>
    <n v="144.6"/>
    <n v="152.80000000000001"/>
    <n v="133.6"/>
    <n v="137.69999999999999"/>
    <n v="148.30000000000001"/>
  </r>
  <r>
    <x v="2"/>
    <n v="2019"/>
    <s v="December"/>
    <x v="83"/>
    <n v="155"/>
    <n v="168.5"/>
    <n v="149"/>
    <n v="152.80000000000001"/>
    <n v="143.69999999999999"/>
    <n v="142.5"/>
    <n v="150.4"/>
  </r>
  <r>
    <x v="0"/>
    <n v="2020"/>
    <s v="January"/>
    <x v="84"/>
    <n v="153"/>
    <n v="168.6"/>
    <n v="152.1"/>
    <m/>
    <n v="150.4"/>
    <n v="148.1"/>
    <n v="151.9"/>
  </r>
  <r>
    <x v="1"/>
    <n v="2020"/>
    <s v="January"/>
    <x v="84"/>
    <n v="154.4"/>
    <n v="170.8"/>
    <n v="144.9"/>
    <n v="153.9"/>
    <n v="135.1"/>
    <n v="138.4"/>
    <n v="148.19999999999999"/>
  </r>
  <r>
    <x v="2"/>
    <n v="2020"/>
    <s v="January"/>
    <x v="84"/>
    <n v="153.5"/>
    <n v="169.2"/>
    <n v="149.19999999999999"/>
    <n v="153.9"/>
    <n v="144.6"/>
    <n v="143.4"/>
    <n v="150.19999999999999"/>
  </r>
  <r>
    <x v="0"/>
    <n v="2020"/>
    <s v="February"/>
    <x v="85"/>
    <n v="149.80000000000001"/>
    <n v="169.4"/>
    <n v="152.30000000000001"/>
    <m/>
    <n v="152.30000000000001"/>
    <n v="148.4"/>
    <n v="150.4"/>
  </r>
  <r>
    <x v="1"/>
    <n v="2020"/>
    <s v="February"/>
    <x v="85"/>
    <n v="151.69999999999999"/>
    <n v="172"/>
    <n v="145.19999999999999"/>
    <n v="154.80000000000001"/>
    <n v="138.9"/>
    <n v="138.4"/>
    <n v="147.69999999999999"/>
  </r>
  <r>
    <x v="2"/>
    <n v="2020"/>
    <s v="February"/>
    <x v="85"/>
    <n v="150.5"/>
    <n v="170.1"/>
    <n v="149.5"/>
    <n v="154.80000000000001"/>
    <n v="147.19999999999999"/>
    <n v="143.6"/>
    <n v="149.1"/>
  </r>
  <r>
    <x v="0"/>
    <n v="2020"/>
    <s v="March"/>
    <x v="86"/>
    <n v="148.19999999999999"/>
    <n v="170.5"/>
    <n v="152.5"/>
    <m/>
    <n v="153.4"/>
    <n v="148.6"/>
    <n v="149.80000000000001"/>
  </r>
  <r>
    <x v="1"/>
    <n v="2020"/>
    <s v="March"/>
    <x v="86"/>
    <n v="150.1"/>
    <n v="173.3"/>
    <n v="145.6"/>
    <n v="154.5"/>
    <n v="141.4"/>
    <n v="138.69999999999999"/>
    <n v="147.30000000000001"/>
  </r>
  <r>
    <x v="2"/>
    <n v="2020"/>
    <s v="March"/>
    <x v="86"/>
    <n v="148.9"/>
    <n v="171.2"/>
    <n v="149.80000000000001"/>
    <n v="154.5"/>
    <n v="148.9"/>
    <n v="143.80000000000001"/>
    <n v="148.6"/>
  </r>
  <r>
    <x v="0"/>
    <n v="2020"/>
    <s v="April"/>
    <x v="87"/>
    <n v="150.1"/>
    <m/>
    <m/>
    <m/>
    <n v="148.4"/>
    <m/>
    <m/>
  </r>
  <r>
    <x v="1"/>
    <n v="2020"/>
    <s v="April"/>
    <x v="87"/>
    <n v="153.5"/>
    <m/>
    <m/>
    <n v="155.6"/>
    <n v="137.1"/>
    <m/>
    <m/>
  </r>
  <r>
    <x v="2"/>
    <n v="2020"/>
    <s v="April"/>
    <x v="87"/>
    <n v="151.4"/>
    <m/>
    <m/>
    <n v="155.6"/>
    <n v="144.1"/>
    <m/>
    <m/>
  </r>
  <r>
    <x v="0"/>
    <n v="2020"/>
    <s v="May"/>
    <x v="88"/>
    <m/>
    <m/>
    <m/>
    <m/>
    <m/>
    <m/>
    <m/>
  </r>
  <r>
    <x v="1"/>
    <n v="2020"/>
    <s v="May"/>
    <x v="88"/>
    <m/>
    <m/>
    <m/>
    <m/>
    <m/>
    <m/>
    <m/>
  </r>
  <r>
    <x v="2"/>
    <n v="2020"/>
    <s v="May"/>
    <x v="88"/>
    <m/>
    <m/>
    <m/>
    <m/>
    <m/>
    <m/>
    <m/>
  </r>
  <r>
    <x v="0"/>
    <n v="2020"/>
    <s v="June"/>
    <x v="89"/>
    <n v="152.30000000000001"/>
    <n v="182.4"/>
    <n v="154.1"/>
    <m/>
    <n v="144.9"/>
    <n v="151.69999999999999"/>
    <n v="152.69999999999999"/>
  </r>
  <r>
    <x v="1"/>
    <n v="2020"/>
    <s v="June"/>
    <x v="89"/>
    <n v="157"/>
    <n v="186.7"/>
    <n v="147.19999999999999"/>
    <n v="154.69999999999999"/>
    <n v="137.1"/>
    <n v="142"/>
    <n v="150.80000000000001"/>
  </r>
  <r>
    <x v="2"/>
    <n v="2020"/>
    <s v="June"/>
    <x v="89"/>
    <n v="154"/>
    <n v="183.5"/>
    <n v="151.4"/>
    <n v="154.69999999999999"/>
    <n v="141.9"/>
    <n v="147"/>
    <n v="151.80000000000001"/>
  </r>
  <r>
    <x v="0"/>
    <n v="2020"/>
    <s v="July"/>
    <x v="90"/>
    <n v="152.30000000000001"/>
    <n v="182.4"/>
    <n v="154.1"/>
    <m/>
    <n v="144.9"/>
    <n v="151.69999999999999"/>
    <n v="152.69999999999999"/>
  </r>
  <r>
    <x v="1"/>
    <n v="2020"/>
    <s v="July"/>
    <x v="90"/>
    <n v="157"/>
    <n v="186.7"/>
    <n v="147.19999999999999"/>
    <n v="154.69999999999999"/>
    <n v="137.1"/>
    <n v="142"/>
    <n v="150.80000000000001"/>
  </r>
  <r>
    <x v="2"/>
    <n v="2020"/>
    <s v="July"/>
    <x v="90"/>
    <n v="154"/>
    <n v="183.5"/>
    <n v="151.4"/>
    <n v="154.69999999999999"/>
    <n v="141.9"/>
    <n v="147"/>
    <n v="151.80000000000001"/>
  </r>
  <r>
    <x v="0"/>
    <n v="2020"/>
    <s v="August"/>
    <x v="91"/>
    <n v="155.30000000000001"/>
    <n v="180.9"/>
    <n v="154.30000000000001"/>
    <m/>
    <n v="145.80000000000001"/>
    <n v="153"/>
    <n v="154.69999999999999"/>
  </r>
  <r>
    <x v="1"/>
    <n v="2020"/>
    <s v="August"/>
    <x v="91"/>
    <n v="159.9"/>
    <n v="187.2"/>
    <n v="147.80000000000001"/>
    <n v="155.5"/>
    <n v="138.30000000000001"/>
    <n v="144.80000000000001"/>
    <n v="152.9"/>
  </r>
  <r>
    <x v="2"/>
    <n v="2020"/>
    <s v="August"/>
    <x v="91"/>
    <n v="157"/>
    <n v="182.6"/>
    <n v="151.69999999999999"/>
    <n v="155.5"/>
    <n v="143"/>
    <n v="149"/>
    <n v="153.9"/>
  </r>
  <r>
    <x v="0"/>
    <n v="2020"/>
    <s v="September"/>
    <x v="92"/>
    <n v="156.1"/>
    <n v="182.9"/>
    <n v="154.6"/>
    <m/>
    <n v="146.4"/>
    <n v="153.69999999999999"/>
    <n v="155.4"/>
  </r>
  <r>
    <x v="1"/>
    <n v="2020"/>
    <s v="September"/>
    <x v="92"/>
    <n v="161.30000000000001"/>
    <n v="188.7"/>
    <n v="148.1"/>
    <n v="156.30000000000001"/>
    <n v="137.19999999999999"/>
    <n v="146"/>
    <n v="154"/>
  </r>
  <r>
    <x v="2"/>
    <n v="2020"/>
    <s v="September"/>
    <x v="92"/>
    <n v="158"/>
    <n v="184.4"/>
    <n v="152"/>
    <n v="156.30000000000001"/>
    <n v="142.9"/>
    <n v="150"/>
    <n v="154.69999999999999"/>
  </r>
  <r>
    <x v="0"/>
    <n v="2020"/>
    <s v="October"/>
    <x v="93"/>
    <n v="159.6"/>
    <n v="182.7"/>
    <n v="155"/>
    <m/>
    <n v="146.80000000000001"/>
    <n v="154.30000000000001"/>
    <n v="157.5"/>
  </r>
  <r>
    <x v="1"/>
    <n v="2020"/>
    <s v="October"/>
    <x v="93"/>
    <n v="164.4"/>
    <n v="188.7"/>
    <n v="148.30000000000001"/>
    <n v="156.5"/>
    <n v="137.1"/>
    <n v="146.19999999999999"/>
    <n v="155.19999999999999"/>
  </r>
  <r>
    <x v="2"/>
    <n v="2020"/>
    <s v="October"/>
    <x v="93"/>
    <n v="161.4"/>
    <n v="184.3"/>
    <n v="152.30000000000001"/>
    <n v="156.5"/>
    <n v="143.1"/>
    <n v="150.4"/>
    <n v="156.4"/>
  </r>
  <r>
    <x v="0"/>
    <n v="2020"/>
    <s v="November"/>
    <x v="94"/>
    <n v="163.4"/>
    <n v="183.4"/>
    <n v="155.5"/>
    <m/>
    <n v="147.5"/>
    <n v="154.5"/>
    <n v="159.80000000000001"/>
  </r>
  <r>
    <x v="1"/>
    <n v="2020"/>
    <s v="November"/>
    <x v="94"/>
    <n v="167"/>
    <n v="188.8"/>
    <n v="148.80000000000001"/>
    <n v="158"/>
    <n v="137.30000000000001"/>
    <n v="146.6"/>
    <n v="156.69999999999999"/>
  </r>
  <r>
    <x v="2"/>
    <n v="2020"/>
    <s v="November"/>
    <x v="94"/>
    <n v="164.7"/>
    <n v="184.8"/>
    <n v="152.80000000000001"/>
    <n v="158"/>
    <n v="143.6"/>
    <n v="150.69999999999999"/>
    <n v="158.4"/>
  </r>
  <r>
    <x v="0"/>
    <n v="2020"/>
    <s v="December"/>
    <x v="95"/>
    <n v="164.5"/>
    <n v="183.6"/>
    <n v="156.30000000000001"/>
    <m/>
    <n v="148.69999999999999"/>
    <n v="155.19999999999999"/>
    <n v="160.69999999999999"/>
  </r>
  <r>
    <x v="1"/>
    <n v="2020"/>
    <s v="December"/>
    <x v="95"/>
    <n v="167"/>
    <n v="190.2"/>
    <n v="149.6"/>
    <n v="158.4"/>
    <n v="137.9"/>
    <n v="146.9"/>
    <n v="156.9"/>
  </r>
  <r>
    <x v="2"/>
    <n v="2020"/>
    <s v="December"/>
    <x v="95"/>
    <n v="165.4"/>
    <n v="185.4"/>
    <n v="153.6"/>
    <n v="158.4"/>
    <n v="144.6"/>
    <n v="151.19999999999999"/>
    <n v="158.9"/>
  </r>
  <r>
    <x v="0"/>
    <n v="2021"/>
    <s v="January"/>
    <x v="96"/>
    <n v="159.6"/>
    <n v="184.6"/>
    <n v="156.80000000000001"/>
    <m/>
    <n v="150.9"/>
    <n v="155.9"/>
    <n v="158.5"/>
  </r>
  <r>
    <x v="1"/>
    <n v="2021"/>
    <s v="January"/>
    <x v="96"/>
    <n v="163.4"/>
    <n v="191.8"/>
    <n v="150.19999999999999"/>
    <n v="157.69999999999999"/>
    <n v="142.9"/>
    <n v="147.6"/>
    <n v="156"/>
  </r>
  <r>
    <x v="2"/>
    <n v="2021"/>
    <s v="January"/>
    <x v="96"/>
    <n v="161"/>
    <n v="186.5"/>
    <n v="154.19999999999999"/>
    <n v="157.69999999999999"/>
    <n v="147.9"/>
    <n v="151.9"/>
    <n v="157.30000000000001"/>
  </r>
  <r>
    <x v="0"/>
    <n v="2021"/>
    <s v="February"/>
    <x v="97"/>
    <n v="154.69999999999999"/>
    <n v="186.5"/>
    <n v="158.4"/>
    <m/>
    <n v="154.4"/>
    <n v="157.19999999999999"/>
    <n v="156.69999999999999"/>
  </r>
  <r>
    <x v="1"/>
    <n v="2021"/>
    <s v="February"/>
    <x v="97"/>
    <n v="160.80000000000001"/>
    <n v="193.3"/>
    <n v="151.80000000000001"/>
    <n v="159.80000000000001"/>
    <n v="149.1"/>
    <n v="149.30000000000001"/>
    <n v="156.5"/>
  </r>
  <r>
    <x v="2"/>
    <n v="2021"/>
    <s v="February"/>
    <x v="97"/>
    <n v="156.9"/>
    <n v="188.3"/>
    <n v="155.80000000000001"/>
    <n v="159.80000000000001"/>
    <n v="152.4"/>
    <n v="153.4"/>
    <n v="156.6"/>
  </r>
  <r>
    <x v="0"/>
    <n v="2021"/>
    <s v="March"/>
    <x v="98"/>
    <n v="154.5"/>
    <n v="186.1"/>
    <n v="158.9"/>
    <m/>
    <n v="156"/>
    <n v="157.30000000000001"/>
    <n v="156.69999999999999"/>
  </r>
  <r>
    <x v="1"/>
    <n v="2021"/>
    <s v="March"/>
    <x v="98"/>
    <n v="160.4"/>
    <n v="193.5"/>
    <n v="152.6"/>
    <n v="159.9"/>
    <n v="154.80000000000001"/>
    <n v="150"/>
    <n v="156.9"/>
  </r>
  <r>
    <x v="2"/>
    <n v="2021"/>
    <s v="March"/>
    <x v="98"/>
    <n v="156.69999999999999"/>
    <n v="188.1"/>
    <n v="156.4"/>
    <n v="159.9"/>
    <n v="155.5"/>
    <n v="153.80000000000001"/>
    <n v="156.80000000000001"/>
  </r>
  <r>
    <x v="0"/>
    <n v="2021"/>
    <s v="April"/>
    <x v="99"/>
    <n v="155.6"/>
    <n v="186.8"/>
    <n v="159.9"/>
    <m/>
    <n v="156"/>
    <n v="158"/>
    <n v="157.6"/>
  </r>
  <r>
    <x v="1"/>
    <n v="2021"/>
    <s v="April"/>
    <x v="99"/>
    <n v="162"/>
    <n v="194.4"/>
    <n v="153.4"/>
    <n v="161.4"/>
    <n v="154.9"/>
    <n v="150.5"/>
    <n v="158"/>
  </r>
  <r>
    <x v="2"/>
    <n v="2021"/>
    <s v="April"/>
    <x v="99"/>
    <n v="158"/>
    <n v="188.8"/>
    <n v="157.30000000000001"/>
    <n v="161.4"/>
    <n v="155.6"/>
    <n v="154.4"/>
    <n v="157.80000000000001"/>
  </r>
  <r>
    <x v="0"/>
    <n v="2021"/>
    <s v="May"/>
    <x v="100"/>
    <n v="158.69999999999999"/>
    <n v="189.6"/>
    <n v="164.5"/>
    <m/>
    <n v="161.69999999999999"/>
    <n v="161.1"/>
    <n v="161.1"/>
  </r>
  <r>
    <x v="1"/>
    <n v="2021"/>
    <s v="May"/>
    <x v="100"/>
    <n v="164.2"/>
    <n v="198.2"/>
    <n v="154.1"/>
    <n v="161.6"/>
    <n v="155.5"/>
    <n v="152.30000000000001"/>
    <n v="159.5"/>
  </r>
  <r>
    <x v="2"/>
    <n v="2021"/>
    <s v="May"/>
    <x v="100"/>
    <n v="160.69999999999999"/>
    <n v="191.9"/>
    <n v="160.4"/>
    <n v="161.6"/>
    <n v="159.4"/>
    <n v="156.80000000000001"/>
    <n v="160.4"/>
  </r>
  <r>
    <x v="0"/>
    <n v="2021"/>
    <s v="June"/>
    <x v="101"/>
    <n v="160.5"/>
    <n v="189.1"/>
    <n v="164.6"/>
    <m/>
    <n v="162.1"/>
    <n v="161.5"/>
    <n v="162.1"/>
  </r>
  <r>
    <x v="1"/>
    <n v="2021"/>
    <s v="June"/>
    <x v="101"/>
    <n v="166.2"/>
    <n v="195.6"/>
    <n v="154.80000000000001"/>
    <n v="160.5"/>
    <n v="156.1"/>
    <n v="153.4"/>
    <n v="160.4"/>
  </r>
  <r>
    <x v="2"/>
    <n v="2021"/>
    <s v="June"/>
    <x v="101"/>
    <n v="162.6"/>
    <n v="190.8"/>
    <n v="160.69999999999999"/>
    <n v="160.5"/>
    <n v="159.80000000000001"/>
    <n v="157.6"/>
    <n v="161.30000000000001"/>
  </r>
  <r>
    <x v="0"/>
    <n v="2021"/>
    <s v="July"/>
    <x v="102"/>
    <n v="161.69999999999999"/>
    <n v="189.7"/>
    <n v="165.3"/>
    <m/>
    <n v="162.5"/>
    <n v="162.80000000000001"/>
    <n v="163.19999999999999"/>
  </r>
  <r>
    <x v="1"/>
    <n v="2021"/>
    <s v="July"/>
    <x v="102"/>
    <n v="167.9"/>
    <n v="195.5"/>
    <n v="155.5"/>
    <n v="161.5"/>
    <n v="157.69999999999999"/>
    <n v="155"/>
    <n v="161.80000000000001"/>
  </r>
  <r>
    <x v="2"/>
    <n v="2021"/>
    <s v="July"/>
    <x v="102"/>
    <n v="164"/>
    <n v="191.2"/>
    <n v="161.4"/>
    <n v="161.5"/>
    <n v="160.69999999999999"/>
    <n v="159"/>
    <n v="162.5"/>
  </r>
  <r>
    <x v="0"/>
    <n v="2021"/>
    <s v="August"/>
    <x v="103"/>
    <n v="161.80000000000001"/>
    <n v="190.2"/>
    <n v="166.3"/>
    <m/>
    <n v="163.1"/>
    <n v="163.30000000000001"/>
    <n v="163.6"/>
  </r>
  <r>
    <x v="1"/>
    <n v="2021"/>
    <s v="August"/>
    <x v="103"/>
    <n v="167.3"/>
    <n v="196.5"/>
    <n v="157.30000000000001"/>
    <n v="162.1"/>
    <n v="160.69999999999999"/>
    <n v="156"/>
    <n v="162.30000000000001"/>
  </r>
  <r>
    <x v="2"/>
    <n v="2021"/>
    <s v="August"/>
    <x v="103"/>
    <n v="164"/>
    <n v="192.1"/>
    <n v="163.19999999999999"/>
    <n v="162.1"/>
    <n v="162.6"/>
    <n v="160"/>
    <n v="163.19999999999999"/>
  </r>
  <r>
    <x v="0"/>
    <n v="2021"/>
    <s v="September"/>
    <x v="104"/>
    <n v="162.1"/>
    <n v="190.5"/>
    <n v="167.1"/>
    <m/>
    <n v="163.69999999999999"/>
    <n v="163.80000000000001"/>
    <n v="164"/>
  </r>
  <r>
    <x v="1"/>
    <n v="2021"/>
    <s v="September"/>
    <x v="104"/>
    <n v="167.3"/>
    <n v="196.5"/>
    <n v="157.4"/>
    <n v="162.1"/>
    <n v="160.80000000000001"/>
    <n v="156"/>
    <n v="162.30000000000001"/>
  </r>
  <r>
    <x v="2"/>
    <n v="2021"/>
    <s v="September"/>
    <x v="104"/>
    <n v="164"/>
    <n v="192.1"/>
    <n v="163.30000000000001"/>
    <n v="162.1"/>
    <n v="162.6"/>
    <n v="160"/>
    <n v="163.19999999999999"/>
  </r>
  <r>
    <x v="0"/>
    <n v="2021"/>
    <s v="October"/>
    <x v="105"/>
    <n v="165.5"/>
    <n v="191.2"/>
    <n v="168.3"/>
    <m/>
    <n v="165.5"/>
    <n v="164.7"/>
    <n v="166.3"/>
  </r>
  <r>
    <x v="1"/>
    <n v="2021"/>
    <s v="October"/>
    <x v="105"/>
    <n v="171.5"/>
    <n v="197"/>
    <n v="158.30000000000001"/>
    <n v="163.6"/>
    <n v="162.19999999999999"/>
    <n v="157"/>
    <n v="164.6"/>
  </r>
  <r>
    <x v="2"/>
    <n v="2021"/>
    <s v="October"/>
    <x v="105"/>
    <n v="167.7"/>
    <n v="192.7"/>
    <n v="164.3"/>
    <n v="163.6"/>
    <n v="164.2"/>
    <n v="161"/>
    <n v="165.5"/>
  </r>
  <r>
    <x v="0"/>
    <n v="2021"/>
    <s v="November"/>
    <x v="106"/>
    <n v="167.5"/>
    <n v="191.4"/>
    <n v="169.8"/>
    <m/>
    <n v="165.3"/>
    <n v="165.2"/>
    <n v="167.6"/>
  </r>
  <r>
    <x v="1"/>
    <n v="2021"/>
    <s v="November"/>
    <x v="106"/>
    <n v="173.5"/>
    <n v="197"/>
    <n v="159.69999999999999"/>
    <n v="164.2"/>
    <n v="161.6"/>
    <n v="157.30000000000001"/>
    <n v="165.6"/>
  </r>
  <r>
    <x v="2"/>
    <n v="2021"/>
    <s v="November"/>
    <x v="106"/>
    <n v="169.7"/>
    <n v="192.9"/>
    <n v="165.8"/>
    <n v="164.2"/>
    <n v="163.9"/>
    <n v="161.4"/>
    <n v="166.7"/>
  </r>
  <r>
    <x v="0"/>
    <n v="2021"/>
    <s v="December"/>
    <x v="107"/>
    <n v="165.8"/>
    <n v="190.8"/>
    <n v="171.2"/>
    <m/>
    <n v="165.6"/>
    <n v="166"/>
    <n v="167"/>
  </r>
  <r>
    <x v="1"/>
    <n v="2021"/>
    <s v="December"/>
    <x v="107"/>
    <n v="172.2"/>
    <n v="196.8"/>
    <n v="160.69999999999999"/>
    <n v="163.4"/>
    <n v="161.69999999999999"/>
    <n v="157.80000000000001"/>
    <n v="165.2"/>
  </r>
  <r>
    <x v="2"/>
    <n v="2021"/>
    <s v="December"/>
    <x v="107"/>
    <n v="168.2"/>
    <n v="192.4"/>
    <n v="167"/>
    <n v="163.4"/>
    <n v="164.1"/>
    <n v="162"/>
    <n v="166.2"/>
  </r>
  <r>
    <x v="0"/>
    <n v="2022"/>
    <s v="January"/>
    <x v="108"/>
    <n v="164.1"/>
    <n v="190.7"/>
    <n v="172.7"/>
    <m/>
    <n v="165.8"/>
    <n v="166.6"/>
    <n v="166.4"/>
  </r>
  <r>
    <x v="1"/>
    <n v="2022"/>
    <s v="January"/>
    <x v="108"/>
    <n v="170.3"/>
    <n v="196.4"/>
    <n v="162.19999999999999"/>
    <n v="164.5"/>
    <n v="161.6"/>
    <n v="158.6"/>
    <n v="165"/>
  </r>
  <r>
    <x v="2"/>
    <n v="2022"/>
    <s v="January"/>
    <x v="108"/>
    <n v="166.4"/>
    <n v="192.2"/>
    <n v="168.5"/>
    <n v="164.5"/>
    <n v="164.2"/>
    <n v="162.69999999999999"/>
    <n v="165.7"/>
  </r>
  <r>
    <x v="0"/>
    <n v="2022"/>
    <s v="February"/>
    <x v="109"/>
    <n v="163.9"/>
    <n v="191.5"/>
    <n v="173.7"/>
    <m/>
    <n v="167.4"/>
    <n v="167.3"/>
    <n v="166.7"/>
  </r>
  <r>
    <x v="1"/>
    <n v="2022"/>
    <s v="February"/>
    <x v="109"/>
    <n v="170.2"/>
    <n v="196.5"/>
    <n v="163.4"/>
    <n v="165.5"/>
    <n v="163"/>
    <n v="159.4"/>
    <n v="165.5"/>
  </r>
  <r>
    <x v="2"/>
    <n v="2022"/>
    <s v="February"/>
    <x v="109"/>
    <n v="166.2"/>
    <n v="192.8"/>
    <n v="169.6"/>
    <n v="165.5"/>
    <n v="165.7"/>
    <n v="163.5"/>
    <n v="166.1"/>
  </r>
  <r>
    <x v="0"/>
    <n v="2022"/>
    <s v="March"/>
    <x v="110"/>
    <n v="166.6"/>
    <n v="192.3"/>
    <n v="175.1"/>
    <m/>
    <n v="168.9"/>
    <n v="168.3"/>
    <n v="168.7"/>
  </r>
  <r>
    <x v="1"/>
    <n v="2022"/>
    <s v="March"/>
    <x v="110"/>
    <n v="171.5"/>
    <n v="197.5"/>
    <n v="164.9"/>
    <n v="165.3"/>
    <n v="164.5"/>
    <n v="160.6"/>
    <n v="166.5"/>
  </r>
  <r>
    <x v="2"/>
    <n v="2022"/>
    <s v="March"/>
    <x v="110"/>
    <n v="168.4"/>
    <n v="193.7"/>
    <n v="171.1"/>
    <n v="165.3"/>
    <n v="167.2"/>
    <n v="164.6"/>
    <n v="167.7"/>
  </r>
  <r>
    <x v="0"/>
    <n v="2022"/>
    <s v="April"/>
    <x v="111"/>
    <n v="168.6"/>
    <n v="192.8"/>
    <n v="177.1"/>
    <m/>
    <n v="173.3"/>
    <n v="170.2"/>
    <n v="170.8"/>
  </r>
  <r>
    <x v="1"/>
    <n v="2022"/>
    <s v="April"/>
    <x v="111"/>
    <n v="174.5"/>
    <n v="197.1"/>
    <n v="166.3"/>
    <n v="167"/>
    <n v="170.5"/>
    <n v="163.1"/>
    <n v="169.2"/>
  </r>
  <r>
    <x v="2"/>
    <n v="2022"/>
    <s v="April"/>
    <x v="111"/>
    <n v="170.8"/>
    <n v="193.9"/>
    <n v="172.8"/>
    <n v="167"/>
    <n v="172.2"/>
    <n v="166.8"/>
    <n v="170.1"/>
  </r>
  <r>
    <x v="0"/>
    <n v="2022"/>
    <s v="May"/>
    <x v="112"/>
    <n v="170.8"/>
    <n v="192.9"/>
    <n v="179"/>
    <m/>
    <n v="175.3"/>
    <n v="170.9"/>
    <n v="172.5"/>
  </r>
  <r>
    <x v="1"/>
    <n v="2022"/>
    <s v="May"/>
    <x v="112"/>
    <n v="177.5"/>
    <n v="197.5"/>
    <n v="167.8"/>
    <n v="167.5"/>
    <n v="173.5"/>
    <n v="163.80000000000001"/>
    <n v="170.8"/>
  </r>
  <r>
    <x v="2"/>
    <n v="2022"/>
    <s v="May"/>
    <x v="112"/>
    <n v="173.3"/>
    <n v="194.1"/>
    <n v="174.6"/>
    <n v="167.5"/>
    <n v="174.6"/>
    <n v="167.5"/>
    <n v="171.7"/>
  </r>
  <r>
    <x v="0"/>
    <n v="2022"/>
    <s v="June"/>
    <x v="113"/>
    <n v="172.4"/>
    <n v="192.9"/>
    <n v="180.4"/>
    <m/>
    <n v="176.7"/>
    <n v="171"/>
    <n v="173.6"/>
  </r>
  <r>
    <x v="1"/>
    <n v="2022"/>
    <s v="June"/>
    <x v="113"/>
    <n v="179.3"/>
    <n v="198.3"/>
    <n v="169.4"/>
    <n v="166.8"/>
    <n v="174.9"/>
    <n v="163.80000000000001"/>
    <n v="171.4"/>
  </r>
  <r>
    <x v="2"/>
    <n v="2022"/>
    <s v="June"/>
    <x v="113"/>
    <n v="174.9"/>
    <n v="194.3"/>
    <n v="176"/>
    <n v="166.8"/>
    <n v="176"/>
    <n v="167.5"/>
    <n v="172.6"/>
  </r>
  <r>
    <x v="0"/>
    <n v="2022"/>
    <s v="July"/>
    <x v="114"/>
    <n v="172.5"/>
    <n v="193.2"/>
    <n v="181.7"/>
    <m/>
    <n v="179.6"/>
    <n v="171.8"/>
    <n v="174.3"/>
  </r>
  <r>
    <x v="1"/>
    <n v="2022"/>
    <s v="July"/>
    <x v="114"/>
    <n v="179.4"/>
    <n v="198.6"/>
    <n v="170.6"/>
    <n v="167.8"/>
    <n v="179.5"/>
    <n v="164.7"/>
    <n v="172.3"/>
  </r>
  <r>
    <x v="2"/>
    <n v="2022"/>
    <s v="July"/>
    <x v="114"/>
    <n v="175"/>
    <n v="194.6"/>
    <n v="177.3"/>
    <n v="167.8"/>
    <n v="179.6"/>
    <n v="168.4"/>
    <n v="173.4"/>
  </r>
  <r>
    <x v="0"/>
    <n v="2022"/>
    <s v="August"/>
    <x v="115"/>
    <n v="173.9"/>
    <n v="193.7"/>
    <n v="183"/>
    <m/>
    <n v="179.1"/>
    <n v="172.6"/>
    <n v="175.3"/>
  </r>
  <r>
    <x v="1"/>
    <n v="2022"/>
    <s v="August"/>
    <x v="115"/>
    <n v="180.4"/>
    <n v="198.7"/>
    <n v="171.6"/>
    <n v="169"/>
    <n v="178.4"/>
    <n v="165.4"/>
    <n v="173.1"/>
  </r>
  <r>
    <x v="2"/>
    <n v="2022"/>
    <s v="August"/>
    <x v="115"/>
    <n v="176.3"/>
    <n v="195"/>
    <n v="178.5"/>
    <n v="169"/>
    <n v="178.8"/>
    <n v="169.1"/>
    <n v="174.3"/>
  </r>
  <r>
    <x v="0"/>
    <n v="2022"/>
    <s v="September"/>
    <x v="116"/>
    <n v="175.5"/>
    <n v="194.5"/>
    <n v="184.5"/>
    <m/>
    <n v="179.7"/>
    <n v="173.1"/>
    <n v="176.4"/>
  </r>
  <r>
    <x v="1"/>
    <n v="2022"/>
    <s v="September"/>
    <x v="116"/>
    <n v="181.8"/>
    <n v="199.7"/>
    <n v="173"/>
    <n v="169.5"/>
    <n v="179.2"/>
    <n v="166.1"/>
    <n v="174.1"/>
  </r>
  <r>
    <x v="2"/>
    <n v="2022"/>
    <s v="September"/>
    <x v="116"/>
    <n v="177.8"/>
    <n v="195.9"/>
    <n v="179.9"/>
    <n v="169.5"/>
    <n v="179.5"/>
    <n v="169.7"/>
    <n v="175.3"/>
  </r>
  <r>
    <x v="0"/>
    <n v="2022"/>
    <s v="October"/>
    <x v="117"/>
    <n v="177.4"/>
    <n v="194.9"/>
    <n v="185.9"/>
    <m/>
    <n v="180.8"/>
    <n v="173.9"/>
    <n v="177.9"/>
  </r>
  <r>
    <x v="1"/>
    <n v="2022"/>
    <s v="October"/>
    <x v="117"/>
    <n v="183.3"/>
    <n v="200.1"/>
    <n v="173.6"/>
    <n v="171.2"/>
    <n v="180"/>
    <n v="166.8"/>
    <n v="175.3"/>
  </r>
  <r>
    <x v="2"/>
    <n v="2022"/>
    <s v="October"/>
    <x v="117"/>
    <n v="179.6"/>
    <n v="196.3"/>
    <n v="181"/>
    <n v="171.2"/>
    <n v="180.5"/>
    <n v="170.5"/>
    <n v="176.7"/>
  </r>
  <r>
    <x v="0"/>
    <n v="2022"/>
    <s v="November"/>
    <x v="118"/>
    <n v="176.6"/>
    <n v="195.5"/>
    <n v="186.9"/>
    <m/>
    <n v="181.9"/>
    <n v="174.6"/>
    <n v="177.8"/>
  </r>
  <r>
    <x v="1"/>
    <n v="2022"/>
    <s v="November"/>
    <x v="118"/>
    <n v="181.3"/>
    <n v="200.6"/>
    <n v="174.7"/>
    <n v="171.8"/>
    <n v="180.3"/>
    <n v="167.4"/>
    <n v="174.1"/>
  </r>
  <r>
    <x v="2"/>
    <n v="2022"/>
    <s v="November"/>
    <x v="118"/>
    <n v="178.3"/>
    <n v="196.9"/>
    <n v="182.1"/>
    <n v="171.8"/>
    <n v="181.3"/>
    <n v="171.1"/>
    <n v="176.5"/>
  </r>
  <r>
    <x v="0"/>
    <n v="2022"/>
    <s v="December"/>
    <x v="119"/>
    <n v="174.4"/>
    <n v="195.9"/>
    <n v="187.8"/>
    <m/>
    <n v="182.8"/>
    <n v="175.5"/>
    <n v="177.1"/>
  </r>
  <r>
    <x v="1"/>
    <n v="2022"/>
    <s v="December"/>
    <x v="119"/>
    <n v="178.6"/>
    <n v="201.1"/>
    <n v="175.7"/>
    <n v="170.7"/>
    <n v="180.6"/>
    <n v="168.2"/>
    <n v="174.1"/>
  </r>
  <r>
    <x v="2"/>
    <n v="2022"/>
    <s v="December"/>
    <x v="119"/>
    <n v="175.9"/>
    <n v="197.3"/>
    <n v="183"/>
    <n v="170.7"/>
    <n v="182"/>
    <n v="172"/>
    <n v="175.7"/>
  </r>
  <r>
    <x v="0"/>
    <n v="2023"/>
    <s v="January"/>
    <x v="120"/>
    <n v="175"/>
    <n v="196.9"/>
    <n v="188.6"/>
    <m/>
    <n v="183.2"/>
    <n v="176.5"/>
    <n v="177.8"/>
  </r>
  <r>
    <x v="1"/>
    <n v="2023"/>
    <s v="January"/>
    <x v="120"/>
    <n v="179.5"/>
    <n v="201.6"/>
    <n v="176.6"/>
    <n v="172.1"/>
    <n v="180.1"/>
    <n v="168.9"/>
    <n v="174.9"/>
  </r>
  <r>
    <x v="2"/>
    <n v="2023"/>
    <s v="January"/>
    <x v="120"/>
    <n v="176.7"/>
    <n v="198.2"/>
    <n v="183.8"/>
    <n v="172.1"/>
    <n v="182"/>
    <n v="172.8"/>
    <n v="176.5"/>
  </r>
  <r>
    <x v="0"/>
    <n v="2023"/>
    <s v="February"/>
    <x v="121"/>
    <n v="174.8"/>
    <n v="198.3"/>
    <n v="189.6"/>
    <m/>
    <n v="181.6"/>
    <n v="177.9"/>
    <n v="178"/>
  </r>
  <r>
    <x v="1"/>
    <n v="2023"/>
    <s v="February"/>
    <x v="121"/>
    <n v="180.7"/>
    <n v="202.7"/>
    <n v="178.2"/>
    <n v="173.5"/>
    <n v="182.8"/>
    <n v="170"/>
    <n v="176.3"/>
  </r>
  <r>
    <x v="2"/>
    <n v="2023"/>
    <s v="February"/>
    <x v="121"/>
    <n v="177"/>
    <n v="199.5"/>
    <n v="185.1"/>
    <n v="173.5"/>
    <n v="182.1"/>
    <n v="174.1"/>
    <n v="177.2"/>
  </r>
  <r>
    <x v="0"/>
    <n v="2023"/>
    <s v="March"/>
    <x v="122"/>
    <n v="174.8"/>
    <n v="198.4"/>
    <n v="189.6"/>
    <m/>
    <n v="181.4"/>
    <n v="177.9"/>
    <n v="178"/>
  </r>
  <r>
    <x v="1"/>
    <n v="2023"/>
    <s v="March"/>
    <x v="122"/>
    <n v="180.8"/>
    <n v="202.7"/>
    <n v="178.2"/>
    <n v="173.5"/>
    <n v="182.6"/>
    <n v="170"/>
    <n v="176.3"/>
  </r>
  <r>
    <x v="2"/>
    <n v="2023"/>
    <s v="March"/>
    <x v="122"/>
    <n v="177"/>
    <n v="199.5"/>
    <n v="185.1"/>
    <n v="173.5"/>
    <n v="181.9"/>
    <n v="174.1"/>
    <n v="177.2"/>
  </r>
  <r>
    <x v="0"/>
    <n v="2023"/>
    <s v="April"/>
    <x v="123"/>
    <n v="175.5"/>
    <n v="199.5"/>
    <n v="190.2"/>
    <m/>
    <n v="181.5"/>
    <n v="178.9"/>
    <n v="178.8"/>
  </r>
  <r>
    <x v="1"/>
    <n v="2023"/>
    <s v="April"/>
    <x v="123"/>
    <n v="182.1"/>
    <n v="203.5"/>
    <n v="178.9"/>
    <n v="175.2"/>
    <n v="182.1"/>
    <n v="170.9"/>
    <n v="177.4"/>
  </r>
  <r>
    <x v="2"/>
    <n v="2023"/>
    <s v="April"/>
    <x v="123"/>
    <n v="177.9"/>
    <n v="200.6"/>
    <n v="185.7"/>
    <n v="175.2"/>
    <n v="181.7"/>
    <n v="175"/>
    <n v="178.1"/>
  </r>
  <r>
    <x v="0"/>
    <n v="2023"/>
    <s v="May"/>
    <x v="124"/>
    <n v="176.8"/>
    <n v="199.9"/>
    <n v="190.8"/>
    <m/>
    <n v="182.5"/>
    <n v="179.5"/>
    <n v="179.8"/>
  </r>
  <r>
    <x v="1"/>
    <n v="2023"/>
    <s v="May"/>
    <x v="124"/>
    <n v="183.1"/>
    <n v="204.2"/>
    <n v="179.3"/>
    <n v="175.6"/>
    <n v="183.4"/>
    <n v="171.6"/>
    <n v="178.2"/>
  </r>
  <r>
    <x v="2"/>
    <n v="2023"/>
    <s v="May"/>
    <x v="124"/>
    <n v="179.1"/>
    <n v="201"/>
    <n v="186.2"/>
    <n v="175.6"/>
    <n v="182.8"/>
    <n v="175.7"/>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6">
  <r>
    <s v="Rural"/>
    <n v="2013"/>
    <s v="January"/>
    <x v="0"/>
    <s v="Cereals and products"/>
    <n v="107.5"/>
    <x v="0"/>
  </r>
  <r>
    <s v="Rural"/>
    <n v="2013"/>
    <s v="January"/>
    <x v="0"/>
    <s v="Meat and fish"/>
    <n v="106.3"/>
    <x v="0"/>
  </r>
  <r>
    <s v="Rural"/>
    <n v="2013"/>
    <s v="January"/>
    <x v="0"/>
    <s v="Egg"/>
    <n v="108.1"/>
    <x v="0"/>
  </r>
  <r>
    <s v="Rural"/>
    <n v="2013"/>
    <s v="January"/>
    <x v="0"/>
    <s v="Milk and products"/>
    <n v="104.9"/>
    <x v="0"/>
  </r>
  <r>
    <s v="Rural"/>
    <n v="2013"/>
    <s v="January"/>
    <x v="0"/>
    <s v="Oils and fats"/>
    <n v="106.1"/>
    <x v="0"/>
  </r>
  <r>
    <s v="Rural"/>
    <n v="2013"/>
    <s v="January"/>
    <x v="0"/>
    <s v="Fruits"/>
    <n v="103.9"/>
    <x v="0"/>
  </r>
  <r>
    <s v="Rural"/>
    <n v="2013"/>
    <s v="January"/>
    <x v="0"/>
    <s v="Vegetables"/>
    <n v="101.9"/>
    <x v="0"/>
  </r>
  <r>
    <s v="Rural"/>
    <n v="2013"/>
    <s v="January"/>
    <x v="0"/>
    <s v="Pulses and products"/>
    <n v="106.1"/>
    <x v="0"/>
  </r>
  <r>
    <s v="Rural"/>
    <n v="2013"/>
    <s v="January"/>
    <x v="0"/>
    <s v="Sugar and Confectionery"/>
    <n v="106.8"/>
    <x v="0"/>
  </r>
  <r>
    <s v="Rural"/>
    <n v="2013"/>
    <s v="January"/>
    <x v="0"/>
    <s v="Spices"/>
    <n v="103.1"/>
    <x v="0"/>
  </r>
  <r>
    <s v="Rural"/>
    <n v="2013"/>
    <s v="January"/>
    <x v="0"/>
    <s v="Non-alcoholic beverages"/>
    <n v="104.8"/>
    <x v="0"/>
  </r>
  <r>
    <s v="Rural"/>
    <n v="2013"/>
    <s v="January"/>
    <x v="0"/>
    <s v="Prepared meals, snacks, sweets etc."/>
    <n v="106.7"/>
    <x v="0"/>
  </r>
  <r>
    <s v="Rural"/>
    <n v="2013"/>
    <s v="January"/>
    <x v="0"/>
    <s v="Food and beverages"/>
    <n v="105.5"/>
    <x v="0"/>
  </r>
  <r>
    <s v="Rural"/>
    <n v="2013"/>
    <s v="January"/>
    <x v="0"/>
    <s v="Pan, tobacco and intoxicants"/>
    <n v="105.1"/>
    <x v="1"/>
  </r>
  <r>
    <s v="Rural"/>
    <n v="2013"/>
    <s v="January"/>
    <x v="0"/>
    <s v="Clothing"/>
    <n v="106.5"/>
    <x v="2"/>
  </r>
  <r>
    <s v="Rural"/>
    <n v="2013"/>
    <s v="January"/>
    <x v="0"/>
    <s v="Footwear"/>
    <n v="105.8"/>
    <x v="2"/>
  </r>
  <r>
    <s v="Rural"/>
    <n v="2013"/>
    <s v="January"/>
    <x v="0"/>
    <s v="Clothing and footwear"/>
    <n v="106.4"/>
    <x v="2"/>
  </r>
  <r>
    <s v="Rural"/>
    <n v="2013"/>
    <s v="January"/>
    <x v="0"/>
    <s v="Fuel and light"/>
    <n v="105.5"/>
    <x v="3"/>
  </r>
  <r>
    <s v="Rural"/>
    <n v="2013"/>
    <s v="January"/>
    <x v="0"/>
    <s v="Household goods and services"/>
    <n v="104.8"/>
    <x v="4"/>
  </r>
  <r>
    <s v="Rural"/>
    <n v="2013"/>
    <s v="January"/>
    <x v="0"/>
    <s v="Health"/>
    <n v="104"/>
    <x v="5"/>
  </r>
  <r>
    <s v="Rural"/>
    <n v="2013"/>
    <s v="January"/>
    <x v="0"/>
    <s v="Transport and communication"/>
    <n v="103.3"/>
    <x v="6"/>
  </r>
  <r>
    <s v="Rural"/>
    <n v="2013"/>
    <s v="January"/>
    <x v="0"/>
    <s v="Recreation and amusement"/>
    <n v="103.4"/>
    <x v="1"/>
  </r>
  <r>
    <s v="Rural"/>
    <n v="2013"/>
    <s v="January"/>
    <x v="0"/>
    <s v="Education"/>
    <n v="103.8"/>
    <x v="7"/>
  </r>
  <r>
    <s v="Rural"/>
    <n v="2013"/>
    <s v="January"/>
    <x v="0"/>
    <s v="Personal care and effects"/>
    <n v="104.7"/>
    <x v="4"/>
  </r>
  <r>
    <s v="Rural"/>
    <n v="2013"/>
    <s v="January"/>
    <x v="0"/>
    <s v="Miscellaneous"/>
    <n v="104"/>
    <x v="8"/>
  </r>
  <r>
    <s v="Rural"/>
    <n v="2013"/>
    <s v="January"/>
    <x v="0"/>
    <s v="General index"/>
    <n v="105.1"/>
    <x v="9"/>
  </r>
  <r>
    <s v="Urban"/>
    <n v="2013"/>
    <s v="January"/>
    <x v="0"/>
    <s v="Cereals and products"/>
    <n v="110.5"/>
    <x v="0"/>
  </r>
  <r>
    <s v="Urban"/>
    <n v="2013"/>
    <s v="January"/>
    <x v="0"/>
    <s v="Meat and fish"/>
    <n v="109.1"/>
    <x v="0"/>
  </r>
  <r>
    <s v="Urban"/>
    <n v="2013"/>
    <s v="January"/>
    <x v="0"/>
    <s v="Egg"/>
    <n v="113"/>
    <x v="0"/>
  </r>
  <r>
    <s v="Urban"/>
    <n v="2013"/>
    <s v="January"/>
    <x v="0"/>
    <s v="Milk and products"/>
    <n v="103.6"/>
    <x v="0"/>
  </r>
  <r>
    <s v="Urban"/>
    <n v="2013"/>
    <s v="January"/>
    <x v="0"/>
    <s v="Oils and fats"/>
    <n v="103.4"/>
    <x v="0"/>
  </r>
  <r>
    <s v="Urban"/>
    <n v="2013"/>
    <s v="January"/>
    <x v="0"/>
    <s v="Fruits"/>
    <n v="102.3"/>
    <x v="0"/>
  </r>
  <r>
    <s v="Urban"/>
    <n v="2013"/>
    <s v="January"/>
    <x v="0"/>
    <s v="Vegetables"/>
    <n v="102.9"/>
    <x v="0"/>
  </r>
  <r>
    <s v="Urban"/>
    <n v="2013"/>
    <s v="January"/>
    <x v="0"/>
    <s v="Pulses and products"/>
    <n v="105.8"/>
    <x v="0"/>
  </r>
  <r>
    <s v="Urban"/>
    <n v="2013"/>
    <s v="January"/>
    <x v="0"/>
    <s v="Sugar and Confectionery"/>
    <n v="105.1"/>
    <x v="0"/>
  </r>
  <r>
    <s v="Urban"/>
    <n v="2013"/>
    <s v="January"/>
    <x v="0"/>
    <s v="Spices"/>
    <n v="101.8"/>
    <x v="0"/>
  </r>
  <r>
    <s v="Urban"/>
    <n v="2013"/>
    <s v="January"/>
    <x v="0"/>
    <s v="Non-alcoholic beverages"/>
    <n v="105.1"/>
    <x v="0"/>
  </r>
  <r>
    <s v="Urban"/>
    <n v="2013"/>
    <s v="January"/>
    <x v="0"/>
    <s v="Prepared meals, snacks, sweets etc."/>
    <n v="107.9"/>
    <x v="0"/>
  </r>
  <r>
    <s v="Urban"/>
    <n v="2013"/>
    <s v="January"/>
    <x v="0"/>
    <s v="Food and beverages"/>
    <n v="105.9"/>
    <x v="0"/>
  </r>
  <r>
    <s v="Urban"/>
    <n v="2013"/>
    <s v="January"/>
    <x v="0"/>
    <s v="Pan, tobacco and intoxicants"/>
    <n v="105.2"/>
    <x v="1"/>
  </r>
  <r>
    <s v="Urban"/>
    <n v="2013"/>
    <s v="January"/>
    <x v="0"/>
    <s v="Clothing"/>
    <n v="105.9"/>
    <x v="2"/>
  </r>
  <r>
    <s v="Urban"/>
    <n v="2013"/>
    <s v="January"/>
    <x v="0"/>
    <s v="Footwear"/>
    <n v="105"/>
    <x v="2"/>
  </r>
  <r>
    <s v="Urban"/>
    <n v="2013"/>
    <s v="January"/>
    <x v="0"/>
    <s v="Clothing and footwear"/>
    <n v="105.8"/>
    <x v="2"/>
  </r>
  <r>
    <s v="Urban"/>
    <n v="2013"/>
    <s v="January"/>
    <x v="0"/>
    <s v="Housing"/>
    <n v="100.3"/>
    <x v="10"/>
  </r>
  <r>
    <s v="Urban"/>
    <n v="2013"/>
    <s v="January"/>
    <x v="0"/>
    <s v="Fuel and light"/>
    <n v="105.4"/>
    <x v="3"/>
  </r>
  <r>
    <s v="Urban"/>
    <n v="2013"/>
    <s v="January"/>
    <x v="0"/>
    <s v="Household goods and services"/>
    <n v="104.8"/>
    <x v="4"/>
  </r>
  <r>
    <s v="Urban"/>
    <n v="2013"/>
    <s v="January"/>
    <x v="0"/>
    <s v="Health"/>
    <n v="104.1"/>
    <x v="5"/>
  </r>
  <r>
    <s v="Urban"/>
    <n v="2013"/>
    <s v="January"/>
    <x v="0"/>
    <s v="Transport and communication"/>
    <n v="103.2"/>
    <x v="6"/>
  </r>
  <r>
    <s v="Urban"/>
    <n v="2013"/>
    <s v="January"/>
    <x v="0"/>
    <s v="Recreation and amusement"/>
    <n v="102.9"/>
    <x v="1"/>
  </r>
  <r>
    <s v="Urban"/>
    <n v="2013"/>
    <s v="January"/>
    <x v="0"/>
    <s v="Education"/>
    <n v="103.5"/>
    <x v="7"/>
  </r>
  <r>
    <s v="Urban"/>
    <n v="2013"/>
    <s v="January"/>
    <x v="0"/>
    <s v="Personal care and effects"/>
    <n v="104.3"/>
    <x v="4"/>
  </r>
  <r>
    <s v="Urban"/>
    <n v="2013"/>
    <s v="January"/>
    <x v="0"/>
    <s v="Miscellaneous"/>
    <n v="103.7"/>
    <x v="8"/>
  </r>
  <r>
    <s v="Urban"/>
    <n v="2013"/>
    <s v="January"/>
    <x v="0"/>
    <s v="General index"/>
    <n v="104"/>
    <x v="9"/>
  </r>
  <r>
    <s v="Rural+Urban"/>
    <n v="2013"/>
    <s v="January"/>
    <x v="0"/>
    <s v="Cereals and products"/>
    <n v="108.4"/>
    <x v="0"/>
  </r>
  <r>
    <s v="Rural+Urban"/>
    <n v="2013"/>
    <s v="January"/>
    <x v="0"/>
    <s v="Meat and fish"/>
    <n v="107.3"/>
    <x v="0"/>
  </r>
  <r>
    <s v="Rural+Urban"/>
    <n v="2013"/>
    <s v="January"/>
    <x v="0"/>
    <s v="Egg"/>
    <n v="110"/>
    <x v="0"/>
  </r>
  <r>
    <s v="Rural+Urban"/>
    <n v="2013"/>
    <s v="January"/>
    <x v="0"/>
    <s v="Milk and products"/>
    <n v="104.4"/>
    <x v="0"/>
  </r>
  <r>
    <s v="Rural+Urban"/>
    <n v="2013"/>
    <s v="January"/>
    <x v="0"/>
    <s v="Oils and fats"/>
    <n v="105.1"/>
    <x v="0"/>
  </r>
  <r>
    <s v="Rural+Urban"/>
    <n v="2013"/>
    <s v="January"/>
    <x v="0"/>
    <s v="Fruits"/>
    <n v="103.2"/>
    <x v="0"/>
  </r>
  <r>
    <s v="Rural+Urban"/>
    <n v="2013"/>
    <s v="January"/>
    <x v="0"/>
    <s v="Vegetables"/>
    <n v="102.2"/>
    <x v="0"/>
  </r>
  <r>
    <s v="Rural+Urban"/>
    <n v="2013"/>
    <s v="January"/>
    <x v="0"/>
    <s v="Pulses and products"/>
    <n v="106"/>
    <x v="0"/>
  </r>
  <r>
    <s v="Rural+Urban"/>
    <n v="2013"/>
    <s v="January"/>
    <x v="0"/>
    <s v="Sugar and Confectionery"/>
    <n v="106.2"/>
    <x v="0"/>
  </r>
  <r>
    <s v="Rural+Urban"/>
    <n v="2013"/>
    <s v="January"/>
    <x v="0"/>
    <s v="Spices"/>
    <n v="102.7"/>
    <x v="0"/>
  </r>
  <r>
    <s v="Rural+Urban"/>
    <n v="2013"/>
    <s v="January"/>
    <x v="0"/>
    <s v="Non-alcoholic beverages"/>
    <n v="104.9"/>
    <x v="0"/>
  </r>
  <r>
    <s v="Rural+Urban"/>
    <n v="2013"/>
    <s v="January"/>
    <x v="0"/>
    <s v="Prepared meals, snacks, sweets etc."/>
    <n v="107.3"/>
    <x v="0"/>
  </r>
  <r>
    <s v="Rural+Urban"/>
    <n v="2013"/>
    <s v="January"/>
    <x v="0"/>
    <s v="Food and beverages"/>
    <n v="105.6"/>
    <x v="0"/>
  </r>
  <r>
    <s v="Rural+Urban"/>
    <n v="2013"/>
    <s v="January"/>
    <x v="0"/>
    <s v="Pan, tobacco and intoxicants"/>
    <n v="105.1"/>
    <x v="1"/>
  </r>
  <r>
    <s v="Rural+Urban"/>
    <n v="2013"/>
    <s v="January"/>
    <x v="0"/>
    <s v="Clothing"/>
    <n v="106.3"/>
    <x v="2"/>
  </r>
  <r>
    <s v="Rural+Urban"/>
    <n v="2013"/>
    <s v="January"/>
    <x v="0"/>
    <s v="Footwear"/>
    <n v="105.5"/>
    <x v="2"/>
  </r>
  <r>
    <s v="Rural+Urban"/>
    <n v="2013"/>
    <s v="January"/>
    <x v="0"/>
    <s v="Clothing and footwear"/>
    <n v="106.2"/>
    <x v="2"/>
  </r>
  <r>
    <s v="Rural+Urban"/>
    <n v="2013"/>
    <s v="January"/>
    <x v="0"/>
    <s v="Housing"/>
    <n v="100.3"/>
    <x v="10"/>
  </r>
  <r>
    <s v="Rural+Urban"/>
    <n v="2013"/>
    <s v="January"/>
    <x v="0"/>
    <s v="Fuel and light"/>
    <n v="105.5"/>
    <x v="3"/>
  </r>
  <r>
    <s v="Rural+Urban"/>
    <n v="2013"/>
    <s v="January"/>
    <x v="0"/>
    <s v="Household goods and services"/>
    <n v="104.8"/>
    <x v="4"/>
  </r>
  <r>
    <s v="Rural+Urban"/>
    <n v="2013"/>
    <s v="January"/>
    <x v="0"/>
    <s v="Health"/>
    <n v="104"/>
    <x v="5"/>
  </r>
  <r>
    <s v="Rural+Urban"/>
    <n v="2013"/>
    <s v="January"/>
    <x v="0"/>
    <s v="Transport and communication"/>
    <n v="103.2"/>
    <x v="6"/>
  </r>
  <r>
    <s v="Rural+Urban"/>
    <n v="2013"/>
    <s v="January"/>
    <x v="0"/>
    <s v="Recreation and amusement"/>
    <n v="103.1"/>
    <x v="1"/>
  </r>
  <r>
    <s v="Rural+Urban"/>
    <n v="2013"/>
    <s v="January"/>
    <x v="0"/>
    <s v="Education"/>
    <n v="103.6"/>
    <x v="7"/>
  </r>
  <r>
    <s v="Rural+Urban"/>
    <n v="2013"/>
    <s v="January"/>
    <x v="0"/>
    <s v="Personal care and effects"/>
    <n v="104.5"/>
    <x v="4"/>
  </r>
  <r>
    <s v="Rural+Urban"/>
    <n v="2013"/>
    <s v="January"/>
    <x v="0"/>
    <s v="Miscellaneous"/>
    <n v="103.9"/>
    <x v="8"/>
  </r>
  <r>
    <s v="Rural+Urban"/>
    <n v="2013"/>
    <s v="January"/>
    <x v="0"/>
    <s v="General index"/>
    <n v="104.6"/>
    <x v="9"/>
  </r>
  <r>
    <s v="Rural"/>
    <n v="2013"/>
    <s v="February"/>
    <x v="1"/>
    <s v="Cereals and products"/>
    <n v="109.2"/>
    <x v="0"/>
  </r>
  <r>
    <s v="Rural"/>
    <n v="2013"/>
    <s v="February"/>
    <x v="1"/>
    <s v="Meat and fish"/>
    <n v="108.7"/>
    <x v="0"/>
  </r>
  <r>
    <s v="Rural"/>
    <n v="2013"/>
    <s v="February"/>
    <x v="1"/>
    <s v="Egg"/>
    <n v="110.2"/>
    <x v="0"/>
  </r>
  <r>
    <s v="Rural"/>
    <n v="2013"/>
    <s v="February"/>
    <x v="1"/>
    <s v="Milk and products"/>
    <n v="105.4"/>
    <x v="0"/>
  </r>
  <r>
    <s v="Rural"/>
    <n v="2013"/>
    <s v="February"/>
    <x v="1"/>
    <s v="Oils and fats"/>
    <n v="106.7"/>
    <x v="0"/>
  </r>
  <r>
    <s v="Rural"/>
    <n v="2013"/>
    <s v="February"/>
    <x v="1"/>
    <s v="Fruits"/>
    <n v="104"/>
    <x v="0"/>
  </r>
  <r>
    <s v="Rural"/>
    <n v="2013"/>
    <s v="February"/>
    <x v="1"/>
    <s v="Vegetables"/>
    <n v="102.4"/>
    <x v="0"/>
  </r>
  <r>
    <s v="Rural"/>
    <n v="2013"/>
    <s v="February"/>
    <x v="1"/>
    <s v="Pulses and products"/>
    <n v="105.9"/>
    <x v="0"/>
  </r>
  <r>
    <s v="Rural"/>
    <n v="2013"/>
    <s v="February"/>
    <x v="1"/>
    <s v="Sugar and Confectionery"/>
    <n v="105.7"/>
    <x v="0"/>
  </r>
  <r>
    <s v="Rural"/>
    <n v="2013"/>
    <s v="February"/>
    <x v="1"/>
    <s v="Spices"/>
    <n v="103.1"/>
    <x v="0"/>
  </r>
  <r>
    <s v="Rural"/>
    <n v="2013"/>
    <s v="February"/>
    <x v="1"/>
    <s v="Non-alcoholic beverages"/>
    <n v="105.1"/>
    <x v="0"/>
  </r>
  <r>
    <s v="Rural"/>
    <n v="2013"/>
    <s v="February"/>
    <x v="1"/>
    <s v="Prepared meals, snacks, sweets etc."/>
    <n v="107.7"/>
    <x v="0"/>
  </r>
  <r>
    <s v="Rural"/>
    <n v="2013"/>
    <s v="February"/>
    <x v="1"/>
    <s v="Food and beverages"/>
    <n v="106.3"/>
    <x v="0"/>
  </r>
  <r>
    <s v="Rural"/>
    <n v="2013"/>
    <s v="February"/>
    <x v="1"/>
    <s v="Pan, tobacco and intoxicants"/>
    <n v="105.6"/>
    <x v="1"/>
  </r>
  <r>
    <s v="Rural"/>
    <n v="2013"/>
    <s v="February"/>
    <x v="1"/>
    <s v="Clothing"/>
    <n v="107.1"/>
    <x v="2"/>
  </r>
  <r>
    <s v="Rural"/>
    <n v="2013"/>
    <s v="February"/>
    <x v="1"/>
    <s v="Footwear"/>
    <n v="106.3"/>
    <x v="2"/>
  </r>
  <r>
    <s v="Rural"/>
    <n v="2013"/>
    <s v="February"/>
    <x v="1"/>
    <s v="Clothing and footwear"/>
    <n v="107"/>
    <x v="2"/>
  </r>
  <r>
    <s v="Rural"/>
    <n v="2013"/>
    <s v="February"/>
    <x v="1"/>
    <s v="Fuel and light"/>
    <n v="106.2"/>
    <x v="3"/>
  </r>
  <r>
    <s v="Rural"/>
    <n v="2013"/>
    <s v="February"/>
    <x v="1"/>
    <s v="Household goods and services"/>
    <n v="105.2"/>
    <x v="4"/>
  </r>
  <r>
    <s v="Rural"/>
    <n v="2013"/>
    <s v="February"/>
    <x v="1"/>
    <s v="Health"/>
    <n v="104.4"/>
    <x v="5"/>
  </r>
  <r>
    <s v="Rural"/>
    <n v="2013"/>
    <s v="February"/>
    <x v="1"/>
    <s v="Transport and communication"/>
    <n v="103.9"/>
    <x v="6"/>
  </r>
  <r>
    <s v="Rural"/>
    <n v="2013"/>
    <s v="February"/>
    <x v="1"/>
    <s v="Recreation and amusement"/>
    <n v="104"/>
    <x v="1"/>
  </r>
  <r>
    <s v="Rural"/>
    <n v="2013"/>
    <s v="February"/>
    <x v="1"/>
    <s v="Education"/>
    <n v="104.1"/>
    <x v="7"/>
  </r>
  <r>
    <s v="Rural"/>
    <n v="2013"/>
    <s v="February"/>
    <x v="1"/>
    <s v="Personal care and effects"/>
    <n v="104.6"/>
    <x v="4"/>
  </r>
  <r>
    <s v="Rural"/>
    <n v="2013"/>
    <s v="February"/>
    <x v="1"/>
    <s v="Miscellaneous"/>
    <n v="104.4"/>
    <x v="8"/>
  </r>
  <r>
    <s v="Rural"/>
    <n v="2013"/>
    <s v="February"/>
    <x v="1"/>
    <s v="General index"/>
    <n v="105.8"/>
    <x v="9"/>
  </r>
  <r>
    <s v="Urban"/>
    <n v="2013"/>
    <s v="February"/>
    <x v="1"/>
    <s v="Cereals and products"/>
    <n v="112.9"/>
    <x v="0"/>
  </r>
  <r>
    <s v="Urban"/>
    <n v="2013"/>
    <s v="February"/>
    <x v="1"/>
    <s v="Meat and fish"/>
    <n v="112.9"/>
    <x v="0"/>
  </r>
  <r>
    <s v="Urban"/>
    <n v="2013"/>
    <s v="February"/>
    <x v="1"/>
    <s v="Egg"/>
    <n v="116.9"/>
    <x v="0"/>
  </r>
  <r>
    <s v="Urban"/>
    <n v="2013"/>
    <s v="February"/>
    <x v="1"/>
    <s v="Milk and products"/>
    <n v="104"/>
    <x v="0"/>
  </r>
  <r>
    <s v="Urban"/>
    <n v="2013"/>
    <s v="February"/>
    <x v="1"/>
    <s v="Oils and fats"/>
    <n v="103.5"/>
    <x v="0"/>
  </r>
  <r>
    <s v="Urban"/>
    <n v="2013"/>
    <s v="February"/>
    <x v="1"/>
    <s v="Fruits"/>
    <n v="103.1"/>
    <x v="0"/>
  </r>
  <r>
    <s v="Urban"/>
    <n v="2013"/>
    <s v="February"/>
    <x v="1"/>
    <s v="Vegetables"/>
    <n v="104.9"/>
    <x v="0"/>
  </r>
  <r>
    <s v="Urban"/>
    <n v="2013"/>
    <s v="February"/>
    <x v="1"/>
    <s v="Pulses and products"/>
    <n v="104.1"/>
    <x v="0"/>
  </r>
  <r>
    <s v="Urban"/>
    <n v="2013"/>
    <s v="February"/>
    <x v="1"/>
    <s v="Sugar and Confectionery"/>
    <n v="103.8"/>
    <x v="0"/>
  </r>
  <r>
    <s v="Urban"/>
    <n v="2013"/>
    <s v="February"/>
    <x v="1"/>
    <s v="Spices"/>
    <n v="102.3"/>
    <x v="0"/>
  </r>
  <r>
    <s v="Urban"/>
    <n v="2013"/>
    <s v="February"/>
    <x v="1"/>
    <s v="Non-alcoholic beverages"/>
    <n v="106"/>
    <x v="0"/>
  </r>
  <r>
    <s v="Urban"/>
    <n v="2013"/>
    <s v="February"/>
    <x v="1"/>
    <s v="Prepared meals, snacks, sweets etc."/>
    <n v="109"/>
    <x v="0"/>
  </r>
  <r>
    <s v="Urban"/>
    <n v="2013"/>
    <s v="February"/>
    <x v="1"/>
    <s v="Food and beverages"/>
    <n v="107.2"/>
    <x v="0"/>
  </r>
  <r>
    <s v="Urban"/>
    <n v="2013"/>
    <s v="February"/>
    <x v="1"/>
    <s v="Pan, tobacco and intoxicants"/>
    <n v="106"/>
    <x v="1"/>
  </r>
  <r>
    <s v="Urban"/>
    <n v="2013"/>
    <s v="February"/>
    <x v="1"/>
    <s v="Clothing"/>
    <n v="106.6"/>
    <x v="2"/>
  </r>
  <r>
    <s v="Urban"/>
    <n v="2013"/>
    <s v="February"/>
    <x v="1"/>
    <s v="Footwear"/>
    <n v="105.5"/>
    <x v="2"/>
  </r>
  <r>
    <s v="Urban"/>
    <n v="2013"/>
    <s v="February"/>
    <x v="1"/>
    <s v="Clothing and footwear"/>
    <n v="106.4"/>
    <x v="2"/>
  </r>
  <r>
    <s v="Urban"/>
    <n v="2013"/>
    <s v="February"/>
    <x v="1"/>
    <s v="Housing"/>
    <n v="100.4"/>
    <x v="10"/>
  </r>
  <r>
    <s v="Urban"/>
    <n v="2013"/>
    <s v="February"/>
    <x v="1"/>
    <s v="Fuel and light"/>
    <n v="105.7"/>
    <x v="3"/>
  </r>
  <r>
    <s v="Urban"/>
    <n v="2013"/>
    <s v="February"/>
    <x v="1"/>
    <s v="Household goods and services"/>
    <n v="105.2"/>
    <x v="4"/>
  </r>
  <r>
    <s v="Urban"/>
    <n v="2013"/>
    <s v="February"/>
    <x v="1"/>
    <s v="Health"/>
    <n v="104.7"/>
    <x v="5"/>
  </r>
  <r>
    <s v="Urban"/>
    <n v="2013"/>
    <s v="February"/>
    <x v="1"/>
    <s v="Transport and communication"/>
    <n v="104.4"/>
    <x v="6"/>
  </r>
  <r>
    <s v="Urban"/>
    <n v="2013"/>
    <s v="February"/>
    <x v="1"/>
    <s v="Recreation and amusement"/>
    <n v="103.3"/>
    <x v="1"/>
  </r>
  <r>
    <s v="Urban"/>
    <n v="2013"/>
    <s v="February"/>
    <x v="1"/>
    <s v="Education"/>
    <n v="103.7"/>
    <x v="7"/>
  </r>
  <r>
    <s v="Urban"/>
    <n v="2013"/>
    <s v="February"/>
    <x v="1"/>
    <s v="Personal care and effects"/>
    <n v="104.3"/>
    <x v="4"/>
  </r>
  <r>
    <s v="Urban"/>
    <n v="2013"/>
    <s v="February"/>
    <x v="1"/>
    <s v="Miscellaneous"/>
    <n v="104.3"/>
    <x v="8"/>
  </r>
  <r>
    <s v="Urban"/>
    <n v="2013"/>
    <s v="February"/>
    <x v="1"/>
    <s v="General index"/>
    <n v="104.7"/>
    <x v="9"/>
  </r>
  <r>
    <s v="Rural+Urban"/>
    <n v="2013"/>
    <s v="February"/>
    <x v="1"/>
    <s v="Cereals and products"/>
    <n v="110.4"/>
    <x v="0"/>
  </r>
  <r>
    <s v="Rural+Urban"/>
    <n v="2013"/>
    <s v="February"/>
    <x v="1"/>
    <s v="Meat and fish"/>
    <n v="110.2"/>
    <x v="0"/>
  </r>
  <r>
    <s v="Rural+Urban"/>
    <n v="2013"/>
    <s v="February"/>
    <x v="1"/>
    <s v="Egg"/>
    <n v="112.8"/>
    <x v="0"/>
  </r>
  <r>
    <s v="Rural+Urban"/>
    <n v="2013"/>
    <s v="February"/>
    <x v="1"/>
    <s v="Milk and products"/>
    <n v="104.9"/>
    <x v="0"/>
  </r>
  <r>
    <s v="Rural+Urban"/>
    <n v="2013"/>
    <s v="February"/>
    <x v="1"/>
    <s v="Oils and fats"/>
    <n v="105.5"/>
    <x v="0"/>
  </r>
  <r>
    <s v="Rural+Urban"/>
    <n v="2013"/>
    <s v="February"/>
    <x v="1"/>
    <s v="Fruits"/>
    <n v="103.6"/>
    <x v="0"/>
  </r>
  <r>
    <s v="Rural+Urban"/>
    <n v="2013"/>
    <s v="February"/>
    <x v="1"/>
    <s v="Vegetables"/>
    <n v="103.2"/>
    <x v="0"/>
  </r>
  <r>
    <s v="Rural+Urban"/>
    <n v="2013"/>
    <s v="February"/>
    <x v="1"/>
    <s v="Pulses and products"/>
    <n v="105.3"/>
    <x v="0"/>
  </r>
  <r>
    <s v="Rural+Urban"/>
    <n v="2013"/>
    <s v="February"/>
    <x v="1"/>
    <s v="Sugar and Confectionery"/>
    <n v="105.1"/>
    <x v="0"/>
  </r>
  <r>
    <s v="Rural+Urban"/>
    <n v="2013"/>
    <s v="February"/>
    <x v="1"/>
    <s v="Spices"/>
    <n v="102.8"/>
    <x v="0"/>
  </r>
  <r>
    <s v="Rural+Urban"/>
    <n v="2013"/>
    <s v="February"/>
    <x v="1"/>
    <s v="Non-alcoholic beverages"/>
    <n v="105.5"/>
    <x v="0"/>
  </r>
  <r>
    <s v="Rural+Urban"/>
    <n v="2013"/>
    <s v="February"/>
    <x v="1"/>
    <s v="Prepared meals, snacks, sweets etc."/>
    <n v="108.3"/>
    <x v="0"/>
  </r>
  <r>
    <s v="Rural+Urban"/>
    <n v="2013"/>
    <s v="February"/>
    <x v="1"/>
    <s v="Food and beverages"/>
    <n v="106.6"/>
    <x v="0"/>
  </r>
  <r>
    <s v="Rural+Urban"/>
    <n v="2013"/>
    <s v="February"/>
    <x v="1"/>
    <s v="Pan, tobacco and intoxicants"/>
    <n v="105.7"/>
    <x v="1"/>
  </r>
  <r>
    <s v="Rural+Urban"/>
    <n v="2013"/>
    <s v="February"/>
    <x v="1"/>
    <s v="Clothing"/>
    <n v="106.9"/>
    <x v="2"/>
  </r>
  <r>
    <s v="Rural+Urban"/>
    <n v="2013"/>
    <s v="February"/>
    <x v="1"/>
    <s v="Footwear"/>
    <n v="106"/>
    <x v="2"/>
  </r>
  <r>
    <s v="Rural+Urban"/>
    <n v="2013"/>
    <s v="February"/>
    <x v="1"/>
    <s v="Clothing and footwear"/>
    <n v="106.8"/>
    <x v="2"/>
  </r>
  <r>
    <s v="Rural+Urban"/>
    <n v="2013"/>
    <s v="February"/>
    <x v="1"/>
    <s v="Housing"/>
    <n v="100.4"/>
    <x v="10"/>
  </r>
  <r>
    <s v="Rural+Urban"/>
    <n v="2013"/>
    <s v="February"/>
    <x v="1"/>
    <s v="Fuel and light"/>
    <n v="106"/>
    <x v="3"/>
  </r>
  <r>
    <s v="Rural+Urban"/>
    <n v="2013"/>
    <s v="February"/>
    <x v="1"/>
    <s v="Household goods and services"/>
    <n v="105.2"/>
    <x v="4"/>
  </r>
  <r>
    <s v="Rural+Urban"/>
    <n v="2013"/>
    <s v="February"/>
    <x v="1"/>
    <s v="Health"/>
    <n v="104.5"/>
    <x v="5"/>
  </r>
  <r>
    <s v="Rural+Urban"/>
    <n v="2013"/>
    <s v="February"/>
    <x v="1"/>
    <s v="Transport and communication"/>
    <n v="104.2"/>
    <x v="6"/>
  </r>
  <r>
    <s v="Rural+Urban"/>
    <n v="2013"/>
    <s v="February"/>
    <x v="1"/>
    <s v="Recreation and amusement"/>
    <n v="103.6"/>
    <x v="1"/>
  </r>
  <r>
    <s v="Rural+Urban"/>
    <n v="2013"/>
    <s v="February"/>
    <x v="1"/>
    <s v="Education"/>
    <n v="103.9"/>
    <x v="7"/>
  </r>
  <r>
    <s v="Rural+Urban"/>
    <n v="2013"/>
    <s v="February"/>
    <x v="1"/>
    <s v="Personal care and effects"/>
    <n v="104.5"/>
    <x v="4"/>
  </r>
  <r>
    <s v="Rural+Urban"/>
    <n v="2013"/>
    <s v="February"/>
    <x v="1"/>
    <s v="Miscellaneous"/>
    <n v="104.4"/>
    <x v="8"/>
  </r>
  <r>
    <s v="Rural+Urban"/>
    <n v="2013"/>
    <s v="February"/>
    <x v="1"/>
    <s v="General index"/>
    <n v="105.3"/>
    <x v="9"/>
  </r>
  <r>
    <s v="Rural"/>
    <n v="2013"/>
    <s v="March"/>
    <x v="2"/>
    <s v="Cereals and products"/>
    <n v="110.2"/>
    <x v="0"/>
  </r>
  <r>
    <s v="Rural"/>
    <n v="2013"/>
    <s v="March"/>
    <x v="2"/>
    <s v="Meat and fish"/>
    <n v="108.8"/>
    <x v="0"/>
  </r>
  <r>
    <s v="Rural"/>
    <n v="2013"/>
    <s v="March"/>
    <x v="2"/>
    <s v="Egg"/>
    <n v="109.9"/>
    <x v="0"/>
  </r>
  <r>
    <s v="Rural"/>
    <n v="2013"/>
    <s v="March"/>
    <x v="2"/>
    <s v="Milk and products"/>
    <n v="105.6"/>
    <x v="0"/>
  </r>
  <r>
    <s v="Rural"/>
    <n v="2013"/>
    <s v="March"/>
    <x v="2"/>
    <s v="Oils and fats"/>
    <n v="106.2"/>
    <x v="0"/>
  </r>
  <r>
    <s v="Rural"/>
    <n v="2013"/>
    <s v="March"/>
    <x v="2"/>
    <s v="Fruits"/>
    <n v="105.7"/>
    <x v="0"/>
  </r>
  <r>
    <s v="Rural"/>
    <n v="2013"/>
    <s v="March"/>
    <x v="2"/>
    <s v="Vegetables"/>
    <n v="101.4"/>
    <x v="0"/>
  </r>
  <r>
    <s v="Rural"/>
    <n v="2013"/>
    <s v="March"/>
    <x v="2"/>
    <s v="Pulses and products"/>
    <n v="105.7"/>
    <x v="0"/>
  </r>
  <r>
    <s v="Rural"/>
    <n v="2013"/>
    <s v="March"/>
    <x v="2"/>
    <s v="Sugar and Confectionery"/>
    <n v="105"/>
    <x v="0"/>
  </r>
  <r>
    <s v="Rural"/>
    <n v="2013"/>
    <s v="March"/>
    <x v="2"/>
    <s v="Spices"/>
    <n v="103.3"/>
    <x v="0"/>
  </r>
  <r>
    <s v="Rural"/>
    <n v="2013"/>
    <s v="March"/>
    <x v="2"/>
    <s v="Non-alcoholic beverages"/>
    <n v="105.6"/>
    <x v="0"/>
  </r>
  <r>
    <s v="Rural"/>
    <n v="2013"/>
    <s v="March"/>
    <x v="2"/>
    <s v="Prepared meals, snacks, sweets etc."/>
    <n v="108.2"/>
    <x v="0"/>
  </r>
  <r>
    <s v="Rural"/>
    <n v="2013"/>
    <s v="March"/>
    <x v="2"/>
    <s v="Food and beverages"/>
    <n v="106.6"/>
    <x v="0"/>
  </r>
  <r>
    <s v="Rural"/>
    <n v="2013"/>
    <s v="March"/>
    <x v="2"/>
    <s v="Pan, tobacco and intoxicants"/>
    <n v="106.5"/>
    <x v="1"/>
  </r>
  <r>
    <s v="Rural"/>
    <n v="2013"/>
    <s v="March"/>
    <x v="2"/>
    <s v="Clothing"/>
    <n v="107.6"/>
    <x v="2"/>
  </r>
  <r>
    <s v="Rural"/>
    <n v="2013"/>
    <s v="March"/>
    <x v="2"/>
    <s v="Footwear"/>
    <n v="106.8"/>
    <x v="2"/>
  </r>
  <r>
    <s v="Rural"/>
    <n v="2013"/>
    <s v="March"/>
    <x v="2"/>
    <s v="Clothing and footwear"/>
    <n v="107.5"/>
    <x v="2"/>
  </r>
  <r>
    <s v="Rural"/>
    <n v="2013"/>
    <s v="March"/>
    <x v="2"/>
    <s v="Fuel and light"/>
    <n v="106.1"/>
    <x v="3"/>
  </r>
  <r>
    <s v="Rural"/>
    <n v="2013"/>
    <s v="March"/>
    <x v="2"/>
    <s v="Household goods and services"/>
    <n v="105.6"/>
    <x v="4"/>
  </r>
  <r>
    <s v="Rural"/>
    <n v="2013"/>
    <s v="March"/>
    <x v="2"/>
    <s v="Health"/>
    <n v="104.7"/>
    <x v="5"/>
  </r>
  <r>
    <s v="Rural"/>
    <n v="2013"/>
    <s v="March"/>
    <x v="2"/>
    <s v="Transport and communication"/>
    <n v="104.6"/>
    <x v="6"/>
  </r>
  <r>
    <s v="Rural"/>
    <n v="2013"/>
    <s v="March"/>
    <x v="2"/>
    <s v="Recreation and amusement"/>
    <n v="104"/>
    <x v="1"/>
  </r>
  <r>
    <s v="Rural"/>
    <n v="2013"/>
    <s v="March"/>
    <x v="2"/>
    <s v="Education"/>
    <n v="104.3"/>
    <x v="7"/>
  </r>
  <r>
    <s v="Rural"/>
    <n v="2013"/>
    <s v="March"/>
    <x v="2"/>
    <s v="Personal care and effects"/>
    <n v="104.3"/>
    <x v="4"/>
  </r>
  <r>
    <s v="Rural"/>
    <n v="2013"/>
    <s v="March"/>
    <x v="2"/>
    <s v="Miscellaneous"/>
    <n v="104.6"/>
    <x v="8"/>
  </r>
  <r>
    <s v="Rural"/>
    <n v="2013"/>
    <s v="March"/>
    <x v="2"/>
    <s v="General index"/>
    <n v="106"/>
    <x v="9"/>
  </r>
  <r>
    <s v="Urban"/>
    <n v="2013"/>
    <s v="March"/>
    <x v="2"/>
    <s v="Cereals and products"/>
    <n v="113.9"/>
    <x v="0"/>
  </r>
  <r>
    <s v="Urban"/>
    <n v="2013"/>
    <s v="March"/>
    <x v="2"/>
    <s v="Meat and fish"/>
    <n v="111.4"/>
    <x v="0"/>
  </r>
  <r>
    <s v="Urban"/>
    <n v="2013"/>
    <s v="March"/>
    <x v="2"/>
    <s v="Egg"/>
    <n v="113.2"/>
    <x v="0"/>
  </r>
  <r>
    <s v="Urban"/>
    <n v="2013"/>
    <s v="March"/>
    <x v="2"/>
    <s v="Milk and products"/>
    <n v="104.3"/>
    <x v="0"/>
  </r>
  <r>
    <s v="Urban"/>
    <n v="2013"/>
    <s v="March"/>
    <x v="2"/>
    <s v="Oils and fats"/>
    <n v="102.7"/>
    <x v="0"/>
  </r>
  <r>
    <s v="Urban"/>
    <n v="2013"/>
    <s v="March"/>
    <x v="2"/>
    <s v="Fruits"/>
    <n v="104.9"/>
    <x v="0"/>
  </r>
  <r>
    <s v="Urban"/>
    <n v="2013"/>
    <s v="March"/>
    <x v="2"/>
    <s v="Vegetables"/>
    <n v="103.8"/>
    <x v="0"/>
  </r>
  <r>
    <s v="Urban"/>
    <n v="2013"/>
    <s v="March"/>
    <x v="2"/>
    <s v="Pulses and products"/>
    <n v="103.5"/>
    <x v="0"/>
  </r>
  <r>
    <s v="Urban"/>
    <n v="2013"/>
    <s v="March"/>
    <x v="2"/>
    <s v="Sugar and Confectionery"/>
    <n v="102.6"/>
    <x v="0"/>
  </r>
  <r>
    <s v="Urban"/>
    <n v="2013"/>
    <s v="March"/>
    <x v="2"/>
    <s v="Spices"/>
    <n v="102.4"/>
    <x v="0"/>
  </r>
  <r>
    <s v="Urban"/>
    <n v="2013"/>
    <s v="March"/>
    <x v="2"/>
    <s v="Non-alcoholic beverages"/>
    <n v="107"/>
    <x v="0"/>
  </r>
  <r>
    <s v="Urban"/>
    <n v="2013"/>
    <s v="March"/>
    <x v="2"/>
    <s v="Prepared meals, snacks, sweets etc."/>
    <n v="109.8"/>
    <x v="0"/>
  </r>
  <r>
    <s v="Urban"/>
    <n v="2013"/>
    <s v="March"/>
    <x v="2"/>
    <s v="Food and beverages"/>
    <n v="107.3"/>
    <x v="0"/>
  </r>
  <r>
    <s v="Urban"/>
    <n v="2013"/>
    <s v="March"/>
    <x v="2"/>
    <s v="Pan, tobacco and intoxicants"/>
    <n v="106.8"/>
    <x v="1"/>
  </r>
  <r>
    <s v="Urban"/>
    <n v="2013"/>
    <s v="March"/>
    <x v="2"/>
    <s v="Clothing"/>
    <n v="107.2"/>
    <x v="2"/>
  </r>
  <r>
    <s v="Urban"/>
    <n v="2013"/>
    <s v="March"/>
    <x v="2"/>
    <s v="Footwear"/>
    <n v="106"/>
    <x v="2"/>
  </r>
  <r>
    <s v="Urban"/>
    <n v="2013"/>
    <s v="March"/>
    <x v="2"/>
    <s v="Clothing and footwear"/>
    <n v="107"/>
    <x v="2"/>
  </r>
  <r>
    <s v="Urban"/>
    <n v="2013"/>
    <s v="March"/>
    <x v="2"/>
    <s v="Housing"/>
    <n v="100.4"/>
    <x v="10"/>
  </r>
  <r>
    <s v="Urban"/>
    <n v="2013"/>
    <s v="March"/>
    <x v="2"/>
    <s v="Fuel and light"/>
    <n v="106"/>
    <x v="3"/>
  </r>
  <r>
    <s v="Urban"/>
    <n v="2013"/>
    <s v="March"/>
    <x v="2"/>
    <s v="Household goods and services"/>
    <n v="105.7"/>
    <x v="4"/>
  </r>
  <r>
    <s v="Urban"/>
    <n v="2013"/>
    <s v="March"/>
    <x v="2"/>
    <s v="Health"/>
    <n v="105.2"/>
    <x v="5"/>
  </r>
  <r>
    <s v="Urban"/>
    <n v="2013"/>
    <s v="March"/>
    <x v="2"/>
    <s v="Transport and communication"/>
    <n v="105.5"/>
    <x v="6"/>
  </r>
  <r>
    <s v="Urban"/>
    <n v="2013"/>
    <s v="March"/>
    <x v="2"/>
    <s v="Recreation and amusement"/>
    <n v="103.5"/>
    <x v="1"/>
  </r>
  <r>
    <s v="Urban"/>
    <n v="2013"/>
    <s v="March"/>
    <x v="2"/>
    <s v="Education"/>
    <n v="103.8"/>
    <x v="7"/>
  </r>
  <r>
    <s v="Urban"/>
    <n v="2013"/>
    <s v="March"/>
    <x v="2"/>
    <s v="Personal care and effects"/>
    <n v="104.2"/>
    <x v="4"/>
  </r>
  <r>
    <s v="Urban"/>
    <n v="2013"/>
    <s v="March"/>
    <x v="2"/>
    <s v="Miscellaneous"/>
    <n v="104.9"/>
    <x v="8"/>
  </r>
  <r>
    <s v="Urban"/>
    <n v="2013"/>
    <s v="March"/>
    <x v="2"/>
    <s v="General index"/>
    <n v="105"/>
    <x v="9"/>
  </r>
  <r>
    <s v="Rural+Urban"/>
    <n v="2013"/>
    <s v="March"/>
    <x v="2"/>
    <s v="Cereals and products"/>
    <n v="111.4"/>
    <x v="0"/>
  </r>
  <r>
    <s v="Rural+Urban"/>
    <n v="2013"/>
    <s v="March"/>
    <x v="2"/>
    <s v="Meat and fish"/>
    <n v="109.7"/>
    <x v="0"/>
  </r>
  <r>
    <s v="Rural+Urban"/>
    <n v="2013"/>
    <s v="March"/>
    <x v="2"/>
    <s v="Egg"/>
    <n v="111.2"/>
    <x v="0"/>
  </r>
  <r>
    <s v="Rural+Urban"/>
    <n v="2013"/>
    <s v="March"/>
    <x v="2"/>
    <s v="Milk and products"/>
    <n v="105.1"/>
    <x v="0"/>
  </r>
  <r>
    <s v="Rural+Urban"/>
    <n v="2013"/>
    <s v="March"/>
    <x v="2"/>
    <s v="Oils and fats"/>
    <n v="104.9"/>
    <x v="0"/>
  </r>
  <r>
    <s v="Rural+Urban"/>
    <n v="2013"/>
    <s v="March"/>
    <x v="2"/>
    <s v="Fruits"/>
    <n v="105.3"/>
    <x v="0"/>
  </r>
  <r>
    <s v="Rural+Urban"/>
    <n v="2013"/>
    <s v="March"/>
    <x v="2"/>
    <s v="Vegetables"/>
    <n v="102.2"/>
    <x v="0"/>
  </r>
  <r>
    <s v="Rural+Urban"/>
    <n v="2013"/>
    <s v="March"/>
    <x v="2"/>
    <s v="Pulses and products"/>
    <n v="105"/>
    <x v="0"/>
  </r>
  <r>
    <s v="Rural+Urban"/>
    <n v="2013"/>
    <s v="March"/>
    <x v="2"/>
    <s v="Sugar and Confectionery"/>
    <n v="104.2"/>
    <x v="0"/>
  </r>
  <r>
    <s v="Rural+Urban"/>
    <n v="2013"/>
    <s v="March"/>
    <x v="2"/>
    <s v="Spices"/>
    <n v="103"/>
    <x v="0"/>
  </r>
  <r>
    <s v="Rural+Urban"/>
    <n v="2013"/>
    <s v="March"/>
    <x v="2"/>
    <s v="Non-alcoholic beverages"/>
    <n v="106.2"/>
    <x v="0"/>
  </r>
  <r>
    <s v="Rural+Urban"/>
    <n v="2013"/>
    <s v="March"/>
    <x v="2"/>
    <s v="Prepared meals, snacks, sweets etc."/>
    <n v="108.9"/>
    <x v="0"/>
  </r>
  <r>
    <s v="Rural+Urban"/>
    <n v="2013"/>
    <s v="March"/>
    <x v="2"/>
    <s v="Food and beverages"/>
    <n v="106.9"/>
    <x v="0"/>
  </r>
  <r>
    <s v="Rural+Urban"/>
    <n v="2013"/>
    <s v="March"/>
    <x v="2"/>
    <s v="Pan, tobacco and intoxicants"/>
    <n v="106.6"/>
    <x v="1"/>
  </r>
  <r>
    <s v="Rural+Urban"/>
    <n v="2013"/>
    <s v="March"/>
    <x v="2"/>
    <s v="Clothing"/>
    <n v="107.4"/>
    <x v="2"/>
  </r>
  <r>
    <s v="Rural+Urban"/>
    <n v="2013"/>
    <s v="March"/>
    <x v="2"/>
    <s v="Footwear"/>
    <n v="106.5"/>
    <x v="2"/>
  </r>
  <r>
    <s v="Rural+Urban"/>
    <n v="2013"/>
    <s v="March"/>
    <x v="2"/>
    <s v="Clothing and footwear"/>
    <n v="107.3"/>
    <x v="2"/>
  </r>
  <r>
    <s v="Rural+Urban"/>
    <n v="2013"/>
    <s v="March"/>
    <x v="2"/>
    <s v="Housing"/>
    <n v="100.4"/>
    <x v="10"/>
  </r>
  <r>
    <s v="Rural+Urban"/>
    <n v="2013"/>
    <s v="March"/>
    <x v="2"/>
    <s v="Fuel and light"/>
    <n v="106.1"/>
    <x v="3"/>
  </r>
  <r>
    <s v="Rural+Urban"/>
    <n v="2013"/>
    <s v="March"/>
    <x v="2"/>
    <s v="Household goods and services"/>
    <n v="105.6"/>
    <x v="4"/>
  </r>
  <r>
    <s v="Rural+Urban"/>
    <n v="2013"/>
    <s v="March"/>
    <x v="2"/>
    <s v="Health"/>
    <n v="104.9"/>
    <x v="5"/>
  </r>
  <r>
    <s v="Rural+Urban"/>
    <n v="2013"/>
    <s v="March"/>
    <x v="2"/>
    <s v="Transport and communication"/>
    <n v="105.1"/>
    <x v="6"/>
  </r>
  <r>
    <s v="Rural+Urban"/>
    <n v="2013"/>
    <s v="March"/>
    <x v="2"/>
    <s v="Recreation and amusement"/>
    <n v="103.7"/>
    <x v="1"/>
  </r>
  <r>
    <s v="Rural+Urban"/>
    <n v="2013"/>
    <s v="March"/>
    <x v="2"/>
    <s v="Education"/>
    <n v="104"/>
    <x v="7"/>
  </r>
  <r>
    <s v="Rural+Urban"/>
    <n v="2013"/>
    <s v="March"/>
    <x v="2"/>
    <s v="Personal care and effects"/>
    <n v="104.3"/>
    <x v="4"/>
  </r>
  <r>
    <s v="Rural+Urban"/>
    <n v="2013"/>
    <s v="March"/>
    <x v="2"/>
    <s v="Miscellaneous"/>
    <n v="104.7"/>
    <x v="8"/>
  </r>
  <r>
    <s v="Rural+Urban"/>
    <n v="2013"/>
    <s v="March"/>
    <x v="2"/>
    <s v="General index"/>
    <n v="105.5"/>
    <x v="9"/>
  </r>
  <r>
    <s v="Rural"/>
    <n v="2013"/>
    <s v="April"/>
    <x v="3"/>
    <s v="Cereals and products"/>
    <n v="110.2"/>
    <x v="0"/>
  </r>
  <r>
    <s v="Rural"/>
    <n v="2013"/>
    <s v="April"/>
    <x v="3"/>
    <s v="Meat and fish"/>
    <n v="109.5"/>
    <x v="0"/>
  </r>
  <r>
    <s v="Rural"/>
    <n v="2013"/>
    <s v="April"/>
    <x v="3"/>
    <s v="Egg"/>
    <n v="106.9"/>
    <x v="0"/>
  </r>
  <r>
    <s v="Rural"/>
    <n v="2013"/>
    <s v="April"/>
    <x v="3"/>
    <s v="Milk and products"/>
    <n v="106.3"/>
    <x v="0"/>
  </r>
  <r>
    <s v="Rural"/>
    <n v="2013"/>
    <s v="April"/>
    <x v="3"/>
    <s v="Oils and fats"/>
    <n v="105.7"/>
    <x v="0"/>
  </r>
  <r>
    <s v="Rural"/>
    <n v="2013"/>
    <s v="April"/>
    <x v="3"/>
    <s v="Fruits"/>
    <n v="108.3"/>
    <x v="0"/>
  </r>
  <r>
    <s v="Rural"/>
    <n v="2013"/>
    <s v="April"/>
    <x v="3"/>
    <s v="Vegetables"/>
    <n v="103.4"/>
    <x v="0"/>
  </r>
  <r>
    <s v="Rural"/>
    <n v="2013"/>
    <s v="April"/>
    <x v="3"/>
    <s v="Pulses and products"/>
    <n v="105.7"/>
    <x v="0"/>
  </r>
  <r>
    <s v="Rural"/>
    <n v="2013"/>
    <s v="April"/>
    <x v="3"/>
    <s v="Sugar and Confectionery"/>
    <n v="104.2"/>
    <x v="0"/>
  </r>
  <r>
    <s v="Rural"/>
    <n v="2013"/>
    <s v="April"/>
    <x v="3"/>
    <s v="Spices"/>
    <n v="103.2"/>
    <x v="0"/>
  </r>
  <r>
    <s v="Rural"/>
    <n v="2013"/>
    <s v="April"/>
    <x v="3"/>
    <s v="Non-alcoholic beverages"/>
    <n v="106.5"/>
    <x v="0"/>
  </r>
  <r>
    <s v="Rural"/>
    <n v="2013"/>
    <s v="April"/>
    <x v="3"/>
    <s v="Prepared meals, snacks, sweets etc."/>
    <n v="108.8"/>
    <x v="0"/>
  </r>
  <r>
    <s v="Rural"/>
    <n v="2013"/>
    <s v="April"/>
    <x v="3"/>
    <s v="Food and beverages"/>
    <n v="107.1"/>
    <x v="0"/>
  </r>
  <r>
    <s v="Rural"/>
    <n v="2013"/>
    <s v="April"/>
    <x v="3"/>
    <s v="Pan, tobacco and intoxicants"/>
    <n v="107.1"/>
    <x v="1"/>
  </r>
  <r>
    <s v="Rural"/>
    <n v="2013"/>
    <s v="April"/>
    <x v="3"/>
    <s v="Clothing"/>
    <n v="108.1"/>
    <x v="2"/>
  </r>
  <r>
    <s v="Rural"/>
    <n v="2013"/>
    <s v="April"/>
    <x v="3"/>
    <s v="Footwear"/>
    <n v="107.4"/>
    <x v="2"/>
  </r>
  <r>
    <s v="Rural"/>
    <n v="2013"/>
    <s v="April"/>
    <x v="3"/>
    <s v="Clothing and footwear"/>
    <n v="108"/>
    <x v="2"/>
  </r>
  <r>
    <s v="Rural"/>
    <n v="2013"/>
    <s v="April"/>
    <x v="3"/>
    <s v="Fuel and light"/>
    <n v="106.5"/>
    <x v="3"/>
  </r>
  <r>
    <s v="Rural"/>
    <n v="2013"/>
    <s v="April"/>
    <x v="3"/>
    <s v="Household goods and services"/>
    <n v="106.1"/>
    <x v="4"/>
  </r>
  <r>
    <s v="Rural"/>
    <n v="2013"/>
    <s v="April"/>
    <x v="3"/>
    <s v="Health"/>
    <n v="105.1"/>
    <x v="5"/>
  </r>
  <r>
    <s v="Rural"/>
    <n v="2013"/>
    <s v="April"/>
    <x v="3"/>
    <s v="Transport and communication"/>
    <n v="104.4"/>
    <x v="6"/>
  </r>
  <r>
    <s v="Rural"/>
    <n v="2013"/>
    <s v="April"/>
    <x v="3"/>
    <s v="Recreation and amusement"/>
    <n v="104.5"/>
    <x v="1"/>
  </r>
  <r>
    <s v="Rural"/>
    <n v="2013"/>
    <s v="April"/>
    <x v="3"/>
    <s v="Education"/>
    <n v="104.8"/>
    <x v="7"/>
  </r>
  <r>
    <s v="Rural"/>
    <n v="2013"/>
    <s v="April"/>
    <x v="3"/>
    <s v="Personal care and effects"/>
    <n v="102.7"/>
    <x v="4"/>
  </r>
  <r>
    <s v="Rural"/>
    <n v="2013"/>
    <s v="April"/>
    <x v="3"/>
    <s v="Miscellaneous"/>
    <n v="104.6"/>
    <x v="8"/>
  </r>
  <r>
    <s v="Rural"/>
    <n v="2013"/>
    <s v="April"/>
    <x v="3"/>
    <s v="General index"/>
    <n v="106.4"/>
    <x v="9"/>
  </r>
  <r>
    <s v="Urban"/>
    <n v="2013"/>
    <s v="April"/>
    <x v="3"/>
    <s v="Cereals and products"/>
    <n v="114.6"/>
    <x v="0"/>
  </r>
  <r>
    <s v="Urban"/>
    <n v="2013"/>
    <s v="April"/>
    <x v="3"/>
    <s v="Meat and fish"/>
    <n v="113.4"/>
    <x v="0"/>
  </r>
  <r>
    <s v="Urban"/>
    <n v="2013"/>
    <s v="April"/>
    <x v="3"/>
    <s v="Egg"/>
    <n v="106"/>
    <x v="0"/>
  </r>
  <r>
    <s v="Urban"/>
    <n v="2013"/>
    <s v="April"/>
    <x v="3"/>
    <s v="Milk and products"/>
    <n v="104.7"/>
    <x v="0"/>
  </r>
  <r>
    <s v="Urban"/>
    <n v="2013"/>
    <s v="April"/>
    <x v="3"/>
    <s v="Oils and fats"/>
    <n v="102.1"/>
    <x v="0"/>
  </r>
  <r>
    <s v="Urban"/>
    <n v="2013"/>
    <s v="April"/>
    <x v="3"/>
    <s v="Fruits"/>
    <n v="109.5"/>
    <x v="0"/>
  </r>
  <r>
    <s v="Urban"/>
    <n v="2013"/>
    <s v="April"/>
    <x v="3"/>
    <s v="Vegetables"/>
    <n v="109.7"/>
    <x v="0"/>
  </r>
  <r>
    <s v="Urban"/>
    <n v="2013"/>
    <s v="April"/>
    <x v="3"/>
    <s v="Pulses and products"/>
    <n v="104.6"/>
    <x v="0"/>
  </r>
  <r>
    <s v="Urban"/>
    <n v="2013"/>
    <s v="April"/>
    <x v="3"/>
    <s v="Sugar and Confectionery"/>
    <n v="102"/>
    <x v="0"/>
  </r>
  <r>
    <s v="Urban"/>
    <n v="2013"/>
    <s v="April"/>
    <x v="3"/>
    <s v="Spices"/>
    <n v="103.5"/>
    <x v="0"/>
  </r>
  <r>
    <s v="Urban"/>
    <n v="2013"/>
    <s v="April"/>
    <x v="3"/>
    <s v="Non-alcoholic beverages"/>
    <n v="108.2"/>
    <x v="0"/>
  </r>
  <r>
    <s v="Urban"/>
    <n v="2013"/>
    <s v="April"/>
    <x v="3"/>
    <s v="Prepared meals, snacks, sweets etc."/>
    <n v="110.6"/>
    <x v="0"/>
  </r>
  <r>
    <s v="Urban"/>
    <n v="2013"/>
    <s v="April"/>
    <x v="3"/>
    <s v="Food and beverages"/>
    <n v="108.8"/>
    <x v="0"/>
  </r>
  <r>
    <s v="Urban"/>
    <n v="2013"/>
    <s v="April"/>
    <x v="3"/>
    <s v="Pan, tobacco and intoxicants"/>
    <n v="108.5"/>
    <x v="1"/>
  </r>
  <r>
    <s v="Urban"/>
    <n v="2013"/>
    <s v="April"/>
    <x v="3"/>
    <s v="Clothing"/>
    <n v="107.9"/>
    <x v="2"/>
  </r>
  <r>
    <s v="Urban"/>
    <n v="2013"/>
    <s v="April"/>
    <x v="3"/>
    <s v="Footwear"/>
    <n v="106.4"/>
    <x v="2"/>
  </r>
  <r>
    <s v="Urban"/>
    <n v="2013"/>
    <s v="April"/>
    <x v="3"/>
    <s v="Clothing and footwear"/>
    <n v="107.7"/>
    <x v="2"/>
  </r>
  <r>
    <s v="Urban"/>
    <n v="2013"/>
    <s v="April"/>
    <x v="3"/>
    <s v="Housing"/>
    <n v="100.5"/>
    <x v="10"/>
  </r>
  <r>
    <s v="Urban"/>
    <n v="2013"/>
    <s v="April"/>
    <x v="3"/>
    <s v="Fuel and light"/>
    <n v="106.4"/>
    <x v="3"/>
  </r>
  <r>
    <s v="Urban"/>
    <n v="2013"/>
    <s v="April"/>
    <x v="3"/>
    <s v="Household goods and services"/>
    <n v="106.5"/>
    <x v="4"/>
  </r>
  <r>
    <s v="Urban"/>
    <n v="2013"/>
    <s v="April"/>
    <x v="3"/>
    <s v="Health"/>
    <n v="105.7"/>
    <x v="5"/>
  </r>
  <r>
    <s v="Urban"/>
    <n v="2013"/>
    <s v="April"/>
    <x v="3"/>
    <s v="Transport and communication"/>
    <n v="105"/>
    <x v="6"/>
  </r>
  <r>
    <s v="Urban"/>
    <n v="2013"/>
    <s v="April"/>
    <x v="3"/>
    <s v="Recreation and amusement"/>
    <n v="104"/>
    <x v="1"/>
  </r>
  <r>
    <s v="Urban"/>
    <n v="2013"/>
    <s v="April"/>
    <x v="3"/>
    <s v="Education"/>
    <n v="105.2"/>
    <x v="7"/>
  </r>
  <r>
    <s v="Urban"/>
    <n v="2013"/>
    <s v="April"/>
    <x v="3"/>
    <s v="Personal care and effects"/>
    <n v="103.2"/>
    <x v="4"/>
  </r>
  <r>
    <s v="Urban"/>
    <n v="2013"/>
    <s v="April"/>
    <x v="3"/>
    <s v="Miscellaneous"/>
    <n v="105.1"/>
    <x v="8"/>
  </r>
  <r>
    <s v="Urban"/>
    <n v="2013"/>
    <s v="April"/>
    <x v="3"/>
    <s v="General index"/>
    <n v="105.7"/>
    <x v="9"/>
  </r>
  <r>
    <s v="Rural+Urban"/>
    <n v="2013"/>
    <s v="April"/>
    <x v="3"/>
    <s v="Cereals and products"/>
    <n v="111.6"/>
    <x v="0"/>
  </r>
  <r>
    <s v="Rural+Urban"/>
    <n v="2013"/>
    <s v="April"/>
    <x v="3"/>
    <s v="Meat and fish"/>
    <n v="110.9"/>
    <x v="0"/>
  </r>
  <r>
    <s v="Rural+Urban"/>
    <n v="2013"/>
    <s v="April"/>
    <x v="3"/>
    <s v="Egg"/>
    <n v="106.6"/>
    <x v="0"/>
  </r>
  <r>
    <s v="Rural+Urban"/>
    <n v="2013"/>
    <s v="April"/>
    <x v="3"/>
    <s v="Milk and products"/>
    <n v="105.7"/>
    <x v="0"/>
  </r>
  <r>
    <s v="Rural+Urban"/>
    <n v="2013"/>
    <s v="April"/>
    <x v="3"/>
    <s v="Oils and fats"/>
    <n v="104.4"/>
    <x v="0"/>
  </r>
  <r>
    <s v="Rural+Urban"/>
    <n v="2013"/>
    <s v="April"/>
    <x v="3"/>
    <s v="Fruits"/>
    <n v="108.9"/>
    <x v="0"/>
  </r>
  <r>
    <s v="Rural+Urban"/>
    <n v="2013"/>
    <s v="April"/>
    <x v="3"/>
    <s v="Vegetables"/>
    <n v="105.5"/>
    <x v="0"/>
  </r>
  <r>
    <s v="Rural+Urban"/>
    <n v="2013"/>
    <s v="April"/>
    <x v="3"/>
    <s v="Pulses and products"/>
    <n v="105.3"/>
    <x v="0"/>
  </r>
  <r>
    <s v="Rural+Urban"/>
    <n v="2013"/>
    <s v="April"/>
    <x v="3"/>
    <s v="Sugar and Confectionery"/>
    <n v="103.5"/>
    <x v="0"/>
  </r>
  <r>
    <s v="Rural+Urban"/>
    <n v="2013"/>
    <s v="April"/>
    <x v="3"/>
    <s v="Spices"/>
    <n v="103.3"/>
    <x v="0"/>
  </r>
  <r>
    <s v="Rural+Urban"/>
    <n v="2013"/>
    <s v="April"/>
    <x v="3"/>
    <s v="Non-alcoholic beverages"/>
    <n v="107.2"/>
    <x v="0"/>
  </r>
  <r>
    <s v="Rural+Urban"/>
    <n v="2013"/>
    <s v="April"/>
    <x v="3"/>
    <s v="Prepared meals, snacks, sweets etc."/>
    <n v="109.6"/>
    <x v="0"/>
  </r>
  <r>
    <s v="Rural+Urban"/>
    <n v="2013"/>
    <s v="April"/>
    <x v="3"/>
    <s v="Food and beverages"/>
    <n v="107.7"/>
    <x v="0"/>
  </r>
  <r>
    <s v="Rural+Urban"/>
    <n v="2013"/>
    <s v="April"/>
    <x v="3"/>
    <s v="Pan, tobacco and intoxicants"/>
    <n v="107.5"/>
    <x v="1"/>
  </r>
  <r>
    <s v="Rural+Urban"/>
    <n v="2013"/>
    <s v="April"/>
    <x v="3"/>
    <s v="Clothing"/>
    <n v="108"/>
    <x v="2"/>
  </r>
  <r>
    <s v="Rural+Urban"/>
    <n v="2013"/>
    <s v="April"/>
    <x v="3"/>
    <s v="Footwear"/>
    <n v="107"/>
    <x v="2"/>
  </r>
  <r>
    <s v="Rural+Urban"/>
    <n v="2013"/>
    <s v="April"/>
    <x v="3"/>
    <s v="Clothing and footwear"/>
    <n v="107.9"/>
    <x v="2"/>
  </r>
  <r>
    <s v="Rural+Urban"/>
    <n v="2013"/>
    <s v="April"/>
    <x v="3"/>
    <s v="Housing"/>
    <n v="100.5"/>
    <x v="10"/>
  </r>
  <r>
    <s v="Rural+Urban"/>
    <n v="2013"/>
    <s v="April"/>
    <x v="3"/>
    <s v="Fuel and light"/>
    <n v="106.5"/>
    <x v="3"/>
  </r>
  <r>
    <s v="Rural+Urban"/>
    <n v="2013"/>
    <s v="April"/>
    <x v="3"/>
    <s v="Household goods and services"/>
    <n v="106.3"/>
    <x v="4"/>
  </r>
  <r>
    <s v="Rural+Urban"/>
    <n v="2013"/>
    <s v="April"/>
    <x v="3"/>
    <s v="Health"/>
    <n v="105.3"/>
    <x v="5"/>
  </r>
  <r>
    <s v="Rural+Urban"/>
    <n v="2013"/>
    <s v="April"/>
    <x v="3"/>
    <s v="Transport and communication"/>
    <n v="104.7"/>
    <x v="6"/>
  </r>
  <r>
    <s v="Rural+Urban"/>
    <n v="2013"/>
    <s v="April"/>
    <x v="3"/>
    <s v="Recreation and amusement"/>
    <n v="104.2"/>
    <x v="1"/>
  </r>
  <r>
    <s v="Rural+Urban"/>
    <n v="2013"/>
    <s v="April"/>
    <x v="3"/>
    <s v="Education"/>
    <n v="105"/>
    <x v="7"/>
  </r>
  <r>
    <s v="Rural+Urban"/>
    <n v="2013"/>
    <s v="April"/>
    <x v="3"/>
    <s v="Personal care and effects"/>
    <n v="102.9"/>
    <x v="4"/>
  </r>
  <r>
    <s v="Rural+Urban"/>
    <n v="2013"/>
    <s v="April"/>
    <x v="3"/>
    <s v="Miscellaneous"/>
    <n v="104.8"/>
    <x v="8"/>
  </r>
  <r>
    <s v="Rural+Urban"/>
    <n v="2013"/>
    <s v="April"/>
    <x v="3"/>
    <s v="General index"/>
    <n v="106.1"/>
    <x v="9"/>
  </r>
  <r>
    <s v="Rural"/>
    <n v="2013"/>
    <s v="May"/>
    <x v="4"/>
    <s v="Cereals and products"/>
    <n v="110.9"/>
    <x v="0"/>
  </r>
  <r>
    <s v="Rural"/>
    <n v="2013"/>
    <s v="May"/>
    <x v="4"/>
    <s v="Meat and fish"/>
    <n v="109.8"/>
    <x v="0"/>
  </r>
  <r>
    <s v="Rural"/>
    <n v="2013"/>
    <s v="May"/>
    <x v="4"/>
    <s v="Egg"/>
    <n v="105.9"/>
    <x v="0"/>
  </r>
  <r>
    <s v="Rural"/>
    <n v="2013"/>
    <s v="May"/>
    <x v="4"/>
    <s v="Milk and products"/>
    <n v="107.5"/>
    <x v="0"/>
  </r>
  <r>
    <s v="Rural"/>
    <n v="2013"/>
    <s v="May"/>
    <x v="4"/>
    <s v="Oils and fats"/>
    <n v="105.3"/>
    <x v="0"/>
  </r>
  <r>
    <s v="Rural"/>
    <n v="2013"/>
    <s v="May"/>
    <x v="4"/>
    <s v="Fruits"/>
    <n v="108.1"/>
    <x v="0"/>
  </r>
  <r>
    <s v="Rural"/>
    <n v="2013"/>
    <s v="May"/>
    <x v="4"/>
    <s v="Vegetables"/>
    <n v="107.3"/>
    <x v="0"/>
  </r>
  <r>
    <s v="Rural"/>
    <n v="2013"/>
    <s v="May"/>
    <x v="4"/>
    <s v="Pulses and products"/>
    <n v="106.1"/>
    <x v="0"/>
  </r>
  <r>
    <s v="Rural"/>
    <n v="2013"/>
    <s v="May"/>
    <x v="4"/>
    <s v="Sugar and Confectionery"/>
    <n v="103.7"/>
    <x v="0"/>
  </r>
  <r>
    <s v="Rural"/>
    <n v="2013"/>
    <s v="May"/>
    <x v="4"/>
    <s v="Spices"/>
    <n v="104"/>
    <x v="0"/>
  </r>
  <r>
    <s v="Rural"/>
    <n v="2013"/>
    <s v="May"/>
    <x v="4"/>
    <s v="Non-alcoholic beverages"/>
    <n v="107.4"/>
    <x v="0"/>
  </r>
  <r>
    <s v="Rural"/>
    <n v="2013"/>
    <s v="May"/>
    <x v="4"/>
    <s v="Prepared meals, snacks, sweets etc."/>
    <n v="109.9"/>
    <x v="0"/>
  </r>
  <r>
    <s v="Rural"/>
    <n v="2013"/>
    <s v="May"/>
    <x v="4"/>
    <s v="Food and beverages"/>
    <n v="108.1"/>
    <x v="0"/>
  </r>
  <r>
    <s v="Rural"/>
    <n v="2013"/>
    <s v="May"/>
    <x v="4"/>
    <s v="Pan, tobacco and intoxicants"/>
    <n v="108.1"/>
    <x v="1"/>
  </r>
  <r>
    <s v="Rural"/>
    <n v="2013"/>
    <s v="May"/>
    <x v="4"/>
    <s v="Clothing"/>
    <n v="108.8"/>
    <x v="2"/>
  </r>
  <r>
    <s v="Rural"/>
    <n v="2013"/>
    <s v="May"/>
    <x v="4"/>
    <s v="Footwear"/>
    <n v="107.9"/>
    <x v="2"/>
  </r>
  <r>
    <s v="Rural"/>
    <n v="2013"/>
    <s v="May"/>
    <x v="4"/>
    <s v="Clothing and footwear"/>
    <n v="108.6"/>
    <x v="2"/>
  </r>
  <r>
    <s v="Rural"/>
    <n v="2013"/>
    <s v="May"/>
    <x v="4"/>
    <s v="Fuel and light"/>
    <n v="107.5"/>
    <x v="3"/>
  </r>
  <r>
    <s v="Rural"/>
    <n v="2013"/>
    <s v="May"/>
    <x v="4"/>
    <s v="Household goods and services"/>
    <n v="106.8"/>
    <x v="4"/>
  </r>
  <r>
    <s v="Rural"/>
    <n v="2013"/>
    <s v="May"/>
    <x v="4"/>
    <s v="Health"/>
    <n v="105.7"/>
    <x v="5"/>
  </r>
  <r>
    <s v="Rural"/>
    <n v="2013"/>
    <s v="May"/>
    <x v="4"/>
    <s v="Transport and communication"/>
    <n v="104.1"/>
    <x v="6"/>
  </r>
  <r>
    <s v="Rural"/>
    <n v="2013"/>
    <s v="May"/>
    <x v="4"/>
    <s v="Recreation and amusement"/>
    <n v="105"/>
    <x v="1"/>
  </r>
  <r>
    <s v="Rural"/>
    <n v="2013"/>
    <s v="May"/>
    <x v="4"/>
    <s v="Education"/>
    <n v="105.5"/>
    <x v="7"/>
  </r>
  <r>
    <s v="Rural"/>
    <n v="2013"/>
    <s v="May"/>
    <x v="4"/>
    <s v="Personal care and effects"/>
    <n v="102.1"/>
    <x v="4"/>
  </r>
  <r>
    <s v="Rural"/>
    <n v="2013"/>
    <s v="May"/>
    <x v="4"/>
    <s v="Miscellaneous"/>
    <n v="104.8"/>
    <x v="8"/>
  </r>
  <r>
    <s v="Rural"/>
    <n v="2013"/>
    <s v="May"/>
    <x v="4"/>
    <s v="General index"/>
    <n v="107.2"/>
    <x v="9"/>
  </r>
  <r>
    <s v="Urban"/>
    <n v="2013"/>
    <s v="May"/>
    <x v="4"/>
    <s v="Cereals and products"/>
    <n v="115.4"/>
    <x v="0"/>
  </r>
  <r>
    <s v="Urban"/>
    <n v="2013"/>
    <s v="May"/>
    <x v="4"/>
    <s v="Meat and fish"/>
    <n v="114.2"/>
    <x v="0"/>
  </r>
  <r>
    <s v="Urban"/>
    <n v="2013"/>
    <s v="May"/>
    <x v="4"/>
    <s v="Egg"/>
    <n v="102.7"/>
    <x v="0"/>
  </r>
  <r>
    <s v="Urban"/>
    <n v="2013"/>
    <s v="May"/>
    <x v="4"/>
    <s v="Milk and products"/>
    <n v="105.5"/>
    <x v="0"/>
  </r>
  <r>
    <s v="Urban"/>
    <n v="2013"/>
    <s v="May"/>
    <x v="4"/>
    <s v="Oils and fats"/>
    <n v="101.5"/>
    <x v="0"/>
  </r>
  <r>
    <s v="Urban"/>
    <n v="2013"/>
    <s v="May"/>
    <x v="4"/>
    <s v="Fruits"/>
    <n v="110.6"/>
    <x v="0"/>
  </r>
  <r>
    <s v="Urban"/>
    <n v="2013"/>
    <s v="May"/>
    <x v="4"/>
    <s v="Vegetables"/>
    <n v="123.7"/>
    <x v="0"/>
  </r>
  <r>
    <s v="Urban"/>
    <n v="2013"/>
    <s v="May"/>
    <x v="4"/>
    <s v="Pulses and products"/>
    <n v="105.2"/>
    <x v="0"/>
  </r>
  <r>
    <s v="Urban"/>
    <n v="2013"/>
    <s v="May"/>
    <x v="4"/>
    <s v="Sugar and Confectionery"/>
    <n v="101.9"/>
    <x v="0"/>
  </r>
  <r>
    <s v="Urban"/>
    <n v="2013"/>
    <s v="May"/>
    <x v="4"/>
    <s v="Spices"/>
    <n v="105"/>
    <x v="0"/>
  </r>
  <r>
    <s v="Urban"/>
    <n v="2013"/>
    <s v="May"/>
    <x v="4"/>
    <s v="Non-alcoholic beverages"/>
    <n v="109.1"/>
    <x v="0"/>
  </r>
  <r>
    <s v="Urban"/>
    <n v="2013"/>
    <s v="May"/>
    <x v="4"/>
    <s v="Prepared meals, snacks, sweets etc."/>
    <n v="111.3"/>
    <x v="0"/>
  </r>
  <r>
    <s v="Urban"/>
    <n v="2013"/>
    <s v="May"/>
    <x v="4"/>
    <s v="Food and beverages"/>
    <n v="111.1"/>
    <x v="0"/>
  </r>
  <r>
    <s v="Urban"/>
    <n v="2013"/>
    <s v="May"/>
    <x v="4"/>
    <s v="Pan, tobacco and intoxicants"/>
    <n v="109.8"/>
    <x v="1"/>
  </r>
  <r>
    <s v="Urban"/>
    <n v="2013"/>
    <s v="May"/>
    <x v="4"/>
    <s v="Clothing"/>
    <n v="108.5"/>
    <x v="2"/>
  </r>
  <r>
    <s v="Urban"/>
    <n v="2013"/>
    <s v="May"/>
    <x v="4"/>
    <s v="Footwear"/>
    <n v="106.7"/>
    <x v="2"/>
  </r>
  <r>
    <s v="Urban"/>
    <n v="2013"/>
    <s v="May"/>
    <x v="4"/>
    <s v="Clothing and footwear"/>
    <n v="108.3"/>
    <x v="2"/>
  </r>
  <r>
    <s v="Urban"/>
    <n v="2013"/>
    <s v="May"/>
    <x v="4"/>
    <s v="Housing"/>
    <n v="100.5"/>
    <x v="10"/>
  </r>
  <r>
    <s v="Urban"/>
    <n v="2013"/>
    <s v="May"/>
    <x v="4"/>
    <s v="Fuel and light"/>
    <n v="107.2"/>
    <x v="3"/>
  </r>
  <r>
    <s v="Urban"/>
    <n v="2013"/>
    <s v="May"/>
    <x v="4"/>
    <s v="Household goods and services"/>
    <n v="107.1"/>
    <x v="4"/>
  </r>
  <r>
    <s v="Urban"/>
    <n v="2013"/>
    <s v="May"/>
    <x v="4"/>
    <s v="Health"/>
    <n v="106.2"/>
    <x v="5"/>
  </r>
  <r>
    <s v="Urban"/>
    <n v="2013"/>
    <s v="May"/>
    <x v="4"/>
    <s v="Transport and communication"/>
    <n v="103.9"/>
    <x v="6"/>
  </r>
  <r>
    <s v="Urban"/>
    <n v="2013"/>
    <s v="May"/>
    <x v="4"/>
    <s v="Recreation and amusement"/>
    <n v="104.6"/>
    <x v="1"/>
  </r>
  <r>
    <s v="Urban"/>
    <n v="2013"/>
    <s v="May"/>
    <x v="4"/>
    <s v="Education"/>
    <n v="105.7"/>
    <x v="7"/>
  </r>
  <r>
    <s v="Urban"/>
    <n v="2013"/>
    <s v="May"/>
    <x v="4"/>
    <s v="Personal care and effects"/>
    <n v="102.6"/>
    <x v="4"/>
  </r>
  <r>
    <s v="Urban"/>
    <n v="2013"/>
    <s v="May"/>
    <x v="4"/>
    <s v="Miscellaneous"/>
    <n v="104.9"/>
    <x v="8"/>
  </r>
  <r>
    <s v="Urban"/>
    <n v="2013"/>
    <s v="May"/>
    <x v="4"/>
    <s v="General index"/>
    <n v="106.6"/>
    <x v="9"/>
  </r>
  <r>
    <s v="Rural+Urban"/>
    <n v="2013"/>
    <s v="May"/>
    <x v="4"/>
    <s v="Cereals and products"/>
    <n v="112.3"/>
    <x v="0"/>
  </r>
  <r>
    <s v="Rural+Urban"/>
    <n v="2013"/>
    <s v="May"/>
    <x v="4"/>
    <s v="Meat and fish"/>
    <n v="111.3"/>
    <x v="0"/>
  </r>
  <r>
    <s v="Rural+Urban"/>
    <n v="2013"/>
    <s v="May"/>
    <x v="4"/>
    <s v="Egg"/>
    <n v="104.7"/>
    <x v="0"/>
  </r>
  <r>
    <s v="Rural+Urban"/>
    <n v="2013"/>
    <s v="May"/>
    <x v="4"/>
    <s v="Milk and products"/>
    <n v="106.8"/>
    <x v="0"/>
  </r>
  <r>
    <s v="Rural+Urban"/>
    <n v="2013"/>
    <s v="May"/>
    <x v="4"/>
    <s v="Oils and fats"/>
    <n v="103.9"/>
    <x v="0"/>
  </r>
  <r>
    <s v="Rural+Urban"/>
    <n v="2013"/>
    <s v="May"/>
    <x v="4"/>
    <s v="Fruits"/>
    <n v="109.3"/>
    <x v="0"/>
  </r>
  <r>
    <s v="Rural+Urban"/>
    <n v="2013"/>
    <s v="May"/>
    <x v="4"/>
    <s v="Vegetables"/>
    <n v="112.9"/>
    <x v="0"/>
  </r>
  <r>
    <s v="Rural+Urban"/>
    <n v="2013"/>
    <s v="May"/>
    <x v="4"/>
    <s v="Pulses and products"/>
    <n v="105.8"/>
    <x v="0"/>
  </r>
  <r>
    <s v="Rural+Urban"/>
    <n v="2013"/>
    <s v="May"/>
    <x v="4"/>
    <s v="Sugar and Confectionery"/>
    <n v="103.1"/>
    <x v="0"/>
  </r>
  <r>
    <s v="Rural+Urban"/>
    <n v="2013"/>
    <s v="May"/>
    <x v="4"/>
    <s v="Spices"/>
    <n v="104.3"/>
    <x v="0"/>
  </r>
  <r>
    <s v="Rural+Urban"/>
    <n v="2013"/>
    <s v="May"/>
    <x v="4"/>
    <s v="Non-alcoholic beverages"/>
    <n v="108.1"/>
    <x v="0"/>
  </r>
  <r>
    <s v="Rural+Urban"/>
    <n v="2013"/>
    <s v="May"/>
    <x v="4"/>
    <s v="Prepared meals, snacks, sweets etc."/>
    <n v="110.5"/>
    <x v="0"/>
  </r>
  <r>
    <s v="Rural+Urban"/>
    <n v="2013"/>
    <s v="May"/>
    <x v="4"/>
    <s v="Food and beverages"/>
    <n v="109.2"/>
    <x v="0"/>
  </r>
  <r>
    <s v="Rural+Urban"/>
    <n v="2013"/>
    <s v="May"/>
    <x v="4"/>
    <s v="Pan, tobacco and intoxicants"/>
    <n v="108.6"/>
    <x v="1"/>
  </r>
  <r>
    <s v="Rural+Urban"/>
    <n v="2013"/>
    <s v="May"/>
    <x v="4"/>
    <s v="Clothing"/>
    <n v="108.7"/>
    <x v="2"/>
  </r>
  <r>
    <s v="Rural+Urban"/>
    <n v="2013"/>
    <s v="May"/>
    <x v="4"/>
    <s v="Footwear"/>
    <n v="107.4"/>
    <x v="2"/>
  </r>
  <r>
    <s v="Rural+Urban"/>
    <n v="2013"/>
    <s v="May"/>
    <x v="4"/>
    <s v="Clothing and footwear"/>
    <n v="108.5"/>
    <x v="2"/>
  </r>
  <r>
    <s v="Rural+Urban"/>
    <n v="2013"/>
    <s v="May"/>
    <x v="4"/>
    <s v="Housing"/>
    <n v="100.5"/>
    <x v="10"/>
  </r>
  <r>
    <s v="Rural+Urban"/>
    <n v="2013"/>
    <s v="May"/>
    <x v="4"/>
    <s v="Fuel and light"/>
    <n v="107.4"/>
    <x v="3"/>
  </r>
  <r>
    <s v="Rural+Urban"/>
    <n v="2013"/>
    <s v="May"/>
    <x v="4"/>
    <s v="Household goods and services"/>
    <n v="106.9"/>
    <x v="4"/>
  </r>
  <r>
    <s v="Rural+Urban"/>
    <n v="2013"/>
    <s v="May"/>
    <x v="4"/>
    <s v="Health"/>
    <n v="105.9"/>
    <x v="5"/>
  </r>
  <r>
    <s v="Rural+Urban"/>
    <n v="2013"/>
    <s v="May"/>
    <x v="4"/>
    <s v="Transport and communication"/>
    <n v="104"/>
    <x v="6"/>
  </r>
  <r>
    <s v="Rural+Urban"/>
    <n v="2013"/>
    <s v="May"/>
    <x v="4"/>
    <s v="Recreation and amusement"/>
    <n v="104.8"/>
    <x v="1"/>
  </r>
  <r>
    <s v="Rural+Urban"/>
    <n v="2013"/>
    <s v="May"/>
    <x v="4"/>
    <s v="Education"/>
    <n v="105.6"/>
    <x v="7"/>
  </r>
  <r>
    <s v="Rural+Urban"/>
    <n v="2013"/>
    <s v="May"/>
    <x v="4"/>
    <s v="Personal care and effects"/>
    <n v="102.3"/>
    <x v="4"/>
  </r>
  <r>
    <s v="Rural+Urban"/>
    <n v="2013"/>
    <s v="May"/>
    <x v="4"/>
    <s v="Miscellaneous"/>
    <n v="104.8"/>
    <x v="8"/>
  </r>
  <r>
    <s v="Rural+Urban"/>
    <n v="2013"/>
    <s v="May"/>
    <x v="4"/>
    <s v="General index"/>
    <n v="106.9"/>
    <x v="9"/>
  </r>
  <r>
    <s v="Rural"/>
    <n v="2013"/>
    <s v="June"/>
    <x v="5"/>
    <s v="Cereals and products"/>
    <n v="112.3"/>
    <x v="0"/>
  </r>
  <r>
    <s v="Rural"/>
    <n v="2013"/>
    <s v="June"/>
    <x v="5"/>
    <s v="Meat and fish"/>
    <n v="112.1"/>
    <x v="0"/>
  </r>
  <r>
    <s v="Rural"/>
    <n v="2013"/>
    <s v="June"/>
    <x v="5"/>
    <s v="Egg"/>
    <n v="108.1"/>
    <x v="0"/>
  </r>
  <r>
    <s v="Rural"/>
    <n v="2013"/>
    <s v="June"/>
    <x v="5"/>
    <s v="Milk and products"/>
    <n v="108.3"/>
    <x v="0"/>
  </r>
  <r>
    <s v="Rural"/>
    <n v="2013"/>
    <s v="June"/>
    <x v="5"/>
    <s v="Oils and fats"/>
    <n v="105.9"/>
    <x v="0"/>
  </r>
  <r>
    <s v="Rural"/>
    <n v="2013"/>
    <s v="June"/>
    <x v="5"/>
    <s v="Fruits"/>
    <n v="109.2"/>
    <x v="0"/>
  </r>
  <r>
    <s v="Rural"/>
    <n v="2013"/>
    <s v="June"/>
    <x v="5"/>
    <s v="Vegetables"/>
    <n v="118"/>
    <x v="0"/>
  </r>
  <r>
    <s v="Rural"/>
    <n v="2013"/>
    <s v="June"/>
    <x v="5"/>
    <s v="Pulses and products"/>
    <n v="106.8"/>
    <x v="0"/>
  </r>
  <r>
    <s v="Rural"/>
    <n v="2013"/>
    <s v="June"/>
    <x v="5"/>
    <s v="Sugar and Confectionery"/>
    <n v="104.1"/>
    <x v="0"/>
  </r>
  <r>
    <s v="Rural"/>
    <n v="2013"/>
    <s v="June"/>
    <x v="5"/>
    <s v="Spices"/>
    <n v="105.4"/>
    <x v="0"/>
  </r>
  <r>
    <s v="Rural"/>
    <n v="2013"/>
    <s v="June"/>
    <x v="5"/>
    <s v="Non-alcoholic beverages"/>
    <n v="108.2"/>
    <x v="0"/>
  </r>
  <r>
    <s v="Rural"/>
    <n v="2013"/>
    <s v="June"/>
    <x v="5"/>
    <s v="Prepared meals, snacks, sweets etc."/>
    <n v="111"/>
    <x v="0"/>
  </r>
  <r>
    <s v="Rural"/>
    <n v="2013"/>
    <s v="June"/>
    <x v="5"/>
    <s v="Food and beverages"/>
    <n v="110.6"/>
    <x v="0"/>
  </r>
  <r>
    <s v="Rural"/>
    <n v="2013"/>
    <s v="June"/>
    <x v="5"/>
    <s v="Pan, tobacco and intoxicants"/>
    <n v="109"/>
    <x v="1"/>
  </r>
  <r>
    <s v="Rural"/>
    <n v="2013"/>
    <s v="June"/>
    <x v="5"/>
    <s v="Clothing"/>
    <n v="109.7"/>
    <x v="2"/>
  </r>
  <r>
    <s v="Rural"/>
    <n v="2013"/>
    <s v="June"/>
    <x v="5"/>
    <s v="Footwear"/>
    <n v="108.8"/>
    <x v="2"/>
  </r>
  <r>
    <s v="Rural"/>
    <n v="2013"/>
    <s v="June"/>
    <x v="5"/>
    <s v="Clothing and footwear"/>
    <n v="109.5"/>
    <x v="2"/>
  </r>
  <r>
    <s v="Rural"/>
    <n v="2013"/>
    <s v="June"/>
    <x v="5"/>
    <s v="Fuel and light"/>
    <n v="108.5"/>
    <x v="3"/>
  </r>
  <r>
    <s v="Rural"/>
    <n v="2013"/>
    <s v="June"/>
    <x v="5"/>
    <s v="Household goods and services"/>
    <n v="107.5"/>
    <x v="4"/>
  </r>
  <r>
    <s v="Rural"/>
    <n v="2013"/>
    <s v="June"/>
    <x v="5"/>
    <s v="Health"/>
    <n v="106.3"/>
    <x v="5"/>
  </r>
  <r>
    <s v="Rural"/>
    <n v="2013"/>
    <s v="June"/>
    <x v="5"/>
    <s v="Transport and communication"/>
    <n v="105"/>
    <x v="6"/>
  </r>
  <r>
    <s v="Rural"/>
    <n v="2013"/>
    <s v="June"/>
    <x v="5"/>
    <s v="Recreation and amusement"/>
    <n v="105.6"/>
    <x v="1"/>
  </r>
  <r>
    <s v="Rural"/>
    <n v="2013"/>
    <s v="June"/>
    <x v="5"/>
    <s v="Education"/>
    <n v="106.5"/>
    <x v="7"/>
  </r>
  <r>
    <s v="Rural"/>
    <n v="2013"/>
    <s v="June"/>
    <x v="5"/>
    <s v="Personal care and effects"/>
    <n v="102.5"/>
    <x v="4"/>
  </r>
  <r>
    <s v="Rural"/>
    <n v="2013"/>
    <s v="June"/>
    <x v="5"/>
    <s v="Miscellaneous"/>
    <n v="105.5"/>
    <x v="8"/>
  </r>
  <r>
    <s v="Rural"/>
    <n v="2013"/>
    <s v="June"/>
    <x v="5"/>
    <s v="General index"/>
    <n v="108.9"/>
    <x v="9"/>
  </r>
  <r>
    <s v="Urban"/>
    <n v="2013"/>
    <s v="June"/>
    <x v="5"/>
    <s v="Cereals and products"/>
    <n v="117"/>
    <x v="0"/>
  </r>
  <r>
    <s v="Urban"/>
    <n v="2013"/>
    <s v="June"/>
    <x v="5"/>
    <s v="Meat and fish"/>
    <n v="120.1"/>
    <x v="0"/>
  </r>
  <r>
    <s v="Urban"/>
    <n v="2013"/>
    <s v="June"/>
    <x v="5"/>
    <s v="Egg"/>
    <n v="112.5"/>
    <x v="0"/>
  </r>
  <r>
    <s v="Urban"/>
    <n v="2013"/>
    <s v="June"/>
    <x v="5"/>
    <s v="Milk and products"/>
    <n v="107.3"/>
    <x v="0"/>
  </r>
  <r>
    <s v="Urban"/>
    <n v="2013"/>
    <s v="June"/>
    <x v="5"/>
    <s v="Oils and fats"/>
    <n v="101.3"/>
    <x v="0"/>
  </r>
  <r>
    <s v="Urban"/>
    <n v="2013"/>
    <s v="June"/>
    <x v="5"/>
    <s v="Fruits"/>
    <n v="112.4"/>
    <x v="0"/>
  </r>
  <r>
    <s v="Urban"/>
    <n v="2013"/>
    <s v="June"/>
    <x v="5"/>
    <s v="Vegetables"/>
    <n v="143.6"/>
    <x v="0"/>
  </r>
  <r>
    <s v="Urban"/>
    <n v="2013"/>
    <s v="June"/>
    <x v="5"/>
    <s v="Pulses and products"/>
    <n v="105.4"/>
    <x v="0"/>
  </r>
  <r>
    <s v="Urban"/>
    <n v="2013"/>
    <s v="June"/>
    <x v="5"/>
    <s v="Sugar and Confectionery"/>
    <n v="101.4"/>
    <x v="0"/>
  </r>
  <r>
    <s v="Urban"/>
    <n v="2013"/>
    <s v="June"/>
    <x v="5"/>
    <s v="Spices"/>
    <n v="106.4"/>
    <x v="0"/>
  </r>
  <r>
    <s v="Urban"/>
    <n v="2013"/>
    <s v="June"/>
    <x v="5"/>
    <s v="Non-alcoholic beverages"/>
    <n v="110"/>
    <x v="0"/>
  </r>
  <r>
    <s v="Urban"/>
    <n v="2013"/>
    <s v="June"/>
    <x v="5"/>
    <s v="Prepared meals, snacks, sweets etc."/>
    <n v="112.2"/>
    <x v="0"/>
  </r>
  <r>
    <s v="Urban"/>
    <n v="2013"/>
    <s v="June"/>
    <x v="5"/>
    <s v="Food and beverages"/>
    <n v="115"/>
    <x v="0"/>
  </r>
  <r>
    <s v="Urban"/>
    <n v="2013"/>
    <s v="June"/>
    <x v="5"/>
    <s v="Pan, tobacco and intoxicants"/>
    <n v="110.9"/>
    <x v="1"/>
  </r>
  <r>
    <s v="Urban"/>
    <n v="2013"/>
    <s v="June"/>
    <x v="5"/>
    <s v="Clothing"/>
    <n v="109.2"/>
    <x v="2"/>
  </r>
  <r>
    <s v="Urban"/>
    <n v="2013"/>
    <s v="June"/>
    <x v="5"/>
    <s v="Footwear"/>
    <n v="107.2"/>
    <x v="2"/>
  </r>
  <r>
    <s v="Urban"/>
    <n v="2013"/>
    <s v="June"/>
    <x v="5"/>
    <s v="Clothing and footwear"/>
    <n v="108.9"/>
    <x v="2"/>
  </r>
  <r>
    <s v="Urban"/>
    <n v="2013"/>
    <s v="June"/>
    <x v="5"/>
    <s v="Housing"/>
    <n v="106.6"/>
    <x v="10"/>
  </r>
  <r>
    <s v="Urban"/>
    <n v="2013"/>
    <s v="June"/>
    <x v="5"/>
    <s v="Fuel and light"/>
    <n v="108"/>
    <x v="3"/>
  </r>
  <r>
    <s v="Urban"/>
    <n v="2013"/>
    <s v="June"/>
    <x v="5"/>
    <s v="Household goods and services"/>
    <n v="107.7"/>
    <x v="4"/>
  </r>
  <r>
    <s v="Urban"/>
    <n v="2013"/>
    <s v="June"/>
    <x v="5"/>
    <s v="Health"/>
    <n v="106.5"/>
    <x v="5"/>
  </r>
  <r>
    <s v="Urban"/>
    <n v="2013"/>
    <s v="June"/>
    <x v="5"/>
    <s v="Transport and communication"/>
    <n v="105.2"/>
    <x v="6"/>
  </r>
  <r>
    <s v="Urban"/>
    <n v="2013"/>
    <s v="June"/>
    <x v="5"/>
    <s v="Recreation and amusement"/>
    <n v="105.2"/>
    <x v="1"/>
  </r>
  <r>
    <s v="Urban"/>
    <n v="2013"/>
    <s v="June"/>
    <x v="5"/>
    <s v="Education"/>
    <n v="108.1"/>
    <x v="7"/>
  </r>
  <r>
    <s v="Urban"/>
    <n v="2013"/>
    <s v="June"/>
    <x v="5"/>
    <s v="Personal care and effects"/>
    <n v="103.3"/>
    <x v="4"/>
  </r>
  <r>
    <s v="Urban"/>
    <n v="2013"/>
    <s v="June"/>
    <x v="5"/>
    <s v="Miscellaneous"/>
    <n v="106.1"/>
    <x v="8"/>
  </r>
  <r>
    <s v="Urban"/>
    <n v="2013"/>
    <s v="June"/>
    <x v="5"/>
    <s v="General index"/>
    <n v="109.7"/>
    <x v="9"/>
  </r>
  <r>
    <s v="Rural+Urban"/>
    <n v="2013"/>
    <s v="June"/>
    <x v="5"/>
    <s v="Cereals and products"/>
    <n v="113.8"/>
    <x v="0"/>
  </r>
  <r>
    <s v="Rural+Urban"/>
    <n v="2013"/>
    <s v="June"/>
    <x v="5"/>
    <s v="Meat and fish"/>
    <n v="114.9"/>
    <x v="0"/>
  </r>
  <r>
    <s v="Rural+Urban"/>
    <n v="2013"/>
    <s v="June"/>
    <x v="5"/>
    <s v="Egg"/>
    <n v="109.8"/>
    <x v="0"/>
  </r>
  <r>
    <s v="Rural+Urban"/>
    <n v="2013"/>
    <s v="June"/>
    <x v="5"/>
    <s v="Milk and products"/>
    <n v="107.9"/>
    <x v="0"/>
  </r>
  <r>
    <s v="Rural+Urban"/>
    <n v="2013"/>
    <s v="June"/>
    <x v="5"/>
    <s v="Oils and fats"/>
    <n v="104.2"/>
    <x v="0"/>
  </r>
  <r>
    <s v="Rural+Urban"/>
    <n v="2013"/>
    <s v="June"/>
    <x v="5"/>
    <s v="Fruits"/>
    <n v="110.7"/>
    <x v="0"/>
  </r>
  <r>
    <s v="Rural+Urban"/>
    <n v="2013"/>
    <s v="June"/>
    <x v="5"/>
    <s v="Vegetables"/>
    <n v="126.7"/>
    <x v="0"/>
  </r>
  <r>
    <s v="Rural+Urban"/>
    <n v="2013"/>
    <s v="June"/>
    <x v="5"/>
    <s v="Pulses and products"/>
    <n v="106.3"/>
    <x v="0"/>
  </r>
  <r>
    <s v="Rural+Urban"/>
    <n v="2013"/>
    <s v="June"/>
    <x v="5"/>
    <s v="Sugar and Confectionery"/>
    <n v="103.2"/>
    <x v="0"/>
  </r>
  <r>
    <s v="Rural+Urban"/>
    <n v="2013"/>
    <s v="June"/>
    <x v="5"/>
    <s v="Spices"/>
    <n v="105.7"/>
    <x v="0"/>
  </r>
  <r>
    <s v="Rural+Urban"/>
    <n v="2013"/>
    <s v="June"/>
    <x v="5"/>
    <s v="Non-alcoholic beverages"/>
    <n v="109"/>
    <x v="0"/>
  </r>
  <r>
    <s v="Rural+Urban"/>
    <n v="2013"/>
    <s v="June"/>
    <x v="5"/>
    <s v="Prepared meals, snacks, sweets etc."/>
    <n v="111.6"/>
    <x v="0"/>
  </r>
  <r>
    <s v="Rural+Urban"/>
    <n v="2013"/>
    <s v="June"/>
    <x v="5"/>
    <s v="Food and beverages"/>
    <n v="112.2"/>
    <x v="0"/>
  </r>
  <r>
    <s v="Rural+Urban"/>
    <n v="2013"/>
    <s v="June"/>
    <x v="5"/>
    <s v="Pan, tobacco and intoxicants"/>
    <n v="109.5"/>
    <x v="1"/>
  </r>
  <r>
    <s v="Rural+Urban"/>
    <n v="2013"/>
    <s v="June"/>
    <x v="5"/>
    <s v="Clothing"/>
    <n v="109.5"/>
    <x v="2"/>
  </r>
  <r>
    <s v="Rural+Urban"/>
    <n v="2013"/>
    <s v="June"/>
    <x v="5"/>
    <s v="Footwear"/>
    <n v="108.1"/>
    <x v="2"/>
  </r>
  <r>
    <s v="Rural+Urban"/>
    <n v="2013"/>
    <s v="June"/>
    <x v="5"/>
    <s v="Clothing and footwear"/>
    <n v="109.3"/>
    <x v="2"/>
  </r>
  <r>
    <s v="Rural+Urban"/>
    <n v="2013"/>
    <s v="June"/>
    <x v="5"/>
    <s v="Housing"/>
    <n v="106.6"/>
    <x v="10"/>
  </r>
  <r>
    <s v="Rural+Urban"/>
    <n v="2013"/>
    <s v="June"/>
    <x v="5"/>
    <s v="Fuel and light"/>
    <n v="108.3"/>
    <x v="3"/>
  </r>
  <r>
    <s v="Rural+Urban"/>
    <n v="2013"/>
    <s v="June"/>
    <x v="5"/>
    <s v="Household goods and services"/>
    <n v="107.6"/>
    <x v="4"/>
  </r>
  <r>
    <s v="Rural+Urban"/>
    <n v="2013"/>
    <s v="June"/>
    <x v="5"/>
    <s v="Health"/>
    <n v="106.4"/>
    <x v="5"/>
  </r>
  <r>
    <s v="Rural+Urban"/>
    <n v="2013"/>
    <s v="June"/>
    <x v="5"/>
    <s v="Transport and communication"/>
    <n v="105.1"/>
    <x v="6"/>
  </r>
  <r>
    <s v="Rural+Urban"/>
    <n v="2013"/>
    <s v="June"/>
    <x v="5"/>
    <s v="Recreation and amusement"/>
    <n v="105.4"/>
    <x v="1"/>
  </r>
  <r>
    <s v="Rural+Urban"/>
    <n v="2013"/>
    <s v="June"/>
    <x v="5"/>
    <s v="Education"/>
    <n v="107.4"/>
    <x v="7"/>
  </r>
  <r>
    <s v="Rural+Urban"/>
    <n v="2013"/>
    <s v="June"/>
    <x v="5"/>
    <s v="Personal care and effects"/>
    <n v="102.8"/>
    <x v="4"/>
  </r>
  <r>
    <s v="Rural+Urban"/>
    <n v="2013"/>
    <s v="June"/>
    <x v="5"/>
    <s v="Miscellaneous"/>
    <n v="105.8"/>
    <x v="8"/>
  </r>
  <r>
    <s v="Rural+Urban"/>
    <n v="2013"/>
    <s v="June"/>
    <x v="5"/>
    <s v="General index"/>
    <n v="109.3"/>
    <x v="9"/>
  </r>
  <r>
    <s v="Rural"/>
    <n v="2013"/>
    <s v="July"/>
    <x v="6"/>
    <s v="Cereals and products"/>
    <n v="113.4"/>
    <x v="0"/>
  </r>
  <r>
    <s v="Rural"/>
    <n v="2013"/>
    <s v="July"/>
    <x v="6"/>
    <s v="Meat and fish"/>
    <n v="114.9"/>
    <x v="0"/>
  </r>
  <r>
    <s v="Rural"/>
    <n v="2013"/>
    <s v="July"/>
    <x v="6"/>
    <s v="Egg"/>
    <n v="110.5"/>
    <x v="0"/>
  </r>
  <r>
    <s v="Rural"/>
    <n v="2013"/>
    <s v="July"/>
    <x v="6"/>
    <s v="Milk and products"/>
    <n v="109.3"/>
    <x v="0"/>
  </r>
  <r>
    <s v="Rural"/>
    <n v="2013"/>
    <s v="July"/>
    <x v="6"/>
    <s v="Oils and fats"/>
    <n v="106.2"/>
    <x v="0"/>
  </r>
  <r>
    <s v="Rural"/>
    <n v="2013"/>
    <s v="July"/>
    <x v="6"/>
    <s v="Fruits"/>
    <n v="110.3"/>
    <x v="0"/>
  </r>
  <r>
    <s v="Rural"/>
    <n v="2013"/>
    <s v="July"/>
    <x v="6"/>
    <s v="Vegetables"/>
    <n v="129.19999999999999"/>
    <x v="0"/>
  </r>
  <r>
    <s v="Rural"/>
    <n v="2013"/>
    <s v="July"/>
    <x v="6"/>
    <s v="Pulses and products"/>
    <n v="107.1"/>
    <x v="0"/>
  </r>
  <r>
    <s v="Rural"/>
    <n v="2013"/>
    <s v="July"/>
    <x v="6"/>
    <s v="Sugar and Confectionery"/>
    <n v="104.3"/>
    <x v="0"/>
  </r>
  <r>
    <s v="Rural"/>
    <n v="2013"/>
    <s v="July"/>
    <x v="6"/>
    <s v="Spices"/>
    <n v="106.4"/>
    <x v="0"/>
  </r>
  <r>
    <s v="Rural"/>
    <n v="2013"/>
    <s v="July"/>
    <x v="6"/>
    <s v="Non-alcoholic beverages"/>
    <n v="109.1"/>
    <x v="0"/>
  </r>
  <r>
    <s v="Rural"/>
    <n v="2013"/>
    <s v="July"/>
    <x v="6"/>
    <s v="Prepared meals, snacks, sweets etc."/>
    <n v="112.1"/>
    <x v="0"/>
  </r>
  <r>
    <s v="Rural"/>
    <n v="2013"/>
    <s v="July"/>
    <x v="6"/>
    <s v="Food and beverages"/>
    <n v="113.1"/>
    <x v="0"/>
  </r>
  <r>
    <s v="Rural"/>
    <n v="2013"/>
    <s v="July"/>
    <x v="6"/>
    <s v="Pan, tobacco and intoxicants"/>
    <n v="109.8"/>
    <x v="1"/>
  </r>
  <r>
    <s v="Rural"/>
    <n v="2013"/>
    <s v="July"/>
    <x v="6"/>
    <s v="Clothing"/>
    <n v="110.5"/>
    <x v="2"/>
  </r>
  <r>
    <s v="Rural"/>
    <n v="2013"/>
    <s v="July"/>
    <x v="6"/>
    <s v="Footwear"/>
    <n v="109.5"/>
    <x v="2"/>
  </r>
  <r>
    <s v="Rural"/>
    <n v="2013"/>
    <s v="July"/>
    <x v="6"/>
    <s v="Clothing and footwear"/>
    <n v="110.3"/>
    <x v="2"/>
  </r>
  <r>
    <s v="Rural"/>
    <n v="2013"/>
    <s v="July"/>
    <x v="6"/>
    <s v="Fuel and light"/>
    <n v="109.5"/>
    <x v="3"/>
  </r>
  <r>
    <s v="Rural"/>
    <n v="2013"/>
    <s v="July"/>
    <x v="6"/>
    <s v="Household goods and services"/>
    <n v="108.3"/>
    <x v="4"/>
  </r>
  <r>
    <s v="Rural"/>
    <n v="2013"/>
    <s v="July"/>
    <x v="6"/>
    <s v="Health"/>
    <n v="106.9"/>
    <x v="5"/>
  </r>
  <r>
    <s v="Rural"/>
    <n v="2013"/>
    <s v="July"/>
    <x v="6"/>
    <s v="Transport and communication"/>
    <n v="106.8"/>
    <x v="6"/>
  </r>
  <r>
    <s v="Rural"/>
    <n v="2013"/>
    <s v="July"/>
    <x v="6"/>
    <s v="Recreation and amusement"/>
    <n v="106.4"/>
    <x v="1"/>
  </r>
  <r>
    <s v="Rural"/>
    <n v="2013"/>
    <s v="July"/>
    <x v="6"/>
    <s v="Education"/>
    <n v="107.8"/>
    <x v="7"/>
  </r>
  <r>
    <s v="Rural"/>
    <n v="2013"/>
    <s v="July"/>
    <x v="6"/>
    <s v="Personal care and effects"/>
    <n v="102.5"/>
    <x v="4"/>
  </r>
  <r>
    <s v="Rural"/>
    <n v="2013"/>
    <s v="July"/>
    <x v="6"/>
    <s v="Miscellaneous"/>
    <n v="106.5"/>
    <x v="8"/>
  </r>
  <r>
    <s v="Rural"/>
    <n v="2013"/>
    <s v="July"/>
    <x v="6"/>
    <s v="General index"/>
    <n v="110.7"/>
    <x v="9"/>
  </r>
  <r>
    <s v="Urban"/>
    <n v="2013"/>
    <s v="July"/>
    <x v="6"/>
    <s v="Cereals and products"/>
    <n v="117.8"/>
    <x v="0"/>
  </r>
  <r>
    <s v="Urban"/>
    <n v="2013"/>
    <s v="July"/>
    <x v="6"/>
    <s v="Meat and fish"/>
    <n v="119.2"/>
    <x v="0"/>
  </r>
  <r>
    <s v="Urban"/>
    <n v="2013"/>
    <s v="July"/>
    <x v="6"/>
    <s v="Egg"/>
    <n v="114"/>
    <x v="0"/>
  </r>
  <r>
    <s v="Urban"/>
    <n v="2013"/>
    <s v="July"/>
    <x v="6"/>
    <s v="Milk and products"/>
    <n v="108.3"/>
    <x v="0"/>
  </r>
  <r>
    <s v="Urban"/>
    <n v="2013"/>
    <s v="July"/>
    <x v="6"/>
    <s v="Oils and fats"/>
    <n v="101.1"/>
    <x v="0"/>
  </r>
  <r>
    <s v="Urban"/>
    <n v="2013"/>
    <s v="July"/>
    <x v="6"/>
    <s v="Fruits"/>
    <n v="113.2"/>
    <x v="0"/>
  </r>
  <r>
    <s v="Urban"/>
    <n v="2013"/>
    <s v="July"/>
    <x v="6"/>
    <s v="Vegetables"/>
    <n v="160.9"/>
    <x v="0"/>
  </r>
  <r>
    <s v="Urban"/>
    <n v="2013"/>
    <s v="July"/>
    <x v="6"/>
    <s v="Pulses and products"/>
    <n v="105.1"/>
    <x v="0"/>
  </r>
  <r>
    <s v="Urban"/>
    <n v="2013"/>
    <s v="July"/>
    <x v="6"/>
    <s v="Sugar and Confectionery"/>
    <n v="101.3"/>
    <x v="0"/>
  </r>
  <r>
    <s v="Urban"/>
    <n v="2013"/>
    <s v="July"/>
    <x v="6"/>
    <s v="Spices"/>
    <n v="107.5"/>
    <x v="0"/>
  </r>
  <r>
    <s v="Urban"/>
    <n v="2013"/>
    <s v="July"/>
    <x v="6"/>
    <s v="Non-alcoholic beverages"/>
    <n v="110.4"/>
    <x v="0"/>
  </r>
  <r>
    <s v="Urban"/>
    <n v="2013"/>
    <s v="July"/>
    <x v="6"/>
    <s v="Prepared meals, snacks, sweets etc."/>
    <n v="113.1"/>
    <x v="0"/>
  </r>
  <r>
    <s v="Urban"/>
    <n v="2013"/>
    <s v="July"/>
    <x v="6"/>
    <s v="Food and beverages"/>
    <n v="117.5"/>
    <x v="0"/>
  </r>
  <r>
    <s v="Urban"/>
    <n v="2013"/>
    <s v="July"/>
    <x v="6"/>
    <s v="Pan, tobacco and intoxicants"/>
    <n v="111.7"/>
    <x v="1"/>
  </r>
  <r>
    <s v="Urban"/>
    <n v="2013"/>
    <s v="July"/>
    <x v="6"/>
    <s v="Clothing"/>
    <n v="109.8"/>
    <x v="2"/>
  </r>
  <r>
    <s v="Urban"/>
    <n v="2013"/>
    <s v="July"/>
    <x v="6"/>
    <s v="Footwear"/>
    <n v="107.8"/>
    <x v="2"/>
  </r>
  <r>
    <s v="Urban"/>
    <n v="2013"/>
    <s v="July"/>
    <x v="6"/>
    <s v="Clothing and footwear"/>
    <n v="109.5"/>
    <x v="2"/>
  </r>
  <r>
    <s v="Urban"/>
    <n v="2013"/>
    <s v="July"/>
    <x v="6"/>
    <s v="Housing"/>
    <n v="107.7"/>
    <x v="10"/>
  </r>
  <r>
    <s v="Urban"/>
    <n v="2013"/>
    <s v="July"/>
    <x v="6"/>
    <s v="Fuel and light"/>
    <n v="108.6"/>
    <x v="3"/>
  </r>
  <r>
    <s v="Urban"/>
    <n v="2013"/>
    <s v="July"/>
    <x v="6"/>
    <s v="Household goods and services"/>
    <n v="108.1"/>
    <x v="4"/>
  </r>
  <r>
    <s v="Urban"/>
    <n v="2013"/>
    <s v="July"/>
    <x v="6"/>
    <s v="Health"/>
    <n v="107.1"/>
    <x v="5"/>
  </r>
  <r>
    <s v="Urban"/>
    <n v="2013"/>
    <s v="July"/>
    <x v="6"/>
    <s v="Transport and communication"/>
    <n v="107.3"/>
    <x v="6"/>
  </r>
  <r>
    <s v="Urban"/>
    <n v="2013"/>
    <s v="July"/>
    <x v="6"/>
    <s v="Recreation and amusement"/>
    <n v="105.9"/>
    <x v="1"/>
  </r>
  <r>
    <s v="Urban"/>
    <n v="2013"/>
    <s v="July"/>
    <x v="6"/>
    <s v="Education"/>
    <n v="110.1"/>
    <x v="7"/>
  </r>
  <r>
    <s v="Urban"/>
    <n v="2013"/>
    <s v="July"/>
    <x v="6"/>
    <s v="Personal care and effects"/>
    <n v="103.2"/>
    <x v="4"/>
  </r>
  <r>
    <s v="Urban"/>
    <n v="2013"/>
    <s v="July"/>
    <x v="6"/>
    <s v="Miscellaneous"/>
    <n v="107.3"/>
    <x v="8"/>
  </r>
  <r>
    <s v="Urban"/>
    <n v="2013"/>
    <s v="July"/>
    <x v="6"/>
    <s v="General index"/>
    <n v="111.4"/>
    <x v="9"/>
  </r>
  <r>
    <s v="Rural+Urban"/>
    <n v="2013"/>
    <s v="July"/>
    <x v="6"/>
    <s v="Cereals and products"/>
    <n v="114.8"/>
    <x v="0"/>
  </r>
  <r>
    <s v="Rural+Urban"/>
    <n v="2013"/>
    <s v="July"/>
    <x v="6"/>
    <s v="Meat and fish"/>
    <n v="116.4"/>
    <x v="0"/>
  </r>
  <r>
    <s v="Rural+Urban"/>
    <n v="2013"/>
    <s v="July"/>
    <x v="6"/>
    <s v="Egg"/>
    <n v="111.9"/>
    <x v="0"/>
  </r>
  <r>
    <s v="Rural+Urban"/>
    <n v="2013"/>
    <s v="July"/>
    <x v="6"/>
    <s v="Milk and products"/>
    <n v="108.9"/>
    <x v="0"/>
  </r>
  <r>
    <s v="Rural+Urban"/>
    <n v="2013"/>
    <s v="July"/>
    <x v="6"/>
    <s v="Oils and fats"/>
    <n v="104.3"/>
    <x v="0"/>
  </r>
  <r>
    <s v="Rural+Urban"/>
    <n v="2013"/>
    <s v="July"/>
    <x v="6"/>
    <s v="Fruits"/>
    <n v="111.7"/>
    <x v="0"/>
  </r>
  <r>
    <s v="Rural+Urban"/>
    <n v="2013"/>
    <s v="July"/>
    <x v="6"/>
    <s v="Vegetables"/>
    <n v="140"/>
    <x v="0"/>
  </r>
  <r>
    <s v="Rural+Urban"/>
    <n v="2013"/>
    <s v="July"/>
    <x v="6"/>
    <s v="Pulses and products"/>
    <n v="106.4"/>
    <x v="0"/>
  </r>
  <r>
    <s v="Rural+Urban"/>
    <n v="2013"/>
    <s v="July"/>
    <x v="6"/>
    <s v="Sugar and Confectionery"/>
    <n v="103.3"/>
    <x v="0"/>
  </r>
  <r>
    <s v="Rural+Urban"/>
    <n v="2013"/>
    <s v="July"/>
    <x v="6"/>
    <s v="Spices"/>
    <n v="106.8"/>
    <x v="0"/>
  </r>
  <r>
    <s v="Rural+Urban"/>
    <n v="2013"/>
    <s v="July"/>
    <x v="6"/>
    <s v="Non-alcoholic beverages"/>
    <n v="109.6"/>
    <x v="0"/>
  </r>
  <r>
    <s v="Rural+Urban"/>
    <n v="2013"/>
    <s v="July"/>
    <x v="6"/>
    <s v="Prepared meals, snacks, sweets etc."/>
    <n v="112.6"/>
    <x v="0"/>
  </r>
  <r>
    <s v="Rural+Urban"/>
    <n v="2013"/>
    <s v="July"/>
    <x v="6"/>
    <s v="Food and beverages"/>
    <n v="114.7"/>
    <x v="0"/>
  </r>
  <r>
    <s v="Rural+Urban"/>
    <n v="2013"/>
    <s v="July"/>
    <x v="6"/>
    <s v="Pan, tobacco and intoxicants"/>
    <n v="110.3"/>
    <x v="1"/>
  </r>
  <r>
    <s v="Rural+Urban"/>
    <n v="2013"/>
    <s v="July"/>
    <x v="6"/>
    <s v="Clothing"/>
    <n v="110.2"/>
    <x v="2"/>
  </r>
  <r>
    <s v="Rural+Urban"/>
    <n v="2013"/>
    <s v="July"/>
    <x v="6"/>
    <s v="Footwear"/>
    <n v="108.8"/>
    <x v="2"/>
  </r>
  <r>
    <s v="Rural+Urban"/>
    <n v="2013"/>
    <s v="July"/>
    <x v="6"/>
    <s v="Clothing and footwear"/>
    <n v="110"/>
    <x v="2"/>
  </r>
  <r>
    <s v="Rural+Urban"/>
    <n v="2013"/>
    <s v="July"/>
    <x v="6"/>
    <s v="Housing"/>
    <n v="107.7"/>
    <x v="10"/>
  </r>
  <r>
    <s v="Rural+Urban"/>
    <n v="2013"/>
    <s v="July"/>
    <x v="6"/>
    <s v="Fuel and light"/>
    <n v="109.2"/>
    <x v="3"/>
  </r>
  <r>
    <s v="Rural+Urban"/>
    <n v="2013"/>
    <s v="July"/>
    <x v="6"/>
    <s v="Household goods and services"/>
    <n v="108.2"/>
    <x v="4"/>
  </r>
  <r>
    <s v="Rural+Urban"/>
    <n v="2013"/>
    <s v="July"/>
    <x v="6"/>
    <s v="Health"/>
    <n v="107"/>
    <x v="5"/>
  </r>
  <r>
    <s v="Rural+Urban"/>
    <n v="2013"/>
    <s v="July"/>
    <x v="6"/>
    <s v="Transport and communication"/>
    <n v="107.1"/>
    <x v="6"/>
  </r>
  <r>
    <s v="Rural+Urban"/>
    <n v="2013"/>
    <s v="July"/>
    <x v="6"/>
    <s v="Recreation and amusement"/>
    <n v="106.1"/>
    <x v="1"/>
  </r>
  <r>
    <s v="Rural+Urban"/>
    <n v="2013"/>
    <s v="July"/>
    <x v="6"/>
    <s v="Education"/>
    <n v="109.1"/>
    <x v="7"/>
  </r>
  <r>
    <s v="Rural+Urban"/>
    <n v="2013"/>
    <s v="July"/>
    <x v="6"/>
    <s v="Personal care and effects"/>
    <n v="102.8"/>
    <x v="4"/>
  </r>
  <r>
    <s v="Rural+Urban"/>
    <n v="2013"/>
    <s v="July"/>
    <x v="6"/>
    <s v="Miscellaneous"/>
    <n v="106.9"/>
    <x v="8"/>
  </r>
  <r>
    <s v="Rural+Urban"/>
    <n v="2013"/>
    <s v="July"/>
    <x v="6"/>
    <s v="General index"/>
    <n v="111"/>
    <x v="9"/>
  </r>
  <r>
    <s v="Rural"/>
    <n v="2013"/>
    <s v="August"/>
    <x v="7"/>
    <s v="Cereals and products"/>
    <n v="114.3"/>
    <x v="0"/>
  </r>
  <r>
    <s v="Rural"/>
    <n v="2013"/>
    <s v="August"/>
    <x v="7"/>
    <s v="Meat and fish"/>
    <n v="115.4"/>
    <x v="0"/>
  </r>
  <r>
    <s v="Rural"/>
    <n v="2013"/>
    <s v="August"/>
    <x v="7"/>
    <s v="Egg"/>
    <n v="111.1"/>
    <x v="0"/>
  </r>
  <r>
    <s v="Rural"/>
    <n v="2013"/>
    <s v="August"/>
    <x v="7"/>
    <s v="Milk and products"/>
    <n v="110"/>
    <x v="0"/>
  </r>
  <r>
    <s v="Rural"/>
    <n v="2013"/>
    <s v="August"/>
    <x v="7"/>
    <s v="Oils and fats"/>
    <n v="106.4"/>
    <x v="0"/>
  </r>
  <r>
    <s v="Rural"/>
    <n v="2013"/>
    <s v="August"/>
    <x v="7"/>
    <s v="Fruits"/>
    <n v="110.8"/>
    <x v="0"/>
  </r>
  <r>
    <s v="Rural"/>
    <n v="2013"/>
    <s v="August"/>
    <x v="7"/>
    <s v="Vegetables"/>
    <n v="138.9"/>
    <x v="0"/>
  </r>
  <r>
    <s v="Rural"/>
    <n v="2013"/>
    <s v="August"/>
    <x v="7"/>
    <s v="Pulses and products"/>
    <n v="107.4"/>
    <x v="0"/>
  </r>
  <r>
    <s v="Rural"/>
    <n v="2013"/>
    <s v="August"/>
    <x v="7"/>
    <s v="Sugar and Confectionery"/>
    <n v="104.1"/>
    <x v="0"/>
  </r>
  <r>
    <s v="Rural"/>
    <n v="2013"/>
    <s v="August"/>
    <x v="7"/>
    <s v="Spices"/>
    <n v="106.9"/>
    <x v="0"/>
  </r>
  <r>
    <s v="Rural"/>
    <n v="2013"/>
    <s v="August"/>
    <x v="7"/>
    <s v="Non-alcoholic beverages"/>
    <n v="109.7"/>
    <x v="0"/>
  </r>
  <r>
    <s v="Rural"/>
    <n v="2013"/>
    <s v="August"/>
    <x v="7"/>
    <s v="Prepared meals, snacks, sweets etc."/>
    <n v="112.6"/>
    <x v="0"/>
  </r>
  <r>
    <s v="Rural"/>
    <n v="2013"/>
    <s v="August"/>
    <x v="7"/>
    <s v="Food and beverages"/>
    <n v="114.9"/>
    <x v="0"/>
  </r>
  <r>
    <s v="Rural"/>
    <n v="2013"/>
    <s v="August"/>
    <x v="7"/>
    <s v="Pan, tobacco and intoxicants"/>
    <n v="110.7"/>
    <x v="1"/>
  </r>
  <r>
    <s v="Rural"/>
    <n v="2013"/>
    <s v="August"/>
    <x v="7"/>
    <s v="Clothing"/>
    <n v="111.3"/>
    <x v="2"/>
  </r>
  <r>
    <s v="Rural"/>
    <n v="2013"/>
    <s v="August"/>
    <x v="7"/>
    <s v="Footwear"/>
    <n v="110.2"/>
    <x v="2"/>
  </r>
  <r>
    <s v="Rural"/>
    <n v="2013"/>
    <s v="August"/>
    <x v="7"/>
    <s v="Clothing and footwear"/>
    <n v="111.1"/>
    <x v="2"/>
  </r>
  <r>
    <s v="Rural"/>
    <n v="2013"/>
    <s v="August"/>
    <x v="7"/>
    <s v="Fuel and light"/>
    <n v="109.9"/>
    <x v="3"/>
  </r>
  <r>
    <s v="Rural"/>
    <n v="2013"/>
    <s v="August"/>
    <x v="7"/>
    <s v="Household goods and services"/>
    <n v="108.7"/>
    <x v="4"/>
  </r>
  <r>
    <s v="Rural"/>
    <n v="2013"/>
    <s v="August"/>
    <x v="7"/>
    <s v="Health"/>
    <n v="107.5"/>
    <x v="5"/>
  </r>
  <r>
    <s v="Rural"/>
    <n v="2013"/>
    <s v="August"/>
    <x v="7"/>
    <s v="Transport and communication"/>
    <n v="107.8"/>
    <x v="6"/>
  </r>
  <r>
    <s v="Rural"/>
    <n v="2013"/>
    <s v="August"/>
    <x v="7"/>
    <s v="Recreation and amusement"/>
    <n v="106.8"/>
    <x v="1"/>
  </r>
  <r>
    <s v="Rural"/>
    <n v="2013"/>
    <s v="August"/>
    <x v="7"/>
    <s v="Education"/>
    <n v="108.7"/>
    <x v="7"/>
  </r>
  <r>
    <s v="Rural"/>
    <n v="2013"/>
    <s v="August"/>
    <x v="7"/>
    <s v="Personal care and effects"/>
    <n v="105"/>
    <x v="4"/>
  </r>
  <r>
    <s v="Rural"/>
    <n v="2013"/>
    <s v="August"/>
    <x v="7"/>
    <s v="Miscellaneous"/>
    <n v="107.5"/>
    <x v="8"/>
  </r>
  <r>
    <s v="Rural"/>
    <n v="2013"/>
    <s v="August"/>
    <x v="7"/>
    <s v="General index"/>
    <n v="112.1"/>
    <x v="9"/>
  </r>
  <r>
    <s v="Urban"/>
    <n v="2013"/>
    <s v="August"/>
    <x v="7"/>
    <s v="Cereals and products"/>
    <n v="118.3"/>
    <x v="0"/>
  </r>
  <r>
    <s v="Urban"/>
    <n v="2013"/>
    <s v="August"/>
    <x v="7"/>
    <s v="Meat and fish"/>
    <n v="120.4"/>
    <x v="0"/>
  </r>
  <r>
    <s v="Urban"/>
    <n v="2013"/>
    <s v="August"/>
    <x v="7"/>
    <s v="Egg"/>
    <n v="112.7"/>
    <x v="0"/>
  </r>
  <r>
    <s v="Urban"/>
    <n v="2013"/>
    <s v="August"/>
    <x v="7"/>
    <s v="Milk and products"/>
    <n v="108.9"/>
    <x v="0"/>
  </r>
  <r>
    <s v="Urban"/>
    <n v="2013"/>
    <s v="August"/>
    <x v="7"/>
    <s v="Oils and fats"/>
    <n v="101.1"/>
    <x v="0"/>
  </r>
  <r>
    <s v="Urban"/>
    <n v="2013"/>
    <s v="August"/>
    <x v="7"/>
    <s v="Fruits"/>
    <n v="108.7"/>
    <x v="0"/>
  </r>
  <r>
    <s v="Urban"/>
    <n v="2013"/>
    <s v="August"/>
    <x v="7"/>
    <s v="Vegetables"/>
    <n v="177"/>
    <x v="0"/>
  </r>
  <r>
    <s v="Urban"/>
    <n v="2013"/>
    <s v="August"/>
    <x v="7"/>
    <s v="Pulses and products"/>
    <n v="104.7"/>
    <x v="0"/>
  </r>
  <r>
    <s v="Urban"/>
    <n v="2013"/>
    <s v="August"/>
    <x v="7"/>
    <s v="Sugar and Confectionery"/>
    <n v="101"/>
    <x v="0"/>
  </r>
  <r>
    <s v="Urban"/>
    <n v="2013"/>
    <s v="August"/>
    <x v="7"/>
    <s v="Spices"/>
    <n v="108.5"/>
    <x v="0"/>
  </r>
  <r>
    <s v="Urban"/>
    <n v="2013"/>
    <s v="August"/>
    <x v="7"/>
    <s v="Non-alcoholic beverages"/>
    <n v="110.9"/>
    <x v="0"/>
  </r>
  <r>
    <s v="Urban"/>
    <n v="2013"/>
    <s v="August"/>
    <x v="7"/>
    <s v="Prepared meals, snacks, sweets etc."/>
    <n v="114.3"/>
    <x v="0"/>
  </r>
  <r>
    <s v="Urban"/>
    <n v="2013"/>
    <s v="August"/>
    <x v="7"/>
    <s v="Food and beverages"/>
    <n v="119.6"/>
    <x v="0"/>
  </r>
  <r>
    <s v="Urban"/>
    <n v="2013"/>
    <s v="August"/>
    <x v="7"/>
    <s v="Pan, tobacco and intoxicants"/>
    <n v="112.4"/>
    <x v="1"/>
  </r>
  <r>
    <s v="Urban"/>
    <n v="2013"/>
    <s v="August"/>
    <x v="7"/>
    <s v="Clothing"/>
    <n v="110.6"/>
    <x v="2"/>
  </r>
  <r>
    <s v="Urban"/>
    <n v="2013"/>
    <s v="August"/>
    <x v="7"/>
    <s v="Footwear"/>
    <n v="108.3"/>
    <x v="2"/>
  </r>
  <r>
    <s v="Urban"/>
    <n v="2013"/>
    <s v="August"/>
    <x v="7"/>
    <s v="Clothing and footwear"/>
    <n v="110.2"/>
    <x v="2"/>
  </r>
  <r>
    <s v="Urban"/>
    <n v="2013"/>
    <s v="August"/>
    <x v="7"/>
    <s v="Housing"/>
    <n v="108.9"/>
    <x v="10"/>
  </r>
  <r>
    <s v="Urban"/>
    <n v="2013"/>
    <s v="August"/>
    <x v="7"/>
    <s v="Fuel and light"/>
    <n v="109.3"/>
    <x v="3"/>
  </r>
  <r>
    <s v="Urban"/>
    <n v="2013"/>
    <s v="August"/>
    <x v="7"/>
    <s v="Household goods and services"/>
    <n v="108.7"/>
    <x v="4"/>
  </r>
  <r>
    <s v="Urban"/>
    <n v="2013"/>
    <s v="August"/>
    <x v="7"/>
    <s v="Health"/>
    <n v="107.6"/>
    <x v="5"/>
  </r>
  <r>
    <s v="Urban"/>
    <n v="2013"/>
    <s v="August"/>
    <x v="7"/>
    <s v="Transport and communication"/>
    <n v="108.1"/>
    <x v="6"/>
  </r>
  <r>
    <s v="Urban"/>
    <n v="2013"/>
    <s v="August"/>
    <x v="7"/>
    <s v="Recreation and amusement"/>
    <n v="106.5"/>
    <x v="1"/>
  </r>
  <r>
    <s v="Urban"/>
    <n v="2013"/>
    <s v="August"/>
    <x v="7"/>
    <s v="Education"/>
    <n v="110.8"/>
    <x v="7"/>
  </r>
  <r>
    <s v="Urban"/>
    <n v="2013"/>
    <s v="August"/>
    <x v="7"/>
    <s v="Personal care and effects"/>
    <n v="106"/>
    <x v="4"/>
  </r>
  <r>
    <s v="Urban"/>
    <n v="2013"/>
    <s v="August"/>
    <x v="7"/>
    <s v="Miscellaneous"/>
    <n v="108.3"/>
    <x v="8"/>
  </r>
  <r>
    <s v="Urban"/>
    <n v="2013"/>
    <s v="August"/>
    <x v="7"/>
    <s v="General index"/>
    <n v="112.7"/>
    <x v="9"/>
  </r>
  <r>
    <s v="Rural+Urban"/>
    <n v="2013"/>
    <s v="August"/>
    <x v="7"/>
    <s v="Cereals and products"/>
    <n v="115.6"/>
    <x v="0"/>
  </r>
  <r>
    <s v="Rural+Urban"/>
    <n v="2013"/>
    <s v="August"/>
    <x v="7"/>
    <s v="Meat and fish"/>
    <n v="117.2"/>
    <x v="0"/>
  </r>
  <r>
    <s v="Rural+Urban"/>
    <n v="2013"/>
    <s v="August"/>
    <x v="7"/>
    <s v="Egg"/>
    <n v="111.7"/>
    <x v="0"/>
  </r>
  <r>
    <s v="Rural+Urban"/>
    <n v="2013"/>
    <s v="August"/>
    <x v="7"/>
    <s v="Milk and products"/>
    <n v="109.6"/>
    <x v="0"/>
  </r>
  <r>
    <s v="Rural+Urban"/>
    <n v="2013"/>
    <s v="August"/>
    <x v="7"/>
    <s v="Oils and fats"/>
    <n v="104.5"/>
    <x v="0"/>
  </r>
  <r>
    <s v="Rural+Urban"/>
    <n v="2013"/>
    <s v="August"/>
    <x v="7"/>
    <s v="Fruits"/>
    <n v="109.8"/>
    <x v="0"/>
  </r>
  <r>
    <s v="Rural+Urban"/>
    <n v="2013"/>
    <s v="August"/>
    <x v="7"/>
    <s v="Vegetables"/>
    <n v="151.80000000000001"/>
    <x v="0"/>
  </r>
  <r>
    <s v="Rural+Urban"/>
    <n v="2013"/>
    <s v="August"/>
    <x v="7"/>
    <s v="Pulses and products"/>
    <n v="106.5"/>
    <x v="0"/>
  </r>
  <r>
    <s v="Rural+Urban"/>
    <n v="2013"/>
    <s v="August"/>
    <x v="7"/>
    <s v="Sugar and Confectionery"/>
    <n v="103.1"/>
    <x v="0"/>
  </r>
  <r>
    <s v="Rural+Urban"/>
    <n v="2013"/>
    <s v="August"/>
    <x v="7"/>
    <s v="Spices"/>
    <n v="107.4"/>
    <x v="0"/>
  </r>
  <r>
    <s v="Rural+Urban"/>
    <n v="2013"/>
    <s v="August"/>
    <x v="7"/>
    <s v="Non-alcoholic beverages"/>
    <n v="110.2"/>
    <x v="0"/>
  </r>
  <r>
    <s v="Rural+Urban"/>
    <n v="2013"/>
    <s v="August"/>
    <x v="7"/>
    <s v="Prepared meals, snacks, sweets etc."/>
    <n v="113.4"/>
    <x v="0"/>
  </r>
  <r>
    <s v="Rural+Urban"/>
    <n v="2013"/>
    <s v="August"/>
    <x v="7"/>
    <s v="Food and beverages"/>
    <n v="116.6"/>
    <x v="0"/>
  </r>
  <r>
    <s v="Rural+Urban"/>
    <n v="2013"/>
    <s v="August"/>
    <x v="7"/>
    <s v="Pan, tobacco and intoxicants"/>
    <n v="111.2"/>
    <x v="1"/>
  </r>
  <r>
    <s v="Rural+Urban"/>
    <n v="2013"/>
    <s v="August"/>
    <x v="7"/>
    <s v="Clothing"/>
    <n v="111"/>
    <x v="2"/>
  </r>
  <r>
    <s v="Rural+Urban"/>
    <n v="2013"/>
    <s v="August"/>
    <x v="7"/>
    <s v="Footwear"/>
    <n v="109.4"/>
    <x v="2"/>
  </r>
  <r>
    <s v="Rural+Urban"/>
    <n v="2013"/>
    <s v="August"/>
    <x v="7"/>
    <s v="Clothing and footwear"/>
    <n v="110.7"/>
    <x v="2"/>
  </r>
  <r>
    <s v="Rural+Urban"/>
    <n v="2013"/>
    <s v="August"/>
    <x v="7"/>
    <s v="Housing"/>
    <n v="108.9"/>
    <x v="10"/>
  </r>
  <r>
    <s v="Rural+Urban"/>
    <n v="2013"/>
    <s v="August"/>
    <x v="7"/>
    <s v="Fuel and light"/>
    <n v="109.7"/>
    <x v="3"/>
  </r>
  <r>
    <s v="Rural+Urban"/>
    <n v="2013"/>
    <s v="August"/>
    <x v="7"/>
    <s v="Household goods and services"/>
    <n v="108.7"/>
    <x v="4"/>
  </r>
  <r>
    <s v="Rural+Urban"/>
    <n v="2013"/>
    <s v="August"/>
    <x v="7"/>
    <s v="Health"/>
    <n v="107.5"/>
    <x v="5"/>
  </r>
  <r>
    <s v="Rural+Urban"/>
    <n v="2013"/>
    <s v="August"/>
    <x v="7"/>
    <s v="Transport and communication"/>
    <n v="108"/>
    <x v="6"/>
  </r>
  <r>
    <s v="Rural+Urban"/>
    <n v="2013"/>
    <s v="August"/>
    <x v="7"/>
    <s v="Recreation and amusement"/>
    <n v="106.6"/>
    <x v="1"/>
  </r>
  <r>
    <s v="Rural+Urban"/>
    <n v="2013"/>
    <s v="August"/>
    <x v="7"/>
    <s v="Education"/>
    <n v="109.9"/>
    <x v="7"/>
  </r>
  <r>
    <s v="Rural+Urban"/>
    <n v="2013"/>
    <s v="August"/>
    <x v="7"/>
    <s v="Personal care and effects"/>
    <n v="105.4"/>
    <x v="4"/>
  </r>
  <r>
    <s v="Rural+Urban"/>
    <n v="2013"/>
    <s v="August"/>
    <x v="7"/>
    <s v="Miscellaneous"/>
    <n v="107.9"/>
    <x v="8"/>
  </r>
  <r>
    <s v="Rural+Urban"/>
    <n v="2013"/>
    <s v="August"/>
    <x v="7"/>
    <s v="General index"/>
    <n v="112.4"/>
    <x v="9"/>
  </r>
  <r>
    <s v="Rural"/>
    <n v="2013"/>
    <s v="September"/>
    <x v="8"/>
    <s v="Cereals and products"/>
    <n v="115.4"/>
    <x v="0"/>
  </r>
  <r>
    <s v="Rural"/>
    <n v="2013"/>
    <s v="September"/>
    <x v="8"/>
    <s v="Meat and fish"/>
    <n v="115.7"/>
    <x v="0"/>
  </r>
  <r>
    <s v="Rural"/>
    <n v="2013"/>
    <s v="September"/>
    <x v="8"/>
    <s v="Egg"/>
    <n v="111.7"/>
    <x v="0"/>
  </r>
  <r>
    <s v="Rural"/>
    <n v="2013"/>
    <s v="September"/>
    <x v="8"/>
    <s v="Milk and products"/>
    <n v="111"/>
    <x v="0"/>
  </r>
  <r>
    <s v="Rural"/>
    <n v="2013"/>
    <s v="September"/>
    <x v="8"/>
    <s v="Oils and fats"/>
    <n v="107.4"/>
    <x v="0"/>
  </r>
  <r>
    <s v="Rural"/>
    <n v="2013"/>
    <s v="September"/>
    <x v="8"/>
    <s v="Fruits"/>
    <n v="110.9"/>
    <x v="0"/>
  </r>
  <r>
    <s v="Rural"/>
    <n v="2013"/>
    <s v="September"/>
    <x v="8"/>
    <s v="Vegetables"/>
    <n v="154"/>
    <x v="0"/>
  </r>
  <r>
    <s v="Rural"/>
    <n v="2013"/>
    <s v="September"/>
    <x v="8"/>
    <s v="Pulses and products"/>
    <n v="108.1"/>
    <x v="0"/>
  </r>
  <r>
    <s v="Rural"/>
    <n v="2013"/>
    <s v="September"/>
    <x v="8"/>
    <s v="Sugar and Confectionery"/>
    <n v="104.2"/>
    <x v="0"/>
  </r>
  <r>
    <s v="Rural"/>
    <n v="2013"/>
    <s v="September"/>
    <x v="8"/>
    <s v="Spices"/>
    <n v="107.9"/>
    <x v="0"/>
  </r>
  <r>
    <s v="Rural"/>
    <n v="2013"/>
    <s v="September"/>
    <x v="8"/>
    <s v="Non-alcoholic beverages"/>
    <n v="110.4"/>
    <x v="0"/>
  </r>
  <r>
    <s v="Rural"/>
    <n v="2013"/>
    <s v="September"/>
    <x v="8"/>
    <s v="Prepared meals, snacks, sweets etc."/>
    <n v="114"/>
    <x v="0"/>
  </r>
  <r>
    <s v="Rural"/>
    <n v="2013"/>
    <s v="September"/>
    <x v="8"/>
    <s v="Food and beverages"/>
    <n v="117.8"/>
    <x v="0"/>
  </r>
  <r>
    <s v="Rural"/>
    <n v="2013"/>
    <s v="September"/>
    <x v="8"/>
    <s v="Pan, tobacco and intoxicants"/>
    <n v="111.7"/>
    <x v="1"/>
  </r>
  <r>
    <s v="Rural"/>
    <n v="2013"/>
    <s v="September"/>
    <x v="8"/>
    <s v="Clothing"/>
    <n v="112.7"/>
    <x v="2"/>
  </r>
  <r>
    <s v="Rural"/>
    <n v="2013"/>
    <s v="September"/>
    <x v="8"/>
    <s v="Footwear"/>
    <n v="111.4"/>
    <x v="2"/>
  </r>
  <r>
    <s v="Rural"/>
    <n v="2013"/>
    <s v="September"/>
    <x v="8"/>
    <s v="Clothing and footwear"/>
    <n v="112.5"/>
    <x v="2"/>
  </r>
  <r>
    <s v="Rural"/>
    <n v="2013"/>
    <s v="September"/>
    <x v="8"/>
    <s v="Fuel and light"/>
    <n v="111.1"/>
    <x v="3"/>
  </r>
  <r>
    <s v="Rural"/>
    <n v="2013"/>
    <s v="September"/>
    <x v="8"/>
    <s v="Household goods and services"/>
    <n v="109.6"/>
    <x v="4"/>
  </r>
  <r>
    <s v="Rural"/>
    <n v="2013"/>
    <s v="September"/>
    <x v="8"/>
    <s v="Health"/>
    <n v="108.3"/>
    <x v="5"/>
  </r>
  <r>
    <s v="Rural"/>
    <n v="2013"/>
    <s v="September"/>
    <x v="8"/>
    <s v="Transport and communication"/>
    <n v="109.3"/>
    <x v="6"/>
  </r>
  <r>
    <s v="Rural"/>
    <n v="2013"/>
    <s v="September"/>
    <x v="8"/>
    <s v="Recreation and amusement"/>
    <n v="107.7"/>
    <x v="1"/>
  </r>
  <r>
    <s v="Rural"/>
    <n v="2013"/>
    <s v="September"/>
    <x v="8"/>
    <s v="Education"/>
    <n v="109.8"/>
    <x v="7"/>
  </r>
  <r>
    <s v="Rural"/>
    <n v="2013"/>
    <s v="September"/>
    <x v="8"/>
    <s v="Personal care and effects"/>
    <n v="106.7"/>
    <x v="4"/>
  </r>
  <r>
    <s v="Rural"/>
    <n v="2013"/>
    <s v="September"/>
    <x v="8"/>
    <s v="Miscellaneous"/>
    <n v="108.7"/>
    <x v="8"/>
  </r>
  <r>
    <s v="Rural"/>
    <n v="2013"/>
    <s v="September"/>
    <x v="8"/>
    <s v="General index"/>
    <n v="114.2"/>
    <x v="9"/>
  </r>
  <r>
    <s v="Urban"/>
    <n v="2013"/>
    <s v="September"/>
    <x v="8"/>
    <s v="Cereals and products"/>
    <n v="118.6"/>
    <x v="0"/>
  </r>
  <r>
    <s v="Urban"/>
    <n v="2013"/>
    <s v="September"/>
    <x v="8"/>
    <s v="Meat and fish"/>
    <n v="119.1"/>
    <x v="0"/>
  </r>
  <r>
    <s v="Urban"/>
    <n v="2013"/>
    <s v="September"/>
    <x v="8"/>
    <s v="Egg"/>
    <n v="113.2"/>
    <x v="0"/>
  </r>
  <r>
    <s v="Urban"/>
    <n v="2013"/>
    <s v="September"/>
    <x v="8"/>
    <s v="Milk and products"/>
    <n v="109.6"/>
    <x v="0"/>
  </r>
  <r>
    <s v="Urban"/>
    <n v="2013"/>
    <s v="September"/>
    <x v="8"/>
    <s v="Oils and fats"/>
    <n v="101.7"/>
    <x v="0"/>
  </r>
  <r>
    <s v="Urban"/>
    <n v="2013"/>
    <s v="September"/>
    <x v="8"/>
    <s v="Fruits"/>
    <n v="103.2"/>
    <x v="0"/>
  </r>
  <r>
    <s v="Urban"/>
    <n v="2013"/>
    <s v="September"/>
    <x v="8"/>
    <s v="Vegetables"/>
    <n v="174.3"/>
    <x v="0"/>
  </r>
  <r>
    <s v="Urban"/>
    <n v="2013"/>
    <s v="September"/>
    <x v="8"/>
    <s v="Pulses and products"/>
    <n v="105.1"/>
    <x v="0"/>
  </r>
  <r>
    <s v="Urban"/>
    <n v="2013"/>
    <s v="September"/>
    <x v="8"/>
    <s v="Sugar and Confectionery"/>
    <n v="100.8"/>
    <x v="0"/>
  </r>
  <r>
    <s v="Urban"/>
    <n v="2013"/>
    <s v="September"/>
    <x v="8"/>
    <s v="Spices"/>
    <n v="109.1"/>
    <x v="0"/>
  </r>
  <r>
    <s v="Urban"/>
    <n v="2013"/>
    <s v="September"/>
    <x v="8"/>
    <s v="Non-alcoholic beverages"/>
    <n v="111.1"/>
    <x v="0"/>
  </r>
  <r>
    <s v="Urban"/>
    <n v="2013"/>
    <s v="September"/>
    <x v="8"/>
    <s v="Prepared meals, snacks, sweets etc."/>
    <n v="115.4"/>
    <x v="0"/>
  </r>
  <r>
    <s v="Urban"/>
    <n v="2013"/>
    <s v="September"/>
    <x v="8"/>
    <s v="Food and beverages"/>
    <n v="119.2"/>
    <x v="0"/>
  </r>
  <r>
    <s v="Urban"/>
    <n v="2013"/>
    <s v="September"/>
    <x v="8"/>
    <s v="Pan, tobacco and intoxicants"/>
    <n v="112.9"/>
    <x v="1"/>
  </r>
  <r>
    <s v="Urban"/>
    <n v="2013"/>
    <s v="September"/>
    <x v="8"/>
    <s v="Clothing"/>
    <n v="111.4"/>
    <x v="2"/>
  </r>
  <r>
    <s v="Urban"/>
    <n v="2013"/>
    <s v="September"/>
    <x v="8"/>
    <s v="Footwear"/>
    <n v="109"/>
    <x v="2"/>
  </r>
  <r>
    <s v="Urban"/>
    <n v="2013"/>
    <s v="September"/>
    <x v="8"/>
    <s v="Clothing and footwear"/>
    <n v="111.1"/>
    <x v="2"/>
  </r>
  <r>
    <s v="Urban"/>
    <n v="2013"/>
    <s v="September"/>
    <x v="8"/>
    <s v="Housing"/>
    <n v="109.7"/>
    <x v="10"/>
  </r>
  <r>
    <s v="Urban"/>
    <n v="2013"/>
    <s v="September"/>
    <x v="8"/>
    <s v="Fuel and light"/>
    <n v="109.5"/>
    <x v="3"/>
  </r>
  <r>
    <s v="Urban"/>
    <n v="2013"/>
    <s v="September"/>
    <x v="8"/>
    <s v="Household goods and services"/>
    <n v="109.6"/>
    <x v="4"/>
  </r>
  <r>
    <s v="Urban"/>
    <n v="2013"/>
    <s v="September"/>
    <x v="8"/>
    <s v="Health"/>
    <n v="107.9"/>
    <x v="5"/>
  </r>
  <r>
    <s v="Urban"/>
    <n v="2013"/>
    <s v="September"/>
    <x v="8"/>
    <s v="Transport and communication"/>
    <n v="110.4"/>
    <x v="6"/>
  </r>
  <r>
    <s v="Urban"/>
    <n v="2013"/>
    <s v="September"/>
    <x v="8"/>
    <s v="Recreation and amusement"/>
    <n v="107.4"/>
    <x v="1"/>
  </r>
  <r>
    <s v="Urban"/>
    <n v="2013"/>
    <s v="September"/>
    <x v="8"/>
    <s v="Education"/>
    <n v="111.2"/>
    <x v="7"/>
  </r>
  <r>
    <s v="Urban"/>
    <n v="2013"/>
    <s v="September"/>
    <x v="8"/>
    <s v="Personal care and effects"/>
    <n v="106.9"/>
    <x v="4"/>
  </r>
  <r>
    <s v="Urban"/>
    <n v="2013"/>
    <s v="September"/>
    <x v="8"/>
    <s v="Miscellaneous"/>
    <n v="109.4"/>
    <x v="8"/>
  </r>
  <r>
    <s v="Urban"/>
    <n v="2013"/>
    <s v="September"/>
    <x v="8"/>
    <s v="General index"/>
    <n v="113.2"/>
    <x v="9"/>
  </r>
  <r>
    <s v="Rural+Urban"/>
    <n v="2013"/>
    <s v="September"/>
    <x v="8"/>
    <s v="Cereals and products"/>
    <n v="116.4"/>
    <x v="0"/>
  </r>
  <r>
    <s v="Rural+Urban"/>
    <n v="2013"/>
    <s v="September"/>
    <x v="8"/>
    <s v="Meat and fish"/>
    <n v="116.9"/>
    <x v="0"/>
  </r>
  <r>
    <s v="Rural+Urban"/>
    <n v="2013"/>
    <s v="September"/>
    <x v="8"/>
    <s v="Egg"/>
    <n v="112.3"/>
    <x v="0"/>
  </r>
  <r>
    <s v="Rural+Urban"/>
    <n v="2013"/>
    <s v="September"/>
    <x v="8"/>
    <s v="Milk and products"/>
    <n v="110.5"/>
    <x v="0"/>
  </r>
  <r>
    <s v="Rural+Urban"/>
    <n v="2013"/>
    <s v="September"/>
    <x v="8"/>
    <s v="Oils and fats"/>
    <n v="105.3"/>
    <x v="0"/>
  </r>
  <r>
    <s v="Rural+Urban"/>
    <n v="2013"/>
    <s v="September"/>
    <x v="8"/>
    <s v="Fruits"/>
    <n v="107.3"/>
    <x v="0"/>
  </r>
  <r>
    <s v="Rural+Urban"/>
    <n v="2013"/>
    <s v="September"/>
    <x v="8"/>
    <s v="Vegetables"/>
    <n v="160.9"/>
    <x v="0"/>
  </r>
  <r>
    <s v="Rural+Urban"/>
    <n v="2013"/>
    <s v="September"/>
    <x v="8"/>
    <s v="Pulses and products"/>
    <n v="107.1"/>
    <x v="0"/>
  </r>
  <r>
    <s v="Rural+Urban"/>
    <n v="2013"/>
    <s v="September"/>
    <x v="8"/>
    <s v="Sugar and Confectionery"/>
    <n v="103.1"/>
    <x v="0"/>
  </r>
  <r>
    <s v="Rural+Urban"/>
    <n v="2013"/>
    <s v="September"/>
    <x v="8"/>
    <s v="Spices"/>
    <n v="108.3"/>
    <x v="0"/>
  </r>
  <r>
    <s v="Rural+Urban"/>
    <n v="2013"/>
    <s v="September"/>
    <x v="8"/>
    <s v="Non-alcoholic beverages"/>
    <n v="110.7"/>
    <x v="0"/>
  </r>
  <r>
    <s v="Rural+Urban"/>
    <n v="2013"/>
    <s v="September"/>
    <x v="8"/>
    <s v="Prepared meals, snacks, sweets etc."/>
    <n v="114.6"/>
    <x v="0"/>
  </r>
  <r>
    <s v="Rural+Urban"/>
    <n v="2013"/>
    <s v="September"/>
    <x v="8"/>
    <s v="Food and beverages"/>
    <n v="118.3"/>
    <x v="0"/>
  </r>
  <r>
    <s v="Rural+Urban"/>
    <n v="2013"/>
    <s v="September"/>
    <x v="8"/>
    <s v="Pan, tobacco and intoxicants"/>
    <n v="112"/>
    <x v="1"/>
  </r>
  <r>
    <s v="Rural+Urban"/>
    <n v="2013"/>
    <s v="September"/>
    <x v="8"/>
    <s v="Clothing"/>
    <n v="112.2"/>
    <x v="2"/>
  </r>
  <r>
    <s v="Rural+Urban"/>
    <n v="2013"/>
    <s v="September"/>
    <x v="8"/>
    <s v="Footwear"/>
    <n v="110.4"/>
    <x v="2"/>
  </r>
  <r>
    <s v="Rural+Urban"/>
    <n v="2013"/>
    <s v="September"/>
    <x v="8"/>
    <s v="Clothing and footwear"/>
    <n v="111.9"/>
    <x v="2"/>
  </r>
  <r>
    <s v="Rural+Urban"/>
    <n v="2013"/>
    <s v="September"/>
    <x v="8"/>
    <s v="Housing"/>
    <n v="109.7"/>
    <x v="10"/>
  </r>
  <r>
    <s v="Rural+Urban"/>
    <n v="2013"/>
    <s v="September"/>
    <x v="8"/>
    <s v="Fuel and light"/>
    <n v="110.5"/>
    <x v="3"/>
  </r>
  <r>
    <s v="Rural+Urban"/>
    <n v="2013"/>
    <s v="September"/>
    <x v="8"/>
    <s v="Household goods and services"/>
    <n v="109.6"/>
    <x v="4"/>
  </r>
  <r>
    <s v="Rural+Urban"/>
    <n v="2013"/>
    <s v="September"/>
    <x v="8"/>
    <s v="Health"/>
    <n v="108.1"/>
    <x v="5"/>
  </r>
  <r>
    <s v="Rural+Urban"/>
    <n v="2013"/>
    <s v="September"/>
    <x v="8"/>
    <s v="Transport and communication"/>
    <n v="109.9"/>
    <x v="6"/>
  </r>
  <r>
    <s v="Rural+Urban"/>
    <n v="2013"/>
    <s v="September"/>
    <x v="8"/>
    <s v="Recreation and amusement"/>
    <n v="107.5"/>
    <x v="1"/>
  </r>
  <r>
    <s v="Rural+Urban"/>
    <n v="2013"/>
    <s v="September"/>
    <x v="8"/>
    <s v="Education"/>
    <n v="110.6"/>
    <x v="7"/>
  </r>
  <r>
    <s v="Rural+Urban"/>
    <n v="2013"/>
    <s v="September"/>
    <x v="8"/>
    <s v="Personal care and effects"/>
    <n v="106.8"/>
    <x v="4"/>
  </r>
  <r>
    <s v="Rural+Urban"/>
    <n v="2013"/>
    <s v="September"/>
    <x v="8"/>
    <s v="Miscellaneous"/>
    <n v="109"/>
    <x v="8"/>
  </r>
  <r>
    <s v="Rural+Urban"/>
    <n v="2013"/>
    <s v="September"/>
    <x v="8"/>
    <s v="General index"/>
    <n v="113.7"/>
    <x v="9"/>
  </r>
  <r>
    <s v="Rural"/>
    <n v="2013"/>
    <s v="October"/>
    <x v="9"/>
    <s v="Cereals and products"/>
    <n v="116.3"/>
    <x v="0"/>
  </r>
  <r>
    <s v="Rural"/>
    <n v="2013"/>
    <s v="October"/>
    <x v="9"/>
    <s v="Meat and fish"/>
    <n v="115.4"/>
    <x v="0"/>
  </r>
  <r>
    <s v="Rural"/>
    <n v="2013"/>
    <s v="October"/>
    <x v="9"/>
    <s v="Egg"/>
    <n v="112.6"/>
    <x v="0"/>
  </r>
  <r>
    <s v="Rural"/>
    <n v="2013"/>
    <s v="October"/>
    <x v="9"/>
    <s v="Milk and products"/>
    <n v="111.7"/>
    <x v="0"/>
  </r>
  <r>
    <s v="Rural"/>
    <n v="2013"/>
    <s v="October"/>
    <x v="9"/>
    <s v="Oils and fats"/>
    <n v="107.7"/>
    <x v="0"/>
  </r>
  <r>
    <s v="Rural"/>
    <n v="2013"/>
    <s v="October"/>
    <x v="9"/>
    <s v="Fruits"/>
    <n v="113.2"/>
    <x v="0"/>
  </r>
  <r>
    <s v="Rural"/>
    <n v="2013"/>
    <s v="October"/>
    <x v="9"/>
    <s v="Vegetables"/>
    <n v="164.9"/>
    <x v="0"/>
  </r>
  <r>
    <s v="Rural"/>
    <n v="2013"/>
    <s v="October"/>
    <x v="9"/>
    <s v="Pulses and products"/>
    <n v="108.3"/>
    <x v="0"/>
  </r>
  <r>
    <s v="Rural"/>
    <n v="2013"/>
    <s v="October"/>
    <x v="9"/>
    <s v="Sugar and Confectionery"/>
    <n v="103.9"/>
    <x v="0"/>
  </r>
  <r>
    <s v="Rural"/>
    <n v="2013"/>
    <s v="October"/>
    <x v="9"/>
    <s v="Spices"/>
    <n v="108.2"/>
    <x v="0"/>
  </r>
  <r>
    <s v="Rural"/>
    <n v="2013"/>
    <s v="October"/>
    <x v="9"/>
    <s v="Non-alcoholic beverages"/>
    <n v="111.1"/>
    <x v="0"/>
  </r>
  <r>
    <s v="Rural"/>
    <n v="2013"/>
    <s v="October"/>
    <x v="9"/>
    <s v="Prepared meals, snacks, sweets etc."/>
    <n v="114.9"/>
    <x v="0"/>
  </r>
  <r>
    <s v="Rural"/>
    <n v="2013"/>
    <s v="October"/>
    <x v="9"/>
    <s v="Food and beverages"/>
    <n v="119.8"/>
    <x v="0"/>
  </r>
  <r>
    <s v="Rural"/>
    <n v="2013"/>
    <s v="October"/>
    <x v="9"/>
    <s v="Pan, tobacco and intoxicants"/>
    <n v="112.2"/>
    <x v="1"/>
  </r>
  <r>
    <s v="Rural"/>
    <n v="2013"/>
    <s v="October"/>
    <x v="9"/>
    <s v="Clothing"/>
    <n v="113.6"/>
    <x v="2"/>
  </r>
  <r>
    <s v="Rural"/>
    <n v="2013"/>
    <s v="October"/>
    <x v="9"/>
    <s v="Footwear"/>
    <n v="112.3"/>
    <x v="2"/>
  </r>
  <r>
    <s v="Rural"/>
    <n v="2013"/>
    <s v="October"/>
    <x v="9"/>
    <s v="Clothing and footwear"/>
    <n v="113.4"/>
    <x v="2"/>
  </r>
  <r>
    <s v="Rural"/>
    <n v="2013"/>
    <s v="October"/>
    <x v="9"/>
    <s v="Fuel and light"/>
    <n v="111.6"/>
    <x v="3"/>
  </r>
  <r>
    <s v="Rural"/>
    <n v="2013"/>
    <s v="October"/>
    <x v="9"/>
    <s v="Household goods and services"/>
    <n v="110.4"/>
    <x v="4"/>
  </r>
  <r>
    <s v="Rural"/>
    <n v="2013"/>
    <s v="October"/>
    <x v="9"/>
    <s v="Health"/>
    <n v="108.9"/>
    <x v="5"/>
  </r>
  <r>
    <s v="Rural"/>
    <n v="2013"/>
    <s v="October"/>
    <x v="9"/>
    <s v="Transport and communication"/>
    <n v="109.3"/>
    <x v="6"/>
  </r>
  <r>
    <s v="Rural"/>
    <n v="2013"/>
    <s v="October"/>
    <x v="9"/>
    <s v="Recreation and amusement"/>
    <n v="108.3"/>
    <x v="1"/>
  </r>
  <r>
    <s v="Rural"/>
    <n v="2013"/>
    <s v="October"/>
    <x v="9"/>
    <s v="Education"/>
    <n v="110.2"/>
    <x v="7"/>
  </r>
  <r>
    <s v="Rural"/>
    <n v="2013"/>
    <s v="October"/>
    <x v="9"/>
    <s v="Personal care and effects"/>
    <n v="107.5"/>
    <x v="4"/>
  </r>
  <r>
    <s v="Rural"/>
    <n v="2013"/>
    <s v="October"/>
    <x v="9"/>
    <s v="Miscellaneous"/>
    <n v="109.1"/>
    <x v="8"/>
  </r>
  <r>
    <s v="Rural"/>
    <n v="2013"/>
    <s v="October"/>
    <x v="9"/>
    <s v="General index"/>
    <n v="115.5"/>
    <x v="9"/>
  </r>
  <r>
    <s v="Urban"/>
    <n v="2013"/>
    <s v="October"/>
    <x v="9"/>
    <s v="Cereals and products"/>
    <n v="118.9"/>
    <x v="0"/>
  </r>
  <r>
    <s v="Urban"/>
    <n v="2013"/>
    <s v="October"/>
    <x v="9"/>
    <s v="Meat and fish"/>
    <n v="118.1"/>
    <x v="0"/>
  </r>
  <r>
    <s v="Urban"/>
    <n v="2013"/>
    <s v="October"/>
    <x v="9"/>
    <s v="Egg"/>
    <n v="114.5"/>
    <x v="0"/>
  </r>
  <r>
    <s v="Urban"/>
    <n v="2013"/>
    <s v="October"/>
    <x v="9"/>
    <s v="Milk and products"/>
    <n v="110.4"/>
    <x v="0"/>
  </r>
  <r>
    <s v="Urban"/>
    <n v="2013"/>
    <s v="October"/>
    <x v="9"/>
    <s v="Oils and fats"/>
    <n v="102.3"/>
    <x v="0"/>
  </r>
  <r>
    <s v="Urban"/>
    <n v="2013"/>
    <s v="October"/>
    <x v="9"/>
    <s v="Fruits"/>
    <n v="106.2"/>
    <x v="0"/>
  </r>
  <r>
    <s v="Urban"/>
    <n v="2013"/>
    <s v="October"/>
    <x v="9"/>
    <s v="Vegetables"/>
    <n v="183.5"/>
    <x v="0"/>
  </r>
  <r>
    <s v="Urban"/>
    <n v="2013"/>
    <s v="October"/>
    <x v="9"/>
    <s v="Pulses and products"/>
    <n v="105.3"/>
    <x v="0"/>
  </r>
  <r>
    <s v="Urban"/>
    <n v="2013"/>
    <s v="October"/>
    <x v="9"/>
    <s v="Sugar and Confectionery"/>
    <n v="100.2"/>
    <x v="0"/>
  </r>
  <r>
    <s v="Urban"/>
    <n v="2013"/>
    <s v="October"/>
    <x v="9"/>
    <s v="Spices"/>
    <n v="109.6"/>
    <x v="0"/>
  </r>
  <r>
    <s v="Urban"/>
    <n v="2013"/>
    <s v="October"/>
    <x v="9"/>
    <s v="Non-alcoholic beverages"/>
    <n v="111.4"/>
    <x v="0"/>
  </r>
  <r>
    <s v="Urban"/>
    <n v="2013"/>
    <s v="October"/>
    <x v="9"/>
    <s v="Prepared meals, snacks, sweets etc."/>
    <n v="116"/>
    <x v="0"/>
  </r>
  <r>
    <s v="Urban"/>
    <n v="2013"/>
    <s v="October"/>
    <x v="9"/>
    <s v="Food and beverages"/>
    <n v="120.8"/>
    <x v="0"/>
  </r>
  <r>
    <s v="Urban"/>
    <n v="2013"/>
    <s v="October"/>
    <x v="9"/>
    <s v="Pan, tobacco and intoxicants"/>
    <n v="113.5"/>
    <x v="1"/>
  </r>
  <r>
    <s v="Urban"/>
    <n v="2013"/>
    <s v="October"/>
    <x v="9"/>
    <s v="Clothing"/>
    <n v="112.5"/>
    <x v="2"/>
  </r>
  <r>
    <s v="Urban"/>
    <n v="2013"/>
    <s v="October"/>
    <x v="9"/>
    <s v="Footwear"/>
    <n v="109.7"/>
    <x v="2"/>
  </r>
  <r>
    <s v="Urban"/>
    <n v="2013"/>
    <s v="October"/>
    <x v="9"/>
    <s v="Clothing and footwear"/>
    <n v="112"/>
    <x v="2"/>
  </r>
  <r>
    <s v="Urban"/>
    <n v="2013"/>
    <s v="October"/>
    <x v="9"/>
    <s v="Housing"/>
    <n v="110.5"/>
    <x v="10"/>
  </r>
  <r>
    <s v="Urban"/>
    <n v="2013"/>
    <s v="October"/>
    <x v="9"/>
    <s v="Fuel and light"/>
    <n v="109.7"/>
    <x v="3"/>
  </r>
  <r>
    <s v="Urban"/>
    <n v="2013"/>
    <s v="October"/>
    <x v="9"/>
    <s v="Household goods and services"/>
    <n v="110.2"/>
    <x v="4"/>
  </r>
  <r>
    <s v="Urban"/>
    <n v="2013"/>
    <s v="October"/>
    <x v="9"/>
    <s v="Health"/>
    <n v="108.2"/>
    <x v="5"/>
  </r>
  <r>
    <s v="Urban"/>
    <n v="2013"/>
    <s v="October"/>
    <x v="9"/>
    <s v="Transport and communication"/>
    <n v="109.7"/>
    <x v="6"/>
  </r>
  <r>
    <s v="Urban"/>
    <n v="2013"/>
    <s v="October"/>
    <x v="9"/>
    <s v="Recreation and amusement"/>
    <n v="108"/>
    <x v="1"/>
  </r>
  <r>
    <s v="Urban"/>
    <n v="2013"/>
    <s v="October"/>
    <x v="9"/>
    <s v="Education"/>
    <n v="111.3"/>
    <x v="7"/>
  </r>
  <r>
    <s v="Urban"/>
    <n v="2013"/>
    <s v="October"/>
    <x v="9"/>
    <s v="Personal care and effects"/>
    <n v="107.3"/>
    <x v="4"/>
  </r>
  <r>
    <s v="Urban"/>
    <n v="2013"/>
    <s v="October"/>
    <x v="9"/>
    <s v="Miscellaneous"/>
    <n v="109.4"/>
    <x v="8"/>
  </r>
  <r>
    <s v="Urban"/>
    <n v="2013"/>
    <s v="October"/>
    <x v="9"/>
    <s v="General index"/>
    <n v="114"/>
    <x v="9"/>
  </r>
  <r>
    <s v="Rural+Urban"/>
    <n v="2013"/>
    <s v="October"/>
    <x v="9"/>
    <s v="Cereals and products"/>
    <n v="117.1"/>
    <x v="0"/>
  </r>
  <r>
    <s v="Rural+Urban"/>
    <n v="2013"/>
    <s v="October"/>
    <x v="9"/>
    <s v="Meat and fish"/>
    <n v="116.3"/>
    <x v="0"/>
  </r>
  <r>
    <s v="Rural+Urban"/>
    <n v="2013"/>
    <s v="October"/>
    <x v="9"/>
    <s v="Egg"/>
    <n v="113.3"/>
    <x v="0"/>
  </r>
  <r>
    <s v="Rural+Urban"/>
    <n v="2013"/>
    <s v="October"/>
    <x v="9"/>
    <s v="Milk and products"/>
    <n v="111.2"/>
    <x v="0"/>
  </r>
  <r>
    <s v="Rural+Urban"/>
    <n v="2013"/>
    <s v="October"/>
    <x v="9"/>
    <s v="Oils and fats"/>
    <n v="105.7"/>
    <x v="0"/>
  </r>
  <r>
    <s v="Rural+Urban"/>
    <n v="2013"/>
    <s v="October"/>
    <x v="9"/>
    <s v="Fruits"/>
    <n v="109.9"/>
    <x v="0"/>
  </r>
  <r>
    <s v="Rural+Urban"/>
    <n v="2013"/>
    <s v="October"/>
    <x v="9"/>
    <s v="Vegetables"/>
    <n v="171.2"/>
    <x v="0"/>
  </r>
  <r>
    <s v="Rural+Urban"/>
    <n v="2013"/>
    <s v="October"/>
    <x v="9"/>
    <s v="Pulses and products"/>
    <n v="107.3"/>
    <x v="0"/>
  </r>
  <r>
    <s v="Rural+Urban"/>
    <n v="2013"/>
    <s v="October"/>
    <x v="9"/>
    <s v="Sugar and Confectionery"/>
    <n v="102.7"/>
    <x v="0"/>
  </r>
  <r>
    <s v="Rural+Urban"/>
    <n v="2013"/>
    <s v="October"/>
    <x v="9"/>
    <s v="Spices"/>
    <n v="108.7"/>
    <x v="0"/>
  </r>
  <r>
    <s v="Rural+Urban"/>
    <n v="2013"/>
    <s v="October"/>
    <x v="9"/>
    <s v="Non-alcoholic beverages"/>
    <n v="111.2"/>
    <x v="0"/>
  </r>
  <r>
    <s v="Rural+Urban"/>
    <n v="2013"/>
    <s v="October"/>
    <x v="9"/>
    <s v="Prepared meals, snacks, sweets etc."/>
    <n v="115.4"/>
    <x v="0"/>
  </r>
  <r>
    <s v="Rural+Urban"/>
    <n v="2013"/>
    <s v="October"/>
    <x v="9"/>
    <s v="Food and beverages"/>
    <n v="120.2"/>
    <x v="0"/>
  </r>
  <r>
    <s v="Rural+Urban"/>
    <n v="2013"/>
    <s v="October"/>
    <x v="9"/>
    <s v="Pan, tobacco and intoxicants"/>
    <n v="112.5"/>
    <x v="1"/>
  </r>
  <r>
    <s v="Rural+Urban"/>
    <n v="2013"/>
    <s v="October"/>
    <x v="9"/>
    <s v="Clothing"/>
    <n v="113.2"/>
    <x v="2"/>
  </r>
  <r>
    <s v="Rural+Urban"/>
    <n v="2013"/>
    <s v="October"/>
    <x v="9"/>
    <s v="Footwear"/>
    <n v="111.2"/>
    <x v="2"/>
  </r>
  <r>
    <s v="Rural+Urban"/>
    <n v="2013"/>
    <s v="October"/>
    <x v="9"/>
    <s v="Clothing and footwear"/>
    <n v="112.8"/>
    <x v="2"/>
  </r>
  <r>
    <s v="Rural+Urban"/>
    <n v="2013"/>
    <s v="October"/>
    <x v="9"/>
    <s v="Housing"/>
    <n v="110.5"/>
    <x v="10"/>
  </r>
  <r>
    <s v="Rural+Urban"/>
    <n v="2013"/>
    <s v="October"/>
    <x v="9"/>
    <s v="Fuel and light"/>
    <n v="110.9"/>
    <x v="3"/>
  </r>
  <r>
    <s v="Rural+Urban"/>
    <n v="2013"/>
    <s v="October"/>
    <x v="9"/>
    <s v="Household goods and services"/>
    <n v="110.3"/>
    <x v="4"/>
  </r>
  <r>
    <s v="Rural+Urban"/>
    <n v="2013"/>
    <s v="October"/>
    <x v="9"/>
    <s v="Health"/>
    <n v="108.6"/>
    <x v="5"/>
  </r>
  <r>
    <s v="Rural+Urban"/>
    <n v="2013"/>
    <s v="October"/>
    <x v="9"/>
    <s v="Transport and communication"/>
    <n v="109.5"/>
    <x v="6"/>
  </r>
  <r>
    <s v="Rural+Urban"/>
    <n v="2013"/>
    <s v="October"/>
    <x v="9"/>
    <s v="Recreation and amusement"/>
    <n v="108.1"/>
    <x v="1"/>
  </r>
  <r>
    <s v="Rural+Urban"/>
    <n v="2013"/>
    <s v="October"/>
    <x v="9"/>
    <s v="Education"/>
    <n v="110.8"/>
    <x v="7"/>
  </r>
  <r>
    <s v="Rural+Urban"/>
    <n v="2013"/>
    <s v="October"/>
    <x v="9"/>
    <s v="Personal care and effects"/>
    <n v="107.4"/>
    <x v="4"/>
  </r>
  <r>
    <s v="Rural+Urban"/>
    <n v="2013"/>
    <s v="October"/>
    <x v="9"/>
    <s v="Miscellaneous"/>
    <n v="109.2"/>
    <x v="8"/>
  </r>
  <r>
    <s v="Rural+Urban"/>
    <n v="2013"/>
    <s v="October"/>
    <x v="9"/>
    <s v="General index"/>
    <n v="114.8"/>
    <x v="9"/>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m/>
    <m/>
    <m/>
    <x v="10"/>
    <m/>
    <m/>
    <x v="11"/>
  </r>
  <r>
    <s v="Urban"/>
    <n v="2013"/>
    <s v="November"/>
    <x v="11"/>
    <s v="Cereals and products"/>
    <n v="119.8"/>
    <x v="0"/>
  </r>
  <r>
    <s v="Urban"/>
    <n v="2013"/>
    <s v="November"/>
    <x v="11"/>
    <s v="Meat and fish"/>
    <n v="116.3"/>
    <x v="0"/>
  </r>
  <r>
    <s v="Urban"/>
    <n v="2013"/>
    <s v="November"/>
    <x v="11"/>
    <s v="Egg"/>
    <n v="122.6"/>
    <x v="0"/>
  </r>
  <r>
    <s v="Urban"/>
    <n v="2013"/>
    <s v="November"/>
    <x v="11"/>
    <s v="Milk and products"/>
    <n v="112"/>
    <x v="0"/>
  </r>
  <r>
    <s v="Urban"/>
    <n v="2013"/>
    <s v="November"/>
    <x v="11"/>
    <s v="Oils and fats"/>
    <n v="103.2"/>
    <x v="0"/>
  </r>
  <r>
    <s v="Urban"/>
    <n v="2013"/>
    <s v="November"/>
    <x v="11"/>
    <s v="Fruits"/>
    <n v="110"/>
    <x v="0"/>
  </r>
  <r>
    <s v="Urban"/>
    <n v="2013"/>
    <s v="November"/>
    <x v="11"/>
    <s v="Vegetables"/>
    <n v="192.8"/>
    <x v="0"/>
  </r>
  <r>
    <s v="Urban"/>
    <n v="2013"/>
    <s v="November"/>
    <x v="11"/>
    <s v="Pulses and products"/>
    <n v="106.3"/>
    <x v="0"/>
  </r>
  <r>
    <s v="Urban"/>
    <n v="2013"/>
    <s v="November"/>
    <x v="11"/>
    <s v="Sugar and Confectionery"/>
    <n v="99.5"/>
    <x v="0"/>
  </r>
  <r>
    <s v="Urban"/>
    <n v="2013"/>
    <s v="November"/>
    <x v="11"/>
    <s v="Spices"/>
    <n v="110.3"/>
    <x v="0"/>
  </r>
  <r>
    <s v="Urban"/>
    <n v="2013"/>
    <s v="November"/>
    <x v="11"/>
    <s v="Non-alcoholic beverages"/>
    <n v="111.8"/>
    <x v="0"/>
  </r>
  <r>
    <s v="Urban"/>
    <n v="2013"/>
    <s v="November"/>
    <x v="11"/>
    <s v="Prepared meals, snacks, sweets etc."/>
    <n v="117.1"/>
    <x v="0"/>
  </r>
  <r>
    <s v="Urban"/>
    <n v="2013"/>
    <s v="November"/>
    <x v="11"/>
    <s v="Food and beverages"/>
    <n v="122.9"/>
    <x v="0"/>
  </r>
  <r>
    <s v="Urban"/>
    <n v="2013"/>
    <s v="November"/>
    <x v="11"/>
    <s v="Pan, tobacco and intoxicants"/>
    <n v="114.1"/>
    <x v="1"/>
  </r>
  <r>
    <s v="Urban"/>
    <n v="2013"/>
    <s v="November"/>
    <x v="11"/>
    <s v="Clothing"/>
    <n v="113.5"/>
    <x v="2"/>
  </r>
  <r>
    <s v="Urban"/>
    <n v="2013"/>
    <s v="November"/>
    <x v="11"/>
    <s v="Footwear"/>
    <n v="110.3"/>
    <x v="2"/>
  </r>
  <r>
    <s v="Urban"/>
    <n v="2013"/>
    <s v="November"/>
    <x v="11"/>
    <s v="Clothing and footwear"/>
    <n v="113"/>
    <x v="2"/>
  </r>
  <r>
    <s v="Urban"/>
    <n v="2013"/>
    <s v="November"/>
    <x v="11"/>
    <s v="Housing"/>
    <n v="111.1"/>
    <x v="10"/>
  </r>
  <r>
    <s v="Urban"/>
    <n v="2013"/>
    <s v="November"/>
    <x v="11"/>
    <s v="Fuel and light"/>
    <n v="110"/>
    <x v="3"/>
  </r>
  <r>
    <s v="Urban"/>
    <n v="2013"/>
    <s v="November"/>
    <x v="11"/>
    <s v="Household goods and services"/>
    <n v="110.9"/>
    <x v="4"/>
  </r>
  <r>
    <s v="Urban"/>
    <n v="2013"/>
    <s v="November"/>
    <x v="11"/>
    <s v="Health"/>
    <n v="108.6"/>
    <x v="5"/>
  </r>
  <r>
    <s v="Urban"/>
    <n v="2013"/>
    <s v="November"/>
    <x v="11"/>
    <s v="Transport and communication"/>
    <n v="109.5"/>
    <x v="6"/>
  </r>
  <r>
    <s v="Urban"/>
    <n v="2013"/>
    <s v="November"/>
    <x v="11"/>
    <s v="Recreation and amusement"/>
    <n v="108.5"/>
    <x v="1"/>
  </r>
  <r>
    <s v="Urban"/>
    <n v="2013"/>
    <s v="November"/>
    <x v="11"/>
    <s v="Education"/>
    <n v="111.3"/>
    <x v="7"/>
  </r>
  <r>
    <s v="Urban"/>
    <n v="2013"/>
    <s v="November"/>
    <x v="11"/>
    <s v="Personal care and effects"/>
    <n v="107.9"/>
    <x v="4"/>
  </r>
  <r>
    <s v="Urban"/>
    <n v="2013"/>
    <s v="November"/>
    <x v="11"/>
    <s v="Miscellaneous"/>
    <n v="109.6"/>
    <x v="8"/>
  </r>
  <r>
    <s v="Urban"/>
    <n v="2013"/>
    <s v="November"/>
    <x v="11"/>
    <s v="General index"/>
    <n v="115"/>
    <x v="9"/>
  </r>
  <r>
    <s v="Rural+Urban"/>
    <n v="2013"/>
    <s v="November"/>
    <x v="11"/>
    <s v="Cereals and products"/>
    <n v="118.1"/>
    <x v="0"/>
  </r>
  <r>
    <s v="Rural+Urban"/>
    <n v="2013"/>
    <s v="November"/>
    <x v="11"/>
    <s v="Meat and fish"/>
    <n v="115.4"/>
    <x v="0"/>
  </r>
  <r>
    <s v="Rural+Urban"/>
    <n v="2013"/>
    <s v="November"/>
    <x v="11"/>
    <s v="Egg"/>
    <n v="118.7"/>
    <x v="0"/>
  </r>
  <r>
    <s v="Rural+Urban"/>
    <n v="2013"/>
    <s v="November"/>
    <x v="11"/>
    <s v="Milk and products"/>
    <n v="112.5"/>
    <x v="0"/>
  </r>
  <r>
    <s v="Rural+Urban"/>
    <n v="2013"/>
    <s v="November"/>
    <x v="11"/>
    <s v="Oils and fats"/>
    <n v="106.8"/>
    <x v="0"/>
  </r>
  <r>
    <s v="Rural+Urban"/>
    <n v="2013"/>
    <s v="November"/>
    <x v="11"/>
    <s v="Fruits"/>
    <n v="113.5"/>
    <x v="0"/>
  </r>
  <r>
    <s v="Rural+Urban"/>
    <n v="2013"/>
    <s v="November"/>
    <x v="11"/>
    <s v="Vegetables"/>
    <n v="183.1"/>
    <x v="0"/>
  </r>
  <r>
    <s v="Rural+Urban"/>
    <n v="2013"/>
    <s v="November"/>
    <x v="11"/>
    <s v="Pulses and products"/>
    <n v="108.2"/>
    <x v="0"/>
  </r>
  <r>
    <s v="Rural+Urban"/>
    <n v="2013"/>
    <s v="November"/>
    <x v="11"/>
    <s v="Sugar and Confectionery"/>
    <n v="102.2"/>
    <x v="0"/>
  </r>
  <r>
    <s v="Rural+Urban"/>
    <n v="2013"/>
    <s v="November"/>
    <x v="11"/>
    <s v="Spices"/>
    <n v="109.4"/>
    <x v="0"/>
  </r>
  <r>
    <s v="Rural+Urban"/>
    <n v="2013"/>
    <s v="November"/>
    <x v="11"/>
    <s v="Non-alcoholic beverages"/>
    <n v="111.8"/>
    <x v="0"/>
  </r>
  <r>
    <s v="Rural+Urban"/>
    <n v="2013"/>
    <s v="November"/>
    <x v="11"/>
    <s v="Prepared meals, snacks, sweets etc."/>
    <n v="116.5"/>
    <x v="0"/>
  </r>
  <r>
    <s v="Rural+Urban"/>
    <n v="2013"/>
    <s v="November"/>
    <x v="11"/>
    <s v="Food and beverages"/>
    <n v="122.6"/>
    <x v="0"/>
  </r>
  <r>
    <s v="Rural+Urban"/>
    <n v="2013"/>
    <s v="November"/>
    <x v="11"/>
    <s v="Pan, tobacco and intoxicants"/>
    <n v="113.1"/>
    <x v="1"/>
  </r>
  <r>
    <s v="Rural+Urban"/>
    <n v="2013"/>
    <s v="November"/>
    <x v="11"/>
    <s v="Clothing"/>
    <n v="114.2"/>
    <x v="2"/>
  </r>
  <r>
    <s v="Rural+Urban"/>
    <n v="2013"/>
    <s v="November"/>
    <x v="11"/>
    <s v="Footwear"/>
    <n v="111.9"/>
    <x v="2"/>
  </r>
  <r>
    <s v="Rural+Urban"/>
    <n v="2013"/>
    <s v="November"/>
    <x v="11"/>
    <s v="Clothing and footwear"/>
    <n v="113.8"/>
    <x v="2"/>
  </r>
  <r>
    <s v="Rural+Urban"/>
    <n v="2013"/>
    <s v="November"/>
    <x v="11"/>
    <s v="Housing"/>
    <n v="111.1"/>
    <x v="10"/>
  </r>
  <r>
    <s v="Rural+Urban"/>
    <n v="2013"/>
    <s v="November"/>
    <x v="11"/>
    <s v="Fuel and light"/>
    <n v="111.6"/>
    <x v="3"/>
  </r>
  <r>
    <s v="Rural+Urban"/>
    <n v="2013"/>
    <s v="November"/>
    <x v="11"/>
    <s v="Household goods and services"/>
    <n v="111.1"/>
    <x v="4"/>
  </r>
  <r>
    <s v="Rural+Urban"/>
    <n v="2013"/>
    <s v="November"/>
    <x v="11"/>
    <s v="Health"/>
    <n v="109.3"/>
    <x v="5"/>
  </r>
  <r>
    <s v="Rural+Urban"/>
    <n v="2013"/>
    <s v="November"/>
    <x v="11"/>
    <s v="Transport and communication"/>
    <n v="109.5"/>
    <x v="6"/>
  </r>
  <r>
    <s v="Rural+Urban"/>
    <n v="2013"/>
    <s v="November"/>
    <x v="11"/>
    <s v="Recreation and amusement"/>
    <n v="108.6"/>
    <x v="1"/>
  </r>
  <r>
    <s v="Rural+Urban"/>
    <n v="2013"/>
    <s v="November"/>
    <x v="11"/>
    <s v="Education"/>
    <n v="111.2"/>
    <x v="7"/>
  </r>
  <r>
    <s v="Rural+Urban"/>
    <n v="2013"/>
    <s v="November"/>
    <x v="11"/>
    <s v="Personal care and effects"/>
    <n v="108.1"/>
    <x v="4"/>
  </r>
  <r>
    <s v="Rural+Urban"/>
    <n v="2013"/>
    <s v="November"/>
    <x v="11"/>
    <s v="Miscellaneous"/>
    <n v="109.7"/>
    <x v="8"/>
  </r>
  <r>
    <s v="Rural+Urban"/>
    <n v="2013"/>
    <s v="November"/>
    <x v="11"/>
    <s v="General index"/>
    <n v="116.3"/>
    <x v="9"/>
  </r>
  <r>
    <s v="Rural"/>
    <n v="2013"/>
    <s v="December"/>
    <x v="12"/>
    <s v="Cereals and products"/>
    <n v="118.4"/>
    <x v="0"/>
  </r>
  <r>
    <s v="Rural"/>
    <n v="2013"/>
    <s v="December"/>
    <x v="12"/>
    <s v="Meat and fish"/>
    <n v="115.9"/>
    <x v="0"/>
  </r>
  <r>
    <s v="Rural"/>
    <n v="2013"/>
    <s v="December"/>
    <x v="12"/>
    <s v="Egg"/>
    <n v="120.4"/>
    <x v="0"/>
  </r>
  <r>
    <s v="Rural"/>
    <n v="2013"/>
    <s v="December"/>
    <x v="12"/>
    <s v="Milk and products"/>
    <n v="113.8"/>
    <x v="0"/>
  </r>
  <r>
    <s v="Rural"/>
    <n v="2013"/>
    <s v="December"/>
    <x v="12"/>
    <s v="Oils and fats"/>
    <n v="109.5"/>
    <x v="0"/>
  </r>
  <r>
    <s v="Rural"/>
    <n v="2013"/>
    <s v="December"/>
    <x v="12"/>
    <s v="Fruits"/>
    <n v="115.5"/>
    <x v="0"/>
  </r>
  <r>
    <s v="Rural"/>
    <n v="2013"/>
    <s v="December"/>
    <x v="12"/>
    <s v="Vegetables"/>
    <n v="145.69999999999999"/>
    <x v="0"/>
  </r>
  <r>
    <s v="Rural"/>
    <n v="2013"/>
    <s v="December"/>
    <x v="12"/>
    <s v="Pulses and products"/>
    <n v="109.5"/>
    <x v="0"/>
  </r>
  <r>
    <s v="Rural"/>
    <n v="2013"/>
    <s v="December"/>
    <x v="12"/>
    <s v="Sugar and Confectionery"/>
    <n v="102.9"/>
    <x v="0"/>
  </r>
  <r>
    <s v="Rural"/>
    <n v="2013"/>
    <s v="December"/>
    <x v="12"/>
    <s v="Spices"/>
    <n v="109.8"/>
    <x v="0"/>
  </r>
  <r>
    <s v="Rural"/>
    <n v="2013"/>
    <s v="December"/>
    <x v="12"/>
    <s v="Non-alcoholic beverages"/>
    <n v="112.1"/>
    <x v="0"/>
  </r>
  <r>
    <s v="Rural"/>
    <n v="2013"/>
    <s v="December"/>
    <x v="12"/>
    <s v="Prepared meals, snacks, sweets etc."/>
    <n v="116.8"/>
    <x v="0"/>
  </r>
  <r>
    <s v="Rural"/>
    <n v="2013"/>
    <s v="December"/>
    <x v="12"/>
    <s v="Food and beverages"/>
    <n v="118.7"/>
    <x v="0"/>
  </r>
  <r>
    <s v="Rural"/>
    <n v="2013"/>
    <s v="December"/>
    <x v="12"/>
    <s v="Pan, tobacco and intoxicants"/>
    <n v="113.6"/>
    <x v="1"/>
  </r>
  <r>
    <s v="Rural"/>
    <n v="2013"/>
    <s v="December"/>
    <x v="12"/>
    <s v="Clothing"/>
    <n v="115.8"/>
    <x v="2"/>
  </r>
  <r>
    <s v="Rural"/>
    <n v="2013"/>
    <s v="December"/>
    <x v="12"/>
    <s v="Footwear"/>
    <n v="114"/>
    <x v="2"/>
  </r>
  <r>
    <s v="Rural"/>
    <n v="2013"/>
    <s v="December"/>
    <x v="12"/>
    <s v="Clothing and footwear"/>
    <n v="115.5"/>
    <x v="2"/>
  </r>
  <r>
    <s v="Rural"/>
    <n v="2013"/>
    <s v="December"/>
    <x v="12"/>
    <s v="Fuel and light"/>
    <n v="112.8"/>
    <x v="3"/>
  </r>
  <r>
    <s v="Rural"/>
    <n v="2013"/>
    <s v="December"/>
    <x v="12"/>
    <s v="Household goods and services"/>
    <n v="112.1"/>
    <x v="4"/>
  </r>
  <r>
    <s v="Rural"/>
    <n v="2013"/>
    <s v="December"/>
    <x v="12"/>
    <s v="Health"/>
    <n v="110.1"/>
    <x v="5"/>
  </r>
  <r>
    <s v="Rural"/>
    <n v="2013"/>
    <s v="December"/>
    <x v="12"/>
    <s v="Transport and communication"/>
    <n v="109.9"/>
    <x v="6"/>
  </r>
  <r>
    <s v="Rural"/>
    <n v="2013"/>
    <s v="December"/>
    <x v="12"/>
    <s v="Recreation and amusement"/>
    <n v="109.2"/>
    <x v="1"/>
  </r>
  <r>
    <s v="Rural"/>
    <n v="2013"/>
    <s v="December"/>
    <x v="12"/>
    <s v="Education"/>
    <n v="111.6"/>
    <x v="7"/>
  </r>
  <r>
    <s v="Rural"/>
    <n v="2013"/>
    <s v="December"/>
    <x v="12"/>
    <s v="Personal care and effects"/>
    <n v="108.1"/>
    <x v="4"/>
  </r>
  <r>
    <s v="Rural"/>
    <n v="2013"/>
    <s v="December"/>
    <x v="12"/>
    <s v="Miscellaneous"/>
    <n v="110.1"/>
    <x v="8"/>
  </r>
  <r>
    <s v="Rural"/>
    <n v="2013"/>
    <s v="December"/>
    <x v="12"/>
    <s v="General index"/>
    <n v="115.5"/>
    <x v="9"/>
  </r>
  <r>
    <s v="Urban"/>
    <n v="2013"/>
    <s v="December"/>
    <x v="12"/>
    <s v="Cereals and products"/>
    <n v="120.5"/>
    <x v="0"/>
  </r>
  <r>
    <s v="Urban"/>
    <n v="2013"/>
    <s v="December"/>
    <x v="12"/>
    <s v="Meat and fish"/>
    <n v="118.1"/>
    <x v="0"/>
  </r>
  <r>
    <s v="Urban"/>
    <n v="2013"/>
    <s v="December"/>
    <x v="12"/>
    <s v="Egg"/>
    <n v="128.5"/>
    <x v="0"/>
  </r>
  <r>
    <s v="Urban"/>
    <n v="2013"/>
    <s v="December"/>
    <x v="12"/>
    <s v="Milk and products"/>
    <n v="112.8"/>
    <x v="0"/>
  </r>
  <r>
    <s v="Urban"/>
    <n v="2013"/>
    <s v="December"/>
    <x v="12"/>
    <s v="Oils and fats"/>
    <n v="103.4"/>
    <x v="0"/>
  </r>
  <r>
    <s v="Urban"/>
    <n v="2013"/>
    <s v="December"/>
    <x v="12"/>
    <s v="Fruits"/>
    <n v="110.7"/>
    <x v="0"/>
  </r>
  <r>
    <s v="Urban"/>
    <n v="2013"/>
    <s v="December"/>
    <x v="12"/>
    <s v="Vegetables"/>
    <n v="144.80000000000001"/>
    <x v="0"/>
  </r>
  <r>
    <s v="Urban"/>
    <n v="2013"/>
    <s v="December"/>
    <x v="12"/>
    <s v="Pulses and products"/>
    <n v="107.1"/>
    <x v="0"/>
  </r>
  <r>
    <s v="Urban"/>
    <n v="2013"/>
    <s v="December"/>
    <x v="12"/>
    <s v="Sugar and Confectionery"/>
    <n v="98.6"/>
    <x v="0"/>
  </r>
  <r>
    <s v="Urban"/>
    <n v="2013"/>
    <s v="December"/>
    <x v="12"/>
    <s v="Spices"/>
    <n v="111.9"/>
    <x v="0"/>
  </r>
  <r>
    <s v="Urban"/>
    <n v="2013"/>
    <s v="December"/>
    <x v="12"/>
    <s v="Non-alcoholic beverages"/>
    <n v="112.1"/>
    <x v="0"/>
  </r>
  <r>
    <s v="Urban"/>
    <n v="2013"/>
    <s v="December"/>
    <x v="12"/>
    <s v="Prepared meals, snacks, sweets etc."/>
    <n v="118.1"/>
    <x v="0"/>
  </r>
  <r>
    <s v="Urban"/>
    <n v="2013"/>
    <s v="December"/>
    <x v="12"/>
    <s v="Food and beverages"/>
    <n v="117.8"/>
    <x v="0"/>
  </r>
  <r>
    <s v="Urban"/>
    <n v="2013"/>
    <s v="December"/>
    <x v="12"/>
    <s v="Pan, tobacco and intoxicants"/>
    <n v="115"/>
    <x v="1"/>
  </r>
  <r>
    <s v="Urban"/>
    <n v="2013"/>
    <s v="December"/>
    <x v="12"/>
    <s v="Clothing"/>
    <n v="114.2"/>
    <x v="2"/>
  </r>
  <r>
    <s v="Urban"/>
    <n v="2013"/>
    <s v="December"/>
    <x v="12"/>
    <s v="Footwear"/>
    <n v="110.9"/>
    <x v="2"/>
  </r>
  <r>
    <s v="Urban"/>
    <n v="2013"/>
    <s v="December"/>
    <x v="12"/>
    <s v="Clothing and footwear"/>
    <n v="113.7"/>
    <x v="2"/>
  </r>
  <r>
    <s v="Urban"/>
    <n v="2013"/>
    <s v="December"/>
    <x v="12"/>
    <s v="Housing"/>
    <n v="110.7"/>
    <x v="10"/>
  </r>
  <r>
    <s v="Urban"/>
    <n v="2013"/>
    <s v="December"/>
    <x v="12"/>
    <s v="Fuel and light"/>
    <n v="110.4"/>
    <x v="3"/>
  </r>
  <r>
    <s v="Urban"/>
    <n v="2013"/>
    <s v="December"/>
    <x v="12"/>
    <s v="Household goods and services"/>
    <n v="111.3"/>
    <x v="4"/>
  </r>
  <r>
    <s v="Urban"/>
    <n v="2013"/>
    <s v="December"/>
    <x v="12"/>
    <s v="Health"/>
    <n v="109"/>
    <x v="5"/>
  </r>
  <r>
    <s v="Urban"/>
    <n v="2013"/>
    <s v="December"/>
    <x v="12"/>
    <s v="Transport and communication"/>
    <n v="109.7"/>
    <x v="6"/>
  </r>
  <r>
    <s v="Urban"/>
    <n v="2013"/>
    <s v="December"/>
    <x v="12"/>
    <s v="Recreation and amusement"/>
    <n v="108.9"/>
    <x v="1"/>
  </r>
  <r>
    <s v="Urban"/>
    <n v="2013"/>
    <s v="December"/>
    <x v="12"/>
    <s v="Education"/>
    <n v="111.4"/>
    <x v="7"/>
  </r>
  <r>
    <s v="Urban"/>
    <n v="2013"/>
    <s v="December"/>
    <x v="12"/>
    <s v="Personal care and effects"/>
    <n v="107.7"/>
    <x v="4"/>
  </r>
  <r>
    <s v="Urban"/>
    <n v="2013"/>
    <s v="December"/>
    <x v="12"/>
    <s v="Miscellaneous"/>
    <n v="109.8"/>
    <x v="8"/>
  </r>
  <r>
    <s v="Urban"/>
    <n v="2013"/>
    <s v="December"/>
    <x v="12"/>
    <s v="General index"/>
    <n v="113.3"/>
    <x v="9"/>
  </r>
  <r>
    <s v="Rural+Urban"/>
    <n v="2013"/>
    <s v="December"/>
    <x v="12"/>
    <s v="Cereals and products"/>
    <n v="119.1"/>
    <x v="0"/>
  </r>
  <r>
    <s v="Rural+Urban"/>
    <n v="2013"/>
    <s v="December"/>
    <x v="12"/>
    <s v="Meat and fish"/>
    <n v="116.7"/>
    <x v="0"/>
  </r>
  <r>
    <s v="Rural+Urban"/>
    <n v="2013"/>
    <s v="December"/>
    <x v="12"/>
    <s v="Egg"/>
    <n v="123.5"/>
    <x v="0"/>
  </r>
  <r>
    <s v="Rural+Urban"/>
    <n v="2013"/>
    <s v="December"/>
    <x v="12"/>
    <s v="Milk and products"/>
    <n v="113.4"/>
    <x v="0"/>
  </r>
  <r>
    <s v="Rural+Urban"/>
    <n v="2013"/>
    <s v="December"/>
    <x v="12"/>
    <s v="Oils and fats"/>
    <n v="107.3"/>
    <x v="0"/>
  </r>
  <r>
    <s v="Rural+Urban"/>
    <n v="2013"/>
    <s v="December"/>
    <x v="12"/>
    <s v="Fruits"/>
    <n v="113.3"/>
    <x v="0"/>
  </r>
  <r>
    <s v="Rural+Urban"/>
    <n v="2013"/>
    <s v="December"/>
    <x v="12"/>
    <s v="Vegetables"/>
    <n v="145.4"/>
    <x v="0"/>
  </r>
  <r>
    <s v="Rural+Urban"/>
    <n v="2013"/>
    <s v="December"/>
    <x v="12"/>
    <s v="Pulses and products"/>
    <n v="108.7"/>
    <x v="0"/>
  </r>
  <r>
    <s v="Rural+Urban"/>
    <n v="2013"/>
    <s v="December"/>
    <x v="12"/>
    <s v="Sugar and Confectionery"/>
    <n v="101.5"/>
    <x v="0"/>
  </r>
  <r>
    <s v="Rural+Urban"/>
    <n v="2013"/>
    <s v="December"/>
    <x v="12"/>
    <s v="Spices"/>
    <n v="110.5"/>
    <x v="0"/>
  </r>
  <r>
    <s v="Rural+Urban"/>
    <n v="2013"/>
    <s v="December"/>
    <x v="12"/>
    <s v="Non-alcoholic beverages"/>
    <n v="112.1"/>
    <x v="0"/>
  </r>
  <r>
    <s v="Rural+Urban"/>
    <n v="2013"/>
    <s v="December"/>
    <x v="12"/>
    <s v="Prepared meals, snacks, sweets etc."/>
    <n v="117.4"/>
    <x v="0"/>
  </r>
  <r>
    <s v="Rural+Urban"/>
    <n v="2013"/>
    <s v="December"/>
    <x v="12"/>
    <s v="Food and beverages"/>
    <n v="118.4"/>
    <x v="0"/>
  </r>
  <r>
    <s v="Rural+Urban"/>
    <n v="2013"/>
    <s v="December"/>
    <x v="12"/>
    <s v="Pan, tobacco and intoxicants"/>
    <n v="114"/>
    <x v="1"/>
  </r>
  <r>
    <s v="Rural+Urban"/>
    <n v="2013"/>
    <s v="December"/>
    <x v="12"/>
    <s v="Clothing"/>
    <n v="115.2"/>
    <x v="2"/>
  </r>
  <r>
    <s v="Rural+Urban"/>
    <n v="2013"/>
    <s v="December"/>
    <x v="12"/>
    <s v="Footwear"/>
    <n v="112.7"/>
    <x v="2"/>
  </r>
  <r>
    <s v="Rural+Urban"/>
    <n v="2013"/>
    <s v="December"/>
    <x v="12"/>
    <s v="Clothing and footwear"/>
    <n v="114.8"/>
    <x v="2"/>
  </r>
  <r>
    <s v="Rural+Urban"/>
    <n v="2013"/>
    <s v="December"/>
    <x v="12"/>
    <s v="Housing"/>
    <n v="110.7"/>
    <x v="10"/>
  </r>
  <r>
    <s v="Rural+Urban"/>
    <n v="2013"/>
    <s v="December"/>
    <x v="12"/>
    <s v="Fuel and light"/>
    <n v="111.9"/>
    <x v="3"/>
  </r>
  <r>
    <s v="Rural+Urban"/>
    <n v="2013"/>
    <s v="December"/>
    <x v="12"/>
    <s v="Household goods and services"/>
    <n v="111.7"/>
    <x v="4"/>
  </r>
  <r>
    <s v="Rural+Urban"/>
    <n v="2013"/>
    <s v="December"/>
    <x v="12"/>
    <s v="Health"/>
    <n v="109.7"/>
    <x v="5"/>
  </r>
  <r>
    <s v="Rural+Urban"/>
    <n v="2013"/>
    <s v="December"/>
    <x v="12"/>
    <s v="Transport and communication"/>
    <n v="109.8"/>
    <x v="6"/>
  </r>
  <r>
    <s v="Rural+Urban"/>
    <n v="2013"/>
    <s v="December"/>
    <x v="12"/>
    <s v="Recreation and amusement"/>
    <n v="109"/>
    <x v="1"/>
  </r>
  <r>
    <s v="Rural+Urban"/>
    <n v="2013"/>
    <s v="December"/>
    <x v="12"/>
    <s v="Education"/>
    <n v="111.5"/>
    <x v="7"/>
  </r>
  <r>
    <s v="Rural+Urban"/>
    <n v="2013"/>
    <s v="December"/>
    <x v="12"/>
    <s v="Personal care and effects"/>
    <n v="107.9"/>
    <x v="4"/>
  </r>
  <r>
    <s v="Rural+Urban"/>
    <n v="2013"/>
    <s v="December"/>
    <x v="12"/>
    <s v="Miscellaneous"/>
    <n v="110"/>
    <x v="8"/>
  </r>
  <r>
    <s v="Rural+Urban"/>
    <n v="2013"/>
    <s v="December"/>
    <x v="12"/>
    <s v="General index"/>
    <n v="114.5"/>
    <x v="9"/>
  </r>
  <r>
    <s v="Rural"/>
    <n v="2014"/>
    <s v="January"/>
    <x v="13"/>
    <s v="Cereals and products"/>
    <n v="118.9"/>
    <x v="0"/>
  </r>
  <r>
    <s v="Rural"/>
    <n v="2014"/>
    <s v="January"/>
    <x v="13"/>
    <s v="Meat and fish"/>
    <n v="117.1"/>
    <x v="0"/>
  </r>
  <r>
    <s v="Rural"/>
    <n v="2014"/>
    <s v="January"/>
    <x v="13"/>
    <s v="Egg"/>
    <n v="120.5"/>
    <x v="0"/>
  </r>
  <r>
    <s v="Rural"/>
    <n v="2014"/>
    <s v="January"/>
    <x v="13"/>
    <s v="Milk and products"/>
    <n v="114.4"/>
    <x v="0"/>
  </r>
  <r>
    <s v="Rural"/>
    <n v="2014"/>
    <s v="January"/>
    <x v="13"/>
    <s v="Oils and fats"/>
    <n v="109"/>
    <x v="0"/>
  </r>
  <r>
    <s v="Rural"/>
    <n v="2014"/>
    <s v="January"/>
    <x v="13"/>
    <s v="Fruits"/>
    <n v="115.5"/>
    <x v="0"/>
  </r>
  <r>
    <s v="Rural"/>
    <n v="2014"/>
    <s v="January"/>
    <x v="13"/>
    <s v="Vegetables"/>
    <n v="123.9"/>
    <x v="0"/>
  </r>
  <r>
    <s v="Rural"/>
    <n v="2014"/>
    <s v="January"/>
    <x v="13"/>
    <s v="Pulses and products"/>
    <n v="109.6"/>
    <x v="0"/>
  </r>
  <r>
    <s v="Rural"/>
    <n v="2014"/>
    <s v="January"/>
    <x v="13"/>
    <s v="Sugar and Confectionery"/>
    <n v="101.8"/>
    <x v="0"/>
  </r>
  <r>
    <s v="Rural"/>
    <n v="2014"/>
    <s v="January"/>
    <x v="13"/>
    <s v="Spices"/>
    <n v="110.2"/>
    <x v="0"/>
  </r>
  <r>
    <s v="Rural"/>
    <n v="2014"/>
    <s v="January"/>
    <x v="13"/>
    <s v="Non-alcoholic beverages"/>
    <n v="112.4"/>
    <x v="0"/>
  </r>
  <r>
    <s v="Rural"/>
    <n v="2014"/>
    <s v="January"/>
    <x v="13"/>
    <s v="Prepared meals, snacks, sweets etc."/>
    <n v="117.3"/>
    <x v="0"/>
  </r>
  <r>
    <s v="Rural"/>
    <n v="2014"/>
    <s v="January"/>
    <x v="13"/>
    <s v="Food and beverages"/>
    <n v="116"/>
    <x v="0"/>
  </r>
  <r>
    <s v="Rural"/>
    <n v="2014"/>
    <s v="January"/>
    <x v="13"/>
    <s v="Pan, tobacco and intoxicants"/>
    <n v="114"/>
    <x v="1"/>
  </r>
  <r>
    <s v="Rural"/>
    <n v="2014"/>
    <s v="January"/>
    <x v="13"/>
    <s v="Clothing"/>
    <n v="116.5"/>
    <x v="2"/>
  </r>
  <r>
    <s v="Rural"/>
    <n v="2014"/>
    <s v="January"/>
    <x v="13"/>
    <s v="Footwear"/>
    <n v="114.5"/>
    <x v="2"/>
  </r>
  <r>
    <s v="Rural"/>
    <n v="2014"/>
    <s v="January"/>
    <x v="13"/>
    <s v="Clothing and footwear"/>
    <n v="116.2"/>
    <x v="2"/>
  </r>
  <r>
    <s v="Rural"/>
    <n v="2014"/>
    <s v="January"/>
    <x v="13"/>
    <s v="Fuel and light"/>
    <n v="113"/>
    <x v="3"/>
  </r>
  <r>
    <s v="Rural"/>
    <n v="2014"/>
    <s v="January"/>
    <x v="13"/>
    <s v="Household goods and services"/>
    <n v="112.6"/>
    <x v="4"/>
  </r>
  <r>
    <s v="Rural"/>
    <n v="2014"/>
    <s v="January"/>
    <x v="13"/>
    <s v="Health"/>
    <n v="110.6"/>
    <x v="5"/>
  </r>
  <r>
    <s v="Rural"/>
    <n v="2014"/>
    <s v="January"/>
    <x v="13"/>
    <s v="Transport and communication"/>
    <n v="110.5"/>
    <x v="6"/>
  </r>
  <r>
    <s v="Rural"/>
    <n v="2014"/>
    <s v="January"/>
    <x v="13"/>
    <s v="Recreation and amusement"/>
    <n v="109.6"/>
    <x v="1"/>
  </r>
  <r>
    <s v="Rural"/>
    <n v="2014"/>
    <s v="January"/>
    <x v="13"/>
    <s v="Education"/>
    <n v="111.8"/>
    <x v="7"/>
  </r>
  <r>
    <s v="Rural"/>
    <n v="2014"/>
    <s v="January"/>
    <x v="13"/>
    <s v="Personal care and effects"/>
    <n v="108.3"/>
    <x v="4"/>
  </r>
  <r>
    <s v="Rural"/>
    <n v="2014"/>
    <s v="January"/>
    <x v="13"/>
    <s v="Miscellaneous"/>
    <n v="110.6"/>
    <x v="8"/>
  </r>
  <r>
    <s v="Rural"/>
    <n v="2014"/>
    <s v="January"/>
    <x v="13"/>
    <s v="General index"/>
    <n v="114.2"/>
    <x v="9"/>
  </r>
  <r>
    <s v="Urban"/>
    <n v="2014"/>
    <s v="January"/>
    <x v="13"/>
    <s v="Cereals and products"/>
    <n v="121.2"/>
    <x v="0"/>
  </r>
  <r>
    <s v="Urban"/>
    <n v="2014"/>
    <s v="January"/>
    <x v="13"/>
    <s v="Meat and fish"/>
    <n v="122"/>
    <x v="0"/>
  </r>
  <r>
    <s v="Urban"/>
    <n v="2014"/>
    <s v="January"/>
    <x v="13"/>
    <s v="Egg"/>
    <n v="129.9"/>
    <x v="0"/>
  </r>
  <r>
    <s v="Urban"/>
    <n v="2014"/>
    <s v="January"/>
    <x v="13"/>
    <s v="Milk and products"/>
    <n v="113.6"/>
    <x v="0"/>
  </r>
  <r>
    <s v="Urban"/>
    <n v="2014"/>
    <s v="January"/>
    <x v="13"/>
    <s v="Oils and fats"/>
    <n v="102.9"/>
    <x v="0"/>
  </r>
  <r>
    <s v="Urban"/>
    <n v="2014"/>
    <s v="January"/>
    <x v="13"/>
    <s v="Fruits"/>
    <n v="112.1"/>
    <x v="0"/>
  </r>
  <r>
    <s v="Urban"/>
    <n v="2014"/>
    <s v="January"/>
    <x v="13"/>
    <s v="Vegetables"/>
    <n v="118.9"/>
    <x v="0"/>
  </r>
  <r>
    <s v="Urban"/>
    <n v="2014"/>
    <s v="January"/>
    <x v="13"/>
    <s v="Pulses and products"/>
    <n v="107.5"/>
    <x v="0"/>
  </r>
  <r>
    <s v="Urban"/>
    <n v="2014"/>
    <s v="January"/>
    <x v="13"/>
    <s v="Sugar and Confectionery"/>
    <n v="96.9"/>
    <x v="0"/>
  </r>
  <r>
    <s v="Urban"/>
    <n v="2014"/>
    <s v="January"/>
    <x v="13"/>
    <s v="Spices"/>
    <n v="112.7"/>
    <x v="0"/>
  </r>
  <r>
    <s v="Urban"/>
    <n v="2014"/>
    <s v="January"/>
    <x v="13"/>
    <s v="Non-alcoholic beverages"/>
    <n v="112.1"/>
    <x v="0"/>
  </r>
  <r>
    <s v="Urban"/>
    <n v="2014"/>
    <s v="January"/>
    <x v="13"/>
    <s v="Prepared meals, snacks, sweets etc."/>
    <n v="119"/>
    <x v="0"/>
  </r>
  <r>
    <s v="Urban"/>
    <n v="2014"/>
    <s v="January"/>
    <x v="13"/>
    <s v="Food and beverages"/>
    <n v="115.5"/>
    <x v="0"/>
  </r>
  <r>
    <s v="Urban"/>
    <n v="2014"/>
    <s v="January"/>
    <x v="13"/>
    <s v="Pan, tobacco and intoxicants"/>
    <n v="115.7"/>
    <x v="1"/>
  </r>
  <r>
    <s v="Urban"/>
    <n v="2014"/>
    <s v="January"/>
    <x v="13"/>
    <s v="Clothing"/>
    <n v="114.8"/>
    <x v="2"/>
  </r>
  <r>
    <s v="Urban"/>
    <n v="2014"/>
    <s v="January"/>
    <x v="13"/>
    <s v="Footwear"/>
    <n v="111.3"/>
    <x v="2"/>
  </r>
  <r>
    <s v="Urban"/>
    <n v="2014"/>
    <s v="January"/>
    <x v="13"/>
    <s v="Clothing and footwear"/>
    <n v="114.3"/>
    <x v="2"/>
  </r>
  <r>
    <s v="Urban"/>
    <n v="2014"/>
    <s v="January"/>
    <x v="13"/>
    <s v="Housing"/>
    <n v="111.6"/>
    <x v="10"/>
  </r>
  <r>
    <s v="Urban"/>
    <n v="2014"/>
    <s v="January"/>
    <x v="13"/>
    <s v="Fuel and light"/>
    <n v="111"/>
    <x v="3"/>
  </r>
  <r>
    <s v="Urban"/>
    <n v="2014"/>
    <s v="January"/>
    <x v="13"/>
    <s v="Household goods and services"/>
    <n v="111.9"/>
    <x v="4"/>
  </r>
  <r>
    <s v="Urban"/>
    <n v="2014"/>
    <s v="January"/>
    <x v="13"/>
    <s v="Health"/>
    <n v="109.7"/>
    <x v="5"/>
  </r>
  <r>
    <s v="Urban"/>
    <n v="2014"/>
    <s v="January"/>
    <x v="13"/>
    <s v="Transport and communication"/>
    <n v="110.8"/>
    <x v="6"/>
  </r>
  <r>
    <s v="Urban"/>
    <n v="2014"/>
    <s v="January"/>
    <x v="13"/>
    <s v="Recreation and amusement"/>
    <n v="109.8"/>
    <x v="1"/>
  </r>
  <r>
    <s v="Urban"/>
    <n v="2014"/>
    <s v="January"/>
    <x v="13"/>
    <s v="Education"/>
    <n v="111.5"/>
    <x v="7"/>
  </r>
  <r>
    <s v="Urban"/>
    <n v="2014"/>
    <s v="January"/>
    <x v="13"/>
    <s v="Personal care and effects"/>
    <n v="108"/>
    <x v="4"/>
  </r>
  <r>
    <s v="Urban"/>
    <n v="2014"/>
    <s v="January"/>
    <x v="13"/>
    <s v="Miscellaneous"/>
    <n v="110.5"/>
    <x v="8"/>
  </r>
  <r>
    <s v="Urban"/>
    <n v="2014"/>
    <s v="January"/>
    <x v="13"/>
    <s v="General index"/>
    <n v="112.9"/>
    <x v="9"/>
  </r>
  <r>
    <s v="Rural+Urban"/>
    <n v="2014"/>
    <s v="January"/>
    <x v="13"/>
    <s v="Cereals and products"/>
    <n v="119.6"/>
    <x v="0"/>
  </r>
  <r>
    <s v="Rural+Urban"/>
    <n v="2014"/>
    <s v="January"/>
    <x v="13"/>
    <s v="Meat and fish"/>
    <n v="118.8"/>
    <x v="0"/>
  </r>
  <r>
    <s v="Rural+Urban"/>
    <n v="2014"/>
    <s v="January"/>
    <x v="13"/>
    <s v="Egg"/>
    <n v="124.1"/>
    <x v="0"/>
  </r>
  <r>
    <s v="Rural+Urban"/>
    <n v="2014"/>
    <s v="January"/>
    <x v="13"/>
    <s v="Milk and products"/>
    <n v="114.1"/>
    <x v="0"/>
  </r>
  <r>
    <s v="Rural+Urban"/>
    <n v="2014"/>
    <s v="January"/>
    <x v="13"/>
    <s v="Oils and fats"/>
    <n v="106.8"/>
    <x v="0"/>
  </r>
  <r>
    <s v="Rural+Urban"/>
    <n v="2014"/>
    <s v="January"/>
    <x v="13"/>
    <s v="Fruits"/>
    <n v="113.9"/>
    <x v="0"/>
  </r>
  <r>
    <s v="Rural+Urban"/>
    <n v="2014"/>
    <s v="January"/>
    <x v="13"/>
    <s v="Vegetables"/>
    <n v="122.2"/>
    <x v="0"/>
  </r>
  <r>
    <s v="Rural+Urban"/>
    <n v="2014"/>
    <s v="January"/>
    <x v="13"/>
    <s v="Pulses and products"/>
    <n v="108.9"/>
    <x v="0"/>
  </r>
  <r>
    <s v="Rural+Urban"/>
    <n v="2014"/>
    <s v="January"/>
    <x v="13"/>
    <s v="Sugar and Confectionery"/>
    <n v="100.2"/>
    <x v="0"/>
  </r>
  <r>
    <s v="Rural+Urban"/>
    <n v="2014"/>
    <s v="January"/>
    <x v="13"/>
    <s v="Spices"/>
    <n v="111"/>
    <x v="0"/>
  </r>
  <r>
    <s v="Rural+Urban"/>
    <n v="2014"/>
    <s v="January"/>
    <x v="13"/>
    <s v="Non-alcoholic beverages"/>
    <n v="112.3"/>
    <x v="0"/>
  </r>
  <r>
    <s v="Rural+Urban"/>
    <n v="2014"/>
    <s v="January"/>
    <x v="13"/>
    <s v="Prepared meals, snacks, sweets etc."/>
    <n v="118.1"/>
    <x v="0"/>
  </r>
  <r>
    <s v="Rural+Urban"/>
    <n v="2014"/>
    <s v="January"/>
    <x v="13"/>
    <s v="Food and beverages"/>
    <n v="115.8"/>
    <x v="0"/>
  </r>
  <r>
    <s v="Rural+Urban"/>
    <n v="2014"/>
    <s v="January"/>
    <x v="13"/>
    <s v="Pan, tobacco and intoxicants"/>
    <n v="114.5"/>
    <x v="1"/>
  </r>
  <r>
    <s v="Rural+Urban"/>
    <n v="2014"/>
    <s v="January"/>
    <x v="13"/>
    <s v="Clothing"/>
    <n v="115.8"/>
    <x v="2"/>
  </r>
  <r>
    <s v="Rural+Urban"/>
    <n v="2014"/>
    <s v="January"/>
    <x v="13"/>
    <s v="Footwear"/>
    <n v="113.2"/>
    <x v="2"/>
  </r>
  <r>
    <s v="Rural+Urban"/>
    <n v="2014"/>
    <s v="January"/>
    <x v="13"/>
    <s v="Clothing and footwear"/>
    <n v="115.4"/>
    <x v="2"/>
  </r>
  <r>
    <s v="Rural+Urban"/>
    <n v="2014"/>
    <s v="January"/>
    <x v="13"/>
    <s v="Housing"/>
    <n v="111.6"/>
    <x v="10"/>
  </r>
  <r>
    <s v="Rural+Urban"/>
    <n v="2014"/>
    <s v="January"/>
    <x v="13"/>
    <s v="Fuel and light"/>
    <n v="112.2"/>
    <x v="3"/>
  </r>
  <r>
    <s v="Rural+Urban"/>
    <n v="2014"/>
    <s v="January"/>
    <x v="13"/>
    <s v="Household goods and services"/>
    <n v="112.3"/>
    <x v="4"/>
  </r>
  <r>
    <s v="Rural+Urban"/>
    <n v="2014"/>
    <s v="January"/>
    <x v="13"/>
    <s v="Health"/>
    <n v="110.3"/>
    <x v="5"/>
  </r>
  <r>
    <s v="Rural+Urban"/>
    <n v="2014"/>
    <s v="January"/>
    <x v="13"/>
    <s v="Transport and communication"/>
    <n v="110.7"/>
    <x v="6"/>
  </r>
  <r>
    <s v="Rural+Urban"/>
    <n v="2014"/>
    <s v="January"/>
    <x v="13"/>
    <s v="Recreation and amusement"/>
    <n v="109.7"/>
    <x v="1"/>
  </r>
  <r>
    <s v="Rural+Urban"/>
    <n v="2014"/>
    <s v="January"/>
    <x v="13"/>
    <s v="Education"/>
    <n v="111.6"/>
    <x v="7"/>
  </r>
  <r>
    <s v="Rural+Urban"/>
    <n v="2014"/>
    <s v="January"/>
    <x v="13"/>
    <s v="Personal care and effects"/>
    <n v="108.2"/>
    <x v="4"/>
  </r>
  <r>
    <s v="Rural+Urban"/>
    <n v="2014"/>
    <s v="January"/>
    <x v="13"/>
    <s v="Miscellaneous"/>
    <n v="110.6"/>
    <x v="8"/>
  </r>
  <r>
    <s v="Rural+Urban"/>
    <n v="2014"/>
    <s v="January"/>
    <x v="13"/>
    <s v="General index"/>
    <n v="113.6"/>
    <x v="9"/>
  </r>
  <r>
    <s v="Rural"/>
    <n v="2014"/>
    <s v="February"/>
    <x v="14"/>
    <s v="Cereals and products"/>
    <n v="119.4"/>
    <x v="0"/>
  </r>
  <r>
    <s v="Rural"/>
    <n v="2014"/>
    <s v="February"/>
    <x v="14"/>
    <s v="Meat and fish"/>
    <n v="117.7"/>
    <x v="0"/>
  </r>
  <r>
    <s v="Rural"/>
    <n v="2014"/>
    <s v="February"/>
    <x v="14"/>
    <s v="Egg"/>
    <n v="121.2"/>
    <x v="0"/>
  </r>
  <r>
    <s v="Rural"/>
    <n v="2014"/>
    <s v="February"/>
    <x v="14"/>
    <s v="Milk and products"/>
    <n v="115"/>
    <x v="0"/>
  </r>
  <r>
    <s v="Rural"/>
    <n v="2014"/>
    <s v="February"/>
    <x v="14"/>
    <s v="Oils and fats"/>
    <n v="109"/>
    <x v="0"/>
  </r>
  <r>
    <s v="Rural"/>
    <n v="2014"/>
    <s v="February"/>
    <x v="14"/>
    <s v="Fruits"/>
    <n v="116.6"/>
    <x v="0"/>
  </r>
  <r>
    <s v="Rural"/>
    <n v="2014"/>
    <s v="February"/>
    <x v="14"/>
    <s v="Vegetables"/>
    <n v="116"/>
    <x v="0"/>
  </r>
  <r>
    <s v="Rural"/>
    <n v="2014"/>
    <s v="February"/>
    <x v="14"/>
    <s v="Pulses and products"/>
    <n v="109.8"/>
    <x v="0"/>
  </r>
  <r>
    <s v="Rural"/>
    <n v="2014"/>
    <s v="February"/>
    <x v="14"/>
    <s v="Sugar and Confectionery"/>
    <n v="101.1"/>
    <x v="0"/>
  </r>
  <r>
    <s v="Rural"/>
    <n v="2014"/>
    <s v="February"/>
    <x v="14"/>
    <s v="Spices"/>
    <n v="110.4"/>
    <x v="0"/>
  </r>
  <r>
    <s v="Rural"/>
    <n v="2014"/>
    <s v="February"/>
    <x v="14"/>
    <s v="Non-alcoholic beverages"/>
    <n v="112.9"/>
    <x v="0"/>
  </r>
  <r>
    <s v="Rural"/>
    <n v="2014"/>
    <s v="February"/>
    <x v="14"/>
    <s v="Prepared meals, snacks, sweets etc."/>
    <n v="117.8"/>
    <x v="0"/>
  </r>
  <r>
    <s v="Rural"/>
    <n v="2014"/>
    <s v="February"/>
    <x v="14"/>
    <s v="Food and beverages"/>
    <n v="115.3"/>
    <x v="0"/>
  </r>
  <r>
    <s v="Rural"/>
    <n v="2014"/>
    <s v="February"/>
    <x v="14"/>
    <s v="Pan, tobacco and intoxicants"/>
    <n v="114.2"/>
    <x v="1"/>
  </r>
  <r>
    <s v="Rural"/>
    <n v="2014"/>
    <s v="February"/>
    <x v="14"/>
    <s v="Clothing"/>
    <n v="117.1"/>
    <x v="2"/>
  </r>
  <r>
    <s v="Rural"/>
    <n v="2014"/>
    <s v="February"/>
    <x v="14"/>
    <s v="Footwear"/>
    <n v="114.5"/>
    <x v="2"/>
  </r>
  <r>
    <s v="Rural"/>
    <n v="2014"/>
    <s v="February"/>
    <x v="14"/>
    <s v="Clothing and footwear"/>
    <n v="116.7"/>
    <x v="2"/>
  </r>
  <r>
    <s v="Rural"/>
    <n v="2014"/>
    <s v="February"/>
    <x v="14"/>
    <s v="Fuel and light"/>
    <n v="113.2"/>
    <x v="3"/>
  </r>
  <r>
    <s v="Rural"/>
    <n v="2014"/>
    <s v="February"/>
    <x v="14"/>
    <s v="Household goods and services"/>
    <n v="112.9"/>
    <x v="4"/>
  </r>
  <r>
    <s v="Rural"/>
    <n v="2014"/>
    <s v="February"/>
    <x v="14"/>
    <s v="Health"/>
    <n v="110.9"/>
    <x v="5"/>
  </r>
  <r>
    <s v="Rural"/>
    <n v="2014"/>
    <s v="February"/>
    <x v="14"/>
    <s v="Transport and communication"/>
    <n v="110.8"/>
    <x v="6"/>
  </r>
  <r>
    <s v="Rural"/>
    <n v="2014"/>
    <s v="February"/>
    <x v="14"/>
    <s v="Recreation and amusement"/>
    <n v="109.9"/>
    <x v="1"/>
  </r>
  <r>
    <s v="Rural"/>
    <n v="2014"/>
    <s v="February"/>
    <x v="14"/>
    <s v="Education"/>
    <n v="112"/>
    <x v="7"/>
  </r>
  <r>
    <s v="Rural"/>
    <n v="2014"/>
    <s v="February"/>
    <x v="14"/>
    <s v="Personal care and effects"/>
    <n v="108.7"/>
    <x v="4"/>
  </r>
  <r>
    <s v="Rural"/>
    <n v="2014"/>
    <s v="February"/>
    <x v="14"/>
    <s v="Miscellaneous"/>
    <n v="110.9"/>
    <x v="8"/>
  </r>
  <r>
    <s v="Rural"/>
    <n v="2014"/>
    <s v="February"/>
    <x v="14"/>
    <s v="General index"/>
    <n v="114"/>
    <x v="9"/>
  </r>
  <r>
    <s v="Urban"/>
    <n v="2014"/>
    <s v="February"/>
    <x v="14"/>
    <s v="Cereals and products"/>
    <n v="121.9"/>
    <x v="0"/>
  </r>
  <r>
    <s v="Urban"/>
    <n v="2014"/>
    <s v="February"/>
    <x v="14"/>
    <s v="Meat and fish"/>
    <n v="122"/>
    <x v="0"/>
  </r>
  <r>
    <s v="Urban"/>
    <n v="2014"/>
    <s v="February"/>
    <x v="14"/>
    <s v="Egg"/>
    <n v="124.5"/>
    <x v="0"/>
  </r>
  <r>
    <s v="Urban"/>
    <n v="2014"/>
    <s v="February"/>
    <x v="14"/>
    <s v="Milk and products"/>
    <n v="115.2"/>
    <x v="0"/>
  </r>
  <r>
    <s v="Urban"/>
    <n v="2014"/>
    <s v="February"/>
    <x v="14"/>
    <s v="Oils and fats"/>
    <n v="102.5"/>
    <x v="0"/>
  </r>
  <r>
    <s v="Urban"/>
    <n v="2014"/>
    <s v="February"/>
    <x v="14"/>
    <s v="Fruits"/>
    <n v="114.1"/>
    <x v="0"/>
  </r>
  <r>
    <s v="Urban"/>
    <n v="2014"/>
    <s v="February"/>
    <x v="14"/>
    <s v="Vegetables"/>
    <n v="111.5"/>
    <x v="0"/>
  </r>
  <r>
    <s v="Urban"/>
    <n v="2014"/>
    <s v="February"/>
    <x v="14"/>
    <s v="Pulses and products"/>
    <n v="108.2"/>
    <x v="0"/>
  </r>
  <r>
    <s v="Urban"/>
    <n v="2014"/>
    <s v="February"/>
    <x v="14"/>
    <s v="Sugar and Confectionery"/>
    <n v="95.4"/>
    <x v="0"/>
  </r>
  <r>
    <s v="Urban"/>
    <n v="2014"/>
    <s v="February"/>
    <x v="14"/>
    <s v="Spices"/>
    <n v="113.5"/>
    <x v="0"/>
  </r>
  <r>
    <s v="Urban"/>
    <n v="2014"/>
    <s v="February"/>
    <x v="14"/>
    <s v="Non-alcoholic beverages"/>
    <n v="112.1"/>
    <x v="0"/>
  </r>
  <r>
    <s v="Urban"/>
    <n v="2014"/>
    <s v="February"/>
    <x v="14"/>
    <s v="Prepared meals, snacks, sweets etc."/>
    <n v="119.9"/>
    <x v="0"/>
  </r>
  <r>
    <s v="Urban"/>
    <n v="2014"/>
    <s v="February"/>
    <x v="14"/>
    <s v="Food and beverages"/>
    <n v="115.2"/>
    <x v="0"/>
  </r>
  <r>
    <s v="Urban"/>
    <n v="2014"/>
    <s v="February"/>
    <x v="14"/>
    <s v="Pan, tobacco and intoxicants"/>
    <n v="116.2"/>
    <x v="1"/>
  </r>
  <r>
    <s v="Urban"/>
    <n v="2014"/>
    <s v="February"/>
    <x v="14"/>
    <s v="Clothing"/>
    <n v="115.3"/>
    <x v="2"/>
  </r>
  <r>
    <s v="Urban"/>
    <n v="2014"/>
    <s v="February"/>
    <x v="14"/>
    <s v="Footwear"/>
    <n v="111.7"/>
    <x v="2"/>
  </r>
  <r>
    <s v="Urban"/>
    <n v="2014"/>
    <s v="February"/>
    <x v="14"/>
    <s v="Clothing and footwear"/>
    <n v="114.7"/>
    <x v="2"/>
  </r>
  <r>
    <s v="Urban"/>
    <n v="2014"/>
    <s v="February"/>
    <x v="14"/>
    <s v="Housing"/>
    <n v="112.5"/>
    <x v="10"/>
  </r>
  <r>
    <s v="Urban"/>
    <n v="2014"/>
    <s v="February"/>
    <x v="14"/>
    <s v="Fuel and light"/>
    <n v="111.1"/>
    <x v="3"/>
  </r>
  <r>
    <s v="Urban"/>
    <n v="2014"/>
    <s v="February"/>
    <x v="14"/>
    <s v="Household goods and services"/>
    <n v="112.6"/>
    <x v="4"/>
  </r>
  <r>
    <s v="Urban"/>
    <n v="2014"/>
    <s v="February"/>
    <x v="14"/>
    <s v="Health"/>
    <n v="110.4"/>
    <x v="5"/>
  </r>
  <r>
    <s v="Urban"/>
    <n v="2014"/>
    <s v="February"/>
    <x v="14"/>
    <s v="Transport and communication"/>
    <n v="111.3"/>
    <x v="6"/>
  </r>
  <r>
    <s v="Urban"/>
    <n v="2014"/>
    <s v="February"/>
    <x v="14"/>
    <s v="Recreation and amusement"/>
    <n v="110.3"/>
    <x v="1"/>
  </r>
  <r>
    <s v="Urban"/>
    <n v="2014"/>
    <s v="February"/>
    <x v="14"/>
    <s v="Education"/>
    <n v="111.6"/>
    <x v="7"/>
  </r>
  <r>
    <s v="Urban"/>
    <n v="2014"/>
    <s v="February"/>
    <x v="14"/>
    <s v="Personal care and effects"/>
    <n v="108.7"/>
    <x v="4"/>
  </r>
  <r>
    <s v="Urban"/>
    <n v="2014"/>
    <s v="February"/>
    <x v="14"/>
    <s v="Miscellaneous"/>
    <n v="111"/>
    <x v="8"/>
  </r>
  <r>
    <s v="Urban"/>
    <n v="2014"/>
    <s v="February"/>
    <x v="14"/>
    <s v="General index"/>
    <n v="113.1"/>
    <x v="9"/>
  </r>
  <r>
    <s v="Rural+Urban"/>
    <n v="2014"/>
    <s v="February"/>
    <x v="14"/>
    <s v="Cereals and products"/>
    <n v="120.2"/>
    <x v="0"/>
  </r>
  <r>
    <s v="Rural+Urban"/>
    <n v="2014"/>
    <s v="February"/>
    <x v="14"/>
    <s v="Meat and fish"/>
    <n v="119.2"/>
    <x v="0"/>
  </r>
  <r>
    <s v="Rural+Urban"/>
    <n v="2014"/>
    <s v="February"/>
    <x v="14"/>
    <s v="Egg"/>
    <n v="122.5"/>
    <x v="0"/>
  </r>
  <r>
    <s v="Rural+Urban"/>
    <n v="2014"/>
    <s v="February"/>
    <x v="14"/>
    <s v="Milk and products"/>
    <n v="115.1"/>
    <x v="0"/>
  </r>
  <r>
    <s v="Rural+Urban"/>
    <n v="2014"/>
    <s v="February"/>
    <x v="14"/>
    <s v="Oils and fats"/>
    <n v="106.6"/>
    <x v="0"/>
  </r>
  <r>
    <s v="Rural+Urban"/>
    <n v="2014"/>
    <s v="February"/>
    <x v="14"/>
    <s v="Fruits"/>
    <n v="115.4"/>
    <x v="0"/>
  </r>
  <r>
    <s v="Rural+Urban"/>
    <n v="2014"/>
    <s v="February"/>
    <x v="14"/>
    <s v="Vegetables"/>
    <n v="114.5"/>
    <x v="0"/>
  </r>
  <r>
    <s v="Rural+Urban"/>
    <n v="2014"/>
    <s v="February"/>
    <x v="14"/>
    <s v="Pulses and products"/>
    <n v="109.3"/>
    <x v="0"/>
  </r>
  <r>
    <s v="Rural+Urban"/>
    <n v="2014"/>
    <s v="February"/>
    <x v="14"/>
    <s v="Sugar and Confectionery"/>
    <n v="99.2"/>
    <x v="0"/>
  </r>
  <r>
    <s v="Rural+Urban"/>
    <n v="2014"/>
    <s v="February"/>
    <x v="14"/>
    <s v="Spices"/>
    <n v="111.4"/>
    <x v="0"/>
  </r>
  <r>
    <s v="Rural+Urban"/>
    <n v="2014"/>
    <s v="February"/>
    <x v="14"/>
    <s v="Non-alcoholic beverages"/>
    <n v="112.6"/>
    <x v="0"/>
  </r>
  <r>
    <s v="Rural+Urban"/>
    <n v="2014"/>
    <s v="February"/>
    <x v="14"/>
    <s v="Prepared meals, snacks, sweets etc."/>
    <n v="118.8"/>
    <x v="0"/>
  </r>
  <r>
    <s v="Rural+Urban"/>
    <n v="2014"/>
    <s v="February"/>
    <x v="14"/>
    <s v="Food and beverages"/>
    <n v="115.3"/>
    <x v="0"/>
  </r>
  <r>
    <s v="Rural+Urban"/>
    <n v="2014"/>
    <s v="February"/>
    <x v="14"/>
    <s v="Pan, tobacco and intoxicants"/>
    <n v="114.7"/>
    <x v="1"/>
  </r>
  <r>
    <s v="Rural+Urban"/>
    <n v="2014"/>
    <s v="February"/>
    <x v="14"/>
    <s v="Clothing"/>
    <n v="116.4"/>
    <x v="2"/>
  </r>
  <r>
    <s v="Rural+Urban"/>
    <n v="2014"/>
    <s v="February"/>
    <x v="14"/>
    <s v="Footwear"/>
    <n v="113.3"/>
    <x v="2"/>
  </r>
  <r>
    <s v="Rural+Urban"/>
    <n v="2014"/>
    <s v="February"/>
    <x v="14"/>
    <s v="Clothing and footwear"/>
    <n v="115.9"/>
    <x v="2"/>
  </r>
  <r>
    <s v="Rural+Urban"/>
    <n v="2014"/>
    <s v="February"/>
    <x v="14"/>
    <s v="Housing"/>
    <n v="112.5"/>
    <x v="10"/>
  </r>
  <r>
    <s v="Rural+Urban"/>
    <n v="2014"/>
    <s v="February"/>
    <x v="14"/>
    <s v="Fuel and light"/>
    <n v="112.4"/>
    <x v="3"/>
  </r>
  <r>
    <s v="Rural+Urban"/>
    <n v="2014"/>
    <s v="February"/>
    <x v="14"/>
    <s v="Household goods and services"/>
    <n v="112.8"/>
    <x v="4"/>
  </r>
  <r>
    <s v="Rural+Urban"/>
    <n v="2014"/>
    <s v="February"/>
    <x v="14"/>
    <s v="Health"/>
    <n v="110.7"/>
    <x v="5"/>
  </r>
  <r>
    <s v="Rural+Urban"/>
    <n v="2014"/>
    <s v="February"/>
    <x v="14"/>
    <s v="Transport and communication"/>
    <n v="111.1"/>
    <x v="6"/>
  </r>
  <r>
    <s v="Rural+Urban"/>
    <n v="2014"/>
    <s v="February"/>
    <x v="14"/>
    <s v="Recreation and amusement"/>
    <n v="110.1"/>
    <x v="1"/>
  </r>
  <r>
    <s v="Rural+Urban"/>
    <n v="2014"/>
    <s v="February"/>
    <x v="14"/>
    <s v="Education"/>
    <n v="111.8"/>
    <x v="7"/>
  </r>
  <r>
    <s v="Rural+Urban"/>
    <n v="2014"/>
    <s v="February"/>
    <x v="14"/>
    <s v="Personal care and effects"/>
    <n v="108.7"/>
    <x v="4"/>
  </r>
  <r>
    <s v="Rural+Urban"/>
    <n v="2014"/>
    <s v="February"/>
    <x v="14"/>
    <s v="Miscellaneous"/>
    <n v="110.9"/>
    <x v="8"/>
  </r>
  <r>
    <s v="Rural+Urban"/>
    <n v="2014"/>
    <s v="February"/>
    <x v="14"/>
    <s v="General index"/>
    <n v="113.6"/>
    <x v="9"/>
  </r>
  <r>
    <s v="Rural"/>
    <n v="2014"/>
    <s v="March"/>
    <x v="15"/>
    <s v="Cereals and products"/>
    <n v="120.1"/>
    <x v="0"/>
  </r>
  <r>
    <s v="Rural"/>
    <n v="2014"/>
    <s v="March"/>
    <x v="15"/>
    <s v="Meat and fish"/>
    <n v="118.1"/>
    <x v="0"/>
  </r>
  <r>
    <s v="Rural"/>
    <n v="2014"/>
    <s v="March"/>
    <x v="15"/>
    <s v="Egg"/>
    <n v="120.7"/>
    <x v="0"/>
  </r>
  <r>
    <s v="Rural"/>
    <n v="2014"/>
    <s v="March"/>
    <x v="15"/>
    <s v="Milk and products"/>
    <n v="116.1"/>
    <x v="0"/>
  </r>
  <r>
    <s v="Rural"/>
    <n v="2014"/>
    <s v="March"/>
    <x v="15"/>
    <s v="Oils and fats"/>
    <n v="109.3"/>
    <x v="0"/>
  </r>
  <r>
    <s v="Rural"/>
    <n v="2014"/>
    <s v="March"/>
    <x v="15"/>
    <s v="Fruits"/>
    <n v="119.6"/>
    <x v="0"/>
  </r>
  <r>
    <s v="Rural"/>
    <n v="2014"/>
    <s v="March"/>
    <x v="15"/>
    <s v="Vegetables"/>
    <n v="117.9"/>
    <x v="0"/>
  </r>
  <r>
    <s v="Rural"/>
    <n v="2014"/>
    <s v="March"/>
    <x v="15"/>
    <s v="Pulses and products"/>
    <n v="110.2"/>
    <x v="0"/>
  </r>
  <r>
    <s v="Rural"/>
    <n v="2014"/>
    <s v="March"/>
    <x v="15"/>
    <s v="Sugar and Confectionery"/>
    <n v="101.2"/>
    <x v="0"/>
  </r>
  <r>
    <s v="Rural"/>
    <n v="2014"/>
    <s v="March"/>
    <x v="15"/>
    <s v="Spices"/>
    <n v="110.7"/>
    <x v="0"/>
  </r>
  <r>
    <s v="Rural"/>
    <n v="2014"/>
    <s v="March"/>
    <x v="15"/>
    <s v="Non-alcoholic beverages"/>
    <n v="113"/>
    <x v="0"/>
  </r>
  <r>
    <s v="Rural"/>
    <n v="2014"/>
    <s v="March"/>
    <x v="15"/>
    <s v="Prepared meals, snacks, sweets etc."/>
    <n v="118.3"/>
    <x v="0"/>
  </r>
  <r>
    <s v="Rural"/>
    <n v="2014"/>
    <s v="March"/>
    <x v="15"/>
    <s v="Food and beverages"/>
    <n v="116.2"/>
    <x v="0"/>
  </r>
  <r>
    <s v="Rural"/>
    <n v="2014"/>
    <s v="March"/>
    <x v="15"/>
    <s v="Pan, tobacco and intoxicants"/>
    <n v="114.6"/>
    <x v="1"/>
  </r>
  <r>
    <s v="Rural"/>
    <n v="2014"/>
    <s v="March"/>
    <x v="15"/>
    <s v="Clothing"/>
    <n v="117.5"/>
    <x v="2"/>
  </r>
  <r>
    <s v="Rural"/>
    <n v="2014"/>
    <s v="March"/>
    <x v="15"/>
    <s v="Footwear"/>
    <n v="114.9"/>
    <x v="2"/>
  </r>
  <r>
    <s v="Rural"/>
    <n v="2014"/>
    <s v="March"/>
    <x v="15"/>
    <s v="Clothing and footwear"/>
    <n v="117.2"/>
    <x v="2"/>
  </r>
  <r>
    <s v="Rural"/>
    <n v="2014"/>
    <s v="March"/>
    <x v="15"/>
    <s v="Fuel and light"/>
    <n v="113.4"/>
    <x v="3"/>
  </r>
  <r>
    <s v="Rural"/>
    <n v="2014"/>
    <s v="March"/>
    <x v="15"/>
    <s v="Household goods and services"/>
    <n v="113.4"/>
    <x v="4"/>
  </r>
  <r>
    <s v="Rural"/>
    <n v="2014"/>
    <s v="March"/>
    <x v="15"/>
    <s v="Health"/>
    <n v="111.4"/>
    <x v="5"/>
  </r>
  <r>
    <s v="Rural"/>
    <n v="2014"/>
    <s v="March"/>
    <x v="15"/>
    <s v="Transport and communication"/>
    <n v="111.2"/>
    <x v="6"/>
  </r>
  <r>
    <s v="Rural"/>
    <n v="2014"/>
    <s v="March"/>
    <x v="15"/>
    <s v="Recreation and amusement"/>
    <n v="110.2"/>
    <x v="1"/>
  </r>
  <r>
    <s v="Rural"/>
    <n v="2014"/>
    <s v="March"/>
    <x v="15"/>
    <s v="Education"/>
    <n v="112.4"/>
    <x v="7"/>
  </r>
  <r>
    <s v="Rural"/>
    <n v="2014"/>
    <s v="March"/>
    <x v="15"/>
    <s v="Personal care and effects"/>
    <n v="108.9"/>
    <x v="4"/>
  </r>
  <r>
    <s v="Rural"/>
    <n v="2014"/>
    <s v="March"/>
    <x v="15"/>
    <s v="Miscellaneous"/>
    <n v="111.3"/>
    <x v="8"/>
  </r>
  <r>
    <s v="Rural"/>
    <n v="2014"/>
    <s v="March"/>
    <x v="15"/>
    <s v="General index"/>
    <n v="114.6"/>
    <x v="9"/>
  </r>
  <r>
    <s v="Urban"/>
    <n v="2014"/>
    <s v="March"/>
    <x v="15"/>
    <s v="Cereals and products"/>
    <n v="122.1"/>
    <x v="0"/>
  </r>
  <r>
    <s v="Urban"/>
    <n v="2014"/>
    <s v="March"/>
    <x v="15"/>
    <s v="Meat and fish"/>
    <n v="121.4"/>
    <x v="0"/>
  </r>
  <r>
    <s v="Urban"/>
    <n v="2014"/>
    <s v="March"/>
    <x v="15"/>
    <s v="Egg"/>
    <n v="121.5"/>
    <x v="0"/>
  </r>
  <r>
    <s v="Urban"/>
    <n v="2014"/>
    <s v="March"/>
    <x v="15"/>
    <s v="Milk and products"/>
    <n v="116.2"/>
    <x v="0"/>
  </r>
  <r>
    <s v="Urban"/>
    <n v="2014"/>
    <s v="March"/>
    <x v="15"/>
    <s v="Oils and fats"/>
    <n v="102.8"/>
    <x v="0"/>
  </r>
  <r>
    <s v="Urban"/>
    <n v="2014"/>
    <s v="March"/>
    <x v="15"/>
    <s v="Fruits"/>
    <n v="117.7"/>
    <x v="0"/>
  </r>
  <r>
    <s v="Urban"/>
    <n v="2014"/>
    <s v="March"/>
    <x v="15"/>
    <s v="Vegetables"/>
    <n v="113.3"/>
    <x v="0"/>
  </r>
  <r>
    <s v="Urban"/>
    <n v="2014"/>
    <s v="March"/>
    <x v="15"/>
    <s v="Pulses and products"/>
    <n v="108.9"/>
    <x v="0"/>
  </r>
  <r>
    <s v="Urban"/>
    <n v="2014"/>
    <s v="March"/>
    <x v="15"/>
    <s v="Sugar and Confectionery"/>
    <n v="96.3"/>
    <x v="0"/>
  </r>
  <r>
    <s v="Urban"/>
    <n v="2014"/>
    <s v="March"/>
    <x v="15"/>
    <s v="Spices"/>
    <n v="114.1"/>
    <x v="0"/>
  </r>
  <r>
    <s v="Urban"/>
    <n v="2014"/>
    <s v="March"/>
    <x v="15"/>
    <s v="Non-alcoholic beverages"/>
    <n v="112.2"/>
    <x v="0"/>
  </r>
  <r>
    <s v="Urban"/>
    <n v="2014"/>
    <s v="March"/>
    <x v="15"/>
    <s v="Prepared meals, snacks, sweets etc."/>
    <n v="120.5"/>
    <x v="0"/>
  </r>
  <r>
    <s v="Urban"/>
    <n v="2014"/>
    <s v="March"/>
    <x v="15"/>
    <s v="Food and beverages"/>
    <n v="116"/>
    <x v="0"/>
  </r>
  <r>
    <s v="Urban"/>
    <n v="2014"/>
    <s v="March"/>
    <x v="15"/>
    <s v="Pan, tobacco and intoxicants"/>
    <n v="116.7"/>
    <x v="1"/>
  </r>
  <r>
    <s v="Urban"/>
    <n v="2014"/>
    <s v="March"/>
    <x v="15"/>
    <s v="Clothing"/>
    <n v="115.8"/>
    <x v="2"/>
  </r>
  <r>
    <s v="Urban"/>
    <n v="2014"/>
    <s v="March"/>
    <x v="15"/>
    <s v="Footwear"/>
    <n v="112.1"/>
    <x v="2"/>
  </r>
  <r>
    <s v="Urban"/>
    <n v="2014"/>
    <s v="March"/>
    <x v="15"/>
    <s v="Clothing and footwear"/>
    <n v="115.2"/>
    <x v="2"/>
  </r>
  <r>
    <s v="Urban"/>
    <n v="2014"/>
    <s v="March"/>
    <x v="15"/>
    <s v="Housing"/>
    <n v="113.2"/>
    <x v="10"/>
  </r>
  <r>
    <s v="Urban"/>
    <n v="2014"/>
    <s v="March"/>
    <x v="15"/>
    <s v="Fuel and light"/>
    <n v="110.9"/>
    <x v="3"/>
  </r>
  <r>
    <s v="Urban"/>
    <n v="2014"/>
    <s v="March"/>
    <x v="15"/>
    <s v="Household goods and services"/>
    <n v="113"/>
    <x v="4"/>
  </r>
  <r>
    <s v="Urban"/>
    <n v="2014"/>
    <s v="March"/>
    <x v="15"/>
    <s v="Health"/>
    <n v="110.8"/>
    <x v="5"/>
  </r>
  <r>
    <s v="Urban"/>
    <n v="2014"/>
    <s v="March"/>
    <x v="15"/>
    <s v="Transport and communication"/>
    <n v="111.6"/>
    <x v="6"/>
  </r>
  <r>
    <s v="Urban"/>
    <n v="2014"/>
    <s v="March"/>
    <x v="15"/>
    <s v="Recreation and amusement"/>
    <n v="110.9"/>
    <x v="1"/>
  </r>
  <r>
    <s v="Urban"/>
    <n v="2014"/>
    <s v="March"/>
    <x v="15"/>
    <s v="Education"/>
    <n v="111.8"/>
    <x v="7"/>
  </r>
  <r>
    <s v="Urban"/>
    <n v="2014"/>
    <s v="March"/>
    <x v="15"/>
    <s v="Personal care and effects"/>
    <n v="109.2"/>
    <x v="4"/>
  </r>
  <r>
    <s v="Urban"/>
    <n v="2014"/>
    <s v="March"/>
    <x v="15"/>
    <s v="Miscellaneous"/>
    <n v="111.4"/>
    <x v="8"/>
  </r>
  <r>
    <s v="Urban"/>
    <n v="2014"/>
    <s v="March"/>
    <x v="15"/>
    <s v="General index"/>
    <n v="113.7"/>
    <x v="9"/>
  </r>
  <r>
    <s v="Rural+Urban"/>
    <n v="2014"/>
    <s v="March"/>
    <x v="15"/>
    <s v="Cereals and products"/>
    <n v="120.7"/>
    <x v="0"/>
  </r>
  <r>
    <s v="Rural+Urban"/>
    <n v="2014"/>
    <s v="March"/>
    <x v="15"/>
    <s v="Meat and fish"/>
    <n v="119.3"/>
    <x v="0"/>
  </r>
  <r>
    <s v="Rural+Urban"/>
    <n v="2014"/>
    <s v="March"/>
    <x v="15"/>
    <s v="Egg"/>
    <n v="121"/>
    <x v="0"/>
  </r>
  <r>
    <s v="Rural+Urban"/>
    <n v="2014"/>
    <s v="March"/>
    <x v="15"/>
    <s v="Milk and products"/>
    <n v="116.1"/>
    <x v="0"/>
  </r>
  <r>
    <s v="Rural+Urban"/>
    <n v="2014"/>
    <s v="March"/>
    <x v="15"/>
    <s v="Oils and fats"/>
    <n v="106.9"/>
    <x v="0"/>
  </r>
  <r>
    <s v="Rural+Urban"/>
    <n v="2014"/>
    <s v="March"/>
    <x v="15"/>
    <s v="Fruits"/>
    <n v="118.7"/>
    <x v="0"/>
  </r>
  <r>
    <s v="Rural+Urban"/>
    <n v="2014"/>
    <s v="March"/>
    <x v="15"/>
    <s v="Vegetables"/>
    <n v="116.3"/>
    <x v="0"/>
  </r>
  <r>
    <s v="Rural+Urban"/>
    <n v="2014"/>
    <s v="March"/>
    <x v="15"/>
    <s v="Pulses and products"/>
    <n v="109.8"/>
    <x v="0"/>
  </r>
  <r>
    <s v="Rural+Urban"/>
    <n v="2014"/>
    <s v="March"/>
    <x v="15"/>
    <s v="Sugar and Confectionery"/>
    <n v="99.6"/>
    <x v="0"/>
  </r>
  <r>
    <s v="Rural+Urban"/>
    <n v="2014"/>
    <s v="March"/>
    <x v="15"/>
    <s v="Spices"/>
    <n v="111.8"/>
    <x v="0"/>
  </r>
  <r>
    <s v="Rural+Urban"/>
    <n v="2014"/>
    <s v="March"/>
    <x v="15"/>
    <s v="Non-alcoholic beverages"/>
    <n v="112.7"/>
    <x v="0"/>
  </r>
  <r>
    <s v="Rural+Urban"/>
    <n v="2014"/>
    <s v="March"/>
    <x v="15"/>
    <s v="Prepared meals, snacks, sweets etc."/>
    <n v="119.3"/>
    <x v="0"/>
  </r>
  <r>
    <s v="Rural+Urban"/>
    <n v="2014"/>
    <s v="March"/>
    <x v="15"/>
    <s v="Food and beverages"/>
    <n v="116.1"/>
    <x v="0"/>
  </r>
  <r>
    <s v="Rural+Urban"/>
    <n v="2014"/>
    <s v="March"/>
    <x v="15"/>
    <s v="Pan, tobacco and intoxicants"/>
    <n v="115.2"/>
    <x v="1"/>
  </r>
  <r>
    <s v="Rural+Urban"/>
    <n v="2014"/>
    <s v="March"/>
    <x v="15"/>
    <s v="Clothing"/>
    <n v="116.8"/>
    <x v="2"/>
  </r>
  <r>
    <s v="Rural+Urban"/>
    <n v="2014"/>
    <s v="March"/>
    <x v="15"/>
    <s v="Footwear"/>
    <n v="113.7"/>
    <x v="2"/>
  </r>
  <r>
    <s v="Rural+Urban"/>
    <n v="2014"/>
    <s v="March"/>
    <x v="15"/>
    <s v="Clothing and footwear"/>
    <n v="116.4"/>
    <x v="2"/>
  </r>
  <r>
    <s v="Rural+Urban"/>
    <n v="2014"/>
    <s v="March"/>
    <x v="15"/>
    <s v="Housing"/>
    <n v="113.2"/>
    <x v="10"/>
  </r>
  <r>
    <s v="Rural+Urban"/>
    <n v="2014"/>
    <s v="March"/>
    <x v="15"/>
    <s v="Fuel and light"/>
    <n v="112.5"/>
    <x v="3"/>
  </r>
  <r>
    <s v="Rural+Urban"/>
    <n v="2014"/>
    <s v="March"/>
    <x v="15"/>
    <s v="Household goods and services"/>
    <n v="113.2"/>
    <x v="4"/>
  </r>
  <r>
    <s v="Rural+Urban"/>
    <n v="2014"/>
    <s v="March"/>
    <x v="15"/>
    <s v="Health"/>
    <n v="111.2"/>
    <x v="5"/>
  </r>
  <r>
    <s v="Rural+Urban"/>
    <n v="2014"/>
    <s v="March"/>
    <x v="15"/>
    <s v="Transport and communication"/>
    <n v="111.4"/>
    <x v="6"/>
  </r>
  <r>
    <s v="Rural+Urban"/>
    <n v="2014"/>
    <s v="March"/>
    <x v="15"/>
    <s v="Recreation and amusement"/>
    <n v="110.6"/>
    <x v="1"/>
  </r>
  <r>
    <s v="Rural+Urban"/>
    <n v="2014"/>
    <s v="March"/>
    <x v="15"/>
    <s v="Education"/>
    <n v="112"/>
    <x v="7"/>
  </r>
  <r>
    <s v="Rural+Urban"/>
    <n v="2014"/>
    <s v="March"/>
    <x v="15"/>
    <s v="Personal care and effects"/>
    <n v="109"/>
    <x v="4"/>
  </r>
  <r>
    <s v="Rural+Urban"/>
    <n v="2014"/>
    <s v="March"/>
    <x v="15"/>
    <s v="Miscellaneous"/>
    <n v="111.3"/>
    <x v="8"/>
  </r>
  <r>
    <s v="Rural+Urban"/>
    <n v="2014"/>
    <s v="March"/>
    <x v="15"/>
    <s v="General index"/>
    <n v="114.2"/>
    <x v="9"/>
  </r>
  <r>
    <s v="Rural"/>
    <n v="2014"/>
    <s v="April"/>
    <x v="16"/>
    <s v="Cereals and products"/>
    <n v="120.2"/>
    <x v="0"/>
  </r>
  <r>
    <s v="Rural"/>
    <n v="2014"/>
    <s v="April"/>
    <x v="16"/>
    <s v="Meat and fish"/>
    <n v="118.9"/>
    <x v="0"/>
  </r>
  <r>
    <s v="Rural"/>
    <n v="2014"/>
    <s v="April"/>
    <x v="16"/>
    <s v="Egg"/>
    <n v="118.1"/>
    <x v="0"/>
  </r>
  <r>
    <s v="Rural"/>
    <n v="2014"/>
    <s v="April"/>
    <x v="16"/>
    <s v="Milk and products"/>
    <n v="117"/>
    <x v="0"/>
  </r>
  <r>
    <s v="Rural"/>
    <n v="2014"/>
    <s v="April"/>
    <x v="16"/>
    <s v="Oils and fats"/>
    <n v="109.7"/>
    <x v="0"/>
  </r>
  <r>
    <s v="Rural"/>
    <n v="2014"/>
    <s v="April"/>
    <x v="16"/>
    <s v="Fruits"/>
    <n v="125.5"/>
    <x v="0"/>
  </r>
  <r>
    <s v="Rural"/>
    <n v="2014"/>
    <s v="April"/>
    <x v="16"/>
    <s v="Vegetables"/>
    <n v="120.5"/>
    <x v="0"/>
  </r>
  <r>
    <s v="Rural"/>
    <n v="2014"/>
    <s v="April"/>
    <x v="16"/>
    <s v="Pulses and products"/>
    <n v="111"/>
    <x v="0"/>
  </r>
  <r>
    <s v="Rural"/>
    <n v="2014"/>
    <s v="April"/>
    <x v="16"/>
    <s v="Sugar and Confectionery"/>
    <n v="102.6"/>
    <x v="0"/>
  </r>
  <r>
    <s v="Rural"/>
    <n v="2014"/>
    <s v="April"/>
    <x v="16"/>
    <s v="Spices"/>
    <n v="111.2"/>
    <x v="0"/>
  </r>
  <r>
    <s v="Rural"/>
    <n v="2014"/>
    <s v="April"/>
    <x v="16"/>
    <s v="Non-alcoholic beverages"/>
    <n v="113.5"/>
    <x v="0"/>
  </r>
  <r>
    <s v="Rural"/>
    <n v="2014"/>
    <s v="April"/>
    <x v="16"/>
    <s v="Prepared meals, snacks, sweets etc."/>
    <n v="118.7"/>
    <x v="0"/>
  </r>
  <r>
    <s v="Rural"/>
    <n v="2014"/>
    <s v="April"/>
    <x v="16"/>
    <s v="Food and beverages"/>
    <n v="117.2"/>
    <x v="0"/>
  </r>
  <r>
    <s v="Rural"/>
    <n v="2014"/>
    <s v="April"/>
    <x v="16"/>
    <s v="Pan, tobacco and intoxicants"/>
    <n v="115.4"/>
    <x v="1"/>
  </r>
  <r>
    <s v="Rural"/>
    <n v="2014"/>
    <s v="April"/>
    <x v="16"/>
    <s v="Clothing"/>
    <n v="118.1"/>
    <x v="2"/>
  </r>
  <r>
    <s v="Rural"/>
    <n v="2014"/>
    <s v="April"/>
    <x v="16"/>
    <s v="Footwear"/>
    <n v="116.1"/>
    <x v="2"/>
  </r>
  <r>
    <s v="Rural"/>
    <n v="2014"/>
    <s v="April"/>
    <x v="16"/>
    <s v="Clothing and footwear"/>
    <n v="117.8"/>
    <x v="2"/>
  </r>
  <r>
    <s v="Rural"/>
    <n v="2014"/>
    <s v="April"/>
    <x v="16"/>
    <s v="Fuel and light"/>
    <n v="113.4"/>
    <x v="3"/>
  </r>
  <r>
    <s v="Rural"/>
    <n v="2014"/>
    <s v="April"/>
    <x v="16"/>
    <s v="Household goods and services"/>
    <n v="113.7"/>
    <x v="4"/>
  </r>
  <r>
    <s v="Rural"/>
    <n v="2014"/>
    <s v="April"/>
    <x v="16"/>
    <s v="Health"/>
    <n v="111.8"/>
    <x v="5"/>
  </r>
  <r>
    <s v="Rural"/>
    <n v="2014"/>
    <s v="April"/>
    <x v="16"/>
    <s v="Transport and communication"/>
    <n v="111.2"/>
    <x v="6"/>
  </r>
  <r>
    <s v="Rural"/>
    <n v="2014"/>
    <s v="April"/>
    <x v="16"/>
    <s v="Recreation and amusement"/>
    <n v="110.5"/>
    <x v="1"/>
  </r>
  <r>
    <s v="Rural"/>
    <n v="2014"/>
    <s v="April"/>
    <x v="16"/>
    <s v="Education"/>
    <n v="113"/>
    <x v="7"/>
  </r>
  <r>
    <s v="Rural"/>
    <n v="2014"/>
    <s v="April"/>
    <x v="16"/>
    <s v="Personal care and effects"/>
    <n v="108.9"/>
    <x v="4"/>
  </r>
  <r>
    <s v="Rural"/>
    <n v="2014"/>
    <s v="April"/>
    <x v="16"/>
    <s v="Miscellaneous"/>
    <n v="111.5"/>
    <x v="8"/>
  </r>
  <r>
    <s v="Rural"/>
    <n v="2014"/>
    <s v="April"/>
    <x v="16"/>
    <s v="General index"/>
    <n v="115.4"/>
    <x v="9"/>
  </r>
  <r>
    <s v="Urban"/>
    <n v="2014"/>
    <s v="April"/>
    <x v="16"/>
    <s v="Cereals and products"/>
    <n v="122.5"/>
    <x v="0"/>
  </r>
  <r>
    <s v="Urban"/>
    <n v="2014"/>
    <s v="April"/>
    <x v="16"/>
    <s v="Meat and fish"/>
    <n v="121.7"/>
    <x v="0"/>
  </r>
  <r>
    <s v="Urban"/>
    <n v="2014"/>
    <s v="April"/>
    <x v="16"/>
    <s v="Egg"/>
    <n v="113.3"/>
    <x v="0"/>
  </r>
  <r>
    <s v="Urban"/>
    <n v="2014"/>
    <s v="April"/>
    <x v="16"/>
    <s v="Milk and products"/>
    <n v="117"/>
    <x v="0"/>
  </r>
  <r>
    <s v="Urban"/>
    <n v="2014"/>
    <s v="April"/>
    <x v="16"/>
    <s v="Oils and fats"/>
    <n v="103.1"/>
    <x v="0"/>
  </r>
  <r>
    <s v="Urban"/>
    <n v="2014"/>
    <s v="April"/>
    <x v="16"/>
    <s v="Fruits"/>
    <n v="126.7"/>
    <x v="0"/>
  </r>
  <r>
    <s v="Urban"/>
    <n v="2014"/>
    <s v="April"/>
    <x v="16"/>
    <s v="Vegetables"/>
    <n v="121.2"/>
    <x v="0"/>
  </r>
  <r>
    <s v="Urban"/>
    <n v="2014"/>
    <s v="April"/>
    <x v="16"/>
    <s v="Pulses and products"/>
    <n v="111"/>
    <x v="0"/>
  </r>
  <r>
    <s v="Urban"/>
    <n v="2014"/>
    <s v="April"/>
    <x v="16"/>
    <s v="Sugar and Confectionery"/>
    <n v="100.3"/>
    <x v="0"/>
  </r>
  <r>
    <s v="Urban"/>
    <n v="2014"/>
    <s v="April"/>
    <x v="16"/>
    <s v="Spices"/>
    <n v="115.3"/>
    <x v="0"/>
  </r>
  <r>
    <s v="Urban"/>
    <n v="2014"/>
    <s v="April"/>
    <x v="16"/>
    <s v="Non-alcoholic beverages"/>
    <n v="112.7"/>
    <x v="0"/>
  </r>
  <r>
    <s v="Urban"/>
    <n v="2014"/>
    <s v="April"/>
    <x v="16"/>
    <s v="Prepared meals, snacks, sweets etc."/>
    <n v="121"/>
    <x v="0"/>
  </r>
  <r>
    <s v="Urban"/>
    <n v="2014"/>
    <s v="April"/>
    <x v="16"/>
    <s v="Food and beverages"/>
    <n v="118.2"/>
    <x v="0"/>
  </r>
  <r>
    <s v="Urban"/>
    <n v="2014"/>
    <s v="April"/>
    <x v="16"/>
    <s v="Pan, tobacco and intoxicants"/>
    <n v="117.6"/>
    <x v="1"/>
  </r>
  <r>
    <s v="Urban"/>
    <n v="2014"/>
    <s v="April"/>
    <x v="16"/>
    <s v="Clothing"/>
    <n v="116.3"/>
    <x v="2"/>
  </r>
  <r>
    <s v="Urban"/>
    <n v="2014"/>
    <s v="April"/>
    <x v="16"/>
    <s v="Footwear"/>
    <n v="112.5"/>
    <x v="2"/>
  </r>
  <r>
    <s v="Urban"/>
    <n v="2014"/>
    <s v="April"/>
    <x v="16"/>
    <s v="Clothing and footwear"/>
    <n v="115.7"/>
    <x v="2"/>
  </r>
  <r>
    <s v="Urban"/>
    <n v="2014"/>
    <s v="April"/>
    <x v="16"/>
    <s v="Housing"/>
    <n v="113.9"/>
    <x v="10"/>
  </r>
  <r>
    <s v="Urban"/>
    <n v="2014"/>
    <s v="April"/>
    <x v="16"/>
    <s v="Fuel and light"/>
    <n v="110.9"/>
    <x v="3"/>
  </r>
  <r>
    <s v="Urban"/>
    <n v="2014"/>
    <s v="April"/>
    <x v="16"/>
    <s v="Household goods and services"/>
    <n v="113.4"/>
    <x v="4"/>
  </r>
  <r>
    <s v="Urban"/>
    <n v="2014"/>
    <s v="April"/>
    <x v="16"/>
    <s v="Health"/>
    <n v="111"/>
    <x v="5"/>
  </r>
  <r>
    <s v="Urban"/>
    <n v="2014"/>
    <s v="April"/>
    <x v="16"/>
    <s v="Transport and communication"/>
    <n v="111.2"/>
    <x v="6"/>
  </r>
  <r>
    <s v="Urban"/>
    <n v="2014"/>
    <s v="April"/>
    <x v="16"/>
    <s v="Recreation and amusement"/>
    <n v="111.2"/>
    <x v="1"/>
  </r>
  <r>
    <s v="Urban"/>
    <n v="2014"/>
    <s v="April"/>
    <x v="16"/>
    <s v="Education"/>
    <n v="112.5"/>
    <x v="7"/>
  </r>
  <r>
    <s v="Urban"/>
    <n v="2014"/>
    <s v="April"/>
    <x v="16"/>
    <s v="Personal care and effects"/>
    <n v="109.1"/>
    <x v="4"/>
  </r>
  <r>
    <s v="Urban"/>
    <n v="2014"/>
    <s v="April"/>
    <x v="16"/>
    <s v="Miscellaneous"/>
    <n v="111.4"/>
    <x v="8"/>
  </r>
  <r>
    <s v="Urban"/>
    <n v="2014"/>
    <s v="April"/>
    <x v="16"/>
    <s v="General index"/>
    <n v="114.7"/>
    <x v="9"/>
  </r>
  <r>
    <s v="Rural+Urban"/>
    <n v="2014"/>
    <s v="April"/>
    <x v="16"/>
    <s v="Cereals and products"/>
    <n v="120.9"/>
    <x v="0"/>
  </r>
  <r>
    <s v="Rural+Urban"/>
    <n v="2014"/>
    <s v="April"/>
    <x v="16"/>
    <s v="Meat and fish"/>
    <n v="119.9"/>
    <x v="0"/>
  </r>
  <r>
    <s v="Rural+Urban"/>
    <n v="2014"/>
    <s v="April"/>
    <x v="16"/>
    <s v="Egg"/>
    <n v="116.2"/>
    <x v="0"/>
  </r>
  <r>
    <s v="Rural+Urban"/>
    <n v="2014"/>
    <s v="April"/>
    <x v="16"/>
    <s v="Milk and products"/>
    <n v="117"/>
    <x v="0"/>
  </r>
  <r>
    <s v="Rural+Urban"/>
    <n v="2014"/>
    <s v="April"/>
    <x v="16"/>
    <s v="Oils and fats"/>
    <n v="107.3"/>
    <x v="0"/>
  </r>
  <r>
    <s v="Rural+Urban"/>
    <n v="2014"/>
    <s v="April"/>
    <x v="16"/>
    <s v="Fruits"/>
    <n v="126.1"/>
    <x v="0"/>
  </r>
  <r>
    <s v="Rural+Urban"/>
    <n v="2014"/>
    <s v="April"/>
    <x v="16"/>
    <s v="Vegetables"/>
    <n v="120.7"/>
    <x v="0"/>
  </r>
  <r>
    <s v="Rural+Urban"/>
    <n v="2014"/>
    <s v="April"/>
    <x v="16"/>
    <s v="Pulses and products"/>
    <n v="111"/>
    <x v="0"/>
  </r>
  <r>
    <s v="Rural+Urban"/>
    <n v="2014"/>
    <s v="April"/>
    <x v="16"/>
    <s v="Sugar and Confectionery"/>
    <n v="101.8"/>
    <x v="0"/>
  </r>
  <r>
    <s v="Rural+Urban"/>
    <n v="2014"/>
    <s v="April"/>
    <x v="16"/>
    <s v="Spices"/>
    <n v="112.6"/>
    <x v="0"/>
  </r>
  <r>
    <s v="Rural+Urban"/>
    <n v="2014"/>
    <s v="April"/>
    <x v="16"/>
    <s v="Non-alcoholic beverages"/>
    <n v="113.2"/>
    <x v="0"/>
  </r>
  <r>
    <s v="Rural+Urban"/>
    <n v="2014"/>
    <s v="April"/>
    <x v="16"/>
    <s v="Prepared meals, snacks, sweets etc."/>
    <n v="119.8"/>
    <x v="0"/>
  </r>
  <r>
    <s v="Rural+Urban"/>
    <n v="2014"/>
    <s v="April"/>
    <x v="16"/>
    <s v="Food and beverages"/>
    <n v="117.6"/>
    <x v="0"/>
  </r>
  <r>
    <s v="Rural+Urban"/>
    <n v="2014"/>
    <s v="April"/>
    <x v="16"/>
    <s v="Pan, tobacco and intoxicants"/>
    <n v="116"/>
    <x v="1"/>
  </r>
  <r>
    <s v="Rural+Urban"/>
    <n v="2014"/>
    <s v="April"/>
    <x v="16"/>
    <s v="Clothing"/>
    <n v="117.4"/>
    <x v="2"/>
  </r>
  <r>
    <s v="Rural+Urban"/>
    <n v="2014"/>
    <s v="April"/>
    <x v="16"/>
    <s v="Footwear"/>
    <n v="114.6"/>
    <x v="2"/>
  </r>
  <r>
    <s v="Rural+Urban"/>
    <n v="2014"/>
    <s v="April"/>
    <x v="16"/>
    <s v="Clothing and footwear"/>
    <n v="117"/>
    <x v="2"/>
  </r>
  <r>
    <s v="Rural+Urban"/>
    <n v="2014"/>
    <s v="April"/>
    <x v="16"/>
    <s v="Housing"/>
    <n v="113.9"/>
    <x v="10"/>
  </r>
  <r>
    <s v="Rural+Urban"/>
    <n v="2014"/>
    <s v="April"/>
    <x v="16"/>
    <s v="Fuel and light"/>
    <n v="112.5"/>
    <x v="3"/>
  </r>
  <r>
    <s v="Rural+Urban"/>
    <n v="2014"/>
    <s v="April"/>
    <x v="16"/>
    <s v="Household goods and services"/>
    <n v="113.6"/>
    <x v="4"/>
  </r>
  <r>
    <s v="Rural+Urban"/>
    <n v="2014"/>
    <s v="April"/>
    <x v="16"/>
    <s v="Health"/>
    <n v="111.5"/>
    <x v="5"/>
  </r>
  <r>
    <s v="Rural+Urban"/>
    <n v="2014"/>
    <s v="April"/>
    <x v="16"/>
    <s v="Transport and communication"/>
    <n v="111.2"/>
    <x v="6"/>
  </r>
  <r>
    <s v="Rural+Urban"/>
    <n v="2014"/>
    <s v="April"/>
    <x v="16"/>
    <s v="Recreation and amusement"/>
    <n v="110.9"/>
    <x v="1"/>
  </r>
  <r>
    <s v="Rural+Urban"/>
    <n v="2014"/>
    <s v="April"/>
    <x v="16"/>
    <s v="Education"/>
    <n v="112.7"/>
    <x v="7"/>
  </r>
  <r>
    <s v="Rural+Urban"/>
    <n v="2014"/>
    <s v="April"/>
    <x v="16"/>
    <s v="Personal care and effects"/>
    <n v="109"/>
    <x v="4"/>
  </r>
  <r>
    <s v="Rural+Urban"/>
    <n v="2014"/>
    <s v="April"/>
    <x v="16"/>
    <s v="Miscellaneous"/>
    <n v="111.5"/>
    <x v="8"/>
  </r>
  <r>
    <s v="Rural+Urban"/>
    <n v="2014"/>
    <s v="April"/>
    <x v="16"/>
    <s v="General index"/>
    <n v="115.1"/>
    <x v="9"/>
  </r>
  <r>
    <s v="Rural"/>
    <n v="2014"/>
    <s v="May"/>
    <x v="17"/>
    <s v="Cereals and products"/>
    <n v="120.3"/>
    <x v="0"/>
  </r>
  <r>
    <s v="Rural"/>
    <n v="2014"/>
    <s v="May"/>
    <x v="17"/>
    <s v="Meat and fish"/>
    <n v="120.2"/>
    <x v="0"/>
  </r>
  <r>
    <s v="Rural"/>
    <n v="2014"/>
    <s v="May"/>
    <x v="17"/>
    <s v="Egg"/>
    <n v="116.9"/>
    <x v="0"/>
  </r>
  <r>
    <s v="Rural"/>
    <n v="2014"/>
    <s v="May"/>
    <x v="17"/>
    <s v="Milk and products"/>
    <n v="118"/>
    <x v="0"/>
  </r>
  <r>
    <s v="Rural"/>
    <n v="2014"/>
    <s v="May"/>
    <x v="17"/>
    <s v="Oils and fats"/>
    <n v="110.1"/>
    <x v="0"/>
  </r>
  <r>
    <s v="Rural"/>
    <n v="2014"/>
    <s v="May"/>
    <x v="17"/>
    <s v="Fruits"/>
    <n v="126.3"/>
    <x v="0"/>
  </r>
  <r>
    <s v="Rural"/>
    <n v="2014"/>
    <s v="May"/>
    <x v="17"/>
    <s v="Vegetables"/>
    <n v="123.9"/>
    <x v="0"/>
  </r>
  <r>
    <s v="Rural"/>
    <n v="2014"/>
    <s v="May"/>
    <x v="17"/>
    <s v="Pulses and products"/>
    <n v="111.5"/>
    <x v="0"/>
  </r>
  <r>
    <s v="Rural"/>
    <n v="2014"/>
    <s v="May"/>
    <x v="17"/>
    <s v="Sugar and Confectionery"/>
    <n v="103.5"/>
    <x v="0"/>
  </r>
  <r>
    <s v="Rural"/>
    <n v="2014"/>
    <s v="May"/>
    <x v="17"/>
    <s v="Spices"/>
    <n v="111.6"/>
    <x v="0"/>
  </r>
  <r>
    <s v="Rural"/>
    <n v="2014"/>
    <s v="May"/>
    <x v="17"/>
    <s v="Non-alcoholic beverages"/>
    <n v="114.2"/>
    <x v="0"/>
  </r>
  <r>
    <s v="Rural"/>
    <n v="2014"/>
    <s v="May"/>
    <x v="17"/>
    <s v="Prepared meals, snacks, sweets etc."/>
    <n v="119.2"/>
    <x v="0"/>
  </r>
  <r>
    <s v="Rural"/>
    <n v="2014"/>
    <s v="May"/>
    <x v="17"/>
    <s v="Food and beverages"/>
    <n v="118.2"/>
    <x v="0"/>
  </r>
  <r>
    <s v="Rural"/>
    <n v="2014"/>
    <s v="May"/>
    <x v="17"/>
    <s v="Pan, tobacco and intoxicants"/>
    <n v="116.3"/>
    <x v="1"/>
  </r>
  <r>
    <s v="Rural"/>
    <n v="2014"/>
    <s v="May"/>
    <x v="17"/>
    <s v="Clothing"/>
    <n v="118.7"/>
    <x v="2"/>
  </r>
  <r>
    <s v="Rural"/>
    <n v="2014"/>
    <s v="May"/>
    <x v="17"/>
    <s v="Footwear"/>
    <n v="116.8"/>
    <x v="2"/>
  </r>
  <r>
    <s v="Rural"/>
    <n v="2014"/>
    <s v="May"/>
    <x v="17"/>
    <s v="Clothing and footwear"/>
    <n v="118.5"/>
    <x v="2"/>
  </r>
  <r>
    <s v="Rural"/>
    <n v="2014"/>
    <s v="May"/>
    <x v="17"/>
    <s v="Fuel and light"/>
    <n v="113.4"/>
    <x v="3"/>
  </r>
  <r>
    <s v="Rural"/>
    <n v="2014"/>
    <s v="May"/>
    <x v="17"/>
    <s v="Household goods and services"/>
    <n v="114.1"/>
    <x v="4"/>
  </r>
  <r>
    <s v="Rural"/>
    <n v="2014"/>
    <s v="May"/>
    <x v="17"/>
    <s v="Health"/>
    <n v="112.1"/>
    <x v="5"/>
  </r>
  <r>
    <s v="Rural"/>
    <n v="2014"/>
    <s v="May"/>
    <x v="17"/>
    <s v="Transport and communication"/>
    <n v="111.4"/>
    <x v="6"/>
  </r>
  <r>
    <s v="Rural"/>
    <n v="2014"/>
    <s v="May"/>
    <x v="17"/>
    <s v="Recreation and amusement"/>
    <n v="110.9"/>
    <x v="1"/>
  </r>
  <r>
    <s v="Rural"/>
    <n v="2014"/>
    <s v="May"/>
    <x v="17"/>
    <s v="Education"/>
    <n v="113.1"/>
    <x v="7"/>
  </r>
  <r>
    <s v="Rural"/>
    <n v="2014"/>
    <s v="May"/>
    <x v="17"/>
    <s v="Personal care and effects"/>
    <n v="108.9"/>
    <x v="4"/>
  </r>
  <r>
    <s v="Rural"/>
    <n v="2014"/>
    <s v="May"/>
    <x v="17"/>
    <s v="Miscellaneous"/>
    <n v="111.8"/>
    <x v="8"/>
  </r>
  <r>
    <s v="Rural"/>
    <n v="2014"/>
    <s v="May"/>
    <x v="17"/>
    <s v="General index"/>
    <n v="116"/>
    <x v="9"/>
  </r>
  <r>
    <s v="Urban"/>
    <n v="2014"/>
    <s v="May"/>
    <x v="17"/>
    <s v="Cereals and products"/>
    <n v="122.7"/>
    <x v="0"/>
  </r>
  <r>
    <s v="Urban"/>
    <n v="2014"/>
    <s v="May"/>
    <x v="17"/>
    <s v="Meat and fish"/>
    <n v="124.1"/>
    <x v="0"/>
  </r>
  <r>
    <s v="Urban"/>
    <n v="2014"/>
    <s v="May"/>
    <x v="17"/>
    <s v="Egg"/>
    <n v="114.2"/>
    <x v="0"/>
  </r>
  <r>
    <s v="Urban"/>
    <n v="2014"/>
    <s v="May"/>
    <x v="17"/>
    <s v="Milk and products"/>
    <n v="119.1"/>
    <x v="0"/>
  </r>
  <r>
    <s v="Urban"/>
    <n v="2014"/>
    <s v="May"/>
    <x v="17"/>
    <s v="Oils and fats"/>
    <n v="103.5"/>
    <x v="0"/>
  </r>
  <r>
    <s v="Urban"/>
    <n v="2014"/>
    <s v="May"/>
    <x v="17"/>
    <s v="Fruits"/>
    <n v="129.19999999999999"/>
    <x v="0"/>
  </r>
  <r>
    <s v="Urban"/>
    <n v="2014"/>
    <s v="May"/>
    <x v="17"/>
    <s v="Vegetables"/>
    <n v="127"/>
    <x v="0"/>
  </r>
  <r>
    <s v="Urban"/>
    <n v="2014"/>
    <s v="May"/>
    <x v="17"/>
    <s v="Pulses and products"/>
    <n v="112.6"/>
    <x v="0"/>
  </r>
  <r>
    <s v="Urban"/>
    <n v="2014"/>
    <s v="May"/>
    <x v="17"/>
    <s v="Sugar and Confectionery"/>
    <n v="101.3"/>
    <x v="0"/>
  </r>
  <r>
    <s v="Urban"/>
    <n v="2014"/>
    <s v="May"/>
    <x v="17"/>
    <s v="Spices"/>
    <n v="117"/>
    <x v="0"/>
  </r>
  <r>
    <s v="Urban"/>
    <n v="2014"/>
    <s v="May"/>
    <x v="17"/>
    <s v="Non-alcoholic beverages"/>
    <n v="112.9"/>
    <x v="0"/>
  </r>
  <r>
    <s v="Urban"/>
    <n v="2014"/>
    <s v="May"/>
    <x v="17"/>
    <s v="Prepared meals, snacks, sweets etc."/>
    <n v="121.7"/>
    <x v="0"/>
  </r>
  <r>
    <s v="Urban"/>
    <n v="2014"/>
    <s v="May"/>
    <x v="17"/>
    <s v="Food and beverages"/>
    <n v="120"/>
    <x v="0"/>
  </r>
  <r>
    <s v="Urban"/>
    <n v="2014"/>
    <s v="May"/>
    <x v="17"/>
    <s v="Pan, tobacco and intoxicants"/>
    <n v="118.3"/>
    <x v="1"/>
  </r>
  <r>
    <s v="Urban"/>
    <n v="2014"/>
    <s v="May"/>
    <x v="17"/>
    <s v="Clothing"/>
    <n v="116.8"/>
    <x v="2"/>
  </r>
  <r>
    <s v="Urban"/>
    <n v="2014"/>
    <s v="May"/>
    <x v="17"/>
    <s v="Footwear"/>
    <n v="112.9"/>
    <x v="2"/>
  </r>
  <r>
    <s v="Urban"/>
    <n v="2014"/>
    <s v="May"/>
    <x v="17"/>
    <s v="Clothing and footwear"/>
    <n v="116.2"/>
    <x v="2"/>
  </r>
  <r>
    <s v="Urban"/>
    <n v="2014"/>
    <s v="May"/>
    <x v="17"/>
    <s v="Housing"/>
    <n v="114.3"/>
    <x v="10"/>
  </r>
  <r>
    <s v="Urban"/>
    <n v="2014"/>
    <s v="May"/>
    <x v="17"/>
    <s v="Fuel and light"/>
    <n v="111.1"/>
    <x v="3"/>
  </r>
  <r>
    <s v="Urban"/>
    <n v="2014"/>
    <s v="May"/>
    <x v="17"/>
    <s v="Household goods and services"/>
    <n v="114.1"/>
    <x v="4"/>
  </r>
  <r>
    <s v="Urban"/>
    <n v="2014"/>
    <s v="May"/>
    <x v="17"/>
    <s v="Health"/>
    <n v="111.2"/>
    <x v="5"/>
  </r>
  <r>
    <s v="Urban"/>
    <n v="2014"/>
    <s v="May"/>
    <x v="17"/>
    <s v="Transport and communication"/>
    <n v="111.3"/>
    <x v="6"/>
  </r>
  <r>
    <s v="Urban"/>
    <n v="2014"/>
    <s v="May"/>
    <x v="17"/>
    <s v="Recreation and amusement"/>
    <n v="111.5"/>
    <x v="1"/>
  </r>
  <r>
    <s v="Urban"/>
    <n v="2014"/>
    <s v="May"/>
    <x v="17"/>
    <s v="Education"/>
    <n v="112.9"/>
    <x v="7"/>
  </r>
  <r>
    <s v="Urban"/>
    <n v="2014"/>
    <s v="May"/>
    <x v="17"/>
    <s v="Personal care and effects"/>
    <n v="109.3"/>
    <x v="4"/>
  </r>
  <r>
    <s v="Urban"/>
    <n v="2014"/>
    <s v="May"/>
    <x v="17"/>
    <s v="Miscellaneous"/>
    <n v="111.7"/>
    <x v="8"/>
  </r>
  <r>
    <s v="Urban"/>
    <n v="2014"/>
    <s v="May"/>
    <x v="17"/>
    <s v="General index"/>
    <n v="115.6"/>
    <x v="9"/>
  </r>
  <r>
    <s v="Rural+Urban"/>
    <n v="2014"/>
    <s v="May"/>
    <x v="17"/>
    <s v="Cereals and products"/>
    <n v="121.1"/>
    <x v="0"/>
  </r>
  <r>
    <s v="Rural+Urban"/>
    <n v="2014"/>
    <s v="May"/>
    <x v="17"/>
    <s v="Meat and fish"/>
    <n v="121.6"/>
    <x v="0"/>
  </r>
  <r>
    <s v="Rural+Urban"/>
    <n v="2014"/>
    <s v="May"/>
    <x v="17"/>
    <s v="Egg"/>
    <n v="115.9"/>
    <x v="0"/>
  </r>
  <r>
    <s v="Rural+Urban"/>
    <n v="2014"/>
    <s v="May"/>
    <x v="17"/>
    <s v="Milk and products"/>
    <n v="118.4"/>
    <x v="0"/>
  </r>
  <r>
    <s v="Rural+Urban"/>
    <n v="2014"/>
    <s v="May"/>
    <x v="17"/>
    <s v="Oils and fats"/>
    <n v="107.7"/>
    <x v="0"/>
  </r>
  <r>
    <s v="Rural+Urban"/>
    <n v="2014"/>
    <s v="May"/>
    <x v="17"/>
    <s v="Fruits"/>
    <n v="127.7"/>
    <x v="0"/>
  </r>
  <r>
    <s v="Rural+Urban"/>
    <n v="2014"/>
    <s v="May"/>
    <x v="17"/>
    <s v="Vegetables"/>
    <n v="125"/>
    <x v="0"/>
  </r>
  <r>
    <s v="Rural+Urban"/>
    <n v="2014"/>
    <s v="May"/>
    <x v="17"/>
    <s v="Pulses and products"/>
    <n v="111.9"/>
    <x v="0"/>
  </r>
  <r>
    <s v="Rural+Urban"/>
    <n v="2014"/>
    <s v="May"/>
    <x v="17"/>
    <s v="Sugar and Confectionery"/>
    <n v="102.8"/>
    <x v="0"/>
  </r>
  <r>
    <s v="Rural+Urban"/>
    <n v="2014"/>
    <s v="May"/>
    <x v="17"/>
    <s v="Spices"/>
    <n v="113.4"/>
    <x v="0"/>
  </r>
  <r>
    <s v="Rural+Urban"/>
    <n v="2014"/>
    <s v="May"/>
    <x v="17"/>
    <s v="Non-alcoholic beverages"/>
    <n v="113.7"/>
    <x v="0"/>
  </r>
  <r>
    <s v="Rural+Urban"/>
    <n v="2014"/>
    <s v="May"/>
    <x v="17"/>
    <s v="Prepared meals, snacks, sweets etc."/>
    <n v="120.4"/>
    <x v="0"/>
  </r>
  <r>
    <s v="Rural+Urban"/>
    <n v="2014"/>
    <s v="May"/>
    <x v="17"/>
    <s v="Food and beverages"/>
    <n v="118.9"/>
    <x v="0"/>
  </r>
  <r>
    <s v="Rural+Urban"/>
    <n v="2014"/>
    <s v="May"/>
    <x v="17"/>
    <s v="Pan, tobacco and intoxicants"/>
    <n v="116.8"/>
    <x v="1"/>
  </r>
  <r>
    <s v="Rural+Urban"/>
    <n v="2014"/>
    <s v="May"/>
    <x v="17"/>
    <s v="Clothing"/>
    <n v="118"/>
    <x v="2"/>
  </r>
  <r>
    <s v="Rural+Urban"/>
    <n v="2014"/>
    <s v="May"/>
    <x v="17"/>
    <s v="Footwear"/>
    <n v="115.2"/>
    <x v="2"/>
  </r>
  <r>
    <s v="Rural+Urban"/>
    <n v="2014"/>
    <s v="May"/>
    <x v="17"/>
    <s v="Clothing and footwear"/>
    <n v="117.6"/>
    <x v="2"/>
  </r>
  <r>
    <s v="Rural+Urban"/>
    <n v="2014"/>
    <s v="May"/>
    <x v="17"/>
    <s v="Housing"/>
    <n v="114.3"/>
    <x v="10"/>
  </r>
  <r>
    <s v="Rural+Urban"/>
    <n v="2014"/>
    <s v="May"/>
    <x v="17"/>
    <s v="Fuel and light"/>
    <n v="112.5"/>
    <x v="3"/>
  </r>
  <r>
    <s v="Rural+Urban"/>
    <n v="2014"/>
    <s v="May"/>
    <x v="17"/>
    <s v="Household goods and services"/>
    <n v="114.1"/>
    <x v="4"/>
  </r>
  <r>
    <s v="Rural+Urban"/>
    <n v="2014"/>
    <s v="May"/>
    <x v="17"/>
    <s v="Health"/>
    <n v="111.8"/>
    <x v="5"/>
  </r>
  <r>
    <s v="Rural+Urban"/>
    <n v="2014"/>
    <s v="May"/>
    <x v="17"/>
    <s v="Transport and communication"/>
    <n v="111.3"/>
    <x v="6"/>
  </r>
  <r>
    <s v="Rural+Urban"/>
    <n v="2014"/>
    <s v="May"/>
    <x v="17"/>
    <s v="Recreation and amusement"/>
    <n v="111.2"/>
    <x v="1"/>
  </r>
  <r>
    <s v="Rural+Urban"/>
    <n v="2014"/>
    <s v="May"/>
    <x v="17"/>
    <s v="Education"/>
    <n v="113"/>
    <x v="7"/>
  </r>
  <r>
    <s v="Rural+Urban"/>
    <n v="2014"/>
    <s v="May"/>
    <x v="17"/>
    <s v="Personal care and effects"/>
    <n v="109.1"/>
    <x v="4"/>
  </r>
  <r>
    <s v="Rural+Urban"/>
    <n v="2014"/>
    <s v="May"/>
    <x v="17"/>
    <s v="Miscellaneous"/>
    <n v="111.8"/>
    <x v="8"/>
  </r>
  <r>
    <s v="Rural+Urban"/>
    <n v="2014"/>
    <s v="May"/>
    <x v="17"/>
    <s v="General index"/>
    <n v="115.8"/>
    <x v="9"/>
  </r>
  <r>
    <s v="Rural"/>
    <n v="2014"/>
    <s v="June"/>
    <x v="18"/>
    <s v="Cereals and products"/>
    <n v="120.7"/>
    <x v="0"/>
  </r>
  <r>
    <s v="Rural"/>
    <n v="2014"/>
    <s v="June"/>
    <x v="18"/>
    <s v="Meat and fish"/>
    <n v="121.6"/>
    <x v="0"/>
  </r>
  <r>
    <s v="Rural"/>
    <n v="2014"/>
    <s v="June"/>
    <x v="18"/>
    <s v="Egg"/>
    <n v="116.1"/>
    <x v="0"/>
  </r>
  <r>
    <s v="Rural"/>
    <n v="2014"/>
    <s v="June"/>
    <x v="18"/>
    <s v="Milk and products"/>
    <n v="119.3"/>
    <x v="0"/>
  </r>
  <r>
    <s v="Rural"/>
    <n v="2014"/>
    <s v="June"/>
    <x v="18"/>
    <s v="Oils and fats"/>
    <n v="110.3"/>
    <x v="0"/>
  </r>
  <r>
    <s v="Rural"/>
    <n v="2014"/>
    <s v="June"/>
    <x v="18"/>
    <s v="Fruits"/>
    <n v="125.8"/>
    <x v="0"/>
  </r>
  <r>
    <s v="Rural"/>
    <n v="2014"/>
    <s v="June"/>
    <x v="18"/>
    <s v="Vegetables"/>
    <n v="129.30000000000001"/>
    <x v="0"/>
  </r>
  <r>
    <s v="Rural"/>
    <n v="2014"/>
    <s v="June"/>
    <x v="18"/>
    <s v="Pulses and products"/>
    <n v="112.2"/>
    <x v="0"/>
  </r>
  <r>
    <s v="Rural"/>
    <n v="2014"/>
    <s v="June"/>
    <x v="18"/>
    <s v="Sugar and Confectionery"/>
    <n v="103.6"/>
    <x v="0"/>
  </r>
  <r>
    <s v="Rural"/>
    <n v="2014"/>
    <s v="June"/>
    <x v="18"/>
    <s v="Spices"/>
    <n v="112.3"/>
    <x v="0"/>
  </r>
  <r>
    <s v="Rural"/>
    <n v="2014"/>
    <s v="June"/>
    <x v="18"/>
    <s v="Non-alcoholic beverages"/>
    <n v="114.9"/>
    <x v="0"/>
  </r>
  <r>
    <s v="Rural"/>
    <n v="2014"/>
    <s v="June"/>
    <x v="18"/>
    <s v="Prepared meals, snacks, sweets etc."/>
    <n v="120.1"/>
    <x v="0"/>
  </r>
  <r>
    <s v="Rural"/>
    <n v="2014"/>
    <s v="June"/>
    <x v="18"/>
    <s v="Food and beverages"/>
    <n v="119.5"/>
    <x v="0"/>
  </r>
  <r>
    <s v="Rural"/>
    <n v="2014"/>
    <s v="June"/>
    <x v="18"/>
    <s v="Pan, tobacco and intoxicants"/>
    <n v="117.3"/>
    <x v="1"/>
  </r>
  <r>
    <s v="Rural"/>
    <n v="2014"/>
    <s v="June"/>
    <x v="18"/>
    <s v="Clothing"/>
    <n v="119.7"/>
    <x v="2"/>
  </r>
  <r>
    <s v="Rural"/>
    <n v="2014"/>
    <s v="June"/>
    <x v="18"/>
    <s v="Footwear"/>
    <n v="117.3"/>
    <x v="2"/>
  </r>
  <r>
    <s v="Rural"/>
    <n v="2014"/>
    <s v="June"/>
    <x v="18"/>
    <s v="Clothing and footwear"/>
    <n v="119.3"/>
    <x v="2"/>
  </r>
  <r>
    <s v="Rural"/>
    <n v="2014"/>
    <s v="June"/>
    <x v="18"/>
    <s v="Fuel and light"/>
    <n v="114.4"/>
    <x v="3"/>
  </r>
  <r>
    <s v="Rural"/>
    <n v="2014"/>
    <s v="June"/>
    <x v="18"/>
    <s v="Household goods and services"/>
    <n v="114.9"/>
    <x v="4"/>
  </r>
  <r>
    <s v="Rural"/>
    <n v="2014"/>
    <s v="June"/>
    <x v="18"/>
    <s v="Health"/>
    <n v="112.8"/>
    <x v="5"/>
  </r>
  <r>
    <s v="Rural"/>
    <n v="2014"/>
    <s v="June"/>
    <x v="18"/>
    <s v="Transport and communication"/>
    <n v="112.2"/>
    <x v="6"/>
  </r>
  <r>
    <s v="Rural"/>
    <n v="2014"/>
    <s v="June"/>
    <x v="18"/>
    <s v="Recreation and amusement"/>
    <n v="111.4"/>
    <x v="1"/>
  </r>
  <r>
    <s v="Rural"/>
    <n v="2014"/>
    <s v="June"/>
    <x v="18"/>
    <s v="Education"/>
    <n v="114.3"/>
    <x v="7"/>
  </r>
  <r>
    <s v="Rural"/>
    <n v="2014"/>
    <s v="June"/>
    <x v="18"/>
    <s v="Personal care and effects"/>
    <n v="108"/>
    <x v="4"/>
  </r>
  <r>
    <s v="Rural"/>
    <n v="2014"/>
    <s v="June"/>
    <x v="18"/>
    <s v="Miscellaneous"/>
    <n v="112.3"/>
    <x v="8"/>
  </r>
  <r>
    <s v="Rural"/>
    <n v="2014"/>
    <s v="June"/>
    <x v="18"/>
    <s v="General index"/>
    <n v="117"/>
    <x v="9"/>
  </r>
  <r>
    <s v="Urban"/>
    <n v="2014"/>
    <s v="June"/>
    <x v="18"/>
    <s v="Cereals and products"/>
    <n v="123.1"/>
    <x v="0"/>
  </r>
  <r>
    <s v="Urban"/>
    <n v="2014"/>
    <s v="June"/>
    <x v="18"/>
    <s v="Meat and fish"/>
    <n v="125.9"/>
    <x v="0"/>
  </r>
  <r>
    <s v="Urban"/>
    <n v="2014"/>
    <s v="June"/>
    <x v="18"/>
    <s v="Egg"/>
    <n v="115.4"/>
    <x v="0"/>
  </r>
  <r>
    <s v="Urban"/>
    <n v="2014"/>
    <s v="June"/>
    <x v="18"/>
    <s v="Milk and products"/>
    <n v="120.4"/>
    <x v="0"/>
  </r>
  <r>
    <s v="Urban"/>
    <n v="2014"/>
    <s v="June"/>
    <x v="18"/>
    <s v="Oils and fats"/>
    <n v="103.4"/>
    <x v="0"/>
  </r>
  <r>
    <s v="Urban"/>
    <n v="2014"/>
    <s v="June"/>
    <x v="18"/>
    <s v="Fruits"/>
    <n v="131.19999999999999"/>
    <x v="0"/>
  </r>
  <r>
    <s v="Urban"/>
    <n v="2014"/>
    <s v="June"/>
    <x v="18"/>
    <s v="Vegetables"/>
    <n v="137.5"/>
    <x v="0"/>
  </r>
  <r>
    <s v="Urban"/>
    <n v="2014"/>
    <s v="June"/>
    <x v="18"/>
    <s v="Pulses and products"/>
    <n v="112.8"/>
    <x v="0"/>
  </r>
  <r>
    <s v="Urban"/>
    <n v="2014"/>
    <s v="June"/>
    <x v="18"/>
    <s v="Sugar and Confectionery"/>
    <n v="101.4"/>
    <x v="0"/>
  </r>
  <r>
    <s v="Urban"/>
    <n v="2014"/>
    <s v="June"/>
    <x v="18"/>
    <s v="Spices"/>
    <n v="118.3"/>
    <x v="0"/>
  </r>
  <r>
    <s v="Urban"/>
    <n v="2014"/>
    <s v="June"/>
    <x v="18"/>
    <s v="Non-alcoholic beverages"/>
    <n v="113.2"/>
    <x v="0"/>
  </r>
  <r>
    <s v="Urban"/>
    <n v="2014"/>
    <s v="June"/>
    <x v="18"/>
    <s v="Prepared meals, snacks, sweets etc."/>
    <n v="122.4"/>
    <x v="0"/>
  </r>
  <r>
    <s v="Urban"/>
    <n v="2014"/>
    <s v="June"/>
    <x v="18"/>
    <s v="Food and beverages"/>
    <n v="122"/>
    <x v="0"/>
  </r>
  <r>
    <s v="Urban"/>
    <n v="2014"/>
    <s v="June"/>
    <x v="18"/>
    <s v="Pan, tobacco and intoxicants"/>
    <n v="119"/>
    <x v="1"/>
  </r>
  <r>
    <s v="Urban"/>
    <n v="2014"/>
    <s v="June"/>
    <x v="18"/>
    <s v="Clothing"/>
    <n v="117.4"/>
    <x v="2"/>
  </r>
  <r>
    <s v="Urban"/>
    <n v="2014"/>
    <s v="June"/>
    <x v="18"/>
    <s v="Footwear"/>
    <n v="113.2"/>
    <x v="2"/>
  </r>
  <r>
    <s v="Urban"/>
    <n v="2014"/>
    <s v="June"/>
    <x v="18"/>
    <s v="Clothing and footwear"/>
    <n v="116.7"/>
    <x v="2"/>
  </r>
  <r>
    <s v="Urban"/>
    <n v="2014"/>
    <s v="June"/>
    <x v="18"/>
    <s v="Housing"/>
    <n v="113.9"/>
    <x v="10"/>
  </r>
  <r>
    <s v="Urban"/>
    <n v="2014"/>
    <s v="June"/>
    <x v="18"/>
    <s v="Fuel and light"/>
    <n v="111.2"/>
    <x v="3"/>
  </r>
  <r>
    <s v="Urban"/>
    <n v="2014"/>
    <s v="June"/>
    <x v="18"/>
    <s v="Household goods and services"/>
    <n v="114.3"/>
    <x v="4"/>
  </r>
  <r>
    <s v="Urban"/>
    <n v="2014"/>
    <s v="June"/>
    <x v="18"/>
    <s v="Health"/>
    <n v="111.4"/>
    <x v="5"/>
  </r>
  <r>
    <s v="Urban"/>
    <n v="2014"/>
    <s v="June"/>
    <x v="18"/>
    <s v="Transport and communication"/>
    <n v="111.5"/>
    <x v="6"/>
  </r>
  <r>
    <s v="Urban"/>
    <n v="2014"/>
    <s v="June"/>
    <x v="18"/>
    <s v="Recreation and amusement"/>
    <n v="111.8"/>
    <x v="1"/>
  </r>
  <r>
    <s v="Urban"/>
    <n v="2014"/>
    <s v="June"/>
    <x v="18"/>
    <s v="Education"/>
    <n v="115.1"/>
    <x v="7"/>
  </r>
  <r>
    <s v="Urban"/>
    <n v="2014"/>
    <s v="June"/>
    <x v="18"/>
    <s v="Personal care and effects"/>
    <n v="108.7"/>
    <x v="4"/>
  </r>
  <r>
    <s v="Urban"/>
    <n v="2014"/>
    <s v="June"/>
    <x v="18"/>
    <s v="Miscellaneous"/>
    <n v="112.2"/>
    <x v="8"/>
  </r>
  <r>
    <s v="Urban"/>
    <n v="2014"/>
    <s v="June"/>
    <x v="18"/>
    <s v="General index"/>
    <n v="116.4"/>
    <x v="9"/>
  </r>
  <r>
    <s v="Rural+Urban"/>
    <n v="2014"/>
    <s v="June"/>
    <x v="18"/>
    <s v="Cereals and products"/>
    <n v="121.5"/>
    <x v="0"/>
  </r>
  <r>
    <s v="Rural+Urban"/>
    <n v="2014"/>
    <s v="June"/>
    <x v="18"/>
    <s v="Meat and fish"/>
    <n v="123.1"/>
    <x v="0"/>
  </r>
  <r>
    <s v="Rural+Urban"/>
    <n v="2014"/>
    <s v="June"/>
    <x v="18"/>
    <s v="Egg"/>
    <n v="115.8"/>
    <x v="0"/>
  </r>
  <r>
    <s v="Rural+Urban"/>
    <n v="2014"/>
    <s v="June"/>
    <x v="18"/>
    <s v="Milk and products"/>
    <n v="119.7"/>
    <x v="0"/>
  </r>
  <r>
    <s v="Rural+Urban"/>
    <n v="2014"/>
    <s v="June"/>
    <x v="18"/>
    <s v="Oils and fats"/>
    <n v="107.8"/>
    <x v="0"/>
  </r>
  <r>
    <s v="Rural+Urban"/>
    <n v="2014"/>
    <s v="June"/>
    <x v="18"/>
    <s v="Fruits"/>
    <n v="128.30000000000001"/>
    <x v="0"/>
  </r>
  <r>
    <s v="Rural+Urban"/>
    <n v="2014"/>
    <s v="June"/>
    <x v="18"/>
    <s v="Vegetables"/>
    <n v="132.1"/>
    <x v="0"/>
  </r>
  <r>
    <s v="Rural+Urban"/>
    <n v="2014"/>
    <s v="June"/>
    <x v="18"/>
    <s v="Pulses and products"/>
    <n v="112.4"/>
    <x v="0"/>
  </r>
  <r>
    <s v="Rural+Urban"/>
    <n v="2014"/>
    <s v="June"/>
    <x v="18"/>
    <s v="Sugar and Confectionery"/>
    <n v="102.9"/>
    <x v="0"/>
  </r>
  <r>
    <s v="Rural+Urban"/>
    <n v="2014"/>
    <s v="June"/>
    <x v="18"/>
    <s v="Spices"/>
    <n v="114.3"/>
    <x v="0"/>
  </r>
  <r>
    <s v="Rural+Urban"/>
    <n v="2014"/>
    <s v="June"/>
    <x v="18"/>
    <s v="Non-alcoholic beverages"/>
    <n v="114.2"/>
    <x v="0"/>
  </r>
  <r>
    <s v="Rural+Urban"/>
    <n v="2014"/>
    <s v="June"/>
    <x v="18"/>
    <s v="Prepared meals, snacks, sweets etc."/>
    <n v="121.2"/>
    <x v="0"/>
  </r>
  <r>
    <s v="Rural+Urban"/>
    <n v="2014"/>
    <s v="June"/>
    <x v="18"/>
    <s v="Food and beverages"/>
    <n v="120.4"/>
    <x v="0"/>
  </r>
  <r>
    <s v="Rural+Urban"/>
    <n v="2014"/>
    <s v="June"/>
    <x v="18"/>
    <s v="Pan, tobacco and intoxicants"/>
    <n v="117.8"/>
    <x v="1"/>
  </r>
  <r>
    <s v="Rural+Urban"/>
    <n v="2014"/>
    <s v="June"/>
    <x v="18"/>
    <s v="Clothing"/>
    <n v="118.8"/>
    <x v="2"/>
  </r>
  <r>
    <s v="Rural+Urban"/>
    <n v="2014"/>
    <s v="June"/>
    <x v="18"/>
    <s v="Footwear"/>
    <n v="115.6"/>
    <x v="2"/>
  </r>
  <r>
    <s v="Rural+Urban"/>
    <n v="2014"/>
    <s v="June"/>
    <x v="18"/>
    <s v="Clothing and footwear"/>
    <n v="118.3"/>
    <x v="2"/>
  </r>
  <r>
    <s v="Rural+Urban"/>
    <n v="2014"/>
    <s v="June"/>
    <x v="18"/>
    <s v="Housing"/>
    <n v="113.9"/>
    <x v="10"/>
  </r>
  <r>
    <s v="Rural+Urban"/>
    <n v="2014"/>
    <s v="June"/>
    <x v="18"/>
    <s v="Fuel and light"/>
    <n v="113.2"/>
    <x v="3"/>
  </r>
  <r>
    <s v="Rural+Urban"/>
    <n v="2014"/>
    <s v="June"/>
    <x v="18"/>
    <s v="Household goods and services"/>
    <n v="114.6"/>
    <x v="4"/>
  </r>
  <r>
    <s v="Rural+Urban"/>
    <n v="2014"/>
    <s v="June"/>
    <x v="18"/>
    <s v="Health"/>
    <n v="112.3"/>
    <x v="5"/>
  </r>
  <r>
    <s v="Rural+Urban"/>
    <n v="2014"/>
    <s v="June"/>
    <x v="18"/>
    <s v="Transport and communication"/>
    <n v="111.8"/>
    <x v="6"/>
  </r>
  <r>
    <s v="Rural+Urban"/>
    <n v="2014"/>
    <s v="June"/>
    <x v="18"/>
    <s v="Recreation and amusement"/>
    <n v="111.6"/>
    <x v="1"/>
  </r>
  <r>
    <s v="Rural+Urban"/>
    <n v="2014"/>
    <s v="June"/>
    <x v="18"/>
    <s v="Education"/>
    <n v="114.8"/>
    <x v="7"/>
  </r>
  <r>
    <s v="Rural+Urban"/>
    <n v="2014"/>
    <s v="June"/>
    <x v="18"/>
    <s v="Personal care and effects"/>
    <n v="108.3"/>
    <x v="4"/>
  </r>
  <r>
    <s v="Rural+Urban"/>
    <n v="2014"/>
    <s v="June"/>
    <x v="18"/>
    <s v="Miscellaneous"/>
    <n v="112.3"/>
    <x v="8"/>
  </r>
  <r>
    <s v="Rural+Urban"/>
    <n v="2014"/>
    <s v="June"/>
    <x v="18"/>
    <s v="General index"/>
    <n v="116.7"/>
    <x v="9"/>
  </r>
  <r>
    <s v="Rural"/>
    <n v="2014"/>
    <s v="July"/>
    <x v="19"/>
    <s v="Cereals and products"/>
    <n v="121.7"/>
    <x v="0"/>
  </r>
  <r>
    <s v="Rural"/>
    <n v="2014"/>
    <s v="July"/>
    <x v="19"/>
    <s v="Meat and fish"/>
    <n v="122.5"/>
    <x v="0"/>
  </r>
  <r>
    <s v="Rural"/>
    <n v="2014"/>
    <s v="July"/>
    <x v="19"/>
    <s v="Egg"/>
    <n v="117.7"/>
    <x v="0"/>
  </r>
  <r>
    <s v="Rural"/>
    <n v="2014"/>
    <s v="July"/>
    <x v="19"/>
    <s v="Milk and products"/>
    <n v="120.6"/>
    <x v="0"/>
  </r>
  <r>
    <s v="Rural"/>
    <n v="2014"/>
    <s v="July"/>
    <x v="19"/>
    <s v="Oils and fats"/>
    <n v="110.4"/>
    <x v="0"/>
  </r>
  <r>
    <s v="Rural"/>
    <n v="2014"/>
    <s v="July"/>
    <x v="19"/>
    <s v="Fruits"/>
    <n v="129.1"/>
    <x v="0"/>
  </r>
  <r>
    <s v="Rural"/>
    <n v="2014"/>
    <s v="July"/>
    <x v="19"/>
    <s v="Vegetables"/>
    <n v="150.1"/>
    <x v="0"/>
  </r>
  <r>
    <s v="Rural"/>
    <n v="2014"/>
    <s v="July"/>
    <x v="19"/>
    <s v="Pulses and products"/>
    <n v="113.2"/>
    <x v="0"/>
  </r>
  <r>
    <s v="Rural"/>
    <n v="2014"/>
    <s v="July"/>
    <x v="19"/>
    <s v="Sugar and Confectionery"/>
    <n v="104.8"/>
    <x v="0"/>
  </r>
  <r>
    <s v="Rural"/>
    <n v="2014"/>
    <s v="July"/>
    <x v="19"/>
    <s v="Spices"/>
    <n v="113.3"/>
    <x v="0"/>
  </r>
  <r>
    <s v="Rural"/>
    <n v="2014"/>
    <s v="July"/>
    <x v="19"/>
    <s v="Non-alcoholic beverages"/>
    <n v="115.6"/>
    <x v="0"/>
  </r>
  <r>
    <s v="Rural"/>
    <n v="2014"/>
    <s v="July"/>
    <x v="19"/>
    <s v="Prepared meals, snacks, sweets etc."/>
    <n v="120.9"/>
    <x v="0"/>
  </r>
  <r>
    <s v="Rural"/>
    <n v="2014"/>
    <s v="July"/>
    <x v="19"/>
    <s v="Food and beverages"/>
    <n v="123.3"/>
    <x v="0"/>
  </r>
  <r>
    <s v="Rural"/>
    <n v="2014"/>
    <s v="July"/>
    <x v="19"/>
    <s v="Pan, tobacco and intoxicants"/>
    <n v="118"/>
    <x v="1"/>
  </r>
  <r>
    <s v="Rural"/>
    <n v="2014"/>
    <s v="July"/>
    <x v="19"/>
    <s v="Clothing"/>
    <n v="120.7"/>
    <x v="2"/>
  </r>
  <r>
    <s v="Rural"/>
    <n v="2014"/>
    <s v="July"/>
    <x v="19"/>
    <s v="Footwear"/>
    <n v="118.3"/>
    <x v="2"/>
  </r>
  <r>
    <s v="Rural"/>
    <n v="2014"/>
    <s v="July"/>
    <x v="19"/>
    <s v="Clothing and footwear"/>
    <n v="120.3"/>
    <x v="2"/>
  </r>
  <r>
    <s v="Rural"/>
    <n v="2014"/>
    <s v="July"/>
    <x v="19"/>
    <s v="Fuel and light"/>
    <n v="115.3"/>
    <x v="3"/>
  </r>
  <r>
    <s v="Rural"/>
    <n v="2014"/>
    <s v="July"/>
    <x v="19"/>
    <s v="Household goods and services"/>
    <n v="115.4"/>
    <x v="4"/>
  </r>
  <r>
    <s v="Rural"/>
    <n v="2014"/>
    <s v="July"/>
    <x v="19"/>
    <s v="Health"/>
    <n v="113.4"/>
    <x v="5"/>
  </r>
  <r>
    <s v="Rural"/>
    <n v="2014"/>
    <s v="July"/>
    <x v="19"/>
    <s v="Transport and communication"/>
    <n v="113.2"/>
    <x v="6"/>
  </r>
  <r>
    <s v="Rural"/>
    <n v="2014"/>
    <s v="July"/>
    <x v="19"/>
    <s v="Recreation and amusement"/>
    <n v="111.8"/>
    <x v="1"/>
  </r>
  <r>
    <s v="Rural"/>
    <n v="2014"/>
    <s v="July"/>
    <x v="19"/>
    <s v="Education"/>
    <n v="115.5"/>
    <x v="7"/>
  </r>
  <r>
    <s v="Rural"/>
    <n v="2014"/>
    <s v="July"/>
    <x v="19"/>
    <s v="Personal care and effects"/>
    <n v="108.8"/>
    <x v="4"/>
  </r>
  <r>
    <s v="Rural"/>
    <n v="2014"/>
    <s v="July"/>
    <x v="19"/>
    <s v="Miscellaneous"/>
    <n v="113.1"/>
    <x v="8"/>
  </r>
  <r>
    <s v="Rural"/>
    <n v="2014"/>
    <s v="July"/>
    <x v="19"/>
    <s v="General index"/>
    <n v="119.5"/>
    <x v="9"/>
  </r>
  <r>
    <s v="Urban"/>
    <n v="2014"/>
    <s v="July"/>
    <x v="19"/>
    <s v="Cereals and products"/>
    <n v="123.8"/>
    <x v="0"/>
  </r>
  <r>
    <s v="Urban"/>
    <n v="2014"/>
    <s v="July"/>
    <x v="19"/>
    <s v="Meat and fish"/>
    <n v="126.4"/>
    <x v="0"/>
  </r>
  <r>
    <s v="Urban"/>
    <n v="2014"/>
    <s v="July"/>
    <x v="19"/>
    <s v="Egg"/>
    <n v="118"/>
    <x v="0"/>
  </r>
  <r>
    <s v="Urban"/>
    <n v="2014"/>
    <s v="July"/>
    <x v="19"/>
    <s v="Milk and products"/>
    <n v="121.6"/>
    <x v="0"/>
  </r>
  <r>
    <s v="Urban"/>
    <n v="2014"/>
    <s v="July"/>
    <x v="19"/>
    <s v="Oils and fats"/>
    <n v="103.5"/>
    <x v="0"/>
  </r>
  <r>
    <s v="Urban"/>
    <n v="2014"/>
    <s v="July"/>
    <x v="19"/>
    <s v="Fruits"/>
    <n v="133.69999999999999"/>
    <x v="0"/>
  </r>
  <r>
    <s v="Urban"/>
    <n v="2014"/>
    <s v="July"/>
    <x v="19"/>
    <s v="Vegetables"/>
    <n v="172.4"/>
    <x v="0"/>
  </r>
  <r>
    <s v="Urban"/>
    <n v="2014"/>
    <s v="July"/>
    <x v="19"/>
    <s v="Pulses and products"/>
    <n v="113.1"/>
    <x v="0"/>
  </r>
  <r>
    <s v="Urban"/>
    <n v="2014"/>
    <s v="July"/>
    <x v="19"/>
    <s v="Sugar and Confectionery"/>
    <n v="102.7"/>
    <x v="0"/>
  </r>
  <r>
    <s v="Urban"/>
    <n v="2014"/>
    <s v="July"/>
    <x v="19"/>
    <s v="Spices"/>
    <n v="120"/>
    <x v="0"/>
  </r>
  <r>
    <s v="Urban"/>
    <n v="2014"/>
    <s v="July"/>
    <x v="19"/>
    <s v="Non-alcoholic beverages"/>
    <n v="113.8"/>
    <x v="0"/>
  </r>
  <r>
    <s v="Urban"/>
    <n v="2014"/>
    <s v="July"/>
    <x v="19"/>
    <s v="Prepared meals, snacks, sweets etc."/>
    <n v="123.4"/>
    <x v="0"/>
  </r>
  <r>
    <s v="Urban"/>
    <n v="2014"/>
    <s v="July"/>
    <x v="19"/>
    <s v="Food and beverages"/>
    <n v="127.1"/>
    <x v="0"/>
  </r>
  <r>
    <s v="Urban"/>
    <n v="2014"/>
    <s v="July"/>
    <x v="19"/>
    <s v="Pan, tobacco and intoxicants"/>
    <n v="121"/>
    <x v="1"/>
  </r>
  <r>
    <s v="Urban"/>
    <n v="2014"/>
    <s v="July"/>
    <x v="19"/>
    <s v="Clothing"/>
    <n v="118"/>
    <x v="2"/>
  </r>
  <r>
    <s v="Urban"/>
    <n v="2014"/>
    <s v="July"/>
    <x v="19"/>
    <s v="Footwear"/>
    <n v="113.6"/>
    <x v="2"/>
  </r>
  <r>
    <s v="Urban"/>
    <n v="2014"/>
    <s v="July"/>
    <x v="19"/>
    <s v="Clothing and footwear"/>
    <n v="117.4"/>
    <x v="2"/>
  </r>
  <r>
    <s v="Urban"/>
    <n v="2014"/>
    <s v="July"/>
    <x v="19"/>
    <s v="Housing"/>
    <n v="114.8"/>
    <x v="10"/>
  </r>
  <r>
    <s v="Urban"/>
    <n v="2014"/>
    <s v="July"/>
    <x v="19"/>
    <s v="Fuel and light"/>
    <n v="111.6"/>
    <x v="3"/>
  </r>
  <r>
    <s v="Urban"/>
    <n v="2014"/>
    <s v="July"/>
    <x v="19"/>
    <s v="Household goods and services"/>
    <n v="114.9"/>
    <x v="4"/>
  </r>
  <r>
    <s v="Urban"/>
    <n v="2014"/>
    <s v="July"/>
    <x v="19"/>
    <s v="Health"/>
    <n v="111.5"/>
    <x v="5"/>
  </r>
  <r>
    <s v="Urban"/>
    <n v="2014"/>
    <s v="July"/>
    <x v="19"/>
    <s v="Transport and communication"/>
    <n v="113"/>
    <x v="6"/>
  </r>
  <r>
    <s v="Urban"/>
    <n v="2014"/>
    <s v="July"/>
    <x v="19"/>
    <s v="Recreation and amusement"/>
    <n v="112.4"/>
    <x v="1"/>
  </r>
  <r>
    <s v="Urban"/>
    <n v="2014"/>
    <s v="July"/>
    <x v="19"/>
    <s v="Education"/>
    <n v="117.8"/>
    <x v="7"/>
  </r>
  <r>
    <s v="Urban"/>
    <n v="2014"/>
    <s v="July"/>
    <x v="19"/>
    <s v="Personal care and effects"/>
    <n v="109.7"/>
    <x v="4"/>
  </r>
  <r>
    <s v="Urban"/>
    <n v="2014"/>
    <s v="July"/>
    <x v="19"/>
    <s v="Miscellaneous"/>
    <n v="113.5"/>
    <x v="8"/>
  </r>
  <r>
    <s v="Urban"/>
    <n v="2014"/>
    <s v="July"/>
    <x v="19"/>
    <s v="General index"/>
    <n v="118.9"/>
    <x v="9"/>
  </r>
  <r>
    <s v="Rural+Urban"/>
    <n v="2014"/>
    <s v="July"/>
    <x v="19"/>
    <s v="Cereals and products"/>
    <n v="122.4"/>
    <x v="0"/>
  </r>
  <r>
    <s v="Rural+Urban"/>
    <n v="2014"/>
    <s v="July"/>
    <x v="19"/>
    <s v="Meat and fish"/>
    <n v="123.9"/>
    <x v="0"/>
  </r>
  <r>
    <s v="Rural+Urban"/>
    <n v="2014"/>
    <s v="July"/>
    <x v="19"/>
    <s v="Egg"/>
    <n v="117.8"/>
    <x v="0"/>
  </r>
  <r>
    <s v="Rural+Urban"/>
    <n v="2014"/>
    <s v="July"/>
    <x v="19"/>
    <s v="Milk and products"/>
    <n v="121"/>
    <x v="0"/>
  </r>
  <r>
    <s v="Rural+Urban"/>
    <n v="2014"/>
    <s v="July"/>
    <x v="19"/>
    <s v="Oils and fats"/>
    <n v="107.9"/>
    <x v="0"/>
  </r>
  <r>
    <s v="Rural+Urban"/>
    <n v="2014"/>
    <s v="July"/>
    <x v="19"/>
    <s v="Fruits"/>
    <n v="131.19999999999999"/>
    <x v="0"/>
  </r>
  <r>
    <s v="Rural+Urban"/>
    <n v="2014"/>
    <s v="July"/>
    <x v="19"/>
    <s v="Vegetables"/>
    <n v="157.69999999999999"/>
    <x v="0"/>
  </r>
  <r>
    <s v="Rural+Urban"/>
    <n v="2014"/>
    <s v="July"/>
    <x v="19"/>
    <s v="Pulses and products"/>
    <n v="113.2"/>
    <x v="0"/>
  </r>
  <r>
    <s v="Rural+Urban"/>
    <n v="2014"/>
    <s v="July"/>
    <x v="19"/>
    <s v="Sugar and Confectionery"/>
    <n v="104.1"/>
    <x v="0"/>
  </r>
  <r>
    <s v="Rural+Urban"/>
    <n v="2014"/>
    <s v="July"/>
    <x v="19"/>
    <s v="Spices"/>
    <n v="115.5"/>
    <x v="0"/>
  </r>
  <r>
    <s v="Rural+Urban"/>
    <n v="2014"/>
    <s v="July"/>
    <x v="19"/>
    <s v="Non-alcoholic beverages"/>
    <n v="114.8"/>
    <x v="0"/>
  </r>
  <r>
    <s v="Rural+Urban"/>
    <n v="2014"/>
    <s v="July"/>
    <x v="19"/>
    <s v="Prepared meals, snacks, sweets etc."/>
    <n v="122.1"/>
    <x v="0"/>
  </r>
  <r>
    <s v="Rural+Urban"/>
    <n v="2014"/>
    <s v="July"/>
    <x v="19"/>
    <s v="Food and beverages"/>
    <n v="124.7"/>
    <x v="0"/>
  </r>
  <r>
    <s v="Rural+Urban"/>
    <n v="2014"/>
    <s v="July"/>
    <x v="19"/>
    <s v="Pan, tobacco and intoxicants"/>
    <n v="118.8"/>
    <x v="1"/>
  </r>
  <r>
    <s v="Rural+Urban"/>
    <n v="2014"/>
    <s v="July"/>
    <x v="19"/>
    <s v="Clothing"/>
    <n v="119.6"/>
    <x v="2"/>
  </r>
  <r>
    <s v="Rural+Urban"/>
    <n v="2014"/>
    <s v="July"/>
    <x v="19"/>
    <s v="Footwear"/>
    <n v="116.3"/>
    <x v="2"/>
  </r>
  <r>
    <s v="Rural+Urban"/>
    <n v="2014"/>
    <s v="July"/>
    <x v="19"/>
    <s v="Clothing and footwear"/>
    <n v="119.1"/>
    <x v="2"/>
  </r>
  <r>
    <s v="Rural+Urban"/>
    <n v="2014"/>
    <s v="July"/>
    <x v="19"/>
    <s v="Housing"/>
    <n v="114.8"/>
    <x v="10"/>
  </r>
  <r>
    <s v="Rural+Urban"/>
    <n v="2014"/>
    <s v="July"/>
    <x v="19"/>
    <s v="Fuel and light"/>
    <n v="113.9"/>
    <x v="3"/>
  </r>
  <r>
    <s v="Rural+Urban"/>
    <n v="2014"/>
    <s v="July"/>
    <x v="19"/>
    <s v="Household goods and services"/>
    <n v="115.2"/>
    <x v="4"/>
  </r>
  <r>
    <s v="Rural+Urban"/>
    <n v="2014"/>
    <s v="July"/>
    <x v="19"/>
    <s v="Health"/>
    <n v="112.7"/>
    <x v="5"/>
  </r>
  <r>
    <s v="Rural+Urban"/>
    <n v="2014"/>
    <s v="July"/>
    <x v="19"/>
    <s v="Transport and communication"/>
    <n v="113.1"/>
    <x v="6"/>
  </r>
  <r>
    <s v="Rural+Urban"/>
    <n v="2014"/>
    <s v="July"/>
    <x v="19"/>
    <s v="Recreation and amusement"/>
    <n v="112.1"/>
    <x v="1"/>
  </r>
  <r>
    <s v="Rural+Urban"/>
    <n v="2014"/>
    <s v="July"/>
    <x v="19"/>
    <s v="Education"/>
    <n v="116.8"/>
    <x v="7"/>
  </r>
  <r>
    <s v="Rural+Urban"/>
    <n v="2014"/>
    <s v="July"/>
    <x v="19"/>
    <s v="Personal care and effects"/>
    <n v="109.2"/>
    <x v="4"/>
  </r>
  <r>
    <s v="Rural+Urban"/>
    <n v="2014"/>
    <s v="July"/>
    <x v="19"/>
    <s v="Miscellaneous"/>
    <n v="113.3"/>
    <x v="8"/>
  </r>
  <r>
    <s v="Rural+Urban"/>
    <n v="2014"/>
    <s v="July"/>
    <x v="19"/>
    <s v="General index"/>
    <n v="119.2"/>
    <x v="9"/>
  </r>
  <r>
    <s v="Rural"/>
    <n v="2014"/>
    <s v="August"/>
    <x v="20"/>
    <s v="Cereals and products"/>
    <n v="121.8"/>
    <x v="0"/>
  </r>
  <r>
    <s v="Rural"/>
    <n v="2014"/>
    <s v="August"/>
    <x v="20"/>
    <s v="Meat and fish"/>
    <n v="122.8"/>
    <x v="0"/>
  </r>
  <r>
    <s v="Rural"/>
    <n v="2014"/>
    <s v="August"/>
    <x v="20"/>
    <s v="Egg"/>
    <n v="117.8"/>
    <x v="0"/>
  </r>
  <r>
    <s v="Rural"/>
    <n v="2014"/>
    <s v="August"/>
    <x v="20"/>
    <s v="Milk and products"/>
    <n v="121.9"/>
    <x v="0"/>
  </r>
  <r>
    <s v="Rural"/>
    <n v="2014"/>
    <s v="August"/>
    <x v="20"/>
    <s v="Oils and fats"/>
    <n v="110.6"/>
    <x v="0"/>
  </r>
  <r>
    <s v="Rural"/>
    <n v="2014"/>
    <s v="August"/>
    <x v="20"/>
    <s v="Fruits"/>
    <n v="129.69999999999999"/>
    <x v="0"/>
  </r>
  <r>
    <s v="Rural"/>
    <n v="2014"/>
    <s v="August"/>
    <x v="20"/>
    <s v="Vegetables"/>
    <n v="161.1"/>
    <x v="0"/>
  </r>
  <r>
    <s v="Rural"/>
    <n v="2014"/>
    <s v="August"/>
    <x v="20"/>
    <s v="Pulses and products"/>
    <n v="114.1"/>
    <x v="0"/>
  </r>
  <r>
    <s v="Rural"/>
    <n v="2014"/>
    <s v="August"/>
    <x v="20"/>
    <s v="Sugar and Confectionery"/>
    <n v="105.1"/>
    <x v="0"/>
  </r>
  <r>
    <s v="Rural"/>
    <n v="2014"/>
    <s v="August"/>
    <x v="20"/>
    <s v="Spices"/>
    <n v="114.6"/>
    <x v="0"/>
  </r>
  <r>
    <s v="Rural"/>
    <n v="2014"/>
    <s v="August"/>
    <x v="20"/>
    <s v="Non-alcoholic beverages"/>
    <n v="115.8"/>
    <x v="0"/>
  </r>
  <r>
    <s v="Rural"/>
    <n v="2014"/>
    <s v="August"/>
    <x v="20"/>
    <s v="Prepared meals, snacks, sweets etc."/>
    <n v="121.7"/>
    <x v="0"/>
  </r>
  <r>
    <s v="Rural"/>
    <n v="2014"/>
    <s v="August"/>
    <x v="20"/>
    <s v="Food and beverages"/>
    <n v="125.3"/>
    <x v="0"/>
  </r>
  <r>
    <s v="Rural"/>
    <n v="2014"/>
    <s v="August"/>
    <x v="20"/>
    <s v="Pan, tobacco and intoxicants"/>
    <n v="118.8"/>
    <x v="1"/>
  </r>
  <r>
    <s v="Rural"/>
    <n v="2014"/>
    <s v="August"/>
    <x v="20"/>
    <s v="Clothing"/>
    <n v="120.9"/>
    <x v="2"/>
  </r>
  <r>
    <s v="Rural"/>
    <n v="2014"/>
    <s v="August"/>
    <x v="20"/>
    <s v="Footwear"/>
    <n v="118.8"/>
    <x v="2"/>
  </r>
  <r>
    <s v="Rural"/>
    <n v="2014"/>
    <s v="August"/>
    <x v="20"/>
    <s v="Clothing and footwear"/>
    <n v="120.7"/>
    <x v="2"/>
  </r>
  <r>
    <s v="Rural"/>
    <n v="2014"/>
    <s v="August"/>
    <x v="20"/>
    <s v="Fuel and light"/>
    <n v="115.4"/>
    <x v="3"/>
  </r>
  <r>
    <s v="Rural"/>
    <n v="2014"/>
    <s v="August"/>
    <x v="20"/>
    <s v="Household goods and services"/>
    <n v="115.9"/>
    <x v="4"/>
  </r>
  <r>
    <s v="Rural"/>
    <n v="2014"/>
    <s v="August"/>
    <x v="20"/>
    <s v="Health"/>
    <n v="114"/>
    <x v="5"/>
  </r>
  <r>
    <s v="Rural"/>
    <n v="2014"/>
    <s v="August"/>
    <x v="20"/>
    <s v="Transport and communication"/>
    <n v="113.2"/>
    <x v="6"/>
  </r>
  <r>
    <s v="Rural"/>
    <n v="2014"/>
    <s v="August"/>
    <x v="20"/>
    <s v="Recreation and amusement"/>
    <n v="112.2"/>
    <x v="1"/>
  </r>
  <r>
    <s v="Rural"/>
    <n v="2014"/>
    <s v="August"/>
    <x v="20"/>
    <s v="Education"/>
    <n v="116.2"/>
    <x v="7"/>
  </r>
  <r>
    <s v="Rural"/>
    <n v="2014"/>
    <s v="August"/>
    <x v="20"/>
    <s v="Personal care and effects"/>
    <n v="109.4"/>
    <x v="4"/>
  </r>
  <r>
    <s v="Rural"/>
    <n v="2014"/>
    <s v="August"/>
    <x v="20"/>
    <s v="Miscellaneous"/>
    <n v="113.5"/>
    <x v="8"/>
  </r>
  <r>
    <s v="Rural"/>
    <n v="2014"/>
    <s v="August"/>
    <x v="20"/>
    <s v="General index"/>
    <n v="120.7"/>
    <x v="9"/>
  </r>
  <r>
    <s v="Urban"/>
    <n v="2014"/>
    <s v="August"/>
    <x v="20"/>
    <s v="Cereals and products"/>
    <n v="124.8"/>
    <x v="0"/>
  </r>
  <r>
    <s v="Urban"/>
    <n v="2014"/>
    <s v="August"/>
    <x v="20"/>
    <s v="Meat and fish"/>
    <n v="127.3"/>
    <x v="0"/>
  </r>
  <r>
    <s v="Urban"/>
    <n v="2014"/>
    <s v="August"/>
    <x v="20"/>
    <s v="Egg"/>
    <n v="116.5"/>
    <x v="0"/>
  </r>
  <r>
    <s v="Urban"/>
    <n v="2014"/>
    <s v="August"/>
    <x v="20"/>
    <s v="Milk and products"/>
    <n v="122.2"/>
    <x v="0"/>
  </r>
  <r>
    <s v="Urban"/>
    <n v="2014"/>
    <s v="August"/>
    <x v="20"/>
    <s v="Oils and fats"/>
    <n v="103.6"/>
    <x v="0"/>
  </r>
  <r>
    <s v="Urban"/>
    <n v="2014"/>
    <s v="August"/>
    <x v="20"/>
    <s v="Fruits"/>
    <n v="132.69999999999999"/>
    <x v="0"/>
  </r>
  <r>
    <s v="Urban"/>
    <n v="2014"/>
    <s v="August"/>
    <x v="20"/>
    <s v="Vegetables"/>
    <n v="181.9"/>
    <x v="0"/>
  </r>
  <r>
    <s v="Urban"/>
    <n v="2014"/>
    <s v="August"/>
    <x v="20"/>
    <s v="Pulses and products"/>
    <n v="115.2"/>
    <x v="0"/>
  </r>
  <r>
    <s v="Urban"/>
    <n v="2014"/>
    <s v="August"/>
    <x v="20"/>
    <s v="Sugar and Confectionery"/>
    <n v="102.7"/>
    <x v="0"/>
  </r>
  <r>
    <s v="Urban"/>
    <n v="2014"/>
    <s v="August"/>
    <x v="20"/>
    <s v="Spices"/>
    <n v="122.1"/>
    <x v="0"/>
  </r>
  <r>
    <s v="Urban"/>
    <n v="2014"/>
    <s v="August"/>
    <x v="20"/>
    <s v="Non-alcoholic beverages"/>
    <n v="114.4"/>
    <x v="0"/>
  </r>
  <r>
    <s v="Urban"/>
    <n v="2014"/>
    <s v="August"/>
    <x v="20"/>
    <s v="Prepared meals, snacks, sweets etc."/>
    <n v="124.7"/>
    <x v="0"/>
  </r>
  <r>
    <s v="Urban"/>
    <n v="2014"/>
    <s v="August"/>
    <x v="20"/>
    <s v="Food and beverages"/>
    <n v="128.9"/>
    <x v="0"/>
  </r>
  <r>
    <s v="Urban"/>
    <n v="2014"/>
    <s v="August"/>
    <x v="20"/>
    <s v="Pan, tobacco and intoxicants"/>
    <n v="123"/>
    <x v="1"/>
  </r>
  <r>
    <s v="Urban"/>
    <n v="2014"/>
    <s v="August"/>
    <x v="20"/>
    <s v="Clothing"/>
    <n v="118.6"/>
    <x v="2"/>
  </r>
  <r>
    <s v="Urban"/>
    <n v="2014"/>
    <s v="August"/>
    <x v="20"/>
    <s v="Footwear"/>
    <n v="114.1"/>
    <x v="2"/>
  </r>
  <r>
    <s v="Urban"/>
    <n v="2014"/>
    <s v="August"/>
    <x v="20"/>
    <s v="Clothing and footwear"/>
    <n v="117.9"/>
    <x v="2"/>
  </r>
  <r>
    <s v="Urban"/>
    <n v="2014"/>
    <s v="August"/>
    <x v="20"/>
    <s v="Housing"/>
    <n v="115.5"/>
    <x v="10"/>
  </r>
  <r>
    <s v="Urban"/>
    <n v="2014"/>
    <s v="August"/>
    <x v="20"/>
    <s v="Fuel and light"/>
    <n v="111.8"/>
    <x v="3"/>
  </r>
  <r>
    <s v="Urban"/>
    <n v="2014"/>
    <s v="August"/>
    <x v="20"/>
    <s v="Household goods and services"/>
    <n v="115.3"/>
    <x v="4"/>
  </r>
  <r>
    <s v="Urban"/>
    <n v="2014"/>
    <s v="August"/>
    <x v="20"/>
    <s v="Health"/>
    <n v="112.2"/>
    <x v="5"/>
  </r>
  <r>
    <s v="Urban"/>
    <n v="2014"/>
    <s v="August"/>
    <x v="20"/>
    <s v="Transport and communication"/>
    <n v="112.5"/>
    <x v="6"/>
  </r>
  <r>
    <s v="Urban"/>
    <n v="2014"/>
    <s v="August"/>
    <x v="20"/>
    <s v="Recreation and amusement"/>
    <n v="112.9"/>
    <x v="1"/>
  </r>
  <r>
    <s v="Urban"/>
    <n v="2014"/>
    <s v="August"/>
    <x v="20"/>
    <s v="Education"/>
    <n v="119.2"/>
    <x v="7"/>
  </r>
  <r>
    <s v="Urban"/>
    <n v="2014"/>
    <s v="August"/>
    <x v="20"/>
    <s v="Personal care and effects"/>
    <n v="110.5"/>
    <x v="4"/>
  </r>
  <r>
    <s v="Urban"/>
    <n v="2014"/>
    <s v="August"/>
    <x v="20"/>
    <s v="Miscellaneous"/>
    <n v="113.9"/>
    <x v="8"/>
  </r>
  <r>
    <s v="Urban"/>
    <n v="2014"/>
    <s v="August"/>
    <x v="20"/>
    <s v="General index"/>
    <n v="119.9"/>
    <x v="9"/>
  </r>
  <r>
    <s v="Rural+Urban"/>
    <n v="2014"/>
    <s v="August"/>
    <x v="20"/>
    <s v="Cereals and products"/>
    <n v="122.7"/>
    <x v="0"/>
  </r>
  <r>
    <s v="Rural+Urban"/>
    <n v="2014"/>
    <s v="August"/>
    <x v="20"/>
    <s v="Meat and fish"/>
    <n v="124.4"/>
    <x v="0"/>
  </r>
  <r>
    <s v="Rural+Urban"/>
    <n v="2014"/>
    <s v="August"/>
    <x v="20"/>
    <s v="Egg"/>
    <n v="117.3"/>
    <x v="0"/>
  </r>
  <r>
    <s v="Rural+Urban"/>
    <n v="2014"/>
    <s v="August"/>
    <x v="20"/>
    <s v="Milk and products"/>
    <n v="122"/>
    <x v="0"/>
  </r>
  <r>
    <s v="Rural+Urban"/>
    <n v="2014"/>
    <s v="August"/>
    <x v="20"/>
    <s v="Oils and fats"/>
    <n v="108"/>
    <x v="0"/>
  </r>
  <r>
    <s v="Rural+Urban"/>
    <n v="2014"/>
    <s v="August"/>
    <x v="20"/>
    <s v="Fruits"/>
    <n v="131.1"/>
    <x v="0"/>
  </r>
  <r>
    <s v="Rural+Urban"/>
    <n v="2014"/>
    <s v="August"/>
    <x v="20"/>
    <s v="Vegetables"/>
    <n v="168.2"/>
    <x v="0"/>
  </r>
  <r>
    <s v="Rural+Urban"/>
    <n v="2014"/>
    <s v="August"/>
    <x v="20"/>
    <s v="Pulses and products"/>
    <n v="114.5"/>
    <x v="0"/>
  </r>
  <r>
    <s v="Rural+Urban"/>
    <n v="2014"/>
    <s v="August"/>
    <x v="20"/>
    <s v="Sugar and Confectionery"/>
    <n v="104.3"/>
    <x v="0"/>
  </r>
  <r>
    <s v="Rural+Urban"/>
    <n v="2014"/>
    <s v="August"/>
    <x v="20"/>
    <s v="Spices"/>
    <n v="117.1"/>
    <x v="0"/>
  </r>
  <r>
    <s v="Rural+Urban"/>
    <n v="2014"/>
    <s v="August"/>
    <x v="20"/>
    <s v="Non-alcoholic beverages"/>
    <n v="115.2"/>
    <x v="0"/>
  </r>
  <r>
    <s v="Rural+Urban"/>
    <n v="2014"/>
    <s v="August"/>
    <x v="20"/>
    <s v="Prepared meals, snacks, sweets etc."/>
    <n v="123.1"/>
    <x v="0"/>
  </r>
  <r>
    <s v="Rural+Urban"/>
    <n v="2014"/>
    <s v="August"/>
    <x v="20"/>
    <s v="Food and beverages"/>
    <n v="126.6"/>
    <x v="0"/>
  </r>
  <r>
    <s v="Rural+Urban"/>
    <n v="2014"/>
    <s v="August"/>
    <x v="20"/>
    <s v="Pan, tobacco and intoxicants"/>
    <n v="119.9"/>
    <x v="1"/>
  </r>
  <r>
    <s v="Rural+Urban"/>
    <n v="2014"/>
    <s v="August"/>
    <x v="20"/>
    <s v="Clothing"/>
    <n v="120"/>
    <x v="2"/>
  </r>
  <r>
    <s v="Rural+Urban"/>
    <n v="2014"/>
    <s v="August"/>
    <x v="20"/>
    <s v="Footwear"/>
    <n v="116.8"/>
    <x v="2"/>
  </r>
  <r>
    <s v="Rural+Urban"/>
    <n v="2014"/>
    <s v="August"/>
    <x v="20"/>
    <s v="Clothing and footwear"/>
    <n v="119.6"/>
    <x v="2"/>
  </r>
  <r>
    <s v="Rural+Urban"/>
    <n v="2014"/>
    <s v="August"/>
    <x v="20"/>
    <s v="Housing"/>
    <n v="115.5"/>
    <x v="10"/>
  </r>
  <r>
    <s v="Rural+Urban"/>
    <n v="2014"/>
    <s v="August"/>
    <x v="20"/>
    <s v="Fuel and light"/>
    <n v="114"/>
    <x v="3"/>
  </r>
  <r>
    <s v="Rural+Urban"/>
    <n v="2014"/>
    <s v="August"/>
    <x v="20"/>
    <s v="Household goods and services"/>
    <n v="115.6"/>
    <x v="4"/>
  </r>
  <r>
    <s v="Rural+Urban"/>
    <n v="2014"/>
    <s v="August"/>
    <x v="20"/>
    <s v="Health"/>
    <n v="113.3"/>
    <x v="5"/>
  </r>
  <r>
    <s v="Rural+Urban"/>
    <n v="2014"/>
    <s v="August"/>
    <x v="20"/>
    <s v="Transport and communication"/>
    <n v="112.8"/>
    <x v="6"/>
  </r>
  <r>
    <s v="Rural+Urban"/>
    <n v="2014"/>
    <s v="August"/>
    <x v="20"/>
    <s v="Recreation and amusement"/>
    <n v="112.6"/>
    <x v="1"/>
  </r>
  <r>
    <s v="Rural+Urban"/>
    <n v="2014"/>
    <s v="August"/>
    <x v="20"/>
    <s v="Education"/>
    <n v="118"/>
    <x v="7"/>
  </r>
  <r>
    <s v="Rural+Urban"/>
    <n v="2014"/>
    <s v="August"/>
    <x v="20"/>
    <s v="Personal care and effects"/>
    <n v="109.9"/>
    <x v="4"/>
  </r>
  <r>
    <s v="Rural+Urban"/>
    <n v="2014"/>
    <s v="August"/>
    <x v="20"/>
    <s v="Miscellaneous"/>
    <n v="113.7"/>
    <x v="8"/>
  </r>
  <r>
    <s v="Rural+Urban"/>
    <n v="2014"/>
    <s v="August"/>
    <x v="20"/>
    <s v="General index"/>
    <n v="120.3"/>
    <x v="9"/>
  </r>
  <r>
    <s v="Rural"/>
    <n v="2014"/>
    <s v="September"/>
    <x v="21"/>
    <s v="Cereals and products"/>
    <n v="122.3"/>
    <x v="0"/>
  </r>
  <r>
    <s v="Rural"/>
    <n v="2014"/>
    <s v="September"/>
    <x v="21"/>
    <s v="Meat and fish"/>
    <n v="122.4"/>
    <x v="0"/>
  </r>
  <r>
    <s v="Rural"/>
    <n v="2014"/>
    <s v="September"/>
    <x v="21"/>
    <s v="Egg"/>
    <n v="117.8"/>
    <x v="0"/>
  </r>
  <r>
    <s v="Rural"/>
    <n v="2014"/>
    <s v="September"/>
    <x v="21"/>
    <s v="Milk and products"/>
    <n v="122.7"/>
    <x v="0"/>
  </r>
  <r>
    <s v="Rural"/>
    <n v="2014"/>
    <s v="September"/>
    <x v="21"/>
    <s v="Oils and fats"/>
    <n v="110.4"/>
    <x v="0"/>
  </r>
  <r>
    <s v="Rural"/>
    <n v="2014"/>
    <s v="September"/>
    <x v="21"/>
    <s v="Fruits"/>
    <n v="129.80000000000001"/>
    <x v="0"/>
  </r>
  <r>
    <s v="Rural"/>
    <n v="2014"/>
    <s v="September"/>
    <x v="21"/>
    <s v="Vegetables"/>
    <n v="158.80000000000001"/>
    <x v="0"/>
  </r>
  <r>
    <s v="Rural"/>
    <n v="2014"/>
    <s v="September"/>
    <x v="21"/>
    <s v="Pulses and products"/>
    <n v="115"/>
    <x v="0"/>
  </r>
  <r>
    <s v="Rural"/>
    <n v="2014"/>
    <s v="September"/>
    <x v="21"/>
    <s v="Sugar and Confectionery"/>
    <n v="104.7"/>
    <x v="0"/>
  </r>
  <r>
    <s v="Rural"/>
    <n v="2014"/>
    <s v="September"/>
    <x v="21"/>
    <s v="Spices"/>
    <n v="114.9"/>
    <x v="0"/>
  </r>
  <r>
    <s v="Rural"/>
    <n v="2014"/>
    <s v="September"/>
    <x v="21"/>
    <s v="Non-alcoholic beverages"/>
    <n v="116.5"/>
    <x v="0"/>
  </r>
  <r>
    <s v="Rural"/>
    <n v="2014"/>
    <s v="September"/>
    <x v="21"/>
    <s v="Prepared meals, snacks, sweets etc."/>
    <n v="122.6"/>
    <x v="0"/>
  </r>
  <r>
    <s v="Rural"/>
    <n v="2014"/>
    <s v="September"/>
    <x v="21"/>
    <s v="Food and beverages"/>
    <n v="125.3"/>
    <x v="0"/>
  </r>
  <r>
    <s v="Rural"/>
    <n v="2014"/>
    <s v="September"/>
    <x v="21"/>
    <s v="Pan, tobacco and intoxicants"/>
    <n v="119.5"/>
    <x v="1"/>
  </r>
  <r>
    <s v="Rural"/>
    <n v="2014"/>
    <s v="September"/>
    <x v="21"/>
    <s v="Clothing"/>
    <n v="121.7"/>
    <x v="2"/>
  </r>
  <r>
    <s v="Rural"/>
    <n v="2014"/>
    <s v="September"/>
    <x v="21"/>
    <s v="Footwear"/>
    <n v="119.2"/>
    <x v="2"/>
  </r>
  <r>
    <s v="Rural"/>
    <n v="2014"/>
    <s v="September"/>
    <x v="21"/>
    <s v="Clothing and footwear"/>
    <n v="121.3"/>
    <x v="2"/>
  </r>
  <r>
    <s v="Rural"/>
    <n v="2014"/>
    <s v="September"/>
    <x v="21"/>
    <s v="Fuel and light"/>
    <n v="115.8"/>
    <x v="3"/>
  </r>
  <r>
    <s v="Rural"/>
    <n v="2014"/>
    <s v="September"/>
    <x v="21"/>
    <s v="Household goods and services"/>
    <n v="116.7"/>
    <x v="4"/>
  </r>
  <r>
    <s v="Rural"/>
    <n v="2014"/>
    <s v="September"/>
    <x v="21"/>
    <s v="Health"/>
    <n v="114.5"/>
    <x v="5"/>
  </r>
  <r>
    <s v="Rural"/>
    <n v="2014"/>
    <s v="September"/>
    <x v="21"/>
    <s v="Transport and communication"/>
    <n v="112.8"/>
    <x v="6"/>
  </r>
  <r>
    <s v="Rural"/>
    <n v="2014"/>
    <s v="September"/>
    <x v="21"/>
    <s v="Recreation and amusement"/>
    <n v="112.6"/>
    <x v="1"/>
  </r>
  <r>
    <s v="Rural"/>
    <n v="2014"/>
    <s v="September"/>
    <x v="21"/>
    <s v="Education"/>
    <n v="116.6"/>
    <x v="7"/>
  </r>
  <r>
    <s v="Rural"/>
    <n v="2014"/>
    <s v="September"/>
    <x v="21"/>
    <s v="Personal care and effects"/>
    <n v="109.1"/>
    <x v="4"/>
  </r>
  <r>
    <s v="Rural"/>
    <n v="2014"/>
    <s v="September"/>
    <x v="21"/>
    <s v="Miscellaneous"/>
    <n v="113.7"/>
    <x v="8"/>
  </r>
  <r>
    <s v="Rural"/>
    <n v="2014"/>
    <s v="September"/>
    <x v="21"/>
    <s v="General index"/>
    <n v="120.9"/>
    <x v="9"/>
  </r>
  <r>
    <s v="Urban"/>
    <n v="2014"/>
    <s v="September"/>
    <x v="21"/>
    <s v="Cereals and products"/>
    <n v="124.2"/>
    <x v="0"/>
  </r>
  <r>
    <s v="Urban"/>
    <n v="2014"/>
    <s v="September"/>
    <x v="21"/>
    <s v="Meat and fish"/>
    <n v="125.4"/>
    <x v="0"/>
  </r>
  <r>
    <s v="Urban"/>
    <n v="2014"/>
    <s v="September"/>
    <x v="21"/>
    <s v="Egg"/>
    <n v="116.4"/>
    <x v="0"/>
  </r>
  <r>
    <s v="Urban"/>
    <n v="2014"/>
    <s v="September"/>
    <x v="21"/>
    <s v="Milk and products"/>
    <n v="122.7"/>
    <x v="0"/>
  </r>
  <r>
    <s v="Urban"/>
    <n v="2014"/>
    <s v="September"/>
    <x v="21"/>
    <s v="Oils and fats"/>
    <n v="103.5"/>
    <x v="0"/>
  </r>
  <r>
    <s v="Urban"/>
    <n v="2014"/>
    <s v="September"/>
    <x v="21"/>
    <s v="Fruits"/>
    <n v="124.5"/>
    <x v="0"/>
  </r>
  <r>
    <s v="Urban"/>
    <n v="2014"/>
    <s v="September"/>
    <x v="21"/>
    <s v="Vegetables"/>
    <n v="168.6"/>
    <x v="0"/>
  </r>
  <r>
    <s v="Urban"/>
    <n v="2014"/>
    <s v="September"/>
    <x v="21"/>
    <s v="Pulses and products"/>
    <n v="116.9"/>
    <x v="0"/>
  </r>
  <r>
    <s v="Urban"/>
    <n v="2014"/>
    <s v="September"/>
    <x v="21"/>
    <s v="Sugar and Confectionery"/>
    <n v="101.9"/>
    <x v="0"/>
  </r>
  <r>
    <s v="Urban"/>
    <n v="2014"/>
    <s v="September"/>
    <x v="21"/>
    <s v="Spices"/>
    <n v="122.9"/>
    <x v="0"/>
  </r>
  <r>
    <s v="Urban"/>
    <n v="2014"/>
    <s v="September"/>
    <x v="21"/>
    <s v="Non-alcoholic beverages"/>
    <n v="114.8"/>
    <x v="0"/>
  </r>
  <r>
    <s v="Urban"/>
    <n v="2014"/>
    <s v="September"/>
    <x v="21"/>
    <s v="Prepared meals, snacks, sweets etc."/>
    <n v="125.2"/>
    <x v="0"/>
  </r>
  <r>
    <s v="Urban"/>
    <n v="2014"/>
    <s v="September"/>
    <x v="21"/>
    <s v="Food and beverages"/>
    <n v="126.7"/>
    <x v="0"/>
  </r>
  <r>
    <s v="Urban"/>
    <n v="2014"/>
    <s v="September"/>
    <x v="21"/>
    <s v="Pan, tobacco and intoxicants"/>
    <n v="124.3"/>
    <x v="1"/>
  </r>
  <r>
    <s v="Urban"/>
    <n v="2014"/>
    <s v="September"/>
    <x v="21"/>
    <s v="Clothing"/>
    <n v="119.2"/>
    <x v="2"/>
  </r>
  <r>
    <s v="Urban"/>
    <n v="2014"/>
    <s v="September"/>
    <x v="21"/>
    <s v="Footwear"/>
    <n v="114.5"/>
    <x v="2"/>
  </r>
  <r>
    <s v="Urban"/>
    <n v="2014"/>
    <s v="September"/>
    <x v="21"/>
    <s v="Clothing and footwear"/>
    <n v="118.4"/>
    <x v="2"/>
  </r>
  <r>
    <s v="Urban"/>
    <n v="2014"/>
    <s v="September"/>
    <x v="21"/>
    <s v="Housing"/>
    <n v="116.1"/>
    <x v="10"/>
  </r>
  <r>
    <s v="Urban"/>
    <n v="2014"/>
    <s v="September"/>
    <x v="21"/>
    <s v="Fuel and light"/>
    <n v="111.8"/>
    <x v="3"/>
  </r>
  <r>
    <s v="Urban"/>
    <n v="2014"/>
    <s v="September"/>
    <x v="21"/>
    <s v="Household goods and services"/>
    <n v="115.5"/>
    <x v="4"/>
  </r>
  <r>
    <s v="Urban"/>
    <n v="2014"/>
    <s v="September"/>
    <x v="21"/>
    <s v="Health"/>
    <n v="112.3"/>
    <x v="5"/>
  </r>
  <r>
    <s v="Urban"/>
    <n v="2014"/>
    <s v="September"/>
    <x v="21"/>
    <s v="Transport and communication"/>
    <n v="111.2"/>
    <x v="6"/>
  </r>
  <r>
    <s v="Urban"/>
    <n v="2014"/>
    <s v="September"/>
    <x v="21"/>
    <s v="Recreation and amusement"/>
    <n v="113.4"/>
    <x v="1"/>
  </r>
  <r>
    <s v="Urban"/>
    <n v="2014"/>
    <s v="September"/>
    <x v="21"/>
    <s v="Education"/>
    <n v="120"/>
    <x v="7"/>
  </r>
  <r>
    <s v="Urban"/>
    <n v="2014"/>
    <s v="September"/>
    <x v="21"/>
    <s v="Personal care and effects"/>
    <n v="110"/>
    <x v="4"/>
  </r>
  <r>
    <s v="Urban"/>
    <n v="2014"/>
    <s v="September"/>
    <x v="21"/>
    <s v="Miscellaneous"/>
    <n v="113.6"/>
    <x v="8"/>
  </r>
  <r>
    <s v="Urban"/>
    <n v="2014"/>
    <s v="September"/>
    <x v="21"/>
    <s v="General index"/>
    <n v="119.2"/>
    <x v="9"/>
  </r>
  <r>
    <s v="Rural+Urban"/>
    <n v="2014"/>
    <s v="September"/>
    <x v="21"/>
    <s v="Cereals and products"/>
    <n v="122.9"/>
    <x v="0"/>
  </r>
  <r>
    <s v="Rural+Urban"/>
    <n v="2014"/>
    <s v="September"/>
    <x v="21"/>
    <s v="Meat and fish"/>
    <n v="123.5"/>
    <x v="0"/>
  </r>
  <r>
    <s v="Rural+Urban"/>
    <n v="2014"/>
    <s v="September"/>
    <x v="21"/>
    <s v="Egg"/>
    <n v="117.3"/>
    <x v="0"/>
  </r>
  <r>
    <s v="Rural+Urban"/>
    <n v="2014"/>
    <s v="September"/>
    <x v="21"/>
    <s v="Milk and products"/>
    <n v="122.7"/>
    <x v="0"/>
  </r>
  <r>
    <s v="Rural+Urban"/>
    <n v="2014"/>
    <s v="September"/>
    <x v="21"/>
    <s v="Oils and fats"/>
    <n v="107.9"/>
    <x v="0"/>
  </r>
  <r>
    <s v="Rural+Urban"/>
    <n v="2014"/>
    <s v="September"/>
    <x v="21"/>
    <s v="Fruits"/>
    <n v="127.3"/>
    <x v="0"/>
  </r>
  <r>
    <s v="Rural+Urban"/>
    <n v="2014"/>
    <s v="September"/>
    <x v="21"/>
    <s v="Vegetables"/>
    <n v="162.1"/>
    <x v="0"/>
  </r>
  <r>
    <s v="Rural+Urban"/>
    <n v="2014"/>
    <s v="September"/>
    <x v="21"/>
    <s v="Pulses and products"/>
    <n v="115.6"/>
    <x v="0"/>
  </r>
  <r>
    <s v="Rural+Urban"/>
    <n v="2014"/>
    <s v="September"/>
    <x v="21"/>
    <s v="Sugar and Confectionery"/>
    <n v="103.8"/>
    <x v="0"/>
  </r>
  <r>
    <s v="Rural+Urban"/>
    <n v="2014"/>
    <s v="September"/>
    <x v="21"/>
    <s v="Spices"/>
    <n v="117.6"/>
    <x v="0"/>
  </r>
  <r>
    <s v="Rural+Urban"/>
    <n v="2014"/>
    <s v="September"/>
    <x v="21"/>
    <s v="Non-alcoholic beverages"/>
    <n v="115.8"/>
    <x v="0"/>
  </r>
  <r>
    <s v="Rural+Urban"/>
    <n v="2014"/>
    <s v="September"/>
    <x v="21"/>
    <s v="Prepared meals, snacks, sweets etc."/>
    <n v="123.8"/>
    <x v="0"/>
  </r>
  <r>
    <s v="Rural+Urban"/>
    <n v="2014"/>
    <s v="September"/>
    <x v="21"/>
    <s v="Food and beverages"/>
    <n v="125.8"/>
    <x v="0"/>
  </r>
  <r>
    <s v="Rural+Urban"/>
    <n v="2014"/>
    <s v="September"/>
    <x v="21"/>
    <s v="Pan, tobacco and intoxicants"/>
    <n v="120.8"/>
    <x v="1"/>
  </r>
  <r>
    <s v="Rural+Urban"/>
    <n v="2014"/>
    <s v="September"/>
    <x v="21"/>
    <s v="Clothing"/>
    <n v="120.7"/>
    <x v="2"/>
  </r>
  <r>
    <s v="Rural+Urban"/>
    <n v="2014"/>
    <s v="September"/>
    <x v="21"/>
    <s v="Footwear"/>
    <n v="117.2"/>
    <x v="2"/>
  </r>
  <r>
    <s v="Rural+Urban"/>
    <n v="2014"/>
    <s v="September"/>
    <x v="21"/>
    <s v="Clothing and footwear"/>
    <n v="120.1"/>
    <x v="2"/>
  </r>
  <r>
    <s v="Rural+Urban"/>
    <n v="2014"/>
    <s v="September"/>
    <x v="21"/>
    <s v="Housing"/>
    <n v="116.1"/>
    <x v="10"/>
  </r>
  <r>
    <s v="Rural+Urban"/>
    <n v="2014"/>
    <s v="September"/>
    <x v="21"/>
    <s v="Fuel and light"/>
    <n v="114.3"/>
    <x v="3"/>
  </r>
  <r>
    <s v="Rural+Urban"/>
    <n v="2014"/>
    <s v="September"/>
    <x v="21"/>
    <s v="Household goods and services"/>
    <n v="116.1"/>
    <x v="4"/>
  </r>
  <r>
    <s v="Rural+Urban"/>
    <n v="2014"/>
    <s v="September"/>
    <x v="21"/>
    <s v="Health"/>
    <n v="113.7"/>
    <x v="5"/>
  </r>
  <r>
    <s v="Rural+Urban"/>
    <n v="2014"/>
    <s v="September"/>
    <x v="21"/>
    <s v="Transport and communication"/>
    <n v="112"/>
    <x v="6"/>
  </r>
  <r>
    <s v="Rural+Urban"/>
    <n v="2014"/>
    <s v="September"/>
    <x v="21"/>
    <s v="Recreation and amusement"/>
    <n v="113.1"/>
    <x v="1"/>
  </r>
  <r>
    <s v="Rural+Urban"/>
    <n v="2014"/>
    <s v="September"/>
    <x v="21"/>
    <s v="Education"/>
    <n v="118.6"/>
    <x v="7"/>
  </r>
  <r>
    <s v="Rural+Urban"/>
    <n v="2014"/>
    <s v="September"/>
    <x v="21"/>
    <s v="Personal care and effects"/>
    <n v="109.5"/>
    <x v="4"/>
  </r>
  <r>
    <s v="Rural+Urban"/>
    <n v="2014"/>
    <s v="September"/>
    <x v="21"/>
    <s v="Miscellaneous"/>
    <n v="113.7"/>
    <x v="8"/>
  </r>
  <r>
    <s v="Rural+Urban"/>
    <n v="2014"/>
    <s v="September"/>
    <x v="21"/>
    <s v="General index"/>
    <n v="120.1"/>
    <x v="9"/>
  </r>
  <r>
    <s v="Rural"/>
    <n v="2014"/>
    <s v="October"/>
    <x v="22"/>
    <s v="Cereals and products"/>
    <n v="122.6"/>
    <x v="0"/>
  </r>
  <r>
    <s v="Rural"/>
    <n v="2014"/>
    <s v="October"/>
    <x v="22"/>
    <s v="Meat and fish"/>
    <n v="122.5"/>
    <x v="0"/>
  </r>
  <r>
    <s v="Rural"/>
    <n v="2014"/>
    <s v="October"/>
    <x v="22"/>
    <s v="Egg"/>
    <n v="118.3"/>
    <x v="0"/>
  </r>
  <r>
    <s v="Rural"/>
    <n v="2014"/>
    <s v="October"/>
    <x v="22"/>
    <s v="Milk and products"/>
    <n v="123.2"/>
    <x v="0"/>
  </r>
  <r>
    <s v="Rural"/>
    <n v="2014"/>
    <s v="October"/>
    <x v="22"/>
    <s v="Oils and fats"/>
    <n v="110.5"/>
    <x v="0"/>
  </r>
  <r>
    <s v="Rural"/>
    <n v="2014"/>
    <s v="October"/>
    <x v="22"/>
    <s v="Fruits"/>
    <n v="128.9"/>
    <x v="0"/>
  </r>
  <r>
    <s v="Rural"/>
    <n v="2014"/>
    <s v="October"/>
    <x v="22"/>
    <s v="Vegetables"/>
    <n v="155.30000000000001"/>
    <x v="0"/>
  </r>
  <r>
    <s v="Rural"/>
    <n v="2014"/>
    <s v="October"/>
    <x v="22"/>
    <s v="Pulses and products"/>
    <n v="115.5"/>
    <x v="0"/>
  </r>
  <r>
    <s v="Rural"/>
    <n v="2014"/>
    <s v="October"/>
    <x v="22"/>
    <s v="Sugar and Confectionery"/>
    <n v="104"/>
    <x v="0"/>
  </r>
  <r>
    <s v="Rural"/>
    <n v="2014"/>
    <s v="October"/>
    <x v="22"/>
    <s v="Spices"/>
    <n v="115.3"/>
    <x v="0"/>
  </r>
  <r>
    <s v="Rural"/>
    <n v="2014"/>
    <s v="October"/>
    <x v="22"/>
    <s v="Non-alcoholic beverages"/>
    <n v="116.8"/>
    <x v="0"/>
  </r>
  <r>
    <s v="Rural"/>
    <n v="2014"/>
    <s v="October"/>
    <x v="22"/>
    <s v="Prepared meals, snacks, sweets etc."/>
    <n v="123.2"/>
    <x v="0"/>
  </r>
  <r>
    <s v="Rural"/>
    <n v="2014"/>
    <s v="October"/>
    <x v="22"/>
    <s v="Food and beverages"/>
    <n v="125.1"/>
    <x v="0"/>
  </r>
  <r>
    <s v="Rural"/>
    <n v="2014"/>
    <s v="October"/>
    <x v="22"/>
    <s v="Pan, tobacco and intoxicants"/>
    <n v="120"/>
    <x v="1"/>
  </r>
  <r>
    <s v="Rural"/>
    <n v="2014"/>
    <s v="October"/>
    <x v="22"/>
    <s v="Clothing"/>
    <n v="122.7"/>
    <x v="2"/>
  </r>
  <r>
    <s v="Rural"/>
    <n v="2014"/>
    <s v="October"/>
    <x v="22"/>
    <s v="Footwear"/>
    <n v="120.3"/>
    <x v="2"/>
  </r>
  <r>
    <s v="Rural"/>
    <n v="2014"/>
    <s v="October"/>
    <x v="22"/>
    <s v="Clothing and footwear"/>
    <n v="122.3"/>
    <x v="2"/>
  </r>
  <r>
    <s v="Rural"/>
    <n v="2014"/>
    <s v="October"/>
    <x v="22"/>
    <s v="Fuel and light"/>
    <n v="116.4"/>
    <x v="3"/>
  </r>
  <r>
    <s v="Rural"/>
    <n v="2014"/>
    <s v="October"/>
    <x v="22"/>
    <s v="Household goods and services"/>
    <n v="117.5"/>
    <x v="4"/>
  </r>
  <r>
    <s v="Rural"/>
    <n v="2014"/>
    <s v="October"/>
    <x v="22"/>
    <s v="Health"/>
    <n v="115.3"/>
    <x v="5"/>
  </r>
  <r>
    <s v="Rural"/>
    <n v="2014"/>
    <s v="October"/>
    <x v="22"/>
    <s v="Transport and communication"/>
    <n v="112.6"/>
    <x v="6"/>
  </r>
  <r>
    <s v="Rural"/>
    <n v="2014"/>
    <s v="October"/>
    <x v="22"/>
    <s v="Recreation and amusement"/>
    <n v="113"/>
    <x v="1"/>
  </r>
  <r>
    <s v="Rural"/>
    <n v="2014"/>
    <s v="October"/>
    <x v="22"/>
    <s v="Education"/>
    <n v="116.9"/>
    <x v="7"/>
  </r>
  <r>
    <s v="Rural"/>
    <n v="2014"/>
    <s v="October"/>
    <x v="22"/>
    <s v="Personal care and effects"/>
    <n v="109.3"/>
    <x v="4"/>
  </r>
  <r>
    <s v="Rural"/>
    <n v="2014"/>
    <s v="October"/>
    <x v="22"/>
    <s v="Miscellaneous"/>
    <n v="114"/>
    <x v="8"/>
  </r>
  <r>
    <s v="Rural"/>
    <n v="2014"/>
    <s v="October"/>
    <x v="22"/>
    <s v="General index"/>
    <n v="121"/>
    <x v="9"/>
  </r>
  <r>
    <s v="Urban"/>
    <n v="2014"/>
    <s v="October"/>
    <x v="22"/>
    <s v="Cereals and products"/>
    <n v="124.6"/>
    <x v="0"/>
  </r>
  <r>
    <s v="Urban"/>
    <n v="2014"/>
    <s v="October"/>
    <x v="22"/>
    <s v="Meat and fish"/>
    <n v="126.1"/>
    <x v="0"/>
  </r>
  <r>
    <s v="Urban"/>
    <n v="2014"/>
    <s v="October"/>
    <x v="22"/>
    <s v="Egg"/>
    <n v="117.8"/>
    <x v="0"/>
  </r>
  <r>
    <s v="Urban"/>
    <n v="2014"/>
    <s v="October"/>
    <x v="22"/>
    <s v="Milk and products"/>
    <n v="123.1"/>
    <x v="0"/>
  </r>
  <r>
    <s v="Urban"/>
    <n v="2014"/>
    <s v="October"/>
    <x v="22"/>
    <s v="Oils and fats"/>
    <n v="103.5"/>
    <x v="0"/>
  </r>
  <r>
    <s v="Urban"/>
    <n v="2014"/>
    <s v="October"/>
    <x v="22"/>
    <s v="Fruits"/>
    <n v="123.5"/>
    <x v="0"/>
  </r>
  <r>
    <s v="Urban"/>
    <n v="2014"/>
    <s v="October"/>
    <x v="22"/>
    <s v="Vegetables"/>
    <n v="159.6"/>
    <x v="0"/>
  </r>
  <r>
    <s v="Urban"/>
    <n v="2014"/>
    <s v="October"/>
    <x v="22"/>
    <s v="Pulses and products"/>
    <n v="117.4"/>
    <x v="0"/>
  </r>
  <r>
    <s v="Urban"/>
    <n v="2014"/>
    <s v="October"/>
    <x v="22"/>
    <s v="Sugar and Confectionery"/>
    <n v="101.2"/>
    <x v="0"/>
  </r>
  <r>
    <s v="Urban"/>
    <n v="2014"/>
    <s v="October"/>
    <x v="22"/>
    <s v="Spices"/>
    <n v="123.8"/>
    <x v="0"/>
  </r>
  <r>
    <s v="Urban"/>
    <n v="2014"/>
    <s v="October"/>
    <x v="22"/>
    <s v="Non-alcoholic beverages"/>
    <n v="115.2"/>
    <x v="0"/>
  </r>
  <r>
    <s v="Urban"/>
    <n v="2014"/>
    <s v="October"/>
    <x v="22"/>
    <s v="Prepared meals, snacks, sweets etc."/>
    <n v="125.9"/>
    <x v="0"/>
  </r>
  <r>
    <s v="Urban"/>
    <n v="2014"/>
    <s v="October"/>
    <x v="22"/>
    <s v="Food and beverages"/>
    <n v="125.8"/>
    <x v="0"/>
  </r>
  <r>
    <s v="Urban"/>
    <n v="2014"/>
    <s v="October"/>
    <x v="22"/>
    <s v="Pan, tobacco and intoxicants"/>
    <n v="124.3"/>
    <x v="1"/>
  </r>
  <r>
    <s v="Urban"/>
    <n v="2014"/>
    <s v="October"/>
    <x v="22"/>
    <s v="Clothing"/>
    <n v="119.6"/>
    <x v="2"/>
  </r>
  <r>
    <s v="Urban"/>
    <n v="2014"/>
    <s v="October"/>
    <x v="22"/>
    <s v="Footwear"/>
    <n v="114.9"/>
    <x v="2"/>
  </r>
  <r>
    <s v="Urban"/>
    <n v="2014"/>
    <s v="October"/>
    <x v="22"/>
    <s v="Clothing and footwear"/>
    <n v="118.9"/>
    <x v="2"/>
  </r>
  <r>
    <s v="Urban"/>
    <n v="2014"/>
    <s v="October"/>
    <x v="22"/>
    <s v="Housing"/>
    <n v="116.7"/>
    <x v="10"/>
  </r>
  <r>
    <s v="Urban"/>
    <n v="2014"/>
    <s v="October"/>
    <x v="22"/>
    <s v="Fuel and light"/>
    <n v="112"/>
    <x v="3"/>
  </r>
  <r>
    <s v="Urban"/>
    <n v="2014"/>
    <s v="October"/>
    <x v="22"/>
    <s v="Household goods and services"/>
    <n v="115.8"/>
    <x v="4"/>
  </r>
  <r>
    <s v="Urban"/>
    <n v="2014"/>
    <s v="October"/>
    <x v="22"/>
    <s v="Health"/>
    <n v="112.6"/>
    <x v="5"/>
  </r>
  <r>
    <s v="Urban"/>
    <n v="2014"/>
    <s v="October"/>
    <x v="22"/>
    <s v="Transport and communication"/>
    <n v="111"/>
    <x v="6"/>
  </r>
  <r>
    <s v="Urban"/>
    <n v="2014"/>
    <s v="October"/>
    <x v="22"/>
    <s v="Recreation and amusement"/>
    <n v="113.6"/>
    <x v="1"/>
  </r>
  <r>
    <s v="Urban"/>
    <n v="2014"/>
    <s v="October"/>
    <x v="22"/>
    <s v="Education"/>
    <n v="120.2"/>
    <x v="7"/>
  </r>
  <r>
    <s v="Urban"/>
    <n v="2014"/>
    <s v="October"/>
    <x v="22"/>
    <s v="Personal care and effects"/>
    <n v="110.1"/>
    <x v="4"/>
  </r>
  <r>
    <s v="Urban"/>
    <n v="2014"/>
    <s v="October"/>
    <x v="22"/>
    <s v="Miscellaneous"/>
    <n v="113.7"/>
    <x v="8"/>
  </r>
  <r>
    <s v="Urban"/>
    <n v="2014"/>
    <s v="October"/>
    <x v="22"/>
    <s v="General index"/>
    <n v="119.1"/>
    <x v="9"/>
  </r>
  <r>
    <s v="Rural+Urban"/>
    <n v="2014"/>
    <s v="October"/>
    <x v="22"/>
    <s v="Cereals and products"/>
    <n v="123.2"/>
    <x v="0"/>
  </r>
  <r>
    <s v="Rural+Urban"/>
    <n v="2014"/>
    <s v="October"/>
    <x v="22"/>
    <s v="Meat and fish"/>
    <n v="123.8"/>
    <x v="0"/>
  </r>
  <r>
    <s v="Rural+Urban"/>
    <n v="2014"/>
    <s v="October"/>
    <x v="22"/>
    <s v="Egg"/>
    <n v="118.1"/>
    <x v="0"/>
  </r>
  <r>
    <s v="Rural+Urban"/>
    <n v="2014"/>
    <s v="October"/>
    <x v="22"/>
    <s v="Milk and products"/>
    <n v="123.2"/>
    <x v="0"/>
  </r>
  <r>
    <s v="Rural+Urban"/>
    <n v="2014"/>
    <s v="October"/>
    <x v="22"/>
    <s v="Oils and fats"/>
    <n v="107.9"/>
    <x v="0"/>
  </r>
  <r>
    <s v="Rural+Urban"/>
    <n v="2014"/>
    <s v="October"/>
    <x v="22"/>
    <s v="Fruits"/>
    <n v="126.4"/>
    <x v="0"/>
  </r>
  <r>
    <s v="Rural+Urban"/>
    <n v="2014"/>
    <s v="October"/>
    <x v="22"/>
    <s v="Vegetables"/>
    <n v="156.80000000000001"/>
    <x v="0"/>
  </r>
  <r>
    <s v="Rural+Urban"/>
    <n v="2014"/>
    <s v="October"/>
    <x v="22"/>
    <s v="Pulses and products"/>
    <n v="116.1"/>
    <x v="0"/>
  </r>
  <r>
    <s v="Rural+Urban"/>
    <n v="2014"/>
    <s v="October"/>
    <x v="22"/>
    <s v="Sugar and Confectionery"/>
    <n v="103.1"/>
    <x v="0"/>
  </r>
  <r>
    <s v="Rural+Urban"/>
    <n v="2014"/>
    <s v="October"/>
    <x v="22"/>
    <s v="Spices"/>
    <n v="118.1"/>
    <x v="0"/>
  </r>
  <r>
    <s v="Rural+Urban"/>
    <n v="2014"/>
    <s v="October"/>
    <x v="22"/>
    <s v="Non-alcoholic beverages"/>
    <n v="116.1"/>
    <x v="0"/>
  </r>
  <r>
    <s v="Rural+Urban"/>
    <n v="2014"/>
    <s v="October"/>
    <x v="22"/>
    <s v="Prepared meals, snacks, sweets etc."/>
    <n v="124.5"/>
    <x v="0"/>
  </r>
  <r>
    <s v="Rural+Urban"/>
    <n v="2014"/>
    <s v="October"/>
    <x v="22"/>
    <s v="Food and beverages"/>
    <n v="125.4"/>
    <x v="0"/>
  </r>
  <r>
    <s v="Rural+Urban"/>
    <n v="2014"/>
    <s v="October"/>
    <x v="22"/>
    <s v="Pan, tobacco and intoxicants"/>
    <n v="121.1"/>
    <x v="1"/>
  </r>
  <r>
    <s v="Rural+Urban"/>
    <n v="2014"/>
    <s v="October"/>
    <x v="22"/>
    <s v="Clothing"/>
    <n v="121.5"/>
    <x v="2"/>
  </r>
  <r>
    <s v="Rural+Urban"/>
    <n v="2014"/>
    <s v="October"/>
    <x v="22"/>
    <s v="Footwear"/>
    <n v="118.1"/>
    <x v="2"/>
  </r>
  <r>
    <s v="Rural+Urban"/>
    <n v="2014"/>
    <s v="October"/>
    <x v="22"/>
    <s v="Clothing and footwear"/>
    <n v="121"/>
    <x v="2"/>
  </r>
  <r>
    <s v="Rural+Urban"/>
    <n v="2014"/>
    <s v="October"/>
    <x v="22"/>
    <s v="Housing"/>
    <n v="116.7"/>
    <x v="10"/>
  </r>
  <r>
    <s v="Rural+Urban"/>
    <n v="2014"/>
    <s v="October"/>
    <x v="22"/>
    <s v="Fuel and light"/>
    <n v="114.7"/>
    <x v="3"/>
  </r>
  <r>
    <s v="Rural+Urban"/>
    <n v="2014"/>
    <s v="October"/>
    <x v="22"/>
    <s v="Household goods and services"/>
    <n v="116.7"/>
    <x v="4"/>
  </r>
  <r>
    <s v="Rural+Urban"/>
    <n v="2014"/>
    <s v="October"/>
    <x v="22"/>
    <s v="Health"/>
    <n v="114.3"/>
    <x v="5"/>
  </r>
  <r>
    <s v="Rural+Urban"/>
    <n v="2014"/>
    <s v="October"/>
    <x v="22"/>
    <s v="Transport and communication"/>
    <n v="111.8"/>
    <x v="6"/>
  </r>
  <r>
    <s v="Rural+Urban"/>
    <n v="2014"/>
    <s v="October"/>
    <x v="22"/>
    <s v="Recreation and amusement"/>
    <n v="113.3"/>
    <x v="1"/>
  </r>
  <r>
    <s v="Rural+Urban"/>
    <n v="2014"/>
    <s v="October"/>
    <x v="22"/>
    <s v="Education"/>
    <n v="118.8"/>
    <x v="7"/>
  </r>
  <r>
    <s v="Rural+Urban"/>
    <n v="2014"/>
    <s v="October"/>
    <x v="22"/>
    <s v="Personal care and effects"/>
    <n v="109.6"/>
    <x v="4"/>
  </r>
  <r>
    <s v="Rural+Urban"/>
    <n v="2014"/>
    <s v="October"/>
    <x v="22"/>
    <s v="Miscellaneous"/>
    <n v="113.9"/>
    <x v="8"/>
  </r>
  <r>
    <s v="Rural+Urban"/>
    <n v="2014"/>
    <s v="October"/>
    <x v="22"/>
    <s v="General index"/>
    <n v="120.1"/>
    <x v="9"/>
  </r>
  <r>
    <s v="Rural"/>
    <n v="2014"/>
    <s v="November"/>
    <x v="23"/>
    <s v="Cereals and products"/>
    <n v="122.7"/>
    <x v="0"/>
  </r>
  <r>
    <s v="Rural"/>
    <n v="2014"/>
    <s v="November"/>
    <x v="23"/>
    <s v="Meat and fish"/>
    <n v="122.6"/>
    <x v="0"/>
  </r>
  <r>
    <s v="Rural"/>
    <n v="2014"/>
    <s v="November"/>
    <x v="23"/>
    <s v="Egg"/>
    <n v="119.9"/>
    <x v="0"/>
  </r>
  <r>
    <s v="Rural"/>
    <n v="2014"/>
    <s v="November"/>
    <x v="23"/>
    <s v="Milk and products"/>
    <n v="124"/>
    <x v="0"/>
  </r>
  <r>
    <s v="Rural"/>
    <n v="2014"/>
    <s v="November"/>
    <x v="23"/>
    <s v="Oils and fats"/>
    <n v="110.5"/>
    <x v="0"/>
  </r>
  <r>
    <s v="Rural"/>
    <n v="2014"/>
    <s v="November"/>
    <x v="23"/>
    <s v="Fruits"/>
    <n v="128.80000000000001"/>
    <x v="0"/>
  </r>
  <r>
    <s v="Rural"/>
    <n v="2014"/>
    <s v="November"/>
    <x v="23"/>
    <s v="Vegetables"/>
    <n v="152"/>
    <x v="0"/>
  </r>
  <r>
    <s v="Rural"/>
    <n v="2014"/>
    <s v="November"/>
    <x v="23"/>
    <s v="Pulses and products"/>
    <n v="116.2"/>
    <x v="0"/>
  </r>
  <r>
    <s v="Rural"/>
    <n v="2014"/>
    <s v="November"/>
    <x v="23"/>
    <s v="Sugar and Confectionery"/>
    <n v="103.3"/>
    <x v="0"/>
  </r>
  <r>
    <s v="Rural"/>
    <n v="2014"/>
    <s v="November"/>
    <x v="23"/>
    <s v="Spices"/>
    <n v="115.8"/>
    <x v="0"/>
  </r>
  <r>
    <s v="Rural"/>
    <n v="2014"/>
    <s v="November"/>
    <x v="23"/>
    <s v="Non-alcoholic beverages"/>
    <n v="116.8"/>
    <x v="0"/>
  </r>
  <r>
    <s v="Rural"/>
    <n v="2014"/>
    <s v="November"/>
    <x v="23"/>
    <s v="Prepared meals, snacks, sweets etc."/>
    <n v="124.5"/>
    <x v="0"/>
  </r>
  <r>
    <s v="Rural"/>
    <n v="2014"/>
    <s v="November"/>
    <x v="23"/>
    <s v="Food and beverages"/>
    <n v="124.9"/>
    <x v="0"/>
  </r>
  <r>
    <s v="Rural"/>
    <n v="2014"/>
    <s v="November"/>
    <x v="23"/>
    <s v="Pan, tobacco and intoxicants"/>
    <n v="120.8"/>
    <x v="1"/>
  </r>
  <r>
    <s v="Rural"/>
    <n v="2014"/>
    <s v="November"/>
    <x v="23"/>
    <s v="Clothing"/>
    <n v="123.3"/>
    <x v="2"/>
  </r>
  <r>
    <s v="Rural"/>
    <n v="2014"/>
    <s v="November"/>
    <x v="23"/>
    <s v="Footwear"/>
    <n v="120.5"/>
    <x v="2"/>
  </r>
  <r>
    <s v="Rural"/>
    <n v="2014"/>
    <s v="November"/>
    <x v="23"/>
    <s v="Clothing and footwear"/>
    <n v="122.9"/>
    <x v="2"/>
  </r>
  <r>
    <s v="Rural"/>
    <n v="2014"/>
    <s v="November"/>
    <x v="23"/>
    <s v="Fuel and light"/>
    <n v="117.3"/>
    <x v="3"/>
  </r>
  <r>
    <s v="Rural"/>
    <n v="2014"/>
    <s v="November"/>
    <x v="23"/>
    <s v="Household goods and services"/>
    <n v="118.1"/>
    <x v="4"/>
  </r>
  <r>
    <s v="Rural"/>
    <n v="2014"/>
    <s v="November"/>
    <x v="23"/>
    <s v="Health"/>
    <n v="115.9"/>
    <x v="5"/>
  </r>
  <r>
    <s v="Rural"/>
    <n v="2014"/>
    <s v="November"/>
    <x v="23"/>
    <s v="Transport and communication"/>
    <n v="112"/>
    <x v="6"/>
  </r>
  <r>
    <s v="Rural"/>
    <n v="2014"/>
    <s v="November"/>
    <x v="23"/>
    <s v="Recreation and amusement"/>
    <n v="113.3"/>
    <x v="1"/>
  </r>
  <r>
    <s v="Rural"/>
    <n v="2014"/>
    <s v="November"/>
    <x v="23"/>
    <s v="Education"/>
    <n v="117.2"/>
    <x v="7"/>
  </r>
  <r>
    <s v="Rural"/>
    <n v="2014"/>
    <s v="November"/>
    <x v="23"/>
    <s v="Personal care and effects"/>
    <n v="108.8"/>
    <x v="4"/>
  </r>
  <r>
    <s v="Rural"/>
    <n v="2014"/>
    <s v="November"/>
    <x v="23"/>
    <s v="Miscellaneous"/>
    <n v="114.1"/>
    <x v="8"/>
  </r>
  <r>
    <s v="Rural"/>
    <n v="2014"/>
    <s v="November"/>
    <x v="23"/>
    <s v="General index"/>
    <n v="121.1"/>
    <x v="9"/>
  </r>
  <r>
    <s v="Urban"/>
    <n v="2014"/>
    <s v="November"/>
    <x v="23"/>
    <s v="Cereals and products"/>
    <n v="124.5"/>
    <x v="0"/>
  </r>
  <r>
    <s v="Urban"/>
    <n v="2014"/>
    <s v="November"/>
    <x v="23"/>
    <s v="Meat and fish"/>
    <n v="125.6"/>
    <x v="0"/>
  </r>
  <r>
    <s v="Urban"/>
    <n v="2014"/>
    <s v="November"/>
    <x v="23"/>
    <s v="Egg"/>
    <n v="122.7"/>
    <x v="0"/>
  </r>
  <r>
    <s v="Urban"/>
    <n v="2014"/>
    <s v="November"/>
    <x v="23"/>
    <s v="Milk and products"/>
    <n v="124.6"/>
    <x v="0"/>
  </r>
  <r>
    <s v="Urban"/>
    <n v="2014"/>
    <s v="November"/>
    <x v="23"/>
    <s v="Oils and fats"/>
    <n v="103.2"/>
    <x v="0"/>
  </r>
  <r>
    <s v="Urban"/>
    <n v="2014"/>
    <s v="November"/>
    <x v="23"/>
    <s v="Fruits"/>
    <n v="122.2"/>
    <x v="0"/>
  </r>
  <r>
    <s v="Urban"/>
    <n v="2014"/>
    <s v="November"/>
    <x v="23"/>
    <s v="Vegetables"/>
    <n v="153.19999999999999"/>
    <x v="0"/>
  </r>
  <r>
    <s v="Urban"/>
    <n v="2014"/>
    <s v="November"/>
    <x v="23"/>
    <s v="Pulses and products"/>
    <n v="119.3"/>
    <x v="0"/>
  </r>
  <r>
    <s v="Urban"/>
    <n v="2014"/>
    <s v="November"/>
    <x v="23"/>
    <s v="Sugar and Confectionery"/>
    <n v="99.8"/>
    <x v="0"/>
  </r>
  <r>
    <s v="Urban"/>
    <n v="2014"/>
    <s v="November"/>
    <x v="23"/>
    <s v="Spices"/>
    <n v="124.6"/>
    <x v="0"/>
  </r>
  <r>
    <s v="Urban"/>
    <n v="2014"/>
    <s v="November"/>
    <x v="23"/>
    <s v="Non-alcoholic beverages"/>
    <n v="115.8"/>
    <x v="0"/>
  </r>
  <r>
    <s v="Urban"/>
    <n v="2014"/>
    <s v="November"/>
    <x v="23"/>
    <s v="Prepared meals, snacks, sweets etc."/>
    <n v="126.9"/>
    <x v="0"/>
  </r>
  <r>
    <s v="Urban"/>
    <n v="2014"/>
    <s v="November"/>
    <x v="23"/>
    <s v="Food and beverages"/>
    <n v="125.4"/>
    <x v="0"/>
  </r>
  <r>
    <s v="Urban"/>
    <n v="2014"/>
    <s v="November"/>
    <x v="23"/>
    <s v="Pan, tobacco and intoxicants"/>
    <n v="125.8"/>
    <x v="1"/>
  </r>
  <r>
    <s v="Urban"/>
    <n v="2014"/>
    <s v="November"/>
    <x v="23"/>
    <s v="Clothing"/>
    <n v="120.3"/>
    <x v="2"/>
  </r>
  <r>
    <s v="Urban"/>
    <n v="2014"/>
    <s v="November"/>
    <x v="23"/>
    <s v="Footwear"/>
    <n v="115.4"/>
    <x v="2"/>
  </r>
  <r>
    <s v="Urban"/>
    <n v="2014"/>
    <s v="November"/>
    <x v="23"/>
    <s v="Clothing and footwear"/>
    <n v="119.5"/>
    <x v="2"/>
  </r>
  <r>
    <s v="Urban"/>
    <n v="2014"/>
    <s v="November"/>
    <x v="23"/>
    <s v="Housing"/>
    <n v="117.1"/>
    <x v="10"/>
  </r>
  <r>
    <s v="Urban"/>
    <n v="2014"/>
    <s v="November"/>
    <x v="23"/>
    <s v="Fuel and light"/>
    <n v="112.6"/>
    <x v="3"/>
  </r>
  <r>
    <s v="Urban"/>
    <n v="2014"/>
    <s v="November"/>
    <x v="23"/>
    <s v="Household goods and services"/>
    <n v="116.4"/>
    <x v="4"/>
  </r>
  <r>
    <s v="Urban"/>
    <n v="2014"/>
    <s v="November"/>
    <x v="23"/>
    <s v="Health"/>
    <n v="113"/>
    <x v="5"/>
  </r>
  <r>
    <s v="Urban"/>
    <n v="2014"/>
    <s v="November"/>
    <x v="23"/>
    <s v="Transport and communication"/>
    <n v="109.7"/>
    <x v="6"/>
  </r>
  <r>
    <s v="Urban"/>
    <n v="2014"/>
    <s v="November"/>
    <x v="23"/>
    <s v="Recreation and amusement"/>
    <n v="114"/>
    <x v="1"/>
  </r>
  <r>
    <s v="Urban"/>
    <n v="2014"/>
    <s v="November"/>
    <x v="23"/>
    <s v="Education"/>
    <n v="120.3"/>
    <x v="7"/>
  </r>
  <r>
    <s v="Urban"/>
    <n v="2014"/>
    <s v="November"/>
    <x v="23"/>
    <s v="Personal care and effects"/>
    <n v="109.6"/>
    <x v="4"/>
  </r>
  <r>
    <s v="Urban"/>
    <n v="2014"/>
    <s v="November"/>
    <x v="23"/>
    <s v="Miscellaneous"/>
    <n v="113.4"/>
    <x v="8"/>
  </r>
  <r>
    <s v="Urban"/>
    <n v="2014"/>
    <s v="November"/>
    <x v="23"/>
    <s v="General index"/>
    <n v="119"/>
    <x v="9"/>
  </r>
  <r>
    <s v="Rural+Urban"/>
    <n v="2014"/>
    <s v="November"/>
    <x v="23"/>
    <s v="Cereals and products"/>
    <n v="123.3"/>
    <x v="0"/>
  </r>
  <r>
    <s v="Rural+Urban"/>
    <n v="2014"/>
    <s v="November"/>
    <x v="23"/>
    <s v="Meat and fish"/>
    <n v="123.7"/>
    <x v="0"/>
  </r>
  <r>
    <s v="Rural+Urban"/>
    <n v="2014"/>
    <s v="November"/>
    <x v="23"/>
    <s v="Egg"/>
    <n v="121"/>
    <x v="0"/>
  </r>
  <r>
    <s v="Rural+Urban"/>
    <n v="2014"/>
    <s v="November"/>
    <x v="23"/>
    <s v="Milk and products"/>
    <n v="124.2"/>
    <x v="0"/>
  </r>
  <r>
    <s v="Rural+Urban"/>
    <n v="2014"/>
    <s v="November"/>
    <x v="23"/>
    <s v="Oils and fats"/>
    <n v="107.8"/>
    <x v="0"/>
  </r>
  <r>
    <s v="Rural+Urban"/>
    <n v="2014"/>
    <s v="November"/>
    <x v="23"/>
    <s v="Fruits"/>
    <n v="125.7"/>
    <x v="0"/>
  </r>
  <r>
    <s v="Rural+Urban"/>
    <n v="2014"/>
    <s v="November"/>
    <x v="23"/>
    <s v="Vegetables"/>
    <n v="152.4"/>
    <x v="0"/>
  </r>
  <r>
    <s v="Rural+Urban"/>
    <n v="2014"/>
    <s v="November"/>
    <x v="23"/>
    <s v="Pulses and products"/>
    <n v="117.2"/>
    <x v="0"/>
  </r>
  <r>
    <s v="Rural+Urban"/>
    <n v="2014"/>
    <s v="November"/>
    <x v="23"/>
    <s v="Sugar and Confectionery"/>
    <n v="102.1"/>
    <x v="0"/>
  </r>
  <r>
    <s v="Rural+Urban"/>
    <n v="2014"/>
    <s v="November"/>
    <x v="23"/>
    <s v="Spices"/>
    <n v="118.7"/>
    <x v="0"/>
  </r>
  <r>
    <s v="Rural+Urban"/>
    <n v="2014"/>
    <s v="November"/>
    <x v="23"/>
    <s v="Non-alcoholic beverages"/>
    <n v="116.4"/>
    <x v="0"/>
  </r>
  <r>
    <s v="Rural+Urban"/>
    <n v="2014"/>
    <s v="November"/>
    <x v="23"/>
    <s v="Prepared meals, snacks, sweets etc."/>
    <n v="125.6"/>
    <x v="0"/>
  </r>
  <r>
    <s v="Rural+Urban"/>
    <n v="2014"/>
    <s v="November"/>
    <x v="23"/>
    <s v="Food and beverages"/>
    <n v="125.1"/>
    <x v="0"/>
  </r>
  <r>
    <s v="Rural+Urban"/>
    <n v="2014"/>
    <s v="November"/>
    <x v="23"/>
    <s v="Pan, tobacco and intoxicants"/>
    <n v="122.1"/>
    <x v="1"/>
  </r>
  <r>
    <s v="Rural+Urban"/>
    <n v="2014"/>
    <s v="November"/>
    <x v="23"/>
    <s v="Clothing"/>
    <n v="122.1"/>
    <x v="2"/>
  </r>
  <r>
    <s v="Rural+Urban"/>
    <n v="2014"/>
    <s v="November"/>
    <x v="23"/>
    <s v="Footwear"/>
    <n v="118.4"/>
    <x v="2"/>
  </r>
  <r>
    <s v="Rural+Urban"/>
    <n v="2014"/>
    <s v="November"/>
    <x v="23"/>
    <s v="Clothing and footwear"/>
    <n v="121.6"/>
    <x v="2"/>
  </r>
  <r>
    <s v="Rural+Urban"/>
    <n v="2014"/>
    <s v="November"/>
    <x v="23"/>
    <s v="Housing"/>
    <n v="117.1"/>
    <x v="10"/>
  </r>
  <r>
    <s v="Rural+Urban"/>
    <n v="2014"/>
    <s v="November"/>
    <x v="23"/>
    <s v="Fuel and light"/>
    <n v="115.5"/>
    <x v="3"/>
  </r>
  <r>
    <s v="Rural+Urban"/>
    <n v="2014"/>
    <s v="November"/>
    <x v="23"/>
    <s v="Household goods and services"/>
    <n v="117.3"/>
    <x v="4"/>
  </r>
  <r>
    <s v="Rural+Urban"/>
    <n v="2014"/>
    <s v="November"/>
    <x v="23"/>
    <s v="Health"/>
    <n v="114.8"/>
    <x v="5"/>
  </r>
  <r>
    <s v="Rural+Urban"/>
    <n v="2014"/>
    <s v="November"/>
    <x v="23"/>
    <s v="Transport and communication"/>
    <n v="110.8"/>
    <x v="6"/>
  </r>
  <r>
    <s v="Rural+Urban"/>
    <n v="2014"/>
    <s v="November"/>
    <x v="23"/>
    <s v="Recreation and amusement"/>
    <n v="113.7"/>
    <x v="1"/>
  </r>
  <r>
    <s v="Rural+Urban"/>
    <n v="2014"/>
    <s v="November"/>
    <x v="23"/>
    <s v="Education"/>
    <n v="119"/>
    <x v="7"/>
  </r>
  <r>
    <s v="Rural+Urban"/>
    <n v="2014"/>
    <s v="November"/>
    <x v="23"/>
    <s v="Personal care and effects"/>
    <n v="109.1"/>
    <x v="4"/>
  </r>
  <r>
    <s v="Rural+Urban"/>
    <n v="2014"/>
    <s v="November"/>
    <x v="23"/>
    <s v="Miscellaneous"/>
    <n v="113.8"/>
    <x v="8"/>
  </r>
  <r>
    <s v="Rural+Urban"/>
    <n v="2014"/>
    <s v="November"/>
    <x v="23"/>
    <s v="General index"/>
    <n v="120.1"/>
    <x v="9"/>
  </r>
  <r>
    <s v="Rural"/>
    <n v="2014"/>
    <s v="December"/>
    <x v="24"/>
    <s v="Cereals and products"/>
    <n v="122.4"/>
    <x v="0"/>
  </r>
  <r>
    <s v="Rural"/>
    <n v="2014"/>
    <s v="December"/>
    <x v="24"/>
    <s v="Meat and fish"/>
    <n v="122.4"/>
    <x v="0"/>
  </r>
  <r>
    <s v="Rural"/>
    <n v="2014"/>
    <s v="December"/>
    <x v="24"/>
    <s v="Egg"/>
    <n v="121.8"/>
    <x v="0"/>
  </r>
  <r>
    <s v="Rural"/>
    <n v="2014"/>
    <s v="December"/>
    <x v="24"/>
    <s v="Milk and products"/>
    <n v="124.2"/>
    <x v="0"/>
  </r>
  <r>
    <s v="Rural"/>
    <n v="2014"/>
    <s v="December"/>
    <x v="24"/>
    <s v="Oils and fats"/>
    <n v="110.2"/>
    <x v="0"/>
  </r>
  <r>
    <s v="Rural"/>
    <n v="2014"/>
    <s v="December"/>
    <x v="24"/>
    <s v="Fruits"/>
    <n v="128.6"/>
    <x v="0"/>
  </r>
  <r>
    <s v="Rural"/>
    <n v="2014"/>
    <s v="December"/>
    <x v="24"/>
    <s v="Vegetables"/>
    <n v="140.30000000000001"/>
    <x v="0"/>
  </r>
  <r>
    <s v="Rural"/>
    <n v="2014"/>
    <s v="December"/>
    <x v="24"/>
    <s v="Pulses and products"/>
    <n v="116.3"/>
    <x v="0"/>
  </r>
  <r>
    <s v="Rural"/>
    <n v="2014"/>
    <s v="December"/>
    <x v="24"/>
    <s v="Sugar and Confectionery"/>
    <n v="102"/>
    <x v="0"/>
  </r>
  <r>
    <s v="Rural"/>
    <n v="2014"/>
    <s v="December"/>
    <x v="24"/>
    <s v="Spices"/>
    <n v="116"/>
    <x v="0"/>
  </r>
  <r>
    <s v="Rural"/>
    <n v="2014"/>
    <s v="December"/>
    <x v="24"/>
    <s v="Non-alcoholic beverages"/>
    <n v="117.3"/>
    <x v="0"/>
  </r>
  <r>
    <s v="Rural"/>
    <n v="2014"/>
    <s v="December"/>
    <x v="24"/>
    <s v="Prepared meals, snacks, sweets etc."/>
    <n v="124.8"/>
    <x v="0"/>
  </r>
  <r>
    <s v="Rural"/>
    <n v="2014"/>
    <s v="December"/>
    <x v="24"/>
    <s v="Food and beverages"/>
    <n v="123.3"/>
    <x v="0"/>
  </r>
  <r>
    <s v="Rural"/>
    <n v="2014"/>
    <s v="December"/>
    <x v="24"/>
    <s v="Pan, tobacco and intoxicants"/>
    <n v="121.7"/>
    <x v="1"/>
  </r>
  <r>
    <s v="Rural"/>
    <n v="2014"/>
    <s v="December"/>
    <x v="24"/>
    <s v="Clothing"/>
    <n v="123.8"/>
    <x v="2"/>
  </r>
  <r>
    <s v="Rural"/>
    <n v="2014"/>
    <s v="December"/>
    <x v="24"/>
    <s v="Footwear"/>
    <n v="120.6"/>
    <x v="2"/>
  </r>
  <r>
    <s v="Rural"/>
    <n v="2014"/>
    <s v="December"/>
    <x v="24"/>
    <s v="Clothing and footwear"/>
    <n v="123.3"/>
    <x v="2"/>
  </r>
  <r>
    <s v="Rural"/>
    <n v="2014"/>
    <s v="December"/>
    <x v="24"/>
    <s v="Fuel and light"/>
    <n v="117.4"/>
    <x v="3"/>
  </r>
  <r>
    <s v="Rural"/>
    <n v="2014"/>
    <s v="December"/>
    <x v="24"/>
    <s v="Household goods and services"/>
    <n v="118.2"/>
    <x v="4"/>
  </r>
  <r>
    <s v="Rural"/>
    <n v="2014"/>
    <s v="December"/>
    <x v="24"/>
    <s v="Health"/>
    <n v="116.2"/>
    <x v="5"/>
  </r>
  <r>
    <s v="Rural"/>
    <n v="2014"/>
    <s v="December"/>
    <x v="24"/>
    <s v="Transport and communication"/>
    <n v="111.5"/>
    <x v="6"/>
  </r>
  <r>
    <s v="Rural"/>
    <n v="2014"/>
    <s v="December"/>
    <x v="24"/>
    <s v="Recreation and amusement"/>
    <n v="113.3"/>
    <x v="1"/>
  </r>
  <r>
    <s v="Rural"/>
    <n v="2014"/>
    <s v="December"/>
    <x v="24"/>
    <s v="Education"/>
    <n v="117.7"/>
    <x v="7"/>
  </r>
  <r>
    <s v="Rural"/>
    <n v="2014"/>
    <s v="December"/>
    <x v="24"/>
    <s v="Personal care and effects"/>
    <n v="109.4"/>
    <x v="4"/>
  </r>
  <r>
    <s v="Rural"/>
    <n v="2014"/>
    <s v="December"/>
    <x v="24"/>
    <s v="Miscellaneous"/>
    <n v="114.2"/>
    <x v="8"/>
  </r>
  <r>
    <s v="Rural"/>
    <n v="2014"/>
    <s v="December"/>
    <x v="24"/>
    <s v="General index"/>
    <n v="120.3"/>
    <x v="9"/>
  </r>
  <r>
    <s v="Urban"/>
    <n v="2014"/>
    <s v="December"/>
    <x v="24"/>
    <s v="Cereals and products"/>
    <n v="124"/>
    <x v="0"/>
  </r>
  <r>
    <s v="Urban"/>
    <n v="2014"/>
    <s v="December"/>
    <x v="24"/>
    <s v="Meat and fish"/>
    <n v="124.7"/>
    <x v="0"/>
  </r>
  <r>
    <s v="Urban"/>
    <n v="2014"/>
    <s v="December"/>
    <x v="24"/>
    <s v="Egg"/>
    <n v="126.3"/>
    <x v="0"/>
  </r>
  <r>
    <s v="Urban"/>
    <n v="2014"/>
    <s v="December"/>
    <x v="24"/>
    <s v="Milk and products"/>
    <n v="124.9"/>
    <x v="0"/>
  </r>
  <r>
    <s v="Urban"/>
    <n v="2014"/>
    <s v="December"/>
    <x v="24"/>
    <s v="Oils and fats"/>
    <n v="103"/>
    <x v="0"/>
  </r>
  <r>
    <s v="Urban"/>
    <n v="2014"/>
    <s v="December"/>
    <x v="24"/>
    <s v="Fruits"/>
    <n v="122.3"/>
    <x v="0"/>
  </r>
  <r>
    <s v="Urban"/>
    <n v="2014"/>
    <s v="December"/>
    <x v="24"/>
    <s v="Vegetables"/>
    <n v="141"/>
    <x v="0"/>
  </r>
  <r>
    <s v="Urban"/>
    <n v="2014"/>
    <s v="December"/>
    <x v="24"/>
    <s v="Pulses and products"/>
    <n v="120.1"/>
    <x v="0"/>
  </r>
  <r>
    <s v="Urban"/>
    <n v="2014"/>
    <s v="December"/>
    <x v="24"/>
    <s v="Sugar and Confectionery"/>
    <n v="97.8"/>
    <x v="0"/>
  </r>
  <r>
    <s v="Urban"/>
    <n v="2014"/>
    <s v="December"/>
    <x v="24"/>
    <s v="Spices"/>
    <n v="125.4"/>
    <x v="0"/>
  </r>
  <r>
    <s v="Urban"/>
    <n v="2014"/>
    <s v="December"/>
    <x v="24"/>
    <s v="Non-alcoholic beverages"/>
    <n v="116.1"/>
    <x v="0"/>
  </r>
  <r>
    <s v="Urban"/>
    <n v="2014"/>
    <s v="December"/>
    <x v="24"/>
    <s v="Prepared meals, snacks, sweets etc."/>
    <n v="127.6"/>
    <x v="0"/>
  </r>
  <r>
    <s v="Urban"/>
    <n v="2014"/>
    <s v="December"/>
    <x v="24"/>
    <s v="Food and beverages"/>
    <n v="124"/>
    <x v="0"/>
  </r>
  <r>
    <s v="Urban"/>
    <n v="2014"/>
    <s v="December"/>
    <x v="24"/>
    <s v="Pan, tobacco and intoxicants"/>
    <n v="126.4"/>
    <x v="1"/>
  </r>
  <r>
    <s v="Urban"/>
    <n v="2014"/>
    <s v="December"/>
    <x v="24"/>
    <s v="Clothing"/>
    <n v="120.7"/>
    <x v="2"/>
  </r>
  <r>
    <s v="Urban"/>
    <n v="2014"/>
    <s v="December"/>
    <x v="24"/>
    <s v="Footwear"/>
    <n v="115.8"/>
    <x v="2"/>
  </r>
  <r>
    <s v="Urban"/>
    <n v="2014"/>
    <s v="December"/>
    <x v="24"/>
    <s v="Clothing and footwear"/>
    <n v="120"/>
    <x v="2"/>
  </r>
  <r>
    <s v="Urban"/>
    <n v="2014"/>
    <s v="December"/>
    <x v="24"/>
    <s v="Housing"/>
    <n v="116.5"/>
    <x v="10"/>
  </r>
  <r>
    <s v="Urban"/>
    <n v="2014"/>
    <s v="December"/>
    <x v="24"/>
    <s v="Fuel and light"/>
    <n v="113"/>
    <x v="3"/>
  </r>
  <r>
    <s v="Urban"/>
    <n v="2014"/>
    <s v="December"/>
    <x v="24"/>
    <s v="Household goods and services"/>
    <n v="116.8"/>
    <x v="4"/>
  </r>
  <r>
    <s v="Urban"/>
    <n v="2014"/>
    <s v="December"/>
    <x v="24"/>
    <s v="Health"/>
    <n v="113.2"/>
    <x v="5"/>
  </r>
  <r>
    <s v="Urban"/>
    <n v="2014"/>
    <s v="December"/>
    <x v="24"/>
    <s v="Transport and communication"/>
    <n v="108.8"/>
    <x v="6"/>
  </r>
  <r>
    <s v="Urban"/>
    <n v="2014"/>
    <s v="December"/>
    <x v="24"/>
    <s v="Recreation and amusement"/>
    <n v="114.3"/>
    <x v="1"/>
  </r>
  <r>
    <s v="Urban"/>
    <n v="2014"/>
    <s v="December"/>
    <x v="24"/>
    <s v="Education"/>
    <n v="120.7"/>
    <x v="7"/>
  </r>
  <r>
    <s v="Urban"/>
    <n v="2014"/>
    <s v="December"/>
    <x v="24"/>
    <s v="Personal care and effects"/>
    <n v="110.4"/>
    <x v="4"/>
  </r>
  <r>
    <s v="Urban"/>
    <n v="2014"/>
    <s v="December"/>
    <x v="24"/>
    <s v="Miscellaneous"/>
    <n v="113.4"/>
    <x v="8"/>
  </r>
  <r>
    <s v="Urban"/>
    <n v="2014"/>
    <s v="December"/>
    <x v="24"/>
    <s v="General index"/>
    <n v="118.4"/>
    <x v="9"/>
  </r>
  <r>
    <s v="Rural+Urban"/>
    <n v="2014"/>
    <s v="December"/>
    <x v="24"/>
    <s v="Cereals and products"/>
    <n v="122.9"/>
    <x v="0"/>
  </r>
  <r>
    <s v="Rural+Urban"/>
    <n v="2014"/>
    <s v="December"/>
    <x v="24"/>
    <s v="Meat and fish"/>
    <n v="123.2"/>
    <x v="0"/>
  </r>
  <r>
    <s v="Rural+Urban"/>
    <n v="2014"/>
    <s v="December"/>
    <x v="24"/>
    <s v="Egg"/>
    <n v="123.5"/>
    <x v="0"/>
  </r>
  <r>
    <s v="Rural+Urban"/>
    <n v="2014"/>
    <s v="December"/>
    <x v="24"/>
    <s v="Milk and products"/>
    <n v="124.5"/>
    <x v="0"/>
  </r>
  <r>
    <s v="Rural+Urban"/>
    <n v="2014"/>
    <s v="December"/>
    <x v="24"/>
    <s v="Oils and fats"/>
    <n v="107.6"/>
    <x v="0"/>
  </r>
  <r>
    <s v="Rural+Urban"/>
    <n v="2014"/>
    <s v="December"/>
    <x v="24"/>
    <s v="Fruits"/>
    <n v="125.7"/>
    <x v="0"/>
  </r>
  <r>
    <s v="Rural+Urban"/>
    <n v="2014"/>
    <s v="December"/>
    <x v="24"/>
    <s v="Vegetables"/>
    <n v="140.5"/>
    <x v="0"/>
  </r>
  <r>
    <s v="Rural+Urban"/>
    <n v="2014"/>
    <s v="December"/>
    <x v="24"/>
    <s v="Pulses and products"/>
    <n v="117.6"/>
    <x v="0"/>
  </r>
  <r>
    <s v="Rural+Urban"/>
    <n v="2014"/>
    <s v="December"/>
    <x v="24"/>
    <s v="Sugar and Confectionery"/>
    <n v="100.6"/>
    <x v="0"/>
  </r>
  <r>
    <s v="Rural+Urban"/>
    <n v="2014"/>
    <s v="December"/>
    <x v="24"/>
    <s v="Spices"/>
    <n v="119.1"/>
    <x v="0"/>
  </r>
  <r>
    <s v="Rural+Urban"/>
    <n v="2014"/>
    <s v="December"/>
    <x v="24"/>
    <s v="Non-alcoholic beverages"/>
    <n v="116.8"/>
    <x v="0"/>
  </r>
  <r>
    <s v="Rural+Urban"/>
    <n v="2014"/>
    <s v="December"/>
    <x v="24"/>
    <s v="Prepared meals, snacks, sweets etc."/>
    <n v="126.1"/>
    <x v="0"/>
  </r>
  <r>
    <s v="Rural+Urban"/>
    <n v="2014"/>
    <s v="December"/>
    <x v="24"/>
    <s v="Food and beverages"/>
    <n v="123.6"/>
    <x v="0"/>
  </r>
  <r>
    <s v="Rural+Urban"/>
    <n v="2014"/>
    <s v="December"/>
    <x v="24"/>
    <s v="Pan, tobacco and intoxicants"/>
    <n v="123"/>
    <x v="1"/>
  </r>
  <r>
    <s v="Rural+Urban"/>
    <n v="2014"/>
    <s v="December"/>
    <x v="24"/>
    <s v="Clothing"/>
    <n v="122.6"/>
    <x v="2"/>
  </r>
  <r>
    <s v="Rural+Urban"/>
    <n v="2014"/>
    <s v="December"/>
    <x v="24"/>
    <s v="Footwear"/>
    <n v="118.6"/>
    <x v="2"/>
  </r>
  <r>
    <s v="Rural+Urban"/>
    <n v="2014"/>
    <s v="December"/>
    <x v="24"/>
    <s v="Clothing and footwear"/>
    <n v="122"/>
    <x v="2"/>
  </r>
  <r>
    <s v="Rural+Urban"/>
    <n v="2014"/>
    <s v="December"/>
    <x v="24"/>
    <s v="Housing"/>
    <n v="116.5"/>
    <x v="10"/>
  </r>
  <r>
    <s v="Rural+Urban"/>
    <n v="2014"/>
    <s v="December"/>
    <x v="24"/>
    <s v="Fuel and light"/>
    <n v="115.7"/>
    <x v="3"/>
  </r>
  <r>
    <s v="Rural+Urban"/>
    <n v="2014"/>
    <s v="December"/>
    <x v="24"/>
    <s v="Household goods and services"/>
    <n v="117.5"/>
    <x v="4"/>
  </r>
  <r>
    <s v="Rural+Urban"/>
    <n v="2014"/>
    <s v="December"/>
    <x v="24"/>
    <s v="Health"/>
    <n v="115.1"/>
    <x v="5"/>
  </r>
  <r>
    <s v="Rural+Urban"/>
    <n v="2014"/>
    <s v="December"/>
    <x v="24"/>
    <s v="Transport and communication"/>
    <n v="110.1"/>
    <x v="6"/>
  </r>
  <r>
    <s v="Rural+Urban"/>
    <n v="2014"/>
    <s v="December"/>
    <x v="24"/>
    <s v="Recreation and amusement"/>
    <n v="113.9"/>
    <x v="1"/>
  </r>
  <r>
    <s v="Rural+Urban"/>
    <n v="2014"/>
    <s v="December"/>
    <x v="24"/>
    <s v="Education"/>
    <n v="119.5"/>
    <x v="7"/>
  </r>
  <r>
    <s v="Rural+Urban"/>
    <n v="2014"/>
    <s v="December"/>
    <x v="24"/>
    <s v="Personal care and effects"/>
    <n v="109.8"/>
    <x v="4"/>
  </r>
  <r>
    <s v="Rural+Urban"/>
    <n v="2014"/>
    <s v="December"/>
    <x v="24"/>
    <s v="Miscellaneous"/>
    <n v="113.8"/>
    <x v="8"/>
  </r>
  <r>
    <s v="Rural+Urban"/>
    <n v="2014"/>
    <s v="December"/>
    <x v="24"/>
    <s v="General index"/>
    <n v="119.4"/>
    <x v="9"/>
  </r>
  <r>
    <s v="Rural"/>
    <n v="2015"/>
    <s v="January"/>
    <x v="25"/>
    <s v="Cereals and products"/>
    <n v="123.1"/>
    <x v="0"/>
  </r>
  <r>
    <s v="Rural"/>
    <n v="2015"/>
    <s v="January"/>
    <x v="25"/>
    <s v="Meat and fish"/>
    <n v="123.1"/>
    <x v="0"/>
  </r>
  <r>
    <s v="Rural"/>
    <n v="2015"/>
    <s v="January"/>
    <x v="25"/>
    <s v="Egg"/>
    <n v="122.1"/>
    <x v="0"/>
  </r>
  <r>
    <s v="Rural"/>
    <n v="2015"/>
    <s v="January"/>
    <x v="25"/>
    <s v="Milk and products"/>
    <n v="124.9"/>
    <x v="0"/>
  </r>
  <r>
    <s v="Rural"/>
    <n v="2015"/>
    <s v="January"/>
    <x v="25"/>
    <s v="Oils and fats"/>
    <n v="111"/>
    <x v="0"/>
  </r>
  <r>
    <s v="Rural"/>
    <n v="2015"/>
    <s v="January"/>
    <x v="25"/>
    <s v="Fruits"/>
    <n v="130.4"/>
    <x v="0"/>
  </r>
  <r>
    <s v="Rural"/>
    <n v="2015"/>
    <s v="January"/>
    <x v="25"/>
    <s v="Vegetables"/>
    <n v="132.30000000000001"/>
    <x v="0"/>
  </r>
  <r>
    <s v="Rural"/>
    <n v="2015"/>
    <s v="January"/>
    <x v="25"/>
    <s v="Pulses and products"/>
    <n v="117.2"/>
    <x v="0"/>
  </r>
  <r>
    <s v="Rural"/>
    <n v="2015"/>
    <s v="January"/>
    <x v="25"/>
    <s v="Sugar and Confectionery"/>
    <n v="100.5"/>
    <x v="0"/>
  </r>
  <r>
    <s v="Rural"/>
    <n v="2015"/>
    <s v="January"/>
    <x v="25"/>
    <s v="Spices"/>
    <n v="117.2"/>
    <x v="0"/>
  </r>
  <r>
    <s v="Rural"/>
    <n v="2015"/>
    <s v="January"/>
    <x v="25"/>
    <s v="Non-alcoholic beverages"/>
    <n v="117.9"/>
    <x v="0"/>
  </r>
  <r>
    <s v="Rural"/>
    <n v="2015"/>
    <s v="January"/>
    <x v="25"/>
    <s v="Prepared meals, snacks, sweets etc."/>
    <n v="125.6"/>
    <x v="0"/>
  </r>
  <r>
    <s v="Rural"/>
    <n v="2015"/>
    <s v="January"/>
    <x v="25"/>
    <s v="Food and beverages"/>
    <n v="122.8"/>
    <x v="0"/>
  </r>
  <r>
    <s v="Rural"/>
    <n v="2015"/>
    <s v="January"/>
    <x v="25"/>
    <s v="Pan, tobacco and intoxicants"/>
    <n v="122.7"/>
    <x v="1"/>
  </r>
  <r>
    <s v="Rural"/>
    <n v="2015"/>
    <s v="January"/>
    <x v="25"/>
    <s v="Clothing"/>
    <n v="124.4"/>
    <x v="2"/>
  </r>
  <r>
    <s v="Rural"/>
    <n v="2015"/>
    <s v="January"/>
    <x v="25"/>
    <s v="Footwear"/>
    <n v="121.6"/>
    <x v="2"/>
  </r>
  <r>
    <s v="Rural"/>
    <n v="2015"/>
    <s v="January"/>
    <x v="25"/>
    <s v="Clothing and footwear"/>
    <n v="124"/>
    <x v="2"/>
  </r>
  <r>
    <s v="Rural"/>
    <n v="2015"/>
    <s v="January"/>
    <x v="25"/>
    <s v="Fuel and light"/>
    <n v="118.4"/>
    <x v="3"/>
  </r>
  <r>
    <s v="Rural"/>
    <n v="2015"/>
    <s v="January"/>
    <x v="25"/>
    <s v="Household goods and services"/>
    <n v="118.9"/>
    <x v="4"/>
  </r>
  <r>
    <s v="Rural"/>
    <n v="2015"/>
    <s v="January"/>
    <x v="25"/>
    <s v="Health"/>
    <n v="116.6"/>
    <x v="5"/>
  </r>
  <r>
    <s v="Rural"/>
    <n v="2015"/>
    <s v="January"/>
    <x v="25"/>
    <s v="Transport and communication"/>
    <n v="111"/>
    <x v="6"/>
  </r>
  <r>
    <s v="Rural"/>
    <n v="2015"/>
    <s v="January"/>
    <x v="25"/>
    <s v="Recreation and amusement"/>
    <n v="114"/>
    <x v="1"/>
  </r>
  <r>
    <s v="Rural"/>
    <n v="2015"/>
    <s v="January"/>
    <x v="25"/>
    <s v="Education"/>
    <n v="118.2"/>
    <x v="7"/>
  </r>
  <r>
    <s v="Rural"/>
    <n v="2015"/>
    <s v="January"/>
    <x v="25"/>
    <s v="Personal care and effects"/>
    <n v="110.2"/>
    <x v="4"/>
  </r>
  <r>
    <s v="Rural"/>
    <n v="2015"/>
    <s v="January"/>
    <x v="25"/>
    <s v="Miscellaneous"/>
    <n v="114.5"/>
    <x v="8"/>
  </r>
  <r>
    <s v="Rural"/>
    <n v="2015"/>
    <s v="January"/>
    <x v="25"/>
    <s v="General index"/>
    <n v="120.3"/>
    <x v="9"/>
  </r>
  <r>
    <s v="Urban"/>
    <n v="2015"/>
    <s v="January"/>
    <x v="25"/>
    <s v="Cereals and products"/>
    <n v="124"/>
    <x v="0"/>
  </r>
  <r>
    <s v="Urban"/>
    <n v="2015"/>
    <s v="January"/>
    <x v="25"/>
    <s v="Meat and fish"/>
    <n v="125.5"/>
    <x v="0"/>
  </r>
  <r>
    <s v="Urban"/>
    <n v="2015"/>
    <s v="January"/>
    <x v="25"/>
    <s v="Egg"/>
    <n v="126.6"/>
    <x v="0"/>
  </r>
  <r>
    <s v="Urban"/>
    <n v="2015"/>
    <s v="January"/>
    <x v="25"/>
    <s v="Milk and products"/>
    <n v="125.2"/>
    <x v="0"/>
  </r>
  <r>
    <s v="Urban"/>
    <n v="2015"/>
    <s v="January"/>
    <x v="25"/>
    <s v="Oils and fats"/>
    <n v="104.3"/>
    <x v="0"/>
  </r>
  <r>
    <s v="Urban"/>
    <n v="2015"/>
    <s v="January"/>
    <x v="25"/>
    <s v="Fruits"/>
    <n v="121.3"/>
    <x v="0"/>
  </r>
  <r>
    <s v="Urban"/>
    <n v="2015"/>
    <s v="January"/>
    <x v="25"/>
    <s v="Vegetables"/>
    <n v="134.4"/>
    <x v="0"/>
  </r>
  <r>
    <s v="Urban"/>
    <n v="2015"/>
    <s v="January"/>
    <x v="25"/>
    <s v="Pulses and products"/>
    <n v="122.9"/>
    <x v="0"/>
  </r>
  <r>
    <s v="Urban"/>
    <n v="2015"/>
    <s v="January"/>
    <x v="25"/>
    <s v="Sugar and Confectionery"/>
    <n v="96.1"/>
    <x v="0"/>
  </r>
  <r>
    <s v="Urban"/>
    <n v="2015"/>
    <s v="January"/>
    <x v="25"/>
    <s v="Spices"/>
    <n v="126.6"/>
    <x v="0"/>
  </r>
  <r>
    <s v="Urban"/>
    <n v="2015"/>
    <s v="January"/>
    <x v="25"/>
    <s v="Non-alcoholic beverages"/>
    <n v="116.5"/>
    <x v="0"/>
  </r>
  <r>
    <s v="Urban"/>
    <n v="2015"/>
    <s v="January"/>
    <x v="25"/>
    <s v="Prepared meals, snacks, sweets etc."/>
    <n v="128"/>
    <x v="0"/>
  </r>
  <r>
    <s v="Urban"/>
    <n v="2015"/>
    <s v="January"/>
    <x v="25"/>
    <s v="Food and beverages"/>
    <n v="123.5"/>
    <x v="0"/>
  </r>
  <r>
    <s v="Urban"/>
    <n v="2015"/>
    <s v="January"/>
    <x v="25"/>
    <s v="Pan, tobacco and intoxicants"/>
    <n v="127.4"/>
    <x v="1"/>
  </r>
  <r>
    <s v="Urban"/>
    <n v="2015"/>
    <s v="January"/>
    <x v="25"/>
    <s v="Clothing"/>
    <n v="121"/>
    <x v="2"/>
  </r>
  <r>
    <s v="Urban"/>
    <n v="2015"/>
    <s v="January"/>
    <x v="25"/>
    <s v="Footwear"/>
    <n v="116.1"/>
    <x v="2"/>
  </r>
  <r>
    <s v="Urban"/>
    <n v="2015"/>
    <s v="January"/>
    <x v="25"/>
    <s v="Clothing and footwear"/>
    <n v="120.2"/>
    <x v="2"/>
  </r>
  <r>
    <s v="Urban"/>
    <n v="2015"/>
    <s v="January"/>
    <x v="25"/>
    <s v="Housing"/>
    <n v="117.3"/>
    <x v="10"/>
  </r>
  <r>
    <s v="Urban"/>
    <n v="2015"/>
    <s v="January"/>
    <x v="25"/>
    <s v="Fuel and light"/>
    <n v="113.4"/>
    <x v="3"/>
  </r>
  <r>
    <s v="Urban"/>
    <n v="2015"/>
    <s v="January"/>
    <x v="25"/>
    <s v="Household goods and services"/>
    <n v="117.2"/>
    <x v="4"/>
  </r>
  <r>
    <s v="Urban"/>
    <n v="2015"/>
    <s v="January"/>
    <x v="25"/>
    <s v="Health"/>
    <n v="113.7"/>
    <x v="5"/>
  </r>
  <r>
    <s v="Urban"/>
    <n v="2015"/>
    <s v="January"/>
    <x v="25"/>
    <s v="Transport and communication"/>
    <n v="107.9"/>
    <x v="6"/>
  </r>
  <r>
    <s v="Urban"/>
    <n v="2015"/>
    <s v="January"/>
    <x v="25"/>
    <s v="Recreation and amusement"/>
    <n v="114.6"/>
    <x v="1"/>
  </r>
  <r>
    <s v="Urban"/>
    <n v="2015"/>
    <s v="January"/>
    <x v="25"/>
    <s v="Education"/>
    <n v="120.8"/>
    <x v="7"/>
  </r>
  <r>
    <s v="Urban"/>
    <n v="2015"/>
    <s v="January"/>
    <x v="25"/>
    <s v="Personal care and effects"/>
    <n v="111.4"/>
    <x v="4"/>
  </r>
  <r>
    <s v="Urban"/>
    <n v="2015"/>
    <s v="January"/>
    <x v="25"/>
    <s v="Miscellaneous"/>
    <n v="113.4"/>
    <x v="8"/>
  </r>
  <r>
    <s v="Urban"/>
    <n v="2015"/>
    <s v="January"/>
    <x v="25"/>
    <s v="General index"/>
    <n v="118.5"/>
    <x v="9"/>
  </r>
  <r>
    <s v="Rural+Urban"/>
    <n v="2015"/>
    <s v="January"/>
    <x v="25"/>
    <s v="Cereals and products"/>
    <n v="123.4"/>
    <x v="0"/>
  </r>
  <r>
    <s v="Rural+Urban"/>
    <n v="2015"/>
    <s v="January"/>
    <x v="25"/>
    <s v="Meat and fish"/>
    <n v="123.9"/>
    <x v="0"/>
  </r>
  <r>
    <s v="Rural+Urban"/>
    <n v="2015"/>
    <s v="January"/>
    <x v="25"/>
    <s v="Egg"/>
    <n v="123.8"/>
    <x v="0"/>
  </r>
  <r>
    <s v="Rural+Urban"/>
    <n v="2015"/>
    <s v="January"/>
    <x v="25"/>
    <s v="Milk and products"/>
    <n v="125"/>
    <x v="0"/>
  </r>
  <r>
    <s v="Rural+Urban"/>
    <n v="2015"/>
    <s v="January"/>
    <x v="25"/>
    <s v="Oils and fats"/>
    <n v="108.5"/>
    <x v="0"/>
  </r>
  <r>
    <s v="Rural+Urban"/>
    <n v="2015"/>
    <s v="January"/>
    <x v="25"/>
    <s v="Fruits"/>
    <n v="126.2"/>
    <x v="0"/>
  </r>
  <r>
    <s v="Rural+Urban"/>
    <n v="2015"/>
    <s v="January"/>
    <x v="25"/>
    <s v="Vegetables"/>
    <n v="133"/>
    <x v="0"/>
  </r>
  <r>
    <s v="Rural+Urban"/>
    <n v="2015"/>
    <s v="January"/>
    <x v="25"/>
    <s v="Pulses and products"/>
    <n v="119.1"/>
    <x v="0"/>
  </r>
  <r>
    <s v="Rural+Urban"/>
    <n v="2015"/>
    <s v="January"/>
    <x v="25"/>
    <s v="Sugar and Confectionery"/>
    <n v="99"/>
    <x v="0"/>
  </r>
  <r>
    <s v="Rural+Urban"/>
    <n v="2015"/>
    <s v="January"/>
    <x v="25"/>
    <s v="Spices"/>
    <n v="120.3"/>
    <x v="0"/>
  </r>
  <r>
    <s v="Rural+Urban"/>
    <n v="2015"/>
    <s v="January"/>
    <x v="25"/>
    <s v="Non-alcoholic beverages"/>
    <n v="117.3"/>
    <x v="0"/>
  </r>
  <r>
    <s v="Rural+Urban"/>
    <n v="2015"/>
    <s v="January"/>
    <x v="25"/>
    <s v="Prepared meals, snacks, sweets etc."/>
    <n v="126.7"/>
    <x v="0"/>
  </r>
  <r>
    <s v="Rural+Urban"/>
    <n v="2015"/>
    <s v="January"/>
    <x v="25"/>
    <s v="Food and beverages"/>
    <n v="123.1"/>
    <x v="0"/>
  </r>
  <r>
    <s v="Rural+Urban"/>
    <n v="2015"/>
    <s v="January"/>
    <x v="25"/>
    <s v="Pan, tobacco and intoxicants"/>
    <n v="124"/>
    <x v="1"/>
  </r>
  <r>
    <s v="Rural+Urban"/>
    <n v="2015"/>
    <s v="January"/>
    <x v="25"/>
    <s v="Clothing"/>
    <n v="123.1"/>
    <x v="2"/>
  </r>
  <r>
    <s v="Rural+Urban"/>
    <n v="2015"/>
    <s v="January"/>
    <x v="25"/>
    <s v="Footwear"/>
    <n v="119.3"/>
    <x v="2"/>
  </r>
  <r>
    <s v="Rural+Urban"/>
    <n v="2015"/>
    <s v="January"/>
    <x v="25"/>
    <s v="Clothing and footwear"/>
    <n v="122.5"/>
    <x v="2"/>
  </r>
  <r>
    <s v="Rural+Urban"/>
    <n v="2015"/>
    <s v="January"/>
    <x v="25"/>
    <s v="Housing"/>
    <n v="117.3"/>
    <x v="10"/>
  </r>
  <r>
    <s v="Rural+Urban"/>
    <n v="2015"/>
    <s v="January"/>
    <x v="25"/>
    <s v="Fuel and light"/>
    <n v="116.5"/>
    <x v="3"/>
  </r>
  <r>
    <s v="Rural+Urban"/>
    <n v="2015"/>
    <s v="January"/>
    <x v="25"/>
    <s v="Household goods and services"/>
    <n v="118.1"/>
    <x v="4"/>
  </r>
  <r>
    <s v="Rural+Urban"/>
    <n v="2015"/>
    <s v="January"/>
    <x v="25"/>
    <s v="Health"/>
    <n v="115.5"/>
    <x v="5"/>
  </r>
  <r>
    <s v="Rural+Urban"/>
    <n v="2015"/>
    <s v="January"/>
    <x v="25"/>
    <s v="Transport and communication"/>
    <n v="109.4"/>
    <x v="6"/>
  </r>
  <r>
    <s v="Rural+Urban"/>
    <n v="2015"/>
    <s v="January"/>
    <x v="25"/>
    <s v="Recreation and amusement"/>
    <n v="114.3"/>
    <x v="1"/>
  </r>
  <r>
    <s v="Rural+Urban"/>
    <n v="2015"/>
    <s v="January"/>
    <x v="25"/>
    <s v="Education"/>
    <n v="119.7"/>
    <x v="7"/>
  </r>
  <r>
    <s v="Rural+Urban"/>
    <n v="2015"/>
    <s v="January"/>
    <x v="25"/>
    <s v="Personal care and effects"/>
    <n v="110.7"/>
    <x v="4"/>
  </r>
  <r>
    <s v="Rural+Urban"/>
    <n v="2015"/>
    <s v="January"/>
    <x v="25"/>
    <s v="Miscellaneous"/>
    <n v="114"/>
    <x v="8"/>
  </r>
  <r>
    <s v="Rural+Urban"/>
    <n v="2015"/>
    <s v="January"/>
    <x v="25"/>
    <s v="General index"/>
    <n v="119.5"/>
    <x v="9"/>
  </r>
  <r>
    <s v="Rural"/>
    <n v="2015"/>
    <s v="February"/>
    <x v="26"/>
    <s v="Cereals and products"/>
    <n v="123.4"/>
    <x v="0"/>
  </r>
  <r>
    <s v="Rural"/>
    <n v="2015"/>
    <s v="February"/>
    <x v="26"/>
    <s v="Meat and fish"/>
    <n v="124.4"/>
    <x v="0"/>
  </r>
  <r>
    <s v="Rural"/>
    <n v="2015"/>
    <s v="February"/>
    <x v="26"/>
    <s v="Egg"/>
    <n v="122.1"/>
    <x v="0"/>
  </r>
  <r>
    <s v="Rural"/>
    <n v="2015"/>
    <s v="February"/>
    <x v="26"/>
    <s v="Milk and products"/>
    <n v="125.8"/>
    <x v="0"/>
  </r>
  <r>
    <s v="Rural"/>
    <n v="2015"/>
    <s v="February"/>
    <x v="26"/>
    <s v="Oils and fats"/>
    <n v="111.5"/>
    <x v="0"/>
  </r>
  <r>
    <s v="Rural"/>
    <n v="2015"/>
    <s v="February"/>
    <x v="26"/>
    <s v="Fruits"/>
    <n v="129.4"/>
    <x v="0"/>
  </r>
  <r>
    <s v="Rural"/>
    <n v="2015"/>
    <s v="February"/>
    <x v="26"/>
    <s v="Vegetables"/>
    <n v="128.19999999999999"/>
    <x v="0"/>
  </r>
  <r>
    <s v="Rural"/>
    <n v="2015"/>
    <s v="February"/>
    <x v="26"/>
    <s v="Pulses and products"/>
    <n v="118.8"/>
    <x v="0"/>
  </r>
  <r>
    <s v="Rural"/>
    <n v="2015"/>
    <s v="February"/>
    <x v="26"/>
    <s v="Sugar and Confectionery"/>
    <n v="100"/>
    <x v="0"/>
  </r>
  <r>
    <s v="Rural"/>
    <n v="2015"/>
    <s v="February"/>
    <x v="26"/>
    <s v="Spices"/>
    <n v="118.6"/>
    <x v="0"/>
  </r>
  <r>
    <s v="Rural"/>
    <n v="2015"/>
    <s v="February"/>
    <x v="26"/>
    <s v="Non-alcoholic beverages"/>
    <n v="118.8"/>
    <x v="0"/>
  </r>
  <r>
    <s v="Rural"/>
    <n v="2015"/>
    <s v="February"/>
    <x v="26"/>
    <s v="Prepared meals, snacks, sweets etc."/>
    <n v="126.8"/>
    <x v="0"/>
  </r>
  <r>
    <s v="Rural"/>
    <n v="2015"/>
    <s v="February"/>
    <x v="26"/>
    <s v="Food and beverages"/>
    <n v="122.8"/>
    <x v="0"/>
  </r>
  <r>
    <s v="Rural"/>
    <n v="2015"/>
    <s v="February"/>
    <x v="26"/>
    <s v="Pan, tobacco and intoxicants"/>
    <n v="124.2"/>
    <x v="1"/>
  </r>
  <r>
    <s v="Rural"/>
    <n v="2015"/>
    <s v="February"/>
    <x v="26"/>
    <s v="Clothing"/>
    <n v="125.4"/>
    <x v="2"/>
  </r>
  <r>
    <s v="Rural"/>
    <n v="2015"/>
    <s v="February"/>
    <x v="26"/>
    <s v="Footwear"/>
    <n v="122.7"/>
    <x v="2"/>
  </r>
  <r>
    <s v="Rural"/>
    <n v="2015"/>
    <s v="February"/>
    <x v="26"/>
    <s v="Clothing and footwear"/>
    <n v="125"/>
    <x v="2"/>
  </r>
  <r>
    <s v="Rural"/>
    <n v="2015"/>
    <s v="February"/>
    <x v="26"/>
    <s v="Fuel and light"/>
    <n v="120"/>
    <x v="3"/>
  </r>
  <r>
    <s v="Rural"/>
    <n v="2015"/>
    <s v="February"/>
    <x v="26"/>
    <s v="Household goods and services"/>
    <n v="119.6"/>
    <x v="4"/>
  </r>
  <r>
    <s v="Rural"/>
    <n v="2015"/>
    <s v="February"/>
    <x v="26"/>
    <s v="Health"/>
    <n v="117.7"/>
    <x v="5"/>
  </r>
  <r>
    <s v="Rural"/>
    <n v="2015"/>
    <s v="February"/>
    <x v="26"/>
    <s v="Transport and communication"/>
    <n v="110.9"/>
    <x v="6"/>
  </r>
  <r>
    <s v="Rural"/>
    <n v="2015"/>
    <s v="February"/>
    <x v="26"/>
    <s v="Recreation and amusement"/>
    <n v="114.8"/>
    <x v="1"/>
  </r>
  <r>
    <s v="Rural"/>
    <n v="2015"/>
    <s v="February"/>
    <x v="26"/>
    <s v="Education"/>
    <n v="118.7"/>
    <x v="7"/>
  </r>
  <r>
    <s v="Rural"/>
    <n v="2015"/>
    <s v="February"/>
    <x v="26"/>
    <s v="Personal care and effects"/>
    <n v="110.8"/>
    <x v="4"/>
  </r>
  <r>
    <s v="Rural"/>
    <n v="2015"/>
    <s v="February"/>
    <x v="26"/>
    <s v="Miscellaneous"/>
    <n v="115"/>
    <x v="8"/>
  </r>
  <r>
    <s v="Rural"/>
    <n v="2015"/>
    <s v="February"/>
    <x v="26"/>
    <s v="General index"/>
    <n v="120.6"/>
    <x v="9"/>
  </r>
  <r>
    <s v="Urban"/>
    <n v="2015"/>
    <s v="February"/>
    <x v="26"/>
    <s v="Cereals and products"/>
    <n v="124.3"/>
    <x v="0"/>
  </r>
  <r>
    <s v="Urban"/>
    <n v="2015"/>
    <s v="February"/>
    <x v="26"/>
    <s v="Meat and fish"/>
    <n v="126.5"/>
    <x v="0"/>
  </r>
  <r>
    <s v="Urban"/>
    <n v="2015"/>
    <s v="February"/>
    <x v="26"/>
    <s v="Egg"/>
    <n v="119.5"/>
    <x v="0"/>
  </r>
  <r>
    <s v="Urban"/>
    <n v="2015"/>
    <s v="February"/>
    <x v="26"/>
    <s v="Milk and products"/>
    <n v="125.6"/>
    <x v="0"/>
  </r>
  <r>
    <s v="Urban"/>
    <n v="2015"/>
    <s v="February"/>
    <x v="26"/>
    <s v="Oils and fats"/>
    <n v="104.9"/>
    <x v="0"/>
  </r>
  <r>
    <s v="Urban"/>
    <n v="2015"/>
    <s v="February"/>
    <x v="26"/>
    <s v="Fruits"/>
    <n v="121.6"/>
    <x v="0"/>
  </r>
  <r>
    <s v="Urban"/>
    <n v="2015"/>
    <s v="February"/>
    <x v="26"/>
    <s v="Vegetables"/>
    <n v="131.80000000000001"/>
    <x v="0"/>
  </r>
  <r>
    <s v="Urban"/>
    <n v="2015"/>
    <s v="February"/>
    <x v="26"/>
    <s v="Pulses and products"/>
    <n v="125.1"/>
    <x v="0"/>
  </r>
  <r>
    <s v="Urban"/>
    <n v="2015"/>
    <s v="February"/>
    <x v="26"/>
    <s v="Sugar and Confectionery"/>
    <n v="95"/>
    <x v="0"/>
  </r>
  <r>
    <s v="Urban"/>
    <n v="2015"/>
    <s v="February"/>
    <x v="26"/>
    <s v="Spices"/>
    <n v="127.7"/>
    <x v="0"/>
  </r>
  <r>
    <s v="Urban"/>
    <n v="2015"/>
    <s v="February"/>
    <x v="26"/>
    <s v="Non-alcoholic beverages"/>
    <n v="116.8"/>
    <x v="0"/>
  </r>
  <r>
    <s v="Urban"/>
    <n v="2015"/>
    <s v="February"/>
    <x v="26"/>
    <s v="Prepared meals, snacks, sweets etc."/>
    <n v="128.6"/>
    <x v="0"/>
  </r>
  <r>
    <s v="Urban"/>
    <n v="2015"/>
    <s v="February"/>
    <x v="26"/>
    <s v="Food and beverages"/>
    <n v="123.7"/>
    <x v="0"/>
  </r>
  <r>
    <s v="Urban"/>
    <n v="2015"/>
    <s v="February"/>
    <x v="26"/>
    <s v="Pan, tobacco and intoxicants"/>
    <n v="128.1"/>
    <x v="1"/>
  </r>
  <r>
    <s v="Urban"/>
    <n v="2015"/>
    <s v="February"/>
    <x v="26"/>
    <s v="Clothing"/>
    <n v="121.3"/>
    <x v="2"/>
  </r>
  <r>
    <s v="Urban"/>
    <n v="2015"/>
    <s v="February"/>
    <x v="26"/>
    <s v="Footwear"/>
    <n v="116.5"/>
    <x v="2"/>
  </r>
  <r>
    <s v="Urban"/>
    <n v="2015"/>
    <s v="February"/>
    <x v="26"/>
    <s v="Clothing and footwear"/>
    <n v="120.6"/>
    <x v="2"/>
  </r>
  <r>
    <s v="Urban"/>
    <n v="2015"/>
    <s v="February"/>
    <x v="26"/>
    <s v="Housing"/>
    <n v="118.1"/>
    <x v="10"/>
  </r>
  <r>
    <s v="Urban"/>
    <n v="2015"/>
    <s v="February"/>
    <x v="26"/>
    <s v="Fuel and light"/>
    <n v="114"/>
    <x v="3"/>
  </r>
  <r>
    <s v="Urban"/>
    <n v="2015"/>
    <s v="February"/>
    <x v="26"/>
    <s v="Household goods and services"/>
    <n v="117.7"/>
    <x v="4"/>
  </r>
  <r>
    <s v="Urban"/>
    <n v="2015"/>
    <s v="February"/>
    <x v="26"/>
    <s v="Health"/>
    <n v="114.1"/>
    <x v="5"/>
  </r>
  <r>
    <s v="Urban"/>
    <n v="2015"/>
    <s v="February"/>
    <x v="26"/>
    <s v="Transport and communication"/>
    <n v="106.8"/>
    <x v="6"/>
  </r>
  <r>
    <s v="Urban"/>
    <n v="2015"/>
    <s v="February"/>
    <x v="26"/>
    <s v="Recreation and amusement"/>
    <n v="114.9"/>
    <x v="1"/>
  </r>
  <r>
    <s v="Urban"/>
    <n v="2015"/>
    <s v="February"/>
    <x v="26"/>
    <s v="Education"/>
    <n v="120.4"/>
    <x v="7"/>
  </r>
  <r>
    <s v="Urban"/>
    <n v="2015"/>
    <s v="February"/>
    <x v="26"/>
    <s v="Personal care and effects"/>
    <n v="111.7"/>
    <x v="4"/>
  </r>
  <r>
    <s v="Urban"/>
    <n v="2015"/>
    <s v="February"/>
    <x v="26"/>
    <s v="Miscellaneous"/>
    <n v="113.2"/>
    <x v="8"/>
  </r>
  <r>
    <s v="Urban"/>
    <n v="2015"/>
    <s v="February"/>
    <x v="26"/>
    <s v="General index"/>
    <n v="118.7"/>
    <x v="9"/>
  </r>
  <r>
    <s v="Rural+Urban"/>
    <n v="2015"/>
    <s v="February"/>
    <x v="26"/>
    <s v="Cereals and products"/>
    <n v="123.7"/>
    <x v="0"/>
  </r>
  <r>
    <s v="Rural+Urban"/>
    <n v="2015"/>
    <s v="February"/>
    <x v="26"/>
    <s v="Meat and fish"/>
    <n v="125.1"/>
    <x v="0"/>
  </r>
  <r>
    <s v="Rural+Urban"/>
    <n v="2015"/>
    <s v="February"/>
    <x v="26"/>
    <s v="Egg"/>
    <n v="121.1"/>
    <x v="0"/>
  </r>
  <r>
    <s v="Rural+Urban"/>
    <n v="2015"/>
    <s v="February"/>
    <x v="26"/>
    <s v="Milk and products"/>
    <n v="125.7"/>
    <x v="0"/>
  </r>
  <r>
    <s v="Rural+Urban"/>
    <n v="2015"/>
    <s v="February"/>
    <x v="26"/>
    <s v="Oils and fats"/>
    <n v="109.1"/>
    <x v="0"/>
  </r>
  <r>
    <s v="Rural+Urban"/>
    <n v="2015"/>
    <s v="February"/>
    <x v="26"/>
    <s v="Fruits"/>
    <n v="125.8"/>
    <x v="0"/>
  </r>
  <r>
    <s v="Rural+Urban"/>
    <n v="2015"/>
    <s v="February"/>
    <x v="26"/>
    <s v="Vegetables"/>
    <n v="129.4"/>
    <x v="0"/>
  </r>
  <r>
    <s v="Rural+Urban"/>
    <n v="2015"/>
    <s v="February"/>
    <x v="26"/>
    <s v="Pulses and products"/>
    <n v="120.9"/>
    <x v="0"/>
  </r>
  <r>
    <s v="Rural+Urban"/>
    <n v="2015"/>
    <s v="February"/>
    <x v="26"/>
    <s v="Sugar and Confectionery"/>
    <n v="98.3"/>
    <x v="0"/>
  </r>
  <r>
    <s v="Rural+Urban"/>
    <n v="2015"/>
    <s v="February"/>
    <x v="26"/>
    <s v="Spices"/>
    <n v="121.6"/>
    <x v="0"/>
  </r>
  <r>
    <s v="Rural+Urban"/>
    <n v="2015"/>
    <s v="February"/>
    <x v="26"/>
    <s v="Non-alcoholic beverages"/>
    <n v="118"/>
    <x v="0"/>
  </r>
  <r>
    <s v="Rural+Urban"/>
    <n v="2015"/>
    <s v="February"/>
    <x v="26"/>
    <s v="Prepared meals, snacks, sweets etc."/>
    <n v="127.6"/>
    <x v="0"/>
  </r>
  <r>
    <s v="Rural+Urban"/>
    <n v="2015"/>
    <s v="February"/>
    <x v="26"/>
    <s v="Food and beverages"/>
    <n v="123.1"/>
    <x v="0"/>
  </r>
  <r>
    <s v="Rural+Urban"/>
    <n v="2015"/>
    <s v="February"/>
    <x v="26"/>
    <s v="Pan, tobacco and intoxicants"/>
    <n v="125.2"/>
    <x v="1"/>
  </r>
  <r>
    <s v="Rural+Urban"/>
    <n v="2015"/>
    <s v="February"/>
    <x v="26"/>
    <s v="Clothing"/>
    <n v="123.8"/>
    <x v="2"/>
  </r>
  <r>
    <s v="Rural+Urban"/>
    <n v="2015"/>
    <s v="February"/>
    <x v="26"/>
    <s v="Footwear"/>
    <n v="120.1"/>
    <x v="2"/>
  </r>
  <r>
    <s v="Rural+Urban"/>
    <n v="2015"/>
    <s v="February"/>
    <x v="26"/>
    <s v="Clothing and footwear"/>
    <n v="123.3"/>
    <x v="2"/>
  </r>
  <r>
    <s v="Rural+Urban"/>
    <n v="2015"/>
    <s v="February"/>
    <x v="26"/>
    <s v="Housing"/>
    <n v="118.1"/>
    <x v="10"/>
  </r>
  <r>
    <s v="Rural+Urban"/>
    <n v="2015"/>
    <s v="February"/>
    <x v="26"/>
    <s v="Fuel and light"/>
    <n v="117.7"/>
    <x v="3"/>
  </r>
  <r>
    <s v="Rural+Urban"/>
    <n v="2015"/>
    <s v="February"/>
    <x v="26"/>
    <s v="Household goods and services"/>
    <n v="118.7"/>
    <x v="4"/>
  </r>
  <r>
    <s v="Rural+Urban"/>
    <n v="2015"/>
    <s v="February"/>
    <x v="26"/>
    <s v="Health"/>
    <n v="116.3"/>
    <x v="5"/>
  </r>
  <r>
    <s v="Rural+Urban"/>
    <n v="2015"/>
    <s v="February"/>
    <x v="26"/>
    <s v="Transport and communication"/>
    <n v="108.7"/>
    <x v="6"/>
  </r>
  <r>
    <s v="Rural+Urban"/>
    <n v="2015"/>
    <s v="February"/>
    <x v="26"/>
    <s v="Recreation and amusement"/>
    <n v="114.9"/>
    <x v="1"/>
  </r>
  <r>
    <s v="Rural+Urban"/>
    <n v="2015"/>
    <s v="February"/>
    <x v="26"/>
    <s v="Education"/>
    <n v="119.7"/>
    <x v="7"/>
  </r>
  <r>
    <s v="Rural+Urban"/>
    <n v="2015"/>
    <s v="February"/>
    <x v="26"/>
    <s v="Personal care and effects"/>
    <n v="111.2"/>
    <x v="4"/>
  </r>
  <r>
    <s v="Rural+Urban"/>
    <n v="2015"/>
    <s v="February"/>
    <x v="26"/>
    <s v="Miscellaneous"/>
    <n v="114.1"/>
    <x v="8"/>
  </r>
  <r>
    <s v="Rural+Urban"/>
    <n v="2015"/>
    <s v="February"/>
    <x v="26"/>
    <s v="General index"/>
    <n v="119.7"/>
    <x v="9"/>
  </r>
  <r>
    <s v="Rural"/>
    <n v="2015"/>
    <s v="March"/>
    <x v="27"/>
    <s v="Cereals and products"/>
    <n v="123.3"/>
    <x v="0"/>
  </r>
  <r>
    <s v="Rural"/>
    <n v="2015"/>
    <s v="March"/>
    <x v="27"/>
    <s v="Meat and fish"/>
    <n v="124.7"/>
    <x v="0"/>
  </r>
  <r>
    <s v="Rural"/>
    <n v="2015"/>
    <s v="March"/>
    <x v="27"/>
    <s v="Egg"/>
    <n v="118.9"/>
    <x v="0"/>
  </r>
  <r>
    <s v="Rural"/>
    <n v="2015"/>
    <s v="March"/>
    <x v="27"/>
    <s v="Milk and products"/>
    <n v="126"/>
    <x v="0"/>
  </r>
  <r>
    <s v="Rural"/>
    <n v="2015"/>
    <s v="March"/>
    <x v="27"/>
    <s v="Oils and fats"/>
    <n v="111.8"/>
    <x v="0"/>
  </r>
  <r>
    <s v="Rural"/>
    <n v="2015"/>
    <s v="March"/>
    <x v="27"/>
    <s v="Fruits"/>
    <n v="130.9"/>
    <x v="0"/>
  </r>
  <r>
    <s v="Rural"/>
    <n v="2015"/>
    <s v="March"/>
    <x v="27"/>
    <s v="Vegetables"/>
    <n v="128"/>
    <x v="0"/>
  </r>
  <r>
    <s v="Rural"/>
    <n v="2015"/>
    <s v="March"/>
    <x v="27"/>
    <s v="Pulses and products"/>
    <n v="119.9"/>
    <x v="0"/>
  </r>
  <r>
    <s v="Rural"/>
    <n v="2015"/>
    <s v="March"/>
    <x v="27"/>
    <s v="Sugar and Confectionery"/>
    <n v="98.9"/>
    <x v="0"/>
  </r>
  <r>
    <s v="Rural"/>
    <n v="2015"/>
    <s v="March"/>
    <x v="27"/>
    <s v="Spices"/>
    <n v="119.4"/>
    <x v="0"/>
  </r>
  <r>
    <s v="Rural"/>
    <n v="2015"/>
    <s v="March"/>
    <x v="27"/>
    <s v="Non-alcoholic beverages"/>
    <n v="118.9"/>
    <x v="0"/>
  </r>
  <r>
    <s v="Rural"/>
    <n v="2015"/>
    <s v="March"/>
    <x v="27"/>
    <s v="Prepared meals, snacks, sweets etc."/>
    <n v="127.7"/>
    <x v="0"/>
  </r>
  <r>
    <s v="Rural"/>
    <n v="2015"/>
    <s v="March"/>
    <x v="27"/>
    <s v="Food and beverages"/>
    <n v="123.1"/>
    <x v="0"/>
  </r>
  <r>
    <s v="Rural"/>
    <n v="2015"/>
    <s v="March"/>
    <x v="27"/>
    <s v="Pan, tobacco and intoxicants"/>
    <n v="124.7"/>
    <x v="1"/>
  </r>
  <r>
    <s v="Rural"/>
    <n v="2015"/>
    <s v="March"/>
    <x v="27"/>
    <s v="Clothing"/>
    <n v="126"/>
    <x v="2"/>
  </r>
  <r>
    <s v="Rural"/>
    <n v="2015"/>
    <s v="March"/>
    <x v="27"/>
    <s v="Footwear"/>
    <n v="122.9"/>
    <x v="2"/>
  </r>
  <r>
    <s v="Rural"/>
    <n v="2015"/>
    <s v="March"/>
    <x v="27"/>
    <s v="Clothing and footwear"/>
    <n v="125.5"/>
    <x v="2"/>
  </r>
  <r>
    <s v="Rural"/>
    <n v="2015"/>
    <s v="March"/>
    <x v="27"/>
    <s v="Fuel and light"/>
    <n v="120.6"/>
    <x v="3"/>
  </r>
  <r>
    <s v="Rural"/>
    <n v="2015"/>
    <s v="March"/>
    <x v="27"/>
    <s v="Household goods and services"/>
    <n v="120.2"/>
    <x v="4"/>
  </r>
  <r>
    <s v="Rural"/>
    <n v="2015"/>
    <s v="March"/>
    <x v="27"/>
    <s v="Health"/>
    <n v="118.2"/>
    <x v="5"/>
  </r>
  <r>
    <s v="Rural"/>
    <n v="2015"/>
    <s v="March"/>
    <x v="27"/>
    <s v="Transport and communication"/>
    <n v="111.6"/>
    <x v="6"/>
  </r>
  <r>
    <s v="Rural"/>
    <n v="2015"/>
    <s v="March"/>
    <x v="27"/>
    <s v="Recreation and amusement"/>
    <n v="115.5"/>
    <x v="1"/>
  </r>
  <r>
    <s v="Rural"/>
    <n v="2015"/>
    <s v="March"/>
    <x v="27"/>
    <s v="Education"/>
    <n v="119.4"/>
    <x v="7"/>
  </r>
  <r>
    <s v="Rural"/>
    <n v="2015"/>
    <s v="March"/>
    <x v="27"/>
    <s v="Personal care and effects"/>
    <n v="110.8"/>
    <x v="4"/>
  </r>
  <r>
    <s v="Rural"/>
    <n v="2015"/>
    <s v="March"/>
    <x v="27"/>
    <s v="Miscellaneous"/>
    <n v="115.5"/>
    <x v="8"/>
  </r>
  <r>
    <s v="Rural"/>
    <n v="2015"/>
    <s v="March"/>
    <x v="27"/>
    <s v="General index"/>
    <n v="121.1"/>
    <x v="9"/>
  </r>
  <r>
    <s v="Urban"/>
    <n v="2015"/>
    <s v="March"/>
    <x v="27"/>
    <s v="Cereals and products"/>
    <n v="124"/>
    <x v="0"/>
  </r>
  <r>
    <s v="Urban"/>
    <n v="2015"/>
    <s v="March"/>
    <x v="27"/>
    <s v="Meat and fish"/>
    <n v="126.7"/>
    <x v="0"/>
  </r>
  <r>
    <s v="Urban"/>
    <n v="2015"/>
    <s v="March"/>
    <x v="27"/>
    <s v="Egg"/>
    <n v="113.5"/>
    <x v="0"/>
  </r>
  <r>
    <s v="Urban"/>
    <n v="2015"/>
    <s v="March"/>
    <x v="27"/>
    <s v="Milk and products"/>
    <n v="125.9"/>
    <x v="0"/>
  </r>
  <r>
    <s v="Urban"/>
    <n v="2015"/>
    <s v="March"/>
    <x v="27"/>
    <s v="Oils and fats"/>
    <n v="104.8"/>
    <x v="0"/>
  </r>
  <r>
    <s v="Urban"/>
    <n v="2015"/>
    <s v="March"/>
    <x v="27"/>
    <s v="Fruits"/>
    <n v="123.8"/>
    <x v="0"/>
  </r>
  <r>
    <s v="Urban"/>
    <n v="2015"/>
    <s v="March"/>
    <x v="27"/>
    <s v="Vegetables"/>
    <n v="131.4"/>
    <x v="0"/>
  </r>
  <r>
    <s v="Urban"/>
    <n v="2015"/>
    <s v="March"/>
    <x v="27"/>
    <s v="Pulses and products"/>
    <n v="127.2"/>
    <x v="0"/>
  </r>
  <r>
    <s v="Urban"/>
    <n v="2015"/>
    <s v="March"/>
    <x v="27"/>
    <s v="Sugar and Confectionery"/>
    <n v="93.2"/>
    <x v="0"/>
  </r>
  <r>
    <s v="Urban"/>
    <n v="2015"/>
    <s v="March"/>
    <x v="27"/>
    <s v="Spices"/>
    <n v="127.4"/>
    <x v="0"/>
  </r>
  <r>
    <s v="Urban"/>
    <n v="2015"/>
    <s v="March"/>
    <x v="27"/>
    <s v="Non-alcoholic beverages"/>
    <n v="117"/>
    <x v="0"/>
  </r>
  <r>
    <s v="Urban"/>
    <n v="2015"/>
    <s v="March"/>
    <x v="27"/>
    <s v="Prepared meals, snacks, sweets etc."/>
    <n v="129.19999999999999"/>
    <x v="0"/>
  </r>
  <r>
    <s v="Urban"/>
    <n v="2015"/>
    <s v="March"/>
    <x v="27"/>
    <s v="Food and beverages"/>
    <n v="123.9"/>
    <x v="0"/>
  </r>
  <r>
    <s v="Urban"/>
    <n v="2015"/>
    <s v="March"/>
    <x v="27"/>
    <s v="Pan, tobacco and intoxicants"/>
    <n v="128.80000000000001"/>
    <x v="1"/>
  </r>
  <r>
    <s v="Urban"/>
    <n v="2015"/>
    <s v="March"/>
    <x v="27"/>
    <s v="Clothing"/>
    <n v="121.7"/>
    <x v="2"/>
  </r>
  <r>
    <s v="Urban"/>
    <n v="2015"/>
    <s v="March"/>
    <x v="27"/>
    <s v="Footwear"/>
    <n v="116.9"/>
    <x v="2"/>
  </r>
  <r>
    <s v="Urban"/>
    <n v="2015"/>
    <s v="March"/>
    <x v="27"/>
    <s v="Clothing and footwear"/>
    <n v="120.9"/>
    <x v="2"/>
  </r>
  <r>
    <s v="Urban"/>
    <n v="2015"/>
    <s v="March"/>
    <x v="27"/>
    <s v="Housing"/>
    <n v="118.6"/>
    <x v="10"/>
  </r>
  <r>
    <s v="Urban"/>
    <n v="2015"/>
    <s v="March"/>
    <x v="27"/>
    <s v="Fuel and light"/>
    <n v="114.4"/>
    <x v="3"/>
  </r>
  <r>
    <s v="Urban"/>
    <n v="2015"/>
    <s v="March"/>
    <x v="27"/>
    <s v="Household goods and services"/>
    <n v="118"/>
    <x v="4"/>
  </r>
  <r>
    <s v="Urban"/>
    <n v="2015"/>
    <s v="March"/>
    <x v="27"/>
    <s v="Health"/>
    <n v="114.3"/>
    <x v="5"/>
  </r>
  <r>
    <s v="Urban"/>
    <n v="2015"/>
    <s v="March"/>
    <x v="27"/>
    <s v="Transport and communication"/>
    <n v="108.4"/>
    <x v="6"/>
  </r>
  <r>
    <s v="Urban"/>
    <n v="2015"/>
    <s v="March"/>
    <x v="27"/>
    <s v="Recreation and amusement"/>
    <n v="115.4"/>
    <x v="1"/>
  </r>
  <r>
    <s v="Urban"/>
    <n v="2015"/>
    <s v="March"/>
    <x v="27"/>
    <s v="Education"/>
    <n v="120.6"/>
    <x v="7"/>
  </r>
  <r>
    <s v="Urban"/>
    <n v="2015"/>
    <s v="March"/>
    <x v="27"/>
    <s v="Personal care and effects"/>
    <n v="111.3"/>
    <x v="4"/>
  </r>
  <r>
    <s v="Urban"/>
    <n v="2015"/>
    <s v="March"/>
    <x v="27"/>
    <s v="Miscellaneous"/>
    <n v="113.8"/>
    <x v="8"/>
  </r>
  <r>
    <s v="Urban"/>
    <n v="2015"/>
    <s v="March"/>
    <x v="27"/>
    <s v="General index"/>
    <n v="119.1"/>
    <x v="9"/>
  </r>
  <r>
    <s v="Rural+Urban"/>
    <n v="2015"/>
    <s v="March"/>
    <x v="27"/>
    <s v="Cereals and products"/>
    <n v="123.5"/>
    <x v="0"/>
  </r>
  <r>
    <s v="Rural+Urban"/>
    <n v="2015"/>
    <s v="March"/>
    <x v="27"/>
    <s v="Meat and fish"/>
    <n v="125.4"/>
    <x v="0"/>
  </r>
  <r>
    <s v="Rural+Urban"/>
    <n v="2015"/>
    <s v="March"/>
    <x v="27"/>
    <s v="Egg"/>
    <n v="116.8"/>
    <x v="0"/>
  </r>
  <r>
    <s v="Rural+Urban"/>
    <n v="2015"/>
    <s v="March"/>
    <x v="27"/>
    <s v="Milk and products"/>
    <n v="126"/>
    <x v="0"/>
  </r>
  <r>
    <s v="Rural+Urban"/>
    <n v="2015"/>
    <s v="March"/>
    <x v="27"/>
    <s v="Oils and fats"/>
    <n v="109.2"/>
    <x v="0"/>
  </r>
  <r>
    <s v="Rural+Urban"/>
    <n v="2015"/>
    <s v="March"/>
    <x v="27"/>
    <s v="Fruits"/>
    <n v="127.6"/>
    <x v="0"/>
  </r>
  <r>
    <s v="Rural+Urban"/>
    <n v="2015"/>
    <s v="March"/>
    <x v="27"/>
    <s v="Vegetables"/>
    <n v="129.19999999999999"/>
    <x v="0"/>
  </r>
  <r>
    <s v="Rural+Urban"/>
    <n v="2015"/>
    <s v="March"/>
    <x v="27"/>
    <s v="Pulses and products"/>
    <n v="122.4"/>
    <x v="0"/>
  </r>
  <r>
    <s v="Rural+Urban"/>
    <n v="2015"/>
    <s v="March"/>
    <x v="27"/>
    <s v="Sugar and Confectionery"/>
    <n v="97"/>
    <x v="0"/>
  </r>
  <r>
    <s v="Rural+Urban"/>
    <n v="2015"/>
    <s v="March"/>
    <x v="27"/>
    <s v="Spices"/>
    <n v="122.1"/>
    <x v="0"/>
  </r>
  <r>
    <s v="Rural+Urban"/>
    <n v="2015"/>
    <s v="March"/>
    <x v="27"/>
    <s v="Non-alcoholic beverages"/>
    <n v="118.1"/>
    <x v="0"/>
  </r>
  <r>
    <s v="Rural+Urban"/>
    <n v="2015"/>
    <s v="March"/>
    <x v="27"/>
    <s v="Prepared meals, snacks, sweets etc."/>
    <n v="128.4"/>
    <x v="0"/>
  </r>
  <r>
    <s v="Rural+Urban"/>
    <n v="2015"/>
    <s v="March"/>
    <x v="27"/>
    <s v="Food and beverages"/>
    <n v="123.4"/>
    <x v="0"/>
  </r>
  <r>
    <s v="Rural+Urban"/>
    <n v="2015"/>
    <s v="March"/>
    <x v="27"/>
    <s v="Pan, tobacco and intoxicants"/>
    <n v="125.8"/>
    <x v="1"/>
  </r>
  <r>
    <s v="Rural+Urban"/>
    <n v="2015"/>
    <s v="March"/>
    <x v="27"/>
    <s v="Clothing"/>
    <n v="124.3"/>
    <x v="2"/>
  </r>
  <r>
    <s v="Rural+Urban"/>
    <n v="2015"/>
    <s v="March"/>
    <x v="27"/>
    <s v="Footwear"/>
    <n v="120.4"/>
    <x v="2"/>
  </r>
  <r>
    <s v="Rural+Urban"/>
    <n v="2015"/>
    <s v="March"/>
    <x v="27"/>
    <s v="Clothing and footwear"/>
    <n v="123.7"/>
    <x v="2"/>
  </r>
  <r>
    <s v="Rural+Urban"/>
    <n v="2015"/>
    <s v="March"/>
    <x v="27"/>
    <s v="Housing"/>
    <n v="118.6"/>
    <x v="10"/>
  </r>
  <r>
    <s v="Rural+Urban"/>
    <n v="2015"/>
    <s v="March"/>
    <x v="27"/>
    <s v="Fuel and light"/>
    <n v="118.3"/>
    <x v="3"/>
  </r>
  <r>
    <s v="Rural+Urban"/>
    <n v="2015"/>
    <s v="March"/>
    <x v="27"/>
    <s v="Household goods and services"/>
    <n v="119.2"/>
    <x v="4"/>
  </r>
  <r>
    <s v="Rural+Urban"/>
    <n v="2015"/>
    <s v="March"/>
    <x v="27"/>
    <s v="Health"/>
    <n v="116.7"/>
    <x v="5"/>
  </r>
  <r>
    <s v="Rural+Urban"/>
    <n v="2015"/>
    <s v="March"/>
    <x v="27"/>
    <s v="Transport and communication"/>
    <n v="109.9"/>
    <x v="6"/>
  </r>
  <r>
    <s v="Rural+Urban"/>
    <n v="2015"/>
    <s v="March"/>
    <x v="27"/>
    <s v="Recreation and amusement"/>
    <n v="115.4"/>
    <x v="1"/>
  </r>
  <r>
    <s v="Rural+Urban"/>
    <n v="2015"/>
    <s v="March"/>
    <x v="27"/>
    <s v="Education"/>
    <n v="120.1"/>
    <x v="7"/>
  </r>
  <r>
    <s v="Rural+Urban"/>
    <n v="2015"/>
    <s v="March"/>
    <x v="27"/>
    <s v="Personal care and effects"/>
    <n v="111"/>
    <x v="4"/>
  </r>
  <r>
    <s v="Rural+Urban"/>
    <n v="2015"/>
    <s v="March"/>
    <x v="27"/>
    <s v="Miscellaneous"/>
    <n v="114.7"/>
    <x v="8"/>
  </r>
  <r>
    <s v="Rural+Urban"/>
    <n v="2015"/>
    <s v="March"/>
    <x v="27"/>
    <s v="General index"/>
    <n v="120.2"/>
    <x v="9"/>
  </r>
  <r>
    <s v="Rural"/>
    <n v="2015"/>
    <s v="April"/>
    <x v="28"/>
    <s v="Cereals and products"/>
    <n v="123.3"/>
    <x v="0"/>
  </r>
  <r>
    <s v="Rural"/>
    <n v="2015"/>
    <s v="April"/>
    <x v="28"/>
    <s v="Meat and fish"/>
    <n v="125.5"/>
    <x v="0"/>
  </r>
  <r>
    <s v="Rural"/>
    <n v="2015"/>
    <s v="April"/>
    <x v="28"/>
    <s v="Egg"/>
    <n v="117.2"/>
    <x v="0"/>
  </r>
  <r>
    <s v="Rural"/>
    <n v="2015"/>
    <s v="April"/>
    <x v="28"/>
    <s v="Milk and products"/>
    <n v="126.8"/>
    <x v="0"/>
  </r>
  <r>
    <s v="Rural"/>
    <n v="2015"/>
    <s v="April"/>
    <x v="28"/>
    <s v="Oils and fats"/>
    <n v="111.9"/>
    <x v="0"/>
  </r>
  <r>
    <s v="Rural"/>
    <n v="2015"/>
    <s v="April"/>
    <x v="28"/>
    <s v="Fruits"/>
    <n v="134.19999999999999"/>
    <x v="0"/>
  </r>
  <r>
    <s v="Rural"/>
    <n v="2015"/>
    <s v="April"/>
    <x v="28"/>
    <s v="Vegetables"/>
    <n v="127.5"/>
    <x v="0"/>
  </r>
  <r>
    <s v="Rural"/>
    <n v="2015"/>
    <s v="April"/>
    <x v="28"/>
    <s v="Pulses and products"/>
    <n v="121.5"/>
    <x v="0"/>
  </r>
  <r>
    <s v="Rural"/>
    <n v="2015"/>
    <s v="April"/>
    <x v="28"/>
    <s v="Sugar and Confectionery"/>
    <n v="97.8"/>
    <x v="0"/>
  </r>
  <r>
    <s v="Rural"/>
    <n v="2015"/>
    <s v="April"/>
    <x v="28"/>
    <s v="Spices"/>
    <n v="119.8"/>
    <x v="0"/>
  </r>
  <r>
    <s v="Rural"/>
    <n v="2015"/>
    <s v="April"/>
    <x v="28"/>
    <s v="Non-alcoholic beverages"/>
    <n v="119.4"/>
    <x v="0"/>
  </r>
  <r>
    <s v="Rural"/>
    <n v="2015"/>
    <s v="April"/>
    <x v="28"/>
    <s v="Prepared meals, snacks, sweets etc."/>
    <n v="128.69999999999999"/>
    <x v="0"/>
  </r>
  <r>
    <s v="Rural"/>
    <n v="2015"/>
    <s v="April"/>
    <x v="28"/>
    <s v="Food and beverages"/>
    <n v="123.6"/>
    <x v="0"/>
  </r>
  <r>
    <s v="Rural"/>
    <n v="2015"/>
    <s v="April"/>
    <x v="28"/>
    <s v="Pan, tobacco and intoxicants"/>
    <n v="125.7"/>
    <x v="1"/>
  </r>
  <r>
    <s v="Rural"/>
    <n v="2015"/>
    <s v="April"/>
    <x v="28"/>
    <s v="Clothing"/>
    <n v="126.4"/>
    <x v="2"/>
  </r>
  <r>
    <s v="Rural"/>
    <n v="2015"/>
    <s v="April"/>
    <x v="28"/>
    <s v="Footwear"/>
    <n v="123.3"/>
    <x v="2"/>
  </r>
  <r>
    <s v="Rural"/>
    <n v="2015"/>
    <s v="April"/>
    <x v="28"/>
    <s v="Clothing and footwear"/>
    <n v="126"/>
    <x v="2"/>
  </r>
  <r>
    <s v="Rural"/>
    <n v="2015"/>
    <s v="April"/>
    <x v="28"/>
    <s v="Fuel and light"/>
    <n v="121.2"/>
    <x v="3"/>
  </r>
  <r>
    <s v="Rural"/>
    <n v="2015"/>
    <s v="April"/>
    <x v="28"/>
    <s v="Household goods and services"/>
    <n v="120.9"/>
    <x v="4"/>
  </r>
  <r>
    <s v="Rural"/>
    <n v="2015"/>
    <s v="April"/>
    <x v="28"/>
    <s v="Health"/>
    <n v="118.6"/>
    <x v="5"/>
  </r>
  <r>
    <s v="Rural"/>
    <n v="2015"/>
    <s v="April"/>
    <x v="28"/>
    <s v="Transport and communication"/>
    <n v="111.9"/>
    <x v="6"/>
  </r>
  <r>
    <s v="Rural"/>
    <n v="2015"/>
    <s v="April"/>
    <x v="28"/>
    <s v="Recreation and amusement"/>
    <n v="116.2"/>
    <x v="1"/>
  </r>
  <r>
    <s v="Rural"/>
    <n v="2015"/>
    <s v="April"/>
    <x v="28"/>
    <s v="Education"/>
    <n v="119.9"/>
    <x v="7"/>
  </r>
  <r>
    <s v="Rural"/>
    <n v="2015"/>
    <s v="April"/>
    <x v="28"/>
    <s v="Personal care and effects"/>
    <n v="111.6"/>
    <x v="4"/>
  </r>
  <r>
    <s v="Rural"/>
    <n v="2015"/>
    <s v="April"/>
    <x v="28"/>
    <s v="Miscellaneous"/>
    <n v="116"/>
    <x v="8"/>
  </r>
  <r>
    <s v="Rural"/>
    <n v="2015"/>
    <s v="April"/>
    <x v="28"/>
    <s v="General index"/>
    <n v="121.5"/>
    <x v="9"/>
  </r>
  <r>
    <s v="Urban"/>
    <n v="2015"/>
    <s v="April"/>
    <x v="28"/>
    <s v="Cereals and products"/>
    <n v="123.8"/>
    <x v="0"/>
  </r>
  <r>
    <s v="Urban"/>
    <n v="2015"/>
    <s v="April"/>
    <x v="28"/>
    <s v="Meat and fish"/>
    <n v="128.19999999999999"/>
    <x v="0"/>
  </r>
  <r>
    <s v="Urban"/>
    <n v="2015"/>
    <s v="April"/>
    <x v="28"/>
    <s v="Egg"/>
    <n v="110"/>
    <x v="0"/>
  </r>
  <r>
    <s v="Urban"/>
    <n v="2015"/>
    <s v="April"/>
    <x v="28"/>
    <s v="Milk and products"/>
    <n v="126.3"/>
    <x v="0"/>
  </r>
  <r>
    <s v="Urban"/>
    <n v="2015"/>
    <s v="April"/>
    <x v="28"/>
    <s v="Oils and fats"/>
    <n v="104.5"/>
    <x v="0"/>
  </r>
  <r>
    <s v="Urban"/>
    <n v="2015"/>
    <s v="April"/>
    <x v="28"/>
    <s v="Fruits"/>
    <n v="130.6"/>
    <x v="0"/>
  </r>
  <r>
    <s v="Urban"/>
    <n v="2015"/>
    <s v="April"/>
    <x v="28"/>
    <s v="Vegetables"/>
    <n v="130.80000000000001"/>
    <x v="0"/>
  </r>
  <r>
    <s v="Urban"/>
    <n v="2015"/>
    <s v="April"/>
    <x v="28"/>
    <s v="Pulses and products"/>
    <n v="131.30000000000001"/>
    <x v="0"/>
  </r>
  <r>
    <s v="Urban"/>
    <n v="2015"/>
    <s v="April"/>
    <x v="28"/>
    <s v="Sugar and Confectionery"/>
    <n v="91.6"/>
    <x v="0"/>
  </r>
  <r>
    <s v="Urban"/>
    <n v="2015"/>
    <s v="April"/>
    <x v="28"/>
    <s v="Spices"/>
    <n v="127.7"/>
    <x v="0"/>
  </r>
  <r>
    <s v="Urban"/>
    <n v="2015"/>
    <s v="April"/>
    <x v="28"/>
    <s v="Non-alcoholic beverages"/>
    <n v="117.2"/>
    <x v="0"/>
  </r>
  <r>
    <s v="Urban"/>
    <n v="2015"/>
    <s v="April"/>
    <x v="28"/>
    <s v="Prepared meals, snacks, sweets etc."/>
    <n v="129.5"/>
    <x v="0"/>
  </r>
  <r>
    <s v="Urban"/>
    <n v="2015"/>
    <s v="April"/>
    <x v="28"/>
    <s v="Food and beverages"/>
    <n v="124.6"/>
    <x v="0"/>
  </r>
  <r>
    <s v="Urban"/>
    <n v="2015"/>
    <s v="April"/>
    <x v="28"/>
    <s v="Pan, tobacco and intoxicants"/>
    <n v="130.1"/>
    <x v="1"/>
  </r>
  <r>
    <s v="Urban"/>
    <n v="2015"/>
    <s v="April"/>
    <x v="28"/>
    <s v="Clothing"/>
    <n v="122.1"/>
    <x v="2"/>
  </r>
  <r>
    <s v="Urban"/>
    <n v="2015"/>
    <s v="April"/>
    <x v="28"/>
    <s v="Footwear"/>
    <n v="117.2"/>
    <x v="2"/>
  </r>
  <r>
    <s v="Urban"/>
    <n v="2015"/>
    <s v="April"/>
    <x v="28"/>
    <s v="Clothing and footwear"/>
    <n v="121.3"/>
    <x v="2"/>
  </r>
  <r>
    <s v="Urban"/>
    <n v="2015"/>
    <s v="April"/>
    <x v="28"/>
    <s v="Housing"/>
    <n v="119.2"/>
    <x v="10"/>
  </r>
  <r>
    <s v="Urban"/>
    <n v="2015"/>
    <s v="April"/>
    <x v="28"/>
    <s v="Fuel and light"/>
    <n v="114.7"/>
    <x v="3"/>
  </r>
  <r>
    <s v="Urban"/>
    <n v="2015"/>
    <s v="April"/>
    <x v="28"/>
    <s v="Household goods and services"/>
    <n v="118.4"/>
    <x v="4"/>
  </r>
  <r>
    <s v="Urban"/>
    <n v="2015"/>
    <s v="April"/>
    <x v="28"/>
    <s v="Health"/>
    <n v="114.6"/>
    <x v="5"/>
  </r>
  <r>
    <s v="Urban"/>
    <n v="2015"/>
    <s v="April"/>
    <x v="28"/>
    <s v="Transport and communication"/>
    <n v="108.4"/>
    <x v="6"/>
  </r>
  <r>
    <s v="Urban"/>
    <n v="2015"/>
    <s v="April"/>
    <x v="28"/>
    <s v="Recreation and amusement"/>
    <n v="115.6"/>
    <x v="1"/>
  </r>
  <r>
    <s v="Urban"/>
    <n v="2015"/>
    <s v="April"/>
    <x v="28"/>
    <s v="Education"/>
    <n v="121.7"/>
    <x v="7"/>
  </r>
  <r>
    <s v="Urban"/>
    <n v="2015"/>
    <s v="April"/>
    <x v="28"/>
    <s v="Personal care and effects"/>
    <n v="111.8"/>
    <x v="4"/>
  </r>
  <r>
    <s v="Urban"/>
    <n v="2015"/>
    <s v="April"/>
    <x v="28"/>
    <s v="Miscellaneous"/>
    <n v="114.2"/>
    <x v="8"/>
  </r>
  <r>
    <s v="Urban"/>
    <n v="2015"/>
    <s v="April"/>
    <x v="28"/>
    <s v="General index"/>
    <n v="119.7"/>
    <x v="9"/>
  </r>
  <r>
    <s v="Rural+Urban"/>
    <n v="2015"/>
    <s v="April"/>
    <x v="28"/>
    <s v="Cereals and products"/>
    <n v="123.5"/>
    <x v="0"/>
  </r>
  <r>
    <s v="Rural+Urban"/>
    <n v="2015"/>
    <s v="April"/>
    <x v="28"/>
    <s v="Meat and fish"/>
    <n v="126.4"/>
    <x v="0"/>
  </r>
  <r>
    <s v="Rural+Urban"/>
    <n v="2015"/>
    <s v="April"/>
    <x v="28"/>
    <s v="Egg"/>
    <n v="114.4"/>
    <x v="0"/>
  </r>
  <r>
    <s v="Rural+Urban"/>
    <n v="2015"/>
    <s v="April"/>
    <x v="28"/>
    <s v="Milk and products"/>
    <n v="126.6"/>
    <x v="0"/>
  </r>
  <r>
    <s v="Rural+Urban"/>
    <n v="2015"/>
    <s v="April"/>
    <x v="28"/>
    <s v="Oils and fats"/>
    <n v="109.2"/>
    <x v="0"/>
  </r>
  <r>
    <s v="Rural+Urban"/>
    <n v="2015"/>
    <s v="April"/>
    <x v="28"/>
    <s v="Fruits"/>
    <n v="132.5"/>
    <x v="0"/>
  </r>
  <r>
    <s v="Rural+Urban"/>
    <n v="2015"/>
    <s v="April"/>
    <x v="28"/>
    <s v="Vegetables"/>
    <n v="128.6"/>
    <x v="0"/>
  </r>
  <r>
    <s v="Rural+Urban"/>
    <n v="2015"/>
    <s v="April"/>
    <x v="28"/>
    <s v="Pulses and products"/>
    <n v="124.8"/>
    <x v="0"/>
  </r>
  <r>
    <s v="Rural+Urban"/>
    <n v="2015"/>
    <s v="April"/>
    <x v="28"/>
    <s v="Sugar and Confectionery"/>
    <n v="95.7"/>
    <x v="0"/>
  </r>
  <r>
    <s v="Rural+Urban"/>
    <n v="2015"/>
    <s v="April"/>
    <x v="28"/>
    <s v="Spices"/>
    <n v="122.4"/>
    <x v="0"/>
  </r>
  <r>
    <s v="Rural+Urban"/>
    <n v="2015"/>
    <s v="April"/>
    <x v="28"/>
    <s v="Non-alcoholic beverages"/>
    <n v="118.5"/>
    <x v="0"/>
  </r>
  <r>
    <s v="Rural+Urban"/>
    <n v="2015"/>
    <s v="April"/>
    <x v="28"/>
    <s v="Prepared meals, snacks, sweets etc."/>
    <n v="129.1"/>
    <x v="0"/>
  </r>
  <r>
    <s v="Rural+Urban"/>
    <n v="2015"/>
    <s v="April"/>
    <x v="28"/>
    <s v="Food and beverages"/>
    <n v="124"/>
    <x v="0"/>
  </r>
  <r>
    <s v="Rural+Urban"/>
    <n v="2015"/>
    <s v="April"/>
    <x v="28"/>
    <s v="Pan, tobacco and intoxicants"/>
    <n v="126.9"/>
    <x v="1"/>
  </r>
  <r>
    <s v="Rural+Urban"/>
    <n v="2015"/>
    <s v="April"/>
    <x v="28"/>
    <s v="Clothing"/>
    <n v="124.7"/>
    <x v="2"/>
  </r>
  <r>
    <s v="Rural+Urban"/>
    <n v="2015"/>
    <s v="April"/>
    <x v="28"/>
    <s v="Footwear"/>
    <n v="120.8"/>
    <x v="2"/>
  </r>
  <r>
    <s v="Rural+Urban"/>
    <n v="2015"/>
    <s v="April"/>
    <x v="28"/>
    <s v="Clothing and footwear"/>
    <n v="124.1"/>
    <x v="2"/>
  </r>
  <r>
    <s v="Rural+Urban"/>
    <n v="2015"/>
    <s v="April"/>
    <x v="28"/>
    <s v="Housing"/>
    <n v="119.2"/>
    <x v="10"/>
  </r>
  <r>
    <s v="Rural+Urban"/>
    <n v="2015"/>
    <s v="April"/>
    <x v="28"/>
    <s v="Fuel and light"/>
    <n v="118.7"/>
    <x v="3"/>
  </r>
  <r>
    <s v="Rural+Urban"/>
    <n v="2015"/>
    <s v="April"/>
    <x v="28"/>
    <s v="Household goods and services"/>
    <n v="119.7"/>
    <x v="4"/>
  </r>
  <r>
    <s v="Rural+Urban"/>
    <n v="2015"/>
    <s v="April"/>
    <x v="28"/>
    <s v="Health"/>
    <n v="117.1"/>
    <x v="5"/>
  </r>
  <r>
    <s v="Rural+Urban"/>
    <n v="2015"/>
    <s v="April"/>
    <x v="28"/>
    <s v="Transport and communication"/>
    <n v="110.1"/>
    <x v="6"/>
  </r>
  <r>
    <s v="Rural+Urban"/>
    <n v="2015"/>
    <s v="April"/>
    <x v="28"/>
    <s v="Recreation and amusement"/>
    <n v="115.9"/>
    <x v="1"/>
  </r>
  <r>
    <s v="Rural+Urban"/>
    <n v="2015"/>
    <s v="April"/>
    <x v="28"/>
    <s v="Education"/>
    <n v="121"/>
    <x v="7"/>
  </r>
  <r>
    <s v="Rural+Urban"/>
    <n v="2015"/>
    <s v="April"/>
    <x v="28"/>
    <s v="Personal care and effects"/>
    <n v="111.7"/>
    <x v="4"/>
  </r>
  <r>
    <s v="Rural+Urban"/>
    <n v="2015"/>
    <s v="April"/>
    <x v="28"/>
    <s v="Miscellaneous"/>
    <n v="115.1"/>
    <x v="8"/>
  </r>
  <r>
    <s v="Rural+Urban"/>
    <n v="2015"/>
    <s v="April"/>
    <x v="28"/>
    <s v="General index"/>
    <n v="120.7"/>
    <x v="9"/>
  </r>
  <r>
    <s v="Rural"/>
    <n v="2015"/>
    <s v="May"/>
    <x v="29"/>
    <s v="Cereals and products"/>
    <n v="123.5"/>
    <x v="0"/>
  </r>
  <r>
    <s v="Rural"/>
    <n v="2015"/>
    <s v="May"/>
    <x v="29"/>
    <s v="Meat and fish"/>
    <n v="127.1"/>
    <x v="0"/>
  </r>
  <r>
    <s v="Rural"/>
    <n v="2015"/>
    <s v="May"/>
    <x v="29"/>
    <s v="Egg"/>
    <n v="117.3"/>
    <x v="0"/>
  </r>
  <r>
    <s v="Rural"/>
    <n v="2015"/>
    <s v="May"/>
    <x v="29"/>
    <s v="Milk and products"/>
    <n v="127.7"/>
    <x v="0"/>
  </r>
  <r>
    <s v="Rural"/>
    <n v="2015"/>
    <s v="May"/>
    <x v="29"/>
    <s v="Oils and fats"/>
    <n v="112.5"/>
    <x v="0"/>
  </r>
  <r>
    <s v="Rural"/>
    <n v="2015"/>
    <s v="May"/>
    <x v="29"/>
    <s v="Fruits"/>
    <n v="134.1"/>
    <x v="0"/>
  </r>
  <r>
    <s v="Rural"/>
    <n v="2015"/>
    <s v="May"/>
    <x v="29"/>
    <s v="Vegetables"/>
    <n v="128.5"/>
    <x v="0"/>
  </r>
  <r>
    <s v="Rural"/>
    <n v="2015"/>
    <s v="May"/>
    <x v="29"/>
    <s v="Pulses and products"/>
    <n v="124.3"/>
    <x v="0"/>
  </r>
  <r>
    <s v="Rural"/>
    <n v="2015"/>
    <s v="May"/>
    <x v="29"/>
    <s v="Sugar and Confectionery"/>
    <n v="97.6"/>
    <x v="0"/>
  </r>
  <r>
    <s v="Rural"/>
    <n v="2015"/>
    <s v="May"/>
    <x v="29"/>
    <s v="Spices"/>
    <n v="120.7"/>
    <x v="0"/>
  </r>
  <r>
    <s v="Rural"/>
    <n v="2015"/>
    <s v="May"/>
    <x v="29"/>
    <s v="Non-alcoholic beverages"/>
    <n v="120.2"/>
    <x v="0"/>
  </r>
  <r>
    <s v="Rural"/>
    <n v="2015"/>
    <s v="May"/>
    <x v="29"/>
    <s v="Prepared meals, snacks, sweets etc."/>
    <n v="129.80000000000001"/>
    <x v="0"/>
  </r>
  <r>
    <s v="Rural"/>
    <n v="2015"/>
    <s v="May"/>
    <x v="29"/>
    <s v="Food and beverages"/>
    <n v="124.4"/>
    <x v="0"/>
  </r>
  <r>
    <s v="Rural"/>
    <n v="2015"/>
    <s v="May"/>
    <x v="29"/>
    <s v="Pan, tobacco and intoxicants"/>
    <n v="126.7"/>
    <x v="1"/>
  </r>
  <r>
    <s v="Rural"/>
    <n v="2015"/>
    <s v="May"/>
    <x v="29"/>
    <s v="Clothing"/>
    <n v="127.3"/>
    <x v="2"/>
  </r>
  <r>
    <s v="Rural"/>
    <n v="2015"/>
    <s v="May"/>
    <x v="29"/>
    <s v="Footwear"/>
    <n v="124.1"/>
    <x v="2"/>
  </r>
  <r>
    <s v="Rural"/>
    <n v="2015"/>
    <s v="May"/>
    <x v="29"/>
    <s v="Clothing and footwear"/>
    <n v="126.8"/>
    <x v="2"/>
  </r>
  <r>
    <s v="Rural"/>
    <n v="2015"/>
    <s v="May"/>
    <x v="29"/>
    <s v="Fuel and light"/>
    <n v="121.9"/>
    <x v="3"/>
  </r>
  <r>
    <s v="Rural"/>
    <n v="2015"/>
    <s v="May"/>
    <x v="29"/>
    <s v="Household goods and services"/>
    <n v="121.5"/>
    <x v="4"/>
  </r>
  <r>
    <s v="Rural"/>
    <n v="2015"/>
    <s v="May"/>
    <x v="29"/>
    <s v="Health"/>
    <n v="119.4"/>
    <x v="5"/>
  </r>
  <r>
    <s v="Rural"/>
    <n v="2015"/>
    <s v="May"/>
    <x v="29"/>
    <s v="Transport and communication"/>
    <n v="113.3"/>
    <x v="6"/>
  </r>
  <r>
    <s v="Rural"/>
    <n v="2015"/>
    <s v="May"/>
    <x v="29"/>
    <s v="Recreation and amusement"/>
    <n v="116.7"/>
    <x v="1"/>
  </r>
  <r>
    <s v="Rural"/>
    <n v="2015"/>
    <s v="May"/>
    <x v="29"/>
    <s v="Education"/>
    <n v="120.5"/>
    <x v="7"/>
  </r>
  <r>
    <s v="Rural"/>
    <n v="2015"/>
    <s v="May"/>
    <x v="29"/>
    <s v="Personal care and effects"/>
    <n v="112.3"/>
    <x v="4"/>
  </r>
  <r>
    <s v="Rural"/>
    <n v="2015"/>
    <s v="May"/>
    <x v="29"/>
    <s v="Miscellaneous"/>
    <n v="116.9"/>
    <x v="8"/>
  </r>
  <r>
    <s v="Rural"/>
    <n v="2015"/>
    <s v="May"/>
    <x v="29"/>
    <s v="General index"/>
    <n v="122.4"/>
    <x v="9"/>
  </r>
  <r>
    <s v="Urban"/>
    <n v="2015"/>
    <s v="May"/>
    <x v="29"/>
    <s v="Cereals and products"/>
    <n v="123.8"/>
    <x v="0"/>
  </r>
  <r>
    <s v="Urban"/>
    <n v="2015"/>
    <s v="May"/>
    <x v="29"/>
    <s v="Meat and fish"/>
    <n v="129.69999999999999"/>
    <x v="0"/>
  </r>
  <r>
    <s v="Urban"/>
    <n v="2015"/>
    <s v="May"/>
    <x v="29"/>
    <s v="Egg"/>
    <n v="111.3"/>
    <x v="0"/>
  </r>
  <r>
    <s v="Urban"/>
    <n v="2015"/>
    <s v="May"/>
    <x v="29"/>
    <s v="Milk and products"/>
    <n v="126.6"/>
    <x v="0"/>
  </r>
  <r>
    <s v="Urban"/>
    <n v="2015"/>
    <s v="May"/>
    <x v="29"/>
    <s v="Oils and fats"/>
    <n v="105.2"/>
    <x v="0"/>
  </r>
  <r>
    <s v="Urban"/>
    <n v="2015"/>
    <s v="May"/>
    <x v="29"/>
    <s v="Fruits"/>
    <n v="130.80000000000001"/>
    <x v="0"/>
  </r>
  <r>
    <s v="Urban"/>
    <n v="2015"/>
    <s v="May"/>
    <x v="29"/>
    <s v="Vegetables"/>
    <n v="135.6"/>
    <x v="0"/>
  </r>
  <r>
    <s v="Urban"/>
    <n v="2015"/>
    <s v="May"/>
    <x v="29"/>
    <s v="Pulses and products"/>
    <n v="142.6"/>
    <x v="0"/>
  </r>
  <r>
    <s v="Urban"/>
    <n v="2015"/>
    <s v="May"/>
    <x v="29"/>
    <s v="Sugar and Confectionery"/>
    <n v="90.8"/>
    <x v="0"/>
  </r>
  <r>
    <s v="Urban"/>
    <n v="2015"/>
    <s v="May"/>
    <x v="29"/>
    <s v="Spices"/>
    <n v="128.80000000000001"/>
    <x v="0"/>
  </r>
  <r>
    <s v="Urban"/>
    <n v="2015"/>
    <s v="May"/>
    <x v="29"/>
    <s v="Non-alcoholic beverages"/>
    <n v="117.7"/>
    <x v="0"/>
  </r>
  <r>
    <s v="Urban"/>
    <n v="2015"/>
    <s v="May"/>
    <x v="29"/>
    <s v="Prepared meals, snacks, sweets etc."/>
    <n v="129.9"/>
    <x v="0"/>
  </r>
  <r>
    <s v="Urban"/>
    <n v="2015"/>
    <s v="May"/>
    <x v="29"/>
    <s v="Food and beverages"/>
    <n v="126.1"/>
    <x v="0"/>
  </r>
  <r>
    <s v="Urban"/>
    <n v="2015"/>
    <s v="May"/>
    <x v="29"/>
    <s v="Pan, tobacco and intoxicants"/>
    <n v="131.30000000000001"/>
    <x v="1"/>
  </r>
  <r>
    <s v="Urban"/>
    <n v="2015"/>
    <s v="May"/>
    <x v="29"/>
    <s v="Clothing"/>
    <n v="122.4"/>
    <x v="2"/>
  </r>
  <r>
    <s v="Urban"/>
    <n v="2015"/>
    <s v="May"/>
    <x v="29"/>
    <s v="Footwear"/>
    <n v="117.4"/>
    <x v="2"/>
  </r>
  <r>
    <s v="Urban"/>
    <n v="2015"/>
    <s v="May"/>
    <x v="29"/>
    <s v="Clothing and footwear"/>
    <n v="121.6"/>
    <x v="2"/>
  </r>
  <r>
    <s v="Urban"/>
    <n v="2015"/>
    <s v="May"/>
    <x v="29"/>
    <s v="Housing"/>
    <n v="119.6"/>
    <x v="10"/>
  </r>
  <r>
    <s v="Urban"/>
    <n v="2015"/>
    <s v="May"/>
    <x v="29"/>
    <s v="Fuel and light"/>
    <n v="114.9"/>
    <x v="3"/>
  </r>
  <r>
    <s v="Urban"/>
    <n v="2015"/>
    <s v="May"/>
    <x v="29"/>
    <s v="Household goods and services"/>
    <n v="118.7"/>
    <x v="4"/>
  </r>
  <r>
    <s v="Urban"/>
    <n v="2015"/>
    <s v="May"/>
    <x v="29"/>
    <s v="Health"/>
    <n v="114.9"/>
    <x v="5"/>
  </r>
  <r>
    <s v="Urban"/>
    <n v="2015"/>
    <s v="May"/>
    <x v="29"/>
    <s v="Transport and communication"/>
    <n v="110.8"/>
    <x v="6"/>
  </r>
  <r>
    <s v="Urban"/>
    <n v="2015"/>
    <s v="May"/>
    <x v="29"/>
    <s v="Recreation and amusement"/>
    <n v="116"/>
    <x v="1"/>
  </r>
  <r>
    <s v="Urban"/>
    <n v="2015"/>
    <s v="May"/>
    <x v="29"/>
    <s v="Education"/>
    <n v="122"/>
    <x v="7"/>
  </r>
  <r>
    <s v="Urban"/>
    <n v="2015"/>
    <s v="May"/>
    <x v="29"/>
    <s v="Personal care and effects"/>
    <n v="112.4"/>
    <x v="4"/>
  </r>
  <r>
    <s v="Urban"/>
    <n v="2015"/>
    <s v="May"/>
    <x v="29"/>
    <s v="Miscellaneous"/>
    <n v="115.2"/>
    <x v="8"/>
  </r>
  <r>
    <s v="Urban"/>
    <n v="2015"/>
    <s v="May"/>
    <x v="29"/>
    <s v="General index"/>
    <n v="120.7"/>
    <x v="9"/>
  </r>
  <r>
    <s v="Rural+Urban"/>
    <n v="2015"/>
    <s v="May"/>
    <x v="29"/>
    <s v="Cereals and products"/>
    <n v="123.6"/>
    <x v="0"/>
  </r>
  <r>
    <s v="Rural+Urban"/>
    <n v="2015"/>
    <s v="May"/>
    <x v="29"/>
    <s v="Meat and fish"/>
    <n v="128"/>
    <x v="0"/>
  </r>
  <r>
    <s v="Rural+Urban"/>
    <n v="2015"/>
    <s v="May"/>
    <x v="29"/>
    <s v="Egg"/>
    <n v="115"/>
    <x v="0"/>
  </r>
  <r>
    <s v="Rural+Urban"/>
    <n v="2015"/>
    <s v="May"/>
    <x v="29"/>
    <s v="Milk and products"/>
    <n v="127.3"/>
    <x v="0"/>
  </r>
  <r>
    <s v="Rural+Urban"/>
    <n v="2015"/>
    <s v="May"/>
    <x v="29"/>
    <s v="Oils and fats"/>
    <n v="109.8"/>
    <x v="0"/>
  </r>
  <r>
    <s v="Rural+Urban"/>
    <n v="2015"/>
    <s v="May"/>
    <x v="29"/>
    <s v="Fruits"/>
    <n v="132.6"/>
    <x v="0"/>
  </r>
  <r>
    <s v="Rural+Urban"/>
    <n v="2015"/>
    <s v="May"/>
    <x v="29"/>
    <s v="Vegetables"/>
    <n v="130.9"/>
    <x v="0"/>
  </r>
  <r>
    <s v="Rural+Urban"/>
    <n v="2015"/>
    <s v="May"/>
    <x v="29"/>
    <s v="Pulses and products"/>
    <n v="130.5"/>
    <x v="0"/>
  </r>
  <r>
    <s v="Rural+Urban"/>
    <n v="2015"/>
    <s v="May"/>
    <x v="29"/>
    <s v="Sugar and Confectionery"/>
    <n v="95.3"/>
    <x v="0"/>
  </r>
  <r>
    <s v="Rural+Urban"/>
    <n v="2015"/>
    <s v="May"/>
    <x v="29"/>
    <s v="Spices"/>
    <n v="123.4"/>
    <x v="0"/>
  </r>
  <r>
    <s v="Rural+Urban"/>
    <n v="2015"/>
    <s v="May"/>
    <x v="29"/>
    <s v="Non-alcoholic beverages"/>
    <n v="119.2"/>
    <x v="0"/>
  </r>
  <r>
    <s v="Rural+Urban"/>
    <n v="2015"/>
    <s v="May"/>
    <x v="29"/>
    <s v="Prepared meals, snacks, sweets etc."/>
    <n v="129.80000000000001"/>
    <x v="0"/>
  </r>
  <r>
    <s v="Rural+Urban"/>
    <n v="2015"/>
    <s v="May"/>
    <x v="29"/>
    <s v="Food and beverages"/>
    <n v="125"/>
    <x v="0"/>
  </r>
  <r>
    <s v="Rural+Urban"/>
    <n v="2015"/>
    <s v="May"/>
    <x v="29"/>
    <s v="Pan, tobacco and intoxicants"/>
    <n v="127.9"/>
    <x v="1"/>
  </r>
  <r>
    <s v="Rural+Urban"/>
    <n v="2015"/>
    <s v="May"/>
    <x v="29"/>
    <s v="Clothing"/>
    <n v="125.4"/>
    <x v="2"/>
  </r>
  <r>
    <s v="Rural+Urban"/>
    <n v="2015"/>
    <s v="May"/>
    <x v="29"/>
    <s v="Footwear"/>
    <n v="121.3"/>
    <x v="2"/>
  </r>
  <r>
    <s v="Rural+Urban"/>
    <n v="2015"/>
    <s v="May"/>
    <x v="29"/>
    <s v="Clothing and footwear"/>
    <n v="124.7"/>
    <x v="2"/>
  </r>
  <r>
    <s v="Rural+Urban"/>
    <n v="2015"/>
    <s v="May"/>
    <x v="29"/>
    <s v="Housing"/>
    <n v="119.6"/>
    <x v="10"/>
  </r>
  <r>
    <s v="Rural+Urban"/>
    <n v="2015"/>
    <s v="May"/>
    <x v="29"/>
    <s v="Fuel and light"/>
    <n v="119.2"/>
    <x v="3"/>
  </r>
  <r>
    <s v="Rural+Urban"/>
    <n v="2015"/>
    <s v="May"/>
    <x v="29"/>
    <s v="Household goods and services"/>
    <n v="120.2"/>
    <x v="4"/>
  </r>
  <r>
    <s v="Rural+Urban"/>
    <n v="2015"/>
    <s v="May"/>
    <x v="29"/>
    <s v="Health"/>
    <n v="117.7"/>
    <x v="5"/>
  </r>
  <r>
    <s v="Rural+Urban"/>
    <n v="2015"/>
    <s v="May"/>
    <x v="29"/>
    <s v="Transport and communication"/>
    <n v="112"/>
    <x v="6"/>
  </r>
  <r>
    <s v="Rural+Urban"/>
    <n v="2015"/>
    <s v="May"/>
    <x v="29"/>
    <s v="Recreation and amusement"/>
    <n v="116.3"/>
    <x v="1"/>
  </r>
  <r>
    <s v="Rural+Urban"/>
    <n v="2015"/>
    <s v="May"/>
    <x v="29"/>
    <s v="Education"/>
    <n v="121.4"/>
    <x v="7"/>
  </r>
  <r>
    <s v="Rural+Urban"/>
    <n v="2015"/>
    <s v="May"/>
    <x v="29"/>
    <s v="Personal care and effects"/>
    <n v="112.3"/>
    <x v="4"/>
  </r>
  <r>
    <s v="Rural+Urban"/>
    <n v="2015"/>
    <s v="May"/>
    <x v="29"/>
    <s v="Miscellaneous"/>
    <n v="116.1"/>
    <x v="8"/>
  </r>
  <r>
    <s v="Rural+Urban"/>
    <n v="2015"/>
    <s v="May"/>
    <x v="29"/>
    <s v="General index"/>
    <n v="121.6"/>
    <x v="9"/>
  </r>
  <r>
    <s v="Rural"/>
    <n v="2015"/>
    <s v="June"/>
    <x v="30"/>
    <s v="Cereals and products"/>
    <n v="124.1"/>
    <x v="0"/>
  </r>
  <r>
    <s v="Rural"/>
    <n v="2015"/>
    <s v="June"/>
    <x v="30"/>
    <s v="Meat and fish"/>
    <n v="130.4"/>
    <x v="0"/>
  </r>
  <r>
    <s v="Rural"/>
    <n v="2015"/>
    <s v="June"/>
    <x v="30"/>
    <s v="Egg"/>
    <n v="122.1"/>
    <x v="0"/>
  </r>
  <r>
    <s v="Rural"/>
    <n v="2015"/>
    <s v="June"/>
    <x v="30"/>
    <s v="Milk and products"/>
    <n v="128.69999999999999"/>
    <x v="0"/>
  </r>
  <r>
    <s v="Rural"/>
    <n v="2015"/>
    <s v="June"/>
    <x v="30"/>
    <s v="Oils and fats"/>
    <n v="114.1"/>
    <x v="0"/>
  </r>
  <r>
    <s v="Rural"/>
    <n v="2015"/>
    <s v="June"/>
    <x v="30"/>
    <s v="Fruits"/>
    <n v="133.19999999999999"/>
    <x v="0"/>
  </r>
  <r>
    <s v="Rural"/>
    <n v="2015"/>
    <s v="June"/>
    <x v="30"/>
    <s v="Vegetables"/>
    <n v="135.19999999999999"/>
    <x v="0"/>
  </r>
  <r>
    <s v="Rural"/>
    <n v="2015"/>
    <s v="June"/>
    <x v="30"/>
    <s v="Pulses and products"/>
    <n v="131.9"/>
    <x v="0"/>
  </r>
  <r>
    <s v="Rural"/>
    <n v="2015"/>
    <s v="June"/>
    <x v="30"/>
    <s v="Sugar and Confectionery"/>
    <n v="96.3"/>
    <x v="0"/>
  </r>
  <r>
    <s v="Rural"/>
    <n v="2015"/>
    <s v="June"/>
    <x v="30"/>
    <s v="Spices"/>
    <n v="123"/>
    <x v="0"/>
  </r>
  <r>
    <s v="Rural"/>
    <n v="2015"/>
    <s v="June"/>
    <x v="30"/>
    <s v="Non-alcoholic beverages"/>
    <n v="121.1"/>
    <x v="0"/>
  </r>
  <r>
    <s v="Rural"/>
    <n v="2015"/>
    <s v="June"/>
    <x v="30"/>
    <s v="Prepared meals, snacks, sweets etc."/>
    <n v="131.19999999999999"/>
    <x v="0"/>
  </r>
  <r>
    <s v="Rural"/>
    <n v="2015"/>
    <s v="June"/>
    <x v="30"/>
    <s v="Food and beverages"/>
    <n v="126.6"/>
    <x v="0"/>
  </r>
  <r>
    <s v="Rural"/>
    <n v="2015"/>
    <s v="June"/>
    <x v="30"/>
    <s v="Pan, tobacco and intoxicants"/>
    <n v="128.19999999999999"/>
    <x v="1"/>
  </r>
  <r>
    <s v="Rural"/>
    <n v="2015"/>
    <s v="June"/>
    <x v="30"/>
    <s v="Clothing"/>
    <n v="128.4"/>
    <x v="2"/>
  </r>
  <r>
    <s v="Rural"/>
    <n v="2015"/>
    <s v="June"/>
    <x v="30"/>
    <s v="Footwear"/>
    <n v="125.1"/>
    <x v="2"/>
  </r>
  <r>
    <s v="Rural"/>
    <n v="2015"/>
    <s v="June"/>
    <x v="30"/>
    <s v="Clothing and footwear"/>
    <n v="128"/>
    <x v="2"/>
  </r>
  <r>
    <s v="Rural"/>
    <n v="2015"/>
    <s v="June"/>
    <x v="30"/>
    <s v="Fuel and light"/>
    <n v="122.6"/>
    <x v="3"/>
  </r>
  <r>
    <s v="Rural"/>
    <n v="2015"/>
    <s v="June"/>
    <x v="30"/>
    <s v="Household goods and services"/>
    <n v="122.8"/>
    <x v="4"/>
  </r>
  <r>
    <s v="Rural"/>
    <n v="2015"/>
    <s v="June"/>
    <x v="30"/>
    <s v="Health"/>
    <n v="120.4"/>
    <x v="5"/>
  </r>
  <r>
    <s v="Rural"/>
    <n v="2015"/>
    <s v="June"/>
    <x v="30"/>
    <s v="Transport and communication"/>
    <n v="114.2"/>
    <x v="6"/>
  </r>
  <r>
    <s v="Rural"/>
    <n v="2015"/>
    <s v="June"/>
    <x v="30"/>
    <s v="Recreation and amusement"/>
    <n v="117.9"/>
    <x v="1"/>
  </r>
  <r>
    <s v="Rural"/>
    <n v="2015"/>
    <s v="June"/>
    <x v="30"/>
    <s v="Education"/>
    <n v="122"/>
    <x v="7"/>
  </r>
  <r>
    <s v="Rural"/>
    <n v="2015"/>
    <s v="June"/>
    <x v="30"/>
    <s v="Personal care and effects"/>
    <n v="113"/>
    <x v="4"/>
  </r>
  <r>
    <s v="Rural"/>
    <n v="2015"/>
    <s v="June"/>
    <x v="30"/>
    <s v="Miscellaneous"/>
    <n v="117.9"/>
    <x v="8"/>
  </r>
  <r>
    <s v="Rural"/>
    <n v="2015"/>
    <s v="June"/>
    <x v="30"/>
    <s v="General index"/>
    <n v="124.1"/>
    <x v="9"/>
  </r>
  <r>
    <s v="Urban"/>
    <n v="2015"/>
    <s v="June"/>
    <x v="30"/>
    <s v="Cereals and products"/>
    <n v="123.6"/>
    <x v="0"/>
  </r>
  <r>
    <s v="Urban"/>
    <n v="2015"/>
    <s v="June"/>
    <x v="30"/>
    <s v="Meat and fish"/>
    <n v="134.4"/>
    <x v="0"/>
  </r>
  <r>
    <s v="Urban"/>
    <n v="2015"/>
    <s v="June"/>
    <x v="30"/>
    <s v="Egg"/>
    <n v="120.9"/>
    <x v="0"/>
  </r>
  <r>
    <s v="Urban"/>
    <n v="2015"/>
    <s v="June"/>
    <x v="30"/>
    <s v="Milk and products"/>
    <n v="127.3"/>
    <x v="0"/>
  </r>
  <r>
    <s v="Urban"/>
    <n v="2015"/>
    <s v="June"/>
    <x v="30"/>
    <s v="Oils and fats"/>
    <n v="106"/>
    <x v="0"/>
  </r>
  <r>
    <s v="Urban"/>
    <n v="2015"/>
    <s v="June"/>
    <x v="30"/>
    <s v="Fruits"/>
    <n v="132.30000000000001"/>
    <x v="0"/>
  </r>
  <r>
    <s v="Urban"/>
    <n v="2015"/>
    <s v="June"/>
    <x v="30"/>
    <s v="Vegetables"/>
    <n v="146.69999999999999"/>
    <x v="0"/>
  </r>
  <r>
    <s v="Urban"/>
    <n v="2015"/>
    <s v="June"/>
    <x v="30"/>
    <s v="Pulses and products"/>
    <n v="148.1"/>
    <x v="0"/>
  </r>
  <r>
    <s v="Urban"/>
    <n v="2015"/>
    <s v="June"/>
    <x v="30"/>
    <s v="Sugar and Confectionery"/>
    <n v="89.8"/>
    <x v="0"/>
  </r>
  <r>
    <s v="Urban"/>
    <n v="2015"/>
    <s v="June"/>
    <x v="30"/>
    <s v="Spices"/>
    <n v="130.5"/>
    <x v="0"/>
  </r>
  <r>
    <s v="Urban"/>
    <n v="2015"/>
    <s v="June"/>
    <x v="30"/>
    <s v="Non-alcoholic beverages"/>
    <n v="118"/>
    <x v="0"/>
  </r>
  <r>
    <s v="Urban"/>
    <n v="2015"/>
    <s v="June"/>
    <x v="30"/>
    <s v="Prepared meals, snacks, sweets etc."/>
    <n v="130.5"/>
    <x v="0"/>
  </r>
  <r>
    <s v="Urban"/>
    <n v="2015"/>
    <s v="June"/>
    <x v="30"/>
    <s v="Food and beverages"/>
    <n v="128.5"/>
    <x v="0"/>
  </r>
  <r>
    <s v="Urban"/>
    <n v="2015"/>
    <s v="June"/>
    <x v="30"/>
    <s v="Pan, tobacco and intoxicants"/>
    <n v="132.1"/>
    <x v="1"/>
  </r>
  <r>
    <s v="Urban"/>
    <n v="2015"/>
    <s v="June"/>
    <x v="30"/>
    <s v="Clothing"/>
    <n v="123.2"/>
    <x v="2"/>
  </r>
  <r>
    <s v="Urban"/>
    <n v="2015"/>
    <s v="June"/>
    <x v="30"/>
    <s v="Footwear"/>
    <n v="117.6"/>
    <x v="2"/>
  </r>
  <r>
    <s v="Urban"/>
    <n v="2015"/>
    <s v="June"/>
    <x v="30"/>
    <s v="Clothing and footwear"/>
    <n v="122.3"/>
    <x v="2"/>
  </r>
  <r>
    <s v="Urban"/>
    <n v="2015"/>
    <s v="June"/>
    <x v="30"/>
    <s v="Housing"/>
    <n v="119"/>
    <x v="10"/>
  </r>
  <r>
    <s v="Urban"/>
    <n v="2015"/>
    <s v="June"/>
    <x v="30"/>
    <s v="Fuel and light"/>
    <n v="115.1"/>
    <x v="3"/>
  </r>
  <r>
    <s v="Urban"/>
    <n v="2015"/>
    <s v="June"/>
    <x v="30"/>
    <s v="Household goods and services"/>
    <n v="119.2"/>
    <x v="4"/>
  </r>
  <r>
    <s v="Urban"/>
    <n v="2015"/>
    <s v="June"/>
    <x v="30"/>
    <s v="Health"/>
    <n v="115.4"/>
    <x v="5"/>
  </r>
  <r>
    <s v="Urban"/>
    <n v="2015"/>
    <s v="June"/>
    <x v="30"/>
    <s v="Transport and communication"/>
    <n v="111.7"/>
    <x v="6"/>
  </r>
  <r>
    <s v="Urban"/>
    <n v="2015"/>
    <s v="June"/>
    <x v="30"/>
    <s v="Recreation and amusement"/>
    <n v="116.2"/>
    <x v="1"/>
  </r>
  <r>
    <s v="Urban"/>
    <n v="2015"/>
    <s v="June"/>
    <x v="30"/>
    <s v="Education"/>
    <n v="123.8"/>
    <x v="7"/>
  </r>
  <r>
    <s v="Urban"/>
    <n v="2015"/>
    <s v="June"/>
    <x v="30"/>
    <s v="Personal care and effects"/>
    <n v="112.5"/>
    <x v="4"/>
  </r>
  <r>
    <s v="Urban"/>
    <n v="2015"/>
    <s v="June"/>
    <x v="30"/>
    <s v="Miscellaneous"/>
    <n v="116"/>
    <x v="8"/>
  </r>
  <r>
    <s v="Urban"/>
    <n v="2015"/>
    <s v="June"/>
    <x v="30"/>
    <s v="General index"/>
    <n v="121.7"/>
    <x v="9"/>
  </r>
  <r>
    <s v="Rural+Urban"/>
    <n v="2015"/>
    <s v="June"/>
    <x v="30"/>
    <s v="Cereals and products"/>
    <n v="123.9"/>
    <x v="0"/>
  </r>
  <r>
    <s v="Rural+Urban"/>
    <n v="2015"/>
    <s v="June"/>
    <x v="30"/>
    <s v="Meat and fish"/>
    <n v="131.80000000000001"/>
    <x v="0"/>
  </r>
  <r>
    <s v="Rural+Urban"/>
    <n v="2015"/>
    <s v="June"/>
    <x v="30"/>
    <s v="Egg"/>
    <n v="121.6"/>
    <x v="0"/>
  </r>
  <r>
    <s v="Rural+Urban"/>
    <n v="2015"/>
    <s v="June"/>
    <x v="30"/>
    <s v="Milk and products"/>
    <n v="128.19999999999999"/>
    <x v="0"/>
  </r>
  <r>
    <s v="Rural+Urban"/>
    <n v="2015"/>
    <s v="June"/>
    <x v="30"/>
    <s v="Oils and fats"/>
    <n v="111.1"/>
    <x v="0"/>
  </r>
  <r>
    <s v="Rural+Urban"/>
    <n v="2015"/>
    <s v="June"/>
    <x v="30"/>
    <s v="Fruits"/>
    <n v="132.80000000000001"/>
    <x v="0"/>
  </r>
  <r>
    <s v="Rural+Urban"/>
    <n v="2015"/>
    <s v="June"/>
    <x v="30"/>
    <s v="Vegetables"/>
    <n v="139.1"/>
    <x v="0"/>
  </r>
  <r>
    <s v="Rural+Urban"/>
    <n v="2015"/>
    <s v="June"/>
    <x v="30"/>
    <s v="Pulses and products"/>
    <n v="137.4"/>
    <x v="0"/>
  </r>
  <r>
    <s v="Rural+Urban"/>
    <n v="2015"/>
    <s v="June"/>
    <x v="30"/>
    <s v="Sugar and Confectionery"/>
    <n v="94.1"/>
    <x v="0"/>
  </r>
  <r>
    <s v="Rural+Urban"/>
    <n v="2015"/>
    <s v="June"/>
    <x v="30"/>
    <s v="Spices"/>
    <n v="125.5"/>
    <x v="0"/>
  </r>
  <r>
    <s v="Rural+Urban"/>
    <n v="2015"/>
    <s v="June"/>
    <x v="30"/>
    <s v="Non-alcoholic beverages"/>
    <n v="119.8"/>
    <x v="0"/>
  </r>
  <r>
    <s v="Rural+Urban"/>
    <n v="2015"/>
    <s v="June"/>
    <x v="30"/>
    <s v="Prepared meals, snacks, sweets etc."/>
    <n v="130.9"/>
    <x v="0"/>
  </r>
  <r>
    <s v="Rural+Urban"/>
    <n v="2015"/>
    <s v="June"/>
    <x v="30"/>
    <s v="Food and beverages"/>
    <n v="127.3"/>
    <x v="0"/>
  </r>
  <r>
    <s v="Rural+Urban"/>
    <n v="2015"/>
    <s v="June"/>
    <x v="30"/>
    <s v="Pan, tobacco and intoxicants"/>
    <n v="129.19999999999999"/>
    <x v="1"/>
  </r>
  <r>
    <s v="Rural+Urban"/>
    <n v="2015"/>
    <s v="June"/>
    <x v="30"/>
    <s v="Clothing"/>
    <n v="126.4"/>
    <x v="2"/>
  </r>
  <r>
    <s v="Rural+Urban"/>
    <n v="2015"/>
    <s v="June"/>
    <x v="30"/>
    <s v="Footwear"/>
    <n v="122"/>
    <x v="2"/>
  </r>
  <r>
    <s v="Rural+Urban"/>
    <n v="2015"/>
    <s v="June"/>
    <x v="30"/>
    <s v="Clothing and footwear"/>
    <n v="125.7"/>
    <x v="2"/>
  </r>
  <r>
    <s v="Rural+Urban"/>
    <n v="2015"/>
    <s v="June"/>
    <x v="30"/>
    <s v="Housing"/>
    <n v="119"/>
    <x v="10"/>
  </r>
  <r>
    <s v="Rural+Urban"/>
    <n v="2015"/>
    <s v="June"/>
    <x v="30"/>
    <s v="Fuel and light"/>
    <n v="119.8"/>
    <x v="3"/>
  </r>
  <r>
    <s v="Rural+Urban"/>
    <n v="2015"/>
    <s v="June"/>
    <x v="30"/>
    <s v="Household goods and services"/>
    <n v="121.1"/>
    <x v="4"/>
  </r>
  <r>
    <s v="Rural+Urban"/>
    <n v="2015"/>
    <s v="June"/>
    <x v="30"/>
    <s v="Health"/>
    <n v="118.5"/>
    <x v="5"/>
  </r>
  <r>
    <s v="Rural+Urban"/>
    <n v="2015"/>
    <s v="June"/>
    <x v="30"/>
    <s v="Transport and communication"/>
    <n v="112.9"/>
    <x v="6"/>
  </r>
  <r>
    <s v="Rural+Urban"/>
    <n v="2015"/>
    <s v="June"/>
    <x v="30"/>
    <s v="Recreation and amusement"/>
    <n v="116.9"/>
    <x v="1"/>
  </r>
  <r>
    <s v="Rural+Urban"/>
    <n v="2015"/>
    <s v="June"/>
    <x v="30"/>
    <s v="Education"/>
    <n v="123.1"/>
    <x v="7"/>
  </r>
  <r>
    <s v="Rural+Urban"/>
    <n v="2015"/>
    <s v="June"/>
    <x v="30"/>
    <s v="Personal care and effects"/>
    <n v="112.8"/>
    <x v="4"/>
  </r>
  <r>
    <s v="Rural+Urban"/>
    <n v="2015"/>
    <s v="June"/>
    <x v="30"/>
    <s v="Miscellaneous"/>
    <n v="117"/>
    <x v="8"/>
  </r>
  <r>
    <s v="Rural+Urban"/>
    <n v="2015"/>
    <s v="June"/>
    <x v="30"/>
    <s v="General index"/>
    <n v="123"/>
    <x v="9"/>
  </r>
  <r>
    <s v="Rural"/>
    <n v="2015"/>
    <s v="July"/>
    <x v="31"/>
    <s v="Cereals and products"/>
    <n v="124"/>
    <x v="0"/>
  </r>
  <r>
    <s v="Rural"/>
    <n v="2015"/>
    <s v="July"/>
    <x v="31"/>
    <s v="Meat and fish"/>
    <n v="131.5"/>
    <x v="0"/>
  </r>
  <r>
    <s v="Rural"/>
    <n v="2015"/>
    <s v="July"/>
    <x v="31"/>
    <s v="Egg"/>
    <n v="122"/>
    <x v="0"/>
  </r>
  <r>
    <s v="Rural"/>
    <n v="2015"/>
    <s v="July"/>
    <x v="31"/>
    <s v="Milk and products"/>
    <n v="128.69999999999999"/>
    <x v="0"/>
  </r>
  <r>
    <s v="Rural"/>
    <n v="2015"/>
    <s v="July"/>
    <x v="31"/>
    <s v="Oils and fats"/>
    <n v="113.5"/>
    <x v="0"/>
  </r>
  <r>
    <s v="Rural"/>
    <n v="2015"/>
    <s v="July"/>
    <x v="31"/>
    <s v="Fruits"/>
    <n v="133.30000000000001"/>
    <x v="0"/>
  </r>
  <r>
    <s v="Rural"/>
    <n v="2015"/>
    <s v="July"/>
    <x v="31"/>
    <s v="Vegetables"/>
    <n v="140.80000000000001"/>
    <x v="0"/>
  </r>
  <r>
    <s v="Rural"/>
    <n v="2015"/>
    <s v="July"/>
    <x v="31"/>
    <s v="Pulses and products"/>
    <n v="133.80000000000001"/>
    <x v="0"/>
  </r>
  <r>
    <s v="Rural"/>
    <n v="2015"/>
    <s v="July"/>
    <x v="31"/>
    <s v="Sugar and Confectionery"/>
    <n v="94.1"/>
    <x v="0"/>
  </r>
  <r>
    <s v="Rural"/>
    <n v="2015"/>
    <s v="July"/>
    <x v="31"/>
    <s v="Spices"/>
    <n v="123.4"/>
    <x v="0"/>
  </r>
  <r>
    <s v="Rural"/>
    <n v="2015"/>
    <s v="July"/>
    <x v="31"/>
    <s v="Non-alcoholic beverages"/>
    <n v="121"/>
    <x v="0"/>
  </r>
  <r>
    <s v="Rural"/>
    <n v="2015"/>
    <s v="July"/>
    <x v="31"/>
    <s v="Prepared meals, snacks, sweets etc."/>
    <n v="131.69999999999999"/>
    <x v="0"/>
  </r>
  <r>
    <s v="Rural"/>
    <n v="2015"/>
    <s v="July"/>
    <x v="31"/>
    <s v="Food and beverages"/>
    <n v="127.5"/>
    <x v="0"/>
  </r>
  <r>
    <s v="Rural"/>
    <n v="2015"/>
    <s v="July"/>
    <x v="31"/>
    <s v="Pan, tobacco and intoxicants"/>
    <n v="129.4"/>
    <x v="1"/>
  </r>
  <r>
    <s v="Rural"/>
    <n v="2015"/>
    <s v="July"/>
    <x v="31"/>
    <s v="Clothing"/>
    <n v="128.80000000000001"/>
    <x v="2"/>
  </r>
  <r>
    <s v="Rural"/>
    <n v="2015"/>
    <s v="July"/>
    <x v="31"/>
    <s v="Footwear"/>
    <n v="125.5"/>
    <x v="2"/>
  </r>
  <r>
    <s v="Rural"/>
    <n v="2015"/>
    <s v="July"/>
    <x v="31"/>
    <s v="Clothing and footwear"/>
    <n v="128.30000000000001"/>
    <x v="2"/>
  </r>
  <r>
    <s v="Rural"/>
    <n v="2015"/>
    <s v="July"/>
    <x v="31"/>
    <s v="Fuel and light"/>
    <n v="123"/>
    <x v="3"/>
  </r>
  <r>
    <s v="Rural"/>
    <n v="2015"/>
    <s v="July"/>
    <x v="31"/>
    <s v="Household goods and services"/>
    <n v="123"/>
    <x v="4"/>
  </r>
  <r>
    <s v="Rural"/>
    <n v="2015"/>
    <s v="July"/>
    <x v="31"/>
    <s v="Health"/>
    <n v="120.8"/>
    <x v="5"/>
  </r>
  <r>
    <s v="Rural"/>
    <n v="2015"/>
    <s v="July"/>
    <x v="31"/>
    <s v="Transport and communication"/>
    <n v="114.1"/>
    <x v="6"/>
  </r>
  <r>
    <s v="Rural"/>
    <n v="2015"/>
    <s v="July"/>
    <x v="31"/>
    <s v="Recreation and amusement"/>
    <n v="118"/>
    <x v="1"/>
  </r>
  <r>
    <s v="Rural"/>
    <n v="2015"/>
    <s v="July"/>
    <x v="31"/>
    <s v="Education"/>
    <n v="122.9"/>
    <x v="7"/>
  </r>
  <r>
    <s v="Rural"/>
    <n v="2015"/>
    <s v="July"/>
    <x v="31"/>
    <s v="Personal care and effects"/>
    <n v="112.7"/>
    <x v="4"/>
  </r>
  <r>
    <s v="Rural"/>
    <n v="2015"/>
    <s v="July"/>
    <x v="31"/>
    <s v="Miscellaneous"/>
    <n v="118.1"/>
    <x v="8"/>
  </r>
  <r>
    <s v="Rural"/>
    <n v="2015"/>
    <s v="July"/>
    <x v="31"/>
    <s v="General index"/>
    <n v="124.7"/>
    <x v="9"/>
  </r>
  <r>
    <s v="Urban"/>
    <n v="2015"/>
    <s v="July"/>
    <x v="31"/>
    <s v="Cereals and products"/>
    <n v="123.2"/>
    <x v="0"/>
  </r>
  <r>
    <s v="Urban"/>
    <n v="2015"/>
    <s v="July"/>
    <x v="31"/>
    <s v="Meat and fish"/>
    <n v="134.30000000000001"/>
    <x v="0"/>
  </r>
  <r>
    <s v="Urban"/>
    <n v="2015"/>
    <s v="July"/>
    <x v="31"/>
    <s v="Egg"/>
    <n v="119.5"/>
    <x v="0"/>
  </r>
  <r>
    <s v="Urban"/>
    <n v="2015"/>
    <s v="July"/>
    <x v="31"/>
    <s v="Milk and products"/>
    <n v="127.7"/>
    <x v="0"/>
  </r>
  <r>
    <s v="Urban"/>
    <n v="2015"/>
    <s v="July"/>
    <x v="31"/>
    <s v="Oils and fats"/>
    <n v="106.3"/>
    <x v="0"/>
  </r>
  <r>
    <s v="Urban"/>
    <n v="2015"/>
    <s v="July"/>
    <x v="31"/>
    <s v="Fruits"/>
    <n v="132.80000000000001"/>
    <x v="0"/>
  </r>
  <r>
    <s v="Urban"/>
    <n v="2015"/>
    <s v="July"/>
    <x v="31"/>
    <s v="Vegetables"/>
    <n v="153.5"/>
    <x v="0"/>
  </r>
  <r>
    <s v="Urban"/>
    <n v="2015"/>
    <s v="July"/>
    <x v="31"/>
    <s v="Pulses and products"/>
    <n v="149.5"/>
    <x v="0"/>
  </r>
  <r>
    <s v="Urban"/>
    <n v="2015"/>
    <s v="July"/>
    <x v="31"/>
    <s v="Sugar and Confectionery"/>
    <n v="85.7"/>
    <x v="0"/>
  </r>
  <r>
    <s v="Urban"/>
    <n v="2015"/>
    <s v="July"/>
    <x v="31"/>
    <s v="Spices"/>
    <n v="131.5"/>
    <x v="0"/>
  </r>
  <r>
    <s v="Urban"/>
    <n v="2015"/>
    <s v="July"/>
    <x v="31"/>
    <s v="Non-alcoholic beverages"/>
    <n v="118.3"/>
    <x v="0"/>
  </r>
  <r>
    <s v="Urban"/>
    <n v="2015"/>
    <s v="July"/>
    <x v="31"/>
    <s v="Prepared meals, snacks, sweets etc."/>
    <n v="131.1"/>
    <x v="0"/>
  </r>
  <r>
    <s v="Urban"/>
    <n v="2015"/>
    <s v="July"/>
    <x v="31"/>
    <s v="Food and beverages"/>
    <n v="129.5"/>
    <x v="0"/>
  </r>
  <r>
    <s v="Urban"/>
    <n v="2015"/>
    <s v="July"/>
    <x v="31"/>
    <s v="Pan, tobacco and intoxicants"/>
    <n v="133.1"/>
    <x v="1"/>
  </r>
  <r>
    <s v="Urban"/>
    <n v="2015"/>
    <s v="July"/>
    <x v="31"/>
    <s v="Clothing"/>
    <n v="123.5"/>
    <x v="2"/>
  </r>
  <r>
    <s v="Urban"/>
    <n v="2015"/>
    <s v="July"/>
    <x v="31"/>
    <s v="Footwear"/>
    <n v="117.9"/>
    <x v="2"/>
  </r>
  <r>
    <s v="Urban"/>
    <n v="2015"/>
    <s v="July"/>
    <x v="31"/>
    <s v="Clothing and footwear"/>
    <n v="122.7"/>
    <x v="2"/>
  </r>
  <r>
    <s v="Urban"/>
    <n v="2015"/>
    <s v="July"/>
    <x v="31"/>
    <s v="Housing"/>
    <n v="119.9"/>
    <x v="10"/>
  </r>
  <r>
    <s v="Urban"/>
    <n v="2015"/>
    <s v="July"/>
    <x v="31"/>
    <s v="Fuel and light"/>
    <n v="115.3"/>
    <x v="3"/>
  </r>
  <r>
    <s v="Urban"/>
    <n v="2015"/>
    <s v="July"/>
    <x v="31"/>
    <s v="Household goods and services"/>
    <n v="119.5"/>
    <x v="4"/>
  </r>
  <r>
    <s v="Urban"/>
    <n v="2015"/>
    <s v="July"/>
    <x v="31"/>
    <s v="Health"/>
    <n v="116"/>
    <x v="5"/>
  </r>
  <r>
    <s v="Urban"/>
    <n v="2015"/>
    <s v="July"/>
    <x v="31"/>
    <s v="Transport and communication"/>
    <n v="111.5"/>
    <x v="6"/>
  </r>
  <r>
    <s v="Urban"/>
    <n v="2015"/>
    <s v="July"/>
    <x v="31"/>
    <s v="Recreation and amusement"/>
    <n v="116.6"/>
    <x v="1"/>
  </r>
  <r>
    <s v="Urban"/>
    <n v="2015"/>
    <s v="July"/>
    <x v="31"/>
    <s v="Education"/>
    <n v="125.4"/>
    <x v="7"/>
  </r>
  <r>
    <s v="Urban"/>
    <n v="2015"/>
    <s v="July"/>
    <x v="31"/>
    <s v="Personal care and effects"/>
    <n v="111.7"/>
    <x v="4"/>
  </r>
  <r>
    <s v="Urban"/>
    <n v="2015"/>
    <s v="July"/>
    <x v="31"/>
    <s v="Miscellaneous"/>
    <n v="116.3"/>
    <x v="8"/>
  </r>
  <r>
    <s v="Urban"/>
    <n v="2015"/>
    <s v="July"/>
    <x v="31"/>
    <s v="General index"/>
    <n v="122.4"/>
    <x v="9"/>
  </r>
  <r>
    <s v="Rural+Urban"/>
    <n v="2015"/>
    <s v="July"/>
    <x v="31"/>
    <s v="Cereals and products"/>
    <n v="123.7"/>
    <x v="0"/>
  </r>
  <r>
    <s v="Rural+Urban"/>
    <n v="2015"/>
    <s v="July"/>
    <x v="31"/>
    <s v="Meat and fish"/>
    <n v="132.5"/>
    <x v="0"/>
  </r>
  <r>
    <s v="Rural+Urban"/>
    <n v="2015"/>
    <s v="July"/>
    <x v="31"/>
    <s v="Egg"/>
    <n v="121"/>
    <x v="0"/>
  </r>
  <r>
    <s v="Rural+Urban"/>
    <n v="2015"/>
    <s v="July"/>
    <x v="31"/>
    <s v="Milk and products"/>
    <n v="128.30000000000001"/>
    <x v="0"/>
  </r>
  <r>
    <s v="Rural+Urban"/>
    <n v="2015"/>
    <s v="July"/>
    <x v="31"/>
    <s v="Oils and fats"/>
    <n v="110.9"/>
    <x v="0"/>
  </r>
  <r>
    <s v="Rural+Urban"/>
    <n v="2015"/>
    <s v="July"/>
    <x v="31"/>
    <s v="Fruits"/>
    <n v="133.1"/>
    <x v="0"/>
  </r>
  <r>
    <s v="Rural+Urban"/>
    <n v="2015"/>
    <s v="July"/>
    <x v="31"/>
    <s v="Vegetables"/>
    <n v="145.1"/>
    <x v="0"/>
  </r>
  <r>
    <s v="Rural+Urban"/>
    <n v="2015"/>
    <s v="July"/>
    <x v="31"/>
    <s v="Pulses and products"/>
    <n v="139.1"/>
    <x v="0"/>
  </r>
  <r>
    <s v="Rural+Urban"/>
    <n v="2015"/>
    <s v="July"/>
    <x v="31"/>
    <s v="Sugar and Confectionery"/>
    <n v="91.3"/>
    <x v="0"/>
  </r>
  <r>
    <s v="Rural+Urban"/>
    <n v="2015"/>
    <s v="July"/>
    <x v="31"/>
    <s v="Spices"/>
    <n v="126.1"/>
    <x v="0"/>
  </r>
  <r>
    <s v="Rural+Urban"/>
    <n v="2015"/>
    <s v="July"/>
    <x v="31"/>
    <s v="Non-alcoholic beverages"/>
    <n v="119.9"/>
    <x v="0"/>
  </r>
  <r>
    <s v="Rural+Urban"/>
    <n v="2015"/>
    <s v="July"/>
    <x v="31"/>
    <s v="Prepared meals, snacks, sweets etc."/>
    <n v="131.4"/>
    <x v="0"/>
  </r>
  <r>
    <s v="Rural+Urban"/>
    <n v="2015"/>
    <s v="July"/>
    <x v="31"/>
    <s v="Food and beverages"/>
    <n v="128.19999999999999"/>
    <x v="0"/>
  </r>
  <r>
    <s v="Rural+Urban"/>
    <n v="2015"/>
    <s v="July"/>
    <x v="31"/>
    <s v="Pan, tobacco and intoxicants"/>
    <n v="130.4"/>
    <x v="1"/>
  </r>
  <r>
    <s v="Rural+Urban"/>
    <n v="2015"/>
    <s v="July"/>
    <x v="31"/>
    <s v="Clothing"/>
    <n v="126.7"/>
    <x v="2"/>
  </r>
  <r>
    <s v="Rural+Urban"/>
    <n v="2015"/>
    <s v="July"/>
    <x v="31"/>
    <s v="Footwear"/>
    <n v="122.3"/>
    <x v="2"/>
  </r>
  <r>
    <s v="Rural+Urban"/>
    <n v="2015"/>
    <s v="July"/>
    <x v="31"/>
    <s v="Clothing and footwear"/>
    <n v="126.1"/>
    <x v="2"/>
  </r>
  <r>
    <s v="Rural+Urban"/>
    <n v="2015"/>
    <s v="July"/>
    <x v="31"/>
    <s v="Housing"/>
    <n v="119.9"/>
    <x v="10"/>
  </r>
  <r>
    <s v="Rural+Urban"/>
    <n v="2015"/>
    <s v="July"/>
    <x v="31"/>
    <s v="Fuel and light"/>
    <n v="120.1"/>
    <x v="3"/>
  </r>
  <r>
    <s v="Rural+Urban"/>
    <n v="2015"/>
    <s v="July"/>
    <x v="31"/>
    <s v="Household goods and services"/>
    <n v="121.3"/>
    <x v="4"/>
  </r>
  <r>
    <s v="Rural+Urban"/>
    <n v="2015"/>
    <s v="July"/>
    <x v="31"/>
    <s v="Health"/>
    <n v="119"/>
    <x v="5"/>
  </r>
  <r>
    <s v="Rural+Urban"/>
    <n v="2015"/>
    <s v="July"/>
    <x v="31"/>
    <s v="Transport and communication"/>
    <n v="112.7"/>
    <x v="6"/>
  </r>
  <r>
    <s v="Rural+Urban"/>
    <n v="2015"/>
    <s v="July"/>
    <x v="31"/>
    <s v="Recreation and amusement"/>
    <n v="117.2"/>
    <x v="1"/>
  </r>
  <r>
    <s v="Rural+Urban"/>
    <n v="2015"/>
    <s v="July"/>
    <x v="31"/>
    <s v="Education"/>
    <n v="124.4"/>
    <x v="7"/>
  </r>
  <r>
    <s v="Rural+Urban"/>
    <n v="2015"/>
    <s v="July"/>
    <x v="31"/>
    <s v="Personal care and effects"/>
    <n v="112.3"/>
    <x v="4"/>
  </r>
  <r>
    <s v="Rural+Urban"/>
    <n v="2015"/>
    <s v="July"/>
    <x v="31"/>
    <s v="Miscellaneous"/>
    <n v="117.2"/>
    <x v="8"/>
  </r>
  <r>
    <s v="Rural+Urban"/>
    <n v="2015"/>
    <s v="July"/>
    <x v="31"/>
    <s v="General index"/>
    <n v="123.6"/>
    <x v="9"/>
  </r>
  <r>
    <s v="Rural"/>
    <n v="2015"/>
    <s v="August"/>
    <x v="32"/>
    <s v="Cereals and products"/>
    <n v="124.7"/>
    <x v="0"/>
  </r>
  <r>
    <s v="Rural"/>
    <n v="2015"/>
    <s v="August"/>
    <x v="32"/>
    <s v="Meat and fish"/>
    <n v="131.30000000000001"/>
    <x v="0"/>
  </r>
  <r>
    <s v="Rural"/>
    <n v="2015"/>
    <s v="August"/>
    <x v="32"/>
    <s v="Egg"/>
    <n v="121.3"/>
    <x v="0"/>
  </r>
  <r>
    <s v="Rural"/>
    <n v="2015"/>
    <s v="August"/>
    <x v="32"/>
    <s v="Milk and products"/>
    <n v="128.80000000000001"/>
    <x v="0"/>
  </r>
  <r>
    <s v="Rural"/>
    <n v="2015"/>
    <s v="August"/>
    <x v="32"/>
    <s v="Oils and fats"/>
    <n v="114"/>
    <x v="0"/>
  </r>
  <r>
    <s v="Rural"/>
    <n v="2015"/>
    <s v="August"/>
    <x v="32"/>
    <s v="Fruits"/>
    <n v="134.19999999999999"/>
    <x v="0"/>
  </r>
  <r>
    <s v="Rural"/>
    <n v="2015"/>
    <s v="August"/>
    <x v="32"/>
    <s v="Vegetables"/>
    <n v="153.6"/>
    <x v="0"/>
  </r>
  <r>
    <s v="Rural"/>
    <n v="2015"/>
    <s v="August"/>
    <x v="32"/>
    <s v="Pulses and products"/>
    <n v="137.9"/>
    <x v="0"/>
  </r>
  <r>
    <s v="Rural"/>
    <n v="2015"/>
    <s v="August"/>
    <x v="32"/>
    <s v="Sugar and Confectionery"/>
    <n v="93.1"/>
    <x v="0"/>
  </r>
  <r>
    <s v="Rural"/>
    <n v="2015"/>
    <s v="August"/>
    <x v="32"/>
    <s v="Spices"/>
    <n v="123.9"/>
    <x v="0"/>
  </r>
  <r>
    <s v="Rural"/>
    <n v="2015"/>
    <s v="August"/>
    <x v="32"/>
    <s v="Non-alcoholic beverages"/>
    <n v="121.5"/>
    <x v="0"/>
  </r>
  <r>
    <s v="Rural"/>
    <n v="2015"/>
    <s v="August"/>
    <x v="32"/>
    <s v="Prepared meals, snacks, sweets etc."/>
    <n v="132.5"/>
    <x v="0"/>
  </r>
  <r>
    <s v="Rural"/>
    <n v="2015"/>
    <s v="August"/>
    <x v="32"/>
    <s v="Food and beverages"/>
    <n v="129.80000000000001"/>
    <x v="0"/>
  </r>
  <r>
    <s v="Rural"/>
    <n v="2015"/>
    <s v="August"/>
    <x v="32"/>
    <s v="Pan, tobacco and intoxicants"/>
    <n v="130.1"/>
    <x v="1"/>
  </r>
  <r>
    <s v="Rural"/>
    <n v="2015"/>
    <s v="August"/>
    <x v="32"/>
    <s v="Clothing"/>
    <n v="129.5"/>
    <x v="2"/>
  </r>
  <r>
    <s v="Rural"/>
    <n v="2015"/>
    <s v="August"/>
    <x v="32"/>
    <s v="Footwear"/>
    <n v="126.3"/>
    <x v="2"/>
  </r>
  <r>
    <s v="Rural"/>
    <n v="2015"/>
    <s v="August"/>
    <x v="32"/>
    <s v="Clothing and footwear"/>
    <n v="129"/>
    <x v="2"/>
  </r>
  <r>
    <s v="Rural"/>
    <n v="2015"/>
    <s v="August"/>
    <x v="32"/>
    <s v="Fuel and light"/>
    <n v="123.8"/>
    <x v="3"/>
  </r>
  <r>
    <s v="Rural"/>
    <n v="2015"/>
    <s v="August"/>
    <x v="32"/>
    <s v="Household goods and services"/>
    <n v="123.7"/>
    <x v="4"/>
  </r>
  <r>
    <s v="Rural"/>
    <n v="2015"/>
    <s v="August"/>
    <x v="32"/>
    <s v="Health"/>
    <n v="121.1"/>
    <x v="5"/>
  </r>
  <r>
    <s v="Rural"/>
    <n v="2015"/>
    <s v="August"/>
    <x v="32"/>
    <s v="Transport and communication"/>
    <n v="113.6"/>
    <x v="6"/>
  </r>
  <r>
    <s v="Rural"/>
    <n v="2015"/>
    <s v="August"/>
    <x v="32"/>
    <s v="Recreation and amusement"/>
    <n v="118.5"/>
    <x v="1"/>
  </r>
  <r>
    <s v="Rural"/>
    <n v="2015"/>
    <s v="August"/>
    <x v="32"/>
    <s v="Education"/>
    <n v="123.6"/>
    <x v="7"/>
  </r>
  <r>
    <s v="Rural"/>
    <n v="2015"/>
    <s v="August"/>
    <x v="32"/>
    <s v="Personal care and effects"/>
    <n v="112.5"/>
    <x v="4"/>
  </r>
  <r>
    <s v="Rural"/>
    <n v="2015"/>
    <s v="August"/>
    <x v="32"/>
    <s v="Miscellaneous"/>
    <n v="118.2"/>
    <x v="8"/>
  </r>
  <r>
    <s v="Rural"/>
    <n v="2015"/>
    <s v="August"/>
    <x v="32"/>
    <s v="General index"/>
    <n v="126.1"/>
    <x v="9"/>
  </r>
  <r>
    <s v="Urban"/>
    <n v="2015"/>
    <s v="August"/>
    <x v="32"/>
    <s v="Cereals and products"/>
    <n v="123.1"/>
    <x v="0"/>
  </r>
  <r>
    <s v="Urban"/>
    <n v="2015"/>
    <s v="August"/>
    <x v="32"/>
    <s v="Meat and fish"/>
    <n v="131.69999999999999"/>
    <x v="0"/>
  </r>
  <r>
    <s v="Urban"/>
    <n v="2015"/>
    <s v="August"/>
    <x v="32"/>
    <s v="Egg"/>
    <n v="118.1"/>
    <x v="0"/>
  </r>
  <r>
    <s v="Urban"/>
    <n v="2015"/>
    <s v="August"/>
    <x v="32"/>
    <s v="Milk and products"/>
    <n v="128"/>
    <x v="0"/>
  </r>
  <r>
    <s v="Urban"/>
    <n v="2015"/>
    <s v="August"/>
    <x v="32"/>
    <s v="Oils and fats"/>
    <n v="106.8"/>
    <x v="0"/>
  </r>
  <r>
    <s v="Urban"/>
    <n v="2015"/>
    <s v="August"/>
    <x v="32"/>
    <s v="Fruits"/>
    <n v="130.1"/>
    <x v="0"/>
  </r>
  <r>
    <s v="Urban"/>
    <n v="2015"/>
    <s v="August"/>
    <x v="32"/>
    <s v="Vegetables"/>
    <n v="165.5"/>
    <x v="0"/>
  </r>
  <r>
    <s v="Urban"/>
    <n v="2015"/>
    <s v="August"/>
    <x v="32"/>
    <s v="Pulses and products"/>
    <n v="156"/>
    <x v="0"/>
  </r>
  <r>
    <s v="Urban"/>
    <n v="2015"/>
    <s v="August"/>
    <x v="32"/>
    <s v="Sugar and Confectionery"/>
    <n v="85.3"/>
    <x v="0"/>
  </r>
  <r>
    <s v="Urban"/>
    <n v="2015"/>
    <s v="August"/>
    <x v="32"/>
    <s v="Spices"/>
    <n v="132.69999999999999"/>
    <x v="0"/>
  </r>
  <r>
    <s v="Urban"/>
    <n v="2015"/>
    <s v="August"/>
    <x v="32"/>
    <s v="Non-alcoholic beverages"/>
    <n v="118.8"/>
    <x v="0"/>
  </r>
  <r>
    <s v="Urban"/>
    <n v="2015"/>
    <s v="August"/>
    <x v="32"/>
    <s v="Prepared meals, snacks, sweets etc."/>
    <n v="131.69999999999999"/>
    <x v="0"/>
  </r>
  <r>
    <s v="Urban"/>
    <n v="2015"/>
    <s v="August"/>
    <x v="32"/>
    <s v="Food and beverages"/>
    <n v="131.1"/>
    <x v="0"/>
  </r>
  <r>
    <s v="Urban"/>
    <n v="2015"/>
    <s v="August"/>
    <x v="32"/>
    <s v="Pan, tobacco and intoxicants"/>
    <n v="134.19999999999999"/>
    <x v="1"/>
  </r>
  <r>
    <s v="Urban"/>
    <n v="2015"/>
    <s v="August"/>
    <x v="32"/>
    <s v="Clothing"/>
    <n v="123.7"/>
    <x v="2"/>
  </r>
  <r>
    <s v="Urban"/>
    <n v="2015"/>
    <s v="August"/>
    <x v="32"/>
    <s v="Footwear"/>
    <n v="118.2"/>
    <x v="2"/>
  </r>
  <r>
    <s v="Urban"/>
    <n v="2015"/>
    <s v="August"/>
    <x v="32"/>
    <s v="Clothing and footwear"/>
    <n v="122.9"/>
    <x v="2"/>
  </r>
  <r>
    <s v="Urban"/>
    <n v="2015"/>
    <s v="August"/>
    <x v="32"/>
    <s v="Housing"/>
    <n v="120.9"/>
    <x v="10"/>
  </r>
  <r>
    <s v="Urban"/>
    <n v="2015"/>
    <s v="August"/>
    <x v="32"/>
    <s v="Fuel and light"/>
    <n v="115.3"/>
    <x v="3"/>
  </r>
  <r>
    <s v="Urban"/>
    <n v="2015"/>
    <s v="August"/>
    <x v="32"/>
    <s v="Household goods and services"/>
    <n v="120"/>
    <x v="4"/>
  </r>
  <r>
    <s v="Urban"/>
    <n v="2015"/>
    <s v="August"/>
    <x v="32"/>
    <s v="Health"/>
    <n v="116.6"/>
    <x v="5"/>
  </r>
  <r>
    <s v="Urban"/>
    <n v="2015"/>
    <s v="August"/>
    <x v="32"/>
    <s v="Transport and communication"/>
    <n v="109.9"/>
    <x v="6"/>
  </r>
  <r>
    <s v="Urban"/>
    <n v="2015"/>
    <s v="August"/>
    <x v="32"/>
    <s v="Recreation and amusement"/>
    <n v="117.2"/>
    <x v="1"/>
  </r>
  <r>
    <s v="Urban"/>
    <n v="2015"/>
    <s v="August"/>
    <x v="32"/>
    <s v="Education"/>
    <n v="126.2"/>
    <x v="7"/>
  </r>
  <r>
    <s v="Urban"/>
    <n v="2015"/>
    <s v="August"/>
    <x v="32"/>
    <s v="Personal care and effects"/>
    <n v="112"/>
    <x v="4"/>
  </r>
  <r>
    <s v="Urban"/>
    <n v="2015"/>
    <s v="August"/>
    <x v="32"/>
    <s v="Miscellaneous"/>
    <n v="116.2"/>
    <x v="8"/>
  </r>
  <r>
    <s v="Urban"/>
    <n v="2015"/>
    <s v="August"/>
    <x v="32"/>
    <s v="General index"/>
    <n v="123.2"/>
    <x v="9"/>
  </r>
  <r>
    <s v="Rural+Urban"/>
    <n v="2015"/>
    <s v="August"/>
    <x v="32"/>
    <s v="Cereals and products"/>
    <n v="124.2"/>
    <x v="0"/>
  </r>
  <r>
    <s v="Rural+Urban"/>
    <n v="2015"/>
    <s v="August"/>
    <x v="32"/>
    <s v="Meat and fish"/>
    <n v="131.4"/>
    <x v="0"/>
  </r>
  <r>
    <s v="Rural+Urban"/>
    <n v="2015"/>
    <s v="August"/>
    <x v="32"/>
    <s v="Egg"/>
    <n v="120.1"/>
    <x v="0"/>
  </r>
  <r>
    <s v="Rural+Urban"/>
    <n v="2015"/>
    <s v="August"/>
    <x v="32"/>
    <s v="Milk and products"/>
    <n v="128.5"/>
    <x v="0"/>
  </r>
  <r>
    <s v="Rural+Urban"/>
    <n v="2015"/>
    <s v="August"/>
    <x v="32"/>
    <s v="Oils and fats"/>
    <n v="111.4"/>
    <x v="0"/>
  </r>
  <r>
    <s v="Rural+Urban"/>
    <n v="2015"/>
    <s v="August"/>
    <x v="32"/>
    <s v="Fruits"/>
    <n v="132.30000000000001"/>
    <x v="0"/>
  </r>
  <r>
    <s v="Rural+Urban"/>
    <n v="2015"/>
    <s v="August"/>
    <x v="32"/>
    <s v="Vegetables"/>
    <n v="157.6"/>
    <x v="0"/>
  </r>
  <r>
    <s v="Rural+Urban"/>
    <n v="2015"/>
    <s v="August"/>
    <x v="32"/>
    <s v="Pulses and products"/>
    <n v="144"/>
    <x v="0"/>
  </r>
  <r>
    <s v="Rural+Urban"/>
    <n v="2015"/>
    <s v="August"/>
    <x v="32"/>
    <s v="Sugar and Confectionery"/>
    <n v="90.5"/>
    <x v="0"/>
  </r>
  <r>
    <s v="Rural+Urban"/>
    <n v="2015"/>
    <s v="August"/>
    <x v="32"/>
    <s v="Spices"/>
    <n v="126.8"/>
    <x v="0"/>
  </r>
  <r>
    <s v="Rural+Urban"/>
    <n v="2015"/>
    <s v="August"/>
    <x v="32"/>
    <s v="Non-alcoholic beverages"/>
    <n v="120.4"/>
    <x v="0"/>
  </r>
  <r>
    <s v="Rural+Urban"/>
    <n v="2015"/>
    <s v="August"/>
    <x v="32"/>
    <s v="Prepared meals, snacks, sweets etc."/>
    <n v="132.1"/>
    <x v="0"/>
  </r>
  <r>
    <s v="Rural+Urban"/>
    <n v="2015"/>
    <s v="August"/>
    <x v="32"/>
    <s v="Food and beverages"/>
    <n v="130.30000000000001"/>
    <x v="0"/>
  </r>
  <r>
    <s v="Rural+Urban"/>
    <n v="2015"/>
    <s v="August"/>
    <x v="32"/>
    <s v="Pan, tobacco and intoxicants"/>
    <n v="131.19999999999999"/>
    <x v="1"/>
  </r>
  <r>
    <s v="Rural+Urban"/>
    <n v="2015"/>
    <s v="August"/>
    <x v="32"/>
    <s v="Clothing"/>
    <n v="127.2"/>
    <x v="2"/>
  </r>
  <r>
    <s v="Rural+Urban"/>
    <n v="2015"/>
    <s v="August"/>
    <x v="32"/>
    <s v="Footwear"/>
    <n v="122.9"/>
    <x v="2"/>
  </r>
  <r>
    <s v="Rural+Urban"/>
    <n v="2015"/>
    <s v="August"/>
    <x v="32"/>
    <s v="Clothing and footwear"/>
    <n v="126.6"/>
    <x v="2"/>
  </r>
  <r>
    <s v="Rural+Urban"/>
    <n v="2015"/>
    <s v="August"/>
    <x v="32"/>
    <s v="Housing"/>
    <n v="120.9"/>
    <x v="10"/>
  </r>
  <r>
    <s v="Rural+Urban"/>
    <n v="2015"/>
    <s v="August"/>
    <x v="32"/>
    <s v="Fuel and light"/>
    <n v="120.6"/>
    <x v="3"/>
  </r>
  <r>
    <s v="Rural+Urban"/>
    <n v="2015"/>
    <s v="August"/>
    <x v="32"/>
    <s v="Household goods and services"/>
    <n v="122"/>
    <x v="4"/>
  </r>
  <r>
    <s v="Rural+Urban"/>
    <n v="2015"/>
    <s v="August"/>
    <x v="32"/>
    <s v="Health"/>
    <n v="119.4"/>
    <x v="5"/>
  </r>
  <r>
    <s v="Rural+Urban"/>
    <n v="2015"/>
    <s v="August"/>
    <x v="32"/>
    <s v="Transport and communication"/>
    <n v="111.7"/>
    <x v="6"/>
  </r>
  <r>
    <s v="Rural+Urban"/>
    <n v="2015"/>
    <s v="August"/>
    <x v="32"/>
    <s v="Recreation and amusement"/>
    <n v="117.8"/>
    <x v="1"/>
  </r>
  <r>
    <s v="Rural+Urban"/>
    <n v="2015"/>
    <s v="August"/>
    <x v="32"/>
    <s v="Education"/>
    <n v="125.1"/>
    <x v="7"/>
  </r>
  <r>
    <s v="Rural+Urban"/>
    <n v="2015"/>
    <s v="August"/>
    <x v="32"/>
    <s v="Personal care and effects"/>
    <n v="112.3"/>
    <x v="4"/>
  </r>
  <r>
    <s v="Rural+Urban"/>
    <n v="2015"/>
    <s v="August"/>
    <x v="32"/>
    <s v="Miscellaneous"/>
    <n v="117.2"/>
    <x v="8"/>
  </r>
  <r>
    <s v="Rural+Urban"/>
    <n v="2015"/>
    <s v="August"/>
    <x v="32"/>
    <s v="General index"/>
    <n v="124.8"/>
    <x v="9"/>
  </r>
  <r>
    <s v="Rural"/>
    <n v="2015"/>
    <s v="September"/>
    <x v="33"/>
    <s v="Cereals and products"/>
    <n v="125.1"/>
    <x v="0"/>
  </r>
  <r>
    <s v="Rural"/>
    <n v="2015"/>
    <s v="September"/>
    <x v="33"/>
    <s v="Meat and fish"/>
    <n v="131.1"/>
    <x v="0"/>
  </r>
  <r>
    <s v="Rural"/>
    <n v="2015"/>
    <s v="September"/>
    <x v="33"/>
    <s v="Egg"/>
    <n v="120.7"/>
    <x v="0"/>
  </r>
  <r>
    <s v="Rural"/>
    <n v="2015"/>
    <s v="September"/>
    <x v="33"/>
    <s v="Milk and products"/>
    <n v="129.19999999999999"/>
    <x v="0"/>
  </r>
  <r>
    <s v="Rural"/>
    <n v="2015"/>
    <s v="September"/>
    <x v="33"/>
    <s v="Oils and fats"/>
    <n v="114.7"/>
    <x v="0"/>
  </r>
  <r>
    <s v="Rural"/>
    <n v="2015"/>
    <s v="September"/>
    <x v="33"/>
    <s v="Fruits"/>
    <n v="132.30000000000001"/>
    <x v="0"/>
  </r>
  <r>
    <s v="Rural"/>
    <n v="2015"/>
    <s v="September"/>
    <x v="33"/>
    <s v="Vegetables"/>
    <n v="158.9"/>
    <x v="0"/>
  </r>
  <r>
    <s v="Rural"/>
    <n v="2015"/>
    <s v="September"/>
    <x v="33"/>
    <s v="Pulses and products"/>
    <n v="142.1"/>
    <x v="0"/>
  </r>
  <r>
    <s v="Rural"/>
    <n v="2015"/>
    <s v="September"/>
    <x v="33"/>
    <s v="Sugar and Confectionery"/>
    <n v="92.5"/>
    <x v="0"/>
  </r>
  <r>
    <s v="Rural"/>
    <n v="2015"/>
    <s v="September"/>
    <x v="33"/>
    <s v="Spices"/>
    <n v="125.4"/>
    <x v="0"/>
  </r>
  <r>
    <s v="Rural"/>
    <n v="2015"/>
    <s v="September"/>
    <x v="33"/>
    <s v="Non-alcoholic beverages"/>
    <n v="121.9"/>
    <x v="0"/>
  </r>
  <r>
    <s v="Rural"/>
    <n v="2015"/>
    <s v="September"/>
    <x v="33"/>
    <s v="Prepared meals, snacks, sweets etc."/>
    <n v="132.69999999999999"/>
    <x v="0"/>
  </r>
  <r>
    <s v="Rural"/>
    <n v="2015"/>
    <s v="September"/>
    <x v="33"/>
    <s v="Food and beverages"/>
    <n v="131"/>
    <x v="0"/>
  </r>
  <r>
    <s v="Rural"/>
    <n v="2015"/>
    <s v="September"/>
    <x v="33"/>
    <s v="Pan, tobacco and intoxicants"/>
    <n v="131"/>
    <x v="1"/>
  </r>
  <r>
    <s v="Rural"/>
    <n v="2015"/>
    <s v="September"/>
    <x v="33"/>
    <s v="Clothing"/>
    <n v="130.4"/>
    <x v="2"/>
  </r>
  <r>
    <s v="Rural"/>
    <n v="2015"/>
    <s v="September"/>
    <x v="33"/>
    <s v="Footwear"/>
    <n v="126.8"/>
    <x v="2"/>
  </r>
  <r>
    <s v="Rural"/>
    <n v="2015"/>
    <s v="September"/>
    <x v="33"/>
    <s v="Clothing and footwear"/>
    <n v="129.9"/>
    <x v="2"/>
  </r>
  <r>
    <s v="Rural"/>
    <n v="2015"/>
    <s v="September"/>
    <x v="33"/>
    <s v="Fuel and light"/>
    <n v="123.7"/>
    <x v="3"/>
  </r>
  <r>
    <s v="Rural"/>
    <n v="2015"/>
    <s v="September"/>
    <x v="33"/>
    <s v="Household goods and services"/>
    <n v="124.5"/>
    <x v="4"/>
  </r>
  <r>
    <s v="Rural"/>
    <n v="2015"/>
    <s v="September"/>
    <x v="33"/>
    <s v="Health"/>
    <n v="121.4"/>
    <x v="5"/>
  </r>
  <r>
    <s v="Rural"/>
    <n v="2015"/>
    <s v="September"/>
    <x v="33"/>
    <s v="Transport and communication"/>
    <n v="113.8"/>
    <x v="6"/>
  </r>
  <r>
    <s v="Rural"/>
    <n v="2015"/>
    <s v="September"/>
    <x v="33"/>
    <s v="Recreation and amusement"/>
    <n v="119.6"/>
    <x v="1"/>
  </r>
  <r>
    <s v="Rural"/>
    <n v="2015"/>
    <s v="September"/>
    <x v="33"/>
    <s v="Education"/>
    <n v="124.5"/>
    <x v="7"/>
  </r>
  <r>
    <s v="Rural"/>
    <n v="2015"/>
    <s v="September"/>
    <x v="33"/>
    <s v="Personal care and effects"/>
    <n v="113.7"/>
    <x v="4"/>
  </r>
  <r>
    <s v="Rural"/>
    <n v="2015"/>
    <s v="September"/>
    <x v="33"/>
    <s v="Miscellaneous"/>
    <n v="118.8"/>
    <x v="8"/>
  </r>
  <r>
    <s v="Rural"/>
    <n v="2015"/>
    <s v="September"/>
    <x v="33"/>
    <s v="General index"/>
    <n v="127"/>
    <x v="9"/>
  </r>
  <r>
    <s v="Urban"/>
    <n v="2015"/>
    <s v="September"/>
    <x v="33"/>
    <s v="Cereals and products"/>
    <n v="123.4"/>
    <x v="0"/>
  </r>
  <r>
    <s v="Urban"/>
    <n v="2015"/>
    <s v="September"/>
    <x v="33"/>
    <s v="Meat and fish"/>
    <n v="129"/>
    <x v="0"/>
  </r>
  <r>
    <s v="Urban"/>
    <n v="2015"/>
    <s v="September"/>
    <x v="33"/>
    <s v="Egg"/>
    <n v="115.6"/>
    <x v="0"/>
  </r>
  <r>
    <s v="Urban"/>
    <n v="2015"/>
    <s v="September"/>
    <x v="33"/>
    <s v="Milk and products"/>
    <n v="128.30000000000001"/>
    <x v="0"/>
  </r>
  <r>
    <s v="Urban"/>
    <n v="2015"/>
    <s v="September"/>
    <x v="33"/>
    <s v="Oils and fats"/>
    <n v="107"/>
    <x v="0"/>
  </r>
  <r>
    <s v="Urban"/>
    <n v="2015"/>
    <s v="September"/>
    <x v="33"/>
    <s v="Fruits"/>
    <n v="124"/>
    <x v="0"/>
  </r>
  <r>
    <s v="Urban"/>
    <n v="2015"/>
    <s v="September"/>
    <x v="33"/>
    <s v="Vegetables"/>
    <n v="168.5"/>
    <x v="0"/>
  </r>
  <r>
    <s v="Urban"/>
    <n v="2015"/>
    <s v="September"/>
    <x v="33"/>
    <s v="Pulses and products"/>
    <n v="165.4"/>
    <x v="0"/>
  </r>
  <r>
    <s v="Urban"/>
    <n v="2015"/>
    <s v="September"/>
    <x v="33"/>
    <s v="Sugar and Confectionery"/>
    <n v="86.3"/>
    <x v="0"/>
  </r>
  <r>
    <s v="Urban"/>
    <n v="2015"/>
    <s v="September"/>
    <x v="33"/>
    <s v="Spices"/>
    <n v="134.4"/>
    <x v="0"/>
  </r>
  <r>
    <s v="Urban"/>
    <n v="2015"/>
    <s v="September"/>
    <x v="33"/>
    <s v="Non-alcoholic beverages"/>
    <n v="119.1"/>
    <x v="0"/>
  </r>
  <r>
    <s v="Urban"/>
    <n v="2015"/>
    <s v="September"/>
    <x v="33"/>
    <s v="Prepared meals, snacks, sweets etc."/>
    <n v="132.30000000000001"/>
    <x v="0"/>
  </r>
  <r>
    <s v="Urban"/>
    <n v="2015"/>
    <s v="September"/>
    <x v="33"/>
    <s v="Food and beverages"/>
    <n v="131.5"/>
    <x v="0"/>
  </r>
  <r>
    <s v="Urban"/>
    <n v="2015"/>
    <s v="September"/>
    <x v="33"/>
    <s v="Pan, tobacco and intoxicants"/>
    <n v="134.69999999999999"/>
    <x v="1"/>
  </r>
  <r>
    <s v="Urban"/>
    <n v="2015"/>
    <s v="September"/>
    <x v="33"/>
    <s v="Clothing"/>
    <n v="124"/>
    <x v="2"/>
  </r>
  <r>
    <s v="Urban"/>
    <n v="2015"/>
    <s v="September"/>
    <x v="33"/>
    <s v="Footwear"/>
    <n v="118.6"/>
    <x v="2"/>
  </r>
  <r>
    <s v="Urban"/>
    <n v="2015"/>
    <s v="September"/>
    <x v="33"/>
    <s v="Clothing and footwear"/>
    <n v="123.2"/>
    <x v="2"/>
  </r>
  <r>
    <s v="Urban"/>
    <n v="2015"/>
    <s v="September"/>
    <x v="33"/>
    <s v="Housing"/>
    <n v="121.6"/>
    <x v="10"/>
  </r>
  <r>
    <s v="Urban"/>
    <n v="2015"/>
    <s v="September"/>
    <x v="33"/>
    <s v="Fuel and light"/>
    <n v="115.1"/>
    <x v="3"/>
  </r>
  <r>
    <s v="Urban"/>
    <n v="2015"/>
    <s v="September"/>
    <x v="33"/>
    <s v="Household goods and services"/>
    <n v="120.4"/>
    <x v="4"/>
  </r>
  <r>
    <s v="Urban"/>
    <n v="2015"/>
    <s v="September"/>
    <x v="33"/>
    <s v="Health"/>
    <n v="117.1"/>
    <x v="5"/>
  </r>
  <r>
    <s v="Urban"/>
    <n v="2015"/>
    <s v="September"/>
    <x v="33"/>
    <s v="Transport and communication"/>
    <n v="109.1"/>
    <x v="6"/>
  </r>
  <r>
    <s v="Urban"/>
    <n v="2015"/>
    <s v="September"/>
    <x v="33"/>
    <s v="Recreation and amusement"/>
    <n v="117.3"/>
    <x v="1"/>
  </r>
  <r>
    <s v="Urban"/>
    <n v="2015"/>
    <s v="September"/>
    <x v="33"/>
    <s v="Education"/>
    <n v="126.5"/>
    <x v="7"/>
  </r>
  <r>
    <s v="Urban"/>
    <n v="2015"/>
    <s v="September"/>
    <x v="33"/>
    <s v="Personal care and effects"/>
    <n v="112.9"/>
    <x v="4"/>
  </r>
  <r>
    <s v="Urban"/>
    <n v="2015"/>
    <s v="September"/>
    <x v="33"/>
    <s v="Miscellaneous"/>
    <n v="116.2"/>
    <x v="8"/>
  </r>
  <r>
    <s v="Urban"/>
    <n v="2015"/>
    <s v="September"/>
    <x v="33"/>
    <s v="General index"/>
    <n v="123.5"/>
    <x v="9"/>
  </r>
  <r>
    <s v="Rural+Urban"/>
    <n v="2015"/>
    <s v="September"/>
    <x v="33"/>
    <s v="Cereals and products"/>
    <n v="124.6"/>
    <x v="0"/>
  </r>
  <r>
    <s v="Rural+Urban"/>
    <n v="2015"/>
    <s v="September"/>
    <x v="33"/>
    <s v="Meat and fish"/>
    <n v="130.4"/>
    <x v="0"/>
  </r>
  <r>
    <s v="Rural+Urban"/>
    <n v="2015"/>
    <s v="September"/>
    <x v="33"/>
    <s v="Egg"/>
    <n v="118.7"/>
    <x v="0"/>
  </r>
  <r>
    <s v="Rural+Urban"/>
    <n v="2015"/>
    <s v="September"/>
    <x v="33"/>
    <s v="Milk and products"/>
    <n v="128.9"/>
    <x v="0"/>
  </r>
  <r>
    <s v="Rural+Urban"/>
    <n v="2015"/>
    <s v="September"/>
    <x v="33"/>
    <s v="Oils and fats"/>
    <n v="111.9"/>
    <x v="0"/>
  </r>
  <r>
    <s v="Rural+Urban"/>
    <n v="2015"/>
    <s v="September"/>
    <x v="33"/>
    <s v="Fruits"/>
    <n v="128.4"/>
    <x v="0"/>
  </r>
  <r>
    <s v="Rural+Urban"/>
    <n v="2015"/>
    <s v="September"/>
    <x v="33"/>
    <s v="Vegetables"/>
    <n v="162.19999999999999"/>
    <x v="0"/>
  </r>
  <r>
    <s v="Rural+Urban"/>
    <n v="2015"/>
    <s v="September"/>
    <x v="33"/>
    <s v="Pulses and products"/>
    <n v="150"/>
    <x v="0"/>
  </r>
  <r>
    <s v="Rural+Urban"/>
    <n v="2015"/>
    <s v="September"/>
    <x v="33"/>
    <s v="Sugar and Confectionery"/>
    <n v="90.4"/>
    <x v="0"/>
  </r>
  <r>
    <s v="Rural+Urban"/>
    <n v="2015"/>
    <s v="September"/>
    <x v="33"/>
    <s v="Spices"/>
    <n v="128.4"/>
    <x v="0"/>
  </r>
  <r>
    <s v="Rural+Urban"/>
    <n v="2015"/>
    <s v="September"/>
    <x v="33"/>
    <s v="Non-alcoholic beverages"/>
    <n v="120.7"/>
    <x v="0"/>
  </r>
  <r>
    <s v="Rural+Urban"/>
    <n v="2015"/>
    <s v="September"/>
    <x v="33"/>
    <s v="Prepared meals, snacks, sweets etc."/>
    <n v="132.5"/>
    <x v="0"/>
  </r>
  <r>
    <s v="Rural+Urban"/>
    <n v="2015"/>
    <s v="September"/>
    <x v="33"/>
    <s v="Food and beverages"/>
    <n v="131.19999999999999"/>
    <x v="0"/>
  </r>
  <r>
    <s v="Rural+Urban"/>
    <n v="2015"/>
    <s v="September"/>
    <x v="33"/>
    <s v="Pan, tobacco and intoxicants"/>
    <n v="132"/>
    <x v="1"/>
  </r>
  <r>
    <s v="Rural+Urban"/>
    <n v="2015"/>
    <s v="September"/>
    <x v="33"/>
    <s v="Clothing"/>
    <n v="127.9"/>
    <x v="2"/>
  </r>
  <r>
    <s v="Rural+Urban"/>
    <n v="2015"/>
    <s v="September"/>
    <x v="33"/>
    <s v="Footwear"/>
    <n v="123.4"/>
    <x v="2"/>
  </r>
  <r>
    <s v="Rural+Urban"/>
    <n v="2015"/>
    <s v="September"/>
    <x v="33"/>
    <s v="Clothing and footwear"/>
    <n v="127.2"/>
    <x v="2"/>
  </r>
  <r>
    <s v="Rural+Urban"/>
    <n v="2015"/>
    <s v="September"/>
    <x v="33"/>
    <s v="Housing"/>
    <n v="121.6"/>
    <x v="10"/>
  </r>
  <r>
    <s v="Rural+Urban"/>
    <n v="2015"/>
    <s v="September"/>
    <x v="33"/>
    <s v="Fuel and light"/>
    <n v="120.4"/>
    <x v="3"/>
  </r>
  <r>
    <s v="Rural+Urban"/>
    <n v="2015"/>
    <s v="September"/>
    <x v="33"/>
    <s v="Household goods and services"/>
    <n v="122.6"/>
    <x v="4"/>
  </r>
  <r>
    <s v="Rural+Urban"/>
    <n v="2015"/>
    <s v="September"/>
    <x v="33"/>
    <s v="Health"/>
    <n v="119.8"/>
    <x v="5"/>
  </r>
  <r>
    <s v="Rural+Urban"/>
    <n v="2015"/>
    <s v="September"/>
    <x v="33"/>
    <s v="Transport and communication"/>
    <n v="111.3"/>
    <x v="6"/>
  </r>
  <r>
    <s v="Rural+Urban"/>
    <n v="2015"/>
    <s v="September"/>
    <x v="33"/>
    <s v="Recreation and amusement"/>
    <n v="118.3"/>
    <x v="1"/>
  </r>
  <r>
    <s v="Rural+Urban"/>
    <n v="2015"/>
    <s v="September"/>
    <x v="33"/>
    <s v="Education"/>
    <n v="125.7"/>
    <x v="7"/>
  </r>
  <r>
    <s v="Rural+Urban"/>
    <n v="2015"/>
    <s v="September"/>
    <x v="33"/>
    <s v="Personal care and effects"/>
    <n v="113.4"/>
    <x v="4"/>
  </r>
  <r>
    <s v="Rural+Urban"/>
    <n v="2015"/>
    <s v="September"/>
    <x v="33"/>
    <s v="Miscellaneous"/>
    <n v="117.5"/>
    <x v="8"/>
  </r>
  <r>
    <s v="Rural+Urban"/>
    <n v="2015"/>
    <s v="September"/>
    <x v="33"/>
    <s v="General index"/>
    <n v="125.4"/>
    <x v="9"/>
  </r>
  <r>
    <s v="Rural"/>
    <n v="2015"/>
    <s v="October"/>
    <x v="34"/>
    <s v="Cereals and products"/>
    <n v="125.6"/>
    <x v="0"/>
  </r>
  <r>
    <s v="Rural"/>
    <n v="2015"/>
    <s v="October"/>
    <x v="34"/>
    <s v="Meat and fish"/>
    <n v="130.4"/>
    <x v="0"/>
  </r>
  <r>
    <s v="Rural"/>
    <n v="2015"/>
    <s v="October"/>
    <x v="34"/>
    <s v="Egg"/>
    <n v="120.8"/>
    <x v="0"/>
  </r>
  <r>
    <s v="Rural"/>
    <n v="2015"/>
    <s v="October"/>
    <x v="34"/>
    <s v="Milk and products"/>
    <n v="129.4"/>
    <x v="0"/>
  </r>
  <r>
    <s v="Rural"/>
    <n v="2015"/>
    <s v="October"/>
    <x v="34"/>
    <s v="Oils and fats"/>
    <n v="115.8"/>
    <x v="0"/>
  </r>
  <r>
    <s v="Rural"/>
    <n v="2015"/>
    <s v="October"/>
    <x v="34"/>
    <s v="Fruits"/>
    <n v="133.19999999999999"/>
    <x v="0"/>
  </r>
  <r>
    <s v="Rural"/>
    <n v="2015"/>
    <s v="October"/>
    <x v="34"/>
    <s v="Vegetables"/>
    <n v="157.69999999999999"/>
    <x v="0"/>
  </r>
  <r>
    <s v="Rural"/>
    <n v="2015"/>
    <s v="October"/>
    <x v="34"/>
    <s v="Pulses and products"/>
    <n v="154.19999999999999"/>
    <x v="0"/>
  </r>
  <r>
    <s v="Rural"/>
    <n v="2015"/>
    <s v="October"/>
    <x v="34"/>
    <s v="Sugar and Confectionery"/>
    <n v="93.7"/>
    <x v="0"/>
  </r>
  <r>
    <s v="Rural"/>
    <n v="2015"/>
    <s v="October"/>
    <x v="34"/>
    <s v="Spices"/>
    <n v="126.6"/>
    <x v="0"/>
  </r>
  <r>
    <s v="Rural"/>
    <n v="2015"/>
    <s v="October"/>
    <x v="34"/>
    <s v="Non-alcoholic beverages"/>
    <n v="122.3"/>
    <x v="0"/>
  </r>
  <r>
    <s v="Rural"/>
    <n v="2015"/>
    <s v="October"/>
    <x v="34"/>
    <s v="Prepared meals, snacks, sweets etc."/>
    <n v="133.1"/>
    <x v="0"/>
  </r>
  <r>
    <s v="Rural"/>
    <n v="2015"/>
    <s v="October"/>
    <x v="34"/>
    <s v="Food and beverages"/>
    <n v="131.80000000000001"/>
    <x v="0"/>
  </r>
  <r>
    <s v="Rural"/>
    <n v="2015"/>
    <s v="October"/>
    <x v="34"/>
    <s v="Pan, tobacco and intoxicants"/>
    <n v="131.5"/>
    <x v="1"/>
  </r>
  <r>
    <s v="Rural"/>
    <n v="2015"/>
    <s v="October"/>
    <x v="34"/>
    <s v="Clothing"/>
    <n v="131.1"/>
    <x v="2"/>
  </r>
  <r>
    <s v="Rural"/>
    <n v="2015"/>
    <s v="October"/>
    <x v="34"/>
    <s v="Footwear"/>
    <n v="127.3"/>
    <x v="2"/>
  </r>
  <r>
    <s v="Rural"/>
    <n v="2015"/>
    <s v="October"/>
    <x v="34"/>
    <s v="Clothing and footwear"/>
    <n v="130.6"/>
    <x v="2"/>
  </r>
  <r>
    <s v="Rural"/>
    <n v="2015"/>
    <s v="October"/>
    <x v="34"/>
    <s v="Fuel and light"/>
    <n v="124.4"/>
    <x v="3"/>
  </r>
  <r>
    <s v="Rural"/>
    <n v="2015"/>
    <s v="October"/>
    <x v="34"/>
    <s v="Household goods and services"/>
    <n v="125.1"/>
    <x v="4"/>
  </r>
  <r>
    <s v="Rural"/>
    <n v="2015"/>
    <s v="October"/>
    <x v="34"/>
    <s v="Health"/>
    <n v="122"/>
    <x v="5"/>
  </r>
  <r>
    <s v="Rural"/>
    <n v="2015"/>
    <s v="October"/>
    <x v="34"/>
    <s v="Transport and communication"/>
    <n v="113.8"/>
    <x v="6"/>
  </r>
  <r>
    <s v="Rural"/>
    <n v="2015"/>
    <s v="October"/>
    <x v="34"/>
    <s v="Recreation and amusement"/>
    <n v="120.1"/>
    <x v="1"/>
  </r>
  <r>
    <s v="Rural"/>
    <n v="2015"/>
    <s v="October"/>
    <x v="34"/>
    <s v="Education"/>
    <n v="125.1"/>
    <x v="7"/>
  </r>
  <r>
    <s v="Rural"/>
    <n v="2015"/>
    <s v="October"/>
    <x v="34"/>
    <s v="Personal care and effects"/>
    <n v="114.2"/>
    <x v="4"/>
  </r>
  <r>
    <s v="Rural"/>
    <n v="2015"/>
    <s v="October"/>
    <x v="34"/>
    <s v="Miscellaneous"/>
    <n v="119.2"/>
    <x v="8"/>
  </r>
  <r>
    <s v="Rural"/>
    <n v="2015"/>
    <s v="October"/>
    <x v="34"/>
    <s v="General index"/>
    <n v="127.7"/>
    <x v="9"/>
  </r>
  <r>
    <s v="Urban"/>
    <n v="2015"/>
    <s v="October"/>
    <x v="34"/>
    <s v="Cereals and products"/>
    <n v="123.6"/>
    <x v="0"/>
  </r>
  <r>
    <s v="Urban"/>
    <n v="2015"/>
    <s v="October"/>
    <x v="34"/>
    <s v="Meat and fish"/>
    <n v="128.6"/>
    <x v="0"/>
  </r>
  <r>
    <s v="Urban"/>
    <n v="2015"/>
    <s v="October"/>
    <x v="34"/>
    <s v="Egg"/>
    <n v="115.9"/>
    <x v="0"/>
  </r>
  <r>
    <s v="Urban"/>
    <n v="2015"/>
    <s v="October"/>
    <x v="34"/>
    <s v="Milk and products"/>
    <n v="128.5"/>
    <x v="0"/>
  </r>
  <r>
    <s v="Urban"/>
    <n v="2015"/>
    <s v="October"/>
    <x v="34"/>
    <s v="Oils and fats"/>
    <n v="109"/>
    <x v="0"/>
  </r>
  <r>
    <s v="Urban"/>
    <n v="2015"/>
    <s v="October"/>
    <x v="34"/>
    <s v="Fruits"/>
    <n v="124.1"/>
    <x v="0"/>
  </r>
  <r>
    <s v="Urban"/>
    <n v="2015"/>
    <s v="October"/>
    <x v="34"/>
    <s v="Vegetables"/>
    <n v="165.8"/>
    <x v="0"/>
  </r>
  <r>
    <s v="Urban"/>
    <n v="2015"/>
    <s v="October"/>
    <x v="34"/>
    <s v="Pulses and products"/>
    <n v="187.2"/>
    <x v="0"/>
  </r>
  <r>
    <s v="Urban"/>
    <n v="2015"/>
    <s v="October"/>
    <x v="34"/>
    <s v="Sugar and Confectionery"/>
    <n v="89.4"/>
    <x v="0"/>
  </r>
  <r>
    <s v="Urban"/>
    <n v="2015"/>
    <s v="October"/>
    <x v="34"/>
    <s v="Spices"/>
    <n v="135.80000000000001"/>
    <x v="0"/>
  </r>
  <r>
    <s v="Urban"/>
    <n v="2015"/>
    <s v="October"/>
    <x v="34"/>
    <s v="Non-alcoholic beverages"/>
    <n v="119.4"/>
    <x v="0"/>
  </r>
  <r>
    <s v="Urban"/>
    <n v="2015"/>
    <s v="October"/>
    <x v="34"/>
    <s v="Prepared meals, snacks, sweets etc."/>
    <n v="132.9"/>
    <x v="0"/>
  </r>
  <r>
    <s v="Urban"/>
    <n v="2015"/>
    <s v="October"/>
    <x v="34"/>
    <s v="Food and beverages"/>
    <n v="132.6"/>
    <x v="0"/>
  </r>
  <r>
    <s v="Urban"/>
    <n v="2015"/>
    <s v="October"/>
    <x v="34"/>
    <s v="Pan, tobacco and intoxicants"/>
    <n v="135.30000000000001"/>
    <x v="1"/>
  </r>
  <r>
    <s v="Urban"/>
    <n v="2015"/>
    <s v="October"/>
    <x v="34"/>
    <s v="Clothing"/>
    <n v="124.4"/>
    <x v="2"/>
  </r>
  <r>
    <s v="Urban"/>
    <n v="2015"/>
    <s v="October"/>
    <x v="34"/>
    <s v="Footwear"/>
    <n v="118.8"/>
    <x v="2"/>
  </r>
  <r>
    <s v="Urban"/>
    <n v="2015"/>
    <s v="October"/>
    <x v="34"/>
    <s v="Clothing and footwear"/>
    <n v="123.6"/>
    <x v="2"/>
  </r>
  <r>
    <s v="Urban"/>
    <n v="2015"/>
    <s v="October"/>
    <x v="34"/>
    <s v="Housing"/>
    <n v="122.4"/>
    <x v="10"/>
  </r>
  <r>
    <s v="Urban"/>
    <n v="2015"/>
    <s v="October"/>
    <x v="34"/>
    <s v="Fuel and light"/>
    <n v="114.9"/>
    <x v="3"/>
  </r>
  <r>
    <s v="Urban"/>
    <n v="2015"/>
    <s v="October"/>
    <x v="34"/>
    <s v="Household goods and services"/>
    <n v="120.7"/>
    <x v="4"/>
  </r>
  <r>
    <s v="Urban"/>
    <n v="2015"/>
    <s v="October"/>
    <x v="34"/>
    <s v="Health"/>
    <n v="117.7"/>
    <x v="5"/>
  </r>
  <r>
    <s v="Urban"/>
    <n v="2015"/>
    <s v="October"/>
    <x v="34"/>
    <s v="Transport and communication"/>
    <n v="109.3"/>
    <x v="6"/>
  </r>
  <r>
    <s v="Urban"/>
    <n v="2015"/>
    <s v="October"/>
    <x v="34"/>
    <s v="Recreation and amusement"/>
    <n v="117.7"/>
    <x v="1"/>
  </r>
  <r>
    <s v="Urban"/>
    <n v="2015"/>
    <s v="October"/>
    <x v="34"/>
    <s v="Education"/>
    <n v="126.5"/>
    <x v="7"/>
  </r>
  <r>
    <s v="Urban"/>
    <n v="2015"/>
    <s v="October"/>
    <x v="34"/>
    <s v="Personal care and effects"/>
    <n v="113.5"/>
    <x v="4"/>
  </r>
  <r>
    <s v="Urban"/>
    <n v="2015"/>
    <s v="October"/>
    <x v="34"/>
    <s v="Miscellaneous"/>
    <n v="116.5"/>
    <x v="8"/>
  </r>
  <r>
    <s v="Urban"/>
    <n v="2015"/>
    <s v="October"/>
    <x v="34"/>
    <s v="General index"/>
    <n v="124.2"/>
    <x v="9"/>
  </r>
  <r>
    <s v="Rural+Urban"/>
    <n v="2015"/>
    <s v="October"/>
    <x v="34"/>
    <s v="Cereals and products"/>
    <n v="125"/>
    <x v="0"/>
  </r>
  <r>
    <s v="Rural+Urban"/>
    <n v="2015"/>
    <s v="October"/>
    <x v="34"/>
    <s v="Meat and fish"/>
    <n v="129.80000000000001"/>
    <x v="0"/>
  </r>
  <r>
    <s v="Rural+Urban"/>
    <n v="2015"/>
    <s v="October"/>
    <x v="34"/>
    <s v="Egg"/>
    <n v="118.9"/>
    <x v="0"/>
  </r>
  <r>
    <s v="Rural+Urban"/>
    <n v="2015"/>
    <s v="October"/>
    <x v="34"/>
    <s v="Milk and products"/>
    <n v="129.1"/>
    <x v="0"/>
  </r>
  <r>
    <s v="Rural+Urban"/>
    <n v="2015"/>
    <s v="October"/>
    <x v="34"/>
    <s v="Oils and fats"/>
    <n v="113.3"/>
    <x v="0"/>
  </r>
  <r>
    <s v="Rural+Urban"/>
    <n v="2015"/>
    <s v="October"/>
    <x v="34"/>
    <s v="Fruits"/>
    <n v="129"/>
    <x v="0"/>
  </r>
  <r>
    <s v="Rural+Urban"/>
    <n v="2015"/>
    <s v="October"/>
    <x v="34"/>
    <s v="Vegetables"/>
    <n v="160.4"/>
    <x v="0"/>
  </r>
  <r>
    <s v="Rural+Urban"/>
    <n v="2015"/>
    <s v="October"/>
    <x v="34"/>
    <s v="Pulses and products"/>
    <n v="165.3"/>
    <x v="0"/>
  </r>
  <r>
    <s v="Rural+Urban"/>
    <n v="2015"/>
    <s v="October"/>
    <x v="34"/>
    <s v="Sugar and Confectionery"/>
    <n v="92.3"/>
    <x v="0"/>
  </r>
  <r>
    <s v="Rural+Urban"/>
    <n v="2015"/>
    <s v="October"/>
    <x v="34"/>
    <s v="Spices"/>
    <n v="129.69999999999999"/>
    <x v="0"/>
  </r>
  <r>
    <s v="Rural+Urban"/>
    <n v="2015"/>
    <s v="October"/>
    <x v="34"/>
    <s v="Non-alcoholic beverages"/>
    <n v="121.1"/>
    <x v="0"/>
  </r>
  <r>
    <s v="Rural+Urban"/>
    <n v="2015"/>
    <s v="October"/>
    <x v="34"/>
    <s v="Prepared meals, snacks, sweets etc."/>
    <n v="133"/>
    <x v="0"/>
  </r>
  <r>
    <s v="Rural+Urban"/>
    <n v="2015"/>
    <s v="October"/>
    <x v="34"/>
    <s v="Food and beverages"/>
    <n v="132.1"/>
    <x v="0"/>
  </r>
  <r>
    <s v="Rural+Urban"/>
    <n v="2015"/>
    <s v="October"/>
    <x v="34"/>
    <s v="Pan, tobacco and intoxicants"/>
    <n v="132.5"/>
    <x v="1"/>
  </r>
  <r>
    <s v="Rural+Urban"/>
    <n v="2015"/>
    <s v="October"/>
    <x v="34"/>
    <s v="Clothing"/>
    <n v="128.5"/>
    <x v="2"/>
  </r>
  <r>
    <s v="Rural+Urban"/>
    <n v="2015"/>
    <s v="October"/>
    <x v="34"/>
    <s v="Footwear"/>
    <n v="123.8"/>
    <x v="2"/>
  </r>
  <r>
    <s v="Rural+Urban"/>
    <n v="2015"/>
    <s v="October"/>
    <x v="34"/>
    <s v="Clothing and footwear"/>
    <n v="127.8"/>
    <x v="2"/>
  </r>
  <r>
    <s v="Rural+Urban"/>
    <n v="2015"/>
    <s v="October"/>
    <x v="34"/>
    <s v="Housing"/>
    <n v="122.4"/>
    <x v="10"/>
  </r>
  <r>
    <s v="Rural+Urban"/>
    <n v="2015"/>
    <s v="October"/>
    <x v="34"/>
    <s v="Fuel and light"/>
    <n v="120.8"/>
    <x v="3"/>
  </r>
  <r>
    <s v="Rural+Urban"/>
    <n v="2015"/>
    <s v="October"/>
    <x v="34"/>
    <s v="Household goods and services"/>
    <n v="123"/>
    <x v="4"/>
  </r>
  <r>
    <s v="Rural+Urban"/>
    <n v="2015"/>
    <s v="October"/>
    <x v="34"/>
    <s v="Health"/>
    <n v="120.4"/>
    <x v="5"/>
  </r>
  <r>
    <s v="Rural+Urban"/>
    <n v="2015"/>
    <s v="October"/>
    <x v="34"/>
    <s v="Transport and communication"/>
    <n v="111.4"/>
    <x v="6"/>
  </r>
  <r>
    <s v="Rural+Urban"/>
    <n v="2015"/>
    <s v="October"/>
    <x v="34"/>
    <s v="Recreation and amusement"/>
    <n v="118.7"/>
    <x v="1"/>
  </r>
  <r>
    <s v="Rural+Urban"/>
    <n v="2015"/>
    <s v="October"/>
    <x v="34"/>
    <s v="Education"/>
    <n v="125.9"/>
    <x v="7"/>
  </r>
  <r>
    <s v="Rural+Urban"/>
    <n v="2015"/>
    <s v="October"/>
    <x v="34"/>
    <s v="Personal care and effects"/>
    <n v="113.9"/>
    <x v="4"/>
  </r>
  <r>
    <s v="Rural+Urban"/>
    <n v="2015"/>
    <s v="October"/>
    <x v="34"/>
    <s v="Miscellaneous"/>
    <n v="117.9"/>
    <x v="8"/>
  </r>
  <r>
    <s v="Rural+Urban"/>
    <n v="2015"/>
    <s v="October"/>
    <x v="34"/>
    <s v="General index"/>
    <n v="126.1"/>
    <x v="9"/>
  </r>
  <r>
    <s v="Rural"/>
    <n v="2015"/>
    <s v="November"/>
    <x v="35"/>
    <s v="Cereals and products"/>
    <n v="126.1"/>
    <x v="0"/>
  </r>
  <r>
    <s v="Rural"/>
    <n v="2015"/>
    <s v="November"/>
    <x v="35"/>
    <s v="Meat and fish"/>
    <n v="130.6"/>
    <x v="0"/>
  </r>
  <r>
    <s v="Rural"/>
    <n v="2015"/>
    <s v="November"/>
    <x v="35"/>
    <s v="Egg"/>
    <n v="121.7"/>
    <x v="0"/>
  </r>
  <r>
    <s v="Rural"/>
    <n v="2015"/>
    <s v="November"/>
    <x v="35"/>
    <s v="Milk and products"/>
    <n v="129.5"/>
    <x v="0"/>
  </r>
  <r>
    <s v="Rural"/>
    <n v="2015"/>
    <s v="November"/>
    <x v="35"/>
    <s v="Oils and fats"/>
    <n v="117.8"/>
    <x v="0"/>
  </r>
  <r>
    <s v="Rural"/>
    <n v="2015"/>
    <s v="November"/>
    <x v="35"/>
    <s v="Fruits"/>
    <n v="132.1"/>
    <x v="0"/>
  </r>
  <r>
    <s v="Rural"/>
    <n v="2015"/>
    <s v="November"/>
    <x v="35"/>
    <s v="Vegetables"/>
    <n v="155.19999999999999"/>
    <x v="0"/>
  </r>
  <r>
    <s v="Rural"/>
    <n v="2015"/>
    <s v="November"/>
    <x v="35"/>
    <s v="Pulses and products"/>
    <n v="160.80000000000001"/>
    <x v="0"/>
  </r>
  <r>
    <s v="Rural"/>
    <n v="2015"/>
    <s v="November"/>
    <x v="35"/>
    <s v="Sugar and Confectionery"/>
    <n v="94.5"/>
    <x v="0"/>
  </r>
  <r>
    <s v="Rural"/>
    <n v="2015"/>
    <s v="November"/>
    <x v="35"/>
    <s v="Spices"/>
    <n v="128.30000000000001"/>
    <x v="0"/>
  </r>
  <r>
    <s v="Rural"/>
    <n v="2015"/>
    <s v="November"/>
    <x v="35"/>
    <s v="Non-alcoholic beverages"/>
    <n v="123.1"/>
    <x v="0"/>
  </r>
  <r>
    <s v="Rural"/>
    <n v="2015"/>
    <s v="November"/>
    <x v="35"/>
    <s v="Prepared meals, snacks, sweets etc."/>
    <n v="134.19999999999999"/>
    <x v="0"/>
  </r>
  <r>
    <s v="Rural"/>
    <n v="2015"/>
    <s v="November"/>
    <x v="35"/>
    <s v="Food and beverages"/>
    <n v="132.4"/>
    <x v="0"/>
  </r>
  <r>
    <s v="Rural"/>
    <n v="2015"/>
    <s v="November"/>
    <x v="35"/>
    <s v="Pan, tobacco and intoxicants"/>
    <n v="132.19999999999999"/>
    <x v="1"/>
  </r>
  <r>
    <s v="Rural"/>
    <n v="2015"/>
    <s v="November"/>
    <x v="35"/>
    <s v="Clothing"/>
    <n v="132.1"/>
    <x v="2"/>
  </r>
  <r>
    <s v="Rural"/>
    <n v="2015"/>
    <s v="November"/>
    <x v="35"/>
    <s v="Footwear"/>
    <n v="128.19999999999999"/>
    <x v="2"/>
  </r>
  <r>
    <s v="Rural"/>
    <n v="2015"/>
    <s v="November"/>
    <x v="35"/>
    <s v="Clothing and footwear"/>
    <n v="131.5"/>
    <x v="2"/>
  </r>
  <r>
    <s v="Rural"/>
    <n v="2015"/>
    <s v="November"/>
    <x v="35"/>
    <s v="Fuel and light"/>
    <n v="125.6"/>
    <x v="3"/>
  </r>
  <r>
    <s v="Rural"/>
    <n v="2015"/>
    <s v="November"/>
    <x v="35"/>
    <s v="Household goods and services"/>
    <n v="125.6"/>
    <x v="4"/>
  </r>
  <r>
    <s v="Rural"/>
    <n v="2015"/>
    <s v="November"/>
    <x v="35"/>
    <s v="Health"/>
    <n v="122.6"/>
    <x v="5"/>
  </r>
  <r>
    <s v="Rural"/>
    <n v="2015"/>
    <s v="November"/>
    <x v="35"/>
    <s v="Transport and communication"/>
    <n v="114"/>
    <x v="6"/>
  </r>
  <r>
    <s v="Rural"/>
    <n v="2015"/>
    <s v="November"/>
    <x v="35"/>
    <s v="Recreation and amusement"/>
    <n v="120.9"/>
    <x v="1"/>
  </r>
  <r>
    <s v="Rural"/>
    <n v="2015"/>
    <s v="November"/>
    <x v="35"/>
    <s v="Education"/>
    <n v="125.8"/>
    <x v="7"/>
  </r>
  <r>
    <s v="Rural"/>
    <n v="2015"/>
    <s v="November"/>
    <x v="35"/>
    <s v="Personal care and effects"/>
    <n v="114.2"/>
    <x v="4"/>
  </r>
  <r>
    <s v="Rural"/>
    <n v="2015"/>
    <s v="November"/>
    <x v="35"/>
    <s v="Miscellaneous"/>
    <n v="119.6"/>
    <x v="8"/>
  </r>
  <r>
    <s v="Rural"/>
    <n v="2015"/>
    <s v="November"/>
    <x v="35"/>
    <s v="General index"/>
    <n v="128.30000000000001"/>
    <x v="9"/>
  </r>
  <r>
    <s v="Urban"/>
    <n v="2015"/>
    <s v="November"/>
    <x v="35"/>
    <s v="Cereals and products"/>
    <n v="124"/>
    <x v="0"/>
  </r>
  <r>
    <s v="Urban"/>
    <n v="2015"/>
    <s v="November"/>
    <x v="35"/>
    <s v="Meat and fish"/>
    <n v="129.80000000000001"/>
    <x v="0"/>
  </r>
  <r>
    <s v="Urban"/>
    <n v="2015"/>
    <s v="November"/>
    <x v="35"/>
    <s v="Egg"/>
    <n v="121.5"/>
    <x v="0"/>
  </r>
  <r>
    <s v="Urban"/>
    <n v="2015"/>
    <s v="November"/>
    <x v="35"/>
    <s v="Milk and products"/>
    <n v="128.6"/>
    <x v="0"/>
  </r>
  <r>
    <s v="Urban"/>
    <n v="2015"/>
    <s v="November"/>
    <x v="35"/>
    <s v="Oils and fats"/>
    <n v="110"/>
    <x v="0"/>
  </r>
  <r>
    <s v="Urban"/>
    <n v="2015"/>
    <s v="November"/>
    <x v="35"/>
    <s v="Fruits"/>
    <n v="123.7"/>
    <x v="0"/>
  </r>
  <r>
    <s v="Urban"/>
    <n v="2015"/>
    <s v="November"/>
    <x v="35"/>
    <s v="Vegetables"/>
    <n v="164.6"/>
    <x v="0"/>
  </r>
  <r>
    <s v="Urban"/>
    <n v="2015"/>
    <s v="November"/>
    <x v="35"/>
    <s v="Pulses and products"/>
    <n v="191.6"/>
    <x v="0"/>
  </r>
  <r>
    <s v="Urban"/>
    <n v="2015"/>
    <s v="November"/>
    <x v="35"/>
    <s v="Sugar and Confectionery"/>
    <n v="90.8"/>
    <x v="0"/>
  </r>
  <r>
    <s v="Urban"/>
    <n v="2015"/>
    <s v="November"/>
    <x v="35"/>
    <s v="Spices"/>
    <n v="137.1"/>
    <x v="0"/>
  </r>
  <r>
    <s v="Urban"/>
    <n v="2015"/>
    <s v="November"/>
    <x v="35"/>
    <s v="Non-alcoholic beverages"/>
    <n v="119.8"/>
    <x v="0"/>
  </r>
  <r>
    <s v="Urban"/>
    <n v="2015"/>
    <s v="November"/>
    <x v="35"/>
    <s v="Prepared meals, snacks, sweets etc."/>
    <n v="133.69999999999999"/>
    <x v="0"/>
  </r>
  <r>
    <s v="Urban"/>
    <n v="2015"/>
    <s v="November"/>
    <x v="35"/>
    <s v="Food and beverages"/>
    <n v="133.30000000000001"/>
    <x v="0"/>
  </r>
  <r>
    <s v="Urban"/>
    <n v="2015"/>
    <s v="November"/>
    <x v="35"/>
    <s v="Pan, tobacco and intoxicants"/>
    <n v="137.6"/>
    <x v="1"/>
  </r>
  <r>
    <s v="Urban"/>
    <n v="2015"/>
    <s v="November"/>
    <x v="35"/>
    <s v="Clothing"/>
    <n v="125"/>
    <x v="2"/>
  </r>
  <r>
    <s v="Urban"/>
    <n v="2015"/>
    <s v="November"/>
    <x v="35"/>
    <s v="Footwear"/>
    <n v="119.3"/>
    <x v="2"/>
  </r>
  <r>
    <s v="Urban"/>
    <n v="2015"/>
    <s v="November"/>
    <x v="35"/>
    <s v="Clothing and footwear"/>
    <n v="124.2"/>
    <x v="2"/>
  </r>
  <r>
    <s v="Urban"/>
    <n v="2015"/>
    <s v="November"/>
    <x v="35"/>
    <s v="Housing"/>
    <n v="122.9"/>
    <x v="10"/>
  </r>
  <r>
    <s v="Urban"/>
    <n v="2015"/>
    <s v="November"/>
    <x v="35"/>
    <s v="Fuel and light"/>
    <n v="115.1"/>
    <x v="3"/>
  </r>
  <r>
    <s v="Urban"/>
    <n v="2015"/>
    <s v="November"/>
    <x v="35"/>
    <s v="Household goods and services"/>
    <n v="121"/>
    <x v="4"/>
  </r>
  <r>
    <s v="Urban"/>
    <n v="2015"/>
    <s v="November"/>
    <x v="35"/>
    <s v="Health"/>
    <n v="118.1"/>
    <x v="5"/>
  </r>
  <r>
    <s v="Urban"/>
    <n v="2015"/>
    <s v="November"/>
    <x v="35"/>
    <s v="Transport and communication"/>
    <n v="109.3"/>
    <x v="6"/>
  </r>
  <r>
    <s v="Urban"/>
    <n v="2015"/>
    <s v="November"/>
    <x v="35"/>
    <s v="Recreation and amusement"/>
    <n v="117.9"/>
    <x v="1"/>
  </r>
  <r>
    <s v="Urban"/>
    <n v="2015"/>
    <s v="November"/>
    <x v="35"/>
    <s v="Education"/>
    <n v="126.6"/>
    <x v="7"/>
  </r>
  <r>
    <s v="Urban"/>
    <n v="2015"/>
    <s v="November"/>
    <x v="35"/>
    <s v="Personal care and effects"/>
    <n v="113.3"/>
    <x v="4"/>
  </r>
  <r>
    <s v="Urban"/>
    <n v="2015"/>
    <s v="November"/>
    <x v="35"/>
    <s v="Miscellaneous"/>
    <n v="116.6"/>
    <x v="8"/>
  </r>
  <r>
    <s v="Urban"/>
    <n v="2015"/>
    <s v="November"/>
    <x v="35"/>
    <s v="General index"/>
    <n v="124.6"/>
    <x v="9"/>
  </r>
  <r>
    <s v="Rural+Urban"/>
    <n v="2015"/>
    <s v="November"/>
    <x v="35"/>
    <s v="Cereals and products"/>
    <n v="125.4"/>
    <x v="0"/>
  </r>
  <r>
    <s v="Rural+Urban"/>
    <n v="2015"/>
    <s v="November"/>
    <x v="35"/>
    <s v="Meat and fish"/>
    <n v="130.30000000000001"/>
    <x v="0"/>
  </r>
  <r>
    <s v="Rural+Urban"/>
    <n v="2015"/>
    <s v="November"/>
    <x v="35"/>
    <s v="Egg"/>
    <n v="121.6"/>
    <x v="0"/>
  </r>
  <r>
    <s v="Rural+Urban"/>
    <n v="2015"/>
    <s v="November"/>
    <x v="35"/>
    <s v="Milk and products"/>
    <n v="129.19999999999999"/>
    <x v="0"/>
  </r>
  <r>
    <s v="Rural+Urban"/>
    <n v="2015"/>
    <s v="November"/>
    <x v="35"/>
    <s v="Oils and fats"/>
    <n v="114.9"/>
    <x v="0"/>
  </r>
  <r>
    <s v="Rural+Urban"/>
    <n v="2015"/>
    <s v="November"/>
    <x v="35"/>
    <s v="Fruits"/>
    <n v="128.19999999999999"/>
    <x v="0"/>
  </r>
  <r>
    <s v="Rural+Urban"/>
    <n v="2015"/>
    <s v="November"/>
    <x v="35"/>
    <s v="Vegetables"/>
    <n v="158.4"/>
    <x v="0"/>
  </r>
  <r>
    <s v="Rural+Urban"/>
    <n v="2015"/>
    <s v="November"/>
    <x v="35"/>
    <s v="Pulses and products"/>
    <n v="171.2"/>
    <x v="0"/>
  </r>
  <r>
    <s v="Rural+Urban"/>
    <n v="2015"/>
    <s v="November"/>
    <x v="35"/>
    <s v="Sugar and Confectionery"/>
    <n v="93.3"/>
    <x v="0"/>
  </r>
  <r>
    <s v="Rural+Urban"/>
    <n v="2015"/>
    <s v="November"/>
    <x v="35"/>
    <s v="Spices"/>
    <n v="131.19999999999999"/>
    <x v="0"/>
  </r>
  <r>
    <s v="Rural+Urban"/>
    <n v="2015"/>
    <s v="November"/>
    <x v="35"/>
    <s v="Non-alcoholic beverages"/>
    <n v="121.7"/>
    <x v="0"/>
  </r>
  <r>
    <s v="Rural+Urban"/>
    <n v="2015"/>
    <s v="November"/>
    <x v="35"/>
    <s v="Prepared meals, snacks, sweets etc."/>
    <n v="134"/>
    <x v="0"/>
  </r>
  <r>
    <s v="Rural+Urban"/>
    <n v="2015"/>
    <s v="November"/>
    <x v="35"/>
    <s v="Food and beverages"/>
    <n v="132.69999999999999"/>
    <x v="0"/>
  </r>
  <r>
    <s v="Rural+Urban"/>
    <n v="2015"/>
    <s v="November"/>
    <x v="35"/>
    <s v="Pan, tobacco and intoxicants"/>
    <n v="133.6"/>
    <x v="1"/>
  </r>
  <r>
    <s v="Rural+Urban"/>
    <n v="2015"/>
    <s v="November"/>
    <x v="35"/>
    <s v="Clothing"/>
    <n v="129.30000000000001"/>
    <x v="2"/>
  </r>
  <r>
    <s v="Rural+Urban"/>
    <n v="2015"/>
    <s v="November"/>
    <x v="35"/>
    <s v="Footwear"/>
    <n v="124.5"/>
    <x v="2"/>
  </r>
  <r>
    <s v="Rural+Urban"/>
    <n v="2015"/>
    <s v="November"/>
    <x v="35"/>
    <s v="Clothing and footwear"/>
    <n v="128.6"/>
    <x v="2"/>
  </r>
  <r>
    <s v="Rural+Urban"/>
    <n v="2015"/>
    <s v="November"/>
    <x v="35"/>
    <s v="Housing"/>
    <n v="122.9"/>
    <x v="10"/>
  </r>
  <r>
    <s v="Rural+Urban"/>
    <n v="2015"/>
    <s v="November"/>
    <x v="35"/>
    <s v="Fuel and light"/>
    <n v="121.6"/>
    <x v="3"/>
  </r>
  <r>
    <s v="Rural+Urban"/>
    <n v="2015"/>
    <s v="November"/>
    <x v="35"/>
    <s v="Household goods and services"/>
    <n v="123.4"/>
    <x v="4"/>
  </r>
  <r>
    <s v="Rural+Urban"/>
    <n v="2015"/>
    <s v="November"/>
    <x v="35"/>
    <s v="Health"/>
    <n v="120.9"/>
    <x v="5"/>
  </r>
  <r>
    <s v="Rural+Urban"/>
    <n v="2015"/>
    <s v="November"/>
    <x v="35"/>
    <s v="Transport and communication"/>
    <n v="111.5"/>
    <x v="6"/>
  </r>
  <r>
    <s v="Rural+Urban"/>
    <n v="2015"/>
    <s v="November"/>
    <x v="35"/>
    <s v="Recreation and amusement"/>
    <n v="119.2"/>
    <x v="1"/>
  </r>
  <r>
    <s v="Rural+Urban"/>
    <n v="2015"/>
    <s v="November"/>
    <x v="35"/>
    <s v="Education"/>
    <n v="126.3"/>
    <x v="7"/>
  </r>
  <r>
    <s v="Rural+Urban"/>
    <n v="2015"/>
    <s v="November"/>
    <x v="35"/>
    <s v="Personal care and effects"/>
    <n v="113.8"/>
    <x v="4"/>
  </r>
  <r>
    <s v="Rural+Urban"/>
    <n v="2015"/>
    <s v="November"/>
    <x v="35"/>
    <s v="Miscellaneous"/>
    <n v="118.1"/>
    <x v="8"/>
  </r>
  <r>
    <s v="Rural+Urban"/>
    <n v="2015"/>
    <s v="November"/>
    <x v="35"/>
    <s v="General index"/>
    <n v="126.6"/>
    <x v="9"/>
  </r>
  <r>
    <s v="Rural"/>
    <n v="2015"/>
    <s v="December"/>
    <x v="36"/>
    <s v="Cereals and products"/>
    <n v="126.3"/>
    <x v="0"/>
  </r>
  <r>
    <s v="Rural"/>
    <n v="2015"/>
    <s v="December"/>
    <x v="36"/>
    <s v="Meat and fish"/>
    <n v="131.30000000000001"/>
    <x v="0"/>
  </r>
  <r>
    <s v="Rural"/>
    <n v="2015"/>
    <s v="December"/>
    <x v="36"/>
    <s v="Egg"/>
    <n v="123.3"/>
    <x v="0"/>
  </r>
  <r>
    <s v="Rural"/>
    <n v="2015"/>
    <s v="December"/>
    <x v="36"/>
    <s v="Milk and products"/>
    <n v="129.80000000000001"/>
    <x v="0"/>
  </r>
  <r>
    <s v="Rural"/>
    <n v="2015"/>
    <s v="December"/>
    <x v="36"/>
    <s v="Oils and fats"/>
    <n v="118.3"/>
    <x v="0"/>
  </r>
  <r>
    <s v="Rural"/>
    <n v="2015"/>
    <s v="December"/>
    <x v="36"/>
    <s v="Fruits"/>
    <n v="131.6"/>
    <x v="0"/>
  </r>
  <r>
    <s v="Rural"/>
    <n v="2015"/>
    <s v="December"/>
    <x v="36"/>
    <s v="Vegetables"/>
    <n v="145.5"/>
    <x v="0"/>
  </r>
  <r>
    <s v="Rural"/>
    <n v="2015"/>
    <s v="December"/>
    <x v="36"/>
    <s v="Pulses and products"/>
    <n v="162.1"/>
    <x v="0"/>
  </r>
  <r>
    <s v="Rural"/>
    <n v="2015"/>
    <s v="December"/>
    <x v="36"/>
    <s v="Sugar and Confectionery"/>
    <n v="95.4"/>
    <x v="0"/>
  </r>
  <r>
    <s v="Rural"/>
    <n v="2015"/>
    <s v="December"/>
    <x v="36"/>
    <s v="Spices"/>
    <n v="128.9"/>
    <x v="0"/>
  </r>
  <r>
    <s v="Rural"/>
    <n v="2015"/>
    <s v="December"/>
    <x v="36"/>
    <s v="Non-alcoholic beverages"/>
    <n v="123.3"/>
    <x v="0"/>
  </r>
  <r>
    <s v="Rural"/>
    <n v="2015"/>
    <s v="December"/>
    <x v="36"/>
    <s v="Prepared meals, snacks, sweets etc."/>
    <n v="135.1"/>
    <x v="0"/>
  </r>
  <r>
    <s v="Rural"/>
    <n v="2015"/>
    <s v="December"/>
    <x v="36"/>
    <s v="Food and beverages"/>
    <n v="131.4"/>
    <x v="0"/>
  </r>
  <r>
    <s v="Rural"/>
    <n v="2015"/>
    <s v="December"/>
    <x v="36"/>
    <s v="Pan, tobacco and intoxicants"/>
    <n v="133.1"/>
    <x v="1"/>
  </r>
  <r>
    <s v="Rural"/>
    <n v="2015"/>
    <s v="December"/>
    <x v="36"/>
    <s v="Clothing"/>
    <n v="132.5"/>
    <x v="2"/>
  </r>
  <r>
    <s v="Rural"/>
    <n v="2015"/>
    <s v="December"/>
    <x v="36"/>
    <s v="Footwear"/>
    <n v="128.5"/>
    <x v="2"/>
  </r>
  <r>
    <s v="Rural"/>
    <n v="2015"/>
    <s v="December"/>
    <x v="36"/>
    <s v="Clothing and footwear"/>
    <n v="131.9"/>
    <x v="2"/>
  </r>
  <r>
    <s v="Rural"/>
    <n v="2015"/>
    <s v="December"/>
    <x v="36"/>
    <s v="Fuel and light"/>
    <n v="125.7"/>
    <x v="3"/>
  </r>
  <r>
    <s v="Rural"/>
    <n v="2015"/>
    <s v="December"/>
    <x v="36"/>
    <s v="Household goods and services"/>
    <n v="126"/>
    <x v="4"/>
  </r>
  <r>
    <s v="Rural"/>
    <n v="2015"/>
    <s v="December"/>
    <x v="36"/>
    <s v="Health"/>
    <n v="123.1"/>
    <x v="5"/>
  </r>
  <r>
    <s v="Rural"/>
    <n v="2015"/>
    <s v="December"/>
    <x v="36"/>
    <s v="Transport and communication"/>
    <n v="114"/>
    <x v="6"/>
  </r>
  <r>
    <s v="Rural"/>
    <n v="2015"/>
    <s v="December"/>
    <x v="36"/>
    <s v="Recreation and amusement"/>
    <n v="121.6"/>
    <x v="1"/>
  </r>
  <r>
    <s v="Rural"/>
    <n v="2015"/>
    <s v="December"/>
    <x v="36"/>
    <s v="Education"/>
    <n v="125.6"/>
    <x v="7"/>
  </r>
  <r>
    <s v="Rural"/>
    <n v="2015"/>
    <s v="December"/>
    <x v="36"/>
    <s v="Personal care and effects"/>
    <n v="114.1"/>
    <x v="4"/>
  </r>
  <r>
    <s v="Rural"/>
    <n v="2015"/>
    <s v="December"/>
    <x v="36"/>
    <s v="Miscellaneous"/>
    <n v="119.8"/>
    <x v="8"/>
  </r>
  <r>
    <s v="Rural"/>
    <n v="2015"/>
    <s v="December"/>
    <x v="36"/>
    <s v="General index"/>
    <n v="127.9"/>
    <x v="9"/>
  </r>
  <r>
    <s v="Urban"/>
    <n v="2015"/>
    <s v="December"/>
    <x v="36"/>
    <s v="Cereals and products"/>
    <n v="124.3"/>
    <x v="0"/>
  </r>
  <r>
    <s v="Urban"/>
    <n v="2015"/>
    <s v="December"/>
    <x v="36"/>
    <s v="Meat and fish"/>
    <n v="131.69999999999999"/>
    <x v="0"/>
  </r>
  <r>
    <s v="Urban"/>
    <n v="2015"/>
    <s v="December"/>
    <x v="36"/>
    <s v="Egg"/>
    <n v="127.1"/>
    <x v="0"/>
  </r>
  <r>
    <s v="Urban"/>
    <n v="2015"/>
    <s v="December"/>
    <x v="36"/>
    <s v="Milk and products"/>
    <n v="128.6"/>
    <x v="0"/>
  </r>
  <r>
    <s v="Urban"/>
    <n v="2015"/>
    <s v="December"/>
    <x v="36"/>
    <s v="Oils and fats"/>
    <n v="110"/>
    <x v="0"/>
  </r>
  <r>
    <s v="Urban"/>
    <n v="2015"/>
    <s v="December"/>
    <x v="36"/>
    <s v="Fruits"/>
    <n v="120.8"/>
    <x v="0"/>
  </r>
  <r>
    <s v="Urban"/>
    <n v="2015"/>
    <s v="December"/>
    <x v="36"/>
    <s v="Vegetables"/>
    <n v="149"/>
    <x v="0"/>
  </r>
  <r>
    <s v="Urban"/>
    <n v="2015"/>
    <s v="December"/>
    <x v="36"/>
    <s v="Pulses and products"/>
    <n v="190.1"/>
    <x v="0"/>
  </r>
  <r>
    <s v="Urban"/>
    <n v="2015"/>
    <s v="December"/>
    <x v="36"/>
    <s v="Sugar and Confectionery"/>
    <n v="92.7"/>
    <x v="0"/>
  </r>
  <r>
    <s v="Urban"/>
    <n v="2015"/>
    <s v="December"/>
    <x v="36"/>
    <s v="Spices"/>
    <n v="138.6"/>
    <x v="0"/>
  </r>
  <r>
    <s v="Urban"/>
    <n v="2015"/>
    <s v="December"/>
    <x v="36"/>
    <s v="Non-alcoholic beverages"/>
    <n v="120.2"/>
    <x v="0"/>
  </r>
  <r>
    <s v="Urban"/>
    <n v="2015"/>
    <s v="December"/>
    <x v="36"/>
    <s v="Prepared meals, snacks, sweets etc."/>
    <n v="134.19999999999999"/>
    <x v="0"/>
  </r>
  <r>
    <s v="Urban"/>
    <n v="2015"/>
    <s v="December"/>
    <x v="36"/>
    <s v="Food and beverages"/>
    <n v="131.5"/>
    <x v="0"/>
  </r>
  <r>
    <s v="Urban"/>
    <n v="2015"/>
    <s v="December"/>
    <x v="36"/>
    <s v="Pan, tobacco and intoxicants"/>
    <n v="138.19999999999999"/>
    <x v="1"/>
  </r>
  <r>
    <s v="Urban"/>
    <n v="2015"/>
    <s v="December"/>
    <x v="36"/>
    <s v="Clothing"/>
    <n v="125.4"/>
    <x v="2"/>
  </r>
  <r>
    <s v="Urban"/>
    <n v="2015"/>
    <s v="December"/>
    <x v="36"/>
    <s v="Footwear"/>
    <n v="119.5"/>
    <x v="2"/>
  </r>
  <r>
    <s v="Urban"/>
    <n v="2015"/>
    <s v="December"/>
    <x v="36"/>
    <s v="Clothing and footwear"/>
    <n v="124.5"/>
    <x v="2"/>
  </r>
  <r>
    <s v="Urban"/>
    <n v="2015"/>
    <s v="December"/>
    <x v="36"/>
    <s v="Housing"/>
    <n v="122.4"/>
    <x v="10"/>
  </r>
  <r>
    <s v="Urban"/>
    <n v="2015"/>
    <s v="December"/>
    <x v="36"/>
    <s v="Fuel and light"/>
    <n v="116"/>
    <x v="3"/>
  </r>
  <r>
    <s v="Urban"/>
    <n v="2015"/>
    <s v="December"/>
    <x v="36"/>
    <s v="Household goods and services"/>
    <n v="121"/>
    <x v="4"/>
  </r>
  <r>
    <s v="Urban"/>
    <n v="2015"/>
    <s v="December"/>
    <x v="36"/>
    <s v="Health"/>
    <n v="118.6"/>
    <x v="5"/>
  </r>
  <r>
    <s v="Urban"/>
    <n v="2015"/>
    <s v="December"/>
    <x v="36"/>
    <s v="Transport and communication"/>
    <n v="109.3"/>
    <x v="6"/>
  </r>
  <r>
    <s v="Urban"/>
    <n v="2015"/>
    <s v="December"/>
    <x v="36"/>
    <s v="Recreation and amusement"/>
    <n v="118.1"/>
    <x v="1"/>
  </r>
  <r>
    <s v="Urban"/>
    <n v="2015"/>
    <s v="December"/>
    <x v="36"/>
    <s v="Education"/>
    <n v="126.6"/>
    <x v="7"/>
  </r>
  <r>
    <s v="Urban"/>
    <n v="2015"/>
    <s v="December"/>
    <x v="36"/>
    <s v="Personal care and effects"/>
    <n v="113.2"/>
    <x v="4"/>
  </r>
  <r>
    <s v="Urban"/>
    <n v="2015"/>
    <s v="December"/>
    <x v="36"/>
    <s v="Miscellaneous"/>
    <n v="116.7"/>
    <x v="8"/>
  </r>
  <r>
    <s v="Urban"/>
    <n v="2015"/>
    <s v="December"/>
    <x v="36"/>
    <s v="General index"/>
    <n v="124"/>
    <x v="9"/>
  </r>
  <r>
    <s v="Rural+Urban"/>
    <n v="2015"/>
    <s v="December"/>
    <x v="36"/>
    <s v="Cereals and products"/>
    <n v="125.7"/>
    <x v="0"/>
  </r>
  <r>
    <s v="Rural+Urban"/>
    <n v="2015"/>
    <s v="December"/>
    <x v="36"/>
    <s v="Meat and fish"/>
    <n v="131.4"/>
    <x v="0"/>
  </r>
  <r>
    <s v="Rural+Urban"/>
    <n v="2015"/>
    <s v="December"/>
    <x v="36"/>
    <s v="Egg"/>
    <n v="124.8"/>
    <x v="0"/>
  </r>
  <r>
    <s v="Rural+Urban"/>
    <n v="2015"/>
    <s v="December"/>
    <x v="36"/>
    <s v="Milk and products"/>
    <n v="129.4"/>
    <x v="0"/>
  </r>
  <r>
    <s v="Rural+Urban"/>
    <n v="2015"/>
    <s v="December"/>
    <x v="36"/>
    <s v="Oils and fats"/>
    <n v="115.3"/>
    <x v="0"/>
  </r>
  <r>
    <s v="Rural+Urban"/>
    <n v="2015"/>
    <s v="December"/>
    <x v="36"/>
    <s v="Fruits"/>
    <n v="126.6"/>
    <x v="0"/>
  </r>
  <r>
    <s v="Rural+Urban"/>
    <n v="2015"/>
    <s v="December"/>
    <x v="36"/>
    <s v="Vegetables"/>
    <n v="146.69999999999999"/>
    <x v="0"/>
  </r>
  <r>
    <s v="Rural+Urban"/>
    <n v="2015"/>
    <s v="December"/>
    <x v="36"/>
    <s v="Pulses and products"/>
    <n v="171.5"/>
    <x v="0"/>
  </r>
  <r>
    <s v="Rural+Urban"/>
    <n v="2015"/>
    <s v="December"/>
    <x v="36"/>
    <s v="Sugar and Confectionery"/>
    <n v="94.5"/>
    <x v="0"/>
  </r>
  <r>
    <s v="Rural+Urban"/>
    <n v="2015"/>
    <s v="December"/>
    <x v="36"/>
    <s v="Spices"/>
    <n v="132.1"/>
    <x v="0"/>
  </r>
  <r>
    <s v="Rural+Urban"/>
    <n v="2015"/>
    <s v="December"/>
    <x v="36"/>
    <s v="Non-alcoholic beverages"/>
    <n v="122"/>
    <x v="0"/>
  </r>
  <r>
    <s v="Rural+Urban"/>
    <n v="2015"/>
    <s v="December"/>
    <x v="36"/>
    <s v="Prepared meals, snacks, sweets etc."/>
    <n v="134.69999999999999"/>
    <x v="0"/>
  </r>
  <r>
    <s v="Rural+Urban"/>
    <n v="2015"/>
    <s v="December"/>
    <x v="36"/>
    <s v="Food and beverages"/>
    <n v="131.4"/>
    <x v="0"/>
  </r>
  <r>
    <s v="Rural+Urban"/>
    <n v="2015"/>
    <s v="December"/>
    <x v="36"/>
    <s v="Pan, tobacco and intoxicants"/>
    <n v="134.5"/>
    <x v="1"/>
  </r>
  <r>
    <s v="Rural+Urban"/>
    <n v="2015"/>
    <s v="December"/>
    <x v="36"/>
    <s v="Clothing"/>
    <n v="129.69999999999999"/>
    <x v="2"/>
  </r>
  <r>
    <s v="Rural+Urban"/>
    <n v="2015"/>
    <s v="December"/>
    <x v="36"/>
    <s v="Footwear"/>
    <n v="124.8"/>
    <x v="2"/>
  </r>
  <r>
    <s v="Rural+Urban"/>
    <n v="2015"/>
    <s v="December"/>
    <x v="36"/>
    <s v="Clothing and footwear"/>
    <n v="129"/>
    <x v="2"/>
  </r>
  <r>
    <s v="Rural+Urban"/>
    <n v="2015"/>
    <s v="December"/>
    <x v="36"/>
    <s v="Housing"/>
    <n v="122.4"/>
    <x v="10"/>
  </r>
  <r>
    <s v="Rural+Urban"/>
    <n v="2015"/>
    <s v="December"/>
    <x v="36"/>
    <s v="Fuel and light"/>
    <n v="122"/>
    <x v="3"/>
  </r>
  <r>
    <s v="Rural+Urban"/>
    <n v="2015"/>
    <s v="December"/>
    <x v="36"/>
    <s v="Household goods and services"/>
    <n v="123.6"/>
    <x v="4"/>
  </r>
  <r>
    <s v="Rural+Urban"/>
    <n v="2015"/>
    <s v="December"/>
    <x v="36"/>
    <s v="Health"/>
    <n v="121.4"/>
    <x v="5"/>
  </r>
  <r>
    <s v="Rural+Urban"/>
    <n v="2015"/>
    <s v="December"/>
    <x v="36"/>
    <s v="Transport and communication"/>
    <n v="111.5"/>
    <x v="6"/>
  </r>
  <r>
    <s v="Rural+Urban"/>
    <n v="2015"/>
    <s v="December"/>
    <x v="36"/>
    <s v="Recreation and amusement"/>
    <n v="119.6"/>
    <x v="1"/>
  </r>
  <r>
    <s v="Rural+Urban"/>
    <n v="2015"/>
    <s v="December"/>
    <x v="36"/>
    <s v="Education"/>
    <n v="126.2"/>
    <x v="7"/>
  </r>
  <r>
    <s v="Rural+Urban"/>
    <n v="2015"/>
    <s v="December"/>
    <x v="36"/>
    <s v="Personal care and effects"/>
    <n v="113.7"/>
    <x v="4"/>
  </r>
  <r>
    <s v="Rural+Urban"/>
    <n v="2015"/>
    <s v="December"/>
    <x v="36"/>
    <s v="Miscellaneous"/>
    <n v="118.3"/>
    <x v="8"/>
  </r>
  <r>
    <s v="Rural+Urban"/>
    <n v="2015"/>
    <s v="December"/>
    <x v="36"/>
    <s v="General index"/>
    <n v="126.1"/>
    <x v="9"/>
  </r>
  <r>
    <s v="Rural"/>
    <n v="2016"/>
    <s v="January"/>
    <x v="37"/>
    <s v="Cereals and products"/>
    <n v="126.8"/>
    <x v="0"/>
  </r>
  <r>
    <s v="Rural"/>
    <n v="2016"/>
    <s v="January"/>
    <x v="37"/>
    <s v="Meat and fish"/>
    <n v="133.19999999999999"/>
    <x v="0"/>
  </r>
  <r>
    <s v="Rural"/>
    <n v="2016"/>
    <s v="January"/>
    <x v="37"/>
    <s v="Egg"/>
    <n v="126.5"/>
    <x v="0"/>
  </r>
  <r>
    <s v="Rural"/>
    <n v="2016"/>
    <s v="January"/>
    <x v="37"/>
    <s v="Milk and products"/>
    <n v="130.30000000000001"/>
    <x v="0"/>
  </r>
  <r>
    <s v="Rural"/>
    <n v="2016"/>
    <s v="January"/>
    <x v="37"/>
    <s v="Oils and fats"/>
    <n v="118.9"/>
    <x v="0"/>
  </r>
  <r>
    <s v="Rural"/>
    <n v="2016"/>
    <s v="January"/>
    <x v="37"/>
    <s v="Fruits"/>
    <n v="131.6"/>
    <x v="0"/>
  </r>
  <r>
    <s v="Rural"/>
    <n v="2016"/>
    <s v="January"/>
    <x v="37"/>
    <s v="Vegetables"/>
    <n v="140.1"/>
    <x v="0"/>
  </r>
  <r>
    <s v="Rural"/>
    <n v="2016"/>
    <s v="January"/>
    <x v="37"/>
    <s v="Pulses and products"/>
    <n v="163.80000000000001"/>
    <x v="0"/>
  </r>
  <r>
    <s v="Rural"/>
    <n v="2016"/>
    <s v="January"/>
    <x v="37"/>
    <s v="Sugar and Confectionery"/>
    <n v="97.7"/>
    <x v="0"/>
  </r>
  <r>
    <s v="Rural"/>
    <n v="2016"/>
    <s v="January"/>
    <x v="37"/>
    <s v="Spices"/>
    <n v="129.6"/>
    <x v="0"/>
  </r>
  <r>
    <s v="Rural"/>
    <n v="2016"/>
    <s v="January"/>
    <x v="37"/>
    <s v="Non-alcoholic beverages"/>
    <n v="124.3"/>
    <x v="0"/>
  </r>
  <r>
    <s v="Rural"/>
    <n v="2016"/>
    <s v="January"/>
    <x v="37"/>
    <s v="Prepared meals, snacks, sweets etc."/>
    <n v="135.9"/>
    <x v="0"/>
  </r>
  <r>
    <s v="Rural"/>
    <n v="2016"/>
    <s v="January"/>
    <x v="37"/>
    <s v="Food and beverages"/>
    <n v="131.4"/>
    <x v="0"/>
  </r>
  <r>
    <s v="Rural"/>
    <n v="2016"/>
    <s v="January"/>
    <x v="37"/>
    <s v="Pan, tobacco and intoxicants"/>
    <n v="133.6"/>
    <x v="1"/>
  </r>
  <r>
    <s v="Rural"/>
    <n v="2016"/>
    <s v="January"/>
    <x v="37"/>
    <s v="Clothing"/>
    <n v="133.19999999999999"/>
    <x v="2"/>
  </r>
  <r>
    <s v="Rural"/>
    <n v="2016"/>
    <s v="January"/>
    <x v="37"/>
    <s v="Footwear"/>
    <n v="128.9"/>
    <x v="2"/>
  </r>
  <r>
    <s v="Rural"/>
    <n v="2016"/>
    <s v="January"/>
    <x v="37"/>
    <s v="Clothing and footwear"/>
    <n v="132.6"/>
    <x v="2"/>
  </r>
  <r>
    <s v="Rural"/>
    <n v="2016"/>
    <s v="January"/>
    <x v="37"/>
    <s v="Fuel and light"/>
    <n v="126.2"/>
    <x v="3"/>
  </r>
  <r>
    <s v="Rural"/>
    <n v="2016"/>
    <s v="January"/>
    <x v="37"/>
    <s v="Household goods and services"/>
    <n v="126.6"/>
    <x v="4"/>
  </r>
  <r>
    <s v="Rural"/>
    <n v="2016"/>
    <s v="January"/>
    <x v="37"/>
    <s v="Health"/>
    <n v="123.7"/>
    <x v="5"/>
  </r>
  <r>
    <s v="Rural"/>
    <n v="2016"/>
    <s v="January"/>
    <x v="37"/>
    <s v="Transport and communication"/>
    <n v="113.6"/>
    <x v="6"/>
  </r>
  <r>
    <s v="Rural"/>
    <n v="2016"/>
    <s v="January"/>
    <x v="37"/>
    <s v="Recreation and amusement"/>
    <n v="121.4"/>
    <x v="1"/>
  </r>
  <r>
    <s v="Rural"/>
    <n v="2016"/>
    <s v="January"/>
    <x v="37"/>
    <s v="Education"/>
    <n v="126.2"/>
    <x v="7"/>
  </r>
  <r>
    <s v="Rural"/>
    <n v="2016"/>
    <s v="January"/>
    <x v="37"/>
    <s v="Personal care and effects"/>
    <n v="114.9"/>
    <x v="4"/>
  </r>
  <r>
    <s v="Rural"/>
    <n v="2016"/>
    <s v="January"/>
    <x v="37"/>
    <s v="Miscellaneous"/>
    <n v="120.1"/>
    <x v="8"/>
  </r>
  <r>
    <s v="Rural"/>
    <n v="2016"/>
    <s v="January"/>
    <x v="37"/>
    <s v="General index"/>
    <n v="128.1"/>
    <x v="9"/>
  </r>
  <r>
    <s v="Urban"/>
    <n v="2016"/>
    <s v="January"/>
    <x v="37"/>
    <s v="Cereals and products"/>
    <n v="124.7"/>
    <x v="0"/>
  </r>
  <r>
    <s v="Urban"/>
    <n v="2016"/>
    <s v="January"/>
    <x v="37"/>
    <s v="Meat and fish"/>
    <n v="135.9"/>
    <x v="0"/>
  </r>
  <r>
    <s v="Urban"/>
    <n v="2016"/>
    <s v="January"/>
    <x v="37"/>
    <s v="Egg"/>
    <n v="132"/>
    <x v="0"/>
  </r>
  <r>
    <s v="Urban"/>
    <n v="2016"/>
    <s v="January"/>
    <x v="37"/>
    <s v="Milk and products"/>
    <n v="129.19999999999999"/>
    <x v="0"/>
  </r>
  <r>
    <s v="Urban"/>
    <n v="2016"/>
    <s v="January"/>
    <x v="37"/>
    <s v="Oils and fats"/>
    <n v="109.7"/>
    <x v="0"/>
  </r>
  <r>
    <s v="Urban"/>
    <n v="2016"/>
    <s v="January"/>
    <x v="37"/>
    <s v="Fruits"/>
    <n v="119"/>
    <x v="0"/>
  </r>
  <r>
    <s v="Urban"/>
    <n v="2016"/>
    <s v="January"/>
    <x v="37"/>
    <s v="Vegetables"/>
    <n v="144.1"/>
    <x v="0"/>
  </r>
  <r>
    <s v="Urban"/>
    <n v="2016"/>
    <s v="January"/>
    <x v="37"/>
    <s v="Pulses and products"/>
    <n v="184.2"/>
    <x v="0"/>
  </r>
  <r>
    <s v="Urban"/>
    <n v="2016"/>
    <s v="January"/>
    <x v="37"/>
    <s v="Sugar and Confectionery"/>
    <n v="96.7"/>
    <x v="0"/>
  </r>
  <r>
    <s v="Urban"/>
    <n v="2016"/>
    <s v="January"/>
    <x v="37"/>
    <s v="Spices"/>
    <n v="139.5"/>
    <x v="0"/>
  </r>
  <r>
    <s v="Urban"/>
    <n v="2016"/>
    <s v="January"/>
    <x v="37"/>
    <s v="Non-alcoholic beverages"/>
    <n v="120.5"/>
    <x v="0"/>
  </r>
  <r>
    <s v="Urban"/>
    <n v="2016"/>
    <s v="January"/>
    <x v="37"/>
    <s v="Prepared meals, snacks, sweets etc."/>
    <n v="134.69999999999999"/>
    <x v="0"/>
  </r>
  <r>
    <s v="Urban"/>
    <n v="2016"/>
    <s v="January"/>
    <x v="37"/>
    <s v="Food and beverages"/>
    <n v="131.19999999999999"/>
    <x v="0"/>
  </r>
  <r>
    <s v="Urban"/>
    <n v="2016"/>
    <s v="January"/>
    <x v="37"/>
    <s v="Pan, tobacco and intoxicants"/>
    <n v="139.5"/>
    <x v="1"/>
  </r>
  <r>
    <s v="Urban"/>
    <n v="2016"/>
    <s v="January"/>
    <x v="37"/>
    <s v="Clothing"/>
    <n v="125.8"/>
    <x v="2"/>
  </r>
  <r>
    <s v="Urban"/>
    <n v="2016"/>
    <s v="January"/>
    <x v="37"/>
    <s v="Footwear"/>
    <n v="119.8"/>
    <x v="2"/>
  </r>
  <r>
    <s v="Urban"/>
    <n v="2016"/>
    <s v="January"/>
    <x v="37"/>
    <s v="Clothing and footwear"/>
    <n v="124.9"/>
    <x v="2"/>
  </r>
  <r>
    <s v="Urban"/>
    <n v="2016"/>
    <s v="January"/>
    <x v="37"/>
    <s v="Housing"/>
    <n v="123.4"/>
    <x v="10"/>
  </r>
  <r>
    <s v="Urban"/>
    <n v="2016"/>
    <s v="January"/>
    <x v="37"/>
    <s v="Fuel and light"/>
    <n v="116.9"/>
    <x v="3"/>
  </r>
  <r>
    <s v="Urban"/>
    <n v="2016"/>
    <s v="January"/>
    <x v="37"/>
    <s v="Household goods and services"/>
    <n v="121.6"/>
    <x v="4"/>
  </r>
  <r>
    <s v="Urban"/>
    <n v="2016"/>
    <s v="January"/>
    <x v="37"/>
    <s v="Health"/>
    <n v="119.1"/>
    <x v="5"/>
  </r>
  <r>
    <s v="Urban"/>
    <n v="2016"/>
    <s v="January"/>
    <x v="37"/>
    <s v="Transport and communication"/>
    <n v="108.9"/>
    <x v="6"/>
  </r>
  <r>
    <s v="Urban"/>
    <n v="2016"/>
    <s v="January"/>
    <x v="37"/>
    <s v="Recreation and amusement"/>
    <n v="118.5"/>
    <x v="1"/>
  </r>
  <r>
    <s v="Urban"/>
    <n v="2016"/>
    <s v="January"/>
    <x v="37"/>
    <s v="Education"/>
    <n v="126.4"/>
    <x v="7"/>
  </r>
  <r>
    <s v="Urban"/>
    <n v="2016"/>
    <s v="January"/>
    <x v="37"/>
    <s v="Personal care and effects"/>
    <n v="114"/>
    <x v="4"/>
  </r>
  <r>
    <s v="Urban"/>
    <n v="2016"/>
    <s v="January"/>
    <x v="37"/>
    <s v="Miscellaneous"/>
    <n v="116.8"/>
    <x v="8"/>
  </r>
  <r>
    <s v="Urban"/>
    <n v="2016"/>
    <s v="January"/>
    <x v="37"/>
    <s v="General index"/>
    <n v="124.2"/>
    <x v="9"/>
  </r>
  <r>
    <s v="Rural+Urban"/>
    <n v="2016"/>
    <s v="January"/>
    <x v="37"/>
    <s v="Cereals and products"/>
    <n v="126.1"/>
    <x v="0"/>
  </r>
  <r>
    <s v="Rural+Urban"/>
    <n v="2016"/>
    <s v="January"/>
    <x v="37"/>
    <s v="Meat and fish"/>
    <n v="134.1"/>
    <x v="0"/>
  </r>
  <r>
    <s v="Rural+Urban"/>
    <n v="2016"/>
    <s v="January"/>
    <x v="37"/>
    <s v="Egg"/>
    <n v="128.6"/>
    <x v="0"/>
  </r>
  <r>
    <s v="Rural+Urban"/>
    <n v="2016"/>
    <s v="January"/>
    <x v="37"/>
    <s v="Milk and products"/>
    <n v="129.9"/>
    <x v="0"/>
  </r>
  <r>
    <s v="Rural+Urban"/>
    <n v="2016"/>
    <s v="January"/>
    <x v="37"/>
    <s v="Oils and fats"/>
    <n v="115.5"/>
    <x v="0"/>
  </r>
  <r>
    <s v="Rural+Urban"/>
    <n v="2016"/>
    <s v="January"/>
    <x v="37"/>
    <s v="Fruits"/>
    <n v="125.7"/>
    <x v="0"/>
  </r>
  <r>
    <s v="Rural+Urban"/>
    <n v="2016"/>
    <s v="January"/>
    <x v="37"/>
    <s v="Vegetables"/>
    <n v="141.5"/>
    <x v="0"/>
  </r>
  <r>
    <s v="Rural+Urban"/>
    <n v="2016"/>
    <s v="January"/>
    <x v="37"/>
    <s v="Pulses and products"/>
    <n v="170.7"/>
    <x v="0"/>
  </r>
  <r>
    <s v="Rural+Urban"/>
    <n v="2016"/>
    <s v="January"/>
    <x v="37"/>
    <s v="Sugar and Confectionery"/>
    <n v="97.4"/>
    <x v="0"/>
  </r>
  <r>
    <s v="Rural+Urban"/>
    <n v="2016"/>
    <s v="January"/>
    <x v="37"/>
    <s v="Spices"/>
    <n v="132.9"/>
    <x v="0"/>
  </r>
  <r>
    <s v="Rural+Urban"/>
    <n v="2016"/>
    <s v="January"/>
    <x v="37"/>
    <s v="Non-alcoholic beverages"/>
    <n v="122.7"/>
    <x v="0"/>
  </r>
  <r>
    <s v="Rural+Urban"/>
    <n v="2016"/>
    <s v="January"/>
    <x v="37"/>
    <s v="Prepared meals, snacks, sweets etc."/>
    <n v="135.30000000000001"/>
    <x v="0"/>
  </r>
  <r>
    <s v="Rural+Urban"/>
    <n v="2016"/>
    <s v="January"/>
    <x v="37"/>
    <s v="Food and beverages"/>
    <n v="131.30000000000001"/>
    <x v="0"/>
  </r>
  <r>
    <s v="Rural+Urban"/>
    <n v="2016"/>
    <s v="January"/>
    <x v="37"/>
    <s v="Pan, tobacco and intoxicants"/>
    <n v="135.19999999999999"/>
    <x v="1"/>
  </r>
  <r>
    <s v="Rural+Urban"/>
    <n v="2016"/>
    <s v="January"/>
    <x v="37"/>
    <s v="Clothing"/>
    <n v="130.30000000000001"/>
    <x v="2"/>
  </r>
  <r>
    <s v="Rural+Urban"/>
    <n v="2016"/>
    <s v="January"/>
    <x v="37"/>
    <s v="Footwear"/>
    <n v="125.1"/>
    <x v="2"/>
  </r>
  <r>
    <s v="Rural+Urban"/>
    <n v="2016"/>
    <s v="January"/>
    <x v="37"/>
    <s v="Clothing and footwear"/>
    <n v="129.5"/>
    <x v="2"/>
  </r>
  <r>
    <s v="Rural+Urban"/>
    <n v="2016"/>
    <s v="January"/>
    <x v="37"/>
    <s v="Housing"/>
    <n v="123.4"/>
    <x v="10"/>
  </r>
  <r>
    <s v="Rural+Urban"/>
    <n v="2016"/>
    <s v="January"/>
    <x v="37"/>
    <s v="Fuel and light"/>
    <n v="122.7"/>
    <x v="3"/>
  </r>
  <r>
    <s v="Rural+Urban"/>
    <n v="2016"/>
    <s v="January"/>
    <x v="37"/>
    <s v="Household goods and services"/>
    <n v="124.2"/>
    <x v="4"/>
  </r>
  <r>
    <s v="Rural+Urban"/>
    <n v="2016"/>
    <s v="January"/>
    <x v="37"/>
    <s v="Health"/>
    <n v="122"/>
    <x v="5"/>
  </r>
  <r>
    <s v="Rural+Urban"/>
    <n v="2016"/>
    <s v="January"/>
    <x v="37"/>
    <s v="Transport and communication"/>
    <n v="111.1"/>
    <x v="6"/>
  </r>
  <r>
    <s v="Rural+Urban"/>
    <n v="2016"/>
    <s v="January"/>
    <x v="37"/>
    <s v="Recreation and amusement"/>
    <n v="119.8"/>
    <x v="1"/>
  </r>
  <r>
    <s v="Rural+Urban"/>
    <n v="2016"/>
    <s v="January"/>
    <x v="37"/>
    <s v="Education"/>
    <n v="126.3"/>
    <x v="7"/>
  </r>
  <r>
    <s v="Rural+Urban"/>
    <n v="2016"/>
    <s v="January"/>
    <x v="37"/>
    <s v="Personal care and effects"/>
    <n v="114.5"/>
    <x v="4"/>
  </r>
  <r>
    <s v="Rural+Urban"/>
    <n v="2016"/>
    <s v="January"/>
    <x v="37"/>
    <s v="Miscellaneous"/>
    <n v="118.5"/>
    <x v="8"/>
  </r>
  <r>
    <s v="Rural+Urban"/>
    <n v="2016"/>
    <s v="January"/>
    <x v="37"/>
    <s v="General index"/>
    <n v="126.3"/>
    <x v="9"/>
  </r>
  <r>
    <s v="Rural"/>
    <n v="2016"/>
    <s v="February"/>
    <x v="38"/>
    <s v="Cereals and products"/>
    <n v="127.1"/>
    <x v="0"/>
  </r>
  <r>
    <s v="Rural"/>
    <n v="2016"/>
    <s v="February"/>
    <x v="38"/>
    <s v="Meat and fish"/>
    <n v="133.69999999999999"/>
    <x v="0"/>
  </r>
  <r>
    <s v="Rural"/>
    <n v="2016"/>
    <s v="February"/>
    <x v="38"/>
    <s v="Egg"/>
    <n v="127.7"/>
    <x v="0"/>
  </r>
  <r>
    <s v="Rural"/>
    <n v="2016"/>
    <s v="February"/>
    <x v="38"/>
    <s v="Milk and products"/>
    <n v="130.69999999999999"/>
    <x v="0"/>
  </r>
  <r>
    <s v="Rural"/>
    <n v="2016"/>
    <s v="February"/>
    <x v="38"/>
    <s v="Oils and fats"/>
    <n v="118.5"/>
    <x v="0"/>
  </r>
  <r>
    <s v="Rural"/>
    <n v="2016"/>
    <s v="February"/>
    <x v="38"/>
    <s v="Fruits"/>
    <n v="130.4"/>
    <x v="0"/>
  </r>
  <r>
    <s v="Rural"/>
    <n v="2016"/>
    <s v="February"/>
    <x v="38"/>
    <s v="Vegetables"/>
    <n v="130.9"/>
    <x v="0"/>
  </r>
  <r>
    <s v="Rural"/>
    <n v="2016"/>
    <s v="February"/>
    <x v="38"/>
    <s v="Pulses and products"/>
    <n v="162.80000000000001"/>
    <x v="0"/>
  </r>
  <r>
    <s v="Rural"/>
    <n v="2016"/>
    <s v="February"/>
    <x v="38"/>
    <s v="Sugar and Confectionery"/>
    <n v="98.7"/>
    <x v="0"/>
  </r>
  <r>
    <s v="Rural"/>
    <n v="2016"/>
    <s v="February"/>
    <x v="38"/>
    <s v="Spices"/>
    <n v="130.6"/>
    <x v="0"/>
  </r>
  <r>
    <s v="Rural"/>
    <n v="2016"/>
    <s v="February"/>
    <x v="38"/>
    <s v="Non-alcoholic beverages"/>
    <n v="124.8"/>
    <x v="0"/>
  </r>
  <r>
    <s v="Rural"/>
    <n v="2016"/>
    <s v="February"/>
    <x v="38"/>
    <s v="Prepared meals, snacks, sweets etc."/>
    <n v="136.4"/>
    <x v="0"/>
  </r>
  <r>
    <s v="Rural"/>
    <n v="2016"/>
    <s v="February"/>
    <x v="38"/>
    <s v="Food and beverages"/>
    <n v="130.30000000000001"/>
    <x v="0"/>
  </r>
  <r>
    <s v="Rural"/>
    <n v="2016"/>
    <s v="February"/>
    <x v="38"/>
    <s v="Pan, tobacco and intoxicants"/>
    <n v="134.4"/>
    <x v="1"/>
  </r>
  <r>
    <s v="Rural"/>
    <n v="2016"/>
    <s v="February"/>
    <x v="38"/>
    <s v="Clothing"/>
    <n v="133.9"/>
    <x v="2"/>
  </r>
  <r>
    <s v="Rural"/>
    <n v="2016"/>
    <s v="February"/>
    <x v="38"/>
    <s v="Footwear"/>
    <n v="129.80000000000001"/>
    <x v="2"/>
  </r>
  <r>
    <s v="Rural"/>
    <n v="2016"/>
    <s v="February"/>
    <x v="38"/>
    <s v="Clothing and footwear"/>
    <n v="133.4"/>
    <x v="2"/>
  </r>
  <r>
    <s v="Rural"/>
    <n v="2016"/>
    <s v="February"/>
    <x v="38"/>
    <s v="Fuel and light"/>
    <n v="127.5"/>
    <x v="3"/>
  </r>
  <r>
    <s v="Rural"/>
    <n v="2016"/>
    <s v="February"/>
    <x v="38"/>
    <s v="Household goods and services"/>
    <n v="127.1"/>
    <x v="4"/>
  </r>
  <r>
    <s v="Rural"/>
    <n v="2016"/>
    <s v="February"/>
    <x v="38"/>
    <s v="Health"/>
    <n v="124.3"/>
    <x v="5"/>
  </r>
  <r>
    <s v="Rural"/>
    <n v="2016"/>
    <s v="February"/>
    <x v="38"/>
    <s v="Transport and communication"/>
    <n v="113.9"/>
    <x v="6"/>
  </r>
  <r>
    <s v="Rural"/>
    <n v="2016"/>
    <s v="February"/>
    <x v="38"/>
    <s v="Recreation and amusement"/>
    <n v="122.3"/>
    <x v="1"/>
  </r>
  <r>
    <s v="Rural"/>
    <n v="2016"/>
    <s v="February"/>
    <x v="38"/>
    <s v="Education"/>
    <n v="127.1"/>
    <x v="7"/>
  </r>
  <r>
    <s v="Rural"/>
    <n v="2016"/>
    <s v="February"/>
    <x v="38"/>
    <s v="Personal care and effects"/>
    <n v="116.8"/>
    <x v="4"/>
  </r>
  <r>
    <s v="Rural"/>
    <n v="2016"/>
    <s v="February"/>
    <x v="38"/>
    <s v="Miscellaneous"/>
    <n v="120.9"/>
    <x v="8"/>
  </r>
  <r>
    <s v="Rural"/>
    <n v="2016"/>
    <s v="February"/>
    <x v="38"/>
    <s v="General index"/>
    <n v="127.9"/>
    <x v="9"/>
  </r>
  <r>
    <s v="Urban"/>
    <n v="2016"/>
    <s v="February"/>
    <x v="38"/>
    <s v="Cereals and products"/>
    <n v="124.8"/>
    <x v="0"/>
  </r>
  <r>
    <s v="Urban"/>
    <n v="2016"/>
    <s v="February"/>
    <x v="38"/>
    <s v="Meat and fish"/>
    <n v="135.1"/>
    <x v="0"/>
  </r>
  <r>
    <s v="Urban"/>
    <n v="2016"/>
    <s v="February"/>
    <x v="38"/>
    <s v="Egg"/>
    <n v="130.30000000000001"/>
    <x v="0"/>
  </r>
  <r>
    <s v="Urban"/>
    <n v="2016"/>
    <s v="February"/>
    <x v="38"/>
    <s v="Milk and products"/>
    <n v="129.6"/>
    <x v="0"/>
  </r>
  <r>
    <s v="Urban"/>
    <n v="2016"/>
    <s v="February"/>
    <x v="38"/>
    <s v="Oils and fats"/>
    <n v="108.4"/>
    <x v="0"/>
  </r>
  <r>
    <s v="Urban"/>
    <n v="2016"/>
    <s v="February"/>
    <x v="38"/>
    <s v="Fruits"/>
    <n v="118.6"/>
    <x v="0"/>
  </r>
  <r>
    <s v="Urban"/>
    <n v="2016"/>
    <s v="February"/>
    <x v="38"/>
    <s v="Vegetables"/>
    <n v="129.19999999999999"/>
    <x v="0"/>
  </r>
  <r>
    <s v="Urban"/>
    <n v="2016"/>
    <s v="February"/>
    <x v="38"/>
    <s v="Pulses and products"/>
    <n v="176.4"/>
    <x v="0"/>
  </r>
  <r>
    <s v="Urban"/>
    <n v="2016"/>
    <s v="February"/>
    <x v="38"/>
    <s v="Sugar and Confectionery"/>
    <n v="99.1"/>
    <x v="0"/>
  </r>
  <r>
    <s v="Urban"/>
    <n v="2016"/>
    <s v="February"/>
    <x v="38"/>
    <s v="Spices"/>
    <n v="139.69999999999999"/>
    <x v="0"/>
  </r>
  <r>
    <s v="Urban"/>
    <n v="2016"/>
    <s v="February"/>
    <x v="38"/>
    <s v="Non-alcoholic beverages"/>
    <n v="120.6"/>
    <x v="0"/>
  </r>
  <r>
    <s v="Urban"/>
    <n v="2016"/>
    <s v="February"/>
    <x v="38"/>
    <s v="Prepared meals, snacks, sweets etc."/>
    <n v="135.19999999999999"/>
    <x v="0"/>
  </r>
  <r>
    <s v="Urban"/>
    <n v="2016"/>
    <s v="February"/>
    <x v="38"/>
    <s v="Food and beverages"/>
    <n v="129.1"/>
    <x v="0"/>
  </r>
  <r>
    <s v="Urban"/>
    <n v="2016"/>
    <s v="February"/>
    <x v="38"/>
    <s v="Pan, tobacco and intoxicants"/>
    <n v="140"/>
    <x v="1"/>
  </r>
  <r>
    <s v="Urban"/>
    <n v="2016"/>
    <s v="February"/>
    <x v="38"/>
    <s v="Clothing"/>
    <n v="126.2"/>
    <x v="2"/>
  </r>
  <r>
    <s v="Urban"/>
    <n v="2016"/>
    <s v="February"/>
    <x v="38"/>
    <s v="Footwear"/>
    <n v="120.1"/>
    <x v="2"/>
  </r>
  <r>
    <s v="Urban"/>
    <n v="2016"/>
    <s v="February"/>
    <x v="38"/>
    <s v="Clothing and footwear"/>
    <n v="125.3"/>
    <x v="2"/>
  </r>
  <r>
    <s v="Urban"/>
    <n v="2016"/>
    <s v="February"/>
    <x v="38"/>
    <s v="Housing"/>
    <n v="124.4"/>
    <x v="10"/>
  </r>
  <r>
    <s v="Urban"/>
    <n v="2016"/>
    <s v="February"/>
    <x v="38"/>
    <s v="Fuel and light"/>
    <n v="116"/>
    <x v="3"/>
  </r>
  <r>
    <s v="Urban"/>
    <n v="2016"/>
    <s v="February"/>
    <x v="38"/>
    <s v="Household goods and services"/>
    <n v="121.8"/>
    <x v="4"/>
  </r>
  <r>
    <s v="Urban"/>
    <n v="2016"/>
    <s v="February"/>
    <x v="38"/>
    <s v="Health"/>
    <n v="119.5"/>
    <x v="5"/>
  </r>
  <r>
    <s v="Urban"/>
    <n v="2016"/>
    <s v="February"/>
    <x v="38"/>
    <s v="Transport and communication"/>
    <n v="109.1"/>
    <x v="6"/>
  </r>
  <r>
    <s v="Urban"/>
    <n v="2016"/>
    <s v="February"/>
    <x v="38"/>
    <s v="Recreation and amusement"/>
    <n v="118.8"/>
    <x v="1"/>
  </r>
  <r>
    <s v="Urban"/>
    <n v="2016"/>
    <s v="February"/>
    <x v="38"/>
    <s v="Education"/>
    <n v="126.3"/>
    <x v="7"/>
  </r>
  <r>
    <s v="Urban"/>
    <n v="2016"/>
    <s v="February"/>
    <x v="38"/>
    <s v="Personal care and effects"/>
    <n v="116.2"/>
    <x v="4"/>
  </r>
  <r>
    <s v="Urban"/>
    <n v="2016"/>
    <s v="February"/>
    <x v="38"/>
    <s v="Miscellaneous"/>
    <n v="117.2"/>
    <x v="8"/>
  </r>
  <r>
    <s v="Urban"/>
    <n v="2016"/>
    <s v="February"/>
    <x v="38"/>
    <s v="General index"/>
    <n v="123.8"/>
    <x v="9"/>
  </r>
  <r>
    <s v="Rural+Urban"/>
    <n v="2016"/>
    <s v="February"/>
    <x v="38"/>
    <s v="Cereals and products"/>
    <n v="126.4"/>
    <x v="0"/>
  </r>
  <r>
    <s v="Rural+Urban"/>
    <n v="2016"/>
    <s v="February"/>
    <x v="38"/>
    <s v="Meat and fish"/>
    <n v="134.19999999999999"/>
    <x v="0"/>
  </r>
  <r>
    <s v="Rural+Urban"/>
    <n v="2016"/>
    <s v="February"/>
    <x v="38"/>
    <s v="Egg"/>
    <n v="128.69999999999999"/>
    <x v="0"/>
  </r>
  <r>
    <s v="Rural+Urban"/>
    <n v="2016"/>
    <s v="February"/>
    <x v="38"/>
    <s v="Milk and products"/>
    <n v="130.30000000000001"/>
    <x v="0"/>
  </r>
  <r>
    <s v="Rural+Urban"/>
    <n v="2016"/>
    <s v="February"/>
    <x v="38"/>
    <s v="Oils and fats"/>
    <n v="114.8"/>
    <x v="0"/>
  </r>
  <r>
    <s v="Rural+Urban"/>
    <n v="2016"/>
    <s v="February"/>
    <x v="38"/>
    <s v="Fruits"/>
    <n v="124.9"/>
    <x v="0"/>
  </r>
  <r>
    <s v="Rural+Urban"/>
    <n v="2016"/>
    <s v="February"/>
    <x v="38"/>
    <s v="Vegetables"/>
    <n v="130.30000000000001"/>
    <x v="0"/>
  </r>
  <r>
    <s v="Rural+Urban"/>
    <n v="2016"/>
    <s v="February"/>
    <x v="38"/>
    <s v="Pulses and products"/>
    <n v="167.4"/>
    <x v="0"/>
  </r>
  <r>
    <s v="Rural+Urban"/>
    <n v="2016"/>
    <s v="February"/>
    <x v="38"/>
    <s v="Sugar and Confectionery"/>
    <n v="98.8"/>
    <x v="0"/>
  </r>
  <r>
    <s v="Rural+Urban"/>
    <n v="2016"/>
    <s v="February"/>
    <x v="38"/>
    <s v="Spices"/>
    <n v="133.6"/>
    <x v="0"/>
  </r>
  <r>
    <s v="Rural+Urban"/>
    <n v="2016"/>
    <s v="February"/>
    <x v="38"/>
    <s v="Non-alcoholic beverages"/>
    <n v="123"/>
    <x v="0"/>
  </r>
  <r>
    <s v="Rural+Urban"/>
    <n v="2016"/>
    <s v="February"/>
    <x v="38"/>
    <s v="Prepared meals, snacks, sweets etc."/>
    <n v="135.80000000000001"/>
    <x v="0"/>
  </r>
  <r>
    <s v="Rural+Urban"/>
    <n v="2016"/>
    <s v="February"/>
    <x v="38"/>
    <s v="Food and beverages"/>
    <n v="129.9"/>
    <x v="0"/>
  </r>
  <r>
    <s v="Rural+Urban"/>
    <n v="2016"/>
    <s v="February"/>
    <x v="38"/>
    <s v="Pan, tobacco and intoxicants"/>
    <n v="135.9"/>
    <x v="1"/>
  </r>
  <r>
    <s v="Rural+Urban"/>
    <n v="2016"/>
    <s v="February"/>
    <x v="38"/>
    <s v="Clothing"/>
    <n v="130.9"/>
    <x v="2"/>
  </r>
  <r>
    <s v="Rural+Urban"/>
    <n v="2016"/>
    <s v="February"/>
    <x v="38"/>
    <s v="Footwear"/>
    <n v="125.8"/>
    <x v="2"/>
  </r>
  <r>
    <s v="Rural+Urban"/>
    <n v="2016"/>
    <s v="February"/>
    <x v="38"/>
    <s v="Clothing and footwear"/>
    <n v="130.19999999999999"/>
    <x v="2"/>
  </r>
  <r>
    <s v="Rural+Urban"/>
    <n v="2016"/>
    <s v="February"/>
    <x v="38"/>
    <s v="Housing"/>
    <n v="124.4"/>
    <x v="10"/>
  </r>
  <r>
    <s v="Rural+Urban"/>
    <n v="2016"/>
    <s v="February"/>
    <x v="38"/>
    <s v="Fuel and light"/>
    <n v="123.1"/>
    <x v="3"/>
  </r>
  <r>
    <s v="Rural+Urban"/>
    <n v="2016"/>
    <s v="February"/>
    <x v="38"/>
    <s v="Household goods and services"/>
    <n v="124.6"/>
    <x v="4"/>
  </r>
  <r>
    <s v="Rural+Urban"/>
    <n v="2016"/>
    <s v="February"/>
    <x v="38"/>
    <s v="Health"/>
    <n v="122.5"/>
    <x v="5"/>
  </r>
  <r>
    <s v="Rural+Urban"/>
    <n v="2016"/>
    <s v="February"/>
    <x v="38"/>
    <s v="Transport and communication"/>
    <n v="111.4"/>
    <x v="6"/>
  </r>
  <r>
    <s v="Rural+Urban"/>
    <n v="2016"/>
    <s v="February"/>
    <x v="38"/>
    <s v="Recreation and amusement"/>
    <n v="120.3"/>
    <x v="1"/>
  </r>
  <r>
    <s v="Rural+Urban"/>
    <n v="2016"/>
    <s v="February"/>
    <x v="38"/>
    <s v="Education"/>
    <n v="126.6"/>
    <x v="7"/>
  </r>
  <r>
    <s v="Rural+Urban"/>
    <n v="2016"/>
    <s v="February"/>
    <x v="38"/>
    <s v="Personal care and effects"/>
    <n v="116.6"/>
    <x v="4"/>
  </r>
  <r>
    <s v="Rural+Urban"/>
    <n v="2016"/>
    <s v="February"/>
    <x v="38"/>
    <s v="Miscellaneous"/>
    <n v="119.1"/>
    <x v="8"/>
  </r>
  <r>
    <s v="Rural+Urban"/>
    <n v="2016"/>
    <s v="February"/>
    <x v="38"/>
    <s v="General index"/>
    <n v="126"/>
    <x v="9"/>
  </r>
  <r>
    <s v="Rural"/>
    <n v="2016"/>
    <s v="March"/>
    <x v="39"/>
    <s v="Cereals and products"/>
    <n v="127.3"/>
    <x v="0"/>
  </r>
  <r>
    <s v="Rural"/>
    <n v="2016"/>
    <s v="March"/>
    <x v="39"/>
    <s v="Meat and fish"/>
    <n v="134.4"/>
    <x v="0"/>
  </r>
  <r>
    <s v="Rural"/>
    <n v="2016"/>
    <s v="March"/>
    <x v="39"/>
    <s v="Egg"/>
    <n v="125.1"/>
    <x v="0"/>
  </r>
  <r>
    <s v="Rural"/>
    <n v="2016"/>
    <s v="March"/>
    <x v="39"/>
    <s v="Milk and products"/>
    <n v="130.5"/>
    <x v="0"/>
  </r>
  <r>
    <s v="Rural"/>
    <n v="2016"/>
    <s v="March"/>
    <x v="39"/>
    <s v="Oils and fats"/>
    <n v="118.3"/>
    <x v="0"/>
  </r>
  <r>
    <s v="Rural"/>
    <n v="2016"/>
    <s v="March"/>
    <x v="39"/>
    <s v="Fruits"/>
    <n v="131.69999999999999"/>
    <x v="0"/>
  </r>
  <r>
    <s v="Rural"/>
    <n v="2016"/>
    <s v="March"/>
    <x v="39"/>
    <s v="Vegetables"/>
    <n v="130.69999999999999"/>
    <x v="0"/>
  </r>
  <r>
    <s v="Rural"/>
    <n v="2016"/>
    <s v="March"/>
    <x v="39"/>
    <s v="Pulses and products"/>
    <n v="161.19999999999999"/>
    <x v="0"/>
  </r>
  <r>
    <s v="Rural"/>
    <n v="2016"/>
    <s v="March"/>
    <x v="39"/>
    <s v="Sugar and Confectionery"/>
    <n v="100.4"/>
    <x v="0"/>
  </r>
  <r>
    <s v="Rural"/>
    <n v="2016"/>
    <s v="March"/>
    <x v="39"/>
    <s v="Spices"/>
    <n v="130.80000000000001"/>
    <x v="0"/>
  </r>
  <r>
    <s v="Rural"/>
    <n v="2016"/>
    <s v="March"/>
    <x v="39"/>
    <s v="Non-alcoholic beverages"/>
    <n v="124.9"/>
    <x v="0"/>
  </r>
  <r>
    <s v="Rural"/>
    <n v="2016"/>
    <s v="March"/>
    <x v="39"/>
    <s v="Prepared meals, snacks, sweets etc."/>
    <n v="137"/>
    <x v="0"/>
  </r>
  <r>
    <s v="Rural"/>
    <n v="2016"/>
    <s v="March"/>
    <x v="39"/>
    <s v="Food and beverages"/>
    <n v="130.4"/>
    <x v="0"/>
  </r>
  <r>
    <s v="Rural"/>
    <n v="2016"/>
    <s v="March"/>
    <x v="39"/>
    <s v="Pan, tobacco and intoxicants"/>
    <n v="135"/>
    <x v="1"/>
  </r>
  <r>
    <s v="Rural"/>
    <n v="2016"/>
    <s v="March"/>
    <x v="39"/>
    <s v="Clothing"/>
    <n v="134.4"/>
    <x v="2"/>
  </r>
  <r>
    <s v="Rural"/>
    <n v="2016"/>
    <s v="March"/>
    <x v="39"/>
    <s v="Footwear"/>
    <n v="130.19999999999999"/>
    <x v="2"/>
  </r>
  <r>
    <s v="Rural"/>
    <n v="2016"/>
    <s v="March"/>
    <x v="39"/>
    <s v="Clothing and footwear"/>
    <n v="133.80000000000001"/>
    <x v="2"/>
  </r>
  <r>
    <s v="Rural"/>
    <n v="2016"/>
    <s v="March"/>
    <x v="39"/>
    <s v="Fuel and light"/>
    <n v="127"/>
    <x v="3"/>
  </r>
  <r>
    <s v="Rural"/>
    <n v="2016"/>
    <s v="March"/>
    <x v="39"/>
    <s v="Household goods and services"/>
    <n v="127.7"/>
    <x v="4"/>
  </r>
  <r>
    <s v="Rural"/>
    <n v="2016"/>
    <s v="March"/>
    <x v="39"/>
    <s v="Health"/>
    <n v="124.8"/>
    <x v="5"/>
  </r>
  <r>
    <s v="Rural"/>
    <n v="2016"/>
    <s v="March"/>
    <x v="39"/>
    <s v="Transport and communication"/>
    <n v="113.6"/>
    <x v="6"/>
  </r>
  <r>
    <s v="Rural"/>
    <n v="2016"/>
    <s v="March"/>
    <x v="39"/>
    <s v="Recreation and amusement"/>
    <n v="122.5"/>
    <x v="1"/>
  </r>
  <r>
    <s v="Rural"/>
    <n v="2016"/>
    <s v="March"/>
    <x v="39"/>
    <s v="Education"/>
    <n v="127.5"/>
    <x v="7"/>
  </r>
  <r>
    <s v="Rural"/>
    <n v="2016"/>
    <s v="March"/>
    <x v="39"/>
    <s v="Personal care and effects"/>
    <n v="117.4"/>
    <x v="4"/>
  </r>
  <r>
    <s v="Rural"/>
    <n v="2016"/>
    <s v="March"/>
    <x v="39"/>
    <s v="Miscellaneous"/>
    <n v="121.1"/>
    <x v="8"/>
  </r>
  <r>
    <s v="Rural"/>
    <n v="2016"/>
    <s v="March"/>
    <x v="39"/>
    <s v="General index"/>
    <n v="128"/>
    <x v="9"/>
  </r>
  <r>
    <s v="Urban"/>
    <n v="2016"/>
    <s v="March"/>
    <x v="39"/>
    <s v="Cereals and products"/>
    <n v="124.8"/>
    <x v="0"/>
  </r>
  <r>
    <s v="Urban"/>
    <n v="2016"/>
    <s v="March"/>
    <x v="39"/>
    <s v="Meat and fish"/>
    <n v="136.30000000000001"/>
    <x v="0"/>
  </r>
  <r>
    <s v="Urban"/>
    <n v="2016"/>
    <s v="March"/>
    <x v="39"/>
    <s v="Egg"/>
    <n v="123.7"/>
    <x v="0"/>
  </r>
  <r>
    <s v="Urban"/>
    <n v="2016"/>
    <s v="March"/>
    <x v="39"/>
    <s v="Milk and products"/>
    <n v="129.69999999999999"/>
    <x v="0"/>
  </r>
  <r>
    <s v="Urban"/>
    <n v="2016"/>
    <s v="March"/>
    <x v="39"/>
    <s v="Oils and fats"/>
    <n v="107.9"/>
    <x v="0"/>
  </r>
  <r>
    <s v="Urban"/>
    <n v="2016"/>
    <s v="March"/>
    <x v="39"/>
    <s v="Fruits"/>
    <n v="119.9"/>
    <x v="0"/>
  </r>
  <r>
    <s v="Urban"/>
    <n v="2016"/>
    <s v="March"/>
    <x v="39"/>
    <s v="Vegetables"/>
    <n v="128.1"/>
    <x v="0"/>
  </r>
  <r>
    <s v="Urban"/>
    <n v="2016"/>
    <s v="March"/>
    <x v="39"/>
    <s v="Pulses and products"/>
    <n v="170.3"/>
    <x v="0"/>
  </r>
  <r>
    <s v="Urban"/>
    <n v="2016"/>
    <s v="March"/>
    <x v="39"/>
    <s v="Sugar and Confectionery"/>
    <n v="101.8"/>
    <x v="0"/>
  </r>
  <r>
    <s v="Urban"/>
    <n v="2016"/>
    <s v="March"/>
    <x v="39"/>
    <s v="Spices"/>
    <n v="140.1"/>
    <x v="0"/>
  </r>
  <r>
    <s v="Urban"/>
    <n v="2016"/>
    <s v="March"/>
    <x v="39"/>
    <s v="Non-alcoholic beverages"/>
    <n v="120.7"/>
    <x v="0"/>
  </r>
  <r>
    <s v="Urban"/>
    <n v="2016"/>
    <s v="March"/>
    <x v="39"/>
    <s v="Prepared meals, snacks, sweets etc."/>
    <n v="135.4"/>
    <x v="0"/>
  </r>
  <r>
    <s v="Urban"/>
    <n v="2016"/>
    <s v="March"/>
    <x v="39"/>
    <s v="Food and beverages"/>
    <n v="128.9"/>
    <x v="0"/>
  </r>
  <r>
    <s v="Urban"/>
    <n v="2016"/>
    <s v="March"/>
    <x v="39"/>
    <s v="Pan, tobacco and intoxicants"/>
    <n v="140.6"/>
    <x v="1"/>
  </r>
  <r>
    <s v="Urban"/>
    <n v="2016"/>
    <s v="March"/>
    <x v="39"/>
    <s v="Clothing"/>
    <n v="126.4"/>
    <x v="2"/>
  </r>
  <r>
    <s v="Urban"/>
    <n v="2016"/>
    <s v="March"/>
    <x v="39"/>
    <s v="Footwear"/>
    <n v="120.3"/>
    <x v="2"/>
  </r>
  <r>
    <s v="Urban"/>
    <n v="2016"/>
    <s v="March"/>
    <x v="39"/>
    <s v="Clothing and footwear"/>
    <n v="125.5"/>
    <x v="2"/>
  </r>
  <r>
    <s v="Urban"/>
    <n v="2016"/>
    <s v="March"/>
    <x v="39"/>
    <s v="Housing"/>
    <n v="124.9"/>
    <x v="10"/>
  </r>
  <r>
    <s v="Urban"/>
    <n v="2016"/>
    <s v="March"/>
    <x v="39"/>
    <s v="Fuel and light"/>
    <n v="114.8"/>
    <x v="3"/>
  </r>
  <r>
    <s v="Urban"/>
    <n v="2016"/>
    <s v="March"/>
    <x v="39"/>
    <s v="Household goods and services"/>
    <n v="122.3"/>
    <x v="4"/>
  </r>
  <r>
    <s v="Urban"/>
    <n v="2016"/>
    <s v="March"/>
    <x v="39"/>
    <s v="Health"/>
    <n v="119.7"/>
    <x v="5"/>
  </r>
  <r>
    <s v="Urban"/>
    <n v="2016"/>
    <s v="March"/>
    <x v="39"/>
    <s v="Transport and communication"/>
    <n v="108.5"/>
    <x v="6"/>
  </r>
  <r>
    <s v="Urban"/>
    <n v="2016"/>
    <s v="March"/>
    <x v="39"/>
    <s v="Recreation and amusement"/>
    <n v="119.1"/>
    <x v="1"/>
  </r>
  <r>
    <s v="Urban"/>
    <n v="2016"/>
    <s v="March"/>
    <x v="39"/>
    <s v="Education"/>
    <n v="126.4"/>
    <x v="7"/>
  </r>
  <r>
    <s v="Urban"/>
    <n v="2016"/>
    <s v="March"/>
    <x v="39"/>
    <s v="Personal care and effects"/>
    <n v="117.1"/>
    <x v="4"/>
  </r>
  <r>
    <s v="Urban"/>
    <n v="2016"/>
    <s v="March"/>
    <x v="39"/>
    <s v="Miscellaneous"/>
    <n v="117.3"/>
    <x v="8"/>
  </r>
  <r>
    <s v="Urban"/>
    <n v="2016"/>
    <s v="March"/>
    <x v="39"/>
    <s v="General index"/>
    <n v="123.8"/>
    <x v="9"/>
  </r>
  <r>
    <s v="Rural+Urban"/>
    <n v="2016"/>
    <s v="March"/>
    <x v="39"/>
    <s v="Cereals and products"/>
    <n v="126.5"/>
    <x v="0"/>
  </r>
  <r>
    <s v="Rural+Urban"/>
    <n v="2016"/>
    <s v="March"/>
    <x v="39"/>
    <s v="Meat and fish"/>
    <n v="135.1"/>
    <x v="0"/>
  </r>
  <r>
    <s v="Rural+Urban"/>
    <n v="2016"/>
    <s v="March"/>
    <x v="39"/>
    <s v="Egg"/>
    <n v="124.6"/>
    <x v="0"/>
  </r>
  <r>
    <s v="Rural+Urban"/>
    <n v="2016"/>
    <s v="March"/>
    <x v="39"/>
    <s v="Milk and products"/>
    <n v="130.19999999999999"/>
    <x v="0"/>
  </r>
  <r>
    <s v="Rural+Urban"/>
    <n v="2016"/>
    <s v="March"/>
    <x v="39"/>
    <s v="Oils and fats"/>
    <n v="114.5"/>
    <x v="0"/>
  </r>
  <r>
    <s v="Rural+Urban"/>
    <n v="2016"/>
    <s v="March"/>
    <x v="39"/>
    <s v="Fruits"/>
    <n v="126.2"/>
    <x v="0"/>
  </r>
  <r>
    <s v="Rural+Urban"/>
    <n v="2016"/>
    <s v="March"/>
    <x v="39"/>
    <s v="Vegetables"/>
    <n v="129.80000000000001"/>
    <x v="0"/>
  </r>
  <r>
    <s v="Rural+Urban"/>
    <n v="2016"/>
    <s v="March"/>
    <x v="39"/>
    <s v="Pulses and products"/>
    <n v="164.3"/>
    <x v="0"/>
  </r>
  <r>
    <s v="Rural+Urban"/>
    <n v="2016"/>
    <s v="March"/>
    <x v="39"/>
    <s v="Sugar and Confectionery"/>
    <n v="100.9"/>
    <x v="0"/>
  </r>
  <r>
    <s v="Rural+Urban"/>
    <n v="2016"/>
    <s v="March"/>
    <x v="39"/>
    <s v="Spices"/>
    <n v="133.9"/>
    <x v="0"/>
  </r>
  <r>
    <s v="Rural+Urban"/>
    <n v="2016"/>
    <s v="March"/>
    <x v="39"/>
    <s v="Non-alcoholic beverages"/>
    <n v="123.1"/>
    <x v="0"/>
  </r>
  <r>
    <s v="Rural+Urban"/>
    <n v="2016"/>
    <s v="March"/>
    <x v="39"/>
    <s v="Prepared meals, snacks, sweets etc."/>
    <n v="136.30000000000001"/>
    <x v="0"/>
  </r>
  <r>
    <s v="Rural+Urban"/>
    <n v="2016"/>
    <s v="March"/>
    <x v="39"/>
    <s v="Food and beverages"/>
    <n v="129.80000000000001"/>
    <x v="0"/>
  </r>
  <r>
    <s v="Rural+Urban"/>
    <n v="2016"/>
    <s v="March"/>
    <x v="39"/>
    <s v="Pan, tobacco and intoxicants"/>
    <n v="136.5"/>
    <x v="1"/>
  </r>
  <r>
    <s v="Rural+Urban"/>
    <n v="2016"/>
    <s v="March"/>
    <x v="39"/>
    <s v="Clothing"/>
    <n v="131.30000000000001"/>
    <x v="2"/>
  </r>
  <r>
    <s v="Rural+Urban"/>
    <n v="2016"/>
    <s v="March"/>
    <x v="39"/>
    <s v="Footwear"/>
    <n v="126.1"/>
    <x v="2"/>
  </r>
  <r>
    <s v="Rural+Urban"/>
    <n v="2016"/>
    <s v="March"/>
    <x v="39"/>
    <s v="Clothing and footwear"/>
    <n v="130.5"/>
    <x v="2"/>
  </r>
  <r>
    <s v="Rural+Urban"/>
    <n v="2016"/>
    <s v="March"/>
    <x v="39"/>
    <s v="Housing"/>
    <n v="124.9"/>
    <x v="10"/>
  </r>
  <r>
    <s v="Rural+Urban"/>
    <n v="2016"/>
    <s v="March"/>
    <x v="39"/>
    <s v="Fuel and light"/>
    <n v="122.4"/>
    <x v="3"/>
  </r>
  <r>
    <s v="Rural+Urban"/>
    <n v="2016"/>
    <s v="March"/>
    <x v="39"/>
    <s v="Household goods and services"/>
    <n v="125.1"/>
    <x v="4"/>
  </r>
  <r>
    <s v="Rural+Urban"/>
    <n v="2016"/>
    <s v="March"/>
    <x v="39"/>
    <s v="Health"/>
    <n v="122.9"/>
    <x v="5"/>
  </r>
  <r>
    <s v="Rural+Urban"/>
    <n v="2016"/>
    <s v="March"/>
    <x v="39"/>
    <s v="Transport and communication"/>
    <n v="110.9"/>
    <x v="6"/>
  </r>
  <r>
    <s v="Rural+Urban"/>
    <n v="2016"/>
    <s v="March"/>
    <x v="39"/>
    <s v="Recreation and amusement"/>
    <n v="120.6"/>
    <x v="1"/>
  </r>
  <r>
    <s v="Rural+Urban"/>
    <n v="2016"/>
    <s v="March"/>
    <x v="39"/>
    <s v="Education"/>
    <n v="126.9"/>
    <x v="7"/>
  </r>
  <r>
    <s v="Rural+Urban"/>
    <n v="2016"/>
    <s v="March"/>
    <x v="39"/>
    <s v="Personal care and effects"/>
    <n v="117.3"/>
    <x v="4"/>
  </r>
  <r>
    <s v="Rural+Urban"/>
    <n v="2016"/>
    <s v="March"/>
    <x v="39"/>
    <s v="Miscellaneous"/>
    <n v="119.3"/>
    <x v="8"/>
  </r>
  <r>
    <s v="Rural+Urban"/>
    <n v="2016"/>
    <s v="March"/>
    <x v="39"/>
    <s v="General index"/>
    <n v="126"/>
    <x v="9"/>
  </r>
  <r>
    <s v="Rural"/>
    <n v="2016"/>
    <s v="April"/>
    <x v="40"/>
    <s v="Cereals and products"/>
    <n v="127.4"/>
    <x v="0"/>
  </r>
  <r>
    <s v="Rural"/>
    <n v="2016"/>
    <s v="April"/>
    <x v="40"/>
    <s v="Meat and fish"/>
    <n v="135.4"/>
    <x v="0"/>
  </r>
  <r>
    <s v="Rural"/>
    <n v="2016"/>
    <s v="April"/>
    <x v="40"/>
    <s v="Egg"/>
    <n v="123.4"/>
    <x v="0"/>
  </r>
  <r>
    <s v="Rural"/>
    <n v="2016"/>
    <s v="April"/>
    <x v="40"/>
    <s v="Milk and products"/>
    <n v="131.30000000000001"/>
    <x v="0"/>
  </r>
  <r>
    <s v="Rural"/>
    <n v="2016"/>
    <s v="April"/>
    <x v="40"/>
    <s v="Oils and fats"/>
    <n v="118.2"/>
    <x v="0"/>
  </r>
  <r>
    <s v="Rural"/>
    <n v="2016"/>
    <s v="April"/>
    <x v="40"/>
    <s v="Fruits"/>
    <n v="138.1"/>
    <x v="0"/>
  </r>
  <r>
    <s v="Rural"/>
    <n v="2016"/>
    <s v="April"/>
    <x v="40"/>
    <s v="Vegetables"/>
    <n v="134.1"/>
    <x v="0"/>
  </r>
  <r>
    <s v="Rural"/>
    <n v="2016"/>
    <s v="April"/>
    <x v="40"/>
    <s v="Pulses and products"/>
    <n v="162.69999999999999"/>
    <x v="0"/>
  </r>
  <r>
    <s v="Rural"/>
    <n v="2016"/>
    <s v="April"/>
    <x v="40"/>
    <s v="Sugar and Confectionery"/>
    <n v="105"/>
    <x v="0"/>
  </r>
  <r>
    <s v="Rural"/>
    <n v="2016"/>
    <s v="April"/>
    <x v="40"/>
    <s v="Spices"/>
    <n v="131.4"/>
    <x v="0"/>
  </r>
  <r>
    <s v="Rural"/>
    <n v="2016"/>
    <s v="April"/>
    <x v="40"/>
    <s v="Non-alcoholic beverages"/>
    <n v="125.4"/>
    <x v="0"/>
  </r>
  <r>
    <s v="Rural"/>
    <n v="2016"/>
    <s v="April"/>
    <x v="40"/>
    <s v="Prepared meals, snacks, sweets etc."/>
    <n v="137.4"/>
    <x v="0"/>
  </r>
  <r>
    <s v="Rural"/>
    <n v="2016"/>
    <s v="April"/>
    <x v="40"/>
    <s v="Food and beverages"/>
    <n v="131.80000000000001"/>
    <x v="0"/>
  </r>
  <r>
    <s v="Rural"/>
    <n v="2016"/>
    <s v="April"/>
    <x v="40"/>
    <s v="Pan, tobacco and intoxicants"/>
    <n v="135.5"/>
    <x v="1"/>
  </r>
  <r>
    <s v="Rural"/>
    <n v="2016"/>
    <s v="April"/>
    <x v="40"/>
    <s v="Clothing"/>
    <n v="135"/>
    <x v="2"/>
  </r>
  <r>
    <s v="Rural"/>
    <n v="2016"/>
    <s v="April"/>
    <x v="40"/>
    <s v="Footwear"/>
    <n v="130.6"/>
    <x v="2"/>
  </r>
  <r>
    <s v="Rural"/>
    <n v="2016"/>
    <s v="April"/>
    <x v="40"/>
    <s v="Clothing and footwear"/>
    <n v="134.4"/>
    <x v="2"/>
  </r>
  <r>
    <s v="Rural"/>
    <n v="2016"/>
    <s v="April"/>
    <x v="40"/>
    <s v="Fuel and light"/>
    <n v="127"/>
    <x v="3"/>
  </r>
  <r>
    <s v="Rural"/>
    <n v="2016"/>
    <s v="April"/>
    <x v="40"/>
    <s v="Household goods and services"/>
    <n v="128"/>
    <x v="4"/>
  </r>
  <r>
    <s v="Rural"/>
    <n v="2016"/>
    <s v="April"/>
    <x v="40"/>
    <s v="Health"/>
    <n v="125.2"/>
    <x v="5"/>
  </r>
  <r>
    <s v="Rural"/>
    <n v="2016"/>
    <s v="April"/>
    <x v="40"/>
    <s v="Transport and communication"/>
    <n v="114.4"/>
    <x v="6"/>
  </r>
  <r>
    <s v="Rural"/>
    <n v="2016"/>
    <s v="April"/>
    <x v="40"/>
    <s v="Recreation and amusement"/>
    <n v="123.2"/>
    <x v="1"/>
  </r>
  <r>
    <s v="Rural"/>
    <n v="2016"/>
    <s v="April"/>
    <x v="40"/>
    <s v="Education"/>
    <n v="127.9"/>
    <x v="7"/>
  </r>
  <r>
    <s v="Rural"/>
    <n v="2016"/>
    <s v="April"/>
    <x v="40"/>
    <s v="Personal care and effects"/>
    <n v="118.4"/>
    <x v="4"/>
  </r>
  <r>
    <s v="Rural"/>
    <n v="2016"/>
    <s v="April"/>
    <x v="40"/>
    <s v="Miscellaneous"/>
    <n v="121.7"/>
    <x v="8"/>
  </r>
  <r>
    <s v="Rural"/>
    <n v="2016"/>
    <s v="April"/>
    <x v="40"/>
    <s v="General index"/>
    <n v="129"/>
    <x v="9"/>
  </r>
  <r>
    <s v="Urban"/>
    <n v="2016"/>
    <s v="April"/>
    <x v="40"/>
    <s v="Cereals and products"/>
    <n v="124.9"/>
    <x v="0"/>
  </r>
  <r>
    <s v="Urban"/>
    <n v="2016"/>
    <s v="April"/>
    <x v="40"/>
    <s v="Meat and fish"/>
    <n v="139.30000000000001"/>
    <x v="0"/>
  </r>
  <r>
    <s v="Urban"/>
    <n v="2016"/>
    <s v="April"/>
    <x v="40"/>
    <s v="Egg"/>
    <n v="119.9"/>
    <x v="0"/>
  </r>
  <r>
    <s v="Urban"/>
    <n v="2016"/>
    <s v="April"/>
    <x v="40"/>
    <s v="Milk and products"/>
    <n v="130.19999999999999"/>
    <x v="0"/>
  </r>
  <r>
    <s v="Urban"/>
    <n v="2016"/>
    <s v="April"/>
    <x v="40"/>
    <s v="Oils and fats"/>
    <n v="108.9"/>
    <x v="0"/>
  </r>
  <r>
    <s v="Urban"/>
    <n v="2016"/>
    <s v="April"/>
    <x v="40"/>
    <s v="Fruits"/>
    <n v="131.1"/>
    <x v="0"/>
  </r>
  <r>
    <s v="Urban"/>
    <n v="2016"/>
    <s v="April"/>
    <x v="40"/>
    <s v="Vegetables"/>
    <n v="136.80000000000001"/>
    <x v="0"/>
  </r>
  <r>
    <s v="Urban"/>
    <n v="2016"/>
    <s v="April"/>
    <x v="40"/>
    <s v="Pulses and products"/>
    <n v="176.9"/>
    <x v="0"/>
  </r>
  <r>
    <s v="Urban"/>
    <n v="2016"/>
    <s v="April"/>
    <x v="40"/>
    <s v="Sugar and Confectionery"/>
    <n v="109.1"/>
    <x v="0"/>
  </r>
  <r>
    <s v="Urban"/>
    <n v="2016"/>
    <s v="April"/>
    <x v="40"/>
    <s v="Spices"/>
    <n v="140.4"/>
    <x v="0"/>
  </r>
  <r>
    <s v="Urban"/>
    <n v="2016"/>
    <s v="April"/>
    <x v="40"/>
    <s v="Non-alcoholic beverages"/>
    <n v="121.1"/>
    <x v="0"/>
  </r>
  <r>
    <s v="Urban"/>
    <n v="2016"/>
    <s v="April"/>
    <x v="40"/>
    <s v="Prepared meals, snacks, sweets etc."/>
    <n v="135.9"/>
    <x v="0"/>
  </r>
  <r>
    <s v="Urban"/>
    <n v="2016"/>
    <s v="April"/>
    <x v="40"/>
    <s v="Food and beverages"/>
    <n v="131.80000000000001"/>
    <x v="0"/>
  </r>
  <r>
    <s v="Urban"/>
    <n v="2016"/>
    <s v="April"/>
    <x v="40"/>
    <s v="Pan, tobacco and intoxicants"/>
    <n v="141.5"/>
    <x v="1"/>
  </r>
  <r>
    <s v="Urban"/>
    <n v="2016"/>
    <s v="April"/>
    <x v="40"/>
    <s v="Clothing"/>
    <n v="126.8"/>
    <x v="2"/>
  </r>
  <r>
    <s v="Urban"/>
    <n v="2016"/>
    <s v="April"/>
    <x v="40"/>
    <s v="Footwear"/>
    <n v="120.5"/>
    <x v="2"/>
  </r>
  <r>
    <s v="Urban"/>
    <n v="2016"/>
    <s v="April"/>
    <x v="40"/>
    <s v="Clothing and footwear"/>
    <n v="125.8"/>
    <x v="2"/>
  </r>
  <r>
    <s v="Urban"/>
    <n v="2016"/>
    <s v="April"/>
    <x v="40"/>
    <s v="Housing"/>
    <n v="125.6"/>
    <x v="10"/>
  </r>
  <r>
    <s v="Urban"/>
    <n v="2016"/>
    <s v="April"/>
    <x v="40"/>
    <s v="Fuel and light"/>
    <n v="114.6"/>
    <x v="3"/>
  </r>
  <r>
    <s v="Urban"/>
    <n v="2016"/>
    <s v="April"/>
    <x v="40"/>
    <s v="Household goods and services"/>
    <n v="122.8"/>
    <x v="4"/>
  </r>
  <r>
    <s v="Urban"/>
    <n v="2016"/>
    <s v="April"/>
    <x v="40"/>
    <s v="Health"/>
    <n v="120"/>
    <x v="5"/>
  </r>
  <r>
    <s v="Urban"/>
    <n v="2016"/>
    <s v="April"/>
    <x v="40"/>
    <s v="Transport and communication"/>
    <n v="110"/>
    <x v="6"/>
  </r>
  <r>
    <s v="Urban"/>
    <n v="2016"/>
    <s v="April"/>
    <x v="40"/>
    <s v="Recreation and amusement"/>
    <n v="119.5"/>
    <x v="1"/>
  </r>
  <r>
    <s v="Urban"/>
    <n v="2016"/>
    <s v="April"/>
    <x v="40"/>
    <s v="Education"/>
    <n v="127.6"/>
    <x v="7"/>
  </r>
  <r>
    <s v="Urban"/>
    <n v="2016"/>
    <s v="April"/>
    <x v="40"/>
    <s v="Personal care and effects"/>
    <n v="117.6"/>
    <x v="4"/>
  </r>
  <r>
    <s v="Urban"/>
    <n v="2016"/>
    <s v="April"/>
    <x v="40"/>
    <s v="Miscellaneous"/>
    <n v="118.2"/>
    <x v="8"/>
  </r>
  <r>
    <s v="Urban"/>
    <n v="2016"/>
    <s v="April"/>
    <x v="40"/>
    <s v="General index"/>
    <n v="125.3"/>
    <x v="9"/>
  </r>
  <r>
    <s v="Rural+Urban"/>
    <n v="2016"/>
    <s v="April"/>
    <x v="40"/>
    <s v="Cereals and products"/>
    <n v="126.6"/>
    <x v="0"/>
  </r>
  <r>
    <s v="Rural+Urban"/>
    <n v="2016"/>
    <s v="April"/>
    <x v="40"/>
    <s v="Meat and fish"/>
    <n v="136.80000000000001"/>
    <x v="0"/>
  </r>
  <r>
    <s v="Rural+Urban"/>
    <n v="2016"/>
    <s v="April"/>
    <x v="40"/>
    <s v="Egg"/>
    <n v="122"/>
    <x v="0"/>
  </r>
  <r>
    <s v="Rural+Urban"/>
    <n v="2016"/>
    <s v="April"/>
    <x v="40"/>
    <s v="Milk and products"/>
    <n v="130.9"/>
    <x v="0"/>
  </r>
  <r>
    <s v="Rural+Urban"/>
    <n v="2016"/>
    <s v="April"/>
    <x v="40"/>
    <s v="Oils and fats"/>
    <n v="114.8"/>
    <x v="0"/>
  </r>
  <r>
    <s v="Rural+Urban"/>
    <n v="2016"/>
    <s v="April"/>
    <x v="40"/>
    <s v="Fruits"/>
    <n v="134.80000000000001"/>
    <x v="0"/>
  </r>
  <r>
    <s v="Rural+Urban"/>
    <n v="2016"/>
    <s v="April"/>
    <x v="40"/>
    <s v="Vegetables"/>
    <n v="135"/>
    <x v="0"/>
  </r>
  <r>
    <s v="Rural+Urban"/>
    <n v="2016"/>
    <s v="April"/>
    <x v="40"/>
    <s v="Pulses and products"/>
    <n v="167.5"/>
    <x v="0"/>
  </r>
  <r>
    <s v="Rural+Urban"/>
    <n v="2016"/>
    <s v="April"/>
    <x v="40"/>
    <s v="Sugar and Confectionery"/>
    <n v="106.4"/>
    <x v="0"/>
  </r>
  <r>
    <s v="Rural+Urban"/>
    <n v="2016"/>
    <s v="April"/>
    <x v="40"/>
    <s v="Spices"/>
    <n v="134.4"/>
    <x v="0"/>
  </r>
  <r>
    <s v="Rural+Urban"/>
    <n v="2016"/>
    <s v="April"/>
    <x v="40"/>
    <s v="Non-alcoholic beverages"/>
    <n v="123.6"/>
    <x v="0"/>
  </r>
  <r>
    <s v="Rural+Urban"/>
    <n v="2016"/>
    <s v="April"/>
    <x v="40"/>
    <s v="Prepared meals, snacks, sweets etc."/>
    <n v="136.69999999999999"/>
    <x v="0"/>
  </r>
  <r>
    <s v="Rural+Urban"/>
    <n v="2016"/>
    <s v="April"/>
    <x v="40"/>
    <s v="Food and beverages"/>
    <n v="131.80000000000001"/>
    <x v="0"/>
  </r>
  <r>
    <s v="Rural+Urban"/>
    <n v="2016"/>
    <s v="April"/>
    <x v="40"/>
    <s v="Pan, tobacco and intoxicants"/>
    <n v="137.1"/>
    <x v="1"/>
  </r>
  <r>
    <s v="Rural+Urban"/>
    <n v="2016"/>
    <s v="April"/>
    <x v="40"/>
    <s v="Clothing"/>
    <n v="131.80000000000001"/>
    <x v="2"/>
  </r>
  <r>
    <s v="Rural+Urban"/>
    <n v="2016"/>
    <s v="April"/>
    <x v="40"/>
    <s v="Footwear"/>
    <n v="126.4"/>
    <x v="2"/>
  </r>
  <r>
    <s v="Rural+Urban"/>
    <n v="2016"/>
    <s v="April"/>
    <x v="40"/>
    <s v="Clothing and footwear"/>
    <n v="131"/>
    <x v="2"/>
  </r>
  <r>
    <s v="Rural+Urban"/>
    <n v="2016"/>
    <s v="April"/>
    <x v="40"/>
    <s v="Housing"/>
    <n v="125.6"/>
    <x v="10"/>
  </r>
  <r>
    <s v="Rural+Urban"/>
    <n v="2016"/>
    <s v="April"/>
    <x v="40"/>
    <s v="Fuel and light"/>
    <n v="122.3"/>
    <x v="3"/>
  </r>
  <r>
    <s v="Rural+Urban"/>
    <n v="2016"/>
    <s v="April"/>
    <x v="40"/>
    <s v="Household goods and services"/>
    <n v="125.5"/>
    <x v="4"/>
  </r>
  <r>
    <s v="Rural+Urban"/>
    <n v="2016"/>
    <s v="April"/>
    <x v="40"/>
    <s v="Health"/>
    <n v="123.2"/>
    <x v="5"/>
  </r>
  <r>
    <s v="Rural+Urban"/>
    <n v="2016"/>
    <s v="April"/>
    <x v="40"/>
    <s v="Transport and communication"/>
    <n v="112.1"/>
    <x v="6"/>
  </r>
  <r>
    <s v="Rural+Urban"/>
    <n v="2016"/>
    <s v="April"/>
    <x v="40"/>
    <s v="Recreation and amusement"/>
    <n v="121.1"/>
    <x v="1"/>
  </r>
  <r>
    <s v="Rural+Urban"/>
    <n v="2016"/>
    <s v="April"/>
    <x v="40"/>
    <s v="Education"/>
    <n v="127.7"/>
    <x v="7"/>
  </r>
  <r>
    <s v="Rural+Urban"/>
    <n v="2016"/>
    <s v="April"/>
    <x v="40"/>
    <s v="Personal care and effects"/>
    <n v="118.1"/>
    <x v="4"/>
  </r>
  <r>
    <s v="Rural+Urban"/>
    <n v="2016"/>
    <s v="April"/>
    <x v="40"/>
    <s v="Miscellaneous"/>
    <n v="120"/>
    <x v="8"/>
  </r>
  <r>
    <s v="Rural+Urban"/>
    <n v="2016"/>
    <s v="April"/>
    <x v="40"/>
    <s v="General index"/>
    <n v="127.3"/>
    <x v="9"/>
  </r>
  <r>
    <s v="Rural"/>
    <n v="2016"/>
    <s v="May"/>
    <x v="41"/>
    <s v="Cereals and products"/>
    <n v="127.6"/>
    <x v="0"/>
  </r>
  <r>
    <s v="Rural"/>
    <n v="2016"/>
    <s v="May"/>
    <x v="41"/>
    <s v="Meat and fish"/>
    <n v="137.5"/>
    <x v="0"/>
  </r>
  <r>
    <s v="Rural"/>
    <n v="2016"/>
    <s v="May"/>
    <x v="41"/>
    <s v="Egg"/>
    <n v="124.4"/>
    <x v="0"/>
  </r>
  <r>
    <s v="Rural"/>
    <n v="2016"/>
    <s v="May"/>
    <x v="41"/>
    <s v="Milk and products"/>
    <n v="132.4"/>
    <x v="0"/>
  </r>
  <r>
    <s v="Rural"/>
    <n v="2016"/>
    <s v="May"/>
    <x v="41"/>
    <s v="Oils and fats"/>
    <n v="118.2"/>
    <x v="0"/>
  </r>
  <r>
    <s v="Rural"/>
    <n v="2016"/>
    <s v="May"/>
    <x v="41"/>
    <s v="Fruits"/>
    <n v="138.1"/>
    <x v="0"/>
  </r>
  <r>
    <s v="Rural"/>
    <n v="2016"/>
    <s v="May"/>
    <x v="41"/>
    <s v="Vegetables"/>
    <n v="141.80000000000001"/>
    <x v="0"/>
  </r>
  <r>
    <s v="Rural"/>
    <n v="2016"/>
    <s v="May"/>
    <x v="41"/>
    <s v="Pulses and products"/>
    <n v="166"/>
    <x v="0"/>
  </r>
  <r>
    <s v="Rural"/>
    <n v="2016"/>
    <s v="May"/>
    <x v="41"/>
    <s v="Sugar and Confectionery"/>
    <n v="107.5"/>
    <x v="0"/>
  </r>
  <r>
    <s v="Rural"/>
    <n v="2016"/>
    <s v="May"/>
    <x v="41"/>
    <s v="Spices"/>
    <n v="132.19999999999999"/>
    <x v="0"/>
  </r>
  <r>
    <s v="Rural"/>
    <n v="2016"/>
    <s v="May"/>
    <x v="41"/>
    <s v="Non-alcoholic beverages"/>
    <n v="126.1"/>
    <x v="0"/>
  </r>
  <r>
    <s v="Rural"/>
    <n v="2016"/>
    <s v="May"/>
    <x v="41"/>
    <s v="Prepared meals, snacks, sweets etc."/>
    <n v="138.30000000000001"/>
    <x v="0"/>
  </r>
  <r>
    <s v="Rural"/>
    <n v="2016"/>
    <s v="May"/>
    <x v="41"/>
    <s v="Food and beverages"/>
    <n v="133.6"/>
    <x v="0"/>
  </r>
  <r>
    <s v="Rural"/>
    <n v="2016"/>
    <s v="May"/>
    <x v="41"/>
    <s v="Pan, tobacco and intoxicants"/>
    <n v="136"/>
    <x v="1"/>
  </r>
  <r>
    <s v="Rural"/>
    <n v="2016"/>
    <s v="May"/>
    <x v="41"/>
    <s v="Clothing"/>
    <n v="135.4"/>
    <x v="2"/>
  </r>
  <r>
    <s v="Rural"/>
    <n v="2016"/>
    <s v="May"/>
    <x v="41"/>
    <s v="Footwear"/>
    <n v="131.1"/>
    <x v="2"/>
  </r>
  <r>
    <s v="Rural"/>
    <n v="2016"/>
    <s v="May"/>
    <x v="41"/>
    <s v="Clothing and footwear"/>
    <n v="134.80000000000001"/>
    <x v="2"/>
  </r>
  <r>
    <s v="Rural"/>
    <n v="2016"/>
    <s v="May"/>
    <x v="41"/>
    <s v="Fuel and light"/>
    <n v="127.4"/>
    <x v="3"/>
  </r>
  <r>
    <s v="Rural"/>
    <n v="2016"/>
    <s v="May"/>
    <x v="41"/>
    <s v="Household goods and services"/>
    <n v="128.5"/>
    <x v="4"/>
  </r>
  <r>
    <s v="Rural"/>
    <n v="2016"/>
    <s v="May"/>
    <x v="41"/>
    <s v="Health"/>
    <n v="125.8"/>
    <x v="5"/>
  </r>
  <r>
    <s v="Rural"/>
    <n v="2016"/>
    <s v="May"/>
    <x v="41"/>
    <s v="Transport and communication"/>
    <n v="115.1"/>
    <x v="6"/>
  </r>
  <r>
    <s v="Rural"/>
    <n v="2016"/>
    <s v="May"/>
    <x v="41"/>
    <s v="Recreation and amusement"/>
    <n v="123.6"/>
    <x v="1"/>
  </r>
  <r>
    <s v="Rural"/>
    <n v="2016"/>
    <s v="May"/>
    <x v="41"/>
    <s v="Education"/>
    <n v="129.1"/>
    <x v="7"/>
  </r>
  <r>
    <s v="Rural"/>
    <n v="2016"/>
    <s v="May"/>
    <x v="41"/>
    <s v="Personal care and effects"/>
    <n v="119.7"/>
    <x v="4"/>
  </r>
  <r>
    <s v="Rural"/>
    <n v="2016"/>
    <s v="May"/>
    <x v="41"/>
    <s v="Miscellaneous"/>
    <n v="122.5"/>
    <x v="8"/>
  </r>
  <r>
    <s v="Rural"/>
    <n v="2016"/>
    <s v="May"/>
    <x v="41"/>
    <s v="General index"/>
    <n v="130.30000000000001"/>
    <x v="9"/>
  </r>
  <r>
    <s v="Urban"/>
    <n v="2016"/>
    <s v="May"/>
    <x v="41"/>
    <s v="Cereals and products"/>
    <n v="125"/>
    <x v="0"/>
  </r>
  <r>
    <s v="Urban"/>
    <n v="2016"/>
    <s v="May"/>
    <x v="41"/>
    <s v="Meat and fish"/>
    <n v="142.1"/>
    <x v="0"/>
  </r>
  <r>
    <s v="Urban"/>
    <n v="2016"/>
    <s v="May"/>
    <x v="41"/>
    <s v="Egg"/>
    <n v="127"/>
    <x v="0"/>
  </r>
  <r>
    <s v="Urban"/>
    <n v="2016"/>
    <s v="May"/>
    <x v="41"/>
    <s v="Milk and products"/>
    <n v="130.4"/>
    <x v="0"/>
  </r>
  <r>
    <s v="Urban"/>
    <n v="2016"/>
    <s v="May"/>
    <x v="41"/>
    <s v="Oils and fats"/>
    <n v="109.6"/>
    <x v="0"/>
  </r>
  <r>
    <s v="Urban"/>
    <n v="2016"/>
    <s v="May"/>
    <x v="41"/>
    <s v="Fruits"/>
    <n v="133.5"/>
    <x v="0"/>
  </r>
  <r>
    <s v="Urban"/>
    <n v="2016"/>
    <s v="May"/>
    <x v="41"/>
    <s v="Vegetables"/>
    <n v="151.4"/>
    <x v="0"/>
  </r>
  <r>
    <s v="Urban"/>
    <n v="2016"/>
    <s v="May"/>
    <x v="41"/>
    <s v="Pulses and products"/>
    <n v="182.8"/>
    <x v="0"/>
  </r>
  <r>
    <s v="Urban"/>
    <n v="2016"/>
    <s v="May"/>
    <x v="41"/>
    <s v="Sugar and Confectionery"/>
    <n v="111.1"/>
    <x v="0"/>
  </r>
  <r>
    <s v="Urban"/>
    <n v="2016"/>
    <s v="May"/>
    <x v="41"/>
    <s v="Spices"/>
    <n v="141.5"/>
    <x v="0"/>
  </r>
  <r>
    <s v="Urban"/>
    <n v="2016"/>
    <s v="May"/>
    <x v="41"/>
    <s v="Non-alcoholic beverages"/>
    <n v="121.5"/>
    <x v="0"/>
  </r>
  <r>
    <s v="Urban"/>
    <n v="2016"/>
    <s v="May"/>
    <x v="41"/>
    <s v="Prepared meals, snacks, sweets etc."/>
    <n v="136.30000000000001"/>
    <x v="0"/>
  </r>
  <r>
    <s v="Urban"/>
    <n v="2016"/>
    <s v="May"/>
    <x v="41"/>
    <s v="Food and beverages"/>
    <n v="134.6"/>
    <x v="0"/>
  </r>
  <r>
    <s v="Urban"/>
    <n v="2016"/>
    <s v="May"/>
    <x v="41"/>
    <s v="Pan, tobacco and intoxicants"/>
    <n v="142.19999999999999"/>
    <x v="1"/>
  </r>
  <r>
    <s v="Urban"/>
    <n v="2016"/>
    <s v="May"/>
    <x v="41"/>
    <s v="Clothing"/>
    <n v="127.2"/>
    <x v="2"/>
  </r>
  <r>
    <s v="Urban"/>
    <n v="2016"/>
    <s v="May"/>
    <x v="41"/>
    <s v="Footwear"/>
    <n v="120.7"/>
    <x v="2"/>
  </r>
  <r>
    <s v="Urban"/>
    <n v="2016"/>
    <s v="May"/>
    <x v="41"/>
    <s v="Clothing and footwear"/>
    <n v="126.2"/>
    <x v="2"/>
  </r>
  <r>
    <s v="Urban"/>
    <n v="2016"/>
    <s v="May"/>
    <x v="41"/>
    <s v="Housing"/>
    <n v="126"/>
    <x v="10"/>
  </r>
  <r>
    <s v="Urban"/>
    <n v="2016"/>
    <s v="May"/>
    <x v="41"/>
    <s v="Fuel and light"/>
    <n v="115"/>
    <x v="3"/>
  </r>
  <r>
    <s v="Urban"/>
    <n v="2016"/>
    <s v="May"/>
    <x v="41"/>
    <s v="Household goods and services"/>
    <n v="123.2"/>
    <x v="4"/>
  </r>
  <r>
    <s v="Urban"/>
    <n v="2016"/>
    <s v="May"/>
    <x v="41"/>
    <s v="Health"/>
    <n v="120.3"/>
    <x v="5"/>
  </r>
  <r>
    <s v="Urban"/>
    <n v="2016"/>
    <s v="May"/>
    <x v="41"/>
    <s v="Transport and communication"/>
    <n v="110.7"/>
    <x v="6"/>
  </r>
  <r>
    <s v="Urban"/>
    <n v="2016"/>
    <s v="May"/>
    <x v="41"/>
    <s v="Recreation and amusement"/>
    <n v="119.8"/>
    <x v="1"/>
  </r>
  <r>
    <s v="Urban"/>
    <n v="2016"/>
    <s v="May"/>
    <x v="41"/>
    <s v="Education"/>
    <n v="128"/>
    <x v="7"/>
  </r>
  <r>
    <s v="Urban"/>
    <n v="2016"/>
    <s v="May"/>
    <x v="41"/>
    <s v="Personal care and effects"/>
    <n v="118.5"/>
    <x v="4"/>
  </r>
  <r>
    <s v="Urban"/>
    <n v="2016"/>
    <s v="May"/>
    <x v="41"/>
    <s v="Miscellaneous"/>
    <n v="118.7"/>
    <x v="8"/>
  </r>
  <r>
    <s v="Urban"/>
    <n v="2016"/>
    <s v="May"/>
    <x v="41"/>
    <s v="General index"/>
    <n v="126.6"/>
    <x v="9"/>
  </r>
  <r>
    <s v="Rural+Urban"/>
    <n v="2016"/>
    <s v="May"/>
    <x v="41"/>
    <s v="Cereals and products"/>
    <n v="126.8"/>
    <x v="0"/>
  </r>
  <r>
    <s v="Rural+Urban"/>
    <n v="2016"/>
    <s v="May"/>
    <x v="41"/>
    <s v="Meat and fish"/>
    <n v="139.1"/>
    <x v="0"/>
  </r>
  <r>
    <s v="Rural+Urban"/>
    <n v="2016"/>
    <s v="May"/>
    <x v="41"/>
    <s v="Egg"/>
    <n v="125.4"/>
    <x v="0"/>
  </r>
  <r>
    <s v="Rural+Urban"/>
    <n v="2016"/>
    <s v="May"/>
    <x v="41"/>
    <s v="Milk and products"/>
    <n v="131.69999999999999"/>
    <x v="0"/>
  </r>
  <r>
    <s v="Rural+Urban"/>
    <n v="2016"/>
    <s v="May"/>
    <x v="41"/>
    <s v="Oils and fats"/>
    <n v="115"/>
    <x v="0"/>
  </r>
  <r>
    <s v="Rural+Urban"/>
    <n v="2016"/>
    <s v="May"/>
    <x v="41"/>
    <s v="Fruits"/>
    <n v="136"/>
    <x v="0"/>
  </r>
  <r>
    <s v="Rural+Urban"/>
    <n v="2016"/>
    <s v="May"/>
    <x v="41"/>
    <s v="Vegetables"/>
    <n v="145.1"/>
    <x v="0"/>
  </r>
  <r>
    <s v="Rural+Urban"/>
    <n v="2016"/>
    <s v="May"/>
    <x v="41"/>
    <s v="Pulses and products"/>
    <n v="171.7"/>
    <x v="0"/>
  </r>
  <r>
    <s v="Rural+Urban"/>
    <n v="2016"/>
    <s v="May"/>
    <x v="41"/>
    <s v="Sugar and Confectionery"/>
    <n v="108.7"/>
    <x v="0"/>
  </r>
  <r>
    <s v="Rural+Urban"/>
    <n v="2016"/>
    <s v="May"/>
    <x v="41"/>
    <s v="Spices"/>
    <n v="135.30000000000001"/>
    <x v="0"/>
  </r>
  <r>
    <s v="Rural+Urban"/>
    <n v="2016"/>
    <s v="May"/>
    <x v="41"/>
    <s v="Non-alcoholic beverages"/>
    <n v="124.2"/>
    <x v="0"/>
  </r>
  <r>
    <s v="Rural+Urban"/>
    <n v="2016"/>
    <s v="May"/>
    <x v="41"/>
    <s v="Prepared meals, snacks, sweets etc."/>
    <n v="137.4"/>
    <x v="0"/>
  </r>
  <r>
    <s v="Rural+Urban"/>
    <n v="2016"/>
    <s v="May"/>
    <x v="41"/>
    <s v="Food and beverages"/>
    <n v="134"/>
    <x v="0"/>
  </r>
  <r>
    <s v="Rural+Urban"/>
    <n v="2016"/>
    <s v="May"/>
    <x v="41"/>
    <s v="Pan, tobacco and intoxicants"/>
    <n v="137.69999999999999"/>
    <x v="1"/>
  </r>
  <r>
    <s v="Rural+Urban"/>
    <n v="2016"/>
    <s v="May"/>
    <x v="41"/>
    <s v="Clothing"/>
    <n v="132.19999999999999"/>
    <x v="2"/>
  </r>
  <r>
    <s v="Rural+Urban"/>
    <n v="2016"/>
    <s v="May"/>
    <x v="41"/>
    <s v="Footwear"/>
    <n v="126.8"/>
    <x v="2"/>
  </r>
  <r>
    <s v="Rural+Urban"/>
    <n v="2016"/>
    <s v="May"/>
    <x v="41"/>
    <s v="Clothing and footwear"/>
    <n v="131.4"/>
    <x v="2"/>
  </r>
  <r>
    <s v="Rural+Urban"/>
    <n v="2016"/>
    <s v="May"/>
    <x v="41"/>
    <s v="Housing"/>
    <n v="126"/>
    <x v="10"/>
  </r>
  <r>
    <s v="Rural+Urban"/>
    <n v="2016"/>
    <s v="May"/>
    <x v="41"/>
    <s v="Fuel and light"/>
    <n v="122.7"/>
    <x v="3"/>
  </r>
  <r>
    <s v="Rural+Urban"/>
    <n v="2016"/>
    <s v="May"/>
    <x v="41"/>
    <s v="Household goods and services"/>
    <n v="126"/>
    <x v="4"/>
  </r>
  <r>
    <s v="Rural+Urban"/>
    <n v="2016"/>
    <s v="May"/>
    <x v="41"/>
    <s v="Health"/>
    <n v="123.7"/>
    <x v="5"/>
  </r>
  <r>
    <s v="Rural+Urban"/>
    <n v="2016"/>
    <s v="May"/>
    <x v="41"/>
    <s v="Transport and communication"/>
    <n v="112.8"/>
    <x v="6"/>
  </r>
  <r>
    <s v="Rural+Urban"/>
    <n v="2016"/>
    <s v="May"/>
    <x v="41"/>
    <s v="Recreation and amusement"/>
    <n v="121.5"/>
    <x v="1"/>
  </r>
  <r>
    <s v="Rural+Urban"/>
    <n v="2016"/>
    <s v="May"/>
    <x v="41"/>
    <s v="Education"/>
    <n v="128.5"/>
    <x v="7"/>
  </r>
  <r>
    <s v="Rural+Urban"/>
    <n v="2016"/>
    <s v="May"/>
    <x v="41"/>
    <s v="Personal care and effects"/>
    <n v="119.2"/>
    <x v="4"/>
  </r>
  <r>
    <s v="Rural+Urban"/>
    <n v="2016"/>
    <s v="May"/>
    <x v="41"/>
    <s v="Miscellaneous"/>
    <n v="120.7"/>
    <x v="8"/>
  </r>
  <r>
    <s v="Rural+Urban"/>
    <n v="2016"/>
    <s v="May"/>
    <x v="41"/>
    <s v="General index"/>
    <n v="128.6"/>
    <x v="9"/>
  </r>
  <r>
    <s v="Rural"/>
    <n v="2016"/>
    <s v="June"/>
    <x v="42"/>
    <s v="Cereals and products"/>
    <n v="128.6"/>
    <x v="0"/>
  </r>
  <r>
    <s v="Rural"/>
    <n v="2016"/>
    <s v="June"/>
    <x v="42"/>
    <s v="Meat and fish"/>
    <n v="138.6"/>
    <x v="0"/>
  </r>
  <r>
    <s v="Rural"/>
    <n v="2016"/>
    <s v="June"/>
    <x v="42"/>
    <s v="Egg"/>
    <n v="126.6"/>
    <x v="0"/>
  </r>
  <r>
    <s v="Rural"/>
    <n v="2016"/>
    <s v="June"/>
    <x v="42"/>
    <s v="Milk and products"/>
    <n v="133.6"/>
    <x v="0"/>
  </r>
  <r>
    <s v="Rural"/>
    <n v="2016"/>
    <s v="June"/>
    <x v="42"/>
    <s v="Oils and fats"/>
    <n v="118.6"/>
    <x v="0"/>
  </r>
  <r>
    <s v="Rural"/>
    <n v="2016"/>
    <s v="June"/>
    <x v="42"/>
    <s v="Fruits"/>
    <n v="137.4"/>
    <x v="0"/>
  </r>
  <r>
    <s v="Rural"/>
    <n v="2016"/>
    <s v="June"/>
    <x v="42"/>
    <s v="Vegetables"/>
    <n v="152.5"/>
    <x v="0"/>
  </r>
  <r>
    <s v="Rural"/>
    <n v="2016"/>
    <s v="June"/>
    <x v="42"/>
    <s v="Pulses and products"/>
    <n v="169.2"/>
    <x v="0"/>
  </r>
  <r>
    <s v="Rural"/>
    <n v="2016"/>
    <s v="June"/>
    <x v="42"/>
    <s v="Sugar and Confectionery"/>
    <n v="108.8"/>
    <x v="0"/>
  </r>
  <r>
    <s v="Rural"/>
    <n v="2016"/>
    <s v="June"/>
    <x v="42"/>
    <s v="Spices"/>
    <n v="133.1"/>
    <x v="0"/>
  </r>
  <r>
    <s v="Rural"/>
    <n v="2016"/>
    <s v="June"/>
    <x v="42"/>
    <s v="Non-alcoholic beverages"/>
    <n v="126.4"/>
    <x v="0"/>
  </r>
  <r>
    <s v="Rural"/>
    <n v="2016"/>
    <s v="June"/>
    <x v="42"/>
    <s v="Prepared meals, snacks, sweets etc."/>
    <n v="139.19999999999999"/>
    <x v="0"/>
  </r>
  <r>
    <s v="Rural"/>
    <n v="2016"/>
    <s v="June"/>
    <x v="42"/>
    <s v="Food and beverages"/>
    <n v="136"/>
    <x v="0"/>
  </r>
  <r>
    <s v="Rural"/>
    <n v="2016"/>
    <s v="June"/>
    <x v="42"/>
    <s v="Pan, tobacco and intoxicants"/>
    <n v="137.19999999999999"/>
    <x v="1"/>
  </r>
  <r>
    <s v="Rural"/>
    <n v="2016"/>
    <s v="June"/>
    <x v="42"/>
    <s v="Clothing"/>
    <n v="136.30000000000001"/>
    <x v="2"/>
  </r>
  <r>
    <s v="Rural"/>
    <n v="2016"/>
    <s v="June"/>
    <x v="42"/>
    <s v="Footwear"/>
    <n v="131.6"/>
    <x v="2"/>
  </r>
  <r>
    <s v="Rural"/>
    <n v="2016"/>
    <s v="June"/>
    <x v="42"/>
    <s v="Clothing and footwear"/>
    <n v="135.6"/>
    <x v="2"/>
  </r>
  <r>
    <s v="Rural"/>
    <n v="2016"/>
    <s v="June"/>
    <x v="42"/>
    <s v="Fuel and light"/>
    <n v="128"/>
    <x v="3"/>
  </r>
  <r>
    <s v="Rural"/>
    <n v="2016"/>
    <s v="June"/>
    <x v="42"/>
    <s v="Household goods and services"/>
    <n v="129.30000000000001"/>
    <x v="4"/>
  </r>
  <r>
    <s v="Rural"/>
    <n v="2016"/>
    <s v="June"/>
    <x v="42"/>
    <s v="Health"/>
    <n v="126.2"/>
    <x v="5"/>
  </r>
  <r>
    <s v="Rural"/>
    <n v="2016"/>
    <s v="June"/>
    <x v="42"/>
    <s v="Transport and communication"/>
    <n v="116.3"/>
    <x v="6"/>
  </r>
  <r>
    <s v="Rural"/>
    <n v="2016"/>
    <s v="June"/>
    <x v="42"/>
    <s v="Recreation and amusement"/>
    <n v="124.1"/>
    <x v="1"/>
  </r>
  <r>
    <s v="Rural"/>
    <n v="2016"/>
    <s v="June"/>
    <x v="42"/>
    <s v="Education"/>
    <n v="130.19999999999999"/>
    <x v="7"/>
  </r>
  <r>
    <s v="Rural"/>
    <n v="2016"/>
    <s v="June"/>
    <x v="42"/>
    <s v="Personal care and effects"/>
    <n v="119.9"/>
    <x v="4"/>
  </r>
  <r>
    <s v="Rural"/>
    <n v="2016"/>
    <s v="June"/>
    <x v="42"/>
    <s v="Miscellaneous"/>
    <n v="123.3"/>
    <x v="8"/>
  </r>
  <r>
    <s v="Rural"/>
    <n v="2016"/>
    <s v="June"/>
    <x v="42"/>
    <s v="General index"/>
    <n v="131.9"/>
    <x v="9"/>
  </r>
  <r>
    <s v="Urban"/>
    <n v="2016"/>
    <s v="June"/>
    <x v="42"/>
    <s v="Cereals and products"/>
    <n v="125.9"/>
    <x v="0"/>
  </r>
  <r>
    <s v="Urban"/>
    <n v="2016"/>
    <s v="June"/>
    <x v="42"/>
    <s v="Meat and fish"/>
    <n v="143.9"/>
    <x v="0"/>
  </r>
  <r>
    <s v="Urban"/>
    <n v="2016"/>
    <s v="June"/>
    <x v="42"/>
    <s v="Egg"/>
    <n v="130.9"/>
    <x v="0"/>
  </r>
  <r>
    <s v="Urban"/>
    <n v="2016"/>
    <s v="June"/>
    <x v="42"/>
    <s v="Milk and products"/>
    <n v="131"/>
    <x v="0"/>
  </r>
  <r>
    <s v="Urban"/>
    <n v="2016"/>
    <s v="June"/>
    <x v="42"/>
    <s v="Oils and fats"/>
    <n v="110.2"/>
    <x v="0"/>
  </r>
  <r>
    <s v="Urban"/>
    <n v="2016"/>
    <s v="June"/>
    <x v="42"/>
    <s v="Fruits"/>
    <n v="135.5"/>
    <x v="0"/>
  </r>
  <r>
    <s v="Urban"/>
    <n v="2016"/>
    <s v="June"/>
    <x v="42"/>
    <s v="Vegetables"/>
    <n v="173.7"/>
    <x v="0"/>
  </r>
  <r>
    <s v="Urban"/>
    <n v="2016"/>
    <s v="June"/>
    <x v="42"/>
    <s v="Pulses and products"/>
    <n v="184.4"/>
    <x v="0"/>
  </r>
  <r>
    <s v="Urban"/>
    <n v="2016"/>
    <s v="June"/>
    <x v="42"/>
    <s v="Sugar and Confectionery"/>
    <n v="112"/>
    <x v="0"/>
  </r>
  <r>
    <s v="Urban"/>
    <n v="2016"/>
    <s v="June"/>
    <x v="42"/>
    <s v="Spices"/>
    <n v="142.80000000000001"/>
    <x v="0"/>
  </r>
  <r>
    <s v="Urban"/>
    <n v="2016"/>
    <s v="June"/>
    <x v="42"/>
    <s v="Non-alcoholic beverages"/>
    <n v="121.6"/>
    <x v="0"/>
  </r>
  <r>
    <s v="Urban"/>
    <n v="2016"/>
    <s v="June"/>
    <x v="42"/>
    <s v="Prepared meals, snacks, sweets etc."/>
    <n v="136.9"/>
    <x v="0"/>
  </r>
  <r>
    <s v="Urban"/>
    <n v="2016"/>
    <s v="June"/>
    <x v="42"/>
    <s v="Food and beverages"/>
    <n v="138.19999999999999"/>
    <x v="0"/>
  </r>
  <r>
    <s v="Urban"/>
    <n v="2016"/>
    <s v="June"/>
    <x v="42"/>
    <s v="Pan, tobacco and intoxicants"/>
    <n v="142.69999999999999"/>
    <x v="1"/>
  </r>
  <r>
    <s v="Urban"/>
    <n v="2016"/>
    <s v="June"/>
    <x v="42"/>
    <s v="Clothing"/>
    <n v="127.6"/>
    <x v="2"/>
  </r>
  <r>
    <s v="Urban"/>
    <n v="2016"/>
    <s v="June"/>
    <x v="42"/>
    <s v="Footwear"/>
    <n v="121.1"/>
    <x v="2"/>
  </r>
  <r>
    <s v="Urban"/>
    <n v="2016"/>
    <s v="June"/>
    <x v="42"/>
    <s v="Clothing and footwear"/>
    <n v="126.6"/>
    <x v="2"/>
  </r>
  <r>
    <s v="Urban"/>
    <n v="2016"/>
    <s v="June"/>
    <x v="42"/>
    <s v="Housing"/>
    <n v="125.5"/>
    <x v="10"/>
  </r>
  <r>
    <s v="Urban"/>
    <n v="2016"/>
    <s v="June"/>
    <x v="42"/>
    <s v="Fuel and light"/>
    <n v="115.5"/>
    <x v="3"/>
  </r>
  <r>
    <s v="Urban"/>
    <n v="2016"/>
    <s v="June"/>
    <x v="42"/>
    <s v="Household goods and services"/>
    <n v="123.2"/>
    <x v="4"/>
  </r>
  <r>
    <s v="Urban"/>
    <n v="2016"/>
    <s v="June"/>
    <x v="42"/>
    <s v="Health"/>
    <n v="120.6"/>
    <x v="5"/>
  </r>
  <r>
    <s v="Urban"/>
    <n v="2016"/>
    <s v="June"/>
    <x v="42"/>
    <s v="Transport and communication"/>
    <n v="112.3"/>
    <x v="6"/>
  </r>
  <r>
    <s v="Urban"/>
    <n v="2016"/>
    <s v="June"/>
    <x v="42"/>
    <s v="Recreation and amusement"/>
    <n v="119.9"/>
    <x v="1"/>
  </r>
  <r>
    <s v="Urban"/>
    <n v="2016"/>
    <s v="June"/>
    <x v="42"/>
    <s v="Education"/>
    <n v="129.30000000000001"/>
    <x v="7"/>
  </r>
  <r>
    <s v="Urban"/>
    <n v="2016"/>
    <s v="June"/>
    <x v="42"/>
    <s v="Personal care and effects"/>
    <n v="118.8"/>
    <x v="4"/>
  </r>
  <r>
    <s v="Urban"/>
    <n v="2016"/>
    <s v="June"/>
    <x v="42"/>
    <s v="Miscellaneous"/>
    <n v="119.6"/>
    <x v="8"/>
  </r>
  <r>
    <s v="Urban"/>
    <n v="2016"/>
    <s v="June"/>
    <x v="42"/>
    <s v="General index"/>
    <n v="128.1"/>
    <x v="9"/>
  </r>
  <r>
    <s v="Rural+Urban"/>
    <n v="2016"/>
    <s v="June"/>
    <x v="42"/>
    <s v="Cereals and products"/>
    <n v="127.7"/>
    <x v="0"/>
  </r>
  <r>
    <s v="Rural+Urban"/>
    <n v="2016"/>
    <s v="June"/>
    <x v="42"/>
    <s v="Meat and fish"/>
    <n v="140.5"/>
    <x v="0"/>
  </r>
  <r>
    <s v="Rural+Urban"/>
    <n v="2016"/>
    <s v="June"/>
    <x v="42"/>
    <s v="Egg"/>
    <n v="128.30000000000001"/>
    <x v="0"/>
  </r>
  <r>
    <s v="Rural+Urban"/>
    <n v="2016"/>
    <s v="June"/>
    <x v="42"/>
    <s v="Milk and products"/>
    <n v="132.6"/>
    <x v="0"/>
  </r>
  <r>
    <s v="Rural+Urban"/>
    <n v="2016"/>
    <s v="June"/>
    <x v="42"/>
    <s v="Oils and fats"/>
    <n v="115.5"/>
    <x v="0"/>
  </r>
  <r>
    <s v="Rural+Urban"/>
    <n v="2016"/>
    <s v="June"/>
    <x v="42"/>
    <s v="Fruits"/>
    <n v="136.5"/>
    <x v="0"/>
  </r>
  <r>
    <s v="Rural+Urban"/>
    <n v="2016"/>
    <s v="June"/>
    <x v="42"/>
    <s v="Vegetables"/>
    <n v="159.69999999999999"/>
    <x v="0"/>
  </r>
  <r>
    <s v="Rural+Urban"/>
    <n v="2016"/>
    <s v="June"/>
    <x v="42"/>
    <s v="Pulses and products"/>
    <n v="174.3"/>
    <x v="0"/>
  </r>
  <r>
    <s v="Rural+Urban"/>
    <n v="2016"/>
    <s v="June"/>
    <x v="42"/>
    <s v="Sugar and Confectionery"/>
    <n v="109.9"/>
    <x v="0"/>
  </r>
  <r>
    <s v="Rural+Urban"/>
    <n v="2016"/>
    <s v="June"/>
    <x v="42"/>
    <s v="Spices"/>
    <n v="136.30000000000001"/>
    <x v="0"/>
  </r>
  <r>
    <s v="Rural+Urban"/>
    <n v="2016"/>
    <s v="June"/>
    <x v="42"/>
    <s v="Non-alcoholic beverages"/>
    <n v="124.4"/>
    <x v="0"/>
  </r>
  <r>
    <s v="Rural+Urban"/>
    <n v="2016"/>
    <s v="June"/>
    <x v="42"/>
    <s v="Prepared meals, snacks, sweets etc."/>
    <n v="138.1"/>
    <x v="0"/>
  </r>
  <r>
    <s v="Rural+Urban"/>
    <n v="2016"/>
    <s v="June"/>
    <x v="42"/>
    <s v="Food and beverages"/>
    <n v="136.80000000000001"/>
    <x v="0"/>
  </r>
  <r>
    <s v="Rural+Urban"/>
    <n v="2016"/>
    <s v="June"/>
    <x v="42"/>
    <s v="Pan, tobacco and intoxicants"/>
    <n v="138.69999999999999"/>
    <x v="1"/>
  </r>
  <r>
    <s v="Rural+Urban"/>
    <n v="2016"/>
    <s v="June"/>
    <x v="42"/>
    <s v="Clothing"/>
    <n v="132.9"/>
    <x v="2"/>
  </r>
  <r>
    <s v="Rural+Urban"/>
    <n v="2016"/>
    <s v="June"/>
    <x v="42"/>
    <s v="Footwear"/>
    <n v="127.2"/>
    <x v="2"/>
  </r>
  <r>
    <s v="Rural+Urban"/>
    <n v="2016"/>
    <s v="June"/>
    <x v="42"/>
    <s v="Clothing and footwear"/>
    <n v="132"/>
    <x v="2"/>
  </r>
  <r>
    <s v="Rural+Urban"/>
    <n v="2016"/>
    <s v="June"/>
    <x v="42"/>
    <s v="Housing"/>
    <n v="125.5"/>
    <x v="10"/>
  </r>
  <r>
    <s v="Rural+Urban"/>
    <n v="2016"/>
    <s v="June"/>
    <x v="42"/>
    <s v="Fuel and light"/>
    <n v="123.3"/>
    <x v="3"/>
  </r>
  <r>
    <s v="Rural+Urban"/>
    <n v="2016"/>
    <s v="June"/>
    <x v="42"/>
    <s v="Household goods and services"/>
    <n v="126.4"/>
    <x v="4"/>
  </r>
  <r>
    <s v="Rural+Urban"/>
    <n v="2016"/>
    <s v="June"/>
    <x v="42"/>
    <s v="Health"/>
    <n v="124.1"/>
    <x v="5"/>
  </r>
  <r>
    <s v="Rural+Urban"/>
    <n v="2016"/>
    <s v="June"/>
    <x v="42"/>
    <s v="Transport and communication"/>
    <n v="114.2"/>
    <x v="6"/>
  </r>
  <r>
    <s v="Rural+Urban"/>
    <n v="2016"/>
    <s v="June"/>
    <x v="42"/>
    <s v="Recreation and amusement"/>
    <n v="121.7"/>
    <x v="1"/>
  </r>
  <r>
    <s v="Rural+Urban"/>
    <n v="2016"/>
    <s v="June"/>
    <x v="42"/>
    <s v="Education"/>
    <n v="129.69999999999999"/>
    <x v="7"/>
  </r>
  <r>
    <s v="Rural+Urban"/>
    <n v="2016"/>
    <s v="June"/>
    <x v="42"/>
    <s v="Personal care and effects"/>
    <n v="119.4"/>
    <x v="4"/>
  </r>
  <r>
    <s v="Rural+Urban"/>
    <n v="2016"/>
    <s v="June"/>
    <x v="42"/>
    <s v="Miscellaneous"/>
    <n v="121.5"/>
    <x v="8"/>
  </r>
  <r>
    <s v="Rural+Urban"/>
    <n v="2016"/>
    <s v="June"/>
    <x v="42"/>
    <s v="General index"/>
    <n v="130.1"/>
    <x v="9"/>
  </r>
  <r>
    <s v="Rural"/>
    <n v="2016"/>
    <s v="July"/>
    <x v="43"/>
    <s v="Cereals and products"/>
    <n v="129.30000000000001"/>
    <x v="0"/>
  </r>
  <r>
    <s v="Rural"/>
    <n v="2016"/>
    <s v="July"/>
    <x v="43"/>
    <s v="Meat and fish"/>
    <n v="139.5"/>
    <x v="0"/>
  </r>
  <r>
    <s v="Rural"/>
    <n v="2016"/>
    <s v="July"/>
    <x v="43"/>
    <s v="Egg"/>
    <n v="129.6"/>
    <x v="0"/>
  </r>
  <r>
    <s v="Rural"/>
    <n v="2016"/>
    <s v="July"/>
    <x v="43"/>
    <s v="Milk and products"/>
    <n v="134.5"/>
    <x v="0"/>
  </r>
  <r>
    <s v="Rural"/>
    <n v="2016"/>
    <s v="July"/>
    <x v="43"/>
    <s v="Oils and fats"/>
    <n v="119.5"/>
    <x v="0"/>
  </r>
  <r>
    <s v="Rural"/>
    <n v="2016"/>
    <s v="July"/>
    <x v="43"/>
    <s v="Fruits"/>
    <n v="138.5"/>
    <x v="0"/>
  </r>
  <r>
    <s v="Rural"/>
    <n v="2016"/>
    <s v="July"/>
    <x v="43"/>
    <s v="Vegetables"/>
    <n v="158.19999999999999"/>
    <x v="0"/>
  </r>
  <r>
    <s v="Rural"/>
    <n v="2016"/>
    <s v="July"/>
    <x v="43"/>
    <s v="Pulses and products"/>
    <n v="171.8"/>
    <x v="0"/>
  </r>
  <r>
    <s v="Rural"/>
    <n v="2016"/>
    <s v="July"/>
    <x v="43"/>
    <s v="Sugar and Confectionery"/>
    <n v="110.3"/>
    <x v="0"/>
  </r>
  <r>
    <s v="Rural"/>
    <n v="2016"/>
    <s v="July"/>
    <x v="43"/>
    <s v="Spices"/>
    <n v="134.30000000000001"/>
    <x v="0"/>
  </r>
  <r>
    <s v="Rural"/>
    <n v="2016"/>
    <s v="July"/>
    <x v="43"/>
    <s v="Non-alcoholic beverages"/>
    <n v="127.3"/>
    <x v="0"/>
  </r>
  <r>
    <s v="Rural"/>
    <n v="2016"/>
    <s v="July"/>
    <x v="43"/>
    <s v="Prepared meals, snacks, sweets etc."/>
    <n v="139.9"/>
    <x v="0"/>
  </r>
  <r>
    <s v="Rural"/>
    <n v="2016"/>
    <s v="July"/>
    <x v="43"/>
    <s v="Food and beverages"/>
    <n v="137.6"/>
    <x v="0"/>
  </r>
  <r>
    <s v="Rural"/>
    <n v="2016"/>
    <s v="July"/>
    <x v="43"/>
    <s v="Pan, tobacco and intoxicants"/>
    <n v="138"/>
    <x v="1"/>
  </r>
  <r>
    <s v="Rural"/>
    <n v="2016"/>
    <s v="July"/>
    <x v="43"/>
    <s v="Clothing"/>
    <n v="137.19999999999999"/>
    <x v="2"/>
  </r>
  <r>
    <s v="Rural"/>
    <n v="2016"/>
    <s v="July"/>
    <x v="43"/>
    <s v="Footwear"/>
    <n v="132.19999999999999"/>
    <x v="2"/>
  </r>
  <r>
    <s v="Rural"/>
    <n v="2016"/>
    <s v="July"/>
    <x v="43"/>
    <s v="Clothing and footwear"/>
    <n v="136.5"/>
    <x v="2"/>
  </r>
  <r>
    <s v="Rural"/>
    <n v="2016"/>
    <s v="July"/>
    <x v="43"/>
    <s v="Fuel and light"/>
    <n v="128.19999999999999"/>
    <x v="3"/>
  </r>
  <r>
    <s v="Rural"/>
    <n v="2016"/>
    <s v="July"/>
    <x v="43"/>
    <s v="Household goods and services"/>
    <n v="130"/>
    <x v="4"/>
  </r>
  <r>
    <s v="Rural"/>
    <n v="2016"/>
    <s v="July"/>
    <x v="43"/>
    <s v="Health"/>
    <n v="126.7"/>
    <x v="5"/>
  </r>
  <r>
    <s v="Rural"/>
    <n v="2016"/>
    <s v="July"/>
    <x v="43"/>
    <s v="Transport and communication"/>
    <n v="116.4"/>
    <x v="6"/>
  </r>
  <r>
    <s v="Rural"/>
    <n v="2016"/>
    <s v="July"/>
    <x v="43"/>
    <s v="Recreation and amusement"/>
    <n v="125.2"/>
    <x v="1"/>
  </r>
  <r>
    <s v="Rural"/>
    <n v="2016"/>
    <s v="July"/>
    <x v="43"/>
    <s v="Education"/>
    <n v="130.80000000000001"/>
    <x v="7"/>
  </r>
  <r>
    <s v="Rural"/>
    <n v="2016"/>
    <s v="July"/>
    <x v="43"/>
    <s v="Personal care and effects"/>
    <n v="120.9"/>
    <x v="4"/>
  </r>
  <r>
    <s v="Rural"/>
    <n v="2016"/>
    <s v="July"/>
    <x v="43"/>
    <s v="Miscellaneous"/>
    <n v="123.8"/>
    <x v="8"/>
  </r>
  <r>
    <s v="Rural"/>
    <n v="2016"/>
    <s v="July"/>
    <x v="43"/>
    <s v="General index"/>
    <n v="133"/>
    <x v="9"/>
  </r>
  <r>
    <s v="Urban"/>
    <n v="2016"/>
    <s v="July"/>
    <x v="43"/>
    <s v="Cereals and products"/>
    <n v="126.8"/>
    <x v="0"/>
  </r>
  <r>
    <s v="Urban"/>
    <n v="2016"/>
    <s v="July"/>
    <x v="43"/>
    <s v="Meat and fish"/>
    <n v="144.19999999999999"/>
    <x v="0"/>
  </r>
  <r>
    <s v="Urban"/>
    <n v="2016"/>
    <s v="July"/>
    <x v="43"/>
    <s v="Egg"/>
    <n v="136.6"/>
    <x v="0"/>
  </r>
  <r>
    <s v="Urban"/>
    <n v="2016"/>
    <s v="July"/>
    <x v="43"/>
    <s v="Milk and products"/>
    <n v="131.80000000000001"/>
    <x v="0"/>
  </r>
  <r>
    <s v="Urban"/>
    <n v="2016"/>
    <s v="July"/>
    <x v="43"/>
    <s v="Oils and fats"/>
    <n v="111"/>
    <x v="0"/>
  </r>
  <r>
    <s v="Urban"/>
    <n v="2016"/>
    <s v="July"/>
    <x v="43"/>
    <s v="Fruits"/>
    <n v="137"/>
    <x v="0"/>
  </r>
  <r>
    <s v="Urban"/>
    <n v="2016"/>
    <s v="July"/>
    <x v="43"/>
    <s v="Vegetables"/>
    <n v="179.5"/>
    <x v="0"/>
  </r>
  <r>
    <s v="Urban"/>
    <n v="2016"/>
    <s v="July"/>
    <x v="43"/>
    <s v="Pulses and products"/>
    <n v="188.4"/>
    <x v="0"/>
  </r>
  <r>
    <s v="Urban"/>
    <n v="2016"/>
    <s v="July"/>
    <x v="43"/>
    <s v="Sugar and Confectionery"/>
    <n v="113.3"/>
    <x v="0"/>
  </r>
  <r>
    <s v="Urban"/>
    <n v="2016"/>
    <s v="July"/>
    <x v="43"/>
    <s v="Spices"/>
    <n v="143.9"/>
    <x v="0"/>
  </r>
  <r>
    <s v="Urban"/>
    <n v="2016"/>
    <s v="July"/>
    <x v="43"/>
    <s v="Non-alcoholic beverages"/>
    <n v="121.7"/>
    <x v="0"/>
  </r>
  <r>
    <s v="Urban"/>
    <n v="2016"/>
    <s v="July"/>
    <x v="43"/>
    <s v="Prepared meals, snacks, sweets etc."/>
    <n v="137.5"/>
    <x v="0"/>
  </r>
  <r>
    <s v="Urban"/>
    <n v="2016"/>
    <s v="July"/>
    <x v="43"/>
    <s v="Food and beverages"/>
    <n v="139.80000000000001"/>
    <x v="0"/>
  </r>
  <r>
    <s v="Urban"/>
    <n v="2016"/>
    <s v="July"/>
    <x v="43"/>
    <s v="Pan, tobacco and intoxicants"/>
    <n v="142.9"/>
    <x v="1"/>
  </r>
  <r>
    <s v="Urban"/>
    <n v="2016"/>
    <s v="July"/>
    <x v="43"/>
    <s v="Clothing"/>
    <n v="127.9"/>
    <x v="2"/>
  </r>
  <r>
    <s v="Urban"/>
    <n v="2016"/>
    <s v="July"/>
    <x v="43"/>
    <s v="Footwear"/>
    <n v="121.1"/>
    <x v="2"/>
  </r>
  <r>
    <s v="Urban"/>
    <n v="2016"/>
    <s v="July"/>
    <x v="43"/>
    <s v="Clothing and footwear"/>
    <n v="126.9"/>
    <x v="2"/>
  </r>
  <r>
    <s v="Urban"/>
    <n v="2016"/>
    <s v="July"/>
    <x v="43"/>
    <s v="Housing"/>
    <n v="126.4"/>
    <x v="10"/>
  </r>
  <r>
    <s v="Urban"/>
    <n v="2016"/>
    <s v="July"/>
    <x v="43"/>
    <s v="Fuel and light"/>
    <n v="115.5"/>
    <x v="3"/>
  </r>
  <r>
    <s v="Urban"/>
    <n v="2016"/>
    <s v="July"/>
    <x v="43"/>
    <s v="Household goods and services"/>
    <n v="123.5"/>
    <x v="4"/>
  </r>
  <r>
    <s v="Urban"/>
    <n v="2016"/>
    <s v="July"/>
    <x v="43"/>
    <s v="Health"/>
    <n v="120.9"/>
    <x v="5"/>
  </r>
  <r>
    <s v="Urban"/>
    <n v="2016"/>
    <s v="July"/>
    <x v="43"/>
    <s v="Transport and communication"/>
    <n v="111.7"/>
    <x v="6"/>
  </r>
  <r>
    <s v="Urban"/>
    <n v="2016"/>
    <s v="July"/>
    <x v="43"/>
    <s v="Recreation and amusement"/>
    <n v="120.3"/>
    <x v="1"/>
  </r>
  <r>
    <s v="Urban"/>
    <n v="2016"/>
    <s v="July"/>
    <x v="43"/>
    <s v="Education"/>
    <n v="130.80000000000001"/>
    <x v="7"/>
  </r>
  <r>
    <s v="Urban"/>
    <n v="2016"/>
    <s v="July"/>
    <x v="43"/>
    <s v="Personal care and effects"/>
    <n v="120"/>
    <x v="4"/>
  </r>
  <r>
    <s v="Urban"/>
    <n v="2016"/>
    <s v="July"/>
    <x v="43"/>
    <s v="Miscellaneous"/>
    <n v="119.9"/>
    <x v="8"/>
  </r>
  <r>
    <s v="Urban"/>
    <n v="2016"/>
    <s v="July"/>
    <x v="43"/>
    <s v="General index"/>
    <n v="129"/>
    <x v="9"/>
  </r>
  <r>
    <s v="Rural+Urban"/>
    <n v="2016"/>
    <s v="July"/>
    <x v="43"/>
    <s v="Cereals and products"/>
    <n v="128.5"/>
    <x v="0"/>
  </r>
  <r>
    <s v="Rural+Urban"/>
    <n v="2016"/>
    <s v="July"/>
    <x v="43"/>
    <s v="Meat and fish"/>
    <n v="141.19999999999999"/>
    <x v="0"/>
  </r>
  <r>
    <s v="Rural+Urban"/>
    <n v="2016"/>
    <s v="July"/>
    <x v="43"/>
    <s v="Egg"/>
    <n v="132.30000000000001"/>
    <x v="0"/>
  </r>
  <r>
    <s v="Rural+Urban"/>
    <n v="2016"/>
    <s v="July"/>
    <x v="43"/>
    <s v="Milk and products"/>
    <n v="133.5"/>
    <x v="0"/>
  </r>
  <r>
    <s v="Rural+Urban"/>
    <n v="2016"/>
    <s v="July"/>
    <x v="43"/>
    <s v="Oils and fats"/>
    <n v="116.4"/>
    <x v="0"/>
  </r>
  <r>
    <s v="Rural+Urban"/>
    <n v="2016"/>
    <s v="July"/>
    <x v="43"/>
    <s v="Fruits"/>
    <n v="137.80000000000001"/>
    <x v="0"/>
  </r>
  <r>
    <s v="Rural+Urban"/>
    <n v="2016"/>
    <s v="July"/>
    <x v="43"/>
    <s v="Vegetables"/>
    <n v="165.4"/>
    <x v="0"/>
  </r>
  <r>
    <s v="Rural+Urban"/>
    <n v="2016"/>
    <s v="July"/>
    <x v="43"/>
    <s v="Pulses and products"/>
    <n v="177.4"/>
    <x v="0"/>
  </r>
  <r>
    <s v="Rural+Urban"/>
    <n v="2016"/>
    <s v="July"/>
    <x v="43"/>
    <s v="Sugar and Confectionery"/>
    <n v="111.3"/>
    <x v="0"/>
  </r>
  <r>
    <s v="Rural+Urban"/>
    <n v="2016"/>
    <s v="July"/>
    <x v="43"/>
    <s v="Spices"/>
    <n v="137.5"/>
    <x v="0"/>
  </r>
  <r>
    <s v="Rural+Urban"/>
    <n v="2016"/>
    <s v="July"/>
    <x v="43"/>
    <s v="Non-alcoholic beverages"/>
    <n v="125"/>
    <x v="0"/>
  </r>
  <r>
    <s v="Rural+Urban"/>
    <n v="2016"/>
    <s v="July"/>
    <x v="43"/>
    <s v="Prepared meals, snacks, sweets etc."/>
    <n v="138.80000000000001"/>
    <x v="0"/>
  </r>
  <r>
    <s v="Rural+Urban"/>
    <n v="2016"/>
    <s v="July"/>
    <x v="43"/>
    <s v="Food and beverages"/>
    <n v="138.4"/>
    <x v="0"/>
  </r>
  <r>
    <s v="Rural+Urban"/>
    <n v="2016"/>
    <s v="July"/>
    <x v="43"/>
    <s v="Pan, tobacco and intoxicants"/>
    <n v="139.30000000000001"/>
    <x v="1"/>
  </r>
  <r>
    <s v="Rural+Urban"/>
    <n v="2016"/>
    <s v="July"/>
    <x v="43"/>
    <s v="Clothing"/>
    <n v="133.5"/>
    <x v="2"/>
  </r>
  <r>
    <s v="Rural+Urban"/>
    <n v="2016"/>
    <s v="July"/>
    <x v="43"/>
    <s v="Footwear"/>
    <n v="127.6"/>
    <x v="2"/>
  </r>
  <r>
    <s v="Rural+Urban"/>
    <n v="2016"/>
    <s v="July"/>
    <x v="43"/>
    <s v="Clothing and footwear"/>
    <n v="132.69999999999999"/>
    <x v="2"/>
  </r>
  <r>
    <s v="Rural+Urban"/>
    <n v="2016"/>
    <s v="July"/>
    <x v="43"/>
    <s v="Housing"/>
    <n v="126.4"/>
    <x v="10"/>
  </r>
  <r>
    <s v="Rural+Urban"/>
    <n v="2016"/>
    <s v="July"/>
    <x v="43"/>
    <s v="Fuel and light"/>
    <n v="123.4"/>
    <x v="3"/>
  </r>
  <r>
    <s v="Rural+Urban"/>
    <n v="2016"/>
    <s v="July"/>
    <x v="43"/>
    <s v="Household goods and services"/>
    <n v="126.9"/>
    <x v="4"/>
  </r>
  <r>
    <s v="Rural+Urban"/>
    <n v="2016"/>
    <s v="July"/>
    <x v="43"/>
    <s v="Health"/>
    <n v="124.5"/>
    <x v="5"/>
  </r>
  <r>
    <s v="Rural+Urban"/>
    <n v="2016"/>
    <s v="July"/>
    <x v="43"/>
    <s v="Transport and communication"/>
    <n v="113.9"/>
    <x v="6"/>
  </r>
  <r>
    <s v="Rural+Urban"/>
    <n v="2016"/>
    <s v="July"/>
    <x v="43"/>
    <s v="Recreation and amusement"/>
    <n v="122.4"/>
    <x v="1"/>
  </r>
  <r>
    <s v="Rural+Urban"/>
    <n v="2016"/>
    <s v="July"/>
    <x v="43"/>
    <s v="Education"/>
    <n v="130.80000000000001"/>
    <x v="7"/>
  </r>
  <r>
    <s v="Rural+Urban"/>
    <n v="2016"/>
    <s v="July"/>
    <x v="43"/>
    <s v="Personal care and effects"/>
    <n v="120.5"/>
    <x v="4"/>
  </r>
  <r>
    <s v="Rural+Urban"/>
    <n v="2016"/>
    <s v="July"/>
    <x v="43"/>
    <s v="Miscellaneous"/>
    <n v="121.9"/>
    <x v="8"/>
  </r>
  <r>
    <s v="Rural+Urban"/>
    <n v="2016"/>
    <s v="July"/>
    <x v="43"/>
    <s v="General index"/>
    <n v="131.1"/>
    <x v="9"/>
  </r>
  <r>
    <s v="Rural"/>
    <n v="2016"/>
    <s v="August"/>
    <x v="44"/>
    <s v="Cereals and products"/>
    <n v="130.1"/>
    <x v="0"/>
  </r>
  <r>
    <s v="Rural"/>
    <n v="2016"/>
    <s v="August"/>
    <x v="44"/>
    <s v="Meat and fish"/>
    <n v="138.80000000000001"/>
    <x v="0"/>
  </r>
  <r>
    <s v="Rural"/>
    <n v="2016"/>
    <s v="August"/>
    <x v="44"/>
    <s v="Egg"/>
    <n v="130.30000000000001"/>
    <x v="0"/>
  </r>
  <r>
    <s v="Rural"/>
    <n v="2016"/>
    <s v="August"/>
    <x v="44"/>
    <s v="Milk and products"/>
    <n v="135.30000000000001"/>
    <x v="0"/>
  </r>
  <r>
    <s v="Rural"/>
    <n v="2016"/>
    <s v="August"/>
    <x v="44"/>
    <s v="Oils and fats"/>
    <n v="119.9"/>
    <x v="0"/>
  </r>
  <r>
    <s v="Rural"/>
    <n v="2016"/>
    <s v="August"/>
    <x v="44"/>
    <s v="Fruits"/>
    <n v="140.19999999999999"/>
    <x v="0"/>
  </r>
  <r>
    <s v="Rural"/>
    <n v="2016"/>
    <s v="August"/>
    <x v="44"/>
    <s v="Vegetables"/>
    <n v="156.9"/>
    <x v="0"/>
  </r>
  <r>
    <s v="Rural"/>
    <n v="2016"/>
    <s v="August"/>
    <x v="44"/>
    <s v="Pulses and products"/>
    <n v="172.2"/>
    <x v="0"/>
  </r>
  <r>
    <s v="Rural"/>
    <n v="2016"/>
    <s v="August"/>
    <x v="44"/>
    <s v="Sugar and Confectionery"/>
    <n v="112.1"/>
    <x v="0"/>
  </r>
  <r>
    <s v="Rural"/>
    <n v="2016"/>
    <s v="August"/>
    <x v="44"/>
    <s v="Spices"/>
    <n v="134.9"/>
    <x v="0"/>
  </r>
  <r>
    <s v="Rural"/>
    <n v="2016"/>
    <s v="August"/>
    <x v="44"/>
    <s v="Non-alcoholic beverages"/>
    <n v="128.1"/>
    <x v="0"/>
  </r>
  <r>
    <s v="Rural"/>
    <n v="2016"/>
    <s v="August"/>
    <x v="44"/>
    <s v="Prepared meals, snacks, sweets etc."/>
    <n v="140.69999999999999"/>
    <x v="0"/>
  </r>
  <r>
    <s v="Rural"/>
    <n v="2016"/>
    <s v="August"/>
    <x v="44"/>
    <s v="Food and beverages"/>
    <n v="138"/>
    <x v="0"/>
  </r>
  <r>
    <s v="Rural"/>
    <n v="2016"/>
    <s v="August"/>
    <x v="44"/>
    <s v="Pan, tobacco and intoxicants"/>
    <n v="138.9"/>
    <x v="1"/>
  </r>
  <r>
    <s v="Rural"/>
    <n v="2016"/>
    <s v="August"/>
    <x v="44"/>
    <s v="Clothing"/>
    <n v="137.80000000000001"/>
    <x v="2"/>
  </r>
  <r>
    <s v="Rural"/>
    <n v="2016"/>
    <s v="August"/>
    <x v="44"/>
    <s v="Footwear"/>
    <n v="133"/>
    <x v="2"/>
  </r>
  <r>
    <s v="Rural"/>
    <n v="2016"/>
    <s v="August"/>
    <x v="44"/>
    <s v="Clothing and footwear"/>
    <n v="137.1"/>
    <x v="2"/>
  </r>
  <r>
    <s v="Rural"/>
    <n v="2016"/>
    <s v="August"/>
    <x v="44"/>
    <s v="Fuel and light"/>
    <n v="129.1"/>
    <x v="3"/>
  </r>
  <r>
    <s v="Rural"/>
    <n v="2016"/>
    <s v="August"/>
    <x v="44"/>
    <s v="Household goods and services"/>
    <n v="130.6"/>
    <x v="4"/>
  </r>
  <r>
    <s v="Rural"/>
    <n v="2016"/>
    <s v="August"/>
    <x v="44"/>
    <s v="Health"/>
    <n v="127"/>
    <x v="5"/>
  </r>
  <r>
    <s v="Rural"/>
    <n v="2016"/>
    <s v="August"/>
    <x v="44"/>
    <s v="Transport and communication"/>
    <n v="116"/>
    <x v="6"/>
  </r>
  <r>
    <s v="Rural"/>
    <n v="2016"/>
    <s v="August"/>
    <x v="44"/>
    <s v="Recreation and amusement"/>
    <n v="125.5"/>
    <x v="1"/>
  </r>
  <r>
    <s v="Rural"/>
    <n v="2016"/>
    <s v="August"/>
    <x v="44"/>
    <s v="Education"/>
    <n v="131.9"/>
    <x v="7"/>
  </r>
  <r>
    <s v="Rural"/>
    <n v="2016"/>
    <s v="August"/>
    <x v="44"/>
    <s v="Personal care and effects"/>
    <n v="122"/>
    <x v="4"/>
  </r>
  <r>
    <s v="Rural"/>
    <n v="2016"/>
    <s v="August"/>
    <x v="44"/>
    <s v="Miscellaneous"/>
    <n v="124.2"/>
    <x v="8"/>
  </r>
  <r>
    <s v="Rural"/>
    <n v="2016"/>
    <s v="August"/>
    <x v="44"/>
    <s v="General index"/>
    <n v="133.5"/>
    <x v="9"/>
  </r>
  <r>
    <s v="Urban"/>
    <n v="2016"/>
    <s v="August"/>
    <x v="44"/>
    <s v="Cereals and products"/>
    <n v="127.6"/>
    <x v="0"/>
  </r>
  <r>
    <s v="Urban"/>
    <n v="2016"/>
    <s v="August"/>
    <x v="44"/>
    <s v="Meat and fish"/>
    <n v="140.30000000000001"/>
    <x v="0"/>
  </r>
  <r>
    <s v="Urban"/>
    <n v="2016"/>
    <s v="August"/>
    <x v="44"/>
    <s v="Egg"/>
    <n v="133.69999999999999"/>
    <x v="0"/>
  </r>
  <r>
    <s v="Urban"/>
    <n v="2016"/>
    <s v="August"/>
    <x v="44"/>
    <s v="Milk and products"/>
    <n v="132.19999999999999"/>
    <x v="0"/>
  </r>
  <r>
    <s v="Urban"/>
    <n v="2016"/>
    <s v="August"/>
    <x v="44"/>
    <s v="Oils and fats"/>
    <n v="111.8"/>
    <x v="0"/>
  </r>
  <r>
    <s v="Urban"/>
    <n v="2016"/>
    <s v="August"/>
    <x v="44"/>
    <s v="Fruits"/>
    <n v="135.80000000000001"/>
    <x v="0"/>
  </r>
  <r>
    <s v="Urban"/>
    <n v="2016"/>
    <s v="August"/>
    <x v="44"/>
    <s v="Vegetables"/>
    <n v="163.5"/>
    <x v="0"/>
  </r>
  <r>
    <s v="Urban"/>
    <n v="2016"/>
    <s v="August"/>
    <x v="44"/>
    <s v="Pulses and products"/>
    <n v="182.3"/>
    <x v="0"/>
  </r>
  <r>
    <s v="Urban"/>
    <n v="2016"/>
    <s v="August"/>
    <x v="44"/>
    <s v="Sugar and Confectionery"/>
    <n v="114.6"/>
    <x v="0"/>
  </r>
  <r>
    <s v="Urban"/>
    <n v="2016"/>
    <s v="August"/>
    <x v="44"/>
    <s v="Spices"/>
    <n v="144.6"/>
    <x v="0"/>
  </r>
  <r>
    <s v="Urban"/>
    <n v="2016"/>
    <s v="August"/>
    <x v="44"/>
    <s v="Non-alcoholic beverages"/>
    <n v="121.9"/>
    <x v="0"/>
  </r>
  <r>
    <s v="Urban"/>
    <n v="2016"/>
    <s v="August"/>
    <x v="44"/>
    <s v="Prepared meals, snacks, sweets etc."/>
    <n v="138.1"/>
    <x v="0"/>
  </r>
  <r>
    <s v="Urban"/>
    <n v="2016"/>
    <s v="August"/>
    <x v="44"/>
    <s v="Food and beverages"/>
    <n v="137.6"/>
    <x v="0"/>
  </r>
  <r>
    <s v="Urban"/>
    <n v="2016"/>
    <s v="August"/>
    <x v="44"/>
    <s v="Pan, tobacco and intoxicants"/>
    <n v="143.6"/>
    <x v="1"/>
  </r>
  <r>
    <s v="Urban"/>
    <n v="2016"/>
    <s v="August"/>
    <x v="44"/>
    <s v="Clothing"/>
    <n v="128.30000000000001"/>
    <x v="2"/>
  </r>
  <r>
    <s v="Urban"/>
    <n v="2016"/>
    <s v="August"/>
    <x v="44"/>
    <s v="Footwear"/>
    <n v="121.4"/>
    <x v="2"/>
  </r>
  <r>
    <s v="Urban"/>
    <n v="2016"/>
    <s v="August"/>
    <x v="44"/>
    <s v="Clothing and footwear"/>
    <n v="127.3"/>
    <x v="2"/>
  </r>
  <r>
    <s v="Urban"/>
    <n v="2016"/>
    <s v="August"/>
    <x v="44"/>
    <s v="Housing"/>
    <n v="127.3"/>
    <x v="10"/>
  </r>
  <r>
    <s v="Urban"/>
    <n v="2016"/>
    <s v="August"/>
    <x v="44"/>
    <s v="Fuel and light"/>
    <n v="114.7"/>
    <x v="3"/>
  </r>
  <r>
    <s v="Urban"/>
    <n v="2016"/>
    <s v="August"/>
    <x v="44"/>
    <s v="Household goods and services"/>
    <n v="123.9"/>
    <x v="4"/>
  </r>
  <r>
    <s v="Urban"/>
    <n v="2016"/>
    <s v="August"/>
    <x v="44"/>
    <s v="Health"/>
    <n v="121.2"/>
    <x v="5"/>
  </r>
  <r>
    <s v="Urban"/>
    <n v="2016"/>
    <s v="August"/>
    <x v="44"/>
    <s v="Transport and communication"/>
    <n v="110.4"/>
    <x v="6"/>
  </r>
  <r>
    <s v="Urban"/>
    <n v="2016"/>
    <s v="August"/>
    <x v="44"/>
    <s v="Recreation and amusement"/>
    <n v="120.6"/>
    <x v="1"/>
  </r>
  <r>
    <s v="Urban"/>
    <n v="2016"/>
    <s v="August"/>
    <x v="44"/>
    <s v="Education"/>
    <n v="131.5"/>
    <x v="7"/>
  </r>
  <r>
    <s v="Urban"/>
    <n v="2016"/>
    <s v="August"/>
    <x v="44"/>
    <s v="Personal care and effects"/>
    <n v="120.9"/>
    <x v="4"/>
  </r>
  <r>
    <s v="Urban"/>
    <n v="2016"/>
    <s v="August"/>
    <x v="44"/>
    <s v="Miscellaneous"/>
    <n v="119.9"/>
    <x v="8"/>
  </r>
  <r>
    <s v="Urban"/>
    <n v="2016"/>
    <s v="August"/>
    <x v="44"/>
    <s v="General index"/>
    <n v="128.4"/>
    <x v="9"/>
  </r>
  <r>
    <s v="Rural+Urban"/>
    <n v="2016"/>
    <s v="August"/>
    <x v="44"/>
    <s v="Cereals and products"/>
    <n v="129.30000000000001"/>
    <x v="0"/>
  </r>
  <r>
    <s v="Rural+Urban"/>
    <n v="2016"/>
    <s v="August"/>
    <x v="44"/>
    <s v="Meat and fish"/>
    <n v="139.30000000000001"/>
    <x v="0"/>
  </r>
  <r>
    <s v="Rural+Urban"/>
    <n v="2016"/>
    <s v="August"/>
    <x v="44"/>
    <s v="Egg"/>
    <n v="131.6"/>
    <x v="0"/>
  </r>
  <r>
    <s v="Rural+Urban"/>
    <n v="2016"/>
    <s v="August"/>
    <x v="44"/>
    <s v="Milk and products"/>
    <n v="134.1"/>
    <x v="0"/>
  </r>
  <r>
    <s v="Rural+Urban"/>
    <n v="2016"/>
    <s v="August"/>
    <x v="44"/>
    <s v="Oils and fats"/>
    <n v="116.9"/>
    <x v="0"/>
  </r>
  <r>
    <s v="Rural+Urban"/>
    <n v="2016"/>
    <s v="August"/>
    <x v="44"/>
    <s v="Fruits"/>
    <n v="138.1"/>
    <x v="0"/>
  </r>
  <r>
    <s v="Rural+Urban"/>
    <n v="2016"/>
    <s v="August"/>
    <x v="44"/>
    <s v="Vegetables"/>
    <n v="159.1"/>
    <x v="0"/>
  </r>
  <r>
    <s v="Rural+Urban"/>
    <n v="2016"/>
    <s v="August"/>
    <x v="44"/>
    <s v="Pulses and products"/>
    <n v="175.6"/>
    <x v="0"/>
  </r>
  <r>
    <s v="Rural+Urban"/>
    <n v="2016"/>
    <s v="August"/>
    <x v="44"/>
    <s v="Sugar and Confectionery"/>
    <n v="112.9"/>
    <x v="0"/>
  </r>
  <r>
    <s v="Rural+Urban"/>
    <n v="2016"/>
    <s v="August"/>
    <x v="44"/>
    <s v="Spices"/>
    <n v="138.1"/>
    <x v="0"/>
  </r>
  <r>
    <s v="Rural+Urban"/>
    <n v="2016"/>
    <s v="August"/>
    <x v="44"/>
    <s v="Non-alcoholic beverages"/>
    <n v="125.5"/>
    <x v="0"/>
  </r>
  <r>
    <s v="Rural+Urban"/>
    <n v="2016"/>
    <s v="August"/>
    <x v="44"/>
    <s v="Prepared meals, snacks, sweets etc."/>
    <n v="139.5"/>
    <x v="0"/>
  </r>
  <r>
    <s v="Rural+Urban"/>
    <n v="2016"/>
    <s v="August"/>
    <x v="44"/>
    <s v="Food and beverages"/>
    <n v="137.9"/>
    <x v="0"/>
  </r>
  <r>
    <s v="Rural+Urban"/>
    <n v="2016"/>
    <s v="August"/>
    <x v="44"/>
    <s v="Pan, tobacco and intoxicants"/>
    <n v="140.19999999999999"/>
    <x v="1"/>
  </r>
  <r>
    <s v="Rural+Urban"/>
    <n v="2016"/>
    <s v="August"/>
    <x v="44"/>
    <s v="Clothing"/>
    <n v="134.1"/>
    <x v="2"/>
  </r>
  <r>
    <s v="Rural+Urban"/>
    <n v="2016"/>
    <s v="August"/>
    <x v="44"/>
    <s v="Footwear"/>
    <n v="128.19999999999999"/>
    <x v="2"/>
  </r>
  <r>
    <s v="Rural+Urban"/>
    <n v="2016"/>
    <s v="August"/>
    <x v="44"/>
    <s v="Clothing and footwear"/>
    <n v="133.19999999999999"/>
    <x v="2"/>
  </r>
  <r>
    <s v="Rural+Urban"/>
    <n v="2016"/>
    <s v="August"/>
    <x v="44"/>
    <s v="Housing"/>
    <n v="127.3"/>
    <x v="10"/>
  </r>
  <r>
    <s v="Rural+Urban"/>
    <n v="2016"/>
    <s v="August"/>
    <x v="44"/>
    <s v="Fuel and light"/>
    <n v="123.6"/>
    <x v="3"/>
  </r>
  <r>
    <s v="Rural+Urban"/>
    <n v="2016"/>
    <s v="August"/>
    <x v="44"/>
    <s v="Household goods and services"/>
    <n v="127.4"/>
    <x v="4"/>
  </r>
  <r>
    <s v="Rural+Urban"/>
    <n v="2016"/>
    <s v="August"/>
    <x v="44"/>
    <s v="Health"/>
    <n v="124.8"/>
    <x v="5"/>
  </r>
  <r>
    <s v="Rural+Urban"/>
    <n v="2016"/>
    <s v="August"/>
    <x v="44"/>
    <s v="Transport and communication"/>
    <n v="113.1"/>
    <x v="6"/>
  </r>
  <r>
    <s v="Rural+Urban"/>
    <n v="2016"/>
    <s v="August"/>
    <x v="44"/>
    <s v="Recreation and amusement"/>
    <n v="122.7"/>
    <x v="1"/>
  </r>
  <r>
    <s v="Rural+Urban"/>
    <n v="2016"/>
    <s v="August"/>
    <x v="44"/>
    <s v="Education"/>
    <n v="131.69999999999999"/>
    <x v="7"/>
  </r>
  <r>
    <s v="Rural+Urban"/>
    <n v="2016"/>
    <s v="August"/>
    <x v="44"/>
    <s v="Personal care and effects"/>
    <n v="121.5"/>
    <x v="4"/>
  </r>
  <r>
    <s v="Rural+Urban"/>
    <n v="2016"/>
    <s v="August"/>
    <x v="44"/>
    <s v="Miscellaneous"/>
    <n v="122.1"/>
    <x v="8"/>
  </r>
  <r>
    <s v="Rural+Urban"/>
    <n v="2016"/>
    <s v="August"/>
    <x v="44"/>
    <s v="General index"/>
    <n v="131.1"/>
    <x v="9"/>
  </r>
  <r>
    <s v="Rural"/>
    <n v="2016"/>
    <s v="September"/>
    <x v="45"/>
    <s v="Cereals and products"/>
    <n v="130.80000000000001"/>
    <x v="0"/>
  </r>
  <r>
    <s v="Rural"/>
    <n v="2016"/>
    <s v="September"/>
    <x v="45"/>
    <s v="Meat and fish"/>
    <n v="138.19999999999999"/>
    <x v="0"/>
  </r>
  <r>
    <s v="Rural"/>
    <n v="2016"/>
    <s v="September"/>
    <x v="45"/>
    <s v="Egg"/>
    <n v="130.5"/>
    <x v="0"/>
  </r>
  <r>
    <s v="Rural"/>
    <n v="2016"/>
    <s v="September"/>
    <x v="45"/>
    <s v="Milk and products"/>
    <n v="135.5"/>
    <x v="0"/>
  </r>
  <r>
    <s v="Rural"/>
    <n v="2016"/>
    <s v="September"/>
    <x v="45"/>
    <s v="Oils and fats"/>
    <n v="120.2"/>
    <x v="0"/>
  </r>
  <r>
    <s v="Rural"/>
    <n v="2016"/>
    <s v="September"/>
    <x v="45"/>
    <s v="Fruits"/>
    <n v="139.19999999999999"/>
    <x v="0"/>
  </r>
  <r>
    <s v="Rural"/>
    <n v="2016"/>
    <s v="September"/>
    <x v="45"/>
    <s v="Vegetables"/>
    <n v="149.5"/>
    <x v="0"/>
  </r>
  <r>
    <s v="Rural"/>
    <n v="2016"/>
    <s v="September"/>
    <x v="45"/>
    <s v="Pulses and products"/>
    <n v="170.4"/>
    <x v="0"/>
  </r>
  <r>
    <s v="Rural"/>
    <n v="2016"/>
    <s v="September"/>
    <x v="45"/>
    <s v="Sugar and Confectionery"/>
    <n v="113.1"/>
    <x v="0"/>
  </r>
  <r>
    <s v="Rural"/>
    <n v="2016"/>
    <s v="September"/>
    <x v="45"/>
    <s v="Spices"/>
    <n v="135.80000000000001"/>
    <x v="0"/>
  </r>
  <r>
    <s v="Rural"/>
    <n v="2016"/>
    <s v="September"/>
    <x v="45"/>
    <s v="Non-alcoholic beverages"/>
    <n v="128.80000000000001"/>
    <x v="0"/>
  </r>
  <r>
    <s v="Rural"/>
    <n v="2016"/>
    <s v="September"/>
    <x v="45"/>
    <s v="Prepared meals, snacks, sweets etc."/>
    <n v="141.5"/>
    <x v="0"/>
  </r>
  <r>
    <s v="Rural"/>
    <n v="2016"/>
    <s v="September"/>
    <x v="45"/>
    <s v="Food and beverages"/>
    <n v="137.19999999999999"/>
    <x v="0"/>
  </r>
  <r>
    <s v="Rural"/>
    <n v="2016"/>
    <s v="September"/>
    <x v="45"/>
    <s v="Pan, tobacco and intoxicants"/>
    <n v="139.9"/>
    <x v="1"/>
  </r>
  <r>
    <s v="Rural"/>
    <n v="2016"/>
    <s v="September"/>
    <x v="45"/>
    <s v="Clothing"/>
    <n v="138.5"/>
    <x v="2"/>
  </r>
  <r>
    <s v="Rural"/>
    <n v="2016"/>
    <s v="September"/>
    <x v="45"/>
    <s v="Footwear"/>
    <n v="133.5"/>
    <x v="2"/>
  </r>
  <r>
    <s v="Rural"/>
    <n v="2016"/>
    <s v="September"/>
    <x v="45"/>
    <s v="Clothing and footwear"/>
    <n v="137.80000000000001"/>
    <x v="2"/>
  </r>
  <r>
    <s v="Rural"/>
    <n v="2016"/>
    <s v="September"/>
    <x v="45"/>
    <s v="Fuel and light"/>
    <n v="129.69999999999999"/>
    <x v="3"/>
  </r>
  <r>
    <s v="Rural"/>
    <n v="2016"/>
    <s v="September"/>
    <x v="45"/>
    <s v="Household goods and services"/>
    <n v="131.1"/>
    <x v="4"/>
  </r>
  <r>
    <s v="Rural"/>
    <n v="2016"/>
    <s v="September"/>
    <x v="45"/>
    <s v="Health"/>
    <n v="127.8"/>
    <x v="5"/>
  </r>
  <r>
    <s v="Rural"/>
    <n v="2016"/>
    <s v="September"/>
    <x v="45"/>
    <s v="Transport and communication"/>
    <n v="117"/>
    <x v="6"/>
  </r>
  <r>
    <s v="Rural"/>
    <n v="2016"/>
    <s v="September"/>
    <x v="45"/>
    <s v="Recreation and amusement"/>
    <n v="125.7"/>
    <x v="1"/>
  </r>
  <r>
    <s v="Rural"/>
    <n v="2016"/>
    <s v="September"/>
    <x v="45"/>
    <s v="Education"/>
    <n v="132.19999999999999"/>
    <x v="7"/>
  </r>
  <r>
    <s v="Rural"/>
    <n v="2016"/>
    <s v="September"/>
    <x v="45"/>
    <s v="Personal care and effects"/>
    <n v="122.8"/>
    <x v="4"/>
  </r>
  <r>
    <s v="Rural"/>
    <n v="2016"/>
    <s v="September"/>
    <x v="45"/>
    <s v="Miscellaneous"/>
    <n v="124.9"/>
    <x v="8"/>
  </r>
  <r>
    <s v="Rural"/>
    <n v="2016"/>
    <s v="September"/>
    <x v="45"/>
    <s v="General index"/>
    <n v="133.4"/>
    <x v="9"/>
  </r>
  <r>
    <s v="Urban"/>
    <n v="2016"/>
    <s v="September"/>
    <x v="45"/>
    <s v="Cereals and products"/>
    <n v="128.1"/>
    <x v="0"/>
  </r>
  <r>
    <s v="Urban"/>
    <n v="2016"/>
    <s v="September"/>
    <x v="45"/>
    <s v="Meat and fish"/>
    <n v="137.69999999999999"/>
    <x v="0"/>
  </r>
  <r>
    <s v="Urban"/>
    <n v="2016"/>
    <s v="September"/>
    <x v="45"/>
    <s v="Egg"/>
    <n v="130.6"/>
    <x v="0"/>
  </r>
  <r>
    <s v="Urban"/>
    <n v="2016"/>
    <s v="September"/>
    <x v="45"/>
    <s v="Milk and products"/>
    <n v="132.6"/>
    <x v="0"/>
  </r>
  <r>
    <s v="Urban"/>
    <n v="2016"/>
    <s v="September"/>
    <x v="45"/>
    <s v="Oils and fats"/>
    <n v="111.9"/>
    <x v="0"/>
  </r>
  <r>
    <s v="Urban"/>
    <n v="2016"/>
    <s v="September"/>
    <x v="45"/>
    <s v="Fruits"/>
    <n v="132.5"/>
    <x v="0"/>
  </r>
  <r>
    <s v="Urban"/>
    <n v="2016"/>
    <s v="September"/>
    <x v="45"/>
    <s v="Vegetables"/>
    <n v="152.9"/>
    <x v="0"/>
  </r>
  <r>
    <s v="Urban"/>
    <n v="2016"/>
    <s v="September"/>
    <x v="45"/>
    <s v="Pulses and products"/>
    <n v="173.6"/>
    <x v="0"/>
  </r>
  <r>
    <s v="Urban"/>
    <n v="2016"/>
    <s v="September"/>
    <x v="45"/>
    <s v="Sugar and Confectionery"/>
    <n v="115.1"/>
    <x v="0"/>
  </r>
  <r>
    <s v="Urban"/>
    <n v="2016"/>
    <s v="September"/>
    <x v="45"/>
    <s v="Spices"/>
    <n v="144.80000000000001"/>
    <x v="0"/>
  </r>
  <r>
    <s v="Urban"/>
    <n v="2016"/>
    <s v="September"/>
    <x v="45"/>
    <s v="Non-alcoholic beverages"/>
    <n v="122.1"/>
    <x v="0"/>
  </r>
  <r>
    <s v="Urban"/>
    <n v="2016"/>
    <s v="September"/>
    <x v="45"/>
    <s v="Prepared meals, snacks, sweets etc."/>
    <n v="138.80000000000001"/>
    <x v="0"/>
  </r>
  <r>
    <s v="Urban"/>
    <n v="2016"/>
    <s v="September"/>
    <x v="45"/>
    <s v="Food and beverages"/>
    <n v="135.69999999999999"/>
    <x v="0"/>
  </r>
  <r>
    <s v="Urban"/>
    <n v="2016"/>
    <s v="September"/>
    <x v="45"/>
    <s v="Pan, tobacco and intoxicants"/>
    <n v="143.9"/>
    <x v="1"/>
  </r>
  <r>
    <s v="Urban"/>
    <n v="2016"/>
    <s v="September"/>
    <x v="45"/>
    <s v="Clothing"/>
    <n v="128.69999999999999"/>
    <x v="2"/>
  </r>
  <r>
    <s v="Urban"/>
    <n v="2016"/>
    <s v="September"/>
    <x v="45"/>
    <s v="Footwear"/>
    <n v="121.6"/>
    <x v="2"/>
  </r>
  <r>
    <s v="Urban"/>
    <n v="2016"/>
    <s v="September"/>
    <x v="45"/>
    <s v="Clothing and footwear"/>
    <n v="127.7"/>
    <x v="2"/>
  </r>
  <r>
    <s v="Urban"/>
    <n v="2016"/>
    <s v="September"/>
    <x v="45"/>
    <s v="Housing"/>
    <n v="127.9"/>
    <x v="10"/>
  </r>
  <r>
    <s v="Urban"/>
    <n v="2016"/>
    <s v="September"/>
    <x v="45"/>
    <s v="Fuel and light"/>
    <n v="114.8"/>
    <x v="3"/>
  </r>
  <r>
    <s v="Urban"/>
    <n v="2016"/>
    <s v="September"/>
    <x v="45"/>
    <s v="Household goods and services"/>
    <n v="124.3"/>
    <x v="4"/>
  </r>
  <r>
    <s v="Urban"/>
    <n v="2016"/>
    <s v="September"/>
    <x v="45"/>
    <s v="Health"/>
    <n v="121.4"/>
    <x v="5"/>
  </r>
  <r>
    <s v="Urban"/>
    <n v="2016"/>
    <s v="September"/>
    <x v="45"/>
    <s v="Transport and communication"/>
    <n v="111.8"/>
    <x v="6"/>
  </r>
  <r>
    <s v="Urban"/>
    <n v="2016"/>
    <s v="September"/>
    <x v="45"/>
    <s v="Recreation and amusement"/>
    <n v="120.8"/>
    <x v="1"/>
  </r>
  <r>
    <s v="Urban"/>
    <n v="2016"/>
    <s v="September"/>
    <x v="45"/>
    <s v="Education"/>
    <n v="131.6"/>
    <x v="7"/>
  </r>
  <r>
    <s v="Urban"/>
    <n v="2016"/>
    <s v="September"/>
    <x v="45"/>
    <s v="Personal care and effects"/>
    <n v="121.2"/>
    <x v="4"/>
  </r>
  <r>
    <s v="Urban"/>
    <n v="2016"/>
    <s v="September"/>
    <x v="45"/>
    <s v="Miscellaneous"/>
    <n v="120.5"/>
    <x v="8"/>
  </r>
  <r>
    <s v="Urban"/>
    <n v="2016"/>
    <s v="September"/>
    <x v="45"/>
    <s v="General index"/>
    <n v="128"/>
    <x v="9"/>
  </r>
  <r>
    <s v="Rural+Urban"/>
    <n v="2016"/>
    <s v="September"/>
    <x v="45"/>
    <s v="Cereals and products"/>
    <n v="129.9"/>
    <x v="0"/>
  </r>
  <r>
    <s v="Rural+Urban"/>
    <n v="2016"/>
    <s v="September"/>
    <x v="45"/>
    <s v="Meat and fish"/>
    <n v="138"/>
    <x v="0"/>
  </r>
  <r>
    <s v="Rural+Urban"/>
    <n v="2016"/>
    <s v="September"/>
    <x v="45"/>
    <s v="Egg"/>
    <n v="130.5"/>
    <x v="0"/>
  </r>
  <r>
    <s v="Rural+Urban"/>
    <n v="2016"/>
    <s v="September"/>
    <x v="45"/>
    <s v="Milk and products"/>
    <n v="134.4"/>
    <x v="0"/>
  </r>
  <r>
    <s v="Rural+Urban"/>
    <n v="2016"/>
    <s v="September"/>
    <x v="45"/>
    <s v="Oils and fats"/>
    <n v="117.2"/>
    <x v="0"/>
  </r>
  <r>
    <s v="Rural+Urban"/>
    <n v="2016"/>
    <s v="September"/>
    <x v="45"/>
    <s v="Fruits"/>
    <n v="136.1"/>
    <x v="0"/>
  </r>
  <r>
    <s v="Rural+Urban"/>
    <n v="2016"/>
    <s v="September"/>
    <x v="45"/>
    <s v="Vegetables"/>
    <n v="150.69999999999999"/>
    <x v="0"/>
  </r>
  <r>
    <s v="Rural+Urban"/>
    <n v="2016"/>
    <s v="September"/>
    <x v="45"/>
    <s v="Pulses and products"/>
    <n v="171.5"/>
    <x v="0"/>
  </r>
  <r>
    <s v="Rural+Urban"/>
    <n v="2016"/>
    <s v="September"/>
    <x v="45"/>
    <s v="Sugar and Confectionery"/>
    <n v="113.8"/>
    <x v="0"/>
  </r>
  <r>
    <s v="Rural+Urban"/>
    <n v="2016"/>
    <s v="September"/>
    <x v="45"/>
    <s v="Spices"/>
    <n v="138.80000000000001"/>
    <x v="0"/>
  </r>
  <r>
    <s v="Rural+Urban"/>
    <n v="2016"/>
    <s v="September"/>
    <x v="45"/>
    <s v="Non-alcoholic beverages"/>
    <n v="126"/>
    <x v="0"/>
  </r>
  <r>
    <s v="Rural+Urban"/>
    <n v="2016"/>
    <s v="September"/>
    <x v="45"/>
    <s v="Prepared meals, snacks, sweets etc."/>
    <n v="140.19999999999999"/>
    <x v="0"/>
  </r>
  <r>
    <s v="Rural+Urban"/>
    <n v="2016"/>
    <s v="September"/>
    <x v="45"/>
    <s v="Food and beverages"/>
    <n v="136.6"/>
    <x v="0"/>
  </r>
  <r>
    <s v="Rural+Urban"/>
    <n v="2016"/>
    <s v="September"/>
    <x v="45"/>
    <s v="Pan, tobacco and intoxicants"/>
    <n v="141"/>
    <x v="1"/>
  </r>
  <r>
    <s v="Rural+Urban"/>
    <n v="2016"/>
    <s v="September"/>
    <x v="45"/>
    <s v="Clothing"/>
    <n v="134.6"/>
    <x v="2"/>
  </r>
  <r>
    <s v="Rural+Urban"/>
    <n v="2016"/>
    <s v="September"/>
    <x v="45"/>
    <s v="Footwear"/>
    <n v="128.6"/>
    <x v="2"/>
  </r>
  <r>
    <s v="Rural+Urban"/>
    <n v="2016"/>
    <s v="September"/>
    <x v="45"/>
    <s v="Clothing and footwear"/>
    <n v="133.80000000000001"/>
    <x v="2"/>
  </r>
  <r>
    <s v="Rural+Urban"/>
    <n v="2016"/>
    <s v="September"/>
    <x v="45"/>
    <s v="Housing"/>
    <n v="127.9"/>
    <x v="10"/>
  </r>
  <r>
    <s v="Rural+Urban"/>
    <n v="2016"/>
    <s v="September"/>
    <x v="45"/>
    <s v="Fuel and light"/>
    <n v="124.1"/>
    <x v="3"/>
  </r>
  <r>
    <s v="Rural+Urban"/>
    <n v="2016"/>
    <s v="September"/>
    <x v="45"/>
    <s v="Household goods and services"/>
    <n v="127.9"/>
    <x v="4"/>
  </r>
  <r>
    <s v="Rural+Urban"/>
    <n v="2016"/>
    <s v="September"/>
    <x v="45"/>
    <s v="Health"/>
    <n v="125.4"/>
    <x v="5"/>
  </r>
  <r>
    <s v="Rural+Urban"/>
    <n v="2016"/>
    <s v="September"/>
    <x v="45"/>
    <s v="Transport and communication"/>
    <n v="114.3"/>
    <x v="6"/>
  </r>
  <r>
    <s v="Rural+Urban"/>
    <n v="2016"/>
    <s v="September"/>
    <x v="45"/>
    <s v="Recreation and amusement"/>
    <n v="122.9"/>
    <x v="1"/>
  </r>
  <r>
    <s v="Rural+Urban"/>
    <n v="2016"/>
    <s v="September"/>
    <x v="45"/>
    <s v="Education"/>
    <n v="131.80000000000001"/>
    <x v="7"/>
  </r>
  <r>
    <s v="Rural+Urban"/>
    <n v="2016"/>
    <s v="September"/>
    <x v="45"/>
    <s v="Personal care and effects"/>
    <n v="122.1"/>
    <x v="4"/>
  </r>
  <r>
    <s v="Rural+Urban"/>
    <n v="2016"/>
    <s v="September"/>
    <x v="45"/>
    <s v="Miscellaneous"/>
    <n v="122.8"/>
    <x v="8"/>
  </r>
  <r>
    <s v="Rural+Urban"/>
    <n v="2016"/>
    <s v="September"/>
    <x v="45"/>
    <s v="General index"/>
    <n v="130.9"/>
    <x v="9"/>
  </r>
  <r>
    <s v="Rural"/>
    <n v="2016"/>
    <s v="October"/>
    <x v="46"/>
    <s v="Cereals and products"/>
    <n v="131.30000000000001"/>
    <x v="0"/>
  </r>
  <r>
    <s v="Rural"/>
    <n v="2016"/>
    <s v="October"/>
    <x v="46"/>
    <s v="Meat and fish"/>
    <n v="137.6"/>
    <x v="0"/>
  </r>
  <r>
    <s v="Rural"/>
    <n v="2016"/>
    <s v="October"/>
    <x v="46"/>
    <s v="Egg"/>
    <n v="130.1"/>
    <x v="0"/>
  </r>
  <r>
    <s v="Rural"/>
    <n v="2016"/>
    <s v="October"/>
    <x v="46"/>
    <s v="Milk and products"/>
    <n v="136"/>
    <x v="0"/>
  </r>
  <r>
    <s v="Rural"/>
    <n v="2016"/>
    <s v="October"/>
    <x v="46"/>
    <s v="Oils and fats"/>
    <n v="120.8"/>
    <x v="0"/>
  </r>
  <r>
    <s v="Rural"/>
    <n v="2016"/>
    <s v="October"/>
    <x v="46"/>
    <s v="Fruits"/>
    <n v="138.4"/>
    <x v="0"/>
  </r>
  <r>
    <s v="Rural"/>
    <n v="2016"/>
    <s v="October"/>
    <x v="46"/>
    <s v="Vegetables"/>
    <n v="149.19999999999999"/>
    <x v="0"/>
  </r>
  <r>
    <s v="Rural"/>
    <n v="2016"/>
    <s v="October"/>
    <x v="46"/>
    <s v="Pulses and products"/>
    <n v="170.2"/>
    <x v="0"/>
  </r>
  <r>
    <s v="Rural"/>
    <n v="2016"/>
    <s v="October"/>
    <x v="46"/>
    <s v="Sugar and Confectionery"/>
    <n v="113.4"/>
    <x v="0"/>
  </r>
  <r>
    <s v="Rural"/>
    <n v="2016"/>
    <s v="October"/>
    <x v="46"/>
    <s v="Spices"/>
    <n v="136.30000000000001"/>
    <x v="0"/>
  </r>
  <r>
    <s v="Rural"/>
    <n v="2016"/>
    <s v="October"/>
    <x v="46"/>
    <s v="Non-alcoholic beverages"/>
    <n v="128.69999999999999"/>
    <x v="0"/>
  </r>
  <r>
    <s v="Rural"/>
    <n v="2016"/>
    <s v="October"/>
    <x v="46"/>
    <s v="Prepared meals, snacks, sweets etc."/>
    <n v="142.4"/>
    <x v="0"/>
  </r>
  <r>
    <s v="Rural"/>
    <n v="2016"/>
    <s v="October"/>
    <x v="46"/>
    <s v="Food and beverages"/>
    <n v="137.4"/>
    <x v="0"/>
  </r>
  <r>
    <s v="Rural"/>
    <n v="2016"/>
    <s v="October"/>
    <x v="46"/>
    <s v="Pan, tobacco and intoxicants"/>
    <n v="140.9"/>
    <x v="1"/>
  </r>
  <r>
    <s v="Rural"/>
    <n v="2016"/>
    <s v="October"/>
    <x v="46"/>
    <s v="Clothing"/>
    <n v="139.6"/>
    <x v="2"/>
  </r>
  <r>
    <s v="Rural"/>
    <n v="2016"/>
    <s v="October"/>
    <x v="46"/>
    <s v="Footwear"/>
    <n v="134.30000000000001"/>
    <x v="2"/>
  </r>
  <r>
    <s v="Rural"/>
    <n v="2016"/>
    <s v="October"/>
    <x v="46"/>
    <s v="Clothing and footwear"/>
    <n v="138.80000000000001"/>
    <x v="2"/>
  </r>
  <r>
    <s v="Rural"/>
    <n v="2016"/>
    <s v="October"/>
    <x v="46"/>
    <s v="Fuel and light"/>
    <n v="129.80000000000001"/>
    <x v="3"/>
  </r>
  <r>
    <s v="Rural"/>
    <n v="2016"/>
    <s v="October"/>
    <x v="46"/>
    <s v="Household goods and services"/>
    <n v="131.80000000000001"/>
    <x v="4"/>
  </r>
  <r>
    <s v="Rural"/>
    <n v="2016"/>
    <s v="October"/>
    <x v="46"/>
    <s v="Health"/>
    <n v="128.69999999999999"/>
    <x v="5"/>
  </r>
  <r>
    <s v="Rural"/>
    <n v="2016"/>
    <s v="October"/>
    <x v="46"/>
    <s v="Transport and communication"/>
    <n v="117.8"/>
    <x v="6"/>
  </r>
  <r>
    <s v="Rural"/>
    <n v="2016"/>
    <s v="October"/>
    <x v="46"/>
    <s v="Recreation and amusement"/>
    <n v="126.5"/>
    <x v="1"/>
  </r>
  <r>
    <s v="Rural"/>
    <n v="2016"/>
    <s v="October"/>
    <x v="46"/>
    <s v="Education"/>
    <n v="133"/>
    <x v="7"/>
  </r>
  <r>
    <s v="Rural"/>
    <n v="2016"/>
    <s v="October"/>
    <x v="46"/>
    <s v="Personal care and effects"/>
    <n v="123"/>
    <x v="4"/>
  </r>
  <r>
    <s v="Rural"/>
    <n v="2016"/>
    <s v="October"/>
    <x v="46"/>
    <s v="Miscellaneous"/>
    <n v="125.7"/>
    <x v="8"/>
  </r>
  <r>
    <s v="Rural"/>
    <n v="2016"/>
    <s v="October"/>
    <x v="46"/>
    <s v="General index"/>
    <n v="133.80000000000001"/>
    <x v="9"/>
  </r>
  <r>
    <s v="Urban"/>
    <n v="2016"/>
    <s v="October"/>
    <x v="46"/>
    <s v="Cereals and products"/>
    <n v="128.69999999999999"/>
    <x v="0"/>
  </r>
  <r>
    <s v="Urban"/>
    <n v="2016"/>
    <s v="October"/>
    <x v="46"/>
    <s v="Meat and fish"/>
    <n v="138.4"/>
    <x v="0"/>
  </r>
  <r>
    <s v="Urban"/>
    <n v="2016"/>
    <s v="October"/>
    <x v="46"/>
    <s v="Egg"/>
    <n v="130.30000000000001"/>
    <x v="0"/>
  </r>
  <r>
    <s v="Urban"/>
    <n v="2016"/>
    <s v="October"/>
    <x v="46"/>
    <s v="Milk and products"/>
    <n v="132.69999999999999"/>
    <x v="0"/>
  </r>
  <r>
    <s v="Urban"/>
    <n v="2016"/>
    <s v="October"/>
    <x v="46"/>
    <s v="Oils and fats"/>
    <n v="112.5"/>
    <x v="0"/>
  </r>
  <r>
    <s v="Urban"/>
    <n v="2016"/>
    <s v="October"/>
    <x v="46"/>
    <s v="Fruits"/>
    <n v="130.4"/>
    <x v="0"/>
  </r>
  <r>
    <s v="Urban"/>
    <n v="2016"/>
    <s v="October"/>
    <x v="46"/>
    <s v="Vegetables"/>
    <n v="155.1"/>
    <x v="0"/>
  </r>
  <r>
    <s v="Urban"/>
    <n v="2016"/>
    <s v="October"/>
    <x v="46"/>
    <s v="Pulses and products"/>
    <n v="175.7"/>
    <x v="0"/>
  </r>
  <r>
    <s v="Urban"/>
    <n v="2016"/>
    <s v="October"/>
    <x v="46"/>
    <s v="Sugar and Confectionery"/>
    <n v="115.4"/>
    <x v="0"/>
  </r>
  <r>
    <s v="Urban"/>
    <n v="2016"/>
    <s v="October"/>
    <x v="46"/>
    <s v="Spices"/>
    <n v="145.30000000000001"/>
    <x v="0"/>
  </r>
  <r>
    <s v="Urban"/>
    <n v="2016"/>
    <s v="October"/>
    <x v="46"/>
    <s v="Non-alcoholic beverages"/>
    <n v="122.5"/>
    <x v="0"/>
  </r>
  <r>
    <s v="Urban"/>
    <n v="2016"/>
    <s v="October"/>
    <x v="46"/>
    <s v="Prepared meals, snacks, sweets etc."/>
    <n v="139.6"/>
    <x v="0"/>
  </r>
  <r>
    <s v="Urban"/>
    <n v="2016"/>
    <s v="October"/>
    <x v="46"/>
    <s v="Food and beverages"/>
    <n v="136.30000000000001"/>
    <x v="0"/>
  </r>
  <r>
    <s v="Urban"/>
    <n v="2016"/>
    <s v="October"/>
    <x v="46"/>
    <s v="Pan, tobacco and intoxicants"/>
    <n v="144.30000000000001"/>
    <x v="1"/>
  </r>
  <r>
    <s v="Urban"/>
    <n v="2016"/>
    <s v="October"/>
    <x v="46"/>
    <s v="Clothing"/>
    <n v="129.1"/>
    <x v="2"/>
  </r>
  <r>
    <s v="Urban"/>
    <n v="2016"/>
    <s v="October"/>
    <x v="46"/>
    <s v="Footwear"/>
    <n v="121.9"/>
    <x v="2"/>
  </r>
  <r>
    <s v="Urban"/>
    <n v="2016"/>
    <s v="October"/>
    <x v="46"/>
    <s v="Clothing and footwear"/>
    <n v="128"/>
    <x v="2"/>
  </r>
  <r>
    <s v="Urban"/>
    <n v="2016"/>
    <s v="October"/>
    <x v="46"/>
    <s v="Housing"/>
    <n v="128.69999999999999"/>
    <x v="10"/>
  </r>
  <r>
    <s v="Urban"/>
    <n v="2016"/>
    <s v="October"/>
    <x v="46"/>
    <s v="Fuel and light"/>
    <n v="115.2"/>
    <x v="3"/>
  </r>
  <r>
    <s v="Urban"/>
    <n v="2016"/>
    <s v="October"/>
    <x v="46"/>
    <s v="Household goods and services"/>
    <n v="124.5"/>
    <x v="4"/>
  </r>
  <r>
    <s v="Urban"/>
    <n v="2016"/>
    <s v="October"/>
    <x v="46"/>
    <s v="Health"/>
    <n v="121.8"/>
    <x v="5"/>
  </r>
  <r>
    <s v="Urban"/>
    <n v="2016"/>
    <s v="October"/>
    <x v="46"/>
    <s v="Transport and communication"/>
    <n v="112.8"/>
    <x v="6"/>
  </r>
  <r>
    <s v="Urban"/>
    <n v="2016"/>
    <s v="October"/>
    <x v="46"/>
    <s v="Recreation and amusement"/>
    <n v="121.2"/>
    <x v="1"/>
  </r>
  <r>
    <s v="Urban"/>
    <n v="2016"/>
    <s v="October"/>
    <x v="46"/>
    <s v="Education"/>
    <n v="131.9"/>
    <x v="7"/>
  </r>
  <r>
    <s v="Urban"/>
    <n v="2016"/>
    <s v="October"/>
    <x v="46"/>
    <s v="Personal care and effects"/>
    <n v="120.8"/>
    <x v="4"/>
  </r>
  <r>
    <s v="Urban"/>
    <n v="2016"/>
    <s v="October"/>
    <x v="46"/>
    <s v="Miscellaneous"/>
    <n v="120.9"/>
    <x v="8"/>
  </r>
  <r>
    <s v="Urban"/>
    <n v="2016"/>
    <s v="October"/>
    <x v="46"/>
    <s v="General index"/>
    <n v="128.6"/>
    <x v="9"/>
  </r>
  <r>
    <s v="Rural+Urban"/>
    <n v="2016"/>
    <s v="October"/>
    <x v="46"/>
    <s v="Cereals and products"/>
    <n v="130.5"/>
    <x v="0"/>
  </r>
  <r>
    <s v="Rural+Urban"/>
    <n v="2016"/>
    <s v="October"/>
    <x v="46"/>
    <s v="Meat and fish"/>
    <n v="137.9"/>
    <x v="0"/>
  </r>
  <r>
    <s v="Rural+Urban"/>
    <n v="2016"/>
    <s v="October"/>
    <x v="46"/>
    <s v="Egg"/>
    <n v="130.19999999999999"/>
    <x v="0"/>
  </r>
  <r>
    <s v="Rural+Urban"/>
    <n v="2016"/>
    <s v="October"/>
    <x v="46"/>
    <s v="Milk and products"/>
    <n v="134.80000000000001"/>
    <x v="0"/>
  </r>
  <r>
    <s v="Rural+Urban"/>
    <n v="2016"/>
    <s v="October"/>
    <x v="46"/>
    <s v="Oils and fats"/>
    <n v="117.8"/>
    <x v="0"/>
  </r>
  <r>
    <s v="Rural+Urban"/>
    <n v="2016"/>
    <s v="October"/>
    <x v="46"/>
    <s v="Fruits"/>
    <n v="134.69999999999999"/>
    <x v="0"/>
  </r>
  <r>
    <s v="Rural+Urban"/>
    <n v="2016"/>
    <s v="October"/>
    <x v="46"/>
    <s v="Vegetables"/>
    <n v="151.19999999999999"/>
    <x v="0"/>
  </r>
  <r>
    <s v="Rural+Urban"/>
    <n v="2016"/>
    <s v="October"/>
    <x v="46"/>
    <s v="Pulses and products"/>
    <n v="172.1"/>
    <x v="0"/>
  </r>
  <r>
    <s v="Rural+Urban"/>
    <n v="2016"/>
    <s v="October"/>
    <x v="46"/>
    <s v="Sugar and Confectionery"/>
    <n v="114.1"/>
    <x v="0"/>
  </r>
  <r>
    <s v="Rural+Urban"/>
    <n v="2016"/>
    <s v="October"/>
    <x v="46"/>
    <s v="Spices"/>
    <n v="139.30000000000001"/>
    <x v="0"/>
  </r>
  <r>
    <s v="Rural+Urban"/>
    <n v="2016"/>
    <s v="October"/>
    <x v="46"/>
    <s v="Non-alcoholic beverages"/>
    <n v="126.1"/>
    <x v="0"/>
  </r>
  <r>
    <s v="Rural+Urban"/>
    <n v="2016"/>
    <s v="October"/>
    <x v="46"/>
    <s v="Prepared meals, snacks, sweets etc."/>
    <n v="141.1"/>
    <x v="0"/>
  </r>
  <r>
    <s v="Rural+Urban"/>
    <n v="2016"/>
    <s v="October"/>
    <x v="46"/>
    <s v="Food and beverages"/>
    <n v="137"/>
    <x v="0"/>
  </r>
  <r>
    <s v="Rural+Urban"/>
    <n v="2016"/>
    <s v="October"/>
    <x v="46"/>
    <s v="Pan, tobacco and intoxicants"/>
    <n v="141.80000000000001"/>
    <x v="1"/>
  </r>
  <r>
    <s v="Rural+Urban"/>
    <n v="2016"/>
    <s v="October"/>
    <x v="46"/>
    <s v="Clothing"/>
    <n v="135.5"/>
    <x v="2"/>
  </r>
  <r>
    <s v="Rural+Urban"/>
    <n v="2016"/>
    <s v="October"/>
    <x v="46"/>
    <s v="Footwear"/>
    <n v="129.1"/>
    <x v="2"/>
  </r>
  <r>
    <s v="Rural+Urban"/>
    <n v="2016"/>
    <s v="October"/>
    <x v="46"/>
    <s v="Clothing and footwear"/>
    <n v="134.5"/>
    <x v="2"/>
  </r>
  <r>
    <s v="Rural+Urban"/>
    <n v="2016"/>
    <s v="October"/>
    <x v="46"/>
    <s v="Housing"/>
    <n v="128.69999999999999"/>
    <x v="10"/>
  </r>
  <r>
    <s v="Rural+Urban"/>
    <n v="2016"/>
    <s v="October"/>
    <x v="46"/>
    <s v="Fuel and light"/>
    <n v="124.3"/>
    <x v="3"/>
  </r>
  <r>
    <s v="Rural+Urban"/>
    <n v="2016"/>
    <s v="October"/>
    <x v="46"/>
    <s v="Household goods and services"/>
    <n v="128.4"/>
    <x v="4"/>
  </r>
  <r>
    <s v="Rural+Urban"/>
    <n v="2016"/>
    <s v="October"/>
    <x v="46"/>
    <s v="Health"/>
    <n v="126.1"/>
    <x v="5"/>
  </r>
  <r>
    <s v="Rural+Urban"/>
    <n v="2016"/>
    <s v="October"/>
    <x v="46"/>
    <s v="Transport and communication"/>
    <n v="115.2"/>
    <x v="6"/>
  </r>
  <r>
    <s v="Rural+Urban"/>
    <n v="2016"/>
    <s v="October"/>
    <x v="46"/>
    <s v="Recreation and amusement"/>
    <n v="123.5"/>
    <x v="1"/>
  </r>
  <r>
    <s v="Rural+Urban"/>
    <n v="2016"/>
    <s v="October"/>
    <x v="46"/>
    <s v="Education"/>
    <n v="132.4"/>
    <x v="7"/>
  </r>
  <r>
    <s v="Rural+Urban"/>
    <n v="2016"/>
    <s v="October"/>
    <x v="46"/>
    <s v="Personal care and effects"/>
    <n v="122.1"/>
    <x v="4"/>
  </r>
  <r>
    <s v="Rural+Urban"/>
    <n v="2016"/>
    <s v="October"/>
    <x v="46"/>
    <s v="Miscellaneous"/>
    <n v="123.4"/>
    <x v="8"/>
  </r>
  <r>
    <s v="Rural+Urban"/>
    <n v="2016"/>
    <s v="October"/>
    <x v="46"/>
    <s v="General index"/>
    <n v="131.4"/>
    <x v="9"/>
  </r>
  <r>
    <s v="Rural"/>
    <n v="2016"/>
    <s v="November"/>
    <x v="47"/>
    <s v="Cereals and products"/>
    <n v="132"/>
    <x v="0"/>
  </r>
  <r>
    <s v="Rural"/>
    <n v="2016"/>
    <s v="November"/>
    <x v="47"/>
    <s v="Meat and fish"/>
    <n v="137.4"/>
    <x v="0"/>
  </r>
  <r>
    <s v="Rural"/>
    <n v="2016"/>
    <s v="November"/>
    <x v="47"/>
    <s v="Egg"/>
    <n v="130.6"/>
    <x v="0"/>
  </r>
  <r>
    <s v="Rural"/>
    <n v="2016"/>
    <s v="November"/>
    <x v="47"/>
    <s v="Milk and products"/>
    <n v="136.19999999999999"/>
    <x v="0"/>
  </r>
  <r>
    <s v="Rural"/>
    <n v="2016"/>
    <s v="November"/>
    <x v="47"/>
    <s v="Oils and fats"/>
    <n v="121.1"/>
    <x v="0"/>
  </r>
  <r>
    <s v="Rural"/>
    <n v="2016"/>
    <s v="November"/>
    <x v="47"/>
    <s v="Fruits"/>
    <n v="136.9"/>
    <x v="0"/>
  </r>
  <r>
    <s v="Rural"/>
    <n v="2016"/>
    <s v="November"/>
    <x v="47"/>
    <s v="Vegetables"/>
    <n v="141.80000000000001"/>
    <x v="0"/>
  </r>
  <r>
    <s v="Rural"/>
    <n v="2016"/>
    <s v="November"/>
    <x v="47"/>
    <s v="Pulses and products"/>
    <n v="170"/>
    <x v="0"/>
  </r>
  <r>
    <s v="Rural"/>
    <n v="2016"/>
    <s v="November"/>
    <x v="47"/>
    <s v="Sugar and Confectionery"/>
    <n v="113.4"/>
    <x v="0"/>
  </r>
  <r>
    <s v="Rural"/>
    <n v="2016"/>
    <s v="November"/>
    <x v="47"/>
    <s v="Spices"/>
    <n v="136.80000000000001"/>
    <x v="0"/>
  </r>
  <r>
    <s v="Rural"/>
    <n v="2016"/>
    <s v="November"/>
    <x v="47"/>
    <s v="Non-alcoholic beverages"/>
    <n v="128.69999999999999"/>
    <x v="0"/>
  </r>
  <r>
    <s v="Rural"/>
    <n v="2016"/>
    <s v="November"/>
    <x v="47"/>
    <s v="Prepared meals, snacks, sweets etc."/>
    <n v="143.1"/>
    <x v="0"/>
  </r>
  <r>
    <s v="Rural"/>
    <n v="2016"/>
    <s v="November"/>
    <x v="47"/>
    <s v="Food and beverages"/>
    <n v="136.6"/>
    <x v="0"/>
  </r>
  <r>
    <s v="Rural"/>
    <n v="2016"/>
    <s v="November"/>
    <x v="47"/>
    <s v="Pan, tobacco and intoxicants"/>
    <n v="141.19999999999999"/>
    <x v="1"/>
  </r>
  <r>
    <s v="Rural"/>
    <n v="2016"/>
    <s v="November"/>
    <x v="47"/>
    <s v="Clothing"/>
    <n v="139.9"/>
    <x v="2"/>
  </r>
  <r>
    <s v="Rural"/>
    <n v="2016"/>
    <s v="November"/>
    <x v="47"/>
    <s v="Footwear"/>
    <n v="134.5"/>
    <x v="2"/>
  </r>
  <r>
    <s v="Rural"/>
    <n v="2016"/>
    <s v="November"/>
    <x v="47"/>
    <s v="Clothing and footwear"/>
    <n v="139.19999999999999"/>
    <x v="2"/>
  </r>
  <r>
    <s v="Rural"/>
    <n v="2016"/>
    <s v="November"/>
    <x v="47"/>
    <s v="Fuel and light"/>
    <n v="130.30000000000001"/>
    <x v="3"/>
  </r>
  <r>
    <s v="Rural"/>
    <n v="2016"/>
    <s v="November"/>
    <x v="47"/>
    <s v="Household goods and services"/>
    <n v="132.1"/>
    <x v="4"/>
  </r>
  <r>
    <s v="Rural"/>
    <n v="2016"/>
    <s v="November"/>
    <x v="47"/>
    <s v="Health"/>
    <n v="129.1"/>
    <x v="5"/>
  </r>
  <r>
    <s v="Rural"/>
    <n v="2016"/>
    <s v="November"/>
    <x v="47"/>
    <s v="Transport and communication"/>
    <n v="118.2"/>
    <x v="6"/>
  </r>
  <r>
    <s v="Rural"/>
    <n v="2016"/>
    <s v="November"/>
    <x v="47"/>
    <s v="Recreation and amusement"/>
    <n v="126.9"/>
    <x v="1"/>
  </r>
  <r>
    <s v="Rural"/>
    <n v="2016"/>
    <s v="November"/>
    <x v="47"/>
    <s v="Education"/>
    <n v="133.69999999999999"/>
    <x v="7"/>
  </r>
  <r>
    <s v="Rural"/>
    <n v="2016"/>
    <s v="November"/>
    <x v="47"/>
    <s v="Personal care and effects"/>
    <n v="123.5"/>
    <x v="4"/>
  </r>
  <r>
    <s v="Rural"/>
    <n v="2016"/>
    <s v="November"/>
    <x v="47"/>
    <s v="Miscellaneous"/>
    <n v="126.1"/>
    <x v="8"/>
  </r>
  <r>
    <s v="Rural"/>
    <n v="2016"/>
    <s v="November"/>
    <x v="47"/>
    <s v="General index"/>
    <n v="133.6"/>
    <x v="9"/>
  </r>
  <r>
    <s v="Urban"/>
    <n v="2016"/>
    <s v="November"/>
    <x v="47"/>
    <s v="Cereals and products"/>
    <n v="130.19999999999999"/>
    <x v="0"/>
  </r>
  <r>
    <s v="Urban"/>
    <n v="2016"/>
    <s v="November"/>
    <x v="47"/>
    <s v="Meat and fish"/>
    <n v="138.5"/>
    <x v="0"/>
  </r>
  <r>
    <s v="Urban"/>
    <n v="2016"/>
    <s v="November"/>
    <x v="47"/>
    <s v="Egg"/>
    <n v="134.1"/>
    <x v="0"/>
  </r>
  <r>
    <s v="Urban"/>
    <n v="2016"/>
    <s v="November"/>
    <x v="47"/>
    <s v="Milk and products"/>
    <n v="132.9"/>
    <x v="0"/>
  </r>
  <r>
    <s v="Urban"/>
    <n v="2016"/>
    <s v="November"/>
    <x v="47"/>
    <s v="Oils and fats"/>
    <n v="112.6"/>
    <x v="0"/>
  </r>
  <r>
    <s v="Urban"/>
    <n v="2016"/>
    <s v="November"/>
    <x v="47"/>
    <s v="Fruits"/>
    <n v="130.80000000000001"/>
    <x v="0"/>
  </r>
  <r>
    <s v="Urban"/>
    <n v="2016"/>
    <s v="November"/>
    <x v="47"/>
    <s v="Vegetables"/>
    <n v="142"/>
    <x v="0"/>
  </r>
  <r>
    <s v="Urban"/>
    <n v="2016"/>
    <s v="November"/>
    <x v="47"/>
    <s v="Pulses and products"/>
    <n v="174.9"/>
    <x v="0"/>
  </r>
  <r>
    <s v="Urban"/>
    <n v="2016"/>
    <s v="November"/>
    <x v="47"/>
    <s v="Sugar and Confectionery"/>
    <n v="115.6"/>
    <x v="0"/>
  </r>
  <r>
    <s v="Urban"/>
    <n v="2016"/>
    <s v="November"/>
    <x v="47"/>
    <s v="Spices"/>
    <n v="145.4"/>
    <x v="0"/>
  </r>
  <r>
    <s v="Urban"/>
    <n v="2016"/>
    <s v="November"/>
    <x v="47"/>
    <s v="Non-alcoholic beverages"/>
    <n v="122.7"/>
    <x v="0"/>
  </r>
  <r>
    <s v="Urban"/>
    <n v="2016"/>
    <s v="November"/>
    <x v="47"/>
    <s v="Prepared meals, snacks, sweets etc."/>
    <n v="140.30000000000001"/>
    <x v="0"/>
  </r>
  <r>
    <s v="Urban"/>
    <n v="2016"/>
    <s v="November"/>
    <x v="47"/>
    <s v="Food and beverages"/>
    <n v="135.19999999999999"/>
    <x v="0"/>
  </r>
  <r>
    <s v="Urban"/>
    <n v="2016"/>
    <s v="November"/>
    <x v="47"/>
    <s v="Pan, tobacco and intoxicants"/>
    <n v="144.30000000000001"/>
    <x v="1"/>
  </r>
  <r>
    <s v="Urban"/>
    <n v="2016"/>
    <s v="November"/>
    <x v="47"/>
    <s v="Clothing"/>
    <n v="129.6"/>
    <x v="2"/>
  </r>
  <r>
    <s v="Urban"/>
    <n v="2016"/>
    <s v="November"/>
    <x v="47"/>
    <s v="Footwear"/>
    <n v="122.1"/>
    <x v="2"/>
  </r>
  <r>
    <s v="Urban"/>
    <n v="2016"/>
    <s v="November"/>
    <x v="47"/>
    <s v="Clothing and footwear"/>
    <n v="128.5"/>
    <x v="2"/>
  </r>
  <r>
    <s v="Urban"/>
    <n v="2016"/>
    <s v="November"/>
    <x v="47"/>
    <s v="Housing"/>
    <n v="129.1"/>
    <x v="10"/>
  </r>
  <r>
    <s v="Urban"/>
    <n v="2016"/>
    <s v="November"/>
    <x v="47"/>
    <s v="Fuel and light"/>
    <n v="116.2"/>
    <x v="3"/>
  </r>
  <r>
    <s v="Urban"/>
    <n v="2016"/>
    <s v="November"/>
    <x v="47"/>
    <s v="Household goods and services"/>
    <n v="124.7"/>
    <x v="4"/>
  </r>
  <r>
    <s v="Urban"/>
    <n v="2016"/>
    <s v="November"/>
    <x v="47"/>
    <s v="Health"/>
    <n v="122.1"/>
    <x v="5"/>
  </r>
  <r>
    <s v="Urban"/>
    <n v="2016"/>
    <s v="November"/>
    <x v="47"/>
    <s v="Transport and communication"/>
    <n v="113.4"/>
    <x v="6"/>
  </r>
  <r>
    <s v="Urban"/>
    <n v="2016"/>
    <s v="November"/>
    <x v="47"/>
    <s v="Recreation and amusement"/>
    <n v="121.7"/>
    <x v="1"/>
  </r>
  <r>
    <s v="Urban"/>
    <n v="2016"/>
    <s v="November"/>
    <x v="47"/>
    <s v="Education"/>
    <n v="132.1"/>
    <x v="7"/>
  </r>
  <r>
    <s v="Urban"/>
    <n v="2016"/>
    <s v="November"/>
    <x v="47"/>
    <s v="Personal care and effects"/>
    <n v="121.3"/>
    <x v="4"/>
  </r>
  <r>
    <s v="Urban"/>
    <n v="2016"/>
    <s v="November"/>
    <x v="47"/>
    <s v="Miscellaneous"/>
    <n v="121.3"/>
    <x v="8"/>
  </r>
  <r>
    <s v="Urban"/>
    <n v="2016"/>
    <s v="November"/>
    <x v="47"/>
    <s v="General index"/>
    <n v="128.5"/>
    <x v="9"/>
  </r>
  <r>
    <s v="Rural+Urban"/>
    <n v="2016"/>
    <s v="November"/>
    <x v="47"/>
    <s v="Cereals and products"/>
    <n v="131.4"/>
    <x v="0"/>
  </r>
  <r>
    <s v="Rural+Urban"/>
    <n v="2016"/>
    <s v="November"/>
    <x v="47"/>
    <s v="Meat and fish"/>
    <n v="137.80000000000001"/>
    <x v="0"/>
  </r>
  <r>
    <s v="Rural+Urban"/>
    <n v="2016"/>
    <s v="November"/>
    <x v="47"/>
    <s v="Egg"/>
    <n v="132"/>
    <x v="0"/>
  </r>
  <r>
    <s v="Rural+Urban"/>
    <n v="2016"/>
    <s v="November"/>
    <x v="47"/>
    <s v="Milk and products"/>
    <n v="135"/>
    <x v="0"/>
  </r>
  <r>
    <s v="Rural+Urban"/>
    <n v="2016"/>
    <s v="November"/>
    <x v="47"/>
    <s v="Oils and fats"/>
    <n v="118"/>
    <x v="0"/>
  </r>
  <r>
    <s v="Rural+Urban"/>
    <n v="2016"/>
    <s v="November"/>
    <x v="47"/>
    <s v="Fruits"/>
    <n v="134.1"/>
    <x v="0"/>
  </r>
  <r>
    <s v="Rural+Urban"/>
    <n v="2016"/>
    <s v="November"/>
    <x v="47"/>
    <s v="Vegetables"/>
    <n v="141.9"/>
    <x v="0"/>
  </r>
  <r>
    <s v="Rural+Urban"/>
    <n v="2016"/>
    <s v="November"/>
    <x v="47"/>
    <s v="Pulses and products"/>
    <n v="171.7"/>
    <x v="0"/>
  </r>
  <r>
    <s v="Rural+Urban"/>
    <n v="2016"/>
    <s v="November"/>
    <x v="47"/>
    <s v="Sugar and Confectionery"/>
    <n v="114.1"/>
    <x v="0"/>
  </r>
  <r>
    <s v="Rural+Urban"/>
    <n v="2016"/>
    <s v="November"/>
    <x v="47"/>
    <s v="Spices"/>
    <n v="139.69999999999999"/>
    <x v="0"/>
  </r>
  <r>
    <s v="Rural+Urban"/>
    <n v="2016"/>
    <s v="November"/>
    <x v="47"/>
    <s v="Non-alcoholic beverages"/>
    <n v="126.2"/>
    <x v="0"/>
  </r>
  <r>
    <s v="Rural+Urban"/>
    <n v="2016"/>
    <s v="November"/>
    <x v="47"/>
    <s v="Prepared meals, snacks, sweets etc."/>
    <n v="141.80000000000001"/>
    <x v="0"/>
  </r>
  <r>
    <s v="Rural+Urban"/>
    <n v="2016"/>
    <s v="November"/>
    <x v="47"/>
    <s v="Food and beverages"/>
    <n v="136.1"/>
    <x v="0"/>
  </r>
  <r>
    <s v="Rural+Urban"/>
    <n v="2016"/>
    <s v="November"/>
    <x v="47"/>
    <s v="Pan, tobacco and intoxicants"/>
    <n v="142"/>
    <x v="1"/>
  </r>
  <r>
    <s v="Rural+Urban"/>
    <n v="2016"/>
    <s v="November"/>
    <x v="47"/>
    <s v="Clothing"/>
    <n v="135.80000000000001"/>
    <x v="2"/>
  </r>
  <r>
    <s v="Rural+Urban"/>
    <n v="2016"/>
    <s v="November"/>
    <x v="47"/>
    <s v="Footwear"/>
    <n v="129.30000000000001"/>
    <x v="2"/>
  </r>
  <r>
    <s v="Rural+Urban"/>
    <n v="2016"/>
    <s v="November"/>
    <x v="47"/>
    <s v="Clothing and footwear"/>
    <n v="135"/>
    <x v="2"/>
  </r>
  <r>
    <s v="Rural+Urban"/>
    <n v="2016"/>
    <s v="November"/>
    <x v="47"/>
    <s v="Housing"/>
    <n v="129.1"/>
    <x v="10"/>
  </r>
  <r>
    <s v="Rural+Urban"/>
    <n v="2016"/>
    <s v="November"/>
    <x v="47"/>
    <s v="Fuel and light"/>
    <n v="125"/>
    <x v="3"/>
  </r>
  <r>
    <s v="Rural+Urban"/>
    <n v="2016"/>
    <s v="November"/>
    <x v="47"/>
    <s v="Household goods and services"/>
    <n v="128.6"/>
    <x v="4"/>
  </r>
  <r>
    <s v="Rural+Urban"/>
    <n v="2016"/>
    <s v="November"/>
    <x v="47"/>
    <s v="Health"/>
    <n v="126.4"/>
    <x v="5"/>
  </r>
  <r>
    <s v="Rural+Urban"/>
    <n v="2016"/>
    <s v="November"/>
    <x v="47"/>
    <s v="Transport and communication"/>
    <n v="115.7"/>
    <x v="6"/>
  </r>
  <r>
    <s v="Rural+Urban"/>
    <n v="2016"/>
    <s v="November"/>
    <x v="47"/>
    <s v="Recreation and amusement"/>
    <n v="124"/>
    <x v="1"/>
  </r>
  <r>
    <s v="Rural+Urban"/>
    <n v="2016"/>
    <s v="November"/>
    <x v="47"/>
    <s v="Education"/>
    <n v="132.80000000000001"/>
    <x v="7"/>
  </r>
  <r>
    <s v="Rural+Urban"/>
    <n v="2016"/>
    <s v="November"/>
    <x v="47"/>
    <s v="Personal care and effects"/>
    <n v="122.6"/>
    <x v="4"/>
  </r>
  <r>
    <s v="Rural+Urban"/>
    <n v="2016"/>
    <s v="November"/>
    <x v="47"/>
    <s v="Miscellaneous"/>
    <n v="123.8"/>
    <x v="8"/>
  </r>
  <r>
    <s v="Rural+Urban"/>
    <n v="2016"/>
    <s v="November"/>
    <x v="47"/>
    <s v="General index"/>
    <n v="131.19999999999999"/>
    <x v="9"/>
  </r>
  <r>
    <s v="Rural"/>
    <n v="2016"/>
    <s v="December"/>
    <x v="48"/>
    <s v="Cereals and products"/>
    <n v="132.6"/>
    <x v="0"/>
  </r>
  <r>
    <s v="Rural"/>
    <n v="2016"/>
    <s v="December"/>
    <x v="48"/>
    <s v="Meat and fish"/>
    <n v="137.30000000000001"/>
    <x v="0"/>
  </r>
  <r>
    <s v="Rural"/>
    <n v="2016"/>
    <s v="December"/>
    <x v="48"/>
    <s v="Egg"/>
    <n v="131.6"/>
    <x v="0"/>
  </r>
  <r>
    <s v="Rural"/>
    <n v="2016"/>
    <s v="December"/>
    <x v="48"/>
    <s v="Milk and products"/>
    <n v="136.30000000000001"/>
    <x v="0"/>
  </r>
  <r>
    <s v="Rural"/>
    <n v="2016"/>
    <s v="December"/>
    <x v="48"/>
    <s v="Oils and fats"/>
    <n v="121.6"/>
    <x v="0"/>
  </r>
  <r>
    <s v="Rural"/>
    <n v="2016"/>
    <s v="December"/>
    <x v="48"/>
    <s v="Fruits"/>
    <n v="135.6"/>
    <x v="0"/>
  </r>
  <r>
    <s v="Rural"/>
    <n v="2016"/>
    <s v="December"/>
    <x v="48"/>
    <s v="Vegetables"/>
    <n v="127.5"/>
    <x v="0"/>
  </r>
  <r>
    <s v="Rural"/>
    <n v="2016"/>
    <s v="December"/>
    <x v="48"/>
    <s v="Pulses and products"/>
    <n v="167.9"/>
    <x v="0"/>
  </r>
  <r>
    <s v="Rural"/>
    <n v="2016"/>
    <s v="December"/>
    <x v="48"/>
    <s v="Sugar and Confectionery"/>
    <n v="113.8"/>
    <x v="0"/>
  </r>
  <r>
    <s v="Rural"/>
    <n v="2016"/>
    <s v="December"/>
    <x v="48"/>
    <s v="Spices"/>
    <n v="137.5"/>
    <x v="0"/>
  </r>
  <r>
    <s v="Rural"/>
    <n v="2016"/>
    <s v="December"/>
    <x v="48"/>
    <s v="Non-alcoholic beverages"/>
    <n v="129.1"/>
    <x v="0"/>
  </r>
  <r>
    <s v="Rural"/>
    <n v="2016"/>
    <s v="December"/>
    <x v="48"/>
    <s v="Prepared meals, snacks, sweets etc."/>
    <n v="143.6"/>
    <x v="0"/>
  </r>
  <r>
    <s v="Rural"/>
    <n v="2016"/>
    <s v="December"/>
    <x v="48"/>
    <s v="Food and beverages"/>
    <n v="134.69999999999999"/>
    <x v="0"/>
  </r>
  <r>
    <s v="Rural"/>
    <n v="2016"/>
    <s v="December"/>
    <x v="48"/>
    <s v="Pan, tobacco and intoxicants"/>
    <n v="142.4"/>
    <x v="1"/>
  </r>
  <r>
    <s v="Rural"/>
    <n v="2016"/>
    <s v="December"/>
    <x v="48"/>
    <s v="Clothing"/>
    <n v="140.4"/>
    <x v="2"/>
  </r>
  <r>
    <s v="Rural"/>
    <n v="2016"/>
    <s v="December"/>
    <x v="48"/>
    <s v="Footwear"/>
    <n v="135.19999999999999"/>
    <x v="2"/>
  </r>
  <r>
    <s v="Rural"/>
    <n v="2016"/>
    <s v="December"/>
    <x v="48"/>
    <s v="Clothing and footwear"/>
    <n v="139.69999999999999"/>
    <x v="2"/>
  </r>
  <r>
    <s v="Rural"/>
    <n v="2016"/>
    <s v="December"/>
    <x v="48"/>
    <s v="Fuel and light"/>
    <n v="132"/>
    <x v="3"/>
  </r>
  <r>
    <s v="Rural"/>
    <n v="2016"/>
    <s v="December"/>
    <x v="48"/>
    <s v="Household goods and services"/>
    <n v="132.9"/>
    <x v="4"/>
  </r>
  <r>
    <s v="Rural"/>
    <n v="2016"/>
    <s v="December"/>
    <x v="48"/>
    <s v="Health"/>
    <n v="129.69999999999999"/>
    <x v="5"/>
  </r>
  <r>
    <s v="Rural"/>
    <n v="2016"/>
    <s v="December"/>
    <x v="48"/>
    <s v="Transport and communication"/>
    <n v="118.6"/>
    <x v="6"/>
  </r>
  <r>
    <s v="Rural"/>
    <n v="2016"/>
    <s v="December"/>
    <x v="48"/>
    <s v="Recreation and amusement"/>
    <n v="127.3"/>
    <x v="1"/>
  </r>
  <r>
    <s v="Rural"/>
    <n v="2016"/>
    <s v="December"/>
    <x v="48"/>
    <s v="Education"/>
    <n v="134.19999999999999"/>
    <x v="7"/>
  </r>
  <r>
    <s v="Rural"/>
    <n v="2016"/>
    <s v="December"/>
    <x v="48"/>
    <s v="Personal care and effects"/>
    <n v="121.9"/>
    <x v="4"/>
  </r>
  <r>
    <s v="Rural"/>
    <n v="2016"/>
    <s v="December"/>
    <x v="48"/>
    <s v="Miscellaneous"/>
    <n v="126.3"/>
    <x v="8"/>
  </r>
  <r>
    <s v="Rural"/>
    <n v="2016"/>
    <s v="December"/>
    <x v="48"/>
    <s v="General index"/>
    <n v="132.80000000000001"/>
    <x v="9"/>
  </r>
  <r>
    <s v="Urban"/>
    <n v="2016"/>
    <s v="December"/>
    <x v="48"/>
    <s v="Cereals and products"/>
    <n v="131.6"/>
    <x v="0"/>
  </r>
  <r>
    <s v="Urban"/>
    <n v="2016"/>
    <s v="December"/>
    <x v="48"/>
    <s v="Meat and fish"/>
    <n v="138.19999999999999"/>
    <x v="0"/>
  </r>
  <r>
    <s v="Urban"/>
    <n v="2016"/>
    <s v="December"/>
    <x v="48"/>
    <s v="Egg"/>
    <n v="134.9"/>
    <x v="0"/>
  </r>
  <r>
    <s v="Urban"/>
    <n v="2016"/>
    <s v="December"/>
    <x v="48"/>
    <s v="Milk and products"/>
    <n v="133.1"/>
    <x v="0"/>
  </r>
  <r>
    <s v="Urban"/>
    <n v="2016"/>
    <s v="December"/>
    <x v="48"/>
    <s v="Oils and fats"/>
    <n v="113.5"/>
    <x v="0"/>
  </r>
  <r>
    <s v="Urban"/>
    <n v="2016"/>
    <s v="December"/>
    <x v="48"/>
    <s v="Fruits"/>
    <n v="129.30000000000001"/>
    <x v="0"/>
  </r>
  <r>
    <s v="Urban"/>
    <n v="2016"/>
    <s v="December"/>
    <x v="48"/>
    <s v="Vegetables"/>
    <n v="121.1"/>
    <x v="0"/>
  </r>
  <r>
    <s v="Urban"/>
    <n v="2016"/>
    <s v="December"/>
    <x v="48"/>
    <s v="Pulses and products"/>
    <n v="170.3"/>
    <x v="0"/>
  </r>
  <r>
    <s v="Urban"/>
    <n v="2016"/>
    <s v="December"/>
    <x v="48"/>
    <s v="Sugar and Confectionery"/>
    <n v="115.5"/>
    <x v="0"/>
  </r>
  <r>
    <s v="Urban"/>
    <n v="2016"/>
    <s v="December"/>
    <x v="48"/>
    <s v="Spices"/>
    <n v="145.5"/>
    <x v="0"/>
  </r>
  <r>
    <s v="Urban"/>
    <n v="2016"/>
    <s v="December"/>
    <x v="48"/>
    <s v="Non-alcoholic beverages"/>
    <n v="123.1"/>
    <x v="0"/>
  </r>
  <r>
    <s v="Urban"/>
    <n v="2016"/>
    <s v="December"/>
    <x v="48"/>
    <s v="Prepared meals, snacks, sweets etc."/>
    <n v="140.9"/>
    <x v="0"/>
  </r>
  <r>
    <s v="Urban"/>
    <n v="2016"/>
    <s v="December"/>
    <x v="48"/>
    <s v="Food and beverages"/>
    <n v="132.80000000000001"/>
    <x v="0"/>
  </r>
  <r>
    <s v="Urban"/>
    <n v="2016"/>
    <s v="December"/>
    <x v="48"/>
    <s v="Pan, tobacco and intoxicants"/>
    <n v="145"/>
    <x v="1"/>
  </r>
  <r>
    <s v="Urban"/>
    <n v="2016"/>
    <s v="December"/>
    <x v="48"/>
    <s v="Clothing"/>
    <n v="130"/>
    <x v="2"/>
  </r>
  <r>
    <s v="Urban"/>
    <n v="2016"/>
    <s v="December"/>
    <x v="48"/>
    <s v="Footwear"/>
    <n v="122.2"/>
    <x v="2"/>
  </r>
  <r>
    <s v="Urban"/>
    <n v="2016"/>
    <s v="December"/>
    <x v="48"/>
    <s v="Clothing and footwear"/>
    <n v="128.80000000000001"/>
    <x v="2"/>
  </r>
  <r>
    <s v="Urban"/>
    <n v="2016"/>
    <s v="December"/>
    <x v="48"/>
    <s v="Housing"/>
    <n v="128.5"/>
    <x v="10"/>
  </r>
  <r>
    <s v="Urban"/>
    <n v="2016"/>
    <s v="December"/>
    <x v="48"/>
    <s v="Fuel and light"/>
    <n v="117.8"/>
    <x v="3"/>
  </r>
  <r>
    <s v="Urban"/>
    <n v="2016"/>
    <s v="December"/>
    <x v="48"/>
    <s v="Household goods and services"/>
    <n v="125"/>
    <x v="4"/>
  </r>
  <r>
    <s v="Urban"/>
    <n v="2016"/>
    <s v="December"/>
    <x v="48"/>
    <s v="Health"/>
    <n v="122.3"/>
    <x v="5"/>
  </r>
  <r>
    <s v="Urban"/>
    <n v="2016"/>
    <s v="December"/>
    <x v="48"/>
    <s v="Transport and communication"/>
    <n v="113.7"/>
    <x v="6"/>
  </r>
  <r>
    <s v="Urban"/>
    <n v="2016"/>
    <s v="December"/>
    <x v="48"/>
    <s v="Recreation and amusement"/>
    <n v="121.8"/>
    <x v="1"/>
  </r>
  <r>
    <s v="Urban"/>
    <n v="2016"/>
    <s v="December"/>
    <x v="48"/>
    <s v="Education"/>
    <n v="132.30000000000001"/>
    <x v="7"/>
  </r>
  <r>
    <s v="Urban"/>
    <n v="2016"/>
    <s v="December"/>
    <x v="48"/>
    <s v="Personal care and effects"/>
    <n v="119.9"/>
    <x v="4"/>
  </r>
  <r>
    <s v="Urban"/>
    <n v="2016"/>
    <s v="December"/>
    <x v="48"/>
    <s v="Miscellaneous"/>
    <n v="121.4"/>
    <x v="8"/>
  </r>
  <r>
    <s v="Urban"/>
    <n v="2016"/>
    <s v="December"/>
    <x v="48"/>
    <s v="General index"/>
    <n v="127.6"/>
    <x v="9"/>
  </r>
  <r>
    <s v="Rural+Urban"/>
    <n v="2016"/>
    <s v="December"/>
    <x v="48"/>
    <s v="Cereals and products"/>
    <n v="132.30000000000001"/>
    <x v="0"/>
  </r>
  <r>
    <s v="Rural+Urban"/>
    <n v="2016"/>
    <s v="December"/>
    <x v="48"/>
    <s v="Meat and fish"/>
    <n v="137.6"/>
    <x v="0"/>
  </r>
  <r>
    <s v="Rural+Urban"/>
    <n v="2016"/>
    <s v="December"/>
    <x v="48"/>
    <s v="Egg"/>
    <n v="132.9"/>
    <x v="0"/>
  </r>
  <r>
    <s v="Rural+Urban"/>
    <n v="2016"/>
    <s v="December"/>
    <x v="48"/>
    <s v="Milk and products"/>
    <n v="135.1"/>
    <x v="0"/>
  </r>
  <r>
    <s v="Rural+Urban"/>
    <n v="2016"/>
    <s v="December"/>
    <x v="48"/>
    <s v="Oils and fats"/>
    <n v="118.6"/>
    <x v="0"/>
  </r>
  <r>
    <s v="Rural+Urban"/>
    <n v="2016"/>
    <s v="December"/>
    <x v="48"/>
    <s v="Fruits"/>
    <n v="132.69999999999999"/>
    <x v="0"/>
  </r>
  <r>
    <s v="Rural+Urban"/>
    <n v="2016"/>
    <s v="December"/>
    <x v="48"/>
    <s v="Vegetables"/>
    <n v="125.3"/>
    <x v="0"/>
  </r>
  <r>
    <s v="Rural+Urban"/>
    <n v="2016"/>
    <s v="December"/>
    <x v="48"/>
    <s v="Pulses and products"/>
    <n v="168.7"/>
    <x v="0"/>
  </r>
  <r>
    <s v="Rural+Urban"/>
    <n v="2016"/>
    <s v="December"/>
    <x v="48"/>
    <s v="Sugar and Confectionery"/>
    <n v="114.4"/>
    <x v="0"/>
  </r>
  <r>
    <s v="Rural+Urban"/>
    <n v="2016"/>
    <s v="December"/>
    <x v="48"/>
    <s v="Spices"/>
    <n v="140.19999999999999"/>
    <x v="0"/>
  </r>
  <r>
    <s v="Rural+Urban"/>
    <n v="2016"/>
    <s v="December"/>
    <x v="48"/>
    <s v="Non-alcoholic beverages"/>
    <n v="126.6"/>
    <x v="0"/>
  </r>
  <r>
    <s v="Rural+Urban"/>
    <n v="2016"/>
    <s v="December"/>
    <x v="48"/>
    <s v="Prepared meals, snacks, sweets etc."/>
    <n v="142.30000000000001"/>
    <x v="0"/>
  </r>
  <r>
    <s v="Rural+Urban"/>
    <n v="2016"/>
    <s v="December"/>
    <x v="48"/>
    <s v="Food and beverages"/>
    <n v="134"/>
    <x v="0"/>
  </r>
  <r>
    <s v="Rural+Urban"/>
    <n v="2016"/>
    <s v="December"/>
    <x v="48"/>
    <s v="Pan, tobacco and intoxicants"/>
    <n v="143.1"/>
    <x v="1"/>
  </r>
  <r>
    <s v="Rural+Urban"/>
    <n v="2016"/>
    <s v="December"/>
    <x v="48"/>
    <s v="Clothing"/>
    <n v="136.30000000000001"/>
    <x v="2"/>
  </r>
  <r>
    <s v="Rural+Urban"/>
    <n v="2016"/>
    <s v="December"/>
    <x v="48"/>
    <s v="Footwear"/>
    <n v="129.80000000000001"/>
    <x v="2"/>
  </r>
  <r>
    <s v="Rural+Urban"/>
    <n v="2016"/>
    <s v="December"/>
    <x v="48"/>
    <s v="Clothing and footwear"/>
    <n v="135.4"/>
    <x v="2"/>
  </r>
  <r>
    <s v="Rural+Urban"/>
    <n v="2016"/>
    <s v="December"/>
    <x v="48"/>
    <s v="Housing"/>
    <n v="128.5"/>
    <x v="10"/>
  </r>
  <r>
    <s v="Rural+Urban"/>
    <n v="2016"/>
    <s v="December"/>
    <x v="48"/>
    <s v="Fuel and light"/>
    <n v="126.6"/>
    <x v="3"/>
  </r>
  <r>
    <s v="Rural+Urban"/>
    <n v="2016"/>
    <s v="December"/>
    <x v="48"/>
    <s v="Household goods and services"/>
    <n v="129.19999999999999"/>
    <x v="4"/>
  </r>
  <r>
    <s v="Rural+Urban"/>
    <n v="2016"/>
    <s v="December"/>
    <x v="48"/>
    <s v="Health"/>
    <n v="126.9"/>
    <x v="5"/>
  </r>
  <r>
    <s v="Rural+Urban"/>
    <n v="2016"/>
    <s v="December"/>
    <x v="48"/>
    <s v="Transport and communication"/>
    <n v="116"/>
    <x v="6"/>
  </r>
  <r>
    <s v="Rural+Urban"/>
    <n v="2016"/>
    <s v="December"/>
    <x v="48"/>
    <s v="Recreation and amusement"/>
    <n v="124.2"/>
    <x v="1"/>
  </r>
  <r>
    <s v="Rural+Urban"/>
    <n v="2016"/>
    <s v="December"/>
    <x v="48"/>
    <s v="Education"/>
    <n v="133.1"/>
    <x v="7"/>
  </r>
  <r>
    <s v="Rural+Urban"/>
    <n v="2016"/>
    <s v="December"/>
    <x v="48"/>
    <s v="Personal care and effects"/>
    <n v="121.1"/>
    <x v="4"/>
  </r>
  <r>
    <s v="Rural+Urban"/>
    <n v="2016"/>
    <s v="December"/>
    <x v="48"/>
    <s v="Miscellaneous"/>
    <n v="123.9"/>
    <x v="8"/>
  </r>
  <r>
    <s v="Rural+Urban"/>
    <n v="2016"/>
    <s v="December"/>
    <x v="48"/>
    <s v="General index"/>
    <n v="130.4"/>
    <x v="9"/>
  </r>
  <r>
    <s v="Rural"/>
    <n v="2017"/>
    <s v="January"/>
    <x v="49"/>
    <s v="Cereals and products"/>
    <n v="133.1"/>
    <x v="0"/>
  </r>
  <r>
    <s v="Rural"/>
    <n v="2017"/>
    <s v="January"/>
    <x v="49"/>
    <s v="Meat and fish"/>
    <n v="137.80000000000001"/>
    <x v="0"/>
  </r>
  <r>
    <s v="Rural"/>
    <n v="2017"/>
    <s v="January"/>
    <x v="49"/>
    <s v="Egg"/>
    <n v="131.9"/>
    <x v="0"/>
  </r>
  <r>
    <s v="Rural"/>
    <n v="2017"/>
    <s v="January"/>
    <x v="49"/>
    <s v="Milk and products"/>
    <n v="136.69999999999999"/>
    <x v="0"/>
  </r>
  <r>
    <s v="Rural"/>
    <n v="2017"/>
    <s v="January"/>
    <x v="49"/>
    <s v="Oils and fats"/>
    <n v="122"/>
    <x v="0"/>
  </r>
  <r>
    <s v="Rural"/>
    <n v="2017"/>
    <s v="January"/>
    <x v="49"/>
    <s v="Fruits"/>
    <n v="136"/>
    <x v="0"/>
  </r>
  <r>
    <s v="Rural"/>
    <n v="2017"/>
    <s v="January"/>
    <x v="49"/>
    <s v="Vegetables"/>
    <n v="119.8"/>
    <x v="0"/>
  </r>
  <r>
    <s v="Rural"/>
    <n v="2017"/>
    <s v="January"/>
    <x v="49"/>
    <s v="Pulses and products"/>
    <n v="161.69999999999999"/>
    <x v="0"/>
  </r>
  <r>
    <s v="Rural"/>
    <n v="2017"/>
    <s v="January"/>
    <x v="49"/>
    <s v="Sugar and Confectionery"/>
    <n v="114.8"/>
    <x v="0"/>
  </r>
  <r>
    <s v="Rural"/>
    <n v="2017"/>
    <s v="January"/>
    <x v="49"/>
    <s v="Spices"/>
    <n v="136.9"/>
    <x v="0"/>
  </r>
  <r>
    <s v="Rural"/>
    <n v="2017"/>
    <s v="January"/>
    <x v="49"/>
    <s v="Non-alcoholic beverages"/>
    <n v="129"/>
    <x v="0"/>
  </r>
  <r>
    <s v="Rural"/>
    <n v="2017"/>
    <s v="January"/>
    <x v="49"/>
    <s v="Prepared meals, snacks, sweets etc."/>
    <n v="143.9"/>
    <x v="0"/>
  </r>
  <r>
    <s v="Rural"/>
    <n v="2017"/>
    <s v="January"/>
    <x v="49"/>
    <s v="Food and beverages"/>
    <n v="133.69999999999999"/>
    <x v="0"/>
  </r>
  <r>
    <s v="Rural"/>
    <n v="2017"/>
    <s v="January"/>
    <x v="49"/>
    <s v="Pan, tobacco and intoxicants"/>
    <n v="143.1"/>
    <x v="1"/>
  </r>
  <r>
    <s v="Rural"/>
    <n v="2017"/>
    <s v="January"/>
    <x v="49"/>
    <s v="Clothing"/>
    <n v="140.69999999999999"/>
    <x v="2"/>
  </r>
  <r>
    <s v="Rural"/>
    <n v="2017"/>
    <s v="January"/>
    <x v="49"/>
    <s v="Footwear"/>
    <n v="135.80000000000001"/>
    <x v="2"/>
  </r>
  <r>
    <s v="Rural"/>
    <n v="2017"/>
    <s v="January"/>
    <x v="49"/>
    <s v="Clothing and footwear"/>
    <n v="140"/>
    <x v="2"/>
  </r>
  <r>
    <s v="Rural"/>
    <n v="2017"/>
    <s v="January"/>
    <x v="49"/>
    <s v="Fuel and light"/>
    <n v="132.1"/>
    <x v="3"/>
  </r>
  <r>
    <s v="Rural"/>
    <n v="2017"/>
    <s v="January"/>
    <x v="49"/>
    <s v="Household goods and services"/>
    <n v="133.19999999999999"/>
    <x v="4"/>
  </r>
  <r>
    <s v="Rural"/>
    <n v="2017"/>
    <s v="January"/>
    <x v="49"/>
    <s v="Health"/>
    <n v="129.9"/>
    <x v="5"/>
  </r>
  <r>
    <s v="Rural"/>
    <n v="2017"/>
    <s v="January"/>
    <x v="49"/>
    <s v="Transport and communication"/>
    <n v="119.1"/>
    <x v="6"/>
  </r>
  <r>
    <s v="Rural"/>
    <n v="2017"/>
    <s v="January"/>
    <x v="49"/>
    <s v="Recreation and amusement"/>
    <n v="127"/>
    <x v="1"/>
  </r>
  <r>
    <s v="Rural"/>
    <n v="2017"/>
    <s v="January"/>
    <x v="49"/>
    <s v="Education"/>
    <n v="134.6"/>
    <x v="7"/>
  </r>
  <r>
    <s v="Rural"/>
    <n v="2017"/>
    <s v="January"/>
    <x v="49"/>
    <s v="Personal care and effects"/>
    <n v="122.3"/>
    <x v="4"/>
  </r>
  <r>
    <s v="Rural"/>
    <n v="2017"/>
    <s v="January"/>
    <x v="49"/>
    <s v="Miscellaneous"/>
    <n v="126.6"/>
    <x v="8"/>
  </r>
  <r>
    <s v="Rural"/>
    <n v="2017"/>
    <s v="January"/>
    <x v="49"/>
    <s v="General index"/>
    <n v="132.4"/>
    <x v="9"/>
  </r>
  <r>
    <s v="Urban"/>
    <n v="2017"/>
    <s v="January"/>
    <x v="49"/>
    <s v="Cereals and products"/>
    <n v="132.19999999999999"/>
    <x v="0"/>
  </r>
  <r>
    <s v="Urban"/>
    <n v="2017"/>
    <s v="January"/>
    <x v="49"/>
    <s v="Meat and fish"/>
    <n v="138.9"/>
    <x v="0"/>
  </r>
  <r>
    <s v="Urban"/>
    <n v="2017"/>
    <s v="January"/>
    <x v="49"/>
    <s v="Egg"/>
    <n v="132.6"/>
    <x v="0"/>
  </r>
  <r>
    <s v="Urban"/>
    <n v="2017"/>
    <s v="January"/>
    <x v="49"/>
    <s v="Milk and products"/>
    <n v="133.1"/>
    <x v="0"/>
  </r>
  <r>
    <s v="Urban"/>
    <n v="2017"/>
    <s v="January"/>
    <x v="49"/>
    <s v="Oils and fats"/>
    <n v="114"/>
    <x v="0"/>
  </r>
  <r>
    <s v="Urban"/>
    <n v="2017"/>
    <s v="January"/>
    <x v="49"/>
    <s v="Fruits"/>
    <n v="129.6"/>
    <x v="0"/>
  </r>
  <r>
    <s v="Urban"/>
    <n v="2017"/>
    <s v="January"/>
    <x v="49"/>
    <s v="Vegetables"/>
    <n v="118.7"/>
    <x v="0"/>
  </r>
  <r>
    <s v="Urban"/>
    <n v="2017"/>
    <s v="January"/>
    <x v="49"/>
    <s v="Pulses and products"/>
    <n v="155.1"/>
    <x v="0"/>
  </r>
  <r>
    <s v="Urban"/>
    <n v="2017"/>
    <s v="January"/>
    <x v="49"/>
    <s v="Sugar and Confectionery"/>
    <n v="117.3"/>
    <x v="0"/>
  </r>
  <r>
    <s v="Urban"/>
    <n v="2017"/>
    <s v="January"/>
    <x v="49"/>
    <s v="Spices"/>
    <n v="144.9"/>
    <x v="0"/>
  </r>
  <r>
    <s v="Urban"/>
    <n v="2017"/>
    <s v="January"/>
    <x v="49"/>
    <s v="Non-alcoholic beverages"/>
    <n v="123.2"/>
    <x v="0"/>
  </r>
  <r>
    <s v="Urban"/>
    <n v="2017"/>
    <s v="January"/>
    <x v="49"/>
    <s v="Prepared meals, snacks, sweets etc."/>
    <n v="141.6"/>
    <x v="0"/>
  </r>
  <r>
    <s v="Urban"/>
    <n v="2017"/>
    <s v="January"/>
    <x v="49"/>
    <s v="Food and beverages"/>
    <n v="132"/>
    <x v="0"/>
  </r>
  <r>
    <s v="Urban"/>
    <n v="2017"/>
    <s v="January"/>
    <x v="49"/>
    <s v="Pan, tobacco and intoxicants"/>
    <n v="145.6"/>
    <x v="1"/>
  </r>
  <r>
    <s v="Urban"/>
    <n v="2017"/>
    <s v="January"/>
    <x v="49"/>
    <s v="Clothing"/>
    <n v="130.19999999999999"/>
    <x v="2"/>
  </r>
  <r>
    <s v="Urban"/>
    <n v="2017"/>
    <s v="January"/>
    <x v="49"/>
    <s v="Footwear"/>
    <n v="122.3"/>
    <x v="2"/>
  </r>
  <r>
    <s v="Urban"/>
    <n v="2017"/>
    <s v="January"/>
    <x v="49"/>
    <s v="Clothing and footwear"/>
    <n v="129"/>
    <x v="2"/>
  </r>
  <r>
    <s v="Urban"/>
    <n v="2017"/>
    <s v="January"/>
    <x v="49"/>
    <s v="Housing"/>
    <n v="129.6"/>
    <x v="10"/>
  </r>
  <r>
    <s v="Urban"/>
    <n v="2017"/>
    <s v="January"/>
    <x v="49"/>
    <s v="Fuel and light"/>
    <n v="118"/>
    <x v="3"/>
  </r>
  <r>
    <s v="Urban"/>
    <n v="2017"/>
    <s v="January"/>
    <x v="49"/>
    <s v="Household goods and services"/>
    <n v="125.1"/>
    <x v="4"/>
  </r>
  <r>
    <s v="Urban"/>
    <n v="2017"/>
    <s v="January"/>
    <x v="49"/>
    <s v="Health"/>
    <n v="122.6"/>
    <x v="5"/>
  </r>
  <r>
    <s v="Urban"/>
    <n v="2017"/>
    <s v="January"/>
    <x v="49"/>
    <s v="Transport and communication"/>
    <n v="115.2"/>
    <x v="6"/>
  </r>
  <r>
    <s v="Urban"/>
    <n v="2017"/>
    <s v="January"/>
    <x v="49"/>
    <s v="Recreation and amusement"/>
    <n v="122"/>
    <x v="1"/>
  </r>
  <r>
    <s v="Urban"/>
    <n v="2017"/>
    <s v="January"/>
    <x v="49"/>
    <s v="Education"/>
    <n v="132.4"/>
    <x v="7"/>
  </r>
  <r>
    <s v="Urban"/>
    <n v="2017"/>
    <s v="January"/>
    <x v="49"/>
    <s v="Personal care and effects"/>
    <n v="120.9"/>
    <x v="4"/>
  </r>
  <r>
    <s v="Urban"/>
    <n v="2017"/>
    <s v="January"/>
    <x v="49"/>
    <s v="Miscellaneous"/>
    <n v="122.1"/>
    <x v="8"/>
  </r>
  <r>
    <s v="Urban"/>
    <n v="2017"/>
    <s v="January"/>
    <x v="49"/>
    <s v="General index"/>
    <n v="127.8"/>
    <x v="9"/>
  </r>
  <r>
    <s v="Rural+Urban"/>
    <n v="2017"/>
    <s v="January"/>
    <x v="49"/>
    <s v="Cereals and products"/>
    <n v="132.80000000000001"/>
    <x v="0"/>
  </r>
  <r>
    <s v="Rural+Urban"/>
    <n v="2017"/>
    <s v="January"/>
    <x v="49"/>
    <s v="Meat and fish"/>
    <n v="138.19999999999999"/>
    <x v="0"/>
  </r>
  <r>
    <s v="Rural+Urban"/>
    <n v="2017"/>
    <s v="January"/>
    <x v="49"/>
    <s v="Egg"/>
    <n v="132.19999999999999"/>
    <x v="0"/>
  </r>
  <r>
    <s v="Rural+Urban"/>
    <n v="2017"/>
    <s v="January"/>
    <x v="49"/>
    <s v="Milk and products"/>
    <n v="135.4"/>
    <x v="0"/>
  </r>
  <r>
    <s v="Rural+Urban"/>
    <n v="2017"/>
    <s v="January"/>
    <x v="49"/>
    <s v="Oils and fats"/>
    <n v="119.1"/>
    <x v="0"/>
  </r>
  <r>
    <s v="Rural+Urban"/>
    <n v="2017"/>
    <s v="January"/>
    <x v="49"/>
    <s v="Fruits"/>
    <n v="133"/>
    <x v="0"/>
  </r>
  <r>
    <s v="Rural+Urban"/>
    <n v="2017"/>
    <s v="January"/>
    <x v="49"/>
    <s v="Vegetables"/>
    <n v="119.4"/>
    <x v="0"/>
  </r>
  <r>
    <s v="Rural+Urban"/>
    <n v="2017"/>
    <s v="January"/>
    <x v="49"/>
    <s v="Pulses and products"/>
    <n v="159.5"/>
    <x v="0"/>
  </r>
  <r>
    <s v="Rural+Urban"/>
    <n v="2017"/>
    <s v="January"/>
    <x v="49"/>
    <s v="Sugar and Confectionery"/>
    <n v="115.6"/>
    <x v="0"/>
  </r>
  <r>
    <s v="Rural+Urban"/>
    <n v="2017"/>
    <s v="January"/>
    <x v="49"/>
    <s v="Spices"/>
    <n v="139.6"/>
    <x v="0"/>
  </r>
  <r>
    <s v="Rural+Urban"/>
    <n v="2017"/>
    <s v="January"/>
    <x v="49"/>
    <s v="Non-alcoholic beverages"/>
    <n v="126.6"/>
    <x v="0"/>
  </r>
  <r>
    <s v="Rural+Urban"/>
    <n v="2017"/>
    <s v="January"/>
    <x v="49"/>
    <s v="Prepared meals, snacks, sweets etc."/>
    <n v="142.80000000000001"/>
    <x v="0"/>
  </r>
  <r>
    <s v="Rural+Urban"/>
    <n v="2017"/>
    <s v="January"/>
    <x v="49"/>
    <s v="Food and beverages"/>
    <n v="133.1"/>
    <x v="0"/>
  </r>
  <r>
    <s v="Rural+Urban"/>
    <n v="2017"/>
    <s v="January"/>
    <x v="49"/>
    <s v="Pan, tobacco and intoxicants"/>
    <n v="143.80000000000001"/>
    <x v="1"/>
  </r>
  <r>
    <s v="Rural+Urban"/>
    <n v="2017"/>
    <s v="January"/>
    <x v="49"/>
    <s v="Clothing"/>
    <n v="136.6"/>
    <x v="2"/>
  </r>
  <r>
    <s v="Rural+Urban"/>
    <n v="2017"/>
    <s v="January"/>
    <x v="49"/>
    <s v="Footwear"/>
    <n v="130.19999999999999"/>
    <x v="2"/>
  </r>
  <r>
    <s v="Rural+Urban"/>
    <n v="2017"/>
    <s v="January"/>
    <x v="49"/>
    <s v="Clothing and footwear"/>
    <n v="135.6"/>
    <x v="2"/>
  </r>
  <r>
    <s v="Rural+Urban"/>
    <n v="2017"/>
    <s v="January"/>
    <x v="49"/>
    <s v="Housing"/>
    <n v="129.6"/>
    <x v="10"/>
  </r>
  <r>
    <s v="Rural+Urban"/>
    <n v="2017"/>
    <s v="January"/>
    <x v="49"/>
    <s v="Fuel and light"/>
    <n v="126.8"/>
    <x v="3"/>
  </r>
  <r>
    <s v="Rural+Urban"/>
    <n v="2017"/>
    <s v="January"/>
    <x v="49"/>
    <s v="Household goods and services"/>
    <n v="129.4"/>
    <x v="4"/>
  </r>
  <r>
    <s v="Rural+Urban"/>
    <n v="2017"/>
    <s v="January"/>
    <x v="49"/>
    <s v="Health"/>
    <n v="127.1"/>
    <x v="5"/>
  </r>
  <r>
    <s v="Rural+Urban"/>
    <n v="2017"/>
    <s v="January"/>
    <x v="49"/>
    <s v="Transport and communication"/>
    <n v="117"/>
    <x v="6"/>
  </r>
  <r>
    <s v="Rural+Urban"/>
    <n v="2017"/>
    <s v="January"/>
    <x v="49"/>
    <s v="Recreation and amusement"/>
    <n v="124.2"/>
    <x v="1"/>
  </r>
  <r>
    <s v="Rural+Urban"/>
    <n v="2017"/>
    <s v="January"/>
    <x v="49"/>
    <s v="Education"/>
    <n v="133.30000000000001"/>
    <x v="7"/>
  </r>
  <r>
    <s v="Rural+Urban"/>
    <n v="2017"/>
    <s v="January"/>
    <x v="49"/>
    <s v="Personal care and effects"/>
    <n v="121.7"/>
    <x v="4"/>
  </r>
  <r>
    <s v="Rural+Urban"/>
    <n v="2017"/>
    <s v="January"/>
    <x v="49"/>
    <s v="Miscellaneous"/>
    <n v="124.4"/>
    <x v="8"/>
  </r>
  <r>
    <s v="Rural+Urban"/>
    <n v="2017"/>
    <s v="January"/>
    <x v="49"/>
    <s v="General index"/>
    <n v="130.30000000000001"/>
    <x v="9"/>
  </r>
  <r>
    <s v="Rural"/>
    <n v="2017"/>
    <s v="February"/>
    <x v="50"/>
    <s v="Cereals and products"/>
    <n v="133.30000000000001"/>
    <x v="0"/>
  </r>
  <r>
    <s v="Rural"/>
    <n v="2017"/>
    <s v="February"/>
    <x v="50"/>
    <s v="Meat and fish"/>
    <n v="138.30000000000001"/>
    <x v="0"/>
  </r>
  <r>
    <s v="Rural"/>
    <n v="2017"/>
    <s v="February"/>
    <x v="50"/>
    <s v="Egg"/>
    <n v="129.30000000000001"/>
    <x v="0"/>
  </r>
  <r>
    <s v="Rural"/>
    <n v="2017"/>
    <s v="February"/>
    <x v="50"/>
    <s v="Milk and products"/>
    <n v="137.19999999999999"/>
    <x v="0"/>
  </r>
  <r>
    <s v="Rural"/>
    <n v="2017"/>
    <s v="February"/>
    <x v="50"/>
    <s v="Oils and fats"/>
    <n v="122.1"/>
    <x v="0"/>
  </r>
  <r>
    <s v="Rural"/>
    <n v="2017"/>
    <s v="February"/>
    <x v="50"/>
    <s v="Fruits"/>
    <n v="138.69999999999999"/>
    <x v="0"/>
  </r>
  <r>
    <s v="Rural"/>
    <n v="2017"/>
    <s v="February"/>
    <x v="50"/>
    <s v="Vegetables"/>
    <n v="119.1"/>
    <x v="0"/>
  </r>
  <r>
    <s v="Rural"/>
    <n v="2017"/>
    <s v="February"/>
    <x v="50"/>
    <s v="Pulses and products"/>
    <n v="156.9"/>
    <x v="0"/>
  </r>
  <r>
    <s v="Rural"/>
    <n v="2017"/>
    <s v="February"/>
    <x v="50"/>
    <s v="Sugar and Confectionery"/>
    <n v="116.2"/>
    <x v="0"/>
  </r>
  <r>
    <s v="Rural"/>
    <n v="2017"/>
    <s v="February"/>
    <x v="50"/>
    <s v="Spices"/>
    <n v="136"/>
    <x v="0"/>
  </r>
  <r>
    <s v="Rural"/>
    <n v="2017"/>
    <s v="February"/>
    <x v="50"/>
    <s v="Non-alcoholic beverages"/>
    <n v="129.4"/>
    <x v="0"/>
  </r>
  <r>
    <s v="Rural"/>
    <n v="2017"/>
    <s v="February"/>
    <x v="50"/>
    <s v="Prepared meals, snacks, sweets etc."/>
    <n v="144.4"/>
    <x v="0"/>
  </r>
  <r>
    <s v="Rural"/>
    <n v="2017"/>
    <s v="February"/>
    <x v="50"/>
    <s v="Food and beverages"/>
    <n v="133.6"/>
    <x v="0"/>
  </r>
  <r>
    <s v="Rural"/>
    <n v="2017"/>
    <s v="February"/>
    <x v="50"/>
    <s v="Pan, tobacco and intoxicants"/>
    <n v="143.69999999999999"/>
    <x v="1"/>
  </r>
  <r>
    <s v="Rural"/>
    <n v="2017"/>
    <s v="February"/>
    <x v="50"/>
    <s v="Clothing"/>
    <n v="140.9"/>
    <x v="2"/>
  </r>
  <r>
    <s v="Rural"/>
    <n v="2017"/>
    <s v="February"/>
    <x v="50"/>
    <s v="Footwear"/>
    <n v="135.80000000000001"/>
    <x v="2"/>
  </r>
  <r>
    <s v="Rural"/>
    <n v="2017"/>
    <s v="February"/>
    <x v="50"/>
    <s v="Clothing and footwear"/>
    <n v="140.19999999999999"/>
    <x v="2"/>
  </r>
  <r>
    <s v="Rural"/>
    <n v="2017"/>
    <s v="February"/>
    <x v="50"/>
    <s v="Fuel and light"/>
    <n v="133.19999999999999"/>
    <x v="3"/>
  </r>
  <r>
    <s v="Rural"/>
    <n v="2017"/>
    <s v="February"/>
    <x v="50"/>
    <s v="Household goods and services"/>
    <n v="133.6"/>
    <x v="4"/>
  </r>
  <r>
    <s v="Rural"/>
    <n v="2017"/>
    <s v="February"/>
    <x v="50"/>
    <s v="Health"/>
    <n v="130.1"/>
    <x v="5"/>
  </r>
  <r>
    <s v="Rural"/>
    <n v="2017"/>
    <s v="February"/>
    <x v="50"/>
    <s v="Transport and communication"/>
    <n v="119.5"/>
    <x v="6"/>
  </r>
  <r>
    <s v="Rural"/>
    <n v="2017"/>
    <s v="February"/>
    <x v="50"/>
    <s v="Recreation and amusement"/>
    <n v="127.7"/>
    <x v="1"/>
  </r>
  <r>
    <s v="Rural"/>
    <n v="2017"/>
    <s v="February"/>
    <x v="50"/>
    <s v="Education"/>
    <n v="134.9"/>
    <x v="7"/>
  </r>
  <r>
    <s v="Rural"/>
    <n v="2017"/>
    <s v="February"/>
    <x v="50"/>
    <s v="Personal care and effects"/>
    <n v="123.2"/>
    <x v="4"/>
  </r>
  <r>
    <s v="Rural"/>
    <n v="2017"/>
    <s v="February"/>
    <x v="50"/>
    <s v="Miscellaneous"/>
    <n v="127"/>
    <x v="8"/>
  </r>
  <r>
    <s v="Rural"/>
    <n v="2017"/>
    <s v="February"/>
    <x v="50"/>
    <s v="General index"/>
    <n v="132.6"/>
    <x v="9"/>
  </r>
  <r>
    <s v="Urban"/>
    <n v="2017"/>
    <s v="February"/>
    <x v="50"/>
    <s v="Cereals and products"/>
    <n v="132.80000000000001"/>
    <x v="0"/>
  </r>
  <r>
    <s v="Urban"/>
    <n v="2017"/>
    <s v="February"/>
    <x v="50"/>
    <s v="Meat and fish"/>
    <n v="139.80000000000001"/>
    <x v="0"/>
  </r>
  <r>
    <s v="Urban"/>
    <n v="2017"/>
    <s v="February"/>
    <x v="50"/>
    <s v="Egg"/>
    <n v="129.30000000000001"/>
    <x v="0"/>
  </r>
  <r>
    <s v="Urban"/>
    <n v="2017"/>
    <s v="February"/>
    <x v="50"/>
    <s v="Milk and products"/>
    <n v="133.5"/>
    <x v="0"/>
  </r>
  <r>
    <s v="Urban"/>
    <n v="2017"/>
    <s v="February"/>
    <x v="50"/>
    <s v="Oils and fats"/>
    <n v="114.3"/>
    <x v="0"/>
  </r>
  <r>
    <s v="Urban"/>
    <n v="2017"/>
    <s v="February"/>
    <x v="50"/>
    <s v="Fruits"/>
    <n v="131.4"/>
    <x v="0"/>
  </r>
  <r>
    <s v="Urban"/>
    <n v="2017"/>
    <s v="February"/>
    <x v="50"/>
    <s v="Vegetables"/>
    <n v="120.2"/>
    <x v="0"/>
  </r>
  <r>
    <s v="Urban"/>
    <n v="2017"/>
    <s v="February"/>
    <x v="50"/>
    <s v="Pulses and products"/>
    <n v="143.1"/>
    <x v="0"/>
  </r>
  <r>
    <s v="Urban"/>
    <n v="2017"/>
    <s v="February"/>
    <x v="50"/>
    <s v="Sugar and Confectionery"/>
    <n v="119.5"/>
    <x v="0"/>
  </r>
  <r>
    <s v="Urban"/>
    <n v="2017"/>
    <s v="February"/>
    <x v="50"/>
    <s v="Spices"/>
    <n v="144"/>
    <x v="0"/>
  </r>
  <r>
    <s v="Urban"/>
    <n v="2017"/>
    <s v="February"/>
    <x v="50"/>
    <s v="Non-alcoholic beverages"/>
    <n v="123.4"/>
    <x v="0"/>
  </r>
  <r>
    <s v="Urban"/>
    <n v="2017"/>
    <s v="February"/>
    <x v="50"/>
    <s v="Prepared meals, snacks, sweets etc."/>
    <n v="141.9"/>
    <x v="0"/>
  </r>
  <r>
    <s v="Urban"/>
    <n v="2017"/>
    <s v="February"/>
    <x v="50"/>
    <s v="Food and beverages"/>
    <n v="132.1"/>
    <x v="0"/>
  </r>
  <r>
    <s v="Urban"/>
    <n v="2017"/>
    <s v="February"/>
    <x v="50"/>
    <s v="Pan, tobacco and intoxicants"/>
    <n v="146.30000000000001"/>
    <x v="1"/>
  </r>
  <r>
    <s v="Urban"/>
    <n v="2017"/>
    <s v="February"/>
    <x v="50"/>
    <s v="Clothing"/>
    <n v="130.5"/>
    <x v="2"/>
  </r>
  <r>
    <s v="Urban"/>
    <n v="2017"/>
    <s v="February"/>
    <x v="50"/>
    <s v="Footwear"/>
    <n v="122.5"/>
    <x v="2"/>
  </r>
  <r>
    <s v="Urban"/>
    <n v="2017"/>
    <s v="February"/>
    <x v="50"/>
    <s v="Clothing and footwear"/>
    <n v="129.30000000000001"/>
    <x v="2"/>
  </r>
  <r>
    <s v="Urban"/>
    <n v="2017"/>
    <s v="February"/>
    <x v="50"/>
    <s v="Housing"/>
    <n v="130.5"/>
    <x v="10"/>
  </r>
  <r>
    <s v="Urban"/>
    <n v="2017"/>
    <s v="February"/>
    <x v="50"/>
    <s v="Fuel and light"/>
    <n v="119.2"/>
    <x v="3"/>
  </r>
  <r>
    <s v="Urban"/>
    <n v="2017"/>
    <s v="February"/>
    <x v="50"/>
    <s v="Household goods and services"/>
    <n v="125.3"/>
    <x v="4"/>
  </r>
  <r>
    <s v="Urban"/>
    <n v="2017"/>
    <s v="February"/>
    <x v="50"/>
    <s v="Health"/>
    <n v="122.9"/>
    <x v="5"/>
  </r>
  <r>
    <s v="Urban"/>
    <n v="2017"/>
    <s v="February"/>
    <x v="50"/>
    <s v="Transport and communication"/>
    <n v="115.5"/>
    <x v="6"/>
  </r>
  <r>
    <s v="Urban"/>
    <n v="2017"/>
    <s v="February"/>
    <x v="50"/>
    <s v="Recreation and amusement"/>
    <n v="122.2"/>
    <x v="1"/>
  </r>
  <r>
    <s v="Urban"/>
    <n v="2017"/>
    <s v="February"/>
    <x v="50"/>
    <s v="Education"/>
    <n v="132.4"/>
    <x v="7"/>
  </r>
  <r>
    <s v="Urban"/>
    <n v="2017"/>
    <s v="February"/>
    <x v="50"/>
    <s v="Personal care and effects"/>
    <n v="121.7"/>
    <x v="4"/>
  </r>
  <r>
    <s v="Urban"/>
    <n v="2017"/>
    <s v="February"/>
    <x v="50"/>
    <s v="Miscellaneous"/>
    <n v="122.4"/>
    <x v="8"/>
  </r>
  <r>
    <s v="Urban"/>
    <n v="2017"/>
    <s v="February"/>
    <x v="50"/>
    <s v="General index"/>
    <n v="128.19999999999999"/>
    <x v="9"/>
  </r>
  <r>
    <s v="Rural+Urban"/>
    <n v="2017"/>
    <s v="February"/>
    <x v="50"/>
    <s v="Cereals and products"/>
    <n v="133.1"/>
    <x v="0"/>
  </r>
  <r>
    <s v="Rural+Urban"/>
    <n v="2017"/>
    <s v="February"/>
    <x v="50"/>
    <s v="Meat and fish"/>
    <n v="138.80000000000001"/>
    <x v="0"/>
  </r>
  <r>
    <s v="Rural+Urban"/>
    <n v="2017"/>
    <s v="February"/>
    <x v="50"/>
    <s v="Egg"/>
    <n v="129.30000000000001"/>
    <x v="0"/>
  </r>
  <r>
    <s v="Rural+Urban"/>
    <n v="2017"/>
    <s v="February"/>
    <x v="50"/>
    <s v="Milk and products"/>
    <n v="135.80000000000001"/>
    <x v="0"/>
  </r>
  <r>
    <s v="Rural+Urban"/>
    <n v="2017"/>
    <s v="February"/>
    <x v="50"/>
    <s v="Oils and fats"/>
    <n v="119.2"/>
    <x v="0"/>
  </r>
  <r>
    <s v="Rural+Urban"/>
    <n v="2017"/>
    <s v="February"/>
    <x v="50"/>
    <s v="Fruits"/>
    <n v="135.30000000000001"/>
    <x v="0"/>
  </r>
  <r>
    <s v="Rural+Urban"/>
    <n v="2017"/>
    <s v="February"/>
    <x v="50"/>
    <s v="Vegetables"/>
    <n v="119.5"/>
    <x v="0"/>
  </r>
  <r>
    <s v="Rural+Urban"/>
    <n v="2017"/>
    <s v="February"/>
    <x v="50"/>
    <s v="Pulses and products"/>
    <n v="152.19999999999999"/>
    <x v="0"/>
  </r>
  <r>
    <s v="Rural+Urban"/>
    <n v="2017"/>
    <s v="February"/>
    <x v="50"/>
    <s v="Sugar and Confectionery"/>
    <n v="117.3"/>
    <x v="0"/>
  </r>
  <r>
    <s v="Rural+Urban"/>
    <n v="2017"/>
    <s v="February"/>
    <x v="50"/>
    <s v="Spices"/>
    <n v="138.69999999999999"/>
    <x v="0"/>
  </r>
  <r>
    <s v="Rural+Urban"/>
    <n v="2017"/>
    <s v="February"/>
    <x v="50"/>
    <s v="Non-alcoholic beverages"/>
    <n v="126.9"/>
    <x v="0"/>
  </r>
  <r>
    <s v="Rural+Urban"/>
    <n v="2017"/>
    <s v="February"/>
    <x v="50"/>
    <s v="Prepared meals, snacks, sweets etc."/>
    <n v="143.19999999999999"/>
    <x v="0"/>
  </r>
  <r>
    <s v="Rural+Urban"/>
    <n v="2017"/>
    <s v="February"/>
    <x v="50"/>
    <s v="Food and beverages"/>
    <n v="133"/>
    <x v="0"/>
  </r>
  <r>
    <s v="Rural+Urban"/>
    <n v="2017"/>
    <s v="February"/>
    <x v="50"/>
    <s v="Pan, tobacco and intoxicants"/>
    <n v="144.4"/>
    <x v="1"/>
  </r>
  <r>
    <s v="Rural+Urban"/>
    <n v="2017"/>
    <s v="February"/>
    <x v="50"/>
    <s v="Clothing"/>
    <n v="136.80000000000001"/>
    <x v="2"/>
  </r>
  <r>
    <s v="Rural+Urban"/>
    <n v="2017"/>
    <s v="February"/>
    <x v="50"/>
    <s v="Footwear"/>
    <n v="130.30000000000001"/>
    <x v="2"/>
  </r>
  <r>
    <s v="Rural+Urban"/>
    <n v="2017"/>
    <s v="February"/>
    <x v="50"/>
    <s v="Clothing and footwear"/>
    <n v="135.9"/>
    <x v="2"/>
  </r>
  <r>
    <s v="Rural+Urban"/>
    <n v="2017"/>
    <s v="February"/>
    <x v="50"/>
    <s v="Housing"/>
    <n v="130.5"/>
    <x v="10"/>
  </r>
  <r>
    <s v="Rural+Urban"/>
    <n v="2017"/>
    <s v="February"/>
    <x v="50"/>
    <s v="Fuel and light"/>
    <n v="127.9"/>
    <x v="3"/>
  </r>
  <r>
    <s v="Rural+Urban"/>
    <n v="2017"/>
    <s v="February"/>
    <x v="50"/>
    <s v="Household goods and services"/>
    <n v="129.69999999999999"/>
    <x v="4"/>
  </r>
  <r>
    <s v="Rural+Urban"/>
    <n v="2017"/>
    <s v="February"/>
    <x v="50"/>
    <s v="Health"/>
    <n v="127.4"/>
    <x v="5"/>
  </r>
  <r>
    <s v="Rural+Urban"/>
    <n v="2017"/>
    <s v="February"/>
    <x v="50"/>
    <s v="Transport and communication"/>
    <n v="117.4"/>
    <x v="6"/>
  </r>
  <r>
    <s v="Rural+Urban"/>
    <n v="2017"/>
    <s v="February"/>
    <x v="50"/>
    <s v="Recreation and amusement"/>
    <n v="124.6"/>
    <x v="1"/>
  </r>
  <r>
    <s v="Rural+Urban"/>
    <n v="2017"/>
    <s v="February"/>
    <x v="50"/>
    <s v="Education"/>
    <n v="133.4"/>
    <x v="7"/>
  </r>
  <r>
    <s v="Rural+Urban"/>
    <n v="2017"/>
    <s v="February"/>
    <x v="50"/>
    <s v="Personal care and effects"/>
    <n v="122.6"/>
    <x v="4"/>
  </r>
  <r>
    <s v="Rural+Urban"/>
    <n v="2017"/>
    <s v="February"/>
    <x v="50"/>
    <s v="Miscellaneous"/>
    <n v="124.8"/>
    <x v="8"/>
  </r>
  <r>
    <s v="Rural+Urban"/>
    <n v="2017"/>
    <s v="February"/>
    <x v="50"/>
    <s v="General index"/>
    <n v="130.6"/>
    <x v="9"/>
  </r>
  <r>
    <s v="Rural"/>
    <n v="2017"/>
    <s v="March"/>
    <x v="51"/>
    <s v="Cereals and products"/>
    <n v="133.6"/>
    <x v="0"/>
  </r>
  <r>
    <s v="Rural"/>
    <n v="2017"/>
    <s v="March"/>
    <x v="51"/>
    <s v="Meat and fish"/>
    <n v="138.80000000000001"/>
    <x v="0"/>
  </r>
  <r>
    <s v="Rural"/>
    <n v="2017"/>
    <s v="March"/>
    <x v="51"/>
    <s v="Egg"/>
    <n v="128.80000000000001"/>
    <x v="0"/>
  </r>
  <r>
    <s v="Rural"/>
    <n v="2017"/>
    <s v="March"/>
    <x v="51"/>
    <s v="Milk and products"/>
    <n v="137.19999999999999"/>
    <x v="0"/>
  </r>
  <r>
    <s v="Rural"/>
    <n v="2017"/>
    <s v="March"/>
    <x v="51"/>
    <s v="Oils and fats"/>
    <n v="121.6"/>
    <x v="0"/>
  </r>
  <r>
    <s v="Rural"/>
    <n v="2017"/>
    <s v="March"/>
    <x v="51"/>
    <s v="Fruits"/>
    <n v="139.69999999999999"/>
    <x v="0"/>
  </r>
  <r>
    <s v="Rural"/>
    <n v="2017"/>
    <s v="March"/>
    <x v="51"/>
    <s v="Vegetables"/>
    <n v="119.7"/>
    <x v="0"/>
  </r>
  <r>
    <s v="Rural"/>
    <n v="2017"/>
    <s v="March"/>
    <x v="51"/>
    <s v="Pulses and products"/>
    <n v="148"/>
    <x v="0"/>
  </r>
  <r>
    <s v="Rural"/>
    <n v="2017"/>
    <s v="March"/>
    <x v="51"/>
    <s v="Sugar and Confectionery"/>
    <n v="116.9"/>
    <x v="0"/>
  </r>
  <r>
    <s v="Rural"/>
    <n v="2017"/>
    <s v="March"/>
    <x v="51"/>
    <s v="Spices"/>
    <n v="135.6"/>
    <x v="0"/>
  </r>
  <r>
    <s v="Rural"/>
    <n v="2017"/>
    <s v="March"/>
    <x v="51"/>
    <s v="Non-alcoholic beverages"/>
    <n v="129.80000000000001"/>
    <x v="0"/>
  </r>
  <r>
    <s v="Rural"/>
    <n v="2017"/>
    <s v="March"/>
    <x v="51"/>
    <s v="Prepared meals, snacks, sweets etc."/>
    <n v="145.4"/>
    <x v="0"/>
  </r>
  <r>
    <s v="Rural"/>
    <n v="2017"/>
    <s v="March"/>
    <x v="51"/>
    <s v="Food and beverages"/>
    <n v="133.4"/>
    <x v="0"/>
  </r>
  <r>
    <s v="Rural"/>
    <n v="2017"/>
    <s v="March"/>
    <x v="51"/>
    <s v="Pan, tobacco and intoxicants"/>
    <n v="144.19999999999999"/>
    <x v="1"/>
  </r>
  <r>
    <s v="Rural"/>
    <n v="2017"/>
    <s v="March"/>
    <x v="51"/>
    <s v="Clothing"/>
    <n v="141.6"/>
    <x v="2"/>
  </r>
  <r>
    <s v="Rural"/>
    <n v="2017"/>
    <s v="March"/>
    <x v="51"/>
    <s v="Footwear"/>
    <n v="136.19999999999999"/>
    <x v="2"/>
  </r>
  <r>
    <s v="Rural"/>
    <n v="2017"/>
    <s v="March"/>
    <x v="51"/>
    <s v="Clothing and footwear"/>
    <n v="140.80000000000001"/>
    <x v="2"/>
  </r>
  <r>
    <s v="Rural"/>
    <n v="2017"/>
    <s v="March"/>
    <x v="51"/>
    <s v="Fuel and light"/>
    <n v="134.19999999999999"/>
    <x v="3"/>
  </r>
  <r>
    <s v="Rural"/>
    <n v="2017"/>
    <s v="March"/>
    <x v="51"/>
    <s v="Household goods and services"/>
    <n v="134.1"/>
    <x v="4"/>
  </r>
  <r>
    <s v="Rural"/>
    <n v="2017"/>
    <s v="March"/>
    <x v="51"/>
    <s v="Health"/>
    <n v="130.6"/>
    <x v="5"/>
  </r>
  <r>
    <s v="Rural"/>
    <n v="2017"/>
    <s v="March"/>
    <x v="51"/>
    <s v="Transport and communication"/>
    <n v="119.8"/>
    <x v="6"/>
  </r>
  <r>
    <s v="Rural"/>
    <n v="2017"/>
    <s v="March"/>
    <x v="51"/>
    <s v="Recreation and amusement"/>
    <n v="128.30000000000001"/>
    <x v="1"/>
  </r>
  <r>
    <s v="Rural"/>
    <n v="2017"/>
    <s v="March"/>
    <x v="51"/>
    <s v="Education"/>
    <n v="135.19999999999999"/>
    <x v="7"/>
  </r>
  <r>
    <s v="Rural"/>
    <n v="2017"/>
    <s v="March"/>
    <x v="51"/>
    <s v="Personal care and effects"/>
    <n v="123.3"/>
    <x v="4"/>
  </r>
  <r>
    <s v="Rural"/>
    <n v="2017"/>
    <s v="March"/>
    <x v="51"/>
    <s v="Miscellaneous"/>
    <n v="127.4"/>
    <x v="8"/>
  </r>
  <r>
    <s v="Rural"/>
    <n v="2017"/>
    <s v="March"/>
    <x v="51"/>
    <s v="General index"/>
    <n v="132.80000000000001"/>
    <x v="9"/>
  </r>
  <r>
    <s v="Urban"/>
    <n v="2017"/>
    <s v="March"/>
    <x v="51"/>
    <s v="Cereals and products"/>
    <n v="132.69999999999999"/>
    <x v="0"/>
  </r>
  <r>
    <s v="Urban"/>
    <n v="2017"/>
    <s v="March"/>
    <x v="51"/>
    <s v="Meat and fish"/>
    <n v="139.4"/>
    <x v="0"/>
  </r>
  <r>
    <s v="Urban"/>
    <n v="2017"/>
    <s v="March"/>
    <x v="51"/>
    <s v="Egg"/>
    <n v="128.4"/>
    <x v="0"/>
  </r>
  <r>
    <s v="Urban"/>
    <n v="2017"/>
    <s v="March"/>
    <x v="51"/>
    <s v="Milk and products"/>
    <n v="134.9"/>
    <x v="0"/>
  </r>
  <r>
    <s v="Urban"/>
    <n v="2017"/>
    <s v="March"/>
    <x v="51"/>
    <s v="Oils and fats"/>
    <n v="114"/>
    <x v="0"/>
  </r>
  <r>
    <s v="Urban"/>
    <n v="2017"/>
    <s v="March"/>
    <x v="51"/>
    <s v="Fruits"/>
    <n v="136.80000000000001"/>
    <x v="0"/>
  </r>
  <r>
    <s v="Urban"/>
    <n v="2017"/>
    <s v="March"/>
    <x v="51"/>
    <s v="Vegetables"/>
    <n v="122.2"/>
    <x v="0"/>
  </r>
  <r>
    <s v="Urban"/>
    <n v="2017"/>
    <s v="March"/>
    <x v="51"/>
    <s v="Pulses and products"/>
    <n v="135.80000000000001"/>
    <x v="0"/>
  </r>
  <r>
    <s v="Urban"/>
    <n v="2017"/>
    <s v="March"/>
    <x v="51"/>
    <s v="Sugar and Confectionery"/>
    <n v="120.3"/>
    <x v="0"/>
  </r>
  <r>
    <s v="Urban"/>
    <n v="2017"/>
    <s v="March"/>
    <x v="51"/>
    <s v="Spices"/>
    <n v="142.6"/>
    <x v="0"/>
  </r>
  <r>
    <s v="Urban"/>
    <n v="2017"/>
    <s v="March"/>
    <x v="51"/>
    <s v="Non-alcoholic beverages"/>
    <n v="123.6"/>
    <x v="0"/>
  </r>
  <r>
    <s v="Urban"/>
    <n v="2017"/>
    <s v="March"/>
    <x v="51"/>
    <s v="Prepared meals, snacks, sweets etc."/>
    <n v="142.4"/>
    <x v="0"/>
  </r>
  <r>
    <s v="Urban"/>
    <n v="2017"/>
    <s v="March"/>
    <x v="51"/>
    <s v="Food and beverages"/>
    <n v="132.6"/>
    <x v="0"/>
  </r>
  <r>
    <s v="Urban"/>
    <n v="2017"/>
    <s v="March"/>
    <x v="51"/>
    <s v="Pan, tobacco and intoxicants"/>
    <n v="147.5"/>
    <x v="1"/>
  </r>
  <r>
    <s v="Urban"/>
    <n v="2017"/>
    <s v="March"/>
    <x v="51"/>
    <s v="Clothing"/>
    <n v="130.80000000000001"/>
    <x v="2"/>
  </r>
  <r>
    <s v="Urban"/>
    <n v="2017"/>
    <s v="March"/>
    <x v="51"/>
    <s v="Footwear"/>
    <n v="122.8"/>
    <x v="2"/>
  </r>
  <r>
    <s v="Urban"/>
    <n v="2017"/>
    <s v="March"/>
    <x v="51"/>
    <s v="Clothing and footwear"/>
    <n v="129.6"/>
    <x v="2"/>
  </r>
  <r>
    <s v="Urban"/>
    <n v="2017"/>
    <s v="March"/>
    <x v="51"/>
    <s v="Housing"/>
    <n v="131.1"/>
    <x v="10"/>
  </r>
  <r>
    <s v="Urban"/>
    <n v="2017"/>
    <s v="March"/>
    <x v="51"/>
    <s v="Fuel and light"/>
    <n v="120.8"/>
    <x v="3"/>
  </r>
  <r>
    <s v="Urban"/>
    <n v="2017"/>
    <s v="March"/>
    <x v="51"/>
    <s v="Household goods and services"/>
    <n v="125.6"/>
    <x v="4"/>
  </r>
  <r>
    <s v="Urban"/>
    <n v="2017"/>
    <s v="March"/>
    <x v="51"/>
    <s v="Health"/>
    <n v="123.1"/>
    <x v="5"/>
  </r>
  <r>
    <s v="Urban"/>
    <n v="2017"/>
    <s v="March"/>
    <x v="51"/>
    <s v="Transport and communication"/>
    <n v="115.6"/>
    <x v="6"/>
  </r>
  <r>
    <s v="Urban"/>
    <n v="2017"/>
    <s v="March"/>
    <x v="51"/>
    <s v="Recreation and amusement"/>
    <n v="122.4"/>
    <x v="1"/>
  </r>
  <r>
    <s v="Urban"/>
    <n v="2017"/>
    <s v="March"/>
    <x v="51"/>
    <s v="Education"/>
    <n v="132.80000000000001"/>
    <x v="7"/>
  </r>
  <r>
    <s v="Urban"/>
    <n v="2017"/>
    <s v="March"/>
    <x v="51"/>
    <s v="Personal care and effects"/>
    <n v="121.7"/>
    <x v="4"/>
  </r>
  <r>
    <s v="Urban"/>
    <n v="2017"/>
    <s v="March"/>
    <x v="51"/>
    <s v="Miscellaneous"/>
    <n v="122.6"/>
    <x v="8"/>
  </r>
  <r>
    <s v="Urban"/>
    <n v="2017"/>
    <s v="March"/>
    <x v="51"/>
    <s v="General index"/>
    <n v="128.69999999999999"/>
    <x v="9"/>
  </r>
  <r>
    <s v="Rural+Urban"/>
    <n v="2017"/>
    <s v="March"/>
    <x v="51"/>
    <s v="Cereals and products"/>
    <n v="133.30000000000001"/>
    <x v="0"/>
  </r>
  <r>
    <s v="Rural+Urban"/>
    <n v="2017"/>
    <s v="March"/>
    <x v="51"/>
    <s v="Meat and fish"/>
    <n v="139"/>
    <x v="0"/>
  </r>
  <r>
    <s v="Rural+Urban"/>
    <n v="2017"/>
    <s v="March"/>
    <x v="51"/>
    <s v="Egg"/>
    <n v="128.6"/>
    <x v="0"/>
  </r>
  <r>
    <s v="Rural+Urban"/>
    <n v="2017"/>
    <s v="March"/>
    <x v="51"/>
    <s v="Milk and products"/>
    <n v="136.30000000000001"/>
    <x v="0"/>
  </r>
  <r>
    <s v="Rural+Urban"/>
    <n v="2017"/>
    <s v="March"/>
    <x v="51"/>
    <s v="Oils and fats"/>
    <n v="118.8"/>
    <x v="0"/>
  </r>
  <r>
    <s v="Rural+Urban"/>
    <n v="2017"/>
    <s v="March"/>
    <x v="51"/>
    <s v="Fruits"/>
    <n v="138.30000000000001"/>
    <x v="0"/>
  </r>
  <r>
    <s v="Rural+Urban"/>
    <n v="2017"/>
    <s v="March"/>
    <x v="51"/>
    <s v="Vegetables"/>
    <n v="120.5"/>
    <x v="0"/>
  </r>
  <r>
    <s v="Rural+Urban"/>
    <n v="2017"/>
    <s v="March"/>
    <x v="51"/>
    <s v="Pulses and products"/>
    <n v="143.9"/>
    <x v="0"/>
  </r>
  <r>
    <s v="Rural+Urban"/>
    <n v="2017"/>
    <s v="March"/>
    <x v="51"/>
    <s v="Sugar and Confectionery"/>
    <n v="118"/>
    <x v="0"/>
  </r>
  <r>
    <s v="Rural+Urban"/>
    <n v="2017"/>
    <s v="March"/>
    <x v="51"/>
    <s v="Spices"/>
    <n v="137.9"/>
    <x v="0"/>
  </r>
  <r>
    <s v="Rural+Urban"/>
    <n v="2017"/>
    <s v="March"/>
    <x v="51"/>
    <s v="Non-alcoholic beverages"/>
    <n v="127.2"/>
    <x v="0"/>
  </r>
  <r>
    <s v="Rural+Urban"/>
    <n v="2017"/>
    <s v="March"/>
    <x v="51"/>
    <s v="Prepared meals, snacks, sweets etc."/>
    <n v="144"/>
    <x v="0"/>
  </r>
  <r>
    <s v="Rural+Urban"/>
    <n v="2017"/>
    <s v="March"/>
    <x v="51"/>
    <s v="Food and beverages"/>
    <n v="133.1"/>
    <x v="0"/>
  </r>
  <r>
    <s v="Rural+Urban"/>
    <n v="2017"/>
    <s v="March"/>
    <x v="51"/>
    <s v="Pan, tobacco and intoxicants"/>
    <n v="145.1"/>
    <x v="1"/>
  </r>
  <r>
    <s v="Rural+Urban"/>
    <n v="2017"/>
    <s v="March"/>
    <x v="51"/>
    <s v="Clothing"/>
    <n v="137.30000000000001"/>
    <x v="2"/>
  </r>
  <r>
    <s v="Rural+Urban"/>
    <n v="2017"/>
    <s v="March"/>
    <x v="51"/>
    <s v="Footwear"/>
    <n v="130.6"/>
    <x v="2"/>
  </r>
  <r>
    <s v="Rural+Urban"/>
    <n v="2017"/>
    <s v="March"/>
    <x v="51"/>
    <s v="Clothing and footwear"/>
    <n v="136.4"/>
    <x v="2"/>
  </r>
  <r>
    <s v="Rural+Urban"/>
    <n v="2017"/>
    <s v="March"/>
    <x v="51"/>
    <s v="Housing"/>
    <n v="131.1"/>
    <x v="10"/>
  </r>
  <r>
    <s v="Rural+Urban"/>
    <n v="2017"/>
    <s v="March"/>
    <x v="51"/>
    <s v="Fuel and light"/>
    <n v="129.1"/>
    <x v="3"/>
  </r>
  <r>
    <s v="Rural+Urban"/>
    <n v="2017"/>
    <s v="March"/>
    <x v="51"/>
    <s v="Household goods and services"/>
    <n v="130.1"/>
    <x v="4"/>
  </r>
  <r>
    <s v="Rural+Urban"/>
    <n v="2017"/>
    <s v="March"/>
    <x v="51"/>
    <s v="Health"/>
    <n v="127.8"/>
    <x v="5"/>
  </r>
  <r>
    <s v="Rural+Urban"/>
    <n v="2017"/>
    <s v="March"/>
    <x v="51"/>
    <s v="Transport and communication"/>
    <n v="117.6"/>
    <x v="6"/>
  </r>
  <r>
    <s v="Rural+Urban"/>
    <n v="2017"/>
    <s v="March"/>
    <x v="51"/>
    <s v="Recreation and amusement"/>
    <n v="125"/>
    <x v="1"/>
  </r>
  <r>
    <s v="Rural+Urban"/>
    <n v="2017"/>
    <s v="March"/>
    <x v="51"/>
    <s v="Education"/>
    <n v="133.80000000000001"/>
    <x v="7"/>
  </r>
  <r>
    <s v="Rural+Urban"/>
    <n v="2017"/>
    <s v="March"/>
    <x v="51"/>
    <s v="Personal care and effects"/>
    <n v="122.6"/>
    <x v="4"/>
  </r>
  <r>
    <s v="Rural+Urban"/>
    <n v="2017"/>
    <s v="March"/>
    <x v="51"/>
    <s v="Miscellaneous"/>
    <n v="125.1"/>
    <x v="8"/>
  </r>
  <r>
    <s v="Rural+Urban"/>
    <n v="2017"/>
    <s v="March"/>
    <x v="51"/>
    <s v="General index"/>
    <n v="130.9"/>
    <x v="9"/>
  </r>
  <r>
    <s v="Rural"/>
    <n v="2017"/>
    <s v="April"/>
    <x v="52"/>
    <s v="Cereals and products"/>
    <n v="133.19999999999999"/>
    <x v="0"/>
  </r>
  <r>
    <s v="Rural"/>
    <n v="2017"/>
    <s v="April"/>
    <x v="52"/>
    <s v="Meat and fish"/>
    <n v="138.69999999999999"/>
    <x v="0"/>
  </r>
  <r>
    <s v="Rural"/>
    <n v="2017"/>
    <s v="April"/>
    <x v="52"/>
    <s v="Egg"/>
    <n v="127.1"/>
    <x v="0"/>
  </r>
  <r>
    <s v="Rural"/>
    <n v="2017"/>
    <s v="April"/>
    <x v="52"/>
    <s v="Milk and products"/>
    <n v="137.69999999999999"/>
    <x v="0"/>
  </r>
  <r>
    <s v="Rural"/>
    <n v="2017"/>
    <s v="April"/>
    <x v="52"/>
    <s v="Oils and fats"/>
    <n v="121.3"/>
    <x v="0"/>
  </r>
  <r>
    <s v="Rural"/>
    <n v="2017"/>
    <s v="April"/>
    <x v="52"/>
    <s v="Fruits"/>
    <n v="141.80000000000001"/>
    <x v="0"/>
  </r>
  <r>
    <s v="Rural"/>
    <n v="2017"/>
    <s v="April"/>
    <x v="52"/>
    <s v="Vegetables"/>
    <n v="121.5"/>
    <x v="0"/>
  </r>
  <r>
    <s v="Rural"/>
    <n v="2017"/>
    <s v="April"/>
    <x v="52"/>
    <s v="Pulses and products"/>
    <n v="144.5"/>
    <x v="0"/>
  </r>
  <r>
    <s v="Rural"/>
    <n v="2017"/>
    <s v="April"/>
    <x v="52"/>
    <s v="Sugar and Confectionery"/>
    <n v="117.4"/>
    <x v="0"/>
  </r>
  <r>
    <s v="Rural"/>
    <n v="2017"/>
    <s v="April"/>
    <x v="52"/>
    <s v="Spices"/>
    <n v="134.1"/>
    <x v="0"/>
  </r>
  <r>
    <s v="Rural"/>
    <n v="2017"/>
    <s v="April"/>
    <x v="52"/>
    <s v="Non-alcoholic beverages"/>
    <n v="130"/>
    <x v="0"/>
  </r>
  <r>
    <s v="Rural"/>
    <n v="2017"/>
    <s v="April"/>
    <x v="52"/>
    <s v="Prepared meals, snacks, sweets etc."/>
    <n v="145.5"/>
    <x v="0"/>
  </r>
  <r>
    <s v="Rural"/>
    <n v="2017"/>
    <s v="April"/>
    <x v="52"/>
    <s v="Food and beverages"/>
    <n v="133.5"/>
    <x v="0"/>
  </r>
  <r>
    <s v="Rural"/>
    <n v="2017"/>
    <s v="April"/>
    <x v="52"/>
    <s v="Pan, tobacco and intoxicants"/>
    <n v="144.4"/>
    <x v="1"/>
  </r>
  <r>
    <s v="Rural"/>
    <n v="2017"/>
    <s v="April"/>
    <x v="52"/>
    <s v="Clothing"/>
    <n v="142.4"/>
    <x v="2"/>
  </r>
  <r>
    <s v="Rural"/>
    <n v="2017"/>
    <s v="April"/>
    <x v="52"/>
    <s v="Footwear"/>
    <n v="136.80000000000001"/>
    <x v="2"/>
  </r>
  <r>
    <s v="Rural"/>
    <n v="2017"/>
    <s v="April"/>
    <x v="52"/>
    <s v="Clothing and footwear"/>
    <n v="141.6"/>
    <x v="2"/>
  </r>
  <r>
    <s v="Rural"/>
    <n v="2017"/>
    <s v="April"/>
    <x v="52"/>
    <s v="Fuel and light"/>
    <n v="135"/>
    <x v="3"/>
  </r>
  <r>
    <s v="Rural"/>
    <n v="2017"/>
    <s v="April"/>
    <x v="52"/>
    <s v="Household goods and services"/>
    <n v="134.30000000000001"/>
    <x v="4"/>
  </r>
  <r>
    <s v="Rural"/>
    <n v="2017"/>
    <s v="April"/>
    <x v="52"/>
    <s v="Health"/>
    <n v="131"/>
    <x v="5"/>
  </r>
  <r>
    <s v="Rural"/>
    <n v="2017"/>
    <s v="April"/>
    <x v="52"/>
    <s v="Transport and communication"/>
    <n v="119.2"/>
    <x v="6"/>
  </r>
  <r>
    <s v="Rural"/>
    <n v="2017"/>
    <s v="April"/>
    <x v="52"/>
    <s v="Recreation and amusement"/>
    <n v="128.30000000000001"/>
    <x v="1"/>
  </r>
  <r>
    <s v="Rural"/>
    <n v="2017"/>
    <s v="April"/>
    <x v="52"/>
    <s v="Education"/>
    <n v="135.69999999999999"/>
    <x v="7"/>
  </r>
  <r>
    <s v="Rural"/>
    <n v="2017"/>
    <s v="April"/>
    <x v="52"/>
    <s v="Personal care and effects"/>
    <n v="123.7"/>
    <x v="4"/>
  </r>
  <r>
    <s v="Rural"/>
    <n v="2017"/>
    <s v="April"/>
    <x v="52"/>
    <s v="Miscellaneous"/>
    <n v="127.5"/>
    <x v="8"/>
  </r>
  <r>
    <s v="Rural"/>
    <n v="2017"/>
    <s v="April"/>
    <x v="52"/>
    <s v="General index"/>
    <n v="132.9"/>
    <x v="9"/>
  </r>
  <r>
    <s v="Urban"/>
    <n v="2017"/>
    <s v="April"/>
    <x v="52"/>
    <s v="Cereals and products"/>
    <n v="132.69999999999999"/>
    <x v="0"/>
  </r>
  <r>
    <s v="Urban"/>
    <n v="2017"/>
    <s v="April"/>
    <x v="52"/>
    <s v="Meat and fish"/>
    <n v="140.6"/>
    <x v="0"/>
  </r>
  <r>
    <s v="Urban"/>
    <n v="2017"/>
    <s v="April"/>
    <x v="52"/>
    <s v="Egg"/>
    <n v="124.5"/>
    <x v="0"/>
  </r>
  <r>
    <s v="Urban"/>
    <n v="2017"/>
    <s v="April"/>
    <x v="52"/>
    <s v="Milk and products"/>
    <n v="136.30000000000001"/>
    <x v="0"/>
  </r>
  <r>
    <s v="Urban"/>
    <n v="2017"/>
    <s v="April"/>
    <x v="52"/>
    <s v="Oils and fats"/>
    <n v="113.5"/>
    <x v="0"/>
  </r>
  <r>
    <s v="Urban"/>
    <n v="2017"/>
    <s v="April"/>
    <x v="52"/>
    <s v="Fruits"/>
    <n v="137.69999999999999"/>
    <x v="0"/>
  </r>
  <r>
    <s v="Urban"/>
    <n v="2017"/>
    <s v="April"/>
    <x v="52"/>
    <s v="Vegetables"/>
    <n v="127.1"/>
    <x v="0"/>
  </r>
  <r>
    <s v="Urban"/>
    <n v="2017"/>
    <s v="April"/>
    <x v="52"/>
    <s v="Pulses and products"/>
    <n v="133.80000000000001"/>
    <x v="0"/>
  </r>
  <r>
    <s v="Urban"/>
    <n v="2017"/>
    <s v="April"/>
    <x v="52"/>
    <s v="Sugar and Confectionery"/>
    <n v="120.8"/>
    <x v="0"/>
  </r>
  <r>
    <s v="Urban"/>
    <n v="2017"/>
    <s v="April"/>
    <x v="52"/>
    <s v="Spices"/>
    <n v="141.30000000000001"/>
    <x v="0"/>
  </r>
  <r>
    <s v="Urban"/>
    <n v="2017"/>
    <s v="April"/>
    <x v="52"/>
    <s v="Non-alcoholic beverages"/>
    <n v="123.8"/>
    <x v="0"/>
  </r>
  <r>
    <s v="Urban"/>
    <n v="2017"/>
    <s v="April"/>
    <x v="52"/>
    <s v="Prepared meals, snacks, sweets etc."/>
    <n v="142.6"/>
    <x v="0"/>
  </r>
  <r>
    <s v="Urban"/>
    <n v="2017"/>
    <s v="April"/>
    <x v="52"/>
    <s v="Food and beverages"/>
    <n v="133.4"/>
    <x v="0"/>
  </r>
  <r>
    <s v="Urban"/>
    <n v="2017"/>
    <s v="April"/>
    <x v="52"/>
    <s v="Pan, tobacco and intoxicants"/>
    <n v="148"/>
    <x v="1"/>
  </r>
  <r>
    <s v="Urban"/>
    <n v="2017"/>
    <s v="April"/>
    <x v="52"/>
    <s v="Clothing"/>
    <n v="131.19999999999999"/>
    <x v="2"/>
  </r>
  <r>
    <s v="Urban"/>
    <n v="2017"/>
    <s v="April"/>
    <x v="52"/>
    <s v="Footwear"/>
    <n v="123"/>
    <x v="2"/>
  </r>
  <r>
    <s v="Urban"/>
    <n v="2017"/>
    <s v="April"/>
    <x v="52"/>
    <s v="Clothing and footwear"/>
    <n v="130"/>
    <x v="2"/>
  </r>
  <r>
    <s v="Urban"/>
    <n v="2017"/>
    <s v="April"/>
    <x v="52"/>
    <s v="Housing"/>
    <n v="131.69999999999999"/>
    <x v="10"/>
  </r>
  <r>
    <s v="Urban"/>
    <n v="2017"/>
    <s v="April"/>
    <x v="52"/>
    <s v="Fuel and light"/>
    <n v="121.4"/>
    <x v="3"/>
  </r>
  <r>
    <s v="Urban"/>
    <n v="2017"/>
    <s v="April"/>
    <x v="52"/>
    <s v="Household goods and services"/>
    <n v="126"/>
    <x v="4"/>
  </r>
  <r>
    <s v="Urban"/>
    <n v="2017"/>
    <s v="April"/>
    <x v="52"/>
    <s v="Health"/>
    <n v="123.4"/>
    <x v="5"/>
  </r>
  <r>
    <s v="Urban"/>
    <n v="2017"/>
    <s v="April"/>
    <x v="52"/>
    <s v="Transport and communication"/>
    <n v="114.3"/>
    <x v="6"/>
  </r>
  <r>
    <s v="Urban"/>
    <n v="2017"/>
    <s v="April"/>
    <x v="52"/>
    <s v="Recreation and amusement"/>
    <n v="122.6"/>
    <x v="1"/>
  </r>
  <r>
    <s v="Urban"/>
    <n v="2017"/>
    <s v="April"/>
    <x v="52"/>
    <s v="Education"/>
    <n v="133.6"/>
    <x v="7"/>
  </r>
  <r>
    <s v="Urban"/>
    <n v="2017"/>
    <s v="April"/>
    <x v="52"/>
    <s v="Personal care and effects"/>
    <n v="122.2"/>
    <x v="4"/>
  </r>
  <r>
    <s v="Urban"/>
    <n v="2017"/>
    <s v="April"/>
    <x v="52"/>
    <s v="Miscellaneous"/>
    <n v="122.5"/>
    <x v="8"/>
  </r>
  <r>
    <s v="Urban"/>
    <n v="2017"/>
    <s v="April"/>
    <x v="52"/>
    <s v="General index"/>
    <n v="129.1"/>
    <x v="9"/>
  </r>
  <r>
    <s v="Rural+Urban"/>
    <n v="2017"/>
    <s v="April"/>
    <x v="52"/>
    <s v="Cereals and products"/>
    <n v="133"/>
    <x v="0"/>
  </r>
  <r>
    <s v="Rural+Urban"/>
    <n v="2017"/>
    <s v="April"/>
    <x v="52"/>
    <s v="Meat and fish"/>
    <n v="139.4"/>
    <x v="0"/>
  </r>
  <r>
    <s v="Rural+Urban"/>
    <n v="2017"/>
    <s v="April"/>
    <x v="52"/>
    <s v="Egg"/>
    <n v="126.1"/>
    <x v="0"/>
  </r>
  <r>
    <s v="Rural+Urban"/>
    <n v="2017"/>
    <s v="April"/>
    <x v="52"/>
    <s v="Milk and products"/>
    <n v="137.19999999999999"/>
    <x v="0"/>
  </r>
  <r>
    <s v="Rural+Urban"/>
    <n v="2017"/>
    <s v="April"/>
    <x v="52"/>
    <s v="Oils and fats"/>
    <n v="118.4"/>
    <x v="0"/>
  </r>
  <r>
    <s v="Rural+Urban"/>
    <n v="2017"/>
    <s v="April"/>
    <x v="52"/>
    <s v="Fruits"/>
    <n v="139.9"/>
    <x v="0"/>
  </r>
  <r>
    <s v="Rural+Urban"/>
    <n v="2017"/>
    <s v="April"/>
    <x v="52"/>
    <s v="Vegetables"/>
    <n v="123.4"/>
    <x v="0"/>
  </r>
  <r>
    <s v="Rural+Urban"/>
    <n v="2017"/>
    <s v="April"/>
    <x v="52"/>
    <s v="Pulses and products"/>
    <n v="140.9"/>
    <x v="0"/>
  </r>
  <r>
    <s v="Rural+Urban"/>
    <n v="2017"/>
    <s v="April"/>
    <x v="52"/>
    <s v="Sugar and Confectionery"/>
    <n v="118.5"/>
    <x v="0"/>
  </r>
  <r>
    <s v="Rural+Urban"/>
    <n v="2017"/>
    <s v="April"/>
    <x v="52"/>
    <s v="Spices"/>
    <n v="136.5"/>
    <x v="0"/>
  </r>
  <r>
    <s v="Rural+Urban"/>
    <n v="2017"/>
    <s v="April"/>
    <x v="52"/>
    <s v="Non-alcoholic beverages"/>
    <n v="127.4"/>
    <x v="0"/>
  </r>
  <r>
    <s v="Rural+Urban"/>
    <n v="2017"/>
    <s v="April"/>
    <x v="52"/>
    <s v="Prepared meals, snacks, sweets etc."/>
    <n v="144.19999999999999"/>
    <x v="0"/>
  </r>
  <r>
    <s v="Rural+Urban"/>
    <n v="2017"/>
    <s v="April"/>
    <x v="52"/>
    <s v="Food and beverages"/>
    <n v="133.5"/>
    <x v="0"/>
  </r>
  <r>
    <s v="Rural+Urban"/>
    <n v="2017"/>
    <s v="April"/>
    <x v="52"/>
    <s v="Pan, tobacco and intoxicants"/>
    <n v="145.4"/>
    <x v="1"/>
  </r>
  <r>
    <s v="Rural+Urban"/>
    <n v="2017"/>
    <s v="April"/>
    <x v="52"/>
    <s v="Clothing"/>
    <n v="138"/>
    <x v="2"/>
  </r>
  <r>
    <s v="Rural+Urban"/>
    <n v="2017"/>
    <s v="April"/>
    <x v="52"/>
    <s v="Footwear"/>
    <n v="131.1"/>
    <x v="2"/>
  </r>
  <r>
    <s v="Rural+Urban"/>
    <n v="2017"/>
    <s v="April"/>
    <x v="52"/>
    <s v="Clothing and footwear"/>
    <n v="137"/>
    <x v="2"/>
  </r>
  <r>
    <s v="Rural+Urban"/>
    <n v="2017"/>
    <s v="April"/>
    <x v="52"/>
    <s v="Housing"/>
    <n v="131.69999999999999"/>
    <x v="10"/>
  </r>
  <r>
    <s v="Rural+Urban"/>
    <n v="2017"/>
    <s v="April"/>
    <x v="52"/>
    <s v="Fuel and light"/>
    <n v="129.80000000000001"/>
    <x v="3"/>
  </r>
  <r>
    <s v="Rural+Urban"/>
    <n v="2017"/>
    <s v="April"/>
    <x v="52"/>
    <s v="Household goods and services"/>
    <n v="130.4"/>
    <x v="4"/>
  </r>
  <r>
    <s v="Rural+Urban"/>
    <n v="2017"/>
    <s v="April"/>
    <x v="52"/>
    <s v="Health"/>
    <n v="128.1"/>
    <x v="5"/>
  </r>
  <r>
    <s v="Rural+Urban"/>
    <n v="2017"/>
    <s v="April"/>
    <x v="52"/>
    <s v="Transport and communication"/>
    <n v="116.6"/>
    <x v="6"/>
  </r>
  <r>
    <s v="Rural+Urban"/>
    <n v="2017"/>
    <s v="April"/>
    <x v="52"/>
    <s v="Recreation and amusement"/>
    <n v="125.1"/>
    <x v="1"/>
  </r>
  <r>
    <s v="Rural+Urban"/>
    <n v="2017"/>
    <s v="April"/>
    <x v="52"/>
    <s v="Education"/>
    <n v="134.5"/>
    <x v="7"/>
  </r>
  <r>
    <s v="Rural+Urban"/>
    <n v="2017"/>
    <s v="April"/>
    <x v="52"/>
    <s v="Personal care and effects"/>
    <n v="123.1"/>
    <x v="4"/>
  </r>
  <r>
    <s v="Rural+Urban"/>
    <n v="2017"/>
    <s v="April"/>
    <x v="52"/>
    <s v="Miscellaneous"/>
    <n v="125.1"/>
    <x v="8"/>
  </r>
  <r>
    <s v="Rural+Urban"/>
    <n v="2017"/>
    <s v="April"/>
    <x v="52"/>
    <s v="General index"/>
    <n v="131.1"/>
    <x v="9"/>
  </r>
  <r>
    <s v="Rural"/>
    <n v="2017"/>
    <s v="May"/>
    <x v="53"/>
    <s v="Cereals and products"/>
    <n v="133.1"/>
    <x v="0"/>
  </r>
  <r>
    <s v="Rural"/>
    <n v="2017"/>
    <s v="May"/>
    <x v="53"/>
    <s v="Meat and fish"/>
    <n v="140.30000000000001"/>
    <x v="0"/>
  </r>
  <r>
    <s v="Rural"/>
    <n v="2017"/>
    <s v="May"/>
    <x v="53"/>
    <s v="Egg"/>
    <n v="126.8"/>
    <x v="0"/>
  </r>
  <r>
    <s v="Rural"/>
    <n v="2017"/>
    <s v="May"/>
    <x v="53"/>
    <s v="Milk and products"/>
    <n v="138.19999999999999"/>
    <x v="0"/>
  </r>
  <r>
    <s v="Rural"/>
    <n v="2017"/>
    <s v="May"/>
    <x v="53"/>
    <s v="Oils and fats"/>
    <n v="120.8"/>
    <x v="0"/>
  </r>
  <r>
    <s v="Rural"/>
    <n v="2017"/>
    <s v="May"/>
    <x v="53"/>
    <s v="Fruits"/>
    <n v="140.19999999999999"/>
    <x v="0"/>
  </r>
  <r>
    <s v="Rural"/>
    <n v="2017"/>
    <s v="May"/>
    <x v="53"/>
    <s v="Vegetables"/>
    <n v="123.8"/>
    <x v="0"/>
  </r>
  <r>
    <s v="Rural"/>
    <n v="2017"/>
    <s v="May"/>
    <x v="53"/>
    <s v="Pulses and products"/>
    <n v="141.80000000000001"/>
    <x v="0"/>
  </r>
  <r>
    <s v="Rural"/>
    <n v="2017"/>
    <s v="May"/>
    <x v="53"/>
    <s v="Sugar and Confectionery"/>
    <n v="118.6"/>
    <x v="0"/>
  </r>
  <r>
    <s v="Rural"/>
    <n v="2017"/>
    <s v="May"/>
    <x v="53"/>
    <s v="Spices"/>
    <n v="134"/>
    <x v="0"/>
  </r>
  <r>
    <s v="Rural"/>
    <n v="2017"/>
    <s v="May"/>
    <x v="53"/>
    <s v="Non-alcoholic beverages"/>
    <n v="130.30000000000001"/>
    <x v="0"/>
  </r>
  <r>
    <s v="Rural"/>
    <n v="2017"/>
    <s v="May"/>
    <x v="53"/>
    <s v="Prepared meals, snacks, sweets etc."/>
    <n v="145.80000000000001"/>
    <x v="0"/>
  </r>
  <r>
    <s v="Rural"/>
    <n v="2017"/>
    <s v="May"/>
    <x v="53"/>
    <s v="Food and beverages"/>
    <n v="133.80000000000001"/>
    <x v="0"/>
  </r>
  <r>
    <s v="Rural"/>
    <n v="2017"/>
    <s v="May"/>
    <x v="53"/>
    <s v="Pan, tobacco and intoxicants"/>
    <n v="145.5"/>
    <x v="1"/>
  </r>
  <r>
    <s v="Rural"/>
    <n v="2017"/>
    <s v="May"/>
    <x v="53"/>
    <s v="Clothing"/>
    <n v="142.5"/>
    <x v="2"/>
  </r>
  <r>
    <s v="Rural"/>
    <n v="2017"/>
    <s v="May"/>
    <x v="53"/>
    <s v="Footwear"/>
    <n v="137.30000000000001"/>
    <x v="2"/>
  </r>
  <r>
    <s v="Rural"/>
    <n v="2017"/>
    <s v="May"/>
    <x v="53"/>
    <s v="Clothing and footwear"/>
    <n v="141.80000000000001"/>
    <x v="2"/>
  </r>
  <r>
    <s v="Rural"/>
    <n v="2017"/>
    <s v="May"/>
    <x v="53"/>
    <s v="Fuel and light"/>
    <n v="135"/>
    <x v="3"/>
  </r>
  <r>
    <s v="Rural"/>
    <n v="2017"/>
    <s v="May"/>
    <x v="53"/>
    <s v="Household goods and services"/>
    <n v="134.9"/>
    <x v="4"/>
  </r>
  <r>
    <s v="Rural"/>
    <n v="2017"/>
    <s v="May"/>
    <x v="53"/>
    <s v="Health"/>
    <n v="131.4"/>
    <x v="5"/>
  </r>
  <r>
    <s v="Rural"/>
    <n v="2017"/>
    <s v="May"/>
    <x v="53"/>
    <s v="Transport and communication"/>
    <n v="119.4"/>
    <x v="6"/>
  </r>
  <r>
    <s v="Rural"/>
    <n v="2017"/>
    <s v="May"/>
    <x v="53"/>
    <s v="Recreation and amusement"/>
    <n v="129.4"/>
    <x v="1"/>
  </r>
  <r>
    <s v="Rural"/>
    <n v="2017"/>
    <s v="May"/>
    <x v="53"/>
    <s v="Education"/>
    <n v="136.30000000000001"/>
    <x v="7"/>
  </r>
  <r>
    <s v="Rural"/>
    <n v="2017"/>
    <s v="May"/>
    <x v="53"/>
    <s v="Personal care and effects"/>
    <n v="123.7"/>
    <x v="4"/>
  </r>
  <r>
    <s v="Rural"/>
    <n v="2017"/>
    <s v="May"/>
    <x v="53"/>
    <s v="Miscellaneous"/>
    <n v="127.9"/>
    <x v="8"/>
  </r>
  <r>
    <s v="Rural"/>
    <n v="2017"/>
    <s v="May"/>
    <x v="53"/>
    <s v="General index"/>
    <n v="133.30000000000001"/>
    <x v="9"/>
  </r>
  <r>
    <s v="Urban"/>
    <n v="2017"/>
    <s v="May"/>
    <x v="53"/>
    <s v="Cereals and products"/>
    <n v="132.6"/>
    <x v="0"/>
  </r>
  <r>
    <s v="Urban"/>
    <n v="2017"/>
    <s v="May"/>
    <x v="53"/>
    <s v="Meat and fish"/>
    <n v="144.1"/>
    <x v="0"/>
  </r>
  <r>
    <s v="Urban"/>
    <n v="2017"/>
    <s v="May"/>
    <x v="53"/>
    <s v="Egg"/>
    <n v="125.6"/>
    <x v="0"/>
  </r>
  <r>
    <s v="Urban"/>
    <n v="2017"/>
    <s v="May"/>
    <x v="53"/>
    <s v="Milk and products"/>
    <n v="136.80000000000001"/>
    <x v="0"/>
  </r>
  <r>
    <s v="Urban"/>
    <n v="2017"/>
    <s v="May"/>
    <x v="53"/>
    <s v="Oils and fats"/>
    <n v="113.4"/>
    <x v="0"/>
  </r>
  <r>
    <s v="Urban"/>
    <n v="2017"/>
    <s v="May"/>
    <x v="53"/>
    <s v="Fruits"/>
    <n v="135.19999999999999"/>
    <x v="0"/>
  </r>
  <r>
    <s v="Urban"/>
    <n v="2017"/>
    <s v="May"/>
    <x v="53"/>
    <s v="Vegetables"/>
    <n v="129.19999999999999"/>
    <x v="0"/>
  </r>
  <r>
    <s v="Urban"/>
    <n v="2017"/>
    <s v="May"/>
    <x v="53"/>
    <s v="Pulses and products"/>
    <n v="131.5"/>
    <x v="0"/>
  </r>
  <r>
    <s v="Urban"/>
    <n v="2017"/>
    <s v="May"/>
    <x v="53"/>
    <s v="Sugar and Confectionery"/>
    <n v="121"/>
    <x v="0"/>
  </r>
  <r>
    <s v="Urban"/>
    <n v="2017"/>
    <s v="May"/>
    <x v="53"/>
    <s v="Spices"/>
    <n v="139.9"/>
    <x v="0"/>
  </r>
  <r>
    <s v="Urban"/>
    <n v="2017"/>
    <s v="May"/>
    <x v="53"/>
    <s v="Non-alcoholic beverages"/>
    <n v="123.8"/>
    <x v="0"/>
  </r>
  <r>
    <s v="Urban"/>
    <n v="2017"/>
    <s v="May"/>
    <x v="53"/>
    <s v="Prepared meals, snacks, sweets etc."/>
    <n v="142.9"/>
    <x v="0"/>
  </r>
  <r>
    <s v="Urban"/>
    <n v="2017"/>
    <s v="May"/>
    <x v="53"/>
    <s v="Food and beverages"/>
    <n v="133.6"/>
    <x v="0"/>
  </r>
  <r>
    <s v="Urban"/>
    <n v="2017"/>
    <s v="May"/>
    <x v="53"/>
    <s v="Pan, tobacco and intoxicants"/>
    <n v="148.30000000000001"/>
    <x v="1"/>
  </r>
  <r>
    <s v="Urban"/>
    <n v="2017"/>
    <s v="May"/>
    <x v="53"/>
    <s v="Clothing"/>
    <n v="131.5"/>
    <x v="2"/>
  </r>
  <r>
    <s v="Urban"/>
    <n v="2017"/>
    <s v="May"/>
    <x v="53"/>
    <s v="Footwear"/>
    <n v="123.2"/>
    <x v="2"/>
  </r>
  <r>
    <s v="Urban"/>
    <n v="2017"/>
    <s v="May"/>
    <x v="53"/>
    <s v="Clothing and footwear"/>
    <n v="130.19999999999999"/>
    <x v="2"/>
  </r>
  <r>
    <s v="Urban"/>
    <n v="2017"/>
    <s v="May"/>
    <x v="53"/>
    <s v="Housing"/>
    <n v="132.1"/>
    <x v="10"/>
  </r>
  <r>
    <s v="Urban"/>
    <n v="2017"/>
    <s v="May"/>
    <x v="53"/>
    <s v="Fuel and light"/>
    <n v="120.1"/>
    <x v="3"/>
  </r>
  <r>
    <s v="Urban"/>
    <n v="2017"/>
    <s v="May"/>
    <x v="53"/>
    <s v="Household goods and services"/>
    <n v="126.5"/>
    <x v="4"/>
  </r>
  <r>
    <s v="Urban"/>
    <n v="2017"/>
    <s v="May"/>
    <x v="53"/>
    <s v="Health"/>
    <n v="123.6"/>
    <x v="5"/>
  </r>
  <r>
    <s v="Urban"/>
    <n v="2017"/>
    <s v="May"/>
    <x v="53"/>
    <s v="Transport and communication"/>
    <n v="114.3"/>
    <x v="6"/>
  </r>
  <r>
    <s v="Urban"/>
    <n v="2017"/>
    <s v="May"/>
    <x v="53"/>
    <s v="Recreation and amusement"/>
    <n v="122.8"/>
    <x v="1"/>
  </r>
  <r>
    <s v="Urban"/>
    <n v="2017"/>
    <s v="May"/>
    <x v="53"/>
    <s v="Education"/>
    <n v="133.80000000000001"/>
    <x v="7"/>
  </r>
  <r>
    <s v="Urban"/>
    <n v="2017"/>
    <s v="May"/>
    <x v="53"/>
    <s v="Personal care and effects"/>
    <n v="122"/>
    <x v="4"/>
  </r>
  <r>
    <s v="Urban"/>
    <n v="2017"/>
    <s v="May"/>
    <x v="53"/>
    <s v="Miscellaneous"/>
    <n v="122.6"/>
    <x v="8"/>
  </r>
  <r>
    <s v="Urban"/>
    <n v="2017"/>
    <s v="May"/>
    <x v="53"/>
    <s v="General index"/>
    <n v="129.30000000000001"/>
    <x v="9"/>
  </r>
  <r>
    <s v="Rural+Urban"/>
    <n v="2017"/>
    <s v="May"/>
    <x v="53"/>
    <s v="Cereals and products"/>
    <n v="132.9"/>
    <x v="0"/>
  </r>
  <r>
    <s v="Rural+Urban"/>
    <n v="2017"/>
    <s v="May"/>
    <x v="53"/>
    <s v="Meat and fish"/>
    <n v="141.6"/>
    <x v="0"/>
  </r>
  <r>
    <s v="Rural+Urban"/>
    <n v="2017"/>
    <s v="May"/>
    <x v="53"/>
    <s v="Egg"/>
    <n v="126.3"/>
    <x v="0"/>
  </r>
  <r>
    <s v="Rural+Urban"/>
    <n v="2017"/>
    <s v="May"/>
    <x v="53"/>
    <s v="Milk and products"/>
    <n v="137.69999999999999"/>
    <x v="0"/>
  </r>
  <r>
    <s v="Rural+Urban"/>
    <n v="2017"/>
    <s v="May"/>
    <x v="53"/>
    <s v="Oils and fats"/>
    <n v="118.1"/>
    <x v="0"/>
  </r>
  <r>
    <s v="Rural+Urban"/>
    <n v="2017"/>
    <s v="May"/>
    <x v="53"/>
    <s v="Fruits"/>
    <n v="137.9"/>
    <x v="0"/>
  </r>
  <r>
    <s v="Rural+Urban"/>
    <n v="2017"/>
    <s v="May"/>
    <x v="53"/>
    <s v="Vegetables"/>
    <n v="125.6"/>
    <x v="0"/>
  </r>
  <r>
    <s v="Rural+Urban"/>
    <n v="2017"/>
    <s v="May"/>
    <x v="53"/>
    <s v="Pulses and products"/>
    <n v="138.30000000000001"/>
    <x v="0"/>
  </r>
  <r>
    <s v="Rural+Urban"/>
    <n v="2017"/>
    <s v="May"/>
    <x v="53"/>
    <s v="Sugar and Confectionery"/>
    <n v="119.4"/>
    <x v="0"/>
  </r>
  <r>
    <s v="Rural+Urban"/>
    <n v="2017"/>
    <s v="May"/>
    <x v="53"/>
    <s v="Spices"/>
    <n v="136"/>
    <x v="0"/>
  </r>
  <r>
    <s v="Rural+Urban"/>
    <n v="2017"/>
    <s v="May"/>
    <x v="53"/>
    <s v="Non-alcoholic beverages"/>
    <n v="127.6"/>
    <x v="0"/>
  </r>
  <r>
    <s v="Rural+Urban"/>
    <n v="2017"/>
    <s v="May"/>
    <x v="53"/>
    <s v="Prepared meals, snacks, sweets etc."/>
    <n v="144.5"/>
    <x v="0"/>
  </r>
  <r>
    <s v="Rural+Urban"/>
    <n v="2017"/>
    <s v="May"/>
    <x v="53"/>
    <s v="Food and beverages"/>
    <n v="133.69999999999999"/>
    <x v="0"/>
  </r>
  <r>
    <s v="Rural+Urban"/>
    <n v="2017"/>
    <s v="May"/>
    <x v="53"/>
    <s v="Pan, tobacco and intoxicants"/>
    <n v="146.19999999999999"/>
    <x v="1"/>
  </r>
  <r>
    <s v="Rural+Urban"/>
    <n v="2017"/>
    <s v="May"/>
    <x v="53"/>
    <s v="Clothing"/>
    <n v="138.19999999999999"/>
    <x v="2"/>
  </r>
  <r>
    <s v="Rural+Urban"/>
    <n v="2017"/>
    <s v="May"/>
    <x v="53"/>
    <s v="Footwear"/>
    <n v="131.4"/>
    <x v="2"/>
  </r>
  <r>
    <s v="Rural+Urban"/>
    <n v="2017"/>
    <s v="May"/>
    <x v="53"/>
    <s v="Clothing and footwear"/>
    <n v="137.19999999999999"/>
    <x v="2"/>
  </r>
  <r>
    <s v="Rural+Urban"/>
    <n v="2017"/>
    <s v="May"/>
    <x v="53"/>
    <s v="Housing"/>
    <n v="132.1"/>
    <x v="10"/>
  </r>
  <r>
    <s v="Rural+Urban"/>
    <n v="2017"/>
    <s v="May"/>
    <x v="53"/>
    <s v="Fuel and light"/>
    <n v="129.4"/>
    <x v="3"/>
  </r>
  <r>
    <s v="Rural+Urban"/>
    <n v="2017"/>
    <s v="May"/>
    <x v="53"/>
    <s v="Household goods and services"/>
    <n v="130.9"/>
    <x v="4"/>
  </r>
  <r>
    <s v="Rural+Urban"/>
    <n v="2017"/>
    <s v="May"/>
    <x v="53"/>
    <s v="Health"/>
    <n v="128.4"/>
    <x v="5"/>
  </r>
  <r>
    <s v="Rural+Urban"/>
    <n v="2017"/>
    <s v="May"/>
    <x v="53"/>
    <s v="Transport and communication"/>
    <n v="116.7"/>
    <x v="6"/>
  </r>
  <r>
    <s v="Rural+Urban"/>
    <n v="2017"/>
    <s v="May"/>
    <x v="53"/>
    <s v="Recreation and amusement"/>
    <n v="125.7"/>
    <x v="1"/>
  </r>
  <r>
    <s v="Rural+Urban"/>
    <n v="2017"/>
    <s v="May"/>
    <x v="53"/>
    <s v="Education"/>
    <n v="134.80000000000001"/>
    <x v="7"/>
  </r>
  <r>
    <s v="Rural+Urban"/>
    <n v="2017"/>
    <s v="May"/>
    <x v="53"/>
    <s v="Personal care and effects"/>
    <n v="123"/>
    <x v="4"/>
  </r>
  <r>
    <s v="Rural+Urban"/>
    <n v="2017"/>
    <s v="May"/>
    <x v="53"/>
    <s v="Miscellaneous"/>
    <n v="125.3"/>
    <x v="8"/>
  </r>
  <r>
    <s v="Rural+Urban"/>
    <n v="2017"/>
    <s v="May"/>
    <x v="53"/>
    <s v="General index"/>
    <n v="131.4"/>
    <x v="9"/>
  </r>
  <r>
    <s v="Rural"/>
    <n v="2017"/>
    <s v="June"/>
    <x v="54"/>
    <s v="Cereals and products"/>
    <n v="133.5"/>
    <x v="0"/>
  </r>
  <r>
    <s v="Rural"/>
    <n v="2017"/>
    <s v="June"/>
    <x v="54"/>
    <s v="Meat and fish"/>
    <n v="143.69999999999999"/>
    <x v="0"/>
  </r>
  <r>
    <s v="Rural"/>
    <n v="2017"/>
    <s v="June"/>
    <x v="54"/>
    <s v="Egg"/>
    <n v="128"/>
    <x v="0"/>
  </r>
  <r>
    <s v="Rural"/>
    <n v="2017"/>
    <s v="June"/>
    <x v="54"/>
    <s v="Milk and products"/>
    <n v="138.6"/>
    <x v="0"/>
  </r>
  <r>
    <s v="Rural"/>
    <n v="2017"/>
    <s v="June"/>
    <x v="54"/>
    <s v="Oils and fats"/>
    <n v="120.9"/>
    <x v="0"/>
  </r>
  <r>
    <s v="Rural"/>
    <n v="2017"/>
    <s v="June"/>
    <x v="54"/>
    <s v="Fruits"/>
    <n v="140.9"/>
    <x v="0"/>
  </r>
  <r>
    <s v="Rural"/>
    <n v="2017"/>
    <s v="June"/>
    <x v="54"/>
    <s v="Vegetables"/>
    <n v="128.80000000000001"/>
    <x v="0"/>
  </r>
  <r>
    <s v="Rural"/>
    <n v="2017"/>
    <s v="June"/>
    <x v="54"/>
    <s v="Pulses and products"/>
    <n v="140.19999999999999"/>
    <x v="0"/>
  </r>
  <r>
    <s v="Rural"/>
    <n v="2017"/>
    <s v="June"/>
    <x v="54"/>
    <s v="Sugar and Confectionery"/>
    <n v="118.9"/>
    <x v="0"/>
  </r>
  <r>
    <s v="Rural"/>
    <n v="2017"/>
    <s v="June"/>
    <x v="54"/>
    <s v="Spices"/>
    <n v="133.5"/>
    <x v="0"/>
  </r>
  <r>
    <s v="Rural"/>
    <n v="2017"/>
    <s v="June"/>
    <x v="54"/>
    <s v="Non-alcoholic beverages"/>
    <n v="130.4"/>
    <x v="0"/>
  </r>
  <r>
    <s v="Rural"/>
    <n v="2017"/>
    <s v="June"/>
    <x v="54"/>
    <s v="Prepared meals, snacks, sweets etc."/>
    <n v="146.5"/>
    <x v="0"/>
  </r>
  <r>
    <s v="Rural"/>
    <n v="2017"/>
    <s v="June"/>
    <x v="54"/>
    <s v="Food and beverages"/>
    <n v="134.9"/>
    <x v="0"/>
  </r>
  <r>
    <s v="Rural"/>
    <n v="2017"/>
    <s v="June"/>
    <x v="54"/>
    <s v="Pan, tobacco and intoxicants"/>
    <n v="145.80000000000001"/>
    <x v="1"/>
  </r>
  <r>
    <s v="Rural"/>
    <n v="2017"/>
    <s v="June"/>
    <x v="54"/>
    <s v="Clothing"/>
    <n v="143.1"/>
    <x v="2"/>
  </r>
  <r>
    <s v="Rural"/>
    <n v="2017"/>
    <s v="June"/>
    <x v="54"/>
    <s v="Footwear"/>
    <n v="137.69999999999999"/>
    <x v="2"/>
  </r>
  <r>
    <s v="Rural"/>
    <n v="2017"/>
    <s v="June"/>
    <x v="54"/>
    <s v="Clothing and footwear"/>
    <n v="142.30000000000001"/>
    <x v="2"/>
  </r>
  <r>
    <s v="Rural"/>
    <n v="2017"/>
    <s v="June"/>
    <x v="54"/>
    <s v="Fuel and light"/>
    <n v="134.80000000000001"/>
    <x v="3"/>
  </r>
  <r>
    <s v="Rural"/>
    <n v="2017"/>
    <s v="June"/>
    <x v="54"/>
    <s v="Household goods and services"/>
    <n v="135.19999999999999"/>
    <x v="4"/>
  </r>
  <r>
    <s v="Rural"/>
    <n v="2017"/>
    <s v="June"/>
    <x v="54"/>
    <s v="Health"/>
    <n v="131.30000000000001"/>
    <x v="5"/>
  </r>
  <r>
    <s v="Rural"/>
    <n v="2017"/>
    <s v="June"/>
    <x v="54"/>
    <s v="Transport and communication"/>
    <n v="119.4"/>
    <x v="6"/>
  </r>
  <r>
    <s v="Rural"/>
    <n v="2017"/>
    <s v="June"/>
    <x v="54"/>
    <s v="Recreation and amusement"/>
    <n v="129.80000000000001"/>
    <x v="1"/>
  </r>
  <r>
    <s v="Rural"/>
    <n v="2017"/>
    <s v="June"/>
    <x v="54"/>
    <s v="Education"/>
    <n v="136.9"/>
    <x v="7"/>
  </r>
  <r>
    <s v="Rural"/>
    <n v="2017"/>
    <s v="June"/>
    <x v="54"/>
    <s v="Personal care and effects"/>
    <n v="124.1"/>
    <x v="4"/>
  </r>
  <r>
    <s v="Rural"/>
    <n v="2017"/>
    <s v="June"/>
    <x v="54"/>
    <s v="Miscellaneous"/>
    <n v="128.1"/>
    <x v="8"/>
  </r>
  <r>
    <s v="Rural"/>
    <n v="2017"/>
    <s v="June"/>
    <x v="54"/>
    <s v="General index"/>
    <n v="133.9"/>
    <x v="9"/>
  </r>
  <r>
    <s v="Urban"/>
    <n v="2017"/>
    <s v="June"/>
    <x v="54"/>
    <s v="Cereals and products"/>
    <n v="132.9"/>
    <x v="0"/>
  </r>
  <r>
    <s v="Urban"/>
    <n v="2017"/>
    <s v="June"/>
    <x v="54"/>
    <s v="Meat and fish"/>
    <n v="148.69999999999999"/>
    <x v="0"/>
  </r>
  <r>
    <s v="Urban"/>
    <n v="2017"/>
    <s v="June"/>
    <x v="54"/>
    <s v="Egg"/>
    <n v="128.30000000000001"/>
    <x v="0"/>
  </r>
  <r>
    <s v="Urban"/>
    <n v="2017"/>
    <s v="June"/>
    <x v="54"/>
    <s v="Milk and products"/>
    <n v="137.30000000000001"/>
    <x v="0"/>
  </r>
  <r>
    <s v="Urban"/>
    <n v="2017"/>
    <s v="June"/>
    <x v="54"/>
    <s v="Oils and fats"/>
    <n v="113.5"/>
    <x v="0"/>
  </r>
  <r>
    <s v="Urban"/>
    <n v="2017"/>
    <s v="June"/>
    <x v="54"/>
    <s v="Fruits"/>
    <n v="137.19999999999999"/>
    <x v="0"/>
  </r>
  <r>
    <s v="Urban"/>
    <n v="2017"/>
    <s v="June"/>
    <x v="54"/>
    <s v="Vegetables"/>
    <n v="142.19999999999999"/>
    <x v="0"/>
  </r>
  <r>
    <s v="Urban"/>
    <n v="2017"/>
    <s v="June"/>
    <x v="54"/>
    <s v="Pulses and products"/>
    <n v="128.19999999999999"/>
    <x v="0"/>
  </r>
  <r>
    <s v="Urban"/>
    <n v="2017"/>
    <s v="June"/>
    <x v="54"/>
    <s v="Sugar and Confectionery"/>
    <n v="120.9"/>
    <x v="0"/>
  </r>
  <r>
    <s v="Urban"/>
    <n v="2017"/>
    <s v="June"/>
    <x v="54"/>
    <s v="Spices"/>
    <n v="138.80000000000001"/>
    <x v="0"/>
  </r>
  <r>
    <s v="Urban"/>
    <n v="2017"/>
    <s v="June"/>
    <x v="54"/>
    <s v="Non-alcoholic beverages"/>
    <n v="124.2"/>
    <x v="0"/>
  </r>
  <r>
    <s v="Urban"/>
    <n v="2017"/>
    <s v="June"/>
    <x v="54"/>
    <s v="Prepared meals, snacks, sweets etc."/>
    <n v="143.1"/>
    <x v="0"/>
  </r>
  <r>
    <s v="Urban"/>
    <n v="2017"/>
    <s v="June"/>
    <x v="54"/>
    <s v="Food and beverages"/>
    <n v="135.69999999999999"/>
    <x v="0"/>
  </r>
  <r>
    <s v="Urban"/>
    <n v="2017"/>
    <s v="June"/>
    <x v="54"/>
    <s v="Pan, tobacco and intoxicants"/>
    <n v="148.6"/>
    <x v="1"/>
  </r>
  <r>
    <s v="Urban"/>
    <n v="2017"/>
    <s v="June"/>
    <x v="54"/>
    <s v="Clothing"/>
    <n v="131.5"/>
    <x v="2"/>
  </r>
  <r>
    <s v="Urban"/>
    <n v="2017"/>
    <s v="June"/>
    <x v="54"/>
    <s v="Footwear"/>
    <n v="123.2"/>
    <x v="2"/>
  </r>
  <r>
    <s v="Urban"/>
    <n v="2017"/>
    <s v="June"/>
    <x v="54"/>
    <s v="Clothing and footwear"/>
    <n v="130.19999999999999"/>
    <x v="2"/>
  </r>
  <r>
    <s v="Urban"/>
    <n v="2017"/>
    <s v="June"/>
    <x v="54"/>
    <s v="Housing"/>
    <n v="131.4"/>
    <x v="10"/>
  </r>
  <r>
    <s v="Urban"/>
    <n v="2017"/>
    <s v="June"/>
    <x v="54"/>
    <s v="Fuel and light"/>
    <n v="119"/>
    <x v="3"/>
  </r>
  <r>
    <s v="Urban"/>
    <n v="2017"/>
    <s v="June"/>
    <x v="54"/>
    <s v="Household goods and services"/>
    <n v="126.8"/>
    <x v="4"/>
  </r>
  <r>
    <s v="Urban"/>
    <n v="2017"/>
    <s v="June"/>
    <x v="54"/>
    <s v="Health"/>
    <n v="123.8"/>
    <x v="5"/>
  </r>
  <r>
    <s v="Urban"/>
    <n v="2017"/>
    <s v="June"/>
    <x v="54"/>
    <s v="Transport and communication"/>
    <n v="113.9"/>
    <x v="6"/>
  </r>
  <r>
    <s v="Urban"/>
    <n v="2017"/>
    <s v="June"/>
    <x v="54"/>
    <s v="Recreation and amusement"/>
    <n v="122.9"/>
    <x v="1"/>
  </r>
  <r>
    <s v="Urban"/>
    <n v="2017"/>
    <s v="June"/>
    <x v="54"/>
    <s v="Education"/>
    <n v="134.30000000000001"/>
    <x v="7"/>
  </r>
  <r>
    <s v="Urban"/>
    <n v="2017"/>
    <s v="June"/>
    <x v="54"/>
    <s v="Personal care and effects"/>
    <n v="122.5"/>
    <x v="4"/>
  </r>
  <r>
    <s v="Urban"/>
    <n v="2017"/>
    <s v="June"/>
    <x v="54"/>
    <s v="Miscellaneous"/>
    <n v="122.7"/>
    <x v="8"/>
  </r>
  <r>
    <s v="Urban"/>
    <n v="2017"/>
    <s v="June"/>
    <x v="54"/>
    <s v="General index"/>
    <n v="129.9"/>
    <x v="9"/>
  </r>
  <r>
    <s v="Rural+Urban"/>
    <n v="2017"/>
    <s v="June"/>
    <x v="54"/>
    <s v="Cereals and products"/>
    <n v="133.30000000000001"/>
    <x v="0"/>
  </r>
  <r>
    <s v="Rural+Urban"/>
    <n v="2017"/>
    <s v="June"/>
    <x v="54"/>
    <s v="Meat and fish"/>
    <n v="145.5"/>
    <x v="0"/>
  </r>
  <r>
    <s v="Rural+Urban"/>
    <n v="2017"/>
    <s v="June"/>
    <x v="54"/>
    <s v="Egg"/>
    <n v="128.1"/>
    <x v="0"/>
  </r>
  <r>
    <s v="Rural+Urban"/>
    <n v="2017"/>
    <s v="June"/>
    <x v="54"/>
    <s v="Milk and products"/>
    <n v="138.1"/>
    <x v="0"/>
  </r>
  <r>
    <s v="Rural+Urban"/>
    <n v="2017"/>
    <s v="June"/>
    <x v="54"/>
    <s v="Oils and fats"/>
    <n v="118.2"/>
    <x v="0"/>
  </r>
  <r>
    <s v="Rural+Urban"/>
    <n v="2017"/>
    <s v="June"/>
    <x v="54"/>
    <s v="Fruits"/>
    <n v="139.19999999999999"/>
    <x v="0"/>
  </r>
  <r>
    <s v="Rural+Urban"/>
    <n v="2017"/>
    <s v="June"/>
    <x v="54"/>
    <s v="Vegetables"/>
    <n v="133.30000000000001"/>
    <x v="0"/>
  </r>
  <r>
    <s v="Rural+Urban"/>
    <n v="2017"/>
    <s v="June"/>
    <x v="54"/>
    <s v="Pulses and products"/>
    <n v="136.19999999999999"/>
    <x v="0"/>
  </r>
  <r>
    <s v="Rural+Urban"/>
    <n v="2017"/>
    <s v="June"/>
    <x v="54"/>
    <s v="Sugar and Confectionery"/>
    <n v="119.6"/>
    <x v="0"/>
  </r>
  <r>
    <s v="Rural+Urban"/>
    <n v="2017"/>
    <s v="June"/>
    <x v="54"/>
    <s v="Spices"/>
    <n v="135.30000000000001"/>
    <x v="0"/>
  </r>
  <r>
    <s v="Rural+Urban"/>
    <n v="2017"/>
    <s v="June"/>
    <x v="54"/>
    <s v="Non-alcoholic beverages"/>
    <n v="127.8"/>
    <x v="0"/>
  </r>
  <r>
    <s v="Rural+Urban"/>
    <n v="2017"/>
    <s v="June"/>
    <x v="54"/>
    <s v="Prepared meals, snacks, sweets etc."/>
    <n v="144.9"/>
    <x v="0"/>
  </r>
  <r>
    <s v="Rural+Urban"/>
    <n v="2017"/>
    <s v="June"/>
    <x v="54"/>
    <s v="Food and beverages"/>
    <n v="135.19999999999999"/>
    <x v="0"/>
  </r>
  <r>
    <s v="Rural+Urban"/>
    <n v="2017"/>
    <s v="June"/>
    <x v="54"/>
    <s v="Pan, tobacco and intoxicants"/>
    <n v="146.5"/>
    <x v="1"/>
  </r>
  <r>
    <s v="Rural+Urban"/>
    <n v="2017"/>
    <s v="June"/>
    <x v="54"/>
    <s v="Clothing"/>
    <n v="138.5"/>
    <x v="2"/>
  </r>
  <r>
    <s v="Rural+Urban"/>
    <n v="2017"/>
    <s v="June"/>
    <x v="54"/>
    <s v="Footwear"/>
    <n v="131.69999999999999"/>
    <x v="2"/>
  </r>
  <r>
    <s v="Rural+Urban"/>
    <n v="2017"/>
    <s v="June"/>
    <x v="54"/>
    <s v="Clothing and footwear"/>
    <n v="137.5"/>
    <x v="2"/>
  </r>
  <r>
    <s v="Rural+Urban"/>
    <n v="2017"/>
    <s v="June"/>
    <x v="54"/>
    <s v="Housing"/>
    <n v="131.4"/>
    <x v="10"/>
  </r>
  <r>
    <s v="Rural+Urban"/>
    <n v="2017"/>
    <s v="June"/>
    <x v="54"/>
    <s v="Fuel and light"/>
    <n v="128.80000000000001"/>
    <x v="3"/>
  </r>
  <r>
    <s v="Rural+Urban"/>
    <n v="2017"/>
    <s v="June"/>
    <x v="54"/>
    <s v="Household goods and services"/>
    <n v="131.19999999999999"/>
    <x v="4"/>
  </r>
  <r>
    <s v="Rural+Urban"/>
    <n v="2017"/>
    <s v="June"/>
    <x v="54"/>
    <s v="Health"/>
    <n v="128.5"/>
    <x v="5"/>
  </r>
  <r>
    <s v="Rural+Urban"/>
    <n v="2017"/>
    <s v="June"/>
    <x v="54"/>
    <s v="Transport and communication"/>
    <n v="116.5"/>
    <x v="6"/>
  </r>
  <r>
    <s v="Rural+Urban"/>
    <n v="2017"/>
    <s v="June"/>
    <x v="54"/>
    <s v="Recreation and amusement"/>
    <n v="125.9"/>
    <x v="1"/>
  </r>
  <r>
    <s v="Rural+Urban"/>
    <n v="2017"/>
    <s v="June"/>
    <x v="54"/>
    <s v="Education"/>
    <n v="135.4"/>
    <x v="7"/>
  </r>
  <r>
    <s v="Rural+Urban"/>
    <n v="2017"/>
    <s v="June"/>
    <x v="54"/>
    <s v="Personal care and effects"/>
    <n v="123.4"/>
    <x v="4"/>
  </r>
  <r>
    <s v="Rural+Urban"/>
    <n v="2017"/>
    <s v="June"/>
    <x v="54"/>
    <s v="Miscellaneous"/>
    <n v="125.5"/>
    <x v="8"/>
  </r>
  <r>
    <s v="Rural+Urban"/>
    <n v="2017"/>
    <s v="June"/>
    <x v="54"/>
    <s v="General index"/>
    <n v="132"/>
    <x v="9"/>
  </r>
  <r>
    <s v="Rural"/>
    <n v="2017"/>
    <s v="July"/>
    <x v="55"/>
    <s v="Cereals and products"/>
    <n v="134"/>
    <x v="0"/>
  </r>
  <r>
    <s v="Rural"/>
    <n v="2017"/>
    <s v="July"/>
    <x v="55"/>
    <s v="Meat and fish"/>
    <n v="144.19999999999999"/>
    <x v="0"/>
  </r>
  <r>
    <s v="Rural"/>
    <n v="2017"/>
    <s v="July"/>
    <x v="55"/>
    <s v="Egg"/>
    <n v="129.80000000000001"/>
    <x v="0"/>
  </r>
  <r>
    <s v="Rural"/>
    <n v="2017"/>
    <s v="July"/>
    <x v="55"/>
    <s v="Milk and products"/>
    <n v="139"/>
    <x v="0"/>
  </r>
  <r>
    <s v="Rural"/>
    <n v="2017"/>
    <s v="July"/>
    <x v="55"/>
    <s v="Oils and fats"/>
    <n v="120.9"/>
    <x v="0"/>
  </r>
  <r>
    <s v="Rural"/>
    <n v="2017"/>
    <s v="July"/>
    <x v="55"/>
    <s v="Fruits"/>
    <n v="143.9"/>
    <x v="0"/>
  </r>
  <r>
    <s v="Rural"/>
    <n v="2017"/>
    <s v="July"/>
    <x v="55"/>
    <s v="Vegetables"/>
    <n v="151.5"/>
    <x v="0"/>
  </r>
  <r>
    <s v="Rural"/>
    <n v="2017"/>
    <s v="July"/>
    <x v="55"/>
    <s v="Pulses and products"/>
    <n v="138.1"/>
    <x v="0"/>
  </r>
  <r>
    <s v="Rural"/>
    <n v="2017"/>
    <s v="July"/>
    <x v="55"/>
    <s v="Sugar and Confectionery"/>
    <n v="120"/>
    <x v="0"/>
  </r>
  <r>
    <s v="Rural"/>
    <n v="2017"/>
    <s v="July"/>
    <x v="55"/>
    <s v="Spices"/>
    <n v="133.9"/>
    <x v="0"/>
  </r>
  <r>
    <s v="Rural"/>
    <n v="2017"/>
    <s v="July"/>
    <x v="55"/>
    <s v="Non-alcoholic beverages"/>
    <n v="131.4"/>
    <x v="0"/>
  </r>
  <r>
    <s v="Rural"/>
    <n v="2017"/>
    <s v="July"/>
    <x v="55"/>
    <s v="Prepared meals, snacks, sweets etc."/>
    <n v="147.69999999999999"/>
    <x v="0"/>
  </r>
  <r>
    <s v="Rural"/>
    <n v="2017"/>
    <s v="July"/>
    <x v="55"/>
    <s v="Food and beverages"/>
    <n v="138.5"/>
    <x v="0"/>
  </r>
  <r>
    <s v="Rural"/>
    <n v="2017"/>
    <s v="July"/>
    <x v="55"/>
    <s v="Pan, tobacco and intoxicants"/>
    <n v="147.4"/>
    <x v="1"/>
  </r>
  <r>
    <s v="Rural"/>
    <n v="2017"/>
    <s v="July"/>
    <x v="55"/>
    <s v="Clothing"/>
    <n v="144.30000000000001"/>
    <x v="2"/>
  </r>
  <r>
    <s v="Rural"/>
    <n v="2017"/>
    <s v="July"/>
    <x v="55"/>
    <s v="Footwear"/>
    <n v="138.1"/>
    <x v="2"/>
  </r>
  <r>
    <s v="Rural"/>
    <n v="2017"/>
    <s v="July"/>
    <x v="55"/>
    <s v="Clothing and footwear"/>
    <n v="143.5"/>
    <x v="2"/>
  </r>
  <r>
    <s v="Rural"/>
    <n v="2017"/>
    <s v="July"/>
    <x v="55"/>
    <s v="Fuel and light"/>
    <n v="135.30000000000001"/>
    <x v="3"/>
  </r>
  <r>
    <s v="Rural"/>
    <n v="2017"/>
    <s v="July"/>
    <x v="55"/>
    <s v="Household goods and services"/>
    <n v="136.1"/>
    <x v="4"/>
  </r>
  <r>
    <s v="Rural"/>
    <n v="2017"/>
    <s v="July"/>
    <x v="55"/>
    <s v="Health"/>
    <n v="132.1"/>
    <x v="5"/>
  </r>
  <r>
    <s v="Rural"/>
    <n v="2017"/>
    <s v="July"/>
    <x v="55"/>
    <s v="Transport and communication"/>
    <n v="119.1"/>
    <x v="6"/>
  </r>
  <r>
    <s v="Rural"/>
    <n v="2017"/>
    <s v="July"/>
    <x v="55"/>
    <s v="Recreation and amusement"/>
    <n v="130.6"/>
    <x v="1"/>
  </r>
  <r>
    <s v="Rural"/>
    <n v="2017"/>
    <s v="July"/>
    <x v="55"/>
    <s v="Education"/>
    <n v="138.6"/>
    <x v="7"/>
  </r>
  <r>
    <s v="Rural"/>
    <n v="2017"/>
    <s v="July"/>
    <x v="55"/>
    <s v="Personal care and effects"/>
    <n v="124.4"/>
    <x v="4"/>
  </r>
  <r>
    <s v="Rural"/>
    <n v="2017"/>
    <s v="July"/>
    <x v="55"/>
    <s v="Miscellaneous"/>
    <n v="128.6"/>
    <x v="8"/>
  </r>
  <r>
    <s v="Rural"/>
    <n v="2017"/>
    <s v="July"/>
    <x v="55"/>
    <s v="General index"/>
    <n v="136.19999999999999"/>
    <x v="9"/>
  </r>
  <r>
    <s v="Urban"/>
    <n v="2017"/>
    <s v="July"/>
    <x v="55"/>
    <s v="Cereals and products"/>
    <n v="132.80000000000001"/>
    <x v="0"/>
  </r>
  <r>
    <s v="Urban"/>
    <n v="2017"/>
    <s v="July"/>
    <x v="55"/>
    <s v="Meat and fish"/>
    <n v="148.4"/>
    <x v="0"/>
  </r>
  <r>
    <s v="Urban"/>
    <n v="2017"/>
    <s v="July"/>
    <x v="55"/>
    <s v="Egg"/>
    <n v="129.4"/>
    <x v="0"/>
  </r>
  <r>
    <s v="Urban"/>
    <n v="2017"/>
    <s v="July"/>
    <x v="55"/>
    <s v="Milk and products"/>
    <n v="137.69999999999999"/>
    <x v="0"/>
  </r>
  <r>
    <s v="Urban"/>
    <n v="2017"/>
    <s v="July"/>
    <x v="55"/>
    <s v="Oils and fats"/>
    <n v="113.4"/>
    <x v="0"/>
  </r>
  <r>
    <s v="Urban"/>
    <n v="2017"/>
    <s v="July"/>
    <x v="55"/>
    <s v="Fruits"/>
    <n v="139.4"/>
    <x v="0"/>
  </r>
  <r>
    <s v="Urban"/>
    <n v="2017"/>
    <s v="July"/>
    <x v="55"/>
    <s v="Vegetables"/>
    <n v="175.1"/>
    <x v="0"/>
  </r>
  <r>
    <s v="Urban"/>
    <n v="2017"/>
    <s v="July"/>
    <x v="55"/>
    <s v="Pulses and products"/>
    <n v="124.7"/>
    <x v="0"/>
  </r>
  <r>
    <s v="Urban"/>
    <n v="2017"/>
    <s v="July"/>
    <x v="55"/>
    <s v="Sugar and Confectionery"/>
    <n v="121.5"/>
    <x v="0"/>
  </r>
  <r>
    <s v="Urban"/>
    <n v="2017"/>
    <s v="July"/>
    <x v="55"/>
    <s v="Spices"/>
    <n v="137.80000000000001"/>
    <x v="0"/>
  </r>
  <r>
    <s v="Urban"/>
    <n v="2017"/>
    <s v="July"/>
    <x v="55"/>
    <s v="Non-alcoholic beverages"/>
    <n v="124.4"/>
    <x v="0"/>
  </r>
  <r>
    <s v="Urban"/>
    <n v="2017"/>
    <s v="July"/>
    <x v="55"/>
    <s v="Prepared meals, snacks, sweets etc."/>
    <n v="143.69999999999999"/>
    <x v="0"/>
  </r>
  <r>
    <s v="Urban"/>
    <n v="2017"/>
    <s v="July"/>
    <x v="55"/>
    <s v="Food and beverages"/>
    <n v="139.80000000000001"/>
    <x v="0"/>
  </r>
  <r>
    <s v="Urban"/>
    <n v="2017"/>
    <s v="July"/>
    <x v="55"/>
    <s v="Pan, tobacco and intoxicants"/>
    <n v="150.5"/>
    <x v="1"/>
  </r>
  <r>
    <s v="Urban"/>
    <n v="2017"/>
    <s v="July"/>
    <x v="55"/>
    <s v="Clothing"/>
    <n v="131.6"/>
    <x v="2"/>
  </r>
  <r>
    <s v="Urban"/>
    <n v="2017"/>
    <s v="July"/>
    <x v="55"/>
    <s v="Footwear"/>
    <n v="123.7"/>
    <x v="2"/>
  </r>
  <r>
    <s v="Urban"/>
    <n v="2017"/>
    <s v="July"/>
    <x v="55"/>
    <s v="Clothing and footwear"/>
    <n v="130.4"/>
    <x v="2"/>
  </r>
  <r>
    <s v="Urban"/>
    <n v="2017"/>
    <s v="July"/>
    <x v="55"/>
    <s v="Housing"/>
    <n v="132.6"/>
    <x v="10"/>
  </r>
  <r>
    <s v="Urban"/>
    <n v="2017"/>
    <s v="July"/>
    <x v="55"/>
    <s v="Fuel and light"/>
    <n v="119.7"/>
    <x v="3"/>
  </r>
  <r>
    <s v="Urban"/>
    <n v="2017"/>
    <s v="July"/>
    <x v="55"/>
    <s v="Household goods and services"/>
    <n v="127.2"/>
    <x v="4"/>
  </r>
  <r>
    <s v="Urban"/>
    <n v="2017"/>
    <s v="July"/>
    <x v="55"/>
    <s v="Health"/>
    <n v="125"/>
    <x v="5"/>
  </r>
  <r>
    <s v="Urban"/>
    <n v="2017"/>
    <s v="July"/>
    <x v="55"/>
    <s v="Transport and communication"/>
    <n v="113.2"/>
    <x v="6"/>
  </r>
  <r>
    <s v="Urban"/>
    <n v="2017"/>
    <s v="July"/>
    <x v="55"/>
    <s v="Recreation and amusement"/>
    <n v="123.5"/>
    <x v="1"/>
  </r>
  <r>
    <s v="Urban"/>
    <n v="2017"/>
    <s v="July"/>
    <x v="55"/>
    <s v="Education"/>
    <n v="135.5"/>
    <x v="7"/>
  </r>
  <r>
    <s v="Urban"/>
    <n v="2017"/>
    <s v="July"/>
    <x v="55"/>
    <s v="Personal care and effects"/>
    <n v="122.4"/>
    <x v="4"/>
  </r>
  <r>
    <s v="Urban"/>
    <n v="2017"/>
    <s v="July"/>
    <x v="55"/>
    <s v="Miscellaneous"/>
    <n v="123"/>
    <x v="8"/>
  </r>
  <r>
    <s v="Urban"/>
    <n v="2017"/>
    <s v="July"/>
    <x v="55"/>
    <s v="General index"/>
    <n v="131.80000000000001"/>
    <x v="9"/>
  </r>
  <r>
    <s v="Rural+Urban"/>
    <n v="2017"/>
    <s v="July"/>
    <x v="55"/>
    <s v="Cereals and products"/>
    <n v="133.6"/>
    <x v="0"/>
  </r>
  <r>
    <s v="Rural+Urban"/>
    <n v="2017"/>
    <s v="July"/>
    <x v="55"/>
    <s v="Meat and fish"/>
    <n v="145.69999999999999"/>
    <x v="0"/>
  </r>
  <r>
    <s v="Rural+Urban"/>
    <n v="2017"/>
    <s v="July"/>
    <x v="55"/>
    <s v="Egg"/>
    <n v="129.6"/>
    <x v="0"/>
  </r>
  <r>
    <s v="Rural+Urban"/>
    <n v="2017"/>
    <s v="July"/>
    <x v="55"/>
    <s v="Milk and products"/>
    <n v="138.5"/>
    <x v="0"/>
  </r>
  <r>
    <s v="Rural+Urban"/>
    <n v="2017"/>
    <s v="July"/>
    <x v="55"/>
    <s v="Oils and fats"/>
    <n v="118.1"/>
    <x v="0"/>
  </r>
  <r>
    <s v="Rural+Urban"/>
    <n v="2017"/>
    <s v="July"/>
    <x v="55"/>
    <s v="Fruits"/>
    <n v="141.80000000000001"/>
    <x v="0"/>
  </r>
  <r>
    <s v="Rural+Urban"/>
    <n v="2017"/>
    <s v="July"/>
    <x v="55"/>
    <s v="Vegetables"/>
    <n v="159.5"/>
    <x v="0"/>
  </r>
  <r>
    <s v="Rural+Urban"/>
    <n v="2017"/>
    <s v="July"/>
    <x v="55"/>
    <s v="Pulses and products"/>
    <n v="133.6"/>
    <x v="0"/>
  </r>
  <r>
    <s v="Rural+Urban"/>
    <n v="2017"/>
    <s v="July"/>
    <x v="55"/>
    <s v="Sugar and Confectionery"/>
    <n v="120.5"/>
    <x v="0"/>
  </r>
  <r>
    <s v="Rural+Urban"/>
    <n v="2017"/>
    <s v="July"/>
    <x v="55"/>
    <s v="Spices"/>
    <n v="135.19999999999999"/>
    <x v="0"/>
  </r>
  <r>
    <s v="Rural+Urban"/>
    <n v="2017"/>
    <s v="July"/>
    <x v="55"/>
    <s v="Non-alcoholic beverages"/>
    <n v="128.5"/>
    <x v="0"/>
  </r>
  <r>
    <s v="Rural+Urban"/>
    <n v="2017"/>
    <s v="July"/>
    <x v="55"/>
    <s v="Prepared meals, snacks, sweets etc."/>
    <n v="145.80000000000001"/>
    <x v="0"/>
  </r>
  <r>
    <s v="Rural+Urban"/>
    <n v="2017"/>
    <s v="July"/>
    <x v="55"/>
    <s v="Food and beverages"/>
    <n v="139"/>
    <x v="0"/>
  </r>
  <r>
    <s v="Rural+Urban"/>
    <n v="2017"/>
    <s v="July"/>
    <x v="55"/>
    <s v="Pan, tobacco and intoxicants"/>
    <n v="148.19999999999999"/>
    <x v="1"/>
  </r>
  <r>
    <s v="Rural+Urban"/>
    <n v="2017"/>
    <s v="July"/>
    <x v="55"/>
    <s v="Clothing"/>
    <n v="139.30000000000001"/>
    <x v="2"/>
  </r>
  <r>
    <s v="Rural+Urban"/>
    <n v="2017"/>
    <s v="July"/>
    <x v="55"/>
    <s v="Footwear"/>
    <n v="132.1"/>
    <x v="2"/>
  </r>
  <r>
    <s v="Rural+Urban"/>
    <n v="2017"/>
    <s v="July"/>
    <x v="55"/>
    <s v="Clothing and footwear"/>
    <n v="138.30000000000001"/>
    <x v="2"/>
  </r>
  <r>
    <s v="Rural+Urban"/>
    <n v="2017"/>
    <s v="July"/>
    <x v="55"/>
    <s v="Housing"/>
    <n v="132.6"/>
    <x v="10"/>
  </r>
  <r>
    <s v="Rural+Urban"/>
    <n v="2017"/>
    <s v="July"/>
    <x v="55"/>
    <s v="Fuel and light"/>
    <n v="129.4"/>
    <x v="3"/>
  </r>
  <r>
    <s v="Rural+Urban"/>
    <n v="2017"/>
    <s v="July"/>
    <x v="55"/>
    <s v="Household goods and services"/>
    <n v="131.9"/>
    <x v="4"/>
  </r>
  <r>
    <s v="Rural+Urban"/>
    <n v="2017"/>
    <s v="July"/>
    <x v="55"/>
    <s v="Health"/>
    <n v="129.4"/>
    <x v="5"/>
  </r>
  <r>
    <s v="Rural+Urban"/>
    <n v="2017"/>
    <s v="July"/>
    <x v="55"/>
    <s v="Transport and communication"/>
    <n v="116"/>
    <x v="6"/>
  </r>
  <r>
    <s v="Rural+Urban"/>
    <n v="2017"/>
    <s v="July"/>
    <x v="55"/>
    <s v="Recreation and amusement"/>
    <n v="126.6"/>
    <x v="1"/>
  </r>
  <r>
    <s v="Rural+Urban"/>
    <n v="2017"/>
    <s v="July"/>
    <x v="55"/>
    <s v="Education"/>
    <n v="136.80000000000001"/>
    <x v="7"/>
  </r>
  <r>
    <s v="Rural+Urban"/>
    <n v="2017"/>
    <s v="July"/>
    <x v="55"/>
    <s v="Personal care and effects"/>
    <n v="123.6"/>
    <x v="4"/>
  </r>
  <r>
    <s v="Rural+Urban"/>
    <n v="2017"/>
    <s v="July"/>
    <x v="55"/>
    <s v="Miscellaneous"/>
    <n v="125.9"/>
    <x v="8"/>
  </r>
  <r>
    <s v="Rural+Urban"/>
    <n v="2017"/>
    <s v="July"/>
    <x v="55"/>
    <s v="General index"/>
    <n v="134.19999999999999"/>
    <x v="9"/>
  </r>
  <r>
    <s v="Rural"/>
    <n v="2017"/>
    <s v="August"/>
    <x v="56"/>
    <s v="Cereals and products"/>
    <n v="134.80000000000001"/>
    <x v="0"/>
  </r>
  <r>
    <s v="Rural"/>
    <n v="2017"/>
    <s v="August"/>
    <x v="56"/>
    <s v="Meat and fish"/>
    <n v="143.1"/>
    <x v="0"/>
  </r>
  <r>
    <s v="Rural"/>
    <n v="2017"/>
    <s v="August"/>
    <x v="56"/>
    <s v="Egg"/>
    <n v="130"/>
    <x v="0"/>
  </r>
  <r>
    <s v="Rural"/>
    <n v="2017"/>
    <s v="August"/>
    <x v="56"/>
    <s v="Milk and products"/>
    <n v="139.4"/>
    <x v="0"/>
  </r>
  <r>
    <s v="Rural"/>
    <n v="2017"/>
    <s v="August"/>
    <x v="56"/>
    <s v="Oils and fats"/>
    <n v="120.5"/>
    <x v="0"/>
  </r>
  <r>
    <s v="Rural"/>
    <n v="2017"/>
    <s v="August"/>
    <x v="56"/>
    <s v="Fruits"/>
    <n v="148"/>
    <x v="0"/>
  </r>
  <r>
    <s v="Rural"/>
    <n v="2017"/>
    <s v="August"/>
    <x v="56"/>
    <s v="Vegetables"/>
    <n v="162.9"/>
    <x v="0"/>
  </r>
  <r>
    <s v="Rural"/>
    <n v="2017"/>
    <s v="August"/>
    <x v="56"/>
    <s v="Pulses and products"/>
    <n v="137.4"/>
    <x v="0"/>
  </r>
  <r>
    <s v="Rural"/>
    <n v="2017"/>
    <s v="August"/>
    <x v="56"/>
    <s v="Sugar and Confectionery"/>
    <n v="120.8"/>
    <x v="0"/>
  </r>
  <r>
    <s v="Rural"/>
    <n v="2017"/>
    <s v="August"/>
    <x v="56"/>
    <s v="Spices"/>
    <n v="134.69999999999999"/>
    <x v="0"/>
  </r>
  <r>
    <s v="Rural"/>
    <n v="2017"/>
    <s v="August"/>
    <x v="56"/>
    <s v="Non-alcoholic beverages"/>
    <n v="131.6"/>
    <x v="0"/>
  </r>
  <r>
    <s v="Rural"/>
    <n v="2017"/>
    <s v="August"/>
    <x v="56"/>
    <s v="Prepared meals, snacks, sweets etc."/>
    <n v="148.69999999999999"/>
    <x v="0"/>
  </r>
  <r>
    <s v="Rural"/>
    <n v="2017"/>
    <s v="August"/>
    <x v="56"/>
    <s v="Food and beverages"/>
    <n v="140.6"/>
    <x v="0"/>
  </r>
  <r>
    <s v="Rural"/>
    <n v="2017"/>
    <s v="August"/>
    <x v="56"/>
    <s v="Pan, tobacco and intoxicants"/>
    <n v="149"/>
    <x v="1"/>
  </r>
  <r>
    <s v="Rural"/>
    <n v="2017"/>
    <s v="August"/>
    <x v="56"/>
    <s v="Clothing"/>
    <n v="145.30000000000001"/>
    <x v="2"/>
  </r>
  <r>
    <s v="Rural"/>
    <n v="2017"/>
    <s v="August"/>
    <x v="56"/>
    <s v="Footwear"/>
    <n v="139.19999999999999"/>
    <x v="2"/>
  </r>
  <r>
    <s v="Rural"/>
    <n v="2017"/>
    <s v="August"/>
    <x v="56"/>
    <s v="Clothing and footwear"/>
    <n v="144.5"/>
    <x v="2"/>
  </r>
  <r>
    <s v="Rural"/>
    <n v="2017"/>
    <s v="August"/>
    <x v="56"/>
    <s v="Fuel and light"/>
    <n v="136.4"/>
    <x v="3"/>
  </r>
  <r>
    <s v="Rural"/>
    <n v="2017"/>
    <s v="August"/>
    <x v="56"/>
    <s v="Household goods and services"/>
    <n v="137.30000000000001"/>
    <x v="4"/>
  </r>
  <r>
    <s v="Rural"/>
    <n v="2017"/>
    <s v="August"/>
    <x v="56"/>
    <s v="Health"/>
    <n v="133"/>
    <x v="5"/>
  </r>
  <r>
    <s v="Rural"/>
    <n v="2017"/>
    <s v="August"/>
    <x v="56"/>
    <s v="Transport and communication"/>
    <n v="120.3"/>
    <x v="6"/>
  </r>
  <r>
    <s v="Rural"/>
    <n v="2017"/>
    <s v="August"/>
    <x v="56"/>
    <s v="Recreation and amusement"/>
    <n v="131.5"/>
    <x v="1"/>
  </r>
  <r>
    <s v="Rural"/>
    <n v="2017"/>
    <s v="August"/>
    <x v="56"/>
    <s v="Education"/>
    <n v="140.19999999999999"/>
    <x v="7"/>
  </r>
  <r>
    <s v="Rural"/>
    <n v="2017"/>
    <s v="August"/>
    <x v="56"/>
    <s v="Personal care and effects"/>
    <n v="125.4"/>
    <x v="4"/>
  </r>
  <r>
    <s v="Rural"/>
    <n v="2017"/>
    <s v="August"/>
    <x v="56"/>
    <s v="Miscellaneous"/>
    <n v="129.69999999999999"/>
    <x v="8"/>
  </r>
  <r>
    <s v="Rural"/>
    <n v="2017"/>
    <s v="August"/>
    <x v="56"/>
    <s v="General index"/>
    <n v="137.80000000000001"/>
    <x v="9"/>
  </r>
  <r>
    <s v="Urban"/>
    <n v="2017"/>
    <s v="August"/>
    <x v="56"/>
    <s v="Cereals and products"/>
    <n v="133.19999999999999"/>
    <x v="0"/>
  </r>
  <r>
    <s v="Urban"/>
    <n v="2017"/>
    <s v="August"/>
    <x v="56"/>
    <s v="Meat and fish"/>
    <n v="143.9"/>
    <x v="0"/>
  </r>
  <r>
    <s v="Urban"/>
    <n v="2017"/>
    <s v="August"/>
    <x v="56"/>
    <s v="Egg"/>
    <n v="128.30000000000001"/>
    <x v="0"/>
  </r>
  <r>
    <s v="Urban"/>
    <n v="2017"/>
    <s v="August"/>
    <x v="56"/>
    <s v="Milk and products"/>
    <n v="138.30000000000001"/>
    <x v="0"/>
  </r>
  <r>
    <s v="Urban"/>
    <n v="2017"/>
    <s v="August"/>
    <x v="56"/>
    <s v="Oils and fats"/>
    <n v="114.1"/>
    <x v="0"/>
  </r>
  <r>
    <s v="Urban"/>
    <n v="2017"/>
    <s v="August"/>
    <x v="56"/>
    <s v="Fruits"/>
    <n v="142.69999999999999"/>
    <x v="0"/>
  </r>
  <r>
    <s v="Urban"/>
    <n v="2017"/>
    <s v="August"/>
    <x v="56"/>
    <s v="Vegetables"/>
    <n v="179.8"/>
    <x v="0"/>
  </r>
  <r>
    <s v="Urban"/>
    <n v="2017"/>
    <s v="August"/>
    <x v="56"/>
    <s v="Pulses and products"/>
    <n v="123.5"/>
    <x v="0"/>
  </r>
  <r>
    <s v="Urban"/>
    <n v="2017"/>
    <s v="August"/>
    <x v="56"/>
    <s v="Sugar and Confectionery"/>
    <n v="122.1"/>
    <x v="0"/>
  </r>
  <r>
    <s v="Urban"/>
    <n v="2017"/>
    <s v="August"/>
    <x v="56"/>
    <s v="Spices"/>
    <n v="137.5"/>
    <x v="0"/>
  </r>
  <r>
    <s v="Urban"/>
    <n v="2017"/>
    <s v="August"/>
    <x v="56"/>
    <s v="Non-alcoholic beverages"/>
    <n v="124.6"/>
    <x v="0"/>
  </r>
  <r>
    <s v="Urban"/>
    <n v="2017"/>
    <s v="August"/>
    <x v="56"/>
    <s v="Prepared meals, snacks, sweets etc."/>
    <n v="144.5"/>
    <x v="0"/>
  </r>
  <r>
    <s v="Urban"/>
    <n v="2017"/>
    <s v="August"/>
    <x v="56"/>
    <s v="Food and beverages"/>
    <n v="140.5"/>
    <x v="0"/>
  </r>
  <r>
    <s v="Urban"/>
    <n v="2017"/>
    <s v="August"/>
    <x v="56"/>
    <s v="Pan, tobacco and intoxicants"/>
    <n v="152.1"/>
    <x v="1"/>
  </r>
  <r>
    <s v="Urban"/>
    <n v="2017"/>
    <s v="August"/>
    <x v="56"/>
    <s v="Clothing"/>
    <n v="132.69999999999999"/>
    <x v="2"/>
  </r>
  <r>
    <s v="Urban"/>
    <n v="2017"/>
    <s v="August"/>
    <x v="56"/>
    <s v="Footwear"/>
    <n v="124.3"/>
    <x v="2"/>
  </r>
  <r>
    <s v="Urban"/>
    <n v="2017"/>
    <s v="August"/>
    <x v="56"/>
    <s v="Clothing and footwear"/>
    <n v="131.4"/>
    <x v="2"/>
  </r>
  <r>
    <s v="Urban"/>
    <n v="2017"/>
    <s v="August"/>
    <x v="56"/>
    <s v="Housing"/>
    <n v="134.4"/>
    <x v="10"/>
  </r>
  <r>
    <s v="Urban"/>
    <n v="2017"/>
    <s v="August"/>
    <x v="56"/>
    <s v="Fuel and light"/>
    <n v="118.9"/>
    <x v="3"/>
  </r>
  <r>
    <s v="Urban"/>
    <n v="2017"/>
    <s v="August"/>
    <x v="56"/>
    <s v="Household goods and services"/>
    <n v="127.7"/>
    <x v="4"/>
  </r>
  <r>
    <s v="Urban"/>
    <n v="2017"/>
    <s v="August"/>
    <x v="56"/>
    <s v="Health"/>
    <n v="125.7"/>
    <x v="5"/>
  </r>
  <r>
    <s v="Urban"/>
    <n v="2017"/>
    <s v="August"/>
    <x v="56"/>
    <s v="Transport and communication"/>
    <n v="114.6"/>
    <x v="6"/>
  </r>
  <r>
    <s v="Urban"/>
    <n v="2017"/>
    <s v="August"/>
    <x v="56"/>
    <s v="Recreation and amusement"/>
    <n v="124.1"/>
    <x v="1"/>
  </r>
  <r>
    <s v="Urban"/>
    <n v="2017"/>
    <s v="August"/>
    <x v="56"/>
    <s v="Education"/>
    <n v="135.69999999999999"/>
    <x v="7"/>
  </r>
  <r>
    <s v="Urban"/>
    <n v="2017"/>
    <s v="August"/>
    <x v="56"/>
    <s v="Personal care and effects"/>
    <n v="123.3"/>
    <x v="4"/>
  </r>
  <r>
    <s v="Urban"/>
    <n v="2017"/>
    <s v="August"/>
    <x v="56"/>
    <s v="Miscellaneous"/>
    <n v="123.8"/>
    <x v="8"/>
  </r>
  <r>
    <s v="Urban"/>
    <n v="2017"/>
    <s v="August"/>
    <x v="56"/>
    <s v="General index"/>
    <n v="132.69999999999999"/>
    <x v="9"/>
  </r>
  <r>
    <s v="Rural+Urban"/>
    <n v="2017"/>
    <s v="August"/>
    <x v="56"/>
    <s v="Cereals and products"/>
    <n v="134.30000000000001"/>
    <x v="0"/>
  </r>
  <r>
    <s v="Rural+Urban"/>
    <n v="2017"/>
    <s v="August"/>
    <x v="56"/>
    <s v="Meat and fish"/>
    <n v="143.4"/>
    <x v="0"/>
  </r>
  <r>
    <s v="Rural+Urban"/>
    <n v="2017"/>
    <s v="August"/>
    <x v="56"/>
    <s v="Egg"/>
    <n v="129.30000000000001"/>
    <x v="0"/>
  </r>
  <r>
    <s v="Rural+Urban"/>
    <n v="2017"/>
    <s v="August"/>
    <x v="56"/>
    <s v="Milk and products"/>
    <n v="139"/>
    <x v="0"/>
  </r>
  <r>
    <s v="Rural+Urban"/>
    <n v="2017"/>
    <s v="August"/>
    <x v="56"/>
    <s v="Oils and fats"/>
    <n v="118.1"/>
    <x v="0"/>
  </r>
  <r>
    <s v="Rural+Urban"/>
    <n v="2017"/>
    <s v="August"/>
    <x v="56"/>
    <s v="Fruits"/>
    <n v="145.5"/>
    <x v="0"/>
  </r>
  <r>
    <s v="Rural+Urban"/>
    <n v="2017"/>
    <s v="August"/>
    <x v="56"/>
    <s v="Vegetables"/>
    <n v="168.6"/>
    <x v="0"/>
  </r>
  <r>
    <s v="Rural+Urban"/>
    <n v="2017"/>
    <s v="August"/>
    <x v="56"/>
    <s v="Pulses and products"/>
    <n v="132.69999999999999"/>
    <x v="0"/>
  </r>
  <r>
    <s v="Rural+Urban"/>
    <n v="2017"/>
    <s v="August"/>
    <x v="56"/>
    <s v="Sugar and Confectionery"/>
    <n v="121.2"/>
    <x v="0"/>
  </r>
  <r>
    <s v="Rural+Urban"/>
    <n v="2017"/>
    <s v="August"/>
    <x v="56"/>
    <s v="Spices"/>
    <n v="135.6"/>
    <x v="0"/>
  </r>
  <r>
    <s v="Rural+Urban"/>
    <n v="2017"/>
    <s v="August"/>
    <x v="56"/>
    <s v="Non-alcoholic beverages"/>
    <n v="128.69999999999999"/>
    <x v="0"/>
  </r>
  <r>
    <s v="Rural+Urban"/>
    <n v="2017"/>
    <s v="August"/>
    <x v="56"/>
    <s v="Prepared meals, snacks, sweets etc."/>
    <n v="146.80000000000001"/>
    <x v="0"/>
  </r>
  <r>
    <s v="Rural+Urban"/>
    <n v="2017"/>
    <s v="August"/>
    <x v="56"/>
    <s v="Food and beverages"/>
    <n v="140.6"/>
    <x v="0"/>
  </r>
  <r>
    <s v="Rural+Urban"/>
    <n v="2017"/>
    <s v="August"/>
    <x v="56"/>
    <s v="Pan, tobacco and intoxicants"/>
    <n v="149.80000000000001"/>
    <x v="1"/>
  </r>
  <r>
    <s v="Rural+Urban"/>
    <n v="2017"/>
    <s v="August"/>
    <x v="56"/>
    <s v="Clothing"/>
    <n v="140.30000000000001"/>
    <x v="2"/>
  </r>
  <r>
    <s v="Rural+Urban"/>
    <n v="2017"/>
    <s v="August"/>
    <x v="56"/>
    <s v="Footwear"/>
    <n v="133"/>
    <x v="2"/>
  </r>
  <r>
    <s v="Rural+Urban"/>
    <n v="2017"/>
    <s v="August"/>
    <x v="56"/>
    <s v="Clothing and footwear"/>
    <n v="139.30000000000001"/>
    <x v="2"/>
  </r>
  <r>
    <s v="Rural+Urban"/>
    <n v="2017"/>
    <s v="August"/>
    <x v="56"/>
    <s v="Housing"/>
    <n v="134.4"/>
    <x v="10"/>
  </r>
  <r>
    <s v="Rural+Urban"/>
    <n v="2017"/>
    <s v="August"/>
    <x v="56"/>
    <s v="Fuel and light"/>
    <n v="129.80000000000001"/>
    <x v="3"/>
  </r>
  <r>
    <s v="Rural+Urban"/>
    <n v="2017"/>
    <s v="August"/>
    <x v="56"/>
    <s v="Household goods and services"/>
    <n v="132.80000000000001"/>
    <x v="4"/>
  </r>
  <r>
    <s v="Rural+Urban"/>
    <n v="2017"/>
    <s v="August"/>
    <x v="56"/>
    <s v="Health"/>
    <n v="130.19999999999999"/>
    <x v="5"/>
  </r>
  <r>
    <s v="Rural+Urban"/>
    <n v="2017"/>
    <s v="August"/>
    <x v="56"/>
    <s v="Transport and communication"/>
    <n v="117.3"/>
    <x v="6"/>
  </r>
  <r>
    <s v="Rural+Urban"/>
    <n v="2017"/>
    <s v="August"/>
    <x v="56"/>
    <s v="Recreation and amusement"/>
    <n v="127.3"/>
    <x v="1"/>
  </r>
  <r>
    <s v="Rural+Urban"/>
    <n v="2017"/>
    <s v="August"/>
    <x v="56"/>
    <s v="Education"/>
    <n v="137.6"/>
    <x v="7"/>
  </r>
  <r>
    <s v="Rural+Urban"/>
    <n v="2017"/>
    <s v="August"/>
    <x v="56"/>
    <s v="Personal care and effects"/>
    <n v="124.5"/>
    <x v="4"/>
  </r>
  <r>
    <s v="Rural+Urban"/>
    <n v="2017"/>
    <s v="August"/>
    <x v="56"/>
    <s v="Miscellaneous"/>
    <n v="126.8"/>
    <x v="8"/>
  </r>
  <r>
    <s v="Rural+Urban"/>
    <n v="2017"/>
    <s v="August"/>
    <x v="56"/>
    <s v="General index"/>
    <n v="135.4"/>
    <x v="9"/>
  </r>
  <r>
    <s v="Rural"/>
    <n v="2017"/>
    <s v="September"/>
    <x v="57"/>
    <s v="Cereals and products"/>
    <n v="135.19999999999999"/>
    <x v="0"/>
  </r>
  <r>
    <s v="Rural"/>
    <n v="2017"/>
    <s v="September"/>
    <x v="57"/>
    <s v="Meat and fish"/>
    <n v="142"/>
    <x v="0"/>
  </r>
  <r>
    <s v="Rural"/>
    <n v="2017"/>
    <s v="September"/>
    <x v="57"/>
    <s v="Egg"/>
    <n v="130.5"/>
    <x v="0"/>
  </r>
  <r>
    <s v="Rural"/>
    <n v="2017"/>
    <s v="September"/>
    <x v="57"/>
    <s v="Milk and products"/>
    <n v="140.19999999999999"/>
    <x v="0"/>
  </r>
  <r>
    <s v="Rural"/>
    <n v="2017"/>
    <s v="September"/>
    <x v="57"/>
    <s v="Oils and fats"/>
    <n v="120.7"/>
    <x v="0"/>
  </r>
  <r>
    <s v="Rural"/>
    <n v="2017"/>
    <s v="September"/>
    <x v="57"/>
    <s v="Fruits"/>
    <n v="147.80000000000001"/>
    <x v="0"/>
  </r>
  <r>
    <s v="Rural"/>
    <n v="2017"/>
    <s v="September"/>
    <x v="57"/>
    <s v="Vegetables"/>
    <n v="154.5"/>
    <x v="0"/>
  </r>
  <r>
    <s v="Rural"/>
    <n v="2017"/>
    <s v="September"/>
    <x v="57"/>
    <s v="Pulses and products"/>
    <n v="137.1"/>
    <x v="0"/>
  </r>
  <r>
    <s v="Rural"/>
    <n v="2017"/>
    <s v="September"/>
    <x v="57"/>
    <s v="Sugar and Confectionery"/>
    <n v="121"/>
    <x v="0"/>
  </r>
  <r>
    <s v="Rural"/>
    <n v="2017"/>
    <s v="September"/>
    <x v="57"/>
    <s v="Spices"/>
    <n v="134.69999999999999"/>
    <x v="0"/>
  </r>
  <r>
    <s v="Rural"/>
    <n v="2017"/>
    <s v="September"/>
    <x v="57"/>
    <s v="Non-alcoholic beverages"/>
    <n v="131.69999999999999"/>
    <x v="0"/>
  </r>
  <r>
    <s v="Rural"/>
    <n v="2017"/>
    <s v="September"/>
    <x v="57"/>
    <s v="Prepared meals, snacks, sweets etc."/>
    <n v="149.30000000000001"/>
    <x v="0"/>
  </r>
  <r>
    <s v="Rural"/>
    <n v="2017"/>
    <s v="September"/>
    <x v="57"/>
    <s v="Food and beverages"/>
    <n v="139.6"/>
    <x v="0"/>
  </r>
  <r>
    <s v="Rural"/>
    <n v="2017"/>
    <s v="September"/>
    <x v="57"/>
    <s v="Pan, tobacco and intoxicants"/>
    <n v="149.80000000000001"/>
    <x v="1"/>
  </r>
  <r>
    <s v="Rural"/>
    <n v="2017"/>
    <s v="September"/>
    <x v="57"/>
    <s v="Clothing"/>
    <n v="146.1"/>
    <x v="2"/>
  </r>
  <r>
    <s v="Rural"/>
    <n v="2017"/>
    <s v="September"/>
    <x v="57"/>
    <s v="Footwear"/>
    <n v="139.69999999999999"/>
    <x v="2"/>
  </r>
  <r>
    <s v="Rural"/>
    <n v="2017"/>
    <s v="September"/>
    <x v="57"/>
    <s v="Clothing and footwear"/>
    <n v="145.19999999999999"/>
    <x v="2"/>
  </r>
  <r>
    <s v="Rural"/>
    <n v="2017"/>
    <s v="September"/>
    <x v="57"/>
    <s v="Fuel and light"/>
    <n v="137.4"/>
    <x v="3"/>
  </r>
  <r>
    <s v="Rural"/>
    <n v="2017"/>
    <s v="September"/>
    <x v="57"/>
    <s v="Household goods and services"/>
    <n v="137.9"/>
    <x v="4"/>
  </r>
  <r>
    <s v="Rural"/>
    <n v="2017"/>
    <s v="September"/>
    <x v="57"/>
    <s v="Health"/>
    <n v="133.4"/>
    <x v="5"/>
  </r>
  <r>
    <s v="Rural"/>
    <n v="2017"/>
    <s v="September"/>
    <x v="57"/>
    <s v="Transport and communication"/>
    <n v="121.2"/>
    <x v="6"/>
  </r>
  <r>
    <s v="Rural"/>
    <n v="2017"/>
    <s v="September"/>
    <x v="57"/>
    <s v="Recreation and amusement"/>
    <n v="132.30000000000001"/>
    <x v="1"/>
  </r>
  <r>
    <s v="Rural"/>
    <n v="2017"/>
    <s v="September"/>
    <x v="57"/>
    <s v="Education"/>
    <n v="139.6"/>
    <x v="7"/>
  </r>
  <r>
    <s v="Rural"/>
    <n v="2017"/>
    <s v="September"/>
    <x v="57"/>
    <s v="Personal care and effects"/>
    <n v="126.7"/>
    <x v="4"/>
  </r>
  <r>
    <s v="Rural"/>
    <n v="2017"/>
    <s v="September"/>
    <x v="57"/>
    <s v="Miscellaneous"/>
    <n v="130.30000000000001"/>
    <x v="8"/>
  </r>
  <r>
    <s v="Rural"/>
    <n v="2017"/>
    <s v="September"/>
    <x v="57"/>
    <s v="General index"/>
    <n v="137.6"/>
    <x v="9"/>
  </r>
  <r>
    <s v="Urban"/>
    <n v="2017"/>
    <s v="September"/>
    <x v="57"/>
    <s v="Cereals and products"/>
    <n v="133.6"/>
    <x v="0"/>
  </r>
  <r>
    <s v="Urban"/>
    <n v="2017"/>
    <s v="September"/>
    <x v="57"/>
    <s v="Meat and fish"/>
    <n v="143"/>
    <x v="0"/>
  </r>
  <r>
    <s v="Urban"/>
    <n v="2017"/>
    <s v="September"/>
    <x v="57"/>
    <s v="Egg"/>
    <n v="129.69999999999999"/>
    <x v="0"/>
  </r>
  <r>
    <s v="Urban"/>
    <n v="2017"/>
    <s v="September"/>
    <x v="57"/>
    <s v="Milk and products"/>
    <n v="138.69999999999999"/>
    <x v="0"/>
  </r>
  <r>
    <s v="Urban"/>
    <n v="2017"/>
    <s v="September"/>
    <x v="57"/>
    <s v="Oils and fats"/>
    <n v="114.5"/>
    <x v="0"/>
  </r>
  <r>
    <s v="Urban"/>
    <n v="2017"/>
    <s v="September"/>
    <x v="57"/>
    <s v="Fruits"/>
    <n v="137.5"/>
    <x v="0"/>
  </r>
  <r>
    <s v="Urban"/>
    <n v="2017"/>
    <s v="September"/>
    <x v="57"/>
    <s v="Vegetables"/>
    <n v="160.69999999999999"/>
    <x v="0"/>
  </r>
  <r>
    <s v="Urban"/>
    <n v="2017"/>
    <s v="September"/>
    <x v="57"/>
    <s v="Pulses and products"/>
    <n v="124.5"/>
    <x v="0"/>
  </r>
  <r>
    <s v="Urban"/>
    <n v="2017"/>
    <s v="September"/>
    <x v="57"/>
    <s v="Sugar and Confectionery"/>
    <n v="122.4"/>
    <x v="0"/>
  </r>
  <r>
    <s v="Urban"/>
    <n v="2017"/>
    <s v="September"/>
    <x v="57"/>
    <s v="Spices"/>
    <n v="137.30000000000001"/>
    <x v="0"/>
  </r>
  <r>
    <s v="Urban"/>
    <n v="2017"/>
    <s v="September"/>
    <x v="57"/>
    <s v="Non-alcoholic beverages"/>
    <n v="124.8"/>
    <x v="0"/>
  </r>
  <r>
    <s v="Urban"/>
    <n v="2017"/>
    <s v="September"/>
    <x v="57"/>
    <s v="Prepared meals, snacks, sweets etc."/>
    <n v="145"/>
    <x v="0"/>
  </r>
  <r>
    <s v="Urban"/>
    <n v="2017"/>
    <s v="September"/>
    <x v="57"/>
    <s v="Food and beverages"/>
    <n v="138"/>
    <x v="0"/>
  </r>
  <r>
    <s v="Urban"/>
    <n v="2017"/>
    <s v="September"/>
    <x v="57"/>
    <s v="Pan, tobacco and intoxicants"/>
    <n v="153.6"/>
    <x v="1"/>
  </r>
  <r>
    <s v="Urban"/>
    <n v="2017"/>
    <s v="September"/>
    <x v="57"/>
    <s v="Clothing"/>
    <n v="133.30000000000001"/>
    <x v="2"/>
  </r>
  <r>
    <s v="Urban"/>
    <n v="2017"/>
    <s v="September"/>
    <x v="57"/>
    <s v="Footwear"/>
    <n v="124.6"/>
    <x v="2"/>
  </r>
  <r>
    <s v="Urban"/>
    <n v="2017"/>
    <s v="September"/>
    <x v="57"/>
    <s v="Clothing and footwear"/>
    <n v="132"/>
    <x v="2"/>
  </r>
  <r>
    <s v="Urban"/>
    <n v="2017"/>
    <s v="September"/>
    <x v="57"/>
    <s v="Housing"/>
    <n v="135.69999999999999"/>
    <x v="10"/>
  </r>
  <r>
    <s v="Urban"/>
    <n v="2017"/>
    <s v="September"/>
    <x v="57"/>
    <s v="Fuel and light"/>
    <n v="120.6"/>
    <x v="3"/>
  </r>
  <r>
    <s v="Urban"/>
    <n v="2017"/>
    <s v="September"/>
    <x v="57"/>
    <s v="Household goods and services"/>
    <n v="128.1"/>
    <x v="4"/>
  </r>
  <r>
    <s v="Urban"/>
    <n v="2017"/>
    <s v="September"/>
    <x v="57"/>
    <s v="Health"/>
    <n v="126.1"/>
    <x v="5"/>
  </r>
  <r>
    <s v="Urban"/>
    <n v="2017"/>
    <s v="September"/>
    <x v="57"/>
    <s v="Transport and communication"/>
    <n v="115.7"/>
    <x v="6"/>
  </r>
  <r>
    <s v="Urban"/>
    <n v="2017"/>
    <s v="September"/>
    <x v="57"/>
    <s v="Recreation and amusement"/>
    <n v="124.5"/>
    <x v="1"/>
  </r>
  <r>
    <s v="Urban"/>
    <n v="2017"/>
    <s v="September"/>
    <x v="57"/>
    <s v="Education"/>
    <n v="135.9"/>
    <x v="7"/>
  </r>
  <r>
    <s v="Urban"/>
    <n v="2017"/>
    <s v="September"/>
    <x v="57"/>
    <s v="Personal care and effects"/>
    <n v="124.4"/>
    <x v="4"/>
  </r>
  <r>
    <s v="Urban"/>
    <n v="2017"/>
    <s v="September"/>
    <x v="57"/>
    <s v="Miscellaneous"/>
    <n v="124.5"/>
    <x v="8"/>
  </r>
  <r>
    <s v="Urban"/>
    <n v="2017"/>
    <s v="September"/>
    <x v="57"/>
    <s v="General index"/>
    <n v="132.4"/>
    <x v="9"/>
  </r>
  <r>
    <s v="Rural+Urban"/>
    <n v="2017"/>
    <s v="September"/>
    <x v="57"/>
    <s v="Cereals and products"/>
    <n v="134.69999999999999"/>
    <x v="0"/>
  </r>
  <r>
    <s v="Rural+Urban"/>
    <n v="2017"/>
    <s v="September"/>
    <x v="57"/>
    <s v="Meat and fish"/>
    <n v="142.4"/>
    <x v="0"/>
  </r>
  <r>
    <s v="Rural+Urban"/>
    <n v="2017"/>
    <s v="September"/>
    <x v="57"/>
    <s v="Egg"/>
    <n v="130.19999999999999"/>
    <x v="0"/>
  </r>
  <r>
    <s v="Rural+Urban"/>
    <n v="2017"/>
    <s v="September"/>
    <x v="57"/>
    <s v="Milk and products"/>
    <n v="139.6"/>
    <x v="0"/>
  </r>
  <r>
    <s v="Rural+Urban"/>
    <n v="2017"/>
    <s v="September"/>
    <x v="57"/>
    <s v="Oils and fats"/>
    <n v="118.4"/>
    <x v="0"/>
  </r>
  <r>
    <s v="Rural+Urban"/>
    <n v="2017"/>
    <s v="September"/>
    <x v="57"/>
    <s v="Fruits"/>
    <n v="143"/>
    <x v="0"/>
  </r>
  <r>
    <s v="Rural+Urban"/>
    <n v="2017"/>
    <s v="September"/>
    <x v="57"/>
    <s v="Vegetables"/>
    <n v="156.6"/>
    <x v="0"/>
  </r>
  <r>
    <s v="Rural+Urban"/>
    <n v="2017"/>
    <s v="September"/>
    <x v="57"/>
    <s v="Pulses and products"/>
    <n v="132.9"/>
    <x v="0"/>
  </r>
  <r>
    <s v="Rural+Urban"/>
    <n v="2017"/>
    <s v="September"/>
    <x v="57"/>
    <s v="Sugar and Confectionery"/>
    <n v="121.5"/>
    <x v="0"/>
  </r>
  <r>
    <s v="Rural+Urban"/>
    <n v="2017"/>
    <s v="September"/>
    <x v="57"/>
    <s v="Spices"/>
    <n v="135.6"/>
    <x v="0"/>
  </r>
  <r>
    <s v="Rural+Urban"/>
    <n v="2017"/>
    <s v="September"/>
    <x v="57"/>
    <s v="Non-alcoholic beverages"/>
    <n v="128.80000000000001"/>
    <x v="0"/>
  </r>
  <r>
    <s v="Rural+Urban"/>
    <n v="2017"/>
    <s v="September"/>
    <x v="57"/>
    <s v="Prepared meals, snacks, sweets etc."/>
    <n v="147.30000000000001"/>
    <x v="0"/>
  </r>
  <r>
    <s v="Rural+Urban"/>
    <n v="2017"/>
    <s v="September"/>
    <x v="57"/>
    <s v="Food and beverages"/>
    <n v="139"/>
    <x v="0"/>
  </r>
  <r>
    <s v="Rural+Urban"/>
    <n v="2017"/>
    <s v="September"/>
    <x v="57"/>
    <s v="Pan, tobacco and intoxicants"/>
    <n v="150.80000000000001"/>
    <x v="1"/>
  </r>
  <r>
    <s v="Rural+Urban"/>
    <n v="2017"/>
    <s v="September"/>
    <x v="57"/>
    <s v="Clothing"/>
    <n v="141.1"/>
    <x v="2"/>
  </r>
  <r>
    <s v="Rural+Urban"/>
    <n v="2017"/>
    <s v="September"/>
    <x v="57"/>
    <s v="Footwear"/>
    <n v="133.4"/>
    <x v="2"/>
  </r>
  <r>
    <s v="Rural+Urban"/>
    <n v="2017"/>
    <s v="September"/>
    <x v="57"/>
    <s v="Clothing and footwear"/>
    <n v="140"/>
    <x v="2"/>
  </r>
  <r>
    <s v="Rural+Urban"/>
    <n v="2017"/>
    <s v="September"/>
    <x v="57"/>
    <s v="Housing"/>
    <n v="135.69999999999999"/>
    <x v="10"/>
  </r>
  <r>
    <s v="Rural+Urban"/>
    <n v="2017"/>
    <s v="September"/>
    <x v="57"/>
    <s v="Fuel and light"/>
    <n v="131"/>
    <x v="3"/>
  </r>
  <r>
    <s v="Rural+Urban"/>
    <n v="2017"/>
    <s v="September"/>
    <x v="57"/>
    <s v="Household goods and services"/>
    <n v="133.30000000000001"/>
    <x v="4"/>
  </r>
  <r>
    <s v="Rural+Urban"/>
    <n v="2017"/>
    <s v="September"/>
    <x v="57"/>
    <s v="Health"/>
    <n v="130.6"/>
    <x v="5"/>
  </r>
  <r>
    <s v="Rural+Urban"/>
    <n v="2017"/>
    <s v="September"/>
    <x v="57"/>
    <s v="Transport and communication"/>
    <n v="118.3"/>
    <x v="6"/>
  </r>
  <r>
    <s v="Rural+Urban"/>
    <n v="2017"/>
    <s v="September"/>
    <x v="57"/>
    <s v="Recreation and amusement"/>
    <n v="127.9"/>
    <x v="1"/>
  </r>
  <r>
    <s v="Rural+Urban"/>
    <n v="2017"/>
    <s v="September"/>
    <x v="57"/>
    <s v="Education"/>
    <n v="137.4"/>
    <x v="7"/>
  </r>
  <r>
    <s v="Rural+Urban"/>
    <n v="2017"/>
    <s v="September"/>
    <x v="57"/>
    <s v="Personal care and effects"/>
    <n v="125.7"/>
    <x v="4"/>
  </r>
  <r>
    <s v="Rural+Urban"/>
    <n v="2017"/>
    <s v="September"/>
    <x v="57"/>
    <s v="Miscellaneous"/>
    <n v="127.5"/>
    <x v="8"/>
  </r>
  <r>
    <s v="Rural+Urban"/>
    <n v="2017"/>
    <s v="September"/>
    <x v="57"/>
    <s v="General index"/>
    <n v="135.19999999999999"/>
    <x v="9"/>
  </r>
  <r>
    <s v="Rural"/>
    <n v="2017"/>
    <s v="October"/>
    <x v="58"/>
    <s v="Cereals and products"/>
    <n v="135.9"/>
    <x v="0"/>
  </r>
  <r>
    <s v="Rural"/>
    <n v="2017"/>
    <s v="October"/>
    <x v="58"/>
    <s v="Meat and fish"/>
    <n v="141.9"/>
    <x v="0"/>
  </r>
  <r>
    <s v="Rural"/>
    <n v="2017"/>
    <s v="October"/>
    <x v="58"/>
    <s v="Egg"/>
    <n v="131"/>
    <x v="0"/>
  </r>
  <r>
    <s v="Rural"/>
    <n v="2017"/>
    <s v="October"/>
    <x v="58"/>
    <s v="Milk and products"/>
    <n v="141.5"/>
    <x v="0"/>
  </r>
  <r>
    <s v="Rural"/>
    <n v="2017"/>
    <s v="October"/>
    <x v="58"/>
    <s v="Oils and fats"/>
    <n v="121.4"/>
    <x v="0"/>
  </r>
  <r>
    <s v="Rural"/>
    <n v="2017"/>
    <s v="October"/>
    <x v="58"/>
    <s v="Fruits"/>
    <n v="146.69999999999999"/>
    <x v="0"/>
  </r>
  <r>
    <s v="Rural"/>
    <n v="2017"/>
    <s v="October"/>
    <x v="58"/>
    <s v="Vegetables"/>
    <n v="157.1"/>
    <x v="0"/>
  </r>
  <r>
    <s v="Rural"/>
    <n v="2017"/>
    <s v="October"/>
    <x v="58"/>
    <s v="Pulses and products"/>
    <n v="136.4"/>
    <x v="0"/>
  </r>
  <r>
    <s v="Rural"/>
    <n v="2017"/>
    <s v="October"/>
    <x v="58"/>
    <s v="Sugar and Confectionery"/>
    <n v="121.4"/>
    <x v="0"/>
  </r>
  <r>
    <s v="Rural"/>
    <n v="2017"/>
    <s v="October"/>
    <x v="58"/>
    <s v="Spices"/>
    <n v="135.6"/>
    <x v="0"/>
  </r>
  <r>
    <s v="Rural"/>
    <n v="2017"/>
    <s v="October"/>
    <x v="58"/>
    <s v="Non-alcoholic beverages"/>
    <n v="131.30000000000001"/>
    <x v="0"/>
  </r>
  <r>
    <s v="Rural"/>
    <n v="2017"/>
    <s v="October"/>
    <x v="58"/>
    <s v="Prepared meals, snacks, sweets etc."/>
    <n v="150.30000000000001"/>
    <x v="0"/>
  </r>
  <r>
    <s v="Rural"/>
    <n v="2017"/>
    <s v="October"/>
    <x v="58"/>
    <s v="Food and beverages"/>
    <n v="140.4"/>
    <x v="0"/>
  </r>
  <r>
    <s v="Rural"/>
    <n v="2017"/>
    <s v="October"/>
    <x v="58"/>
    <s v="Pan, tobacco and intoxicants"/>
    <n v="150.5"/>
    <x v="1"/>
  </r>
  <r>
    <s v="Rural"/>
    <n v="2017"/>
    <s v="October"/>
    <x v="58"/>
    <s v="Clothing"/>
    <n v="147.19999999999999"/>
    <x v="2"/>
  </r>
  <r>
    <s v="Rural"/>
    <n v="2017"/>
    <s v="October"/>
    <x v="58"/>
    <s v="Footwear"/>
    <n v="140.6"/>
    <x v="2"/>
  </r>
  <r>
    <s v="Rural"/>
    <n v="2017"/>
    <s v="October"/>
    <x v="58"/>
    <s v="Clothing and footwear"/>
    <n v="146.19999999999999"/>
    <x v="2"/>
  </r>
  <r>
    <s v="Rural"/>
    <n v="2017"/>
    <s v="October"/>
    <x v="58"/>
    <s v="Fuel and light"/>
    <n v="138.1"/>
    <x v="3"/>
  </r>
  <r>
    <s v="Rural"/>
    <n v="2017"/>
    <s v="October"/>
    <x v="58"/>
    <s v="Household goods and services"/>
    <n v="138.4"/>
    <x v="4"/>
  </r>
  <r>
    <s v="Rural"/>
    <n v="2017"/>
    <s v="October"/>
    <x v="58"/>
    <s v="Health"/>
    <n v="134.19999999999999"/>
    <x v="5"/>
  </r>
  <r>
    <s v="Rural"/>
    <n v="2017"/>
    <s v="October"/>
    <x v="58"/>
    <s v="Transport and communication"/>
    <n v="121"/>
    <x v="6"/>
  </r>
  <r>
    <s v="Rural"/>
    <n v="2017"/>
    <s v="October"/>
    <x v="58"/>
    <s v="Recreation and amusement"/>
    <n v="133"/>
    <x v="1"/>
  </r>
  <r>
    <s v="Rural"/>
    <n v="2017"/>
    <s v="October"/>
    <x v="58"/>
    <s v="Education"/>
    <n v="140.1"/>
    <x v="7"/>
  </r>
  <r>
    <s v="Rural"/>
    <n v="2017"/>
    <s v="October"/>
    <x v="58"/>
    <s v="Personal care and effects"/>
    <n v="127.4"/>
    <x v="4"/>
  </r>
  <r>
    <s v="Rural"/>
    <n v="2017"/>
    <s v="October"/>
    <x v="58"/>
    <s v="Miscellaneous"/>
    <n v="130.69999999999999"/>
    <x v="8"/>
  </r>
  <r>
    <s v="Rural"/>
    <n v="2017"/>
    <s v="October"/>
    <x v="58"/>
    <s v="General index"/>
    <n v="138.30000000000001"/>
    <x v="9"/>
  </r>
  <r>
    <s v="Urban"/>
    <n v="2017"/>
    <s v="October"/>
    <x v="58"/>
    <s v="Cereals and products"/>
    <n v="133.9"/>
    <x v="0"/>
  </r>
  <r>
    <s v="Urban"/>
    <n v="2017"/>
    <s v="October"/>
    <x v="58"/>
    <s v="Meat and fish"/>
    <n v="142.80000000000001"/>
    <x v="0"/>
  </r>
  <r>
    <s v="Urban"/>
    <n v="2017"/>
    <s v="October"/>
    <x v="58"/>
    <s v="Egg"/>
    <n v="131.4"/>
    <x v="0"/>
  </r>
  <r>
    <s v="Urban"/>
    <n v="2017"/>
    <s v="October"/>
    <x v="58"/>
    <s v="Milk and products"/>
    <n v="139.1"/>
    <x v="0"/>
  </r>
  <r>
    <s v="Urban"/>
    <n v="2017"/>
    <s v="October"/>
    <x v="58"/>
    <s v="Oils and fats"/>
    <n v="114.9"/>
    <x v="0"/>
  </r>
  <r>
    <s v="Urban"/>
    <n v="2017"/>
    <s v="October"/>
    <x v="58"/>
    <s v="Fruits"/>
    <n v="135.6"/>
    <x v="0"/>
  </r>
  <r>
    <s v="Urban"/>
    <n v="2017"/>
    <s v="October"/>
    <x v="58"/>
    <s v="Vegetables"/>
    <n v="173.2"/>
    <x v="0"/>
  </r>
  <r>
    <s v="Urban"/>
    <n v="2017"/>
    <s v="October"/>
    <x v="58"/>
    <s v="Pulses and products"/>
    <n v="124.1"/>
    <x v="0"/>
  </r>
  <r>
    <s v="Urban"/>
    <n v="2017"/>
    <s v="October"/>
    <x v="58"/>
    <s v="Sugar and Confectionery"/>
    <n v="122.6"/>
    <x v="0"/>
  </r>
  <r>
    <s v="Urban"/>
    <n v="2017"/>
    <s v="October"/>
    <x v="58"/>
    <s v="Spices"/>
    <n v="137.80000000000001"/>
    <x v="0"/>
  </r>
  <r>
    <s v="Urban"/>
    <n v="2017"/>
    <s v="October"/>
    <x v="58"/>
    <s v="Non-alcoholic beverages"/>
    <n v="125.1"/>
    <x v="0"/>
  </r>
  <r>
    <s v="Urban"/>
    <n v="2017"/>
    <s v="October"/>
    <x v="58"/>
    <s v="Prepared meals, snacks, sweets etc."/>
    <n v="145.5"/>
    <x v="0"/>
  </r>
  <r>
    <s v="Urban"/>
    <n v="2017"/>
    <s v="October"/>
    <x v="58"/>
    <s v="Food and beverages"/>
    <n v="139.69999999999999"/>
    <x v="0"/>
  </r>
  <r>
    <s v="Urban"/>
    <n v="2017"/>
    <s v="October"/>
    <x v="58"/>
    <s v="Pan, tobacco and intoxicants"/>
    <n v="154.6"/>
    <x v="1"/>
  </r>
  <r>
    <s v="Urban"/>
    <n v="2017"/>
    <s v="October"/>
    <x v="58"/>
    <s v="Clothing"/>
    <n v="134"/>
    <x v="2"/>
  </r>
  <r>
    <s v="Urban"/>
    <n v="2017"/>
    <s v="October"/>
    <x v="58"/>
    <s v="Footwear"/>
    <n v="124.9"/>
    <x v="2"/>
  </r>
  <r>
    <s v="Urban"/>
    <n v="2017"/>
    <s v="October"/>
    <x v="58"/>
    <s v="Clothing and footwear"/>
    <n v="132.6"/>
    <x v="2"/>
  </r>
  <r>
    <s v="Urban"/>
    <n v="2017"/>
    <s v="October"/>
    <x v="58"/>
    <s v="Housing"/>
    <n v="137.30000000000001"/>
    <x v="10"/>
  </r>
  <r>
    <s v="Urban"/>
    <n v="2017"/>
    <s v="October"/>
    <x v="58"/>
    <s v="Fuel and light"/>
    <n v="122.6"/>
    <x v="3"/>
  </r>
  <r>
    <s v="Urban"/>
    <n v="2017"/>
    <s v="October"/>
    <x v="58"/>
    <s v="Household goods and services"/>
    <n v="128.30000000000001"/>
    <x v="4"/>
  </r>
  <r>
    <s v="Urban"/>
    <n v="2017"/>
    <s v="October"/>
    <x v="58"/>
    <s v="Health"/>
    <n v="126.6"/>
    <x v="5"/>
  </r>
  <r>
    <s v="Urban"/>
    <n v="2017"/>
    <s v="October"/>
    <x v="58"/>
    <s v="Transport and communication"/>
    <n v="115"/>
    <x v="6"/>
  </r>
  <r>
    <s v="Urban"/>
    <n v="2017"/>
    <s v="October"/>
    <x v="58"/>
    <s v="Recreation and amusement"/>
    <n v="124.8"/>
    <x v="1"/>
  </r>
  <r>
    <s v="Urban"/>
    <n v="2017"/>
    <s v="October"/>
    <x v="58"/>
    <s v="Education"/>
    <n v="136.30000000000001"/>
    <x v="7"/>
  </r>
  <r>
    <s v="Urban"/>
    <n v="2017"/>
    <s v="October"/>
    <x v="58"/>
    <s v="Personal care and effects"/>
    <n v="124.6"/>
    <x v="4"/>
  </r>
  <r>
    <s v="Urban"/>
    <n v="2017"/>
    <s v="October"/>
    <x v="58"/>
    <s v="Miscellaneous"/>
    <n v="124.5"/>
    <x v="8"/>
  </r>
  <r>
    <s v="Urban"/>
    <n v="2017"/>
    <s v="October"/>
    <x v="58"/>
    <s v="General index"/>
    <n v="133.5"/>
    <x v="9"/>
  </r>
  <r>
    <s v="Rural+Urban"/>
    <n v="2017"/>
    <s v="October"/>
    <x v="58"/>
    <s v="Cereals and products"/>
    <n v="135.30000000000001"/>
    <x v="0"/>
  </r>
  <r>
    <s v="Rural+Urban"/>
    <n v="2017"/>
    <s v="October"/>
    <x v="58"/>
    <s v="Meat and fish"/>
    <n v="142.19999999999999"/>
    <x v="0"/>
  </r>
  <r>
    <s v="Rural+Urban"/>
    <n v="2017"/>
    <s v="October"/>
    <x v="58"/>
    <s v="Egg"/>
    <n v="131.19999999999999"/>
    <x v="0"/>
  </r>
  <r>
    <s v="Rural+Urban"/>
    <n v="2017"/>
    <s v="October"/>
    <x v="58"/>
    <s v="Milk and products"/>
    <n v="140.6"/>
    <x v="0"/>
  </r>
  <r>
    <s v="Rural+Urban"/>
    <n v="2017"/>
    <s v="October"/>
    <x v="58"/>
    <s v="Oils and fats"/>
    <n v="119"/>
    <x v="0"/>
  </r>
  <r>
    <s v="Rural+Urban"/>
    <n v="2017"/>
    <s v="October"/>
    <x v="58"/>
    <s v="Fruits"/>
    <n v="141.5"/>
    <x v="0"/>
  </r>
  <r>
    <s v="Rural+Urban"/>
    <n v="2017"/>
    <s v="October"/>
    <x v="58"/>
    <s v="Vegetables"/>
    <n v="162.6"/>
    <x v="0"/>
  </r>
  <r>
    <s v="Rural+Urban"/>
    <n v="2017"/>
    <s v="October"/>
    <x v="58"/>
    <s v="Pulses and products"/>
    <n v="132.30000000000001"/>
    <x v="0"/>
  </r>
  <r>
    <s v="Rural+Urban"/>
    <n v="2017"/>
    <s v="October"/>
    <x v="58"/>
    <s v="Sugar and Confectionery"/>
    <n v="121.8"/>
    <x v="0"/>
  </r>
  <r>
    <s v="Rural+Urban"/>
    <n v="2017"/>
    <s v="October"/>
    <x v="58"/>
    <s v="Spices"/>
    <n v="136.30000000000001"/>
    <x v="0"/>
  </r>
  <r>
    <s v="Rural+Urban"/>
    <n v="2017"/>
    <s v="October"/>
    <x v="58"/>
    <s v="Non-alcoholic beverages"/>
    <n v="128.69999999999999"/>
    <x v="0"/>
  </r>
  <r>
    <s v="Rural+Urban"/>
    <n v="2017"/>
    <s v="October"/>
    <x v="58"/>
    <s v="Prepared meals, snacks, sweets etc."/>
    <n v="148.1"/>
    <x v="0"/>
  </r>
  <r>
    <s v="Rural+Urban"/>
    <n v="2017"/>
    <s v="October"/>
    <x v="58"/>
    <s v="Food and beverages"/>
    <n v="140.1"/>
    <x v="0"/>
  </r>
  <r>
    <s v="Rural+Urban"/>
    <n v="2017"/>
    <s v="October"/>
    <x v="58"/>
    <s v="Pan, tobacco and intoxicants"/>
    <n v="151.6"/>
    <x v="1"/>
  </r>
  <r>
    <s v="Rural+Urban"/>
    <n v="2017"/>
    <s v="October"/>
    <x v="58"/>
    <s v="Clothing"/>
    <n v="142"/>
    <x v="2"/>
  </r>
  <r>
    <s v="Rural+Urban"/>
    <n v="2017"/>
    <s v="October"/>
    <x v="58"/>
    <s v="Footwear"/>
    <n v="134.1"/>
    <x v="2"/>
  </r>
  <r>
    <s v="Rural+Urban"/>
    <n v="2017"/>
    <s v="October"/>
    <x v="58"/>
    <s v="Clothing and footwear"/>
    <n v="140.80000000000001"/>
    <x v="2"/>
  </r>
  <r>
    <s v="Rural+Urban"/>
    <n v="2017"/>
    <s v="October"/>
    <x v="58"/>
    <s v="Housing"/>
    <n v="137.30000000000001"/>
    <x v="10"/>
  </r>
  <r>
    <s v="Rural+Urban"/>
    <n v="2017"/>
    <s v="October"/>
    <x v="58"/>
    <s v="Fuel and light"/>
    <n v="132.19999999999999"/>
    <x v="3"/>
  </r>
  <r>
    <s v="Rural+Urban"/>
    <n v="2017"/>
    <s v="October"/>
    <x v="58"/>
    <s v="Household goods and services"/>
    <n v="133.6"/>
    <x v="4"/>
  </r>
  <r>
    <s v="Rural+Urban"/>
    <n v="2017"/>
    <s v="October"/>
    <x v="58"/>
    <s v="Health"/>
    <n v="131.30000000000001"/>
    <x v="5"/>
  </r>
  <r>
    <s v="Rural+Urban"/>
    <n v="2017"/>
    <s v="October"/>
    <x v="58"/>
    <s v="Transport and communication"/>
    <n v="117.8"/>
    <x v="6"/>
  </r>
  <r>
    <s v="Rural+Urban"/>
    <n v="2017"/>
    <s v="October"/>
    <x v="58"/>
    <s v="Recreation and amusement"/>
    <n v="128.4"/>
    <x v="1"/>
  </r>
  <r>
    <s v="Rural+Urban"/>
    <n v="2017"/>
    <s v="October"/>
    <x v="58"/>
    <s v="Education"/>
    <n v="137.9"/>
    <x v="7"/>
  </r>
  <r>
    <s v="Rural+Urban"/>
    <n v="2017"/>
    <s v="October"/>
    <x v="58"/>
    <s v="Personal care and effects"/>
    <n v="126.2"/>
    <x v="4"/>
  </r>
  <r>
    <s v="Rural+Urban"/>
    <n v="2017"/>
    <s v="October"/>
    <x v="58"/>
    <s v="Miscellaneous"/>
    <n v="127.7"/>
    <x v="8"/>
  </r>
  <r>
    <s v="Rural+Urban"/>
    <n v="2017"/>
    <s v="October"/>
    <x v="58"/>
    <s v="General index"/>
    <n v="136.1"/>
    <x v="9"/>
  </r>
  <r>
    <s v="Rural"/>
    <n v="2017"/>
    <s v="November"/>
    <x v="59"/>
    <s v="Cereals and products"/>
    <n v="136.30000000000001"/>
    <x v="0"/>
  </r>
  <r>
    <s v="Rural"/>
    <n v="2017"/>
    <s v="November"/>
    <x v="59"/>
    <s v="Meat and fish"/>
    <n v="142.5"/>
    <x v="0"/>
  </r>
  <r>
    <s v="Rural"/>
    <n v="2017"/>
    <s v="November"/>
    <x v="59"/>
    <s v="Egg"/>
    <n v="140.5"/>
    <x v="0"/>
  </r>
  <r>
    <s v="Rural"/>
    <n v="2017"/>
    <s v="November"/>
    <x v="59"/>
    <s v="Milk and products"/>
    <n v="141.5"/>
    <x v="0"/>
  </r>
  <r>
    <s v="Rural"/>
    <n v="2017"/>
    <s v="November"/>
    <x v="59"/>
    <s v="Oils and fats"/>
    <n v="121.6"/>
    <x v="0"/>
  </r>
  <r>
    <s v="Rural"/>
    <n v="2017"/>
    <s v="November"/>
    <x v="59"/>
    <s v="Fruits"/>
    <n v="147.30000000000001"/>
    <x v="0"/>
  </r>
  <r>
    <s v="Rural"/>
    <n v="2017"/>
    <s v="November"/>
    <x v="59"/>
    <s v="Vegetables"/>
    <n v="168"/>
    <x v="0"/>
  </r>
  <r>
    <s v="Rural"/>
    <n v="2017"/>
    <s v="November"/>
    <x v="59"/>
    <s v="Pulses and products"/>
    <n v="135.80000000000001"/>
    <x v="0"/>
  </r>
  <r>
    <s v="Rural"/>
    <n v="2017"/>
    <s v="November"/>
    <x v="59"/>
    <s v="Sugar and Confectionery"/>
    <n v="122.5"/>
    <x v="0"/>
  </r>
  <r>
    <s v="Rural"/>
    <n v="2017"/>
    <s v="November"/>
    <x v="59"/>
    <s v="Spices"/>
    <n v="136"/>
    <x v="0"/>
  </r>
  <r>
    <s v="Rural"/>
    <n v="2017"/>
    <s v="November"/>
    <x v="59"/>
    <s v="Non-alcoholic beverages"/>
    <n v="131.9"/>
    <x v="0"/>
  </r>
  <r>
    <s v="Rural"/>
    <n v="2017"/>
    <s v="November"/>
    <x v="59"/>
    <s v="Prepared meals, snacks, sweets etc."/>
    <n v="151.4"/>
    <x v="0"/>
  </r>
  <r>
    <s v="Rural"/>
    <n v="2017"/>
    <s v="November"/>
    <x v="59"/>
    <s v="Food and beverages"/>
    <n v="142.4"/>
    <x v="0"/>
  </r>
  <r>
    <s v="Rural"/>
    <n v="2017"/>
    <s v="November"/>
    <x v="59"/>
    <s v="Pan, tobacco and intoxicants"/>
    <n v="152.1"/>
    <x v="1"/>
  </r>
  <r>
    <s v="Rural"/>
    <n v="2017"/>
    <s v="November"/>
    <x v="59"/>
    <s v="Clothing"/>
    <n v="148.19999999999999"/>
    <x v="2"/>
  </r>
  <r>
    <s v="Rural"/>
    <n v="2017"/>
    <s v="November"/>
    <x v="59"/>
    <s v="Footwear"/>
    <n v="141.5"/>
    <x v="2"/>
  </r>
  <r>
    <s v="Rural"/>
    <n v="2017"/>
    <s v="November"/>
    <x v="59"/>
    <s v="Clothing and footwear"/>
    <n v="147.30000000000001"/>
    <x v="2"/>
  </r>
  <r>
    <s v="Rural"/>
    <n v="2017"/>
    <s v="November"/>
    <x v="59"/>
    <s v="Fuel and light"/>
    <n v="141.1"/>
    <x v="3"/>
  </r>
  <r>
    <s v="Rural"/>
    <n v="2017"/>
    <s v="November"/>
    <x v="59"/>
    <s v="Household goods and services"/>
    <n v="139.4"/>
    <x v="4"/>
  </r>
  <r>
    <s v="Rural"/>
    <n v="2017"/>
    <s v="November"/>
    <x v="59"/>
    <s v="Health"/>
    <n v="135.80000000000001"/>
    <x v="5"/>
  </r>
  <r>
    <s v="Rural"/>
    <n v="2017"/>
    <s v="November"/>
    <x v="59"/>
    <s v="Transport and communication"/>
    <n v="121.6"/>
    <x v="6"/>
  </r>
  <r>
    <s v="Rural"/>
    <n v="2017"/>
    <s v="November"/>
    <x v="59"/>
    <s v="Recreation and amusement"/>
    <n v="133.69999999999999"/>
    <x v="1"/>
  </r>
  <r>
    <s v="Rural"/>
    <n v="2017"/>
    <s v="November"/>
    <x v="59"/>
    <s v="Education"/>
    <n v="141.5"/>
    <x v="7"/>
  </r>
  <r>
    <s v="Rural"/>
    <n v="2017"/>
    <s v="November"/>
    <x v="59"/>
    <s v="Personal care and effects"/>
    <n v="128.1"/>
    <x v="4"/>
  </r>
  <r>
    <s v="Rural"/>
    <n v="2017"/>
    <s v="November"/>
    <x v="59"/>
    <s v="Miscellaneous"/>
    <n v="131.69999999999999"/>
    <x v="8"/>
  </r>
  <r>
    <s v="Rural"/>
    <n v="2017"/>
    <s v="November"/>
    <x v="59"/>
    <s v="General index"/>
    <n v="140"/>
    <x v="9"/>
  </r>
  <r>
    <s v="Urban"/>
    <n v="2017"/>
    <s v="November"/>
    <x v="59"/>
    <s v="Cereals and products"/>
    <n v="134.30000000000001"/>
    <x v="0"/>
  </r>
  <r>
    <s v="Urban"/>
    <n v="2017"/>
    <s v="November"/>
    <x v="59"/>
    <s v="Meat and fish"/>
    <n v="142.1"/>
    <x v="0"/>
  </r>
  <r>
    <s v="Urban"/>
    <n v="2017"/>
    <s v="November"/>
    <x v="59"/>
    <s v="Egg"/>
    <n v="146.69999999999999"/>
    <x v="0"/>
  </r>
  <r>
    <s v="Urban"/>
    <n v="2017"/>
    <s v="November"/>
    <x v="59"/>
    <s v="Milk and products"/>
    <n v="139.5"/>
    <x v="0"/>
  </r>
  <r>
    <s v="Urban"/>
    <n v="2017"/>
    <s v="November"/>
    <x v="59"/>
    <s v="Oils and fats"/>
    <n v="115.2"/>
    <x v="0"/>
  </r>
  <r>
    <s v="Urban"/>
    <n v="2017"/>
    <s v="November"/>
    <x v="59"/>
    <s v="Fruits"/>
    <n v="136.4"/>
    <x v="0"/>
  </r>
  <r>
    <s v="Urban"/>
    <n v="2017"/>
    <s v="November"/>
    <x v="59"/>
    <s v="Vegetables"/>
    <n v="185.2"/>
    <x v="0"/>
  </r>
  <r>
    <s v="Urban"/>
    <n v="2017"/>
    <s v="November"/>
    <x v="59"/>
    <s v="Pulses and products"/>
    <n v="122.2"/>
    <x v="0"/>
  </r>
  <r>
    <s v="Urban"/>
    <n v="2017"/>
    <s v="November"/>
    <x v="59"/>
    <s v="Sugar and Confectionery"/>
    <n v="123.9"/>
    <x v="0"/>
  </r>
  <r>
    <s v="Urban"/>
    <n v="2017"/>
    <s v="November"/>
    <x v="59"/>
    <s v="Spices"/>
    <n v="138.30000000000001"/>
    <x v="0"/>
  </r>
  <r>
    <s v="Urban"/>
    <n v="2017"/>
    <s v="November"/>
    <x v="59"/>
    <s v="Non-alcoholic beverages"/>
    <n v="125.4"/>
    <x v="0"/>
  </r>
  <r>
    <s v="Urban"/>
    <n v="2017"/>
    <s v="November"/>
    <x v="59"/>
    <s v="Prepared meals, snacks, sweets etc."/>
    <n v="146"/>
    <x v="0"/>
  </r>
  <r>
    <s v="Urban"/>
    <n v="2017"/>
    <s v="November"/>
    <x v="59"/>
    <s v="Food and beverages"/>
    <n v="141.5"/>
    <x v="0"/>
  </r>
  <r>
    <s v="Urban"/>
    <n v="2017"/>
    <s v="November"/>
    <x v="59"/>
    <s v="Pan, tobacco and intoxicants"/>
    <n v="156.19999999999999"/>
    <x v="1"/>
  </r>
  <r>
    <s v="Urban"/>
    <n v="2017"/>
    <s v="November"/>
    <x v="59"/>
    <s v="Clothing"/>
    <n v="135"/>
    <x v="2"/>
  </r>
  <r>
    <s v="Urban"/>
    <n v="2017"/>
    <s v="November"/>
    <x v="59"/>
    <s v="Footwear"/>
    <n v="125.4"/>
    <x v="2"/>
  </r>
  <r>
    <s v="Urban"/>
    <n v="2017"/>
    <s v="November"/>
    <x v="59"/>
    <s v="Clothing and footwear"/>
    <n v="133.5"/>
    <x v="2"/>
  </r>
  <r>
    <s v="Urban"/>
    <n v="2017"/>
    <s v="November"/>
    <x v="59"/>
    <s v="Housing"/>
    <n v="138.6"/>
    <x v="10"/>
  </r>
  <r>
    <s v="Urban"/>
    <n v="2017"/>
    <s v="November"/>
    <x v="59"/>
    <s v="Fuel and light"/>
    <n v="125.7"/>
    <x v="3"/>
  </r>
  <r>
    <s v="Urban"/>
    <n v="2017"/>
    <s v="November"/>
    <x v="59"/>
    <s v="Household goods and services"/>
    <n v="128.80000000000001"/>
    <x v="4"/>
  </r>
  <r>
    <s v="Urban"/>
    <n v="2017"/>
    <s v="November"/>
    <x v="59"/>
    <s v="Health"/>
    <n v="127.4"/>
    <x v="5"/>
  </r>
  <r>
    <s v="Urban"/>
    <n v="2017"/>
    <s v="November"/>
    <x v="59"/>
    <s v="Transport and communication"/>
    <n v="115.3"/>
    <x v="6"/>
  </r>
  <r>
    <s v="Urban"/>
    <n v="2017"/>
    <s v="November"/>
    <x v="59"/>
    <s v="Recreation and amusement"/>
    <n v="125.1"/>
    <x v="1"/>
  </r>
  <r>
    <s v="Urban"/>
    <n v="2017"/>
    <s v="November"/>
    <x v="59"/>
    <s v="Education"/>
    <n v="136.6"/>
    <x v="7"/>
  </r>
  <r>
    <s v="Urban"/>
    <n v="2017"/>
    <s v="November"/>
    <x v="59"/>
    <s v="Personal care and effects"/>
    <n v="124.9"/>
    <x v="4"/>
  </r>
  <r>
    <s v="Urban"/>
    <n v="2017"/>
    <s v="November"/>
    <x v="59"/>
    <s v="Miscellaneous"/>
    <n v="124.9"/>
    <x v="8"/>
  </r>
  <r>
    <s v="Urban"/>
    <n v="2017"/>
    <s v="November"/>
    <x v="59"/>
    <s v="General index"/>
    <n v="134.80000000000001"/>
    <x v="9"/>
  </r>
  <r>
    <s v="Rural+Urban"/>
    <n v="2017"/>
    <s v="November"/>
    <x v="59"/>
    <s v="Cereals and products"/>
    <n v="135.69999999999999"/>
    <x v="0"/>
  </r>
  <r>
    <s v="Rural+Urban"/>
    <n v="2017"/>
    <s v="November"/>
    <x v="59"/>
    <s v="Meat and fish"/>
    <n v="142.4"/>
    <x v="0"/>
  </r>
  <r>
    <s v="Rural+Urban"/>
    <n v="2017"/>
    <s v="November"/>
    <x v="59"/>
    <s v="Egg"/>
    <n v="142.9"/>
    <x v="0"/>
  </r>
  <r>
    <s v="Rural+Urban"/>
    <n v="2017"/>
    <s v="November"/>
    <x v="59"/>
    <s v="Milk and products"/>
    <n v="140.80000000000001"/>
    <x v="0"/>
  </r>
  <r>
    <s v="Rural+Urban"/>
    <n v="2017"/>
    <s v="November"/>
    <x v="59"/>
    <s v="Oils and fats"/>
    <n v="119.2"/>
    <x v="0"/>
  </r>
  <r>
    <s v="Rural+Urban"/>
    <n v="2017"/>
    <s v="November"/>
    <x v="59"/>
    <s v="Fruits"/>
    <n v="142.19999999999999"/>
    <x v="0"/>
  </r>
  <r>
    <s v="Rural+Urban"/>
    <n v="2017"/>
    <s v="November"/>
    <x v="59"/>
    <s v="Vegetables"/>
    <n v="173.8"/>
    <x v="0"/>
  </r>
  <r>
    <s v="Rural+Urban"/>
    <n v="2017"/>
    <s v="November"/>
    <x v="59"/>
    <s v="Pulses and products"/>
    <n v="131.19999999999999"/>
    <x v="0"/>
  </r>
  <r>
    <s v="Rural+Urban"/>
    <n v="2017"/>
    <s v="November"/>
    <x v="59"/>
    <s v="Sugar and Confectionery"/>
    <n v="123"/>
    <x v="0"/>
  </r>
  <r>
    <s v="Rural+Urban"/>
    <n v="2017"/>
    <s v="November"/>
    <x v="59"/>
    <s v="Spices"/>
    <n v="136.80000000000001"/>
    <x v="0"/>
  </r>
  <r>
    <s v="Rural+Urban"/>
    <n v="2017"/>
    <s v="November"/>
    <x v="59"/>
    <s v="Non-alcoholic beverages"/>
    <n v="129.19999999999999"/>
    <x v="0"/>
  </r>
  <r>
    <s v="Rural+Urban"/>
    <n v="2017"/>
    <s v="November"/>
    <x v="59"/>
    <s v="Prepared meals, snacks, sweets etc."/>
    <n v="148.9"/>
    <x v="0"/>
  </r>
  <r>
    <s v="Rural+Urban"/>
    <n v="2017"/>
    <s v="November"/>
    <x v="59"/>
    <s v="Food and beverages"/>
    <n v="142.1"/>
    <x v="0"/>
  </r>
  <r>
    <s v="Rural+Urban"/>
    <n v="2017"/>
    <s v="November"/>
    <x v="59"/>
    <s v="Pan, tobacco and intoxicants"/>
    <n v="153.19999999999999"/>
    <x v="1"/>
  </r>
  <r>
    <s v="Rural+Urban"/>
    <n v="2017"/>
    <s v="November"/>
    <x v="59"/>
    <s v="Clothing"/>
    <n v="143"/>
    <x v="2"/>
  </r>
  <r>
    <s v="Rural+Urban"/>
    <n v="2017"/>
    <s v="November"/>
    <x v="59"/>
    <s v="Footwear"/>
    <n v="134.80000000000001"/>
    <x v="2"/>
  </r>
  <r>
    <s v="Rural+Urban"/>
    <n v="2017"/>
    <s v="November"/>
    <x v="59"/>
    <s v="Clothing and footwear"/>
    <n v="141.80000000000001"/>
    <x v="2"/>
  </r>
  <r>
    <s v="Rural+Urban"/>
    <n v="2017"/>
    <s v="November"/>
    <x v="59"/>
    <s v="Housing"/>
    <n v="138.6"/>
    <x v="10"/>
  </r>
  <r>
    <s v="Rural+Urban"/>
    <n v="2017"/>
    <s v="November"/>
    <x v="59"/>
    <s v="Fuel and light"/>
    <n v="135.30000000000001"/>
    <x v="3"/>
  </r>
  <r>
    <s v="Rural+Urban"/>
    <n v="2017"/>
    <s v="November"/>
    <x v="59"/>
    <s v="Household goods and services"/>
    <n v="134.4"/>
    <x v="4"/>
  </r>
  <r>
    <s v="Rural+Urban"/>
    <n v="2017"/>
    <s v="November"/>
    <x v="59"/>
    <s v="Health"/>
    <n v="132.6"/>
    <x v="5"/>
  </r>
  <r>
    <s v="Rural+Urban"/>
    <n v="2017"/>
    <s v="November"/>
    <x v="59"/>
    <s v="Transport and communication"/>
    <n v="118.3"/>
    <x v="6"/>
  </r>
  <r>
    <s v="Rural+Urban"/>
    <n v="2017"/>
    <s v="November"/>
    <x v="59"/>
    <s v="Recreation and amusement"/>
    <n v="128.9"/>
    <x v="1"/>
  </r>
  <r>
    <s v="Rural+Urban"/>
    <n v="2017"/>
    <s v="November"/>
    <x v="59"/>
    <s v="Education"/>
    <n v="138.6"/>
    <x v="7"/>
  </r>
  <r>
    <s v="Rural+Urban"/>
    <n v="2017"/>
    <s v="November"/>
    <x v="59"/>
    <s v="Personal care and effects"/>
    <n v="126.8"/>
    <x v="4"/>
  </r>
  <r>
    <s v="Rural+Urban"/>
    <n v="2017"/>
    <s v="November"/>
    <x v="59"/>
    <s v="Miscellaneous"/>
    <n v="128.4"/>
    <x v="8"/>
  </r>
  <r>
    <s v="Rural+Urban"/>
    <n v="2017"/>
    <s v="November"/>
    <x v="59"/>
    <s v="General index"/>
    <n v="137.6"/>
    <x v="9"/>
  </r>
  <r>
    <s v="Rural"/>
    <n v="2017"/>
    <s v="December"/>
    <x v="60"/>
    <s v="Cereals and products"/>
    <n v="136.4"/>
    <x v="0"/>
  </r>
  <r>
    <s v="Rural"/>
    <n v="2017"/>
    <s v="December"/>
    <x v="60"/>
    <s v="Meat and fish"/>
    <n v="143.69999999999999"/>
    <x v="0"/>
  </r>
  <r>
    <s v="Rural"/>
    <n v="2017"/>
    <s v="December"/>
    <x v="60"/>
    <s v="Egg"/>
    <n v="144.80000000000001"/>
    <x v="0"/>
  </r>
  <r>
    <s v="Rural"/>
    <n v="2017"/>
    <s v="December"/>
    <x v="60"/>
    <s v="Milk and products"/>
    <n v="141.9"/>
    <x v="0"/>
  </r>
  <r>
    <s v="Rural"/>
    <n v="2017"/>
    <s v="December"/>
    <x v="60"/>
    <s v="Oils and fats"/>
    <n v="123.1"/>
    <x v="0"/>
  </r>
  <r>
    <s v="Rural"/>
    <n v="2017"/>
    <s v="December"/>
    <x v="60"/>
    <s v="Fruits"/>
    <n v="147.19999999999999"/>
    <x v="0"/>
  </r>
  <r>
    <s v="Rural"/>
    <n v="2017"/>
    <s v="December"/>
    <x v="60"/>
    <s v="Vegetables"/>
    <n v="161"/>
    <x v="0"/>
  </r>
  <r>
    <s v="Rural"/>
    <n v="2017"/>
    <s v="December"/>
    <x v="60"/>
    <s v="Pulses and products"/>
    <n v="133.80000000000001"/>
    <x v="0"/>
  </r>
  <r>
    <s v="Rural"/>
    <n v="2017"/>
    <s v="December"/>
    <x v="60"/>
    <s v="Sugar and Confectionery"/>
    <n v="121.9"/>
    <x v="0"/>
  </r>
  <r>
    <s v="Rural"/>
    <n v="2017"/>
    <s v="December"/>
    <x v="60"/>
    <s v="Spices"/>
    <n v="135.80000000000001"/>
    <x v="0"/>
  </r>
  <r>
    <s v="Rural"/>
    <n v="2017"/>
    <s v="December"/>
    <x v="60"/>
    <s v="Non-alcoholic beverages"/>
    <n v="131.1"/>
    <x v="0"/>
  </r>
  <r>
    <s v="Rural"/>
    <n v="2017"/>
    <s v="December"/>
    <x v="60"/>
    <s v="Prepared meals, snacks, sweets etc."/>
    <n v="151.4"/>
    <x v="0"/>
  </r>
  <r>
    <s v="Rural"/>
    <n v="2017"/>
    <s v="December"/>
    <x v="60"/>
    <s v="Food and beverages"/>
    <n v="141.5"/>
    <x v="0"/>
  </r>
  <r>
    <s v="Rural"/>
    <n v="2017"/>
    <s v="December"/>
    <x v="60"/>
    <s v="Pan, tobacco and intoxicants"/>
    <n v="153.19999999999999"/>
    <x v="1"/>
  </r>
  <r>
    <s v="Rural"/>
    <n v="2017"/>
    <s v="December"/>
    <x v="60"/>
    <s v="Clothing"/>
    <n v="148"/>
    <x v="2"/>
  </r>
  <r>
    <s v="Rural"/>
    <n v="2017"/>
    <s v="December"/>
    <x v="60"/>
    <s v="Footwear"/>
    <n v="141.9"/>
    <x v="2"/>
  </r>
  <r>
    <s v="Rural"/>
    <n v="2017"/>
    <s v="December"/>
    <x v="60"/>
    <s v="Clothing and footwear"/>
    <n v="147.19999999999999"/>
    <x v="2"/>
  </r>
  <r>
    <s v="Rural"/>
    <n v="2017"/>
    <s v="December"/>
    <x v="60"/>
    <s v="Fuel and light"/>
    <n v="142.6"/>
    <x v="3"/>
  </r>
  <r>
    <s v="Rural"/>
    <n v="2017"/>
    <s v="December"/>
    <x v="60"/>
    <s v="Household goods and services"/>
    <n v="139.5"/>
    <x v="4"/>
  </r>
  <r>
    <s v="Rural"/>
    <n v="2017"/>
    <s v="December"/>
    <x v="60"/>
    <s v="Health"/>
    <n v="136.1"/>
    <x v="5"/>
  </r>
  <r>
    <s v="Rural"/>
    <n v="2017"/>
    <s v="December"/>
    <x v="60"/>
    <s v="Transport and communication"/>
    <n v="122"/>
    <x v="6"/>
  </r>
  <r>
    <s v="Rural"/>
    <n v="2017"/>
    <s v="December"/>
    <x v="60"/>
    <s v="Recreation and amusement"/>
    <n v="133.4"/>
    <x v="1"/>
  </r>
  <r>
    <s v="Rural"/>
    <n v="2017"/>
    <s v="December"/>
    <x v="60"/>
    <s v="Education"/>
    <n v="141.1"/>
    <x v="7"/>
  </r>
  <r>
    <s v="Rural"/>
    <n v="2017"/>
    <s v="December"/>
    <x v="60"/>
    <s v="Personal care and effects"/>
    <n v="127.8"/>
    <x v="4"/>
  </r>
  <r>
    <s v="Rural"/>
    <n v="2017"/>
    <s v="December"/>
    <x v="60"/>
    <s v="Miscellaneous"/>
    <n v="131.9"/>
    <x v="8"/>
  </r>
  <r>
    <s v="Rural"/>
    <n v="2017"/>
    <s v="December"/>
    <x v="60"/>
    <s v="General index"/>
    <n v="139.80000000000001"/>
    <x v="9"/>
  </r>
  <r>
    <s v="Urban"/>
    <n v="2017"/>
    <s v="December"/>
    <x v="60"/>
    <s v="Cereals and products"/>
    <n v="134.4"/>
    <x v="0"/>
  </r>
  <r>
    <s v="Urban"/>
    <n v="2017"/>
    <s v="December"/>
    <x v="60"/>
    <s v="Meat and fish"/>
    <n v="142.6"/>
    <x v="0"/>
  </r>
  <r>
    <s v="Urban"/>
    <n v="2017"/>
    <s v="December"/>
    <x v="60"/>
    <s v="Egg"/>
    <n v="145.9"/>
    <x v="0"/>
  </r>
  <r>
    <s v="Urban"/>
    <n v="2017"/>
    <s v="December"/>
    <x v="60"/>
    <s v="Milk and products"/>
    <n v="139.5"/>
    <x v="0"/>
  </r>
  <r>
    <s v="Urban"/>
    <n v="2017"/>
    <s v="December"/>
    <x v="60"/>
    <s v="Oils and fats"/>
    <n v="115.9"/>
    <x v="0"/>
  </r>
  <r>
    <s v="Urban"/>
    <n v="2017"/>
    <s v="December"/>
    <x v="60"/>
    <s v="Fruits"/>
    <n v="135"/>
    <x v="0"/>
  </r>
  <r>
    <s v="Urban"/>
    <n v="2017"/>
    <s v="December"/>
    <x v="60"/>
    <s v="Vegetables"/>
    <n v="163.19999999999999"/>
    <x v="0"/>
  </r>
  <r>
    <s v="Urban"/>
    <n v="2017"/>
    <s v="December"/>
    <x v="60"/>
    <s v="Pulses and products"/>
    <n v="119.8"/>
    <x v="0"/>
  </r>
  <r>
    <s v="Urban"/>
    <n v="2017"/>
    <s v="December"/>
    <x v="60"/>
    <s v="Sugar and Confectionery"/>
    <n v="120.7"/>
    <x v="0"/>
  </r>
  <r>
    <s v="Urban"/>
    <n v="2017"/>
    <s v="December"/>
    <x v="60"/>
    <s v="Spices"/>
    <n v="139.69999999999999"/>
    <x v="0"/>
  </r>
  <r>
    <s v="Urban"/>
    <n v="2017"/>
    <s v="December"/>
    <x v="60"/>
    <s v="Non-alcoholic beverages"/>
    <n v="125.7"/>
    <x v="0"/>
  </r>
  <r>
    <s v="Urban"/>
    <n v="2017"/>
    <s v="December"/>
    <x v="60"/>
    <s v="Prepared meals, snacks, sweets etc."/>
    <n v="146.30000000000001"/>
    <x v="0"/>
  </r>
  <r>
    <s v="Urban"/>
    <n v="2017"/>
    <s v="December"/>
    <x v="60"/>
    <s v="Food and beverages"/>
    <n v="138.80000000000001"/>
    <x v="0"/>
  </r>
  <r>
    <s v="Urban"/>
    <n v="2017"/>
    <s v="December"/>
    <x v="60"/>
    <s v="Pan, tobacco and intoxicants"/>
    <n v="157"/>
    <x v="1"/>
  </r>
  <r>
    <s v="Urban"/>
    <n v="2017"/>
    <s v="December"/>
    <x v="60"/>
    <s v="Clothing"/>
    <n v="135.6"/>
    <x v="2"/>
  </r>
  <r>
    <s v="Urban"/>
    <n v="2017"/>
    <s v="December"/>
    <x v="60"/>
    <s v="Footwear"/>
    <n v="125.6"/>
    <x v="2"/>
  </r>
  <r>
    <s v="Urban"/>
    <n v="2017"/>
    <s v="December"/>
    <x v="60"/>
    <s v="Clothing and footwear"/>
    <n v="134"/>
    <x v="2"/>
  </r>
  <r>
    <s v="Urban"/>
    <n v="2017"/>
    <s v="December"/>
    <x v="60"/>
    <s v="Housing"/>
    <n v="139.1"/>
    <x v="10"/>
  </r>
  <r>
    <s v="Urban"/>
    <n v="2017"/>
    <s v="December"/>
    <x v="60"/>
    <s v="Fuel and light"/>
    <n v="126.8"/>
    <x v="3"/>
  </r>
  <r>
    <s v="Urban"/>
    <n v="2017"/>
    <s v="December"/>
    <x v="60"/>
    <s v="Household goods and services"/>
    <n v="129.30000000000001"/>
    <x v="4"/>
  </r>
  <r>
    <s v="Urban"/>
    <n v="2017"/>
    <s v="December"/>
    <x v="60"/>
    <s v="Health"/>
    <n v="128.19999999999999"/>
    <x v="5"/>
  </r>
  <r>
    <s v="Urban"/>
    <n v="2017"/>
    <s v="December"/>
    <x v="60"/>
    <s v="Transport and communication"/>
    <n v="115.3"/>
    <x v="6"/>
  </r>
  <r>
    <s v="Urban"/>
    <n v="2017"/>
    <s v="December"/>
    <x v="60"/>
    <s v="Recreation and amusement"/>
    <n v="125.6"/>
    <x v="1"/>
  </r>
  <r>
    <s v="Urban"/>
    <n v="2017"/>
    <s v="December"/>
    <x v="60"/>
    <s v="Education"/>
    <n v="136.69999999999999"/>
    <x v="7"/>
  </r>
  <r>
    <s v="Urban"/>
    <n v="2017"/>
    <s v="December"/>
    <x v="60"/>
    <s v="Personal care and effects"/>
    <n v="124.6"/>
    <x v="4"/>
  </r>
  <r>
    <s v="Urban"/>
    <n v="2017"/>
    <s v="December"/>
    <x v="60"/>
    <s v="Miscellaneous"/>
    <n v="125.1"/>
    <x v="8"/>
  </r>
  <r>
    <s v="Urban"/>
    <n v="2017"/>
    <s v="December"/>
    <x v="60"/>
    <s v="General index"/>
    <n v="134.1"/>
    <x v="9"/>
  </r>
  <r>
    <s v="Rural+Urban"/>
    <n v="2017"/>
    <s v="December"/>
    <x v="60"/>
    <s v="Cereals and products"/>
    <n v="135.80000000000001"/>
    <x v="0"/>
  </r>
  <r>
    <s v="Rural+Urban"/>
    <n v="2017"/>
    <s v="December"/>
    <x v="60"/>
    <s v="Meat and fish"/>
    <n v="143.30000000000001"/>
    <x v="0"/>
  </r>
  <r>
    <s v="Rural+Urban"/>
    <n v="2017"/>
    <s v="December"/>
    <x v="60"/>
    <s v="Egg"/>
    <n v="145.19999999999999"/>
    <x v="0"/>
  </r>
  <r>
    <s v="Rural+Urban"/>
    <n v="2017"/>
    <s v="December"/>
    <x v="60"/>
    <s v="Milk and products"/>
    <n v="141"/>
    <x v="0"/>
  </r>
  <r>
    <s v="Rural+Urban"/>
    <n v="2017"/>
    <s v="December"/>
    <x v="60"/>
    <s v="Oils and fats"/>
    <n v="120.5"/>
    <x v="0"/>
  </r>
  <r>
    <s v="Rural+Urban"/>
    <n v="2017"/>
    <s v="December"/>
    <x v="60"/>
    <s v="Fruits"/>
    <n v="141.5"/>
    <x v="0"/>
  </r>
  <r>
    <s v="Rural+Urban"/>
    <n v="2017"/>
    <s v="December"/>
    <x v="60"/>
    <s v="Vegetables"/>
    <n v="161.69999999999999"/>
    <x v="0"/>
  </r>
  <r>
    <s v="Rural+Urban"/>
    <n v="2017"/>
    <s v="December"/>
    <x v="60"/>
    <s v="Pulses and products"/>
    <n v="129.1"/>
    <x v="0"/>
  </r>
  <r>
    <s v="Rural+Urban"/>
    <n v="2017"/>
    <s v="December"/>
    <x v="60"/>
    <s v="Sugar and Confectionery"/>
    <n v="121.5"/>
    <x v="0"/>
  </r>
  <r>
    <s v="Rural+Urban"/>
    <n v="2017"/>
    <s v="December"/>
    <x v="60"/>
    <s v="Spices"/>
    <n v="137.1"/>
    <x v="0"/>
  </r>
  <r>
    <s v="Rural+Urban"/>
    <n v="2017"/>
    <s v="December"/>
    <x v="60"/>
    <s v="Non-alcoholic beverages"/>
    <n v="128.80000000000001"/>
    <x v="0"/>
  </r>
  <r>
    <s v="Rural+Urban"/>
    <n v="2017"/>
    <s v="December"/>
    <x v="60"/>
    <s v="Prepared meals, snacks, sweets etc."/>
    <n v="149"/>
    <x v="0"/>
  </r>
  <r>
    <s v="Rural+Urban"/>
    <n v="2017"/>
    <s v="December"/>
    <x v="60"/>
    <s v="Food and beverages"/>
    <n v="140.5"/>
    <x v="0"/>
  </r>
  <r>
    <s v="Rural+Urban"/>
    <n v="2017"/>
    <s v="December"/>
    <x v="60"/>
    <s v="Pan, tobacco and intoxicants"/>
    <n v="154.19999999999999"/>
    <x v="1"/>
  </r>
  <r>
    <s v="Rural+Urban"/>
    <n v="2017"/>
    <s v="December"/>
    <x v="60"/>
    <s v="Clothing"/>
    <n v="143.1"/>
    <x v="2"/>
  </r>
  <r>
    <s v="Rural+Urban"/>
    <n v="2017"/>
    <s v="December"/>
    <x v="60"/>
    <s v="Footwear"/>
    <n v="135.1"/>
    <x v="2"/>
  </r>
  <r>
    <s v="Rural+Urban"/>
    <n v="2017"/>
    <s v="December"/>
    <x v="60"/>
    <s v="Clothing and footwear"/>
    <n v="142"/>
    <x v="2"/>
  </r>
  <r>
    <s v="Rural+Urban"/>
    <n v="2017"/>
    <s v="December"/>
    <x v="60"/>
    <s v="Housing"/>
    <n v="139.1"/>
    <x v="10"/>
  </r>
  <r>
    <s v="Rural+Urban"/>
    <n v="2017"/>
    <s v="December"/>
    <x v="60"/>
    <s v="Fuel and light"/>
    <n v="136.6"/>
    <x v="3"/>
  </r>
  <r>
    <s v="Rural+Urban"/>
    <n v="2017"/>
    <s v="December"/>
    <x v="60"/>
    <s v="Household goods and services"/>
    <n v="134.69999999999999"/>
    <x v="4"/>
  </r>
  <r>
    <s v="Rural+Urban"/>
    <n v="2017"/>
    <s v="December"/>
    <x v="60"/>
    <s v="Health"/>
    <n v="133.1"/>
    <x v="5"/>
  </r>
  <r>
    <s v="Rural+Urban"/>
    <n v="2017"/>
    <s v="December"/>
    <x v="60"/>
    <s v="Transport and communication"/>
    <n v="118.5"/>
    <x v="6"/>
  </r>
  <r>
    <s v="Rural+Urban"/>
    <n v="2017"/>
    <s v="December"/>
    <x v="60"/>
    <s v="Recreation and amusement"/>
    <n v="129"/>
    <x v="1"/>
  </r>
  <r>
    <s v="Rural+Urban"/>
    <n v="2017"/>
    <s v="December"/>
    <x v="60"/>
    <s v="Education"/>
    <n v="138.5"/>
    <x v="7"/>
  </r>
  <r>
    <s v="Rural+Urban"/>
    <n v="2017"/>
    <s v="December"/>
    <x v="60"/>
    <s v="Personal care and effects"/>
    <n v="126.5"/>
    <x v="4"/>
  </r>
  <r>
    <s v="Rural+Urban"/>
    <n v="2017"/>
    <s v="December"/>
    <x v="60"/>
    <s v="Miscellaneous"/>
    <n v="128.6"/>
    <x v="8"/>
  </r>
  <r>
    <s v="Rural+Urban"/>
    <n v="2017"/>
    <s v="December"/>
    <x v="60"/>
    <s v="General index"/>
    <n v="137.19999999999999"/>
    <x v="9"/>
  </r>
  <r>
    <s v="Rural"/>
    <n v="2018"/>
    <s v="January"/>
    <x v="61"/>
    <s v="Cereals and products"/>
    <n v="136.6"/>
    <x v="0"/>
  </r>
  <r>
    <s v="Rural"/>
    <n v="2018"/>
    <s v="January"/>
    <x v="61"/>
    <s v="Meat and fish"/>
    <n v="144.4"/>
    <x v="0"/>
  </r>
  <r>
    <s v="Rural"/>
    <n v="2018"/>
    <s v="January"/>
    <x v="61"/>
    <s v="Egg"/>
    <n v="143.80000000000001"/>
    <x v="0"/>
  </r>
  <r>
    <s v="Rural"/>
    <n v="2018"/>
    <s v="January"/>
    <x v="61"/>
    <s v="Milk and products"/>
    <n v="142"/>
    <x v="0"/>
  </r>
  <r>
    <s v="Rural"/>
    <n v="2018"/>
    <s v="January"/>
    <x v="61"/>
    <s v="Oils and fats"/>
    <n v="123.2"/>
    <x v="0"/>
  </r>
  <r>
    <s v="Rural"/>
    <n v="2018"/>
    <s v="January"/>
    <x v="61"/>
    <s v="Fruits"/>
    <n v="147.9"/>
    <x v="0"/>
  </r>
  <r>
    <s v="Rural"/>
    <n v="2018"/>
    <s v="January"/>
    <x v="61"/>
    <s v="Vegetables"/>
    <n v="152.1"/>
    <x v="0"/>
  </r>
  <r>
    <s v="Rural"/>
    <n v="2018"/>
    <s v="January"/>
    <x v="61"/>
    <s v="Pulses and products"/>
    <n v="131.80000000000001"/>
    <x v="0"/>
  </r>
  <r>
    <s v="Rural"/>
    <n v="2018"/>
    <s v="January"/>
    <x v="61"/>
    <s v="Sugar and Confectionery"/>
    <n v="119.5"/>
    <x v="0"/>
  </r>
  <r>
    <s v="Rural"/>
    <n v="2018"/>
    <s v="January"/>
    <x v="61"/>
    <s v="Spices"/>
    <n v="136"/>
    <x v="0"/>
  </r>
  <r>
    <s v="Rural"/>
    <n v="2018"/>
    <s v="January"/>
    <x v="61"/>
    <s v="Non-alcoholic beverages"/>
    <n v="131.19999999999999"/>
    <x v="0"/>
  </r>
  <r>
    <s v="Rural"/>
    <n v="2018"/>
    <s v="January"/>
    <x v="61"/>
    <s v="Prepared meals, snacks, sweets etc."/>
    <n v="151.80000000000001"/>
    <x v="0"/>
  </r>
  <r>
    <s v="Rural"/>
    <n v="2018"/>
    <s v="January"/>
    <x v="61"/>
    <s v="Food and beverages"/>
    <n v="140.4"/>
    <x v="0"/>
  </r>
  <r>
    <s v="Rural"/>
    <n v="2018"/>
    <s v="January"/>
    <x v="61"/>
    <s v="Pan, tobacco and intoxicants"/>
    <n v="153.6"/>
    <x v="1"/>
  </r>
  <r>
    <s v="Rural"/>
    <n v="2018"/>
    <s v="January"/>
    <x v="61"/>
    <s v="Clothing"/>
    <n v="148.30000000000001"/>
    <x v="2"/>
  </r>
  <r>
    <s v="Rural"/>
    <n v="2018"/>
    <s v="January"/>
    <x v="61"/>
    <s v="Footwear"/>
    <n v="142.30000000000001"/>
    <x v="2"/>
  </r>
  <r>
    <s v="Rural"/>
    <n v="2018"/>
    <s v="January"/>
    <x v="61"/>
    <s v="Clothing and footwear"/>
    <n v="147.5"/>
    <x v="2"/>
  </r>
  <r>
    <s v="Rural"/>
    <n v="2018"/>
    <s v="January"/>
    <x v="61"/>
    <s v="Fuel and light"/>
    <n v="142.30000000000001"/>
    <x v="3"/>
  </r>
  <r>
    <s v="Rural"/>
    <n v="2018"/>
    <s v="January"/>
    <x v="61"/>
    <s v="Household goods and services"/>
    <n v="139.80000000000001"/>
    <x v="4"/>
  </r>
  <r>
    <s v="Rural"/>
    <n v="2018"/>
    <s v="January"/>
    <x v="61"/>
    <s v="Health"/>
    <n v="136"/>
    <x v="5"/>
  </r>
  <r>
    <s v="Rural"/>
    <n v="2018"/>
    <s v="January"/>
    <x v="61"/>
    <s v="Transport and communication"/>
    <n v="122.7"/>
    <x v="6"/>
  </r>
  <r>
    <s v="Rural"/>
    <n v="2018"/>
    <s v="January"/>
    <x v="61"/>
    <s v="Recreation and amusement"/>
    <n v="134.30000000000001"/>
    <x v="1"/>
  </r>
  <r>
    <s v="Rural"/>
    <n v="2018"/>
    <s v="January"/>
    <x v="61"/>
    <s v="Education"/>
    <n v="141.6"/>
    <x v="7"/>
  </r>
  <r>
    <s v="Rural"/>
    <n v="2018"/>
    <s v="January"/>
    <x v="61"/>
    <s v="Personal care and effects"/>
    <n v="128.6"/>
    <x v="4"/>
  </r>
  <r>
    <s v="Rural"/>
    <n v="2018"/>
    <s v="January"/>
    <x v="61"/>
    <s v="Miscellaneous"/>
    <n v="132.30000000000001"/>
    <x v="8"/>
  </r>
  <r>
    <s v="Rural"/>
    <n v="2018"/>
    <s v="January"/>
    <x v="61"/>
    <s v="General index"/>
    <n v="139.30000000000001"/>
    <x v="9"/>
  </r>
  <r>
    <s v="Urban"/>
    <n v="2018"/>
    <s v="January"/>
    <x v="61"/>
    <s v="Cereals and products"/>
    <n v="134.6"/>
    <x v="0"/>
  </r>
  <r>
    <s v="Urban"/>
    <n v="2018"/>
    <s v="January"/>
    <x v="61"/>
    <s v="Meat and fish"/>
    <n v="143.69999999999999"/>
    <x v="0"/>
  </r>
  <r>
    <s v="Urban"/>
    <n v="2018"/>
    <s v="January"/>
    <x v="61"/>
    <s v="Egg"/>
    <n v="143.6"/>
    <x v="0"/>
  </r>
  <r>
    <s v="Urban"/>
    <n v="2018"/>
    <s v="January"/>
    <x v="61"/>
    <s v="Milk and products"/>
    <n v="139.6"/>
    <x v="0"/>
  </r>
  <r>
    <s v="Urban"/>
    <n v="2018"/>
    <s v="January"/>
    <x v="61"/>
    <s v="Oils and fats"/>
    <n v="116.4"/>
    <x v="0"/>
  </r>
  <r>
    <s v="Urban"/>
    <n v="2018"/>
    <s v="January"/>
    <x v="61"/>
    <s v="Fruits"/>
    <n v="133.80000000000001"/>
    <x v="0"/>
  </r>
  <r>
    <s v="Urban"/>
    <n v="2018"/>
    <s v="January"/>
    <x v="61"/>
    <s v="Vegetables"/>
    <n v="150.5"/>
    <x v="0"/>
  </r>
  <r>
    <s v="Urban"/>
    <n v="2018"/>
    <s v="January"/>
    <x v="61"/>
    <s v="Pulses and products"/>
    <n v="118.4"/>
    <x v="0"/>
  </r>
  <r>
    <s v="Urban"/>
    <n v="2018"/>
    <s v="January"/>
    <x v="61"/>
    <s v="Sugar and Confectionery"/>
    <n v="117.3"/>
    <x v="0"/>
  </r>
  <r>
    <s v="Urban"/>
    <n v="2018"/>
    <s v="January"/>
    <x v="61"/>
    <s v="Spices"/>
    <n v="140.5"/>
    <x v="0"/>
  </r>
  <r>
    <s v="Urban"/>
    <n v="2018"/>
    <s v="January"/>
    <x v="61"/>
    <s v="Non-alcoholic beverages"/>
    <n v="125.9"/>
    <x v="0"/>
  </r>
  <r>
    <s v="Urban"/>
    <n v="2018"/>
    <s v="January"/>
    <x v="61"/>
    <s v="Prepared meals, snacks, sweets etc."/>
    <n v="146.80000000000001"/>
    <x v="0"/>
  </r>
  <r>
    <s v="Urban"/>
    <n v="2018"/>
    <s v="January"/>
    <x v="61"/>
    <s v="Food and beverages"/>
    <n v="137.19999999999999"/>
    <x v="0"/>
  </r>
  <r>
    <s v="Urban"/>
    <n v="2018"/>
    <s v="January"/>
    <x v="61"/>
    <s v="Pan, tobacco and intoxicants"/>
    <n v="157.69999999999999"/>
    <x v="1"/>
  </r>
  <r>
    <s v="Urban"/>
    <n v="2018"/>
    <s v="January"/>
    <x v="61"/>
    <s v="Clothing"/>
    <n v="136"/>
    <x v="2"/>
  </r>
  <r>
    <s v="Urban"/>
    <n v="2018"/>
    <s v="January"/>
    <x v="61"/>
    <s v="Footwear"/>
    <n v="125.9"/>
    <x v="2"/>
  </r>
  <r>
    <s v="Urban"/>
    <n v="2018"/>
    <s v="January"/>
    <x v="61"/>
    <s v="Clothing and footwear"/>
    <n v="134.4"/>
    <x v="2"/>
  </r>
  <r>
    <s v="Urban"/>
    <n v="2018"/>
    <s v="January"/>
    <x v="61"/>
    <s v="Housing"/>
    <n v="140.4"/>
    <x v="10"/>
  </r>
  <r>
    <s v="Urban"/>
    <n v="2018"/>
    <s v="January"/>
    <x v="61"/>
    <s v="Fuel and light"/>
    <n v="127.3"/>
    <x v="3"/>
  </r>
  <r>
    <s v="Urban"/>
    <n v="2018"/>
    <s v="January"/>
    <x v="61"/>
    <s v="Household goods and services"/>
    <n v="129.5"/>
    <x v="4"/>
  </r>
  <r>
    <s v="Urban"/>
    <n v="2018"/>
    <s v="January"/>
    <x v="61"/>
    <s v="Health"/>
    <n v="129"/>
    <x v="5"/>
  </r>
  <r>
    <s v="Urban"/>
    <n v="2018"/>
    <s v="January"/>
    <x v="61"/>
    <s v="Transport and communication"/>
    <n v="116.3"/>
    <x v="6"/>
  </r>
  <r>
    <s v="Urban"/>
    <n v="2018"/>
    <s v="January"/>
    <x v="61"/>
    <s v="Recreation and amusement"/>
    <n v="126.2"/>
    <x v="1"/>
  </r>
  <r>
    <s v="Urban"/>
    <n v="2018"/>
    <s v="January"/>
    <x v="61"/>
    <s v="Education"/>
    <n v="137.1"/>
    <x v="7"/>
  </r>
  <r>
    <s v="Urban"/>
    <n v="2018"/>
    <s v="January"/>
    <x v="61"/>
    <s v="Personal care and effects"/>
    <n v="125.5"/>
    <x v="4"/>
  </r>
  <r>
    <s v="Urban"/>
    <n v="2018"/>
    <s v="January"/>
    <x v="61"/>
    <s v="Miscellaneous"/>
    <n v="125.8"/>
    <x v="8"/>
  </r>
  <r>
    <s v="Urban"/>
    <n v="2018"/>
    <s v="January"/>
    <x v="61"/>
    <s v="General index"/>
    <n v="134.1"/>
    <x v="9"/>
  </r>
  <r>
    <s v="Rural+Urban"/>
    <n v="2018"/>
    <s v="January"/>
    <x v="61"/>
    <s v="Cereals and products"/>
    <n v="136"/>
    <x v="0"/>
  </r>
  <r>
    <s v="Rural+Urban"/>
    <n v="2018"/>
    <s v="January"/>
    <x v="61"/>
    <s v="Meat and fish"/>
    <n v="144.19999999999999"/>
    <x v="0"/>
  </r>
  <r>
    <s v="Rural+Urban"/>
    <n v="2018"/>
    <s v="January"/>
    <x v="61"/>
    <s v="Egg"/>
    <n v="143.69999999999999"/>
    <x v="0"/>
  </r>
  <r>
    <s v="Rural+Urban"/>
    <n v="2018"/>
    <s v="January"/>
    <x v="61"/>
    <s v="Milk and products"/>
    <n v="141.1"/>
    <x v="0"/>
  </r>
  <r>
    <s v="Rural+Urban"/>
    <n v="2018"/>
    <s v="January"/>
    <x v="61"/>
    <s v="Oils and fats"/>
    <n v="120.7"/>
    <x v="0"/>
  </r>
  <r>
    <s v="Rural+Urban"/>
    <n v="2018"/>
    <s v="January"/>
    <x v="61"/>
    <s v="Fruits"/>
    <n v="141.30000000000001"/>
    <x v="0"/>
  </r>
  <r>
    <s v="Rural+Urban"/>
    <n v="2018"/>
    <s v="January"/>
    <x v="61"/>
    <s v="Vegetables"/>
    <n v="151.6"/>
    <x v="0"/>
  </r>
  <r>
    <s v="Rural+Urban"/>
    <n v="2018"/>
    <s v="January"/>
    <x v="61"/>
    <s v="Pulses and products"/>
    <n v="127.3"/>
    <x v="0"/>
  </r>
  <r>
    <s v="Rural+Urban"/>
    <n v="2018"/>
    <s v="January"/>
    <x v="61"/>
    <s v="Sugar and Confectionery"/>
    <n v="118.8"/>
    <x v="0"/>
  </r>
  <r>
    <s v="Rural+Urban"/>
    <n v="2018"/>
    <s v="January"/>
    <x v="61"/>
    <s v="Spices"/>
    <n v="137.5"/>
    <x v="0"/>
  </r>
  <r>
    <s v="Rural+Urban"/>
    <n v="2018"/>
    <s v="January"/>
    <x v="61"/>
    <s v="Non-alcoholic beverages"/>
    <n v="129"/>
    <x v="0"/>
  </r>
  <r>
    <s v="Rural+Urban"/>
    <n v="2018"/>
    <s v="January"/>
    <x v="61"/>
    <s v="Prepared meals, snacks, sweets etc."/>
    <n v="149.5"/>
    <x v="0"/>
  </r>
  <r>
    <s v="Rural+Urban"/>
    <n v="2018"/>
    <s v="January"/>
    <x v="61"/>
    <s v="Food and beverages"/>
    <n v="139.19999999999999"/>
    <x v="0"/>
  </r>
  <r>
    <s v="Rural+Urban"/>
    <n v="2018"/>
    <s v="January"/>
    <x v="61"/>
    <s v="Pan, tobacco and intoxicants"/>
    <n v="154.69999999999999"/>
    <x v="1"/>
  </r>
  <r>
    <s v="Rural+Urban"/>
    <n v="2018"/>
    <s v="January"/>
    <x v="61"/>
    <s v="Clothing"/>
    <n v="143.5"/>
    <x v="2"/>
  </r>
  <r>
    <s v="Rural+Urban"/>
    <n v="2018"/>
    <s v="January"/>
    <x v="61"/>
    <s v="Footwear"/>
    <n v="135.5"/>
    <x v="2"/>
  </r>
  <r>
    <s v="Rural+Urban"/>
    <n v="2018"/>
    <s v="January"/>
    <x v="61"/>
    <s v="Clothing and footwear"/>
    <n v="142.30000000000001"/>
    <x v="2"/>
  </r>
  <r>
    <s v="Rural+Urban"/>
    <n v="2018"/>
    <s v="January"/>
    <x v="61"/>
    <s v="Housing"/>
    <n v="140.4"/>
    <x v="10"/>
  </r>
  <r>
    <s v="Rural+Urban"/>
    <n v="2018"/>
    <s v="January"/>
    <x v="61"/>
    <s v="Fuel and light"/>
    <n v="136.6"/>
    <x v="3"/>
  </r>
  <r>
    <s v="Rural+Urban"/>
    <n v="2018"/>
    <s v="January"/>
    <x v="61"/>
    <s v="Household goods and services"/>
    <n v="134.9"/>
    <x v="4"/>
  </r>
  <r>
    <s v="Rural+Urban"/>
    <n v="2018"/>
    <s v="January"/>
    <x v="61"/>
    <s v="Health"/>
    <n v="133.30000000000001"/>
    <x v="5"/>
  </r>
  <r>
    <s v="Rural+Urban"/>
    <n v="2018"/>
    <s v="January"/>
    <x v="61"/>
    <s v="Transport and communication"/>
    <n v="119.3"/>
    <x v="6"/>
  </r>
  <r>
    <s v="Rural+Urban"/>
    <n v="2018"/>
    <s v="January"/>
    <x v="61"/>
    <s v="Recreation and amusement"/>
    <n v="129.69999999999999"/>
    <x v="1"/>
  </r>
  <r>
    <s v="Rural+Urban"/>
    <n v="2018"/>
    <s v="January"/>
    <x v="61"/>
    <s v="Education"/>
    <n v="139"/>
    <x v="7"/>
  </r>
  <r>
    <s v="Rural+Urban"/>
    <n v="2018"/>
    <s v="January"/>
    <x v="61"/>
    <s v="Personal care and effects"/>
    <n v="127.3"/>
    <x v="4"/>
  </r>
  <r>
    <s v="Rural+Urban"/>
    <n v="2018"/>
    <s v="January"/>
    <x v="61"/>
    <s v="Miscellaneous"/>
    <n v="129.1"/>
    <x v="8"/>
  </r>
  <r>
    <s v="Rural+Urban"/>
    <n v="2018"/>
    <s v="January"/>
    <x v="61"/>
    <s v="General index"/>
    <n v="136.9"/>
    <x v="9"/>
  </r>
  <r>
    <s v="Rural"/>
    <n v="2018"/>
    <s v="February"/>
    <x v="62"/>
    <s v="Cereals and products"/>
    <n v="136.4"/>
    <x v="0"/>
  </r>
  <r>
    <s v="Rural"/>
    <n v="2018"/>
    <s v="February"/>
    <x v="62"/>
    <s v="Meat and fish"/>
    <n v="143.69999999999999"/>
    <x v="0"/>
  </r>
  <r>
    <s v="Rural"/>
    <n v="2018"/>
    <s v="February"/>
    <x v="62"/>
    <s v="Egg"/>
    <n v="140.6"/>
    <x v="0"/>
  </r>
  <r>
    <s v="Rural"/>
    <n v="2018"/>
    <s v="February"/>
    <x v="62"/>
    <s v="Milk and products"/>
    <n v="141.5"/>
    <x v="0"/>
  </r>
  <r>
    <s v="Rural"/>
    <n v="2018"/>
    <s v="February"/>
    <x v="62"/>
    <s v="Oils and fats"/>
    <n v="122.9"/>
    <x v="0"/>
  </r>
  <r>
    <s v="Rural"/>
    <n v="2018"/>
    <s v="February"/>
    <x v="62"/>
    <s v="Fruits"/>
    <n v="149.4"/>
    <x v="0"/>
  </r>
  <r>
    <s v="Rural"/>
    <n v="2018"/>
    <s v="February"/>
    <x v="62"/>
    <s v="Vegetables"/>
    <n v="142.4"/>
    <x v="0"/>
  </r>
  <r>
    <s v="Rural"/>
    <n v="2018"/>
    <s v="February"/>
    <x v="62"/>
    <s v="Pulses and products"/>
    <n v="130.19999999999999"/>
    <x v="0"/>
  </r>
  <r>
    <s v="Rural"/>
    <n v="2018"/>
    <s v="February"/>
    <x v="62"/>
    <s v="Sugar and Confectionery"/>
    <n v="117.9"/>
    <x v="0"/>
  </r>
  <r>
    <s v="Rural"/>
    <n v="2018"/>
    <s v="February"/>
    <x v="62"/>
    <s v="Spices"/>
    <n v="135.6"/>
    <x v="0"/>
  </r>
  <r>
    <s v="Rural"/>
    <n v="2018"/>
    <s v="February"/>
    <x v="62"/>
    <s v="Non-alcoholic beverages"/>
    <n v="130.5"/>
    <x v="0"/>
  </r>
  <r>
    <s v="Rural"/>
    <n v="2018"/>
    <s v="February"/>
    <x v="62"/>
    <s v="Prepared meals, snacks, sweets etc."/>
    <n v="151.69999999999999"/>
    <x v="0"/>
  </r>
  <r>
    <s v="Rural"/>
    <n v="2018"/>
    <s v="February"/>
    <x v="62"/>
    <s v="Food and beverages"/>
    <n v="138.69999999999999"/>
    <x v="0"/>
  </r>
  <r>
    <s v="Rural"/>
    <n v="2018"/>
    <s v="February"/>
    <x v="62"/>
    <s v="Pan, tobacco and intoxicants"/>
    <n v="153.30000000000001"/>
    <x v="1"/>
  </r>
  <r>
    <s v="Rural"/>
    <n v="2018"/>
    <s v="February"/>
    <x v="62"/>
    <s v="Clothing"/>
    <n v="148.69999999999999"/>
    <x v="2"/>
  </r>
  <r>
    <s v="Rural"/>
    <n v="2018"/>
    <s v="February"/>
    <x v="62"/>
    <s v="Footwear"/>
    <n v="142.4"/>
    <x v="2"/>
  </r>
  <r>
    <s v="Rural"/>
    <n v="2018"/>
    <s v="February"/>
    <x v="62"/>
    <s v="Clothing and footwear"/>
    <n v="147.80000000000001"/>
    <x v="2"/>
  </r>
  <r>
    <s v="Rural"/>
    <n v="2018"/>
    <s v="February"/>
    <x v="62"/>
    <s v="Fuel and light"/>
    <n v="142.4"/>
    <x v="3"/>
  </r>
  <r>
    <s v="Rural"/>
    <n v="2018"/>
    <s v="February"/>
    <x v="62"/>
    <s v="Household goods and services"/>
    <n v="139.9"/>
    <x v="4"/>
  </r>
  <r>
    <s v="Rural"/>
    <n v="2018"/>
    <s v="February"/>
    <x v="62"/>
    <s v="Health"/>
    <n v="136.19999999999999"/>
    <x v="5"/>
  </r>
  <r>
    <s v="Rural"/>
    <n v="2018"/>
    <s v="February"/>
    <x v="62"/>
    <s v="Transport and communication"/>
    <n v="123.3"/>
    <x v="6"/>
  </r>
  <r>
    <s v="Rural"/>
    <n v="2018"/>
    <s v="February"/>
    <x v="62"/>
    <s v="Recreation and amusement"/>
    <n v="134.30000000000001"/>
    <x v="1"/>
  </r>
  <r>
    <s v="Rural"/>
    <n v="2018"/>
    <s v="February"/>
    <x v="62"/>
    <s v="Education"/>
    <n v="141.5"/>
    <x v="7"/>
  </r>
  <r>
    <s v="Rural"/>
    <n v="2018"/>
    <s v="February"/>
    <x v="62"/>
    <s v="Personal care and effects"/>
    <n v="128.80000000000001"/>
    <x v="4"/>
  </r>
  <r>
    <s v="Rural"/>
    <n v="2018"/>
    <s v="February"/>
    <x v="62"/>
    <s v="Miscellaneous"/>
    <n v="132.5"/>
    <x v="8"/>
  </r>
  <r>
    <s v="Rural"/>
    <n v="2018"/>
    <s v="February"/>
    <x v="62"/>
    <s v="General index"/>
    <n v="138.5"/>
    <x v="9"/>
  </r>
  <r>
    <s v="Urban"/>
    <n v="2018"/>
    <s v="February"/>
    <x v="62"/>
    <s v="Cereals and products"/>
    <n v="134.80000000000001"/>
    <x v="0"/>
  </r>
  <r>
    <s v="Urban"/>
    <n v="2018"/>
    <s v="February"/>
    <x v="62"/>
    <s v="Meat and fish"/>
    <n v="143"/>
    <x v="0"/>
  </r>
  <r>
    <s v="Urban"/>
    <n v="2018"/>
    <s v="February"/>
    <x v="62"/>
    <s v="Egg"/>
    <n v="139.9"/>
    <x v="0"/>
  </r>
  <r>
    <s v="Urban"/>
    <n v="2018"/>
    <s v="February"/>
    <x v="62"/>
    <s v="Milk and products"/>
    <n v="139.9"/>
    <x v="0"/>
  </r>
  <r>
    <s v="Urban"/>
    <n v="2018"/>
    <s v="February"/>
    <x v="62"/>
    <s v="Oils and fats"/>
    <n v="116.2"/>
    <x v="0"/>
  </r>
  <r>
    <s v="Urban"/>
    <n v="2018"/>
    <s v="February"/>
    <x v="62"/>
    <s v="Fruits"/>
    <n v="135.5"/>
    <x v="0"/>
  </r>
  <r>
    <s v="Urban"/>
    <n v="2018"/>
    <s v="February"/>
    <x v="62"/>
    <s v="Vegetables"/>
    <n v="136.9"/>
    <x v="0"/>
  </r>
  <r>
    <s v="Urban"/>
    <n v="2018"/>
    <s v="February"/>
    <x v="62"/>
    <s v="Pulses and products"/>
    <n v="117"/>
    <x v="0"/>
  </r>
  <r>
    <s v="Urban"/>
    <n v="2018"/>
    <s v="February"/>
    <x v="62"/>
    <s v="Sugar and Confectionery"/>
    <n v="115.4"/>
    <x v="0"/>
  </r>
  <r>
    <s v="Urban"/>
    <n v="2018"/>
    <s v="February"/>
    <x v="62"/>
    <s v="Spices"/>
    <n v="140.69999999999999"/>
    <x v="0"/>
  </r>
  <r>
    <s v="Urban"/>
    <n v="2018"/>
    <s v="February"/>
    <x v="62"/>
    <s v="Non-alcoholic beverages"/>
    <n v="125.9"/>
    <x v="0"/>
  </r>
  <r>
    <s v="Urban"/>
    <n v="2018"/>
    <s v="February"/>
    <x v="62"/>
    <s v="Prepared meals, snacks, sweets etc."/>
    <n v="147.1"/>
    <x v="0"/>
  </r>
  <r>
    <s v="Urban"/>
    <n v="2018"/>
    <s v="February"/>
    <x v="62"/>
    <s v="Food and beverages"/>
    <n v="135.6"/>
    <x v="0"/>
  </r>
  <r>
    <s v="Urban"/>
    <n v="2018"/>
    <s v="February"/>
    <x v="62"/>
    <s v="Pan, tobacco and intoxicants"/>
    <n v="159.30000000000001"/>
    <x v="1"/>
  </r>
  <r>
    <s v="Urban"/>
    <n v="2018"/>
    <s v="February"/>
    <x v="62"/>
    <s v="Clothing"/>
    <n v="136.30000000000001"/>
    <x v="2"/>
  </r>
  <r>
    <s v="Urban"/>
    <n v="2018"/>
    <s v="February"/>
    <x v="62"/>
    <s v="Footwear"/>
    <n v="126.1"/>
    <x v="2"/>
  </r>
  <r>
    <s v="Urban"/>
    <n v="2018"/>
    <s v="February"/>
    <x v="62"/>
    <s v="Clothing and footwear"/>
    <n v="134.69999999999999"/>
    <x v="2"/>
  </r>
  <r>
    <s v="Urban"/>
    <n v="2018"/>
    <s v="February"/>
    <x v="62"/>
    <s v="Housing"/>
    <n v="141.30000000000001"/>
    <x v="10"/>
  </r>
  <r>
    <s v="Urban"/>
    <n v="2018"/>
    <s v="February"/>
    <x v="62"/>
    <s v="Fuel and light"/>
    <n v="127.3"/>
    <x v="3"/>
  </r>
  <r>
    <s v="Urban"/>
    <n v="2018"/>
    <s v="February"/>
    <x v="62"/>
    <s v="Household goods and services"/>
    <n v="129.9"/>
    <x v="4"/>
  </r>
  <r>
    <s v="Urban"/>
    <n v="2018"/>
    <s v="February"/>
    <x v="62"/>
    <s v="Health"/>
    <n v="129.80000000000001"/>
    <x v="5"/>
  </r>
  <r>
    <s v="Urban"/>
    <n v="2018"/>
    <s v="February"/>
    <x v="62"/>
    <s v="Transport and communication"/>
    <n v="117.4"/>
    <x v="6"/>
  </r>
  <r>
    <s v="Urban"/>
    <n v="2018"/>
    <s v="February"/>
    <x v="62"/>
    <s v="Recreation and amusement"/>
    <n v="126.5"/>
    <x v="1"/>
  </r>
  <r>
    <s v="Urban"/>
    <n v="2018"/>
    <s v="February"/>
    <x v="62"/>
    <s v="Education"/>
    <n v="137.19999999999999"/>
    <x v="7"/>
  </r>
  <r>
    <s v="Urban"/>
    <n v="2018"/>
    <s v="February"/>
    <x v="62"/>
    <s v="Personal care and effects"/>
    <n v="126.2"/>
    <x v="4"/>
  </r>
  <r>
    <s v="Urban"/>
    <n v="2018"/>
    <s v="February"/>
    <x v="62"/>
    <s v="Miscellaneous"/>
    <n v="126.5"/>
    <x v="8"/>
  </r>
  <r>
    <s v="Urban"/>
    <n v="2018"/>
    <s v="February"/>
    <x v="62"/>
    <s v="General index"/>
    <n v="134"/>
    <x v="9"/>
  </r>
  <r>
    <s v="Rural+Urban"/>
    <n v="2018"/>
    <s v="February"/>
    <x v="62"/>
    <s v="Cereals and products"/>
    <n v="135.9"/>
    <x v="0"/>
  </r>
  <r>
    <s v="Rural+Urban"/>
    <n v="2018"/>
    <s v="February"/>
    <x v="62"/>
    <s v="Meat and fish"/>
    <n v="143.5"/>
    <x v="0"/>
  </r>
  <r>
    <s v="Rural+Urban"/>
    <n v="2018"/>
    <s v="February"/>
    <x v="62"/>
    <s v="Egg"/>
    <n v="140.30000000000001"/>
    <x v="0"/>
  </r>
  <r>
    <s v="Rural+Urban"/>
    <n v="2018"/>
    <s v="February"/>
    <x v="62"/>
    <s v="Milk and products"/>
    <n v="140.9"/>
    <x v="0"/>
  </r>
  <r>
    <s v="Rural+Urban"/>
    <n v="2018"/>
    <s v="February"/>
    <x v="62"/>
    <s v="Oils and fats"/>
    <n v="120.4"/>
    <x v="0"/>
  </r>
  <r>
    <s v="Rural+Urban"/>
    <n v="2018"/>
    <s v="February"/>
    <x v="62"/>
    <s v="Fruits"/>
    <n v="142.9"/>
    <x v="0"/>
  </r>
  <r>
    <s v="Rural+Urban"/>
    <n v="2018"/>
    <s v="February"/>
    <x v="62"/>
    <s v="Vegetables"/>
    <n v="140.5"/>
    <x v="0"/>
  </r>
  <r>
    <s v="Rural+Urban"/>
    <n v="2018"/>
    <s v="February"/>
    <x v="62"/>
    <s v="Pulses and products"/>
    <n v="125.8"/>
    <x v="0"/>
  </r>
  <r>
    <s v="Rural+Urban"/>
    <n v="2018"/>
    <s v="February"/>
    <x v="62"/>
    <s v="Sugar and Confectionery"/>
    <n v="117.1"/>
    <x v="0"/>
  </r>
  <r>
    <s v="Rural+Urban"/>
    <n v="2018"/>
    <s v="February"/>
    <x v="62"/>
    <s v="Spices"/>
    <n v="137.30000000000001"/>
    <x v="0"/>
  </r>
  <r>
    <s v="Rural+Urban"/>
    <n v="2018"/>
    <s v="February"/>
    <x v="62"/>
    <s v="Non-alcoholic beverages"/>
    <n v="128.6"/>
    <x v="0"/>
  </r>
  <r>
    <s v="Rural+Urban"/>
    <n v="2018"/>
    <s v="February"/>
    <x v="62"/>
    <s v="Prepared meals, snacks, sweets etc."/>
    <n v="149.6"/>
    <x v="0"/>
  </r>
  <r>
    <s v="Rural+Urban"/>
    <n v="2018"/>
    <s v="February"/>
    <x v="62"/>
    <s v="Food and beverages"/>
    <n v="137.6"/>
    <x v="0"/>
  </r>
  <r>
    <s v="Rural+Urban"/>
    <n v="2018"/>
    <s v="February"/>
    <x v="62"/>
    <s v="Pan, tobacco and intoxicants"/>
    <n v="154.9"/>
    <x v="1"/>
  </r>
  <r>
    <s v="Rural+Urban"/>
    <n v="2018"/>
    <s v="February"/>
    <x v="62"/>
    <s v="Clothing"/>
    <n v="143.80000000000001"/>
    <x v="2"/>
  </r>
  <r>
    <s v="Rural+Urban"/>
    <n v="2018"/>
    <s v="February"/>
    <x v="62"/>
    <s v="Footwear"/>
    <n v="135.6"/>
    <x v="2"/>
  </r>
  <r>
    <s v="Rural+Urban"/>
    <n v="2018"/>
    <s v="February"/>
    <x v="62"/>
    <s v="Clothing and footwear"/>
    <n v="142.6"/>
    <x v="2"/>
  </r>
  <r>
    <s v="Rural+Urban"/>
    <n v="2018"/>
    <s v="February"/>
    <x v="62"/>
    <s v="Housing"/>
    <n v="141.30000000000001"/>
    <x v="10"/>
  </r>
  <r>
    <s v="Rural+Urban"/>
    <n v="2018"/>
    <s v="February"/>
    <x v="62"/>
    <s v="Fuel and light"/>
    <n v="136.69999999999999"/>
    <x v="3"/>
  </r>
  <r>
    <s v="Rural+Urban"/>
    <n v="2018"/>
    <s v="February"/>
    <x v="62"/>
    <s v="Household goods and services"/>
    <n v="135.19999999999999"/>
    <x v="4"/>
  </r>
  <r>
    <s v="Rural+Urban"/>
    <n v="2018"/>
    <s v="February"/>
    <x v="62"/>
    <s v="Health"/>
    <n v="133.80000000000001"/>
    <x v="5"/>
  </r>
  <r>
    <s v="Rural+Urban"/>
    <n v="2018"/>
    <s v="February"/>
    <x v="62"/>
    <s v="Transport and communication"/>
    <n v="120.2"/>
    <x v="6"/>
  </r>
  <r>
    <s v="Rural+Urban"/>
    <n v="2018"/>
    <s v="February"/>
    <x v="62"/>
    <s v="Recreation and amusement"/>
    <n v="129.9"/>
    <x v="1"/>
  </r>
  <r>
    <s v="Rural+Urban"/>
    <n v="2018"/>
    <s v="February"/>
    <x v="62"/>
    <s v="Education"/>
    <n v="139"/>
    <x v="7"/>
  </r>
  <r>
    <s v="Rural+Urban"/>
    <n v="2018"/>
    <s v="February"/>
    <x v="62"/>
    <s v="Personal care and effects"/>
    <n v="127.7"/>
    <x v="4"/>
  </r>
  <r>
    <s v="Rural+Urban"/>
    <n v="2018"/>
    <s v="February"/>
    <x v="62"/>
    <s v="Miscellaneous"/>
    <n v="129.6"/>
    <x v="8"/>
  </r>
  <r>
    <s v="Rural+Urban"/>
    <n v="2018"/>
    <s v="February"/>
    <x v="62"/>
    <s v="General index"/>
    <n v="136.4"/>
    <x v="9"/>
  </r>
  <r>
    <s v="Rural"/>
    <n v="2018"/>
    <s v="March"/>
    <x v="63"/>
    <s v="Cereals and products"/>
    <n v="136.80000000000001"/>
    <x v="0"/>
  </r>
  <r>
    <s v="Rural"/>
    <n v="2018"/>
    <s v="March"/>
    <x v="63"/>
    <s v="Meat and fish"/>
    <n v="143.80000000000001"/>
    <x v="0"/>
  </r>
  <r>
    <s v="Rural"/>
    <n v="2018"/>
    <s v="March"/>
    <x v="63"/>
    <s v="Egg"/>
    <n v="140"/>
    <x v="0"/>
  </r>
  <r>
    <s v="Rural"/>
    <n v="2018"/>
    <s v="March"/>
    <x v="63"/>
    <s v="Milk and products"/>
    <n v="142"/>
    <x v="0"/>
  </r>
  <r>
    <s v="Rural"/>
    <n v="2018"/>
    <s v="March"/>
    <x v="63"/>
    <s v="Oils and fats"/>
    <n v="123.2"/>
    <x v="0"/>
  </r>
  <r>
    <s v="Rural"/>
    <n v="2018"/>
    <s v="March"/>
    <x v="63"/>
    <s v="Fruits"/>
    <n v="152.9"/>
    <x v="0"/>
  </r>
  <r>
    <s v="Rural"/>
    <n v="2018"/>
    <s v="March"/>
    <x v="63"/>
    <s v="Vegetables"/>
    <n v="138"/>
    <x v="0"/>
  </r>
  <r>
    <s v="Rural"/>
    <n v="2018"/>
    <s v="March"/>
    <x v="63"/>
    <s v="Pulses and products"/>
    <n v="129.30000000000001"/>
    <x v="0"/>
  </r>
  <r>
    <s v="Rural"/>
    <n v="2018"/>
    <s v="March"/>
    <x v="63"/>
    <s v="Sugar and Confectionery"/>
    <n v="117.1"/>
    <x v="0"/>
  </r>
  <r>
    <s v="Rural"/>
    <n v="2018"/>
    <s v="March"/>
    <x v="63"/>
    <s v="Spices"/>
    <n v="136.30000000000001"/>
    <x v="0"/>
  </r>
  <r>
    <s v="Rural"/>
    <n v="2018"/>
    <s v="March"/>
    <x v="63"/>
    <s v="Non-alcoholic beverages"/>
    <n v="131.19999999999999"/>
    <x v="0"/>
  </r>
  <r>
    <s v="Rural"/>
    <n v="2018"/>
    <s v="March"/>
    <x v="63"/>
    <s v="Prepared meals, snacks, sweets etc."/>
    <n v="152.80000000000001"/>
    <x v="0"/>
  </r>
  <r>
    <s v="Rural"/>
    <n v="2018"/>
    <s v="March"/>
    <x v="63"/>
    <s v="Food and beverages"/>
    <n v="138.6"/>
    <x v="0"/>
  </r>
  <r>
    <s v="Rural"/>
    <n v="2018"/>
    <s v="March"/>
    <x v="63"/>
    <s v="Pan, tobacco and intoxicants"/>
    <n v="155.1"/>
    <x v="1"/>
  </r>
  <r>
    <s v="Rural"/>
    <n v="2018"/>
    <s v="March"/>
    <x v="63"/>
    <s v="Clothing"/>
    <n v="149.19999999999999"/>
    <x v="2"/>
  </r>
  <r>
    <s v="Rural"/>
    <n v="2018"/>
    <s v="March"/>
    <x v="63"/>
    <s v="Footwear"/>
    <n v="143"/>
    <x v="2"/>
  </r>
  <r>
    <s v="Rural"/>
    <n v="2018"/>
    <s v="March"/>
    <x v="63"/>
    <s v="Clothing and footwear"/>
    <n v="148.30000000000001"/>
    <x v="2"/>
  </r>
  <r>
    <s v="Rural"/>
    <n v="2018"/>
    <s v="March"/>
    <x v="63"/>
    <s v="Fuel and light"/>
    <n v="142.6"/>
    <x v="3"/>
  </r>
  <r>
    <s v="Rural"/>
    <n v="2018"/>
    <s v="March"/>
    <x v="63"/>
    <s v="Household goods and services"/>
    <n v="139.9"/>
    <x v="4"/>
  </r>
  <r>
    <s v="Rural"/>
    <n v="2018"/>
    <s v="March"/>
    <x v="63"/>
    <s v="Health"/>
    <n v="136.69999999999999"/>
    <x v="5"/>
  </r>
  <r>
    <s v="Rural"/>
    <n v="2018"/>
    <s v="March"/>
    <x v="63"/>
    <s v="Transport and communication"/>
    <n v="124.6"/>
    <x v="6"/>
  </r>
  <r>
    <s v="Rural"/>
    <n v="2018"/>
    <s v="March"/>
    <x v="63"/>
    <s v="Recreation and amusement"/>
    <n v="135.1"/>
    <x v="1"/>
  </r>
  <r>
    <s v="Rural"/>
    <n v="2018"/>
    <s v="March"/>
    <x v="63"/>
    <s v="Education"/>
    <n v="142.69999999999999"/>
    <x v="7"/>
  </r>
  <r>
    <s v="Rural"/>
    <n v="2018"/>
    <s v="March"/>
    <x v="63"/>
    <s v="Personal care and effects"/>
    <n v="129.30000000000001"/>
    <x v="4"/>
  </r>
  <r>
    <s v="Rural"/>
    <n v="2018"/>
    <s v="March"/>
    <x v="63"/>
    <s v="Miscellaneous"/>
    <n v="133.30000000000001"/>
    <x v="8"/>
  </r>
  <r>
    <s v="Rural"/>
    <n v="2018"/>
    <s v="March"/>
    <x v="63"/>
    <s v="General index"/>
    <n v="138.69999999999999"/>
    <x v="9"/>
  </r>
  <r>
    <s v="Urban"/>
    <n v="2018"/>
    <s v="March"/>
    <x v="63"/>
    <s v="Cereals and products"/>
    <n v="135"/>
    <x v="0"/>
  </r>
  <r>
    <s v="Urban"/>
    <n v="2018"/>
    <s v="March"/>
    <x v="63"/>
    <s v="Meat and fish"/>
    <n v="143.1"/>
    <x v="0"/>
  </r>
  <r>
    <s v="Urban"/>
    <n v="2018"/>
    <s v="March"/>
    <x v="63"/>
    <s v="Egg"/>
    <n v="135.5"/>
    <x v="0"/>
  </r>
  <r>
    <s v="Urban"/>
    <n v="2018"/>
    <s v="March"/>
    <x v="63"/>
    <s v="Milk and products"/>
    <n v="139.9"/>
    <x v="0"/>
  </r>
  <r>
    <s v="Urban"/>
    <n v="2018"/>
    <s v="March"/>
    <x v="63"/>
    <s v="Oils and fats"/>
    <n v="116.5"/>
    <x v="0"/>
  </r>
  <r>
    <s v="Urban"/>
    <n v="2018"/>
    <s v="March"/>
    <x v="63"/>
    <s v="Fruits"/>
    <n v="138.5"/>
    <x v="0"/>
  </r>
  <r>
    <s v="Urban"/>
    <n v="2018"/>
    <s v="March"/>
    <x v="63"/>
    <s v="Vegetables"/>
    <n v="128"/>
    <x v="0"/>
  </r>
  <r>
    <s v="Urban"/>
    <n v="2018"/>
    <s v="March"/>
    <x v="63"/>
    <s v="Pulses and products"/>
    <n v="115.5"/>
    <x v="0"/>
  </r>
  <r>
    <s v="Urban"/>
    <n v="2018"/>
    <s v="March"/>
    <x v="63"/>
    <s v="Sugar and Confectionery"/>
    <n v="114.2"/>
    <x v="0"/>
  </r>
  <r>
    <s v="Urban"/>
    <n v="2018"/>
    <s v="March"/>
    <x v="63"/>
    <s v="Spices"/>
    <n v="140.69999999999999"/>
    <x v="0"/>
  </r>
  <r>
    <s v="Urban"/>
    <n v="2018"/>
    <s v="March"/>
    <x v="63"/>
    <s v="Non-alcoholic beverages"/>
    <n v="126.2"/>
    <x v="0"/>
  </r>
  <r>
    <s v="Urban"/>
    <n v="2018"/>
    <s v="March"/>
    <x v="63"/>
    <s v="Prepared meals, snacks, sweets etc."/>
    <n v="147.6"/>
    <x v="0"/>
  </r>
  <r>
    <s v="Urban"/>
    <n v="2018"/>
    <s v="March"/>
    <x v="63"/>
    <s v="Food and beverages"/>
    <n v="134.80000000000001"/>
    <x v="0"/>
  </r>
  <r>
    <s v="Urban"/>
    <n v="2018"/>
    <s v="March"/>
    <x v="63"/>
    <s v="Pan, tobacco and intoxicants"/>
    <n v="159.69999999999999"/>
    <x v="1"/>
  </r>
  <r>
    <s v="Urban"/>
    <n v="2018"/>
    <s v="March"/>
    <x v="63"/>
    <s v="Clothing"/>
    <n v="136.69999999999999"/>
    <x v="2"/>
  </r>
  <r>
    <s v="Urban"/>
    <n v="2018"/>
    <s v="March"/>
    <x v="63"/>
    <s v="Footwear"/>
    <n v="126.7"/>
    <x v="2"/>
  </r>
  <r>
    <s v="Urban"/>
    <n v="2018"/>
    <s v="March"/>
    <x v="63"/>
    <s v="Clothing and footwear"/>
    <n v="135.19999999999999"/>
    <x v="2"/>
  </r>
  <r>
    <s v="Urban"/>
    <n v="2018"/>
    <s v="March"/>
    <x v="63"/>
    <s v="Housing"/>
    <n v="142"/>
    <x v="10"/>
  </r>
  <r>
    <s v="Urban"/>
    <n v="2018"/>
    <s v="March"/>
    <x v="63"/>
    <s v="Fuel and light"/>
    <n v="126.4"/>
    <x v="3"/>
  </r>
  <r>
    <s v="Urban"/>
    <n v="2018"/>
    <s v="March"/>
    <x v="63"/>
    <s v="Household goods and services"/>
    <n v="130.80000000000001"/>
    <x v="4"/>
  </r>
  <r>
    <s v="Urban"/>
    <n v="2018"/>
    <s v="March"/>
    <x v="63"/>
    <s v="Health"/>
    <n v="130.5"/>
    <x v="5"/>
  </r>
  <r>
    <s v="Urban"/>
    <n v="2018"/>
    <s v="March"/>
    <x v="63"/>
    <s v="Transport and communication"/>
    <n v="117.8"/>
    <x v="6"/>
  </r>
  <r>
    <s v="Urban"/>
    <n v="2018"/>
    <s v="March"/>
    <x v="63"/>
    <s v="Recreation and amusement"/>
    <n v="126.8"/>
    <x v="1"/>
  </r>
  <r>
    <s v="Urban"/>
    <n v="2018"/>
    <s v="March"/>
    <x v="63"/>
    <s v="Education"/>
    <n v="137.80000000000001"/>
    <x v="7"/>
  </r>
  <r>
    <s v="Urban"/>
    <n v="2018"/>
    <s v="March"/>
    <x v="63"/>
    <s v="Personal care and effects"/>
    <n v="126.7"/>
    <x v="4"/>
  </r>
  <r>
    <s v="Urban"/>
    <n v="2018"/>
    <s v="March"/>
    <x v="63"/>
    <s v="Miscellaneous"/>
    <n v="127.1"/>
    <x v="8"/>
  </r>
  <r>
    <s v="Urban"/>
    <n v="2018"/>
    <s v="March"/>
    <x v="63"/>
    <s v="General index"/>
    <n v="134"/>
    <x v="9"/>
  </r>
  <r>
    <s v="Rural+Urban"/>
    <n v="2018"/>
    <s v="March"/>
    <x v="63"/>
    <s v="Cereals and products"/>
    <n v="136.19999999999999"/>
    <x v="0"/>
  </r>
  <r>
    <s v="Rural+Urban"/>
    <n v="2018"/>
    <s v="March"/>
    <x v="63"/>
    <s v="Meat and fish"/>
    <n v="143.6"/>
    <x v="0"/>
  </r>
  <r>
    <s v="Rural+Urban"/>
    <n v="2018"/>
    <s v="March"/>
    <x v="63"/>
    <s v="Egg"/>
    <n v="138.30000000000001"/>
    <x v="0"/>
  </r>
  <r>
    <s v="Rural+Urban"/>
    <n v="2018"/>
    <s v="March"/>
    <x v="63"/>
    <s v="Milk and products"/>
    <n v="141.19999999999999"/>
    <x v="0"/>
  </r>
  <r>
    <s v="Rural+Urban"/>
    <n v="2018"/>
    <s v="March"/>
    <x v="63"/>
    <s v="Oils and fats"/>
    <n v="120.7"/>
    <x v="0"/>
  </r>
  <r>
    <s v="Rural+Urban"/>
    <n v="2018"/>
    <s v="March"/>
    <x v="63"/>
    <s v="Fruits"/>
    <n v="146.19999999999999"/>
    <x v="0"/>
  </r>
  <r>
    <s v="Rural+Urban"/>
    <n v="2018"/>
    <s v="March"/>
    <x v="63"/>
    <s v="Vegetables"/>
    <n v="134.6"/>
    <x v="0"/>
  </r>
  <r>
    <s v="Rural+Urban"/>
    <n v="2018"/>
    <s v="March"/>
    <x v="63"/>
    <s v="Pulses and products"/>
    <n v="124.6"/>
    <x v="0"/>
  </r>
  <r>
    <s v="Rural+Urban"/>
    <n v="2018"/>
    <s v="March"/>
    <x v="63"/>
    <s v="Sugar and Confectionery"/>
    <n v="116.1"/>
    <x v="0"/>
  </r>
  <r>
    <s v="Rural+Urban"/>
    <n v="2018"/>
    <s v="March"/>
    <x v="63"/>
    <s v="Spices"/>
    <n v="137.80000000000001"/>
    <x v="0"/>
  </r>
  <r>
    <s v="Rural+Urban"/>
    <n v="2018"/>
    <s v="March"/>
    <x v="63"/>
    <s v="Non-alcoholic beverages"/>
    <n v="129.1"/>
    <x v="0"/>
  </r>
  <r>
    <s v="Rural+Urban"/>
    <n v="2018"/>
    <s v="March"/>
    <x v="63"/>
    <s v="Prepared meals, snacks, sweets etc."/>
    <n v="150.4"/>
    <x v="0"/>
  </r>
  <r>
    <s v="Rural+Urban"/>
    <n v="2018"/>
    <s v="March"/>
    <x v="63"/>
    <s v="Food and beverages"/>
    <n v="137.19999999999999"/>
    <x v="0"/>
  </r>
  <r>
    <s v="Rural+Urban"/>
    <n v="2018"/>
    <s v="March"/>
    <x v="63"/>
    <s v="Pan, tobacco and intoxicants"/>
    <n v="156.30000000000001"/>
    <x v="1"/>
  </r>
  <r>
    <s v="Rural+Urban"/>
    <n v="2018"/>
    <s v="March"/>
    <x v="63"/>
    <s v="Clothing"/>
    <n v="144.30000000000001"/>
    <x v="2"/>
  </r>
  <r>
    <s v="Rural+Urban"/>
    <n v="2018"/>
    <s v="March"/>
    <x v="63"/>
    <s v="Footwear"/>
    <n v="136.19999999999999"/>
    <x v="2"/>
  </r>
  <r>
    <s v="Rural+Urban"/>
    <n v="2018"/>
    <s v="March"/>
    <x v="63"/>
    <s v="Clothing and footwear"/>
    <n v="143.1"/>
    <x v="2"/>
  </r>
  <r>
    <s v="Rural+Urban"/>
    <n v="2018"/>
    <s v="March"/>
    <x v="63"/>
    <s v="Housing"/>
    <n v="142"/>
    <x v="10"/>
  </r>
  <r>
    <s v="Rural+Urban"/>
    <n v="2018"/>
    <s v="March"/>
    <x v="63"/>
    <s v="Fuel and light"/>
    <n v="136.5"/>
    <x v="3"/>
  </r>
  <r>
    <s v="Rural+Urban"/>
    <n v="2018"/>
    <s v="March"/>
    <x v="63"/>
    <s v="Household goods and services"/>
    <n v="135.6"/>
    <x v="4"/>
  </r>
  <r>
    <s v="Rural+Urban"/>
    <n v="2018"/>
    <s v="March"/>
    <x v="63"/>
    <s v="Health"/>
    <n v="134.30000000000001"/>
    <x v="5"/>
  </r>
  <r>
    <s v="Rural+Urban"/>
    <n v="2018"/>
    <s v="March"/>
    <x v="63"/>
    <s v="Transport and communication"/>
    <n v="121"/>
    <x v="6"/>
  </r>
  <r>
    <s v="Rural+Urban"/>
    <n v="2018"/>
    <s v="March"/>
    <x v="63"/>
    <s v="Recreation and amusement"/>
    <n v="130.4"/>
    <x v="1"/>
  </r>
  <r>
    <s v="Rural+Urban"/>
    <n v="2018"/>
    <s v="March"/>
    <x v="63"/>
    <s v="Education"/>
    <n v="139.80000000000001"/>
    <x v="7"/>
  </r>
  <r>
    <s v="Rural+Urban"/>
    <n v="2018"/>
    <s v="March"/>
    <x v="63"/>
    <s v="Personal care and effects"/>
    <n v="128.19999999999999"/>
    <x v="4"/>
  </r>
  <r>
    <s v="Rural+Urban"/>
    <n v="2018"/>
    <s v="March"/>
    <x v="63"/>
    <s v="Miscellaneous"/>
    <n v="130.30000000000001"/>
    <x v="8"/>
  </r>
  <r>
    <s v="Rural+Urban"/>
    <n v="2018"/>
    <s v="March"/>
    <x v="63"/>
    <s v="General index"/>
    <n v="136.5"/>
    <x v="9"/>
  </r>
  <r>
    <s v="Rural"/>
    <n v="2018"/>
    <s v="April"/>
    <x v="64"/>
    <s v="Cereals and products"/>
    <n v="137.1"/>
    <x v="0"/>
  </r>
  <r>
    <s v="Rural"/>
    <n v="2018"/>
    <s v="April"/>
    <x v="64"/>
    <s v="Meat and fish"/>
    <n v="144.5"/>
    <x v="0"/>
  </r>
  <r>
    <s v="Rural"/>
    <n v="2018"/>
    <s v="April"/>
    <x v="64"/>
    <s v="Egg"/>
    <n v="135.9"/>
    <x v="0"/>
  </r>
  <r>
    <s v="Rural"/>
    <n v="2018"/>
    <s v="April"/>
    <x v="64"/>
    <s v="Milk and products"/>
    <n v="142.4"/>
    <x v="0"/>
  </r>
  <r>
    <s v="Rural"/>
    <n v="2018"/>
    <s v="April"/>
    <x v="64"/>
    <s v="Oils and fats"/>
    <n v="123.5"/>
    <x v="0"/>
  </r>
  <r>
    <s v="Rural"/>
    <n v="2018"/>
    <s v="April"/>
    <x v="64"/>
    <s v="Fruits"/>
    <n v="156.4"/>
    <x v="0"/>
  </r>
  <r>
    <s v="Rural"/>
    <n v="2018"/>
    <s v="April"/>
    <x v="64"/>
    <s v="Vegetables"/>
    <n v="135.1"/>
    <x v="0"/>
  </r>
  <r>
    <s v="Rural"/>
    <n v="2018"/>
    <s v="April"/>
    <x v="64"/>
    <s v="Pulses and products"/>
    <n v="128.4"/>
    <x v="0"/>
  </r>
  <r>
    <s v="Rural"/>
    <n v="2018"/>
    <s v="April"/>
    <x v="64"/>
    <s v="Sugar and Confectionery"/>
    <n v="115.2"/>
    <x v="0"/>
  </r>
  <r>
    <s v="Rural"/>
    <n v="2018"/>
    <s v="April"/>
    <x v="64"/>
    <s v="Spices"/>
    <n v="137.19999999999999"/>
    <x v="0"/>
  </r>
  <r>
    <s v="Rural"/>
    <n v="2018"/>
    <s v="April"/>
    <x v="64"/>
    <s v="Non-alcoholic beverages"/>
    <n v="131.9"/>
    <x v="0"/>
  </r>
  <r>
    <s v="Rural"/>
    <n v="2018"/>
    <s v="April"/>
    <x v="64"/>
    <s v="Prepared meals, snacks, sweets etc."/>
    <n v="153.80000000000001"/>
    <x v="0"/>
  </r>
  <r>
    <s v="Rural"/>
    <n v="2018"/>
    <s v="April"/>
    <x v="64"/>
    <s v="Food and beverages"/>
    <n v="138.6"/>
    <x v="0"/>
  </r>
  <r>
    <s v="Rural"/>
    <n v="2018"/>
    <s v="April"/>
    <x v="64"/>
    <s v="Pan, tobacco and intoxicants"/>
    <n v="156.1"/>
    <x v="1"/>
  </r>
  <r>
    <s v="Rural"/>
    <n v="2018"/>
    <s v="April"/>
    <x v="64"/>
    <s v="Clothing"/>
    <n v="150.1"/>
    <x v="2"/>
  </r>
  <r>
    <s v="Rural"/>
    <n v="2018"/>
    <s v="April"/>
    <x v="64"/>
    <s v="Footwear"/>
    <n v="143.30000000000001"/>
    <x v="2"/>
  </r>
  <r>
    <s v="Rural"/>
    <n v="2018"/>
    <s v="April"/>
    <x v="64"/>
    <s v="Clothing and footwear"/>
    <n v="149.1"/>
    <x v="2"/>
  </r>
  <r>
    <s v="Rural"/>
    <n v="2018"/>
    <s v="April"/>
    <x v="64"/>
    <s v="Fuel and light"/>
    <n v="143.80000000000001"/>
    <x v="3"/>
  </r>
  <r>
    <s v="Rural"/>
    <n v="2018"/>
    <s v="April"/>
    <x v="64"/>
    <s v="Household goods and services"/>
    <n v="140.9"/>
    <x v="4"/>
  </r>
  <r>
    <s v="Rural"/>
    <n v="2018"/>
    <s v="April"/>
    <x v="64"/>
    <s v="Health"/>
    <n v="137.6"/>
    <x v="5"/>
  </r>
  <r>
    <s v="Rural"/>
    <n v="2018"/>
    <s v="April"/>
    <x v="64"/>
    <s v="Transport and communication"/>
    <n v="125.3"/>
    <x v="6"/>
  </r>
  <r>
    <s v="Rural"/>
    <n v="2018"/>
    <s v="April"/>
    <x v="64"/>
    <s v="Recreation and amusement"/>
    <n v="136"/>
    <x v="1"/>
  </r>
  <r>
    <s v="Rural"/>
    <n v="2018"/>
    <s v="April"/>
    <x v="64"/>
    <s v="Education"/>
    <n v="143.69999999999999"/>
    <x v="7"/>
  </r>
  <r>
    <s v="Rural"/>
    <n v="2018"/>
    <s v="April"/>
    <x v="64"/>
    <s v="Personal care and effects"/>
    <n v="130.4"/>
    <x v="4"/>
  </r>
  <r>
    <s v="Rural"/>
    <n v="2018"/>
    <s v="April"/>
    <x v="64"/>
    <s v="Miscellaneous"/>
    <n v="134.19999999999999"/>
    <x v="8"/>
  </r>
  <r>
    <s v="Rural"/>
    <n v="2018"/>
    <s v="April"/>
    <x v="64"/>
    <s v="General index"/>
    <n v="139.1"/>
    <x v="9"/>
  </r>
  <r>
    <s v="Urban"/>
    <n v="2018"/>
    <s v="April"/>
    <x v="64"/>
    <s v="Cereals and products"/>
    <n v="135"/>
    <x v="0"/>
  </r>
  <r>
    <s v="Urban"/>
    <n v="2018"/>
    <s v="April"/>
    <x v="64"/>
    <s v="Meat and fish"/>
    <n v="144.30000000000001"/>
    <x v="0"/>
  </r>
  <r>
    <s v="Urban"/>
    <n v="2018"/>
    <s v="April"/>
    <x v="64"/>
    <s v="Egg"/>
    <n v="130.80000000000001"/>
    <x v="0"/>
  </r>
  <r>
    <s v="Urban"/>
    <n v="2018"/>
    <s v="April"/>
    <x v="64"/>
    <s v="Milk and products"/>
    <n v="140.30000000000001"/>
    <x v="0"/>
  </r>
  <r>
    <s v="Urban"/>
    <n v="2018"/>
    <s v="April"/>
    <x v="64"/>
    <s v="Oils and fats"/>
    <n v="116.6"/>
    <x v="0"/>
  </r>
  <r>
    <s v="Urban"/>
    <n v="2018"/>
    <s v="April"/>
    <x v="64"/>
    <s v="Fruits"/>
    <n v="150.1"/>
    <x v="0"/>
  </r>
  <r>
    <s v="Urban"/>
    <n v="2018"/>
    <s v="April"/>
    <x v="64"/>
    <s v="Vegetables"/>
    <n v="127.6"/>
    <x v="0"/>
  </r>
  <r>
    <s v="Urban"/>
    <n v="2018"/>
    <s v="April"/>
    <x v="64"/>
    <s v="Pulses and products"/>
    <n v="114"/>
    <x v="0"/>
  </r>
  <r>
    <s v="Urban"/>
    <n v="2018"/>
    <s v="April"/>
    <x v="64"/>
    <s v="Sugar and Confectionery"/>
    <n v="110.6"/>
    <x v="0"/>
  </r>
  <r>
    <s v="Urban"/>
    <n v="2018"/>
    <s v="April"/>
    <x v="64"/>
    <s v="Spices"/>
    <n v="140.19999999999999"/>
    <x v="0"/>
  </r>
  <r>
    <s v="Urban"/>
    <n v="2018"/>
    <s v="April"/>
    <x v="64"/>
    <s v="Non-alcoholic beverages"/>
    <n v="126.5"/>
    <x v="0"/>
  </r>
  <r>
    <s v="Urban"/>
    <n v="2018"/>
    <s v="April"/>
    <x v="64"/>
    <s v="Prepared meals, snacks, sweets etc."/>
    <n v="148.30000000000001"/>
    <x v="0"/>
  </r>
  <r>
    <s v="Urban"/>
    <n v="2018"/>
    <s v="April"/>
    <x v="64"/>
    <s v="Food and beverages"/>
    <n v="135.69999999999999"/>
    <x v="0"/>
  </r>
  <r>
    <s v="Urban"/>
    <n v="2018"/>
    <s v="April"/>
    <x v="64"/>
    <s v="Pan, tobacco and intoxicants"/>
    <n v="159.19999999999999"/>
    <x v="1"/>
  </r>
  <r>
    <s v="Urban"/>
    <n v="2018"/>
    <s v="April"/>
    <x v="64"/>
    <s v="Clothing"/>
    <n v="137.80000000000001"/>
    <x v="2"/>
  </r>
  <r>
    <s v="Urban"/>
    <n v="2018"/>
    <s v="April"/>
    <x v="64"/>
    <s v="Footwear"/>
    <n v="127.4"/>
    <x v="2"/>
  </r>
  <r>
    <s v="Urban"/>
    <n v="2018"/>
    <s v="April"/>
    <x v="64"/>
    <s v="Clothing and footwear"/>
    <n v="136.19999999999999"/>
    <x v="2"/>
  </r>
  <r>
    <s v="Urban"/>
    <n v="2018"/>
    <s v="April"/>
    <x v="64"/>
    <s v="Housing"/>
    <n v="142.9"/>
    <x v="10"/>
  </r>
  <r>
    <s v="Urban"/>
    <n v="2018"/>
    <s v="April"/>
    <x v="64"/>
    <s v="Fuel and light"/>
    <n v="124.6"/>
    <x v="3"/>
  </r>
  <r>
    <s v="Urban"/>
    <n v="2018"/>
    <s v="April"/>
    <x v="64"/>
    <s v="Household goods and services"/>
    <n v="131.80000000000001"/>
    <x v="4"/>
  </r>
  <r>
    <s v="Urban"/>
    <n v="2018"/>
    <s v="April"/>
    <x v="64"/>
    <s v="Health"/>
    <n v="131.30000000000001"/>
    <x v="5"/>
  </r>
  <r>
    <s v="Urban"/>
    <n v="2018"/>
    <s v="April"/>
    <x v="64"/>
    <s v="Transport and communication"/>
    <n v="118.9"/>
    <x v="6"/>
  </r>
  <r>
    <s v="Urban"/>
    <n v="2018"/>
    <s v="April"/>
    <x v="64"/>
    <s v="Recreation and amusement"/>
    <n v="127.6"/>
    <x v="1"/>
  </r>
  <r>
    <s v="Urban"/>
    <n v="2018"/>
    <s v="April"/>
    <x v="64"/>
    <s v="Education"/>
    <n v="139.69999999999999"/>
    <x v="7"/>
  </r>
  <r>
    <s v="Urban"/>
    <n v="2018"/>
    <s v="April"/>
    <x v="64"/>
    <s v="Personal care and effects"/>
    <n v="127.6"/>
    <x v="4"/>
  </r>
  <r>
    <s v="Urban"/>
    <n v="2018"/>
    <s v="April"/>
    <x v="64"/>
    <s v="Miscellaneous"/>
    <n v="128.19999999999999"/>
    <x v="8"/>
  </r>
  <r>
    <s v="Urban"/>
    <n v="2018"/>
    <s v="April"/>
    <x v="64"/>
    <s v="General index"/>
    <n v="134.80000000000001"/>
    <x v="9"/>
  </r>
  <r>
    <s v="Rural+Urban"/>
    <n v="2018"/>
    <s v="April"/>
    <x v="64"/>
    <s v="Cereals and products"/>
    <n v="136.4"/>
    <x v="0"/>
  </r>
  <r>
    <s v="Rural+Urban"/>
    <n v="2018"/>
    <s v="April"/>
    <x v="64"/>
    <s v="Meat and fish"/>
    <n v="144.4"/>
    <x v="0"/>
  </r>
  <r>
    <s v="Rural+Urban"/>
    <n v="2018"/>
    <s v="April"/>
    <x v="64"/>
    <s v="Egg"/>
    <n v="133.9"/>
    <x v="0"/>
  </r>
  <r>
    <s v="Rural+Urban"/>
    <n v="2018"/>
    <s v="April"/>
    <x v="64"/>
    <s v="Milk and products"/>
    <n v="141.6"/>
    <x v="0"/>
  </r>
  <r>
    <s v="Rural+Urban"/>
    <n v="2018"/>
    <s v="April"/>
    <x v="64"/>
    <s v="Oils and fats"/>
    <n v="121"/>
    <x v="0"/>
  </r>
  <r>
    <s v="Rural+Urban"/>
    <n v="2018"/>
    <s v="April"/>
    <x v="64"/>
    <s v="Fruits"/>
    <n v="153.5"/>
    <x v="0"/>
  </r>
  <r>
    <s v="Rural+Urban"/>
    <n v="2018"/>
    <s v="April"/>
    <x v="64"/>
    <s v="Vegetables"/>
    <n v="132.6"/>
    <x v="0"/>
  </r>
  <r>
    <s v="Rural+Urban"/>
    <n v="2018"/>
    <s v="April"/>
    <x v="64"/>
    <s v="Pulses and products"/>
    <n v="123.5"/>
    <x v="0"/>
  </r>
  <r>
    <s v="Rural+Urban"/>
    <n v="2018"/>
    <s v="April"/>
    <x v="64"/>
    <s v="Sugar and Confectionery"/>
    <n v="113.7"/>
    <x v="0"/>
  </r>
  <r>
    <s v="Rural+Urban"/>
    <n v="2018"/>
    <s v="April"/>
    <x v="64"/>
    <s v="Spices"/>
    <n v="138.19999999999999"/>
    <x v="0"/>
  </r>
  <r>
    <s v="Rural+Urban"/>
    <n v="2018"/>
    <s v="April"/>
    <x v="64"/>
    <s v="Non-alcoholic beverages"/>
    <n v="129.6"/>
    <x v="0"/>
  </r>
  <r>
    <s v="Rural+Urban"/>
    <n v="2018"/>
    <s v="April"/>
    <x v="64"/>
    <s v="Prepared meals, snacks, sweets etc."/>
    <n v="151.19999999999999"/>
    <x v="0"/>
  </r>
  <r>
    <s v="Rural+Urban"/>
    <n v="2018"/>
    <s v="April"/>
    <x v="64"/>
    <s v="Food and beverages"/>
    <n v="137.5"/>
    <x v="0"/>
  </r>
  <r>
    <s v="Rural+Urban"/>
    <n v="2018"/>
    <s v="April"/>
    <x v="64"/>
    <s v="Pan, tobacco and intoxicants"/>
    <n v="156.9"/>
    <x v="1"/>
  </r>
  <r>
    <s v="Rural+Urban"/>
    <n v="2018"/>
    <s v="April"/>
    <x v="64"/>
    <s v="Clothing"/>
    <n v="145.30000000000001"/>
    <x v="2"/>
  </r>
  <r>
    <s v="Rural+Urban"/>
    <n v="2018"/>
    <s v="April"/>
    <x v="64"/>
    <s v="Footwear"/>
    <n v="136.69999999999999"/>
    <x v="2"/>
  </r>
  <r>
    <s v="Rural+Urban"/>
    <n v="2018"/>
    <s v="April"/>
    <x v="64"/>
    <s v="Clothing and footwear"/>
    <n v="144"/>
    <x v="2"/>
  </r>
  <r>
    <s v="Rural+Urban"/>
    <n v="2018"/>
    <s v="April"/>
    <x v="64"/>
    <s v="Housing"/>
    <n v="142.9"/>
    <x v="10"/>
  </r>
  <r>
    <s v="Rural+Urban"/>
    <n v="2018"/>
    <s v="April"/>
    <x v="64"/>
    <s v="Fuel and light"/>
    <n v="136.5"/>
    <x v="3"/>
  </r>
  <r>
    <s v="Rural+Urban"/>
    <n v="2018"/>
    <s v="April"/>
    <x v="64"/>
    <s v="Household goods and services"/>
    <n v="136.6"/>
    <x v="4"/>
  </r>
  <r>
    <s v="Rural+Urban"/>
    <n v="2018"/>
    <s v="April"/>
    <x v="64"/>
    <s v="Health"/>
    <n v="135.19999999999999"/>
    <x v="5"/>
  </r>
  <r>
    <s v="Rural+Urban"/>
    <n v="2018"/>
    <s v="April"/>
    <x v="64"/>
    <s v="Transport and communication"/>
    <n v="121.9"/>
    <x v="6"/>
  </r>
  <r>
    <s v="Rural+Urban"/>
    <n v="2018"/>
    <s v="April"/>
    <x v="64"/>
    <s v="Recreation and amusement"/>
    <n v="131.30000000000001"/>
    <x v="1"/>
  </r>
  <r>
    <s v="Rural+Urban"/>
    <n v="2018"/>
    <s v="April"/>
    <x v="64"/>
    <s v="Education"/>
    <n v="141.4"/>
    <x v="7"/>
  </r>
  <r>
    <s v="Rural+Urban"/>
    <n v="2018"/>
    <s v="April"/>
    <x v="64"/>
    <s v="Personal care and effects"/>
    <n v="129.19999999999999"/>
    <x v="4"/>
  </r>
  <r>
    <s v="Rural+Urban"/>
    <n v="2018"/>
    <s v="April"/>
    <x v="64"/>
    <s v="Miscellaneous"/>
    <n v="131.30000000000001"/>
    <x v="8"/>
  </r>
  <r>
    <s v="Rural+Urban"/>
    <n v="2018"/>
    <s v="April"/>
    <x v="64"/>
    <s v="General index"/>
    <n v="137.1"/>
    <x v="9"/>
  </r>
  <r>
    <s v="Rural"/>
    <n v="2018"/>
    <s v="May"/>
    <x v="65"/>
    <s v="Cereals and products"/>
    <n v="137.4"/>
    <x v="0"/>
  </r>
  <r>
    <s v="Rural"/>
    <n v="2018"/>
    <s v="May"/>
    <x v="65"/>
    <s v="Meat and fish"/>
    <n v="145.69999999999999"/>
    <x v="0"/>
  </r>
  <r>
    <s v="Rural"/>
    <n v="2018"/>
    <s v="May"/>
    <x v="65"/>
    <s v="Egg"/>
    <n v="135.5"/>
    <x v="0"/>
  </r>
  <r>
    <s v="Rural"/>
    <n v="2018"/>
    <s v="May"/>
    <x v="65"/>
    <s v="Milk and products"/>
    <n v="142.9"/>
    <x v="0"/>
  </r>
  <r>
    <s v="Rural"/>
    <n v="2018"/>
    <s v="May"/>
    <x v="65"/>
    <s v="Oils and fats"/>
    <n v="123.6"/>
    <x v="0"/>
  </r>
  <r>
    <s v="Rural"/>
    <n v="2018"/>
    <s v="May"/>
    <x v="65"/>
    <s v="Fruits"/>
    <n v="157.5"/>
    <x v="0"/>
  </r>
  <r>
    <s v="Rural"/>
    <n v="2018"/>
    <s v="May"/>
    <x v="65"/>
    <s v="Vegetables"/>
    <n v="137.80000000000001"/>
    <x v="0"/>
  </r>
  <r>
    <s v="Rural"/>
    <n v="2018"/>
    <s v="May"/>
    <x v="65"/>
    <s v="Pulses and products"/>
    <n v="127.2"/>
    <x v="0"/>
  </r>
  <r>
    <s v="Rural"/>
    <n v="2018"/>
    <s v="May"/>
    <x v="65"/>
    <s v="Sugar and Confectionery"/>
    <n v="111.8"/>
    <x v="0"/>
  </r>
  <r>
    <s v="Rural"/>
    <n v="2018"/>
    <s v="May"/>
    <x v="65"/>
    <s v="Spices"/>
    <n v="137.4"/>
    <x v="0"/>
  </r>
  <r>
    <s v="Rural"/>
    <n v="2018"/>
    <s v="May"/>
    <x v="65"/>
    <s v="Non-alcoholic beverages"/>
    <n v="132.19999999999999"/>
    <x v="0"/>
  </r>
  <r>
    <s v="Rural"/>
    <n v="2018"/>
    <s v="May"/>
    <x v="65"/>
    <s v="Prepared meals, snacks, sweets etc."/>
    <n v="154.30000000000001"/>
    <x v="0"/>
  </r>
  <r>
    <s v="Rural"/>
    <n v="2018"/>
    <s v="May"/>
    <x v="65"/>
    <s v="Food and beverages"/>
    <n v="139.1"/>
    <x v="0"/>
  </r>
  <r>
    <s v="Rural"/>
    <n v="2018"/>
    <s v="May"/>
    <x v="65"/>
    <s v="Pan, tobacco and intoxicants"/>
    <n v="157"/>
    <x v="1"/>
  </r>
  <r>
    <s v="Rural"/>
    <n v="2018"/>
    <s v="May"/>
    <x v="65"/>
    <s v="Clothing"/>
    <n v="150.80000000000001"/>
    <x v="2"/>
  </r>
  <r>
    <s v="Rural"/>
    <n v="2018"/>
    <s v="May"/>
    <x v="65"/>
    <s v="Footwear"/>
    <n v="144.1"/>
    <x v="2"/>
  </r>
  <r>
    <s v="Rural"/>
    <n v="2018"/>
    <s v="May"/>
    <x v="65"/>
    <s v="Clothing and footwear"/>
    <n v="149.80000000000001"/>
    <x v="2"/>
  </r>
  <r>
    <s v="Rural"/>
    <n v="2018"/>
    <s v="May"/>
    <x v="65"/>
    <s v="Fuel and light"/>
    <n v="144.30000000000001"/>
    <x v="3"/>
  </r>
  <r>
    <s v="Rural"/>
    <n v="2018"/>
    <s v="May"/>
    <x v="65"/>
    <s v="Household goods and services"/>
    <n v="141.80000000000001"/>
    <x v="4"/>
  </r>
  <r>
    <s v="Rural"/>
    <n v="2018"/>
    <s v="May"/>
    <x v="65"/>
    <s v="Health"/>
    <n v="138.4"/>
    <x v="5"/>
  </r>
  <r>
    <s v="Rural"/>
    <n v="2018"/>
    <s v="May"/>
    <x v="65"/>
    <s v="Transport and communication"/>
    <n v="126.4"/>
    <x v="6"/>
  </r>
  <r>
    <s v="Rural"/>
    <n v="2018"/>
    <s v="May"/>
    <x v="65"/>
    <s v="Recreation and amusement"/>
    <n v="136.80000000000001"/>
    <x v="1"/>
  </r>
  <r>
    <s v="Rural"/>
    <n v="2018"/>
    <s v="May"/>
    <x v="65"/>
    <s v="Education"/>
    <n v="144.4"/>
    <x v="7"/>
  </r>
  <r>
    <s v="Rural"/>
    <n v="2018"/>
    <s v="May"/>
    <x v="65"/>
    <s v="Personal care and effects"/>
    <n v="131.19999999999999"/>
    <x v="4"/>
  </r>
  <r>
    <s v="Rural"/>
    <n v="2018"/>
    <s v="May"/>
    <x v="65"/>
    <s v="Miscellaneous"/>
    <n v="135.1"/>
    <x v="8"/>
  </r>
  <r>
    <s v="Rural"/>
    <n v="2018"/>
    <s v="May"/>
    <x v="65"/>
    <s v="General index"/>
    <n v="139.80000000000001"/>
    <x v="9"/>
  </r>
  <r>
    <s v="Urban"/>
    <n v="2018"/>
    <s v="May"/>
    <x v="65"/>
    <s v="Cereals and products"/>
    <n v="135"/>
    <x v="0"/>
  </r>
  <r>
    <s v="Urban"/>
    <n v="2018"/>
    <s v="May"/>
    <x v="65"/>
    <s v="Meat and fish"/>
    <n v="148.19999999999999"/>
    <x v="0"/>
  </r>
  <r>
    <s v="Urban"/>
    <n v="2018"/>
    <s v="May"/>
    <x v="65"/>
    <s v="Egg"/>
    <n v="130.5"/>
    <x v="0"/>
  </r>
  <r>
    <s v="Urban"/>
    <n v="2018"/>
    <s v="May"/>
    <x v="65"/>
    <s v="Milk and products"/>
    <n v="140.69999999999999"/>
    <x v="0"/>
  </r>
  <r>
    <s v="Urban"/>
    <n v="2018"/>
    <s v="May"/>
    <x v="65"/>
    <s v="Oils and fats"/>
    <n v="116.4"/>
    <x v="0"/>
  </r>
  <r>
    <s v="Urban"/>
    <n v="2018"/>
    <s v="May"/>
    <x v="65"/>
    <s v="Fruits"/>
    <n v="151.30000000000001"/>
    <x v="0"/>
  </r>
  <r>
    <s v="Urban"/>
    <n v="2018"/>
    <s v="May"/>
    <x v="65"/>
    <s v="Vegetables"/>
    <n v="131.4"/>
    <x v="0"/>
  </r>
  <r>
    <s v="Urban"/>
    <n v="2018"/>
    <s v="May"/>
    <x v="65"/>
    <s v="Pulses and products"/>
    <n v="112.8"/>
    <x v="0"/>
  </r>
  <r>
    <s v="Urban"/>
    <n v="2018"/>
    <s v="May"/>
    <x v="65"/>
    <s v="Sugar and Confectionery"/>
    <n v="105.3"/>
    <x v="0"/>
  </r>
  <r>
    <s v="Urban"/>
    <n v="2018"/>
    <s v="May"/>
    <x v="65"/>
    <s v="Spices"/>
    <n v="139.6"/>
    <x v="0"/>
  </r>
  <r>
    <s v="Urban"/>
    <n v="2018"/>
    <s v="May"/>
    <x v="65"/>
    <s v="Non-alcoholic beverages"/>
    <n v="126.6"/>
    <x v="0"/>
  </r>
  <r>
    <s v="Urban"/>
    <n v="2018"/>
    <s v="May"/>
    <x v="65"/>
    <s v="Prepared meals, snacks, sweets etc."/>
    <n v="148.69999999999999"/>
    <x v="0"/>
  </r>
  <r>
    <s v="Urban"/>
    <n v="2018"/>
    <s v="May"/>
    <x v="65"/>
    <s v="Food and beverages"/>
    <n v="136.4"/>
    <x v="0"/>
  </r>
  <r>
    <s v="Urban"/>
    <n v="2018"/>
    <s v="May"/>
    <x v="65"/>
    <s v="Pan, tobacco and intoxicants"/>
    <n v="160.30000000000001"/>
    <x v="1"/>
  </r>
  <r>
    <s v="Urban"/>
    <n v="2018"/>
    <s v="May"/>
    <x v="65"/>
    <s v="Clothing"/>
    <n v="138.6"/>
    <x v="2"/>
  </r>
  <r>
    <s v="Urban"/>
    <n v="2018"/>
    <s v="May"/>
    <x v="65"/>
    <s v="Footwear"/>
    <n v="127.9"/>
    <x v="2"/>
  </r>
  <r>
    <s v="Urban"/>
    <n v="2018"/>
    <s v="May"/>
    <x v="65"/>
    <s v="Clothing and footwear"/>
    <n v="137"/>
    <x v="2"/>
  </r>
  <r>
    <s v="Urban"/>
    <n v="2018"/>
    <s v="May"/>
    <x v="65"/>
    <s v="Housing"/>
    <n v="143.19999999999999"/>
    <x v="10"/>
  </r>
  <r>
    <s v="Urban"/>
    <n v="2018"/>
    <s v="May"/>
    <x v="65"/>
    <s v="Fuel and light"/>
    <n v="124.7"/>
    <x v="3"/>
  </r>
  <r>
    <s v="Urban"/>
    <n v="2018"/>
    <s v="May"/>
    <x v="65"/>
    <s v="Household goods and services"/>
    <n v="132.5"/>
    <x v="4"/>
  </r>
  <r>
    <s v="Urban"/>
    <n v="2018"/>
    <s v="May"/>
    <x v="65"/>
    <s v="Health"/>
    <n v="132"/>
    <x v="5"/>
  </r>
  <r>
    <s v="Urban"/>
    <n v="2018"/>
    <s v="May"/>
    <x v="65"/>
    <s v="Transport and communication"/>
    <n v="119.8"/>
    <x v="6"/>
  </r>
  <r>
    <s v="Urban"/>
    <n v="2018"/>
    <s v="May"/>
    <x v="65"/>
    <s v="Recreation and amusement"/>
    <n v="128"/>
    <x v="1"/>
  </r>
  <r>
    <s v="Urban"/>
    <n v="2018"/>
    <s v="May"/>
    <x v="65"/>
    <s v="Education"/>
    <n v="140.4"/>
    <x v="7"/>
  </r>
  <r>
    <s v="Urban"/>
    <n v="2018"/>
    <s v="May"/>
    <x v="65"/>
    <s v="Personal care and effects"/>
    <n v="128.1"/>
    <x v="4"/>
  </r>
  <r>
    <s v="Urban"/>
    <n v="2018"/>
    <s v="May"/>
    <x v="65"/>
    <s v="Miscellaneous"/>
    <n v="128.9"/>
    <x v="8"/>
  </r>
  <r>
    <s v="Urban"/>
    <n v="2018"/>
    <s v="May"/>
    <x v="65"/>
    <s v="General index"/>
    <n v="135.4"/>
    <x v="9"/>
  </r>
  <r>
    <s v="Rural+Urban"/>
    <n v="2018"/>
    <s v="May"/>
    <x v="65"/>
    <s v="Cereals and products"/>
    <n v="136.6"/>
    <x v="0"/>
  </r>
  <r>
    <s v="Rural+Urban"/>
    <n v="2018"/>
    <s v="May"/>
    <x v="65"/>
    <s v="Meat and fish"/>
    <n v="146.6"/>
    <x v="0"/>
  </r>
  <r>
    <s v="Rural+Urban"/>
    <n v="2018"/>
    <s v="May"/>
    <x v="65"/>
    <s v="Egg"/>
    <n v="133.6"/>
    <x v="0"/>
  </r>
  <r>
    <s v="Rural+Urban"/>
    <n v="2018"/>
    <s v="May"/>
    <x v="65"/>
    <s v="Milk and products"/>
    <n v="142.1"/>
    <x v="0"/>
  </r>
  <r>
    <s v="Rural+Urban"/>
    <n v="2018"/>
    <s v="May"/>
    <x v="65"/>
    <s v="Oils and fats"/>
    <n v="121"/>
    <x v="0"/>
  </r>
  <r>
    <s v="Rural+Urban"/>
    <n v="2018"/>
    <s v="May"/>
    <x v="65"/>
    <s v="Fruits"/>
    <n v="154.6"/>
    <x v="0"/>
  </r>
  <r>
    <s v="Rural+Urban"/>
    <n v="2018"/>
    <s v="May"/>
    <x v="65"/>
    <s v="Vegetables"/>
    <n v="135.6"/>
    <x v="0"/>
  </r>
  <r>
    <s v="Rural+Urban"/>
    <n v="2018"/>
    <s v="May"/>
    <x v="65"/>
    <s v="Pulses and products"/>
    <n v="122.3"/>
    <x v="0"/>
  </r>
  <r>
    <s v="Rural+Urban"/>
    <n v="2018"/>
    <s v="May"/>
    <x v="65"/>
    <s v="Sugar and Confectionery"/>
    <n v="109.6"/>
    <x v="0"/>
  </r>
  <r>
    <s v="Rural+Urban"/>
    <n v="2018"/>
    <s v="May"/>
    <x v="65"/>
    <s v="Spices"/>
    <n v="138.1"/>
    <x v="0"/>
  </r>
  <r>
    <s v="Rural+Urban"/>
    <n v="2018"/>
    <s v="May"/>
    <x v="65"/>
    <s v="Non-alcoholic beverages"/>
    <n v="129.9"/>
    <x v="0"/>
  </r>
  <r>
    <s v="Rural+Urban"/>
    <n v="2018"/>
    <s v="May"/>
    <x v="65"/>
    <s v="Prepared meals, snacks, sweets etc."/>
    <n v="151.69999999999999"/>
    <x v="0"/>
  </r>
  <r>
    <s v="Rural+Urban"/>
    <n v="2018"/>
    <s v="May"/>
    <x v="65"/>
    <s v="Food and beverages"/>
    <n v="138.1"/>
    <x v="0"/>
  </r>
  <r>
    <s v="Rural+Urban"/>
    <n v="2018"/>
    <s v="May"/>
    <x v="65"/>
    <s v="Pan, tobacco and intoxicants"/>
    <n v="157.9"/>
    <x v="1"/>
  </r>
  <r>
    <s v="Rural+Urban"/>
    <n v="2018"/>
    <s v="May"/>
    <x v="65"/>
    <s v="Clothing"/>
    <n v="146"/>
    <x v="2"/>
  </r>
  <r>
    <s v="Rural+Urban"/>
    <n v="2018"/>
    <s v="May"/>
    <x v="65"/>
    <s v="Footwear"/>
    <n v="137.4"/>
    <x v="2"/>
  </r>
  <r>
    <s v="Rural+Urban"/>
    <n v="2018"/>
    <s v="May"/>
    <x v="65"/>
    <s v="Clothing and footwear"/>
    <n v="144.69999999999999"/>
    <x v="2"/>
  </r>
  <r>
    <s v="Rural+Urban"/>
    <n v="2018"/>
    <s v="May"/>
    <x v="65"/>
    <s v="Housing"/>
    <n v="143.19999999999999"/>
    <x v="10"/>
  </r>
  <r>
    <s v="Rural+Urban"/>
    <n v="2018"/>
    <s v="May"/>
    <x v="65"/>
    <s v="Fuel and light"/>
    <n v="136.9"/>
    <x v="3"/>
  </r>
  <r>
    <s v="Rural+Urban"/>
    <n v="2018"/>
    <s v="May"/>
    <x v="65"/>
    <s v="Household goods and services"/>
    <n v="137.4"/>
    <x v="4"/>
  </r>
  <r>
    <s v="Rural+Urban"/>
    <n v="2018"/>
    <s v="May"/>
    <x v="65"/>
    <s v="Health"/>
    <n v="136"/>
    <x v="5"/>
  </r>
  <r>
    <s v="Rural+Urban"/>
    <n v="2018"/>
    <s v="May"/>
    <x v="65"/>
    <s v="Transport and communication"/>
    <n v="122.9"/>
    <x v="6"/>
  </r>
  <r>
    <s v="Rural+Urban"/>
    <n v="2018"/>
    <s v="May"/>
    <x v="65"/>
    <s v="Recreation and amusement"/>
    <n v="131.80000000000001"/>
    <x v="1"/>
  </r>
  <r>
    <s v="Rural+Urban"/>
    <n v="2018"/>
    <s v="May"/>
    <x v="65"/>
    <s v="Education"/>
    <n v="142.1"/>
    <x v="7"/>
  </r>
  <r>
    <s v="Rural+Urban"/>
    <n v="2018"/>
    <s v="May"/>
    <x v="65"/>
    <s v="Personal care and effects"/>
    <n v="129.9"/>
    <x v="4"/>
  </r>
  <r>
    <s v="Rural+Urban"/>
    <n v="2018"/>
    <s v="May"/>
    <x v="65"/>
    <s v="Miscellaneous"/>
    <n v="132.1"/>
    <x v="8"/>
  </r>
  <r>
    <s v="Rural+Urban"/>
    <n v="2018"/>
    <s v="May"/>
    <x v="65"/>
    <s v="General index"/>
    <n v="137.80000000000001"/>
    <x v="9"/>
  </r>
  <r>
    <s v="Rural"/>
    <n v="2018"/>
    <s v="June"/>
    <x v="66"/>
    <s v="Cereals and products"/>
    <n v="137.6"/>
    <x v="0"/>
  </r>
  <r>
    <s v="Rural"/>
    <n v="2018"/>
    <s v="June"/>
    <x v="66"/>
    <s v="Meat and fish"/>
    <n v="148.1"/>
    <x v="0"/>
  </r>
  <r>
    <s v="Rural"/>
    <n v="2018"/>
    <s v="June"/>
    <x v="66"/>
    <s v="Egg"/>
    <n v="136.69999999999999"/>
    <x v="0"/>
  </r>
  <r>
    <s v="Rural"/>
    <n v="2018"/>
    <s v="June"/>
    <x v="66"/>
    <s v="Milk and products"/>
    <n v="143.19999999999999"/>
    <x v="0"/>
  </r>
  <r>
    <s v="Rural"/>
    <n v="2018"/>
    <s v="June"/>
    <x v="66"/>
    <s v="Oils and fats"/>
    <n v="124"/>
    <x v="0"/>
  </r>
  <r>
    <s v="Rural"/>
    <n v="2018"/>
    <s v="June"/>
    <x v="66"/>
    <s v="Fruits"/>
    <n v="154.1"/>
    <x v="0"/>
  </r>
  <r>
    <s v="Rural"/>
    <n v="2018"/>
    <s v="June"/>
    <x v="66"/>
    <s v="Vegetables"/>
    <n v="143.5"/>
    <x v="0"/>
  </r>
  <r>
    <s v="Rural"/>
    <n v="2018"/>
    <s v="June"/>
    <x v="66"/>
    <s v="Pulses and products"/>
    <n v="126"/>
    <x v="0"/>
  </r>
  <r>
    <s v="Rural"/>
    <n v="2018"/>
    <s v="June"/>
    <x v="66"/>
    <s v="Sugar and Confectionery"/>
    <n v="112.4"/>
    <x v="0"/>
  </r>
  <r>
    <s v="Rural"/>
    <n v="2018"/>
    <s v="June"/>
    <x v="66"/>
    <s v="Spices"/>
    <n v="137.6"/>
    <x v="0"/>
  </r>
  <r>
    <s v="Rural"/>
    <n v="2018"/>
    <s v="June"/>
    <x v="66"/>
    <s v="Non-alcoholic beverages"/>
    <n v="132.80000000000001"/>
    <x v="0"/>
  </r>
  <r>
    <s v="Rural"/>
    <n v="2018"/>
    <s v="June"/>
    <x v="66"/>
    <s v="Prepared meals, snacks, sweets etc."/>
    <n v="154.30000000000001"/>
    <x v="0"/>
  </r>
  <r>
    <s v="Rural"/>
    <n v="2018"/>
    <s v="June"/>
    <x v="66"/>
    <s v="Food and beverages"/>
    <n v="140"/>
    <x v="0"/>
  </r>
  <r>
    <s v="Rural"/>
    <n v="2018"/>
    <s v="June"/>
    <x v="66"/>
    <s v="Pan, tobacco and intoxicants"/>
    <n v="157.30000000000001"/>
    <x v="1"/>
  </r>
  <r>
    <s v="Rural"/>
    <n v="2018"/>
    <s v="June"/>
    <x v="66"/>
    <s v="Clothing"/>
    <n v="151.30000000000001"/>
    <x v="2"/>
  </r>
  <r>
    <s v="Rural"/>
    <n v="2018"/>
    <s v="June"/>
    <x v="66"/>
    <s v="Footwear"/>
    <n v="144.69999999999999"/>
    <x v="2"/>
  </r>
  <r>
    <s v="Rural"/>
    <n v="2018"/>
    <s v="June"/>
    <x v="66"/>
    <s v="Clothing and footwear"/>
    <n v="150.30000000000001"/>
    <x v="2"/>
  </r>
  <r>
    <s v="Rural"/>
    <n v="2018"/>
    <s v="June"/>
    <x v="66"/>
    <s v="Fuel and light"/>
    <n v="145.1"/>
    <x v="3"/>
  </r>
  <r>
    <s v="Rural"/>
    <n v="2018"/>
    <s v="June"/>
    <x v="66"/>
    <s v="Household goods and services"/>
    <n v="142.19999999999999"/>
    <x v="4"/>
  </r>
  <r>
    <s v="Rural"/>
    <n v="2018"/>
    <s v="June"/>
    <x v="66"/>
    <s v="Health"/>
    <n v="138.4"/>
    <x v="5"/>
  </r>
  <r>
    <s v="Rural"/>
    <n v="2018"/>
    <s v="June"/>
    <x v="66"/>
    <s v="Transport and communication"/>
    <n v="127.4"/>
    <x v="6"/>
  </r>
  <r>
    <s v="Rural"/>
    <n v="2018"/>
    <s v="June"/>
    <x v="66"/>
    <s v="Recreation and amusement"/>
    <n v="137.80000000000001"/>
    <x v="1"/>
  </r>
  <r>
    <s v="Rural"/>
    <n v="2018"/>
    <s v="June"/>
    <x v="66"/>
    <s v="Education"/>
    <n v="145.1"/>
    <x v="7"/>
  </r>
  <r>
    <s v="Rural"/>
    <n v="2018"/>
    <s v="June"/>
    <x v="66"/>
    <s v="Personal care and effects"/>
    <n v="131.4"/>
    <x v="4"/>
  </r>
  <r>
    <s v="Rural"/>
    <n v="2018"/>
    <s v="June"/>
    <x v="66"/>
    <s v="Miscellaneous"/>
    <n v="135.6"/>
    <x v="8"/>
  </r>
  <r>
    <s v="Rural"/>
    <n v="2018"/>
    <s v="June"/>
    <x v="66"/>
    <s v="General index"/>
    <n v="140.5"/>
    <x v="9"/>
  </r>
  <r>
    <s v="Urban"/>
    <n v="2018"/>
    <s v="June"/>
    <x v="66"/>
    <s v="Cereals and products"/>
    <n v="135.30000000000001"/>
    <x v="0"/>
  </r>
  <r>
    <s v="Urban"/>
    <n v="2018"/>
    <s v="June"/>
    <x v="66"/>
    <s v="Meat and fish"/>
    <n v="149.69999999999999"/>
    <x v="0"/>
  </r>
  <r>
    <s v="Urban"/>
    <n v="2018"/>
    <s v="June"/>
    <x v="66"/>
    <s v="Egg"/>
    <n v="133.9"/>
    <x v="0"/>
  </r>
  <r>
    <s v="Urban"/>
    <n v="2018"/>
    <s v="June"/>
    <x v="66"/>
    <s v="Milk and products"/>
    <n v="140.80000000000001"/>
    <x v="0"/>
  </r>
  <r>
    <s v="Urban"/>
    <n v="2018"/>
    <s v="June"/>
    <x v="66"/>
    <s v="Oils and fats"/>
    <n v="116.6"/>
    <x v="0"/>
  </r>
  <r>
    <s v="Urban"/>
    <n v="2018"/>
    <s v="June"/>
    <x v="66"/>
    <s v="Fruits"/>
    <n v="152.19999999999999"/>
    <x v="0"/>
  </r>
  <r>
    <s v="Urban"/>
    <n v="2018"/>
    <s v="June"/>
    <x v="66"/>
    <s v="Vegetables"/>
    <n v="144"/>
    <x v="0"/>
  </r>
  <r>
    <s v="Urban"/>
    <n v="2018"/>
    <s v="June"/>
    <x v="66"/>
    <s v="Pulses and products"/>
    <n v="112.3"/>
    <x v="0"/>
  </r>
  <r>
    <s v="Urban"/>
    <n v="2018"/>
    <s v="June"/>
    <x v="66"/>
    <s v="Sugar and Confectionery"/>
    <n v="108.4"/>
    <x v="0"/>
  </r>
  <r>
    <s v="Urban"/>
    <n v="2018"/>
    <s v="June"/>
    <x v="66"/>
    <s v="Spices"/>
    <n v="140"/>
    <x v="0"/>
  </r>
  <r>
    <s v="Urban"/>
    <n v="2018"/>
    <s v="June"/>
    <x v="66"/>
    <s v="Non-alcoholic beverages"/>
    <n v="126.7"/>
    <x v="0"/>
  </r>
  <r>
    <s v="Urban"/>
    <n v="2018"/>
    <s v="June"/>
    <x v="66"/>
    <s v="Prepared meals, snacks, sweets etc."/>
    <n v="149"/>
    <x v="0"/>
  </r>
  <r>
    <s v="Urban"/>
    <n v="2018"/>
    <s v="June"/>
    <x v="66"/>
    <s v="Food and beverages"/>
    <n v="138.4"/>
    <x v="0"/>
  </r>
  <r>
    <s v="Urban"/>
    <n v="2018"/>
    <s v="June"/>
    <x v="66"/>
    <s v="Pan, tobacco and intoxicants"/>
    <n v="161"/>
    <x v="1"/>
  </r>
  <r>
    <s v="Urban"/>
    <n v="2018"/>
    <s v="June"/>
    <x v="66"/>
    <s v="Clothing"/>
    <n v="138.9"/>
    <x v="2"/>
  </r>
  <r>
    <s v="Urban"/>
    <n v="2018"/>
    <s v="June"/>
    <x v="66"/>
    <s v="Footwear"/>
    <n v="128.69999999999999"/>
    <x v="2"/>
  </r>
  <r>
    <s v="Urban"/>
    <n v="2018"/>
    <s v="June"/>
    <x v="66"/>
    <s v="Clothing and footwear"/>
    <n v="137.4"/>
    <x v="2"/>
  </r>
  <r>
    <s v="Urban"/>
    <n v="2018"/>
    <s v="June"/>
    <x v="66"/>
    <s v="Housing"/>
    <n v="142.5"/>
    <x v="10"/>
  </r>
  <r>
    <s v="Urban"/>
    <n v="2018"/>
    <s v="June"/>
    <x v="66"/>
    <s v="Fuel and light"/>
    <n v="126.5"/>
    <x v="3"/>
  </r>
  <r>
    <s v="Urban"/>
    <n v="2018"/>
    <s v="June"/>
    <x v="66"/>
    <s v="Household goods and services"/>
    <n v="133.1"/>
    <x v="4"/>
  </r>
  <r>
    <s v="Urban"/>
    <n v="2018"/>
    <s v="June"/>
    <x v="66"/>
    <s v="Health"/>
    <n v="132.6"/>
    <x v="5"/>
  </r>
  <r>
    <s v="Urban"/>
    <n v="2018"/>
    <s v="June"/>
    <x v="66"/>
    <s v="Transport and communication"/>
    <n v="120.4"/>
    <x v="6"/>
  </r>
  <r>
    <s v="Urban"/>
    <n v="2018"/>
    <s v="June"/>
    <x v="66"/>
    <s v="Recreation and amusement"/>
    <n v="128.5"/>
    <x v="1"/>
  </r>
  <r>
    <s v="Urban"/>
    <n v="2018"/>
    <s v="June"/>
    <x v="66"/>
    <s v="Education"/>
    <n v="141.19999999999999"/>
    <x v="7"/>
  </r>
  <r>
    <s v="Urban"/>
    <n v="2018"/>
    <s v="June"/>
    <x v="66"/>
    <s v="Personal care and effects"/>
    <n v="128.19999999999999"/>
    <x v="4"/>
  </r>
  <r>
    <s v="Urban"/>
    <n v="2018"/>
    <s v="June"/>
    <x v="66"/>
    <s v="Miscellaneous"/>
    <n v="129.5"/>
    <x v="8"/>
  </r>
  <r>
    <s v="Urban"/>
    <n v="2018"/>
    <s v="June"/>
    <x v="66"/>
    <s v="General index"/>
    <n v="136.19999999999999"/>
    <x v="9"/>
  </r>
  <r>
    <s v="Rural+Urban"/>
    <n v="2018"/>
    <s v="June"/>
    <x v="66"/>
    <s v="Cereals and products"/>
    <n v="136.9"/>
    <x v="0"/>
  </r>
  <r>
    <s v="Rural+Urban"/>
    <n v="2018"/>
    <s v="June"/>
    <x v="66"/>
    <s v="Meat and fish"/>
    <n v="148.69999999999999"/>
    <x v="0"/>
  </r>
  <r>
    <s v="Rural+Urban"/>
    <n v="2018"/>
    <s v="June"/>
    <x v="66"/>
    <s v="Egg"/>
    <n v="135.6"/>
    <x v="0"/>
  </r>
  <r>
    <s v="Rural+Urban"/>
    <n v="2018"/>
    <s v="June"/>
    <x v="66"/>
    <s v="Milk and products"/>
    <n v="142.30000000000001"/>
    <x v="0"/>
  </r>
  <r>
    <s v="Rural+Urban"/>
    <n v="2018"/>
    <s v="June"/>
    <x v="66"/>
    <s v="Oils and fats"/>
    <n v="121.3"/>
    <x v="0"/>
  </r>
  <r>
    <s v="Rural+Urban"/>
    <n v="2018"/>
    <s v="June"/>
    <x v="66"/>
    <s v="Fruits"/>
    <n v="153.19999999999999"/>
    <x v="0"/>
  </r>
  <r>
    <s v="Rural+Urban"/>
    <n v="2018"/>
    <s v="June"/>
    <x v="66"/>
    <s v="Vegetables"/>
    <n v="143.69999999999999"/>
    <x v="0"/>
  </r>
  <r>
    <s v="Rural+Urban"/>
    <n v="2018"/>
    <s v="June"/>
    <x v="66"/>
    <s v="Pulses and products"/>
    <n v="121.4"/>
    <x v="0"/>
  </r>
  <r>
    <s v="Rural+Urban"/>
    <n v="2018"/>
    <s v="June"/>
    <x v="66"/>
    <s v="Sugar and Confectionery"/>
    <n v="111.1"/>
    <x v="0"/>
  </r>
  <r>
    <s v="Rural+Urban"/>
    <n v="2018"/>
    <s v="June"/>
    <x v="66"/>
    <s v="Spices"/>
    <n v="138.4"/>
    <x v="0"/>
  </r>
  <r>
    <s v="Rural+Urban"/>
    <n v="2018"/>
    <s v="June"/>
    <x v="66"/>
    <s v="Non-alcoholic beverages"/>
    <n v="130.30000000000001"/>
    <x v="0"/>
  </r>
  <r>
    <s v="Rural+Urban"/>
    <n v="2018"/>
    <s v="June"/>
    <x v="66"/>
    <s v="Prepared meals, snacks, sweets etc."/>
    <n v="151.80000000000001"/>
    <x v="0"/>
  </r>
  <r>
    <s v="Rural+Urban"/>
    <n v="2018"/>
    <s v="June"/>
    <x v="66"/>
    <s v="Food and beverages"/>
    <n v="139.4"/>
    <x v="0"/>
  </r>
  <r>
    <s v="Rural+Urban"/>
    <n v="2018"/>
    <s v="June"/>
    <x v="66"/>
    <s v="Pan, tobacco and intoxicants"/>
    <n v="158.30000000000001"/>
    <x v="1"/>
  </r>
  <r>
    <s v="Rural+Urban"/>
    <n v="2018"/>
    <s v="June"/>
    <x v="66"/>
    <s v="Clothing"/>
    <n v="146.4"/>
    <x v="2"/>
  </r>
  <r>
    <s v="Rural+Urban"/>
    <n v="2018"/>
    <s v="June"/>
    <x v="66"/>
    <s v="Footwear"/>
    <n v="138.1"/>
    <x v="2"/>
  </r>
  <r>
    <s v="Rural+Urban"/>
    <n v="2018"/>
    <s v="June"/>
    <x v="66"/>
    <s v="Clothing and footwear"/>
    <n v="145.19999999999999"/>
    <x v="2"/>
  </r>
  <r>
    <s v="Rural+Urban"/>
    <n v="2018"/>
    <s v="June"/>
    <x v="66"/>
    <s v="Housing"/>
    <n v="142.5"/>
    <x v="10"/>
  </r>
  <r>
    <s v="Rural+Urban"/>
    <n v="2018"/>
    <s v="June"/>
    <x v="66"/>
    <s v="Fuel and light"/>
    <n v="138.1"/>
    <x v="3"/>
  </r>
  <r>
    <s v="Rural+Urban"/>
    <n v="2018"/>
    <s v="June"/>
    <x v="66"/>
    <s v="Household goods and services"/>
    <n v="137.9"/>
    <x v="4"/>
  </r>
  <r>
    <s v="Rural+Urban"/>
    <n v="2018"/>
    <s v="June"/>
    <x v="66"/>
    <s v="Health"/>
    <n v="136.19999999999999"/>
    <x v="5"/>
  </r>
  <r>
    <s v="Rural+Urban"/>
    <n v="2018"/>
    <s v="June"/>
    <x v="66"/>
    <s v="Transport and communication"/>
    <n v="123.7"/>
    <x v="6"/>
  </r>
  <r>
    <s v="Rural+Urban"/>
    <n v="2018"/>
    <s v="June"/>
    <x v="66"/>
    <s v="Recreation and amusement"/>
    <n v="132.6"/>
    <x v="1"/>
  </r>
  <r>
    <s v="Rural+Urban"/>
    <n v="2018"/>
    <s v="June"/>
    <x v="66"/>
    <s v="Education"/>
    <n v="142.80000000000001"/>
    <x v="7"/>
  </r>
  <r>
    <s v="Rural+Urban"/>
    <n v="2018"/>
    <s v="June"/>
    <x v="66"/>
    <s v="Personal care and effects"/>
    <n v="130.1"/>
    <x v="4"/>
  </r>
  <r>
    <s v="Rural+Urban"/>
    <n v="2018"/>
    <s v="June"/>
    <x v="66"/>
    <s v="Miscellaneous"/>
    <n v="132.6"/>
    <x v="8"/>
  </r>
  <r>
    <s v="Rural+Urban"/>
    <n v="2018"/>
    <s v="June"/>
    <x v="66"/>
    <s v="General index"/>
    <n v="138.5"/>
    <x v="9"/>
  </r>
  <r>
    <s v="Rural"/>
    <n v="2018"/>
    <s v="July"/>
    <x v="67"/>
    <s v="Cereals and products"/>
    <n v="138.4"/>
    <x v="0"/>
  </r>
  <r>
    <s v="Rural"/>
    <n v="2018"/>
    <s v="July"/>
    <x v="67"/>
    <s v="Meat and fish"/>
    <n v="149.30000000000001"/>
    <x v="0"/>
  </r>
  <r>
    <s v="Rural"/>
    <n v="2018"/>
    <s v="July"/>
    <x v="67"/>
    <s v="Egg"/>
    <n v="139.30000000000001"/>
    <x v="0"/>
  </r>
  <r>
    <s v="Rural"/>
    <n v="2018"/>
    <s v="July"/>
    <x v="67"/>
    <s v="Milk and products"/>
    <n v="143.4"/>
    <x v="0"/>
  </r>
  <r>
    <s v="Rural"/>
    <n v="2018"/>
    <s v="July"/>
    <x v="67"/>
    <s v="Oils and fats"/>
    <n v="124.1"/>
    <x v="0"/>
  </r>
  <r>
    <s v="Rural"/>
    <n v="2018"/>
    <s v="July"/>
    <x v="67"/>
    <s v="Fruits"/>
    <n v="153.30000000000001"/>
    <x v="0"/>
  </r>
  <r>
    <s v="Rural"/>
    <n v="2018"/>
    <s v="July"/>
    <x v="67"/>
    <s v="Vegetables"/>
    <n v="154.19999999999999"/>
    <x v="0"/>
  </r>
  <r>
    <s v="Rural"/>
    <n v="2018"/>
    <s v="July"/>
    <x v="67"/>
    <s v="Pulses and products"/>
    <n v="126.4"/>
    <x v="0"/>
  </r>
  <r>
    <s v="Rural"/>
    <n v="2018"/>
    <s v="July"/>
    <x v="67"/>
    <s v="Sugar and Confectionery"/>
    <n v="114.3"/>
    <x v="0"/>
  </r>
  <r>
    <s v="Rural"/>
    <n v="2018"/>
    <s v="July"/>
    <x v="67"/>
    <s v="Spices"/>
    <n v="138.19999999999999"/>
    <x v="0"/>
  </r>
  <r>
    <s v="Rural"/>
    <n v="2018"/>
    <s v="July"/>
    <x v="67"/>
    <s v="Non-alcoholic beverages"/>
    <n v="132.80000000000001"/>
    <x v="0"/>
  </r>
  <r>
    <s v="Rural"/>
    <n v="2018"/>
    <s v="July"/>
    <x v="67"/>
    <s v="Prepared meals, snacks, sweets etc."/>
    <n v="154.80000000000001"/>
    <x v="0"/>
  </r>
  <r>
    <s v="Rural"/>
    <n v="2018"/>
    <s v="July"/>
    <x v="67"/>
    <s v="Food and beverages"/>
    <n v="142"/>
    <x v="0"/>
  </r>
  <r>
    <s v="Rural"/>
    <n v="2018"/>
    <s v="July"/>
    <x v="67"/>
    <s v="Pan, tobacco and intoxicants"/>
    <n v="156.1"/>
    <x v="1"/>
  </r>
  <r>
    <s v="Rural"/>
    <n v="2018"/>
    <s v="July"/>
    <x v="67"/>
    <s v="Clothing"/>
    <n v="151.5"/>
    <x v="2"/>
  </r>
  <r>
    <s v="Rural"/>
    <n v="2018"/>
    <s v="July"/>
    <x v="67"/>
    <s v="Footwear"/>
    <n v="145.1"/>
    <x v="2"/>
  </r>
  <r>
    <s v="Rural"/>
    <n v="2018"/>
    <s v="July"/>
    <x v="67"/>
    <s v="Clothing and footwear"/>
    <n v="150.6"/>
    <x v="2"/>
  </r>
  <r>
    <s v="Rural"/>
    <n v="2018"/>
    <s v="July"/>
    <x v="67"/>
    <s v="Fuel and light"/>
    <n v="146.80000000000001"/>
    <x v="3"/>
  </r>
  <r>
    <s v="Rural"/>
    <n v="2018"/>
    <s v="July"/>
    <x v="67"/>
    <s v="Household goods and services"/>
    <n v="143.1"/>
    <x v="4"/>
  </r>
  <r>
    <s v="Rural"/>
    <n v="2018"/>
    <s v="July"/>
    <x v="67"/>
    <s v="Health"/>
    <n v="139"/>
    <x v="5"/>
  </r>
  <r>
    <s v="Rural"/>
    <n v="2018"/>
    <s v="July"/>
    <x v="67"/>
    <s v="Transport and communication"/>
    <n v="127.5"/>
    <x v="6"/>
  </r>
  <r>
    <s v="Rural"/>
    <n v="2018"/>
    <s v="July"/>
    <x v="67"/>
    <s v="Recreation and amusement"/>
    <n v="138.4"/>
    <x v="1"/>
  </r>
  <r>
    <s v="Rural"/>
    <n v="2018"/>
    <s v="July"/>
    <x v="67"/>
    <s v="Education"/>
    <n v="145.80000000000001"/>
    <x v="7"/>
  </r>
  <r>
    <s v="Rural"/>
    <n v="2018"/>
    <s v="July"/>
    <x v="67"/>
    <s v="Personal care and effects"/>
    <n v="131.4"/>
    <x v="4"/>
  </r>
  <r>
    <s v="Rural"/>
    <n v="2018"/>
    <s v="July"/>
    <x v="67"/>
    <s v="Miscellaneous"/>
    <n v="136"/>
    <x v="8"/>
  </r>
  <r>
    <s v="Rural"/>
    <n v="2018"/>
    <s v="July"/>
    <x v="67"/>
    <s v="General index"/>
    <n v="141.80000000000001"/>
    <x v="9"/>
  </r>
  <r>
    <s v="Urban"/>
    <n v="2018"/>
    <s v="July"/>
    <x v="67"/>
    <s v="Cereals and products"/>
    <n v="135.6"/>
    <x v="0"/>
  </r>
  <r>
    <s v="Urban"/>
    <n v="2018"/>
    <s v="July"/>
    <x v="67"/>
    <s v="Meat and fish"/>
    <n v="148.6"/>
    <x v="0"/>
  </r>
  <r>
    <s v="Urban"/>
    <n v="2018"/>
    <s v="July"/>
    <x v="67"/>
    <s v="Egg"/>
    <n v="139.1"/>
    <x v="0"/>
  </r>
  <r>
    <s v="Urban"/>
    <n v="2018"/>
    <s v="July"/>
    <x v="67"/>
    <s v="Milk and products"/>
    <n v="141"/>
    <x v="0"/>
  </r>
  <r>
    <s v="Urban"/>
    <n v="2018"/>
    <s v="July"/>
    <x v="67"/>
    <s v="Oils and fats"/>
    <n v="116.7"/>
    <x v="0"/>
  </r>
  <r>
    <s v="Urban"/>
    <n v="2018"/>
    <s v="July"/>
    <x v="67"/>
    <s v="Fruits"/>
    <n v="149.69999999999999"/>
    <x v="0"/>
  </r>
  <r>
    <s v="Urban"/>
    <n v="2018"/>
    <s v="July"/>
    <x v="67"/>
    <s v="Vegetables"/>
    <n v="159.19999999999999"/>
    <x v="0"/>
  </r>
  <r>
    <s v="Urban"/>
    <n v="2018"/>
    <s v="July"/>
    <x v="67"/>
    <s v="Pulses and products"/>
    <n v="112.6"/>
    <x v="0"/>
  </r>
  <r>
    <s v="Urban"/>
    <n v="2018"/>
    <s v="July"/>
    <x v="67"/>
    <s v="Sugar and Confectionery"/>
    <n v="111.8"/>
    <x v="0"/>
  </r>
  <r>
    <s v="Urban"/>
    <n v="2018"/>
    <s v="July"/>
    <x v="67"/>
    <s v="Spices"/>
    <n v="140.30000000000001"/>
    <x v="0"/>
  </r>
  <r>
    <s v="Urban"/>
    <n v="2018"/>
    <s v="July"/>
    <x v="67"/>
    <s v="Non-alcoholic beverages"/>
    <n v="126.8"/>
    <x v="0"/>
  </r>
  <r>
    <s v="Urban"/>
    <n v="2018"/>
    <s v="July"/>
    <x v="67"/>
    <s v="Prepared meals, snacks, sweets etc."/>
    <n v="149.4"/>
    <x v="0"/>
  </r>
  <r>
    <s v="Urban"/>
    <n v="2018"/>
    <s v="July"/>
    <x v="67"/>
    <s v="Food and beverages"/>
    <n v="140.30000000000001"/>
    <x v="0"/>
  </r>
  <r>
    <s v="Urban"/>
    <n v="2018"/>
    <s v="July"/>
    <x v="67"/>
    <s v="Pan, tobacco and intoxicants"/>
    <n v="161.4"/>
    <x v="1"/>
  </r>
  <r>
    <s v="Urban"/>
    <n v="2018"/>
    <s v="July"/>
    <x v="67"/>
    <s v="Clothing"/>
    <n v="139.6"/>
    <x v="2"/>
  </r>
  <r>
    <s v="Urban"/>
    <n v="2018"/>
    <s v="July"/>
    <x v="67"/>
    <s v="Footwear"/>
    <n v="128.9"/>
    <x v="2"/>
  </r>
  <r>
    <s v="Urban"/>
    <n v="2018"/>
    <s v="July"/>
    <x v="67"/>
    <s v="Clothing and footwear"/>
    <n v="137.9"/>
    <x v="2"/>
  </r>
  <r>
    <s v="Urban"/>
    <n v="2018"/>
    <s v="July"/>
    <x v="67"/>
    <s v="Housing"/>
    <n v="143.6"/>
    <x v="10"/>
  </r>
  <r>
    <s v="Urban"/>
    <n v="2018"/>
    <s v="July"/>
    <x v="67"/>
    <s v="Fuel and light"/>
    <n v="128.1"/>
    <x v="3"/>
  </r>
  <r>
    <s v="Urban"/>
    <n v="2018"/>
    <s v="July"/>
    <x v="67"/>
    <s v="Household goods and services"/>
    <n v="133.6"/>
    <x v="4"/>
  </r>
  <r>
    <s v="Urban"/>
    <n v="2018"/>
    <s v="July"/>
    <x v="67"/>
    <s v="Health"/>
    <n v="133.6"/>
    <x v="5"/>
  </r>
  <r>
    <s v="Urban"/>
    <n v="2018"/>
    <s v="July"/>
    <x v="67"/>
    <s v="Transport and communication"/>
    <n v="120.1"/>
    <x v="6"/>
  </r>
  <r>
    <s v="Urban"/>
    <n v="2018"/>
    <s v="July"/>
    <x v="67"/>
    <s v="Recreation and amusement"/>
    <n v="129"/>
    <x v="1"/>
  </r>
  <r>
    <s v="Urban"/>
    <n v="2018"/>
    <s v="July"/>
    <x v="67"/>
    <s v="Education"/>
    <n v="144"/>
    <x v="7"/>
  </r>
  <r>
    <s v="Urban"/>
    <n v="2018"/>
    <s v="July"/>
    <x v="67"/>
    <s v="Personal care and effects"/>
    <n v="128.19999999999999"/>
    <x v="4"/>
  </r>
  <r>
    <s v="Urban"/>
    <n v="2018"/>
    <s v="July"/>
    <x v="67"/>
    <s v="Miscellaneous"/>
    <n v="130.19999999999999"/>
    <x v="8"/>
  </r>
  <r>
    <s v="Urban"/>
    <n v="2018"/>
    <s v="July"/>
    <x v="67"/>
    <s v="General index"/>
    <n v="137.5"/>
    <x v="9"/>
  </r>
  <r>
    <s v="Rural+Urban"/>
    <n v="2018"/>
    <s v="July"/>
    <x v="67"/>
    <s v="Cereals and products"/>
    <n v="137.5"/>
    <x v="0"/>
  </r>
  <r>
    <s v="Rural+Urban"/>
    <n v="2018"/>
    <s v="July"/>
    <x v="67"/>
    <s v="Meat and fish"/>
    <n v="149.1"/>
    <x v="0"/>
  </r>
  <r>
    <s v="Rural+Urban"/>
    <n v="2018"/>
    <s v="July"/>
    <x v="67"/>
    <s v="Egg"/>
    <n v="139.19999999999999"/>
    <x v="0"/>
  </r>
  <r>
    <s v="Rural+Urban"/>
    <n v="2018"/>
    <s v="July"/>
    <x v="67"/>
    <s v="Milk and products"/>
    <n v="142.5"/>
    <x v="0"/>
  </r>
  <r>
    <s v="Rural+Urban"/>
    <n v="2018"/>
    <s v="July"/>
    <x v="67"/>
    <s v="Oils and fats"/>
    <n v="121.4"/>
    <x v="0"/>
  </r>
  <r>
    <s v="Rural+Urban"/>
    <n v="2018"/>
    <s v="July"/>
    <x v="67"/>
    <s v="Fruits"/>
    <n v="151.6"/>
    <x v="0"/>
  </r>
  <r>
    <s v="Rural+Urban"/>
    <n v="2018"/>
    <s v="July"/>
    <x v="67"/>
    <s v="Vegetables"/>
    <n v="155.9"/>
    <x v="0"/>
  </r>
  <r>
    <s v="Rural+Urban"/>
    <n v="2018"/>
    <s v="July"/>
    <x v="67"/>
    <s v="Pulses and products"/>
    <n v="121.7"/>
    <x v="0"/>
  </r>
  <r>
    <s v="Rural+Urban"/>
    <n v="2018"/>
    <s v="July"/>
    <x v="67"/>
    <s v="Sugar and Confectionery"/>
    <n v="113.5"/>
    <x v="0"/>
  </r>
  <r>
    <s v="Rural+Urban"/>
    <n v="2018"/>
    <s v="July"/>
    <x v="67"/>
    <s v="Spices"/>
    <n v="138.9"/>
    <x v="0"/>
  </r>
  <r>
    <s v="Rural+Urban"/>
    <n v="2018"/>
    <s v="July"/>
    <x v="67"/>
    <s v="Non-alcoholic beverages"/>
    <n v="130.30000000000001"/>
    <x v="0"/>
  </r>
  <r>
    <s v="Rural+Urban"/>
    <n v="2018"/>
    <s v="July"/>
    <x v="67"/>
    <s v="Prepared meals, snacks, sweets etc."/>
    <n v="152.30000000000001"/>
    <x v="0"/>
  </r>
  <r>
    <s v="Rural+Urban"/>
    <n v="2018"/>
    <s v="July"/>
    <x v="67"/>
    <s v="Food and beverages"/>
    <n v="141.4"/>
    <x v="0"/>
  </r>
  <r>
    <s v="Rural+Urban"/>
    <n v="2018"/>
    <s v="July"/>
    <x v="67"/>
    <s v="Pan, tobacco and intoxicants"/>
    <n v="157.5"/>
    <x v="1"/>
  </r>
  <r>
    <s v="Rural+Urban"/>
    <n v="2018"/>
    <s v="July"/>
    <x v="67"/>
    <s v="Clothing"/>
    <n v="146.80000000000001"/>
    <x v="2"/>
  </r>
  <r>
    <s v="Rural+Urban"/>
    <n v="2018"/>
    <s v="July"/>
    <x v="67"/>
    <s v="Footwear"/>
    <n v="138.4"/>
    <x v="2"/>
  </r>
  <r>
    <s v="Rural+Urban"/>
    <n v="2018"/>
    <s v="July"/>
    <x v="67"/>
    <s v="Clothing and footwear"/>
    <n v="145.6"/>
    <x v="2"/>
  </r>
  <r>
    <s v="Rural+Urban"/>
    <n v="2018"/>
    <s v="July"/>
    <x v="67"/>
    <s v="Housing"/>
    <n v="143.6"/>
    <x v="10"/>
  </r>
  <r>
    <s v="Rural+Urban"/>
    <n v="2018"/>
    <s v="July"/>
    <x v="67"/>
    <s v="Fuel and light"/>
    <n v="139.69999999999999"/>
    <x v="3"/>
  </r>
  <r>
    <s v="Rural+Urban"/>
    <n v="2018"/>
    <s v="July"/>
    <x v="67"/>
    <s v="Household goods and services"/>
    <n v="138.6"/>
    <x v="4"/>
  </r>
  <r>
    <s v="Rural+Urban"/>
    <n v="2018"/>
    <s v="July"/>
    <x v="67"/>
    <s v="Health"/>
    <n v="137"/>
    <x v="5"/>
  </r>
  <r>
    <s v="Rural+Urban"/>
    <n v="2018"/>
    <s v="July"/>
    <x v="67"/>
    <s v="Transport and communication"/>
    <n v="123.6"/>
    <x v="6"/>
  </r>
  <r>
    <s v="Rural+Urban"/>
    <n v="2018"/>
    <s v="July"/>
    <x v="67"/>
    <s v="Recreation and amusement"/>
    <n v="133.1"/>
    <x v="1"/>
  </r>
  <r>
    <s v="Rural+Urban"/>
    <n v="2018"/>
    <s v="July"/>
    <x v="67"/>
    <s v="Education"/>
    <n v="144.69999999999999"/>
    <x v="7"/>
  </r>
  <r>
    <s v="Rural+Urban"/>
    <n v="2018"/>
    <s v="July"/>
    <x v="67"/>
    <s v="Personal care and effects"/>
    <n v="130.1"/>
    <x v="4"/>
  </r>
  <r>
    <s v="Rural+Urban"/>
    <n v="2018"/>
    <s v="July"/>
    <x v="67"/>
    <s v="Miscellaneous"/>
    <n v="133.19999999999999"/>
    <x v="8"/>
  </r>
  <r>
    <s v="Rural+Urban"/>
    <n v="2018"/>
    <s v="July"/>
    <x v="67"/>
    <s v="General index"/>
    <n v="139.80000000000001"/>
    <x v="9"/>
  </r>
  <r>
    <s v="Rural"/>
    <n v="2018"/>
    <s v="August"/>
    <x v="68"/>
    <s v="Cereals and products"/>
    <n v="139.19999999999999"/>
    <x v="0"/>
  </r>
  <r>
    <s v="Rural"/>
    <n v="2018"/>
    <s v="August"/>
    <x v="68"/>
    <s v="Meat and fish"/>
    <n v="148.80000000000001"/>
    <x v="0"/>
  </r>
  <r>
    <s v="Rural"/>
    <n v="2018"/>
    <s v="August"/>
    <x v="68"/>
    <s v="Egg"/>
    <n v="139.1"/>
    <x v="0"/>
  </r>
  <r>
    <s v="Rural"/>
    <n v="2018"/>
    <s v="August"/>
    <x v="68"/>
    <s v="Milk and products"/>
    <n v="143.5"/>
    <x v="0"/>
  </r>
  <r>
    <s v="Rural"/>
    <n v="2018"/>
    <s v="August"/>
    <x v="68"/>
    <s v="Oils and fats"/>
    <n v="125"/>
    <x v="0"/>
  </r>
  <r>
    <s v="Rural"/>
    <n v="2018"/>
    <s v="August"/>
    <x v="68"/>
    <s v="Fruits"/>
    <n v="154.4"/>
    <x v="0"/>
  </r>
  <r>
    <s v="Rural"/>
    <n v="2018"/>
    <s v="August"/>
    <x v="68"/>
    <s v="Vegetables"/>
    <n v="156.30000000000001"/>
    <x v="0"/>
  </r>
  <r>
    <s v="Rural"/>
    <n v="2018"/>
    <s v="August"/>
    <x v="68"/>
    <s v="Pulses and products"/>
    <n v="126.8"/>
    <x v="0"/>
  </r>
  <r>
    <s v="Rural"/>
    <n v="2018"/>
    <s v="August"/>
    <x v="68"/>
    <s v="Sugar and Confectionery"/>
    <n v="115.4"/>
    <x v="0"/>
  </r>
  <r>
    <s v="Rural"/>
    <n v="2018"/>
    <s v="August"/>
    <x v="68"/>
    <s v="Spices"/>
    <n v="138.6"/>
    <x v="0"/>
  </r>
  <r>
    <s v="Rural"/>
    <n v="2018"/>
    <s v="August"/>
    <x v="68"/>
    <s v="Non-alcoholic beverages"/>
    <n v="133.80000000000001"/>
    <x v="0"/>
  </r>
  <r>
    <s v="Rural"/>
    <n v="2018"/>
    <s v="August"/>
    <x v="68"/>
    <s v="Prepared meals, snacks, sweets etc."/>
    <n v="155.19999999999999"/>
    <x v="0"/>
  </r>
  <r>
    <s v="Rural"/>
    <n v="2018"/>
    <s v="August"/>
    <x v="68"/>
    <s v="Food and beverages"/>
    <n v="142.69999999999999"/>
    <x v="0"/>
  </r>
  <r>
    <s v="Rural"/>
    <n v="2018"/>
    <s v="August"/>
    <x v="68"/>
    <s v="Pan, tobacco and intoxicants"/>
    <n v="156.4"/>
    <x v="1"/>
  </r>
  <r>
    <s v="Rural"/>
    <n v="2018"/>
    <s v="August"/>
    <x v="68"/>
    <s v="Clothing"/>
    <n v="152.1"/>
    <x v="2"/>
  </r>
  <r>
    <s v="Rural"/>
    <n v="2018"/>
    <s v="August"/>
    <x v="68"/>
    <s v="Footwear"/>
    <n v="145.80000000000001"/>
    <x v="2"/>
  </r>
  <r>
    <s v="Rural"/>
    <n v="2018"/>
    <s v="August"/>
    <x v="68"/>
    <s v="Clothing and footwear"/>
    <n v="151.30000000000001"/>
    <x v="2"/>
  </r>
  <r>
    <s v="Rural"/>
    <n v="2018"/>
    <s v="August"/>
    <x v="68"/>
    <s v="Fuel and light"/>
    <n v="147.69999999999999"/>
    <x v="3"/>
  </r>
  <r>
    <s v="Rural"/>
    <n v="2018"/>
    <s v="August"/>
    <x v="68"/>
    <s v="Household goods and services"/>
    <n v="143.80000000000001"/>
    <x v="4"/>
  </r>
  <r>
    <s v="Rural"/>
    <n v="2018"/>
    <s v="August"/>
    <x v="68"/>
    <s v="Health"/>
    <n v="139.4"/>
    <x v="5"/>
  </r>
  <r>
    <s v="Rural"/>
    <n v="2018"/>
    <s v="August"/>
    <x v="68"/>
    <s v="Transport and communication"/>
    <n v="128.30000000000001"/>
    <x v="6"/>
  </r>
  <r>
    <s v="Rural"/>
    <n v="2018"/>
    <s v="August"/>
    <x v="68"/>
    <s v="Recreation and amusement"/>
    <n v="138.6"/>
    <x v="1"/>
  </r>
  <r>
    <s v="Rural"/>
    <n v="2018"/>
    <s v="August"/>
    <x v="68"/>
    <s v="Education"/>
    <n v="146.9"/>
    <x v="7"/>
  </r>
  <r>
    <s v="Rural"/>
    <n v="2018"/>
    <s v="August"/>
    <x v="68"/>
    <s v="Personal care and effects"/>
    <n v="131.30000000000001"/>
    <x v="4"/>
  </r>
  <r>
    <s v="Rural"/>
    <n v="2018"/>
    <s v="August"/>
    <x v="68"/>
    <s v="Miscellaneous"/>
    <n v="136.6"/>
    <x v="8"/>
  </r>
  <r>
    <s v="Rural"/>
    <n v="2018"/>
    <s v="August"/>
    <x v="68"/>
    <s v="General index"/>
    <n v="142.5"/>
    <x v="9"/>
  </r>
  <r>
    <s v="Urban"/>
    <n v="2018"/>
    <s v="August"/>
    <x v="68"/>
    <s v="Cereals and products"/>
    <n v="136.5"/>
    <x v="0"/>
  </r>
  <r>
    <s v="Urban"/>
    <n v="2018"/>
    <s v="August"/>
    <x v="68"/>
    <s v="Meat and fish"/>
    <n v="146.4"/>
    <x v="0"/>
  </r>
  <r>
    <s v="Urban"/>
    <n v="2018"/>
    <s v="August"/>
    <x v="68"/>
    <s v="Egg"/>
    <n v="136.6"/>
    <x v="0"/>
  </r>
  <r>
    <s v="Urban"/>
    <n v="2018"/>
    <s v="August"/>
    <x v="68"/>
    <s v="Milk and products"/>
    <n v="141.19999999999999"/>
    <x v="0"/>
  </r>
  <r>
    <s v="Urban"/>
    <n v="2018"/>
    <s v="August"/>
    <x v="68"/>
    <s v="Oils and fats"/>
    <n v="117.4"/>
    <x v="0"/>
  </r>
  <r>
    <s v="Urban"/>
    <n v="2018"/>
    <s v="August"/>
    <x v="68"/>
    <s v="Fruits"/>
    <n v="146.30000000000001"/>
    <x v="0"/>
  </r>
  <r>
    <s v="Urban"/>
    <n v="2018"/>
    <s v="August"/>
    <x v="68"/>
    <s v="Vegetables"/>
    <n v="157.30000000000001"/>
    <x v="0"/>
  </r>
  <r>
    <s v="Urban"/>
    <n v="2018"/>
    <s v="August"/>
    <x v="68"/>
    <s v="Pulses and products"/>
    <n v="113.6"/>
    <x v="0"/>
  </r>
  <r>
    <s v="Urban"/>
    <n v="2018"/>
    <s v="August"/>
    <x v="68"/>
    <s v="Sugar and Confectionery"/>
    <n v="113.3"/>
    <x v="0"/>
  </r>
  <r>
    <s v="Urban"/>
    <n v="2018"/>
    <s v="August"/>
    <x v="68"/>
    <s v="Spices"/>
    <n v="141.1"/>
    <x v="0"/>
  </r>
  <r>
    <s v="Urban"/>
    <n v="2018"/>
    <s v="August"/>
    <x v="68"/>
    <s v="Non-alcoholic beverages"/>
    <n v="127.4"/>
    <x v="0"/>
  </r>
  <r>
    <s v="Urban"/>
    <n v="2018"/>
    <s v="August"/>
    <x v="68"/>
    <s v="Prepared meals, snacks, sweets etc."/>
    <n v="150.4"/>
    <x v="0"/>
  </r>
  <r>
    <s v="Urban"/>
    <n v="2018"/>
    <s v="August"/>
    <x v="68"/>
    <s v="Food and beverages"/>
    <n v="140.1"/>
    <x v="0"/>
  </r>
  <r>
    <s v="Urban"/>
    <n v="2018"/>
    <s v="August"/>
    <x v="68"/>
    <s v="Pan, tobacco and intoxicants"/>
    <n v="162.1"/>
    <x v="1"/>
  </r>
  <r>
    <s v="Urban"/>
    <n v="2018"/>
    <s v="August"/>
    <x v="68"/>
    <s v="Clothing"/>
    <n v="140"/>
    <x v="2"/>
  </r>
  <r>
    <s v="Urban"/>
    <n v="2018"/>
    <s v="August"/>
    <x v="68"/>
    <s v="Footwear"/>
    <n v="129"/>
    <x v="2"/>
  </r>
  <r>
    <s v="Urban"/>
    <n v="2018"/>
    <s v="August"/>
    <x v="68"/>
    <s v="Clothing and footwear"/>
    <n v="138.30000000000001"/>
    <x v="2"/>
  </r>
  <r>
    <s v="Urban"/>
    <n v="2018"/>
    <s v="August"/>
    <x v="68"/>
    <s v="Housing"/>
    <n v="144.6"/>
    <x v="10"/>
  </r>
  <r>
    <s v="Urban"/>
    <n v="2018"/>
    <s v="August"/>
    <x v="68"/>
    <s v="Fuel and light"/>
    <n v="129.80000000000001"/>
    <x v="3"/>
  </r>
  <r>
    <s v="Urban"/>
    <n v="2018"/>
    <s v="August"/>
    <x v="68"/>
    <s v="Household goods and services"/>
    <n v="134.4"/>
    <x v="4"/>
  </r>
  <r>
    <s v="Urban"/>
    <n v="2018"/>
    <s v="August"/>
    <x v="68"/>
    <s v="Health"/>
    <n v="134.9"/>
    <x v="5"/>
  </r>
  <r>
    <s v="Urban"/>
    <n v="2018"/>
    <s v="August"/>
    <x v="68"/>
    <s v="Transport and communication"/>
    <n v="120.7"/>
    <x v="6"/>
  </r>
  <r>
    <s v="Urban"/>
    <n v="2018"/>
    <s v="August"/>
    <x v="68"/>
    <s v="Recreation and amusement"/>
    <n v="129.80000000000001"/>
    <x v="1"/>
  </r>
  <r>
    <s v="Urban"/>
    <n v="2018"/>
    <s v="August"/>
    <x v="68"/>
    <s v="Education"/>
    <n v="145.30000000000001"/>
    <x v="7"/>
  </r>
  <r>
    <s v="Urban"/>
    <n v="2018"/>
    <s v="August"/>
    <x v="68"/>
    <s v="Personal care and effects"/>
    <n v="128.30000000000001"/>
    <x v="4"/>
  </r>
  <r>
    <s v="Urban"/>
    <n v="2018"/>
    <s v="August"/>
    <x v="68"/>
    <s v="Miscellaneous"/>
    <n v="131"/>
    <x v="8"/>
  </r>
  <r>
    <s v="Urban"/>
    <n v="2018"/>
    <s v="August"/>
    <x v="68"/>
    <s v="General index"/>
    <n v="138"/>
    <x v="9"/>
  </r>
  <r>
    <s v="Rural+Urban"/>
    <n v="2018"/>
    <s v="August"/>
    <x v="68"/>
    <s v="Cereals and products"/>
    <n v="138.30000000000001"/>
    <x v="0"/>
  </r>
  <r>
    <s v="Rural+Urban"/>
    <n v="2018"/>
    <s v="August"/>
    <x v="68"/>
    <s v="Meat and fish"/>
    <n v="148"/>
    <x v="0"/>
  </r>
  <r>
    <s v="Rural+Urban"/>
    <n v="2018"/>
    <s v="August"/>
    <x v="68"/>
    <s v="Egg"/>
    <n v="138.1"/>
    <x v="0"/>
  </r>
  <r>
    <s v="Rural+Urban"/>
    <n v="2018"/>
    <s v="August"/>
    <x v="68"/>
    <s v="Milk and products"/>
    <n v="142.6"/>
    <x v="0"/>
  </r>
  <r>
    <s v="Rural+Urban"/>
    <n v="2018"/>
    <s v="August"/>
    <x v="68"/>
    <s v="Oils and fats"/>
    <n v="122.2"/>
    <x v="0"/>
  </r>
  <r>
    <s v="Rural+Urban"/>
    <n v="2018"/>
    <s v="August"/>
    <x v="68"/>
    <s v="Fruits"/>
    <n v="150.6"/>
    <x v="0"/>
  </r>
  <r>
    <s v="Rural+Urban"/>
    <n v="2018"/>
    <s v="August"/>
    <x v="68"/>
    <s v="Vegetables"/>
    <n v="156.6"/>
    <x v="0"/>
  </r>
  <r>
    <s v="Rural+Urban"/>
    <n v="2018"/>
    <s v="August"/>
    <x v="68"/>
    <s v="Pulses and products"/>
    <n v="122.4"/>
    <x v="0"/>
  </r>
  <r>
    <s v="Rural+Urban"/>
    <n v="2018"/>
    <s v="August"/>
    <x v="68"/>
    <s v="Sugar and Confectionery"/>
    <n v="114.7"/>
    <x v="0"/>
  </r>
  <r>
    <s v="Rural+Urban"/>
    <n v="2018"/>
    <s v="August"/>
    <x v="68"/>
    <s v="Spices"/>
    <n v="139.4"/>
    <x v="0"/>
  </r>
  <r>
    <s v="Rural+Urban"/>
    <n v="2018"/>
    <s v="August"/>
    <x v="68"/>
    <s v="Non-alcoholic beverages"/>
    <n v="131.1"/>
    <x v="0"/>
  </r>
  <r>
    <s v="Rural+Urban"/>
    <n v="2018"/>
    <s v="August"/>
    <x v="68"/>
    <s v="Prepared meals, snacks, sweets etc."/>
    <n v="153"/>
    <x v="0"/>
  </r>
  <r>
    <s v="Rural+Urban"/>
    <n v="2018"/>
    <s v="August"/>
    <x v="68"/>
    <s v="Food and beverages"/>
    <n v="141.69999999999999"/>
    <x v="0"/>
  </r>
  <r>
    <s v="Rural+Urban"/>
    <n v="2018"/>
    <s v="August"/>
    <x v="68"/>
    <s v="Pan, tobacco and intoxicants"/>
    <n v="157.9"/>
    <x v="1"/>
  </r>
  <r>
    <s v="Rural+Urban"/>
    <n v="2018"/>
    <s v="August"/>
    <x v="68"/>
    <s v="Clothing"/>
    <n v="147.30000000000001"/>
    <x v="2"/>
  </r>
  <r>
    <s v="Rural+Urban"/>
    <n v="2018"/>
    <s v="August"/>
    <x v="68"/>
    <s v="Footwear"/>
    <n v="138.80000000000001"/>
    <x v="2"/>
  </r>
  <r>
    <s v="Rural+Urban"/>
    <n v="2018"/>
    <s v="August"/>
    <x v="68"/>
    <s v="Clothing and footwear"/>
    <n v="146.1"/>
    <x v="2"/>
  </r>
  <r>
    <s v="Rural+Urban"/>
    <n v="2018"/>
    <s v="August"/>
    <x v="68"/>
    <s v="Housing"/>
    <n v="144.6"/>
    <x v="10"/>
  </r>
  <r>
    <s v="Rural+Urban"/>
    <n v="2018"/>
    <s v="August"/>
    <x v="68"/>
    <s v="Fuel and light"/>
    <n v="140.9"/>
    <x v="3"/>
  </r>
  <r>
    <s v="Rural+Urban"/>
    <n v="2018"/>
    <s v="August"/>
    <x v="68"/>
    <s v="Household goods and services"/>
    <n v="139.4"/>
    <x v="4"/>
  </r>
  <r>
    <s v="Rural+Urban"/>
    <n v="2018"/>
    <s v="August"/>
    <x v="68"/>
    <s v="Health"/>
    <n v="137.69999999999999"/>
    <x v="5"/>
  </r>
  <r>
    <s v="Rural+Urban"/>
    <n v="2018"/>
    <s v="August"/>
    <x v="68"/>
    <s v="Transport and communication"/>
    <n v="124.3"/>
    <x v="6"/>
  </r>
  <r>
    <s v="Rural+Urban"/>
    <n v="2018"/>
    <s v="August"/>
    <x v="68"/>
    <s v="Recreation and amusement"/>
    <n v="133.6"/>
    <x v="1"/>
  </r>
  <r>
    <s v="Rural+Urban"/>
    <n v="2018"/>
    <s v="August"/>
    <x v="68"/>
    <s v="Education"/>
    <n v="146"/>
    <x v="7"/>
  </r>
  <r>
    <s v="Rural+Urban"/>
    <n v="2018"/>
    <s v="August"/>
    <x v="68"/>
    <s v="Personal care and effects"/>
    <n v="130.1"/>
    <x v="4"/>
  </r>
  <r>
    <s v="Rural+Urban"/>
    <n v="2018"/>
    <s v="August"/>
    <x v="68"/>
    <s v="Miscellaneous"/>
    <n v="133.9"/>
    <x v="8"/>
  </r>
  <r>
    <s v="Rural+Urban"/>
    <n v="2018"/>
    <s v="August"/>
    <x v="68"/>
    <s v="General index"/>
    <n v="140.4"/>
    <x v="9"/>
  </r>
  <r>
    <s v="Rural"/>
    <n v="2018"/>
    <s v="September"/>
    <x v="69"/>
    <s v="Cereals and products"/>
    <n v="139.4"/>
    <x v="0"/>
  </r>
  <r>
    <s v="Rural"/>
    <n v="2018"/>
    <s v="September"/>
    <x v="69"/>
    <s v="Meat and fish"/>
    <n v="147.19999999999999"/>
    <x v="0"/>
  </r>
  <r>
    <s v="Rural"/>
    <n v="2018"/>
    <s v="September"/>
    <x v="69"/>
    <s v="Egg"/>
    <n v="136.6"/>
    <x v="0"/>
  </r>
  <r>
    <s v="Rural"/>
    <n v="2018"/>
    <s v="September"/>
    <x v="69"/>
    <s v="Milk and products"/>
    <n v="143.69999999999999"/>
    <x v="0"/>
  </r>
  <r>
    <s v="Rural"/>
    <n v="2018"/>
    <s v="September"/>
    <x v="69"/>
    <s v="Oils and fats"/>
    <n v="124.6"/>
    <x v="0"/>
  </r>
  <r>
    <s v="Rural"/>
    <n v="2018"/>
    <s v="September"/>
    <x v="69"/>
    <s v="Fruits"/>
    <n v="150.1"/>
    <x v="0"/>
  </r>
  <r>
    <s v="Rural"/>
    <n v="2018"/>
    <s v="September"/>
    <x v="69"/>
    <s v="Vegetables"/>
    <n v="149.4"/>
    <x v="0"/>
  </r>
  <r>
    <s v="Rural"/>
    <n v="2018"/>
    <s v="September"/>
    <x v="69"/>
    <s v="Pulses and products"/>
    <n v="125.4"/>
    <x v="0"/>
  </r>
  <r>
    <s v="Rural"/>
    <n v="2018"/>
    <s v="September"/>
    <x v="69"/>
    <s v="Sugar and Confectionery"/>
    <n v="114.4"/>
    <x v="0"/>
  </r>
  <r>
    <s v="Rural"/>
    <n v="2018"/>
    <s v="September"/>
    <x v="69"/>
    <s v="Spices"/>
    <n v="138.69999999999999"/>
    <x v="0"/>
  </r>
  <r>
    <s v="Rural"/>
    <n v="2018"/>
    <s v="September"/>
    <x v="69"/>
    <s v="Non-alcoholic beverages"/>
    <n v="133.1"/>
    <x v="0"/>
  </r>
  <r>
    <s v="Rural"/>
    <n v="2018"/>
    <s v="September"/>
    <x v="69"/>
    <s v="Prepared meals, snacks, sweets etc."/>
    <n v="155.9"/>
    <x v="0"/>
  </r>
  <r>
    <s v="Rural"/>
    <n v="2018"/>
    <s v="September"/>
    <x v="69"/>
    <s v="Food and beverages"/>
    <n v="141.30000000000001"/>
    <x v="0"/>
  </r>
  <r>
    <s v="Rural"/>
    <n v="2018"/>
    <s v="September"/>
    <x v="69"/>
    <s v="Pan, tobacco and intoxicants"/>
    <n v="157.69999999999999"/>
    <x v="1"/>
  </r>
  <r>
    <s v="Rural"/>
    <n v="2018"/>
    <s v="September"/>
    <x v="69"/>
    <s v="Clothing"/>
    <n v="152.1"/>
    <x v="2"/>
  </r>
  <r>
    <s v="Rural"/>
    <n v="2018"/>
    <s v="September"/>
    <x v="69"/>
    <s v="Footwear"/>
    <n v="146.1"/>
    <x v="2"/>
  </r>
  <r>
    <s v="Rural"/>
    <n v="2018"/>
    <s v="September"/>
    <x v="69"/>
    <s v="Clothing and footwear"/>
    <n v="151.30000000000001"/>
    <x v="2"/>
  </r>
  <r>
    <s v="Rural"/>
    <n v="2018"/>
    <s v="September"/>
    <x v="69"/>
    <s v="Fuel and light"/>
    <n v="149"/>
    <x v="3"/>
  </r>
  <r>
    <s v="Rural"/>
    <n v="2018"/>
    <s v="September"/>
    <x v="69"/>
    <s v="Household goods and services"/>
    <n v="144"/>
    <x v="4"/>
  </r>
  <r>
    <s v="Rural"/>
    <n v="2018"/>
    <s v="September"/>
    <x v="69"/>
    <s v="Health"/>
    <n v="140"/>
    <x v="5"/>
  </r>
  <r>
    <s v="Rural"/>
    <n v="2018"/>
    <s v="September"/>
    <x v="69"/>
    <s v="Transport and communication"/>
    <n v="129.9"/>
    <x v="6"/>
  </r>
  <r>
    <s v="Rural"/>
    <n v="2018"/>
    <s v="September"/>
    <x v="69"/>
    <s v="Recreation and amusement"/>
    <n v="140"/>
    <x v="1"/>
  </r>
  <r>
    <s v="Rural"/>
    <n v="2018"/>
    <s v="September"/>
    <x v="69"/>
    <s v="Education"/>
    <n v="147.6"/>
    <x v="7"/>
  </r>
  <r>
    <s v="Rural"/>
    <n v="2018"/>
    <s v="September"/>
    <x v="69"/>
    <s v="Personal care and effects"/>
    <n v="132"/>
    <x v="4"/>
  </r>
  <r>
    <s v="Rural"/>
    <n v="2018"/>
    <s v="September"/>
    <x v="69"/>
    <s v="Miscellaneous"/>
    <n v="137.4"/>
    <x v="8"/>
  </r>
  <r>
    <s v="Rural"/>
    <n v="2018"/>
    <s v="September"/>
    <x v="69"/>
    <s v="General index"/>
    <n v="142.1"/>
    <x v="9"/>
  </r>
  <r>
    <s v="Urban"/>
    <n v="2018"/>
    <s v="September"/>
    <x v="69"/>
    <s v="Cereals and products"/>
    <n v="137"/>
    <x v="0"/>
  </r>
  <r>
    <s v="Urban"/>
    <n v="2018"/>
    <s v="September"/>
    <x v="69"/>
    <s v="Meat and fish"/>
    <n v="143.1"/>
    <x v="0"/>
  </r>
  <r>
    <s v="Urban"/>
    <n v="2018"/>
    <s v="September"/>
    <x v="69"/>
    <s v="Egg"/>
    <n v="132.80000000000001"/>
    <x v="0"/>
  </r>
  <r>
    <s v="Urban"/>
    <n v="2018"/>
    <s v="September"/>
    <x v="69"/>
    <s v="Milk and products"/>
    <n v="141.5"/>
    <x v="0"/>
  </r>
  <r>
    <s v="Urban"/>
    <n v="2018"/>
    <s v="September"/>
    <x v="69"/>
    <s v="Oils and fats"/>
    <n v="117.8"/>
    <x v="0"/>
  </r>
  <r>
    <s v="Urban"/>
    <n v="2018"/>
    <s v="September"/>
    <x v="69"/>
    <s v="Fruits"/>
    <n v="140"/>
    <x v="0"/>
  </r>
  <r>
    <s v="Urban"/>
    <n v="2018"/>
    <s v="September"/>
    <x v="69"/>
    <s v="Vegetables"/>
    <n v="151.30000000000001"/>
    <x v="0"/>
  </r>
  <r>
    <s v="Urban"/>
    <n v="2018"/>
    <s v="September"/>
    <x v="69"/>
    <s v="Pulses and products"/>
    <n v="113.5"/>
    <x v="0"/>
  </r>
  <r>
    <s v="Urban"/>
    <n v="2018"/>
    <s v="September"/>
    <x v="69"/>
    <s v="Sugar and Confectionery"/>
    <n v="112.3"/>
    <x v="0"/>
  </r>
  <r>
    <s v="Urban"/>
    <n v="2018"/>
    <s v="September"/>
    <x v="69"/>
    <s v="Spices"/>
    <n v="141.19999999999999"/>
    <x v="0"/>
  </r>
  <r>
    <s v="Urban"/>
    <n v="2018"/>
    <s v="September"/>
    <x v="69"/>
    <s v="Non-alcoholic beverages"/>
    <n v="127.7"/>
    <x v="0"/>
  </r>
  <r>
    <s v="Urban"/>
    <n v="2018"/>
    <s v="September"/>
    <x v="69"/>
    <s v="Prepared meals, snacks, sweets etc."/>
    <n v="151.30000000000001"/>
    <x v="0"/>
  </r>
  <r>
    <s v="Urban"/>
    <n v="2018"/>
    <s v="September"/>
    <x v="69"/>
    <s v="Food and beverages"/>
    <n v="138.9"/>
    <x v="0"/>
  </r>
  <r>
    <s v="Urban"/>
    <n v="2018"/>
    <s v="September"/>
    <x v="69"/>
    <s v="Pan, tobacco and intoxicants"/>
    <n v="163.30000000000001"/>
    <x v="1"/>
  </r>
  <r>
    <s v="Urban"/>
    <n v="2018"/>
    <s v="September"/>
    <x v="69"/>
    <s v="Clothing"/>
    <n v="140.80000000000001"/>
    <x v="2"/>
  </r>
  <r>
    <s v="Urban"/>
    <n v="2018"/>
    <s v="September"/>
    <x v="69"/>
    <s v="Footwear"/>
    <n v="129.30000000000001"/>
    <x v="2"/>
  </r>
  <r>
    <s v="Urban"/>
    <n v="2018"/>
    <s v="September"/>
    <x v="69"/>
    <s v="Clothing and footwear"/>
    <n v="139.1"/>
    <x v="2"/>
  </r>
  <r>
    <s v="Urban"/>
    <n v="2018"/>
    <s v="September"/>
    <x v="69"/>
    <s v="Housing"/>
    <n v="145.30000000000001"/>
    <x v="10"/>
  </r>
  <r>
    <s v="Urban"/>
    <n v="2018"/>
    <s v="September"/>
    <x v="69"/>
    <s v="Fuel and light"/>
    <n v="131.19999999999999"/>
    <x v="3"/>
  </r>
  <r>
    <s v="Urban"/>
    <n v="2018"/>
    <s v="September"/>
    <x v="69"/>
    <s v="Household goods and services"/>
    <n v="134.9"/>
    <x v="4"/>
  </r>
  <r>
    <s v="Urban"/>
    <n v="2018"/>
    <s v="September"/>
    <x v="69"/>
    <s v="Health"/>
    <n v="135.69999999999999"/>
    <x v="5"/>
  </r>
  <r>
    <s v="Urban"/>
    <n v="2018"/>
    <s v="September"/>
    <x v="69"/>
    <s v="Transport and communication"/>
    <n v="122.5"/>
    <x v="6"/>
  </r>
  <r>
    <s v="Urban"/>
    <n v="2018"/>
    <s v="September"/>
    <x v="69"/>
    <s v="Recreation and amusement"/>
    <n v="130.19999999999999"/>
    <x v="1"/>
  </r>
  <r>
    <s v="Urban"/>
    <n v="2018"/>
    <s v="September"/>
    <x v="69"/>
    <s v="Education"/>
    <n v="145.19999999999999"/>
    <x v="7"/>
  </r>
  <r>
    <s v="Urban"/>
    <n v="2018"/>
    <s v="September"/>
    <x v="69"/>
    <s v="Personal care and effects"/>
    <n v="129.30000000000001"/>
    <x v="4"/>
  </r>
  <r>
    <s v="Urban"/>
    <n v="2018"/>
    <s v="September"/>
    <x v="69"/>
    <s v="Miscellaneous"/>
    <n v="131.9"/>
    <x v="8"/>
  </r>
  <r>
    <s v="Urban"/>
    <n v="2018"/>
    <s v="September"/>
    <x v="69"/>
    <s v="General index"/>
    <n v="138.1"/>
    <x v="9"/>
  </r>
  <r>
    <s v="Rural+Urban"/>
    <n v="2018"/>
    <s v="September"/>
    <x v="69"/>
    <s v="Cereals and products"/>
    <n v="138.6"/>
    <x v="0"/>
  </r>
  <r>
    <s v="Rural+Urban"/>
    <n v="2018"/>
    <s v="September"/>
    <x v="69"/>
    <s v="Meat and fish"/>
    <n v="145.80000000000001"/>
    <x v="0"/>
  </r>
  <r>
    <s v="Rural+Urban"/>
    <n v="2018"/>
    <s v="September"/>
    <x v="69"/>
    <s v="Egg"/>
    <n v="135.1"/>
    <x v="0"/>
  </r>
  <r>
    <s v="Rural+Urban"/>
    <n v="2018"/>
    <s v="September"/>
    <x v="69"/>
    <s v="Milk and products"/>
    <n v="142.9"/>
    <x v="0"/>
  </r>
  <r>
    <s v="Rural+Urban"/>
    <n v="2018"/>
    <s v="September"/>
    <x v="69"/>
    <s v="Oils and fats"/>
    <n v="122.1"/>
    <x v="0"/>
  </r>
  <r>
    <s v="Rural+Urban"/>
    <n v="2018"/>
    <s v="September"/>
    <x v="69"/>
    <s v="Fruits"/>
    <n v="145.4"/>
    <x v="0"/>
  </r>
  <r>
    <s v="Rural+Urban"/>
    <n v="2018"/>
    <s v="September"/>
    <x v="69"/>
    <s v="Vegetables"/>
    <n v="150"/>
    <x v="0"/>
  </r>
  <r>
    <s v="Rural+Urban"/>
    <n v="2018"/>
    <s v="September"/>
    <x v="69"/>
    <s v="Pulses and products"/>
    <n v="121.4"/>
    <x v="0"/>
  </r>
  <r>
    <s v="Rural+Urban"/>
    <n v="2018"/>
    <s v="September"/>
    <x v="69"/>
    <s v="Sugar and Confectionery"/>
    <n v="113.7"/>
    <x v="0"/>
  </r>
  <r>
    <s v="Rural+Urban"/>
    <n v="2018"/>
    <s v="September"/>
    <x v="69"/>
    <s v="Spices"/>
    <n v="139.5"/>
    <x v="0"/>
  </r>
  <r>
    <s v="Rural+Urban"/>
    <n v="2018"/>
    <s v="September"/>
    <x v="69"/>
    <s v="Non-alcoholic beverages"/>
    <n v="130.80000000000001"/>
    <x v="0"/>
  </r>
  <r>
    <s v="Rural+Urban"/>
    <n v="2018"/>
    <s v="September"/>
    <x v="69"/>
    <s v="Prepared meals, snacks, sweets etc."/>
    <n v="153.80000000000001"/>
    <x v="0"/>
  </r>
  <r>
    <s v="Rural+Urban"/>
    <n v="2018"/>
    <s v="September"/>
    <x v="69"/>
    <s v="Food and beverages"/>
    <n v="140.4"/>
    <x v="0"/>
  </r>
  <r>
    <s v="Rural+Urban"/>
    <n v="2018"/>
    <s v="September"/>
    <x v="69"/>
    <s v="Pan, tobacco and intoxicants"/>
    <n v="159.19999999999999"/>
    <x v="1"/>
  </r>
  <r>
    <s v="Rural+Urban"/>
    <n v="2018"/>
    <s v="September"/>
    <x v="69"/>
    <s v="Clothing"/>
    <n v="147.69999999999999"/>
    <x v="2"/>
  </r>
  <r>
    <s v="Rural+Urban"/>
    <n v="2018"/>
    <s v="September"/>
    <x v="69"/>
    <s v="Footwear"/>
    <n v="139.1"/>
    <x v="2"/>
  </r>
  <r>
    <s v="Rural+Urban"/>
    <n v="2018"/>
    <s v="September"/>
    <x v="69"/>
    <s v="Clothing and footwear"/>
    <n v="146.5"/>
    <x v="2"/>
  </r>
  <r>
    <s v="Rural+Urban"/>
    <n v="2018"/>
    <s v="September"/>
    <x v="69"/>
    <s v="Housing"/>
    <n v="145.30000000000001"/>
    <x v="10"/>
  </r>
  <r>
    <s v="Rural+Urban"/>
    <n v="2018"/>
    <s v="September"/>
    <x v="69"/>
    <s v="Fuel and light"/>
    <n v="142.30000000000001"/>
    <x v="3"/>
  </r>
  <r>
    <s v="Rural+Urban"/>
    <n v="2018"/>
    <s v="September"/>
    <x v="69"/>
    <s v="Household goods and services"/>
    <n v="139.69999999999999"/>
    <x v="4"/>
  </r>
  <r>
    <s v="Rural+Urban"/>
    <n v="2018"/>
    <s v="September"/>
    <x v="69"/>
    <s v="Health"/>
    <n v="138.4"/>
    <x v="5"/>
  </r>
  <r>
    <s v="Rural+Urban"/>
    <n v="2018"/>
    <s v="September"/>
    <x v="69"/>
    <s v="Transport and communication"/>
    <n v="126"/>
    <x v="6"/>
  </r>
  <r>
    <s v="Rural+Urban"/>
    <n v="2018"/>
    <s v="September"/>
    <x v="69"/>
    <s v="Recreation and amusement"/>
    <n v="134.5"/>
    <x v="1"/>
  </r>
  <r>
    <s v="Rural+Urban"/>
    <n v="2018"/>
    <s v="September"/>
    <x v="69"/>
    <s v="Education"/>
    <n v="146.19999999999999"/>
    <x v="7"/>
  </r>
  <r>
    <s v="Rural+Urban"/>
    <n v="2018"/>
    <s v="September"/>
    <x v="69"/>
    <s v="Personal care and effects"/>
    <n v="130.9"/>
    <x v="4"/>
  </r>
  <r>
    <s v="Rural+Urban"/>
    <n v="2018"/>
    <s v="September"/>
    <x v="69"/>
    <s v="Miscellaneous"/>
    <n v="134.69999999999999"/>
    <x v="8"/>
  </r>
  <r>
    <s v="Rural+Urban"/>
    <n v="2018"/>
    <s v="September"/>
    <x v="69"/>
    <s v="General index"/>
    <n v="140.19999999999999"/>
    <x v="9"/>
  </r>
  <r>
    <s v="Rural"/>
    <n v="2018"/>
    <s v="October"/>
    <x v="70"/>
    <s v="Cereals and products"/>
    <n v="139.30000000000001"/>
    <x v="0"/>
  </r>
  <r>
    <s v="Rural"/>
    <n v="2018"/>
    <s v="October"/>
    <x v="70"/>
    <s v="Meat and fish"/>
    <n v="147.6"/>
    <x v="0"/>
  </r>
  <r>
    <s v="Rural"/>
    <n v="2018"/>
    <s v="October"/>
    <x v="70"/>
    <s v="Egg"/>
    <n v="134.6"/>
    <x v="0"/>
  </r>
  <r>
    <s v="Rural"/>
    <n v="2018"/>
    <s v="October"/>
    <x v="70"/>
    <s v="Milk and products"/>
    <n v="141.9"/>
    <x v="0"/>
  </r>
  <r>
    <s v="Rural"/>
    <n v="2018"/>
    <s v="October"/>
    <x v="70"/>
    <s v="Oils and fats"/>
    <n v="123.5"/>
    <x v="0"/>
  </r>
  <r>
    <s v="Rural"/>
    <n v="2018"/>
    <s v="October"/>
    <x v="70"/>
    <s v="Fruits"/>
    <n v="144.5"/>
    <x v="0"/>
  </r>
  <r>
    <s v="Rural"/>
    <n v="2018"/>
    <s v="October"/>
    <x v="70"/>
    <s v="Vegetables"/>
    <n v="147.6"/>
    <x v="0"/>
  </r>
  <r>
    <s v="Rural"/>
    <n v="2018"/>
    <s v="October"/>
    <x v="70"/>
    <s v="Pulses and products"/>
    <n v="121.4"/>
    <x v="0"/>
  </r>
  <r>
    <s v="Rural"/>
    <n v="2018"/>
    <s v="October"/>
    <x v="70"/>
    <s v="Sugar and Confectionery"/>
    <n v="112.3"/>
    <x v="0"/>
  </r>
  <r>
    <s v="Rural"/>
    <n v="2018"/>
    <s v="October"/>
    <x v="70"/>
    <s v="Spices"/>
    <n v="139.5"/>
    <x v="0"/>
  </r>
  <r>
    <s v="Rural"/>
    <n v="2018"/>
    <s v="October"/>
    <x v="70"/>
    <s v="Non-alcoholic beverages"/>
    <n v="134.6"/>
    <x v="0"/>
  </r>
  <r>
    <s v="Rural"/>
    <n v="2018"/>
    <s v="October"/>
    <x v="70"/>
    <s v="Prepared meals, snacks, sweets etc."/>
    <n v="155.19999999999999"/>
    <x v="0"/>
  </r>
  <r>
    <s v="Rural"/>
    <n v="2018"/>
    <s v="October"/>
    <x v="70"/>
    <s v="Food and beverages"/>
    <n v="140.19999999999999"/>
    <x v="0"/>
  </r>
  <r>
    <s v="Rural"/>
    <n v="2018"/>
    <s v="October"/>
    <x v="70"/>
    <s v="Pan, tobacco and intoxicants"/>
    <n v="159.6"/>
    <x v="1"/>
  </r>
  <r>
    <s v="Rural"/>
    <n v="2018"/>
    <s v="October"/>
    <x v="70"/>
    <s v="Clothing"/>
    <n v="150.69999999999999"/>
    <x v="2"/>
  </r>
  <r>
    <s v="Rural"/>
    <n v="2018"/>
    <s v="October"/>
    <x v="70"/>
    <s v="Footwear"/>
    <n v="144.5"/>
    <x v="2"/>
  </r>
  <r>
    <s v="Rural"/>
    <n v="2018"/>
    <s v="October"/>
    <x v="70"/>
    <s v="Clothing and footwear"/>
    <n v="149.80000000000001"/>
    <x v="2"/>
  </r>
  <r>
    <s v="Rural"/>
    <n v="2018"/>
    <s v="October"/>
    <x v="70"/>
    <s v="Fuel and light"/>
    <n v="149.69999999999999"/>
    <x v="3"/>
  </r>
  <r>
    <s v="Rural"/>
    <n v="2018"/>
    <s v="October"/>
    <x v="70"/>
    <s v="Household goods and services"/>
    <n v="147.5"/>
    <x v="4"/>
  </r>
  <r>
    <s v="Rural"/>
    <n v="2018"/>
    <s v="October"/>
    <x v="70"/>
    <s v="Health"/>
    <n v="144.80000000000001"/>
    <x v="5"/>
  </r>
  <r>
    <s v="Rural"/>
    <n v="2018"/>
    <s v="October"/>
    <x v="70"/>
    <s v="Transport and communication"/>
    <n v="130.80000000000001"/>
    <x v="6"/>
  </r>
  <r>
    <s v="Rural"/>
    <n v="2018"/>
    <s v="October"/>
    <x v="70"/>
    <s v="Recreation and amusement"/>
    <n v="140.1"/>
    <x v="1"/>
  </r>
  <r>
    <s v="Rural"/>
    <n v="2018"/>
    <s v="October"/>
    <x v="70"/>
    <s v="Education"/>
    <n v="148"/>
    <x v="7"/>
  </r>
  <r>
    <s v="Rural"/>
    <n v="2018"/>
    <s v="October"/>
    <x v="70"/>
    <s v="Personal care and effects"/>
    <n v="134.4"/>
    <x v="4"/>
  </r>
  <r>
    <s v="Rural"/>
    <n v="2018"/>
    <s v="October"/>
    <x v="70"/>
    <s v="Miscellaneous"/>
    <n v="139.80000000000001"/>
    <x v="8"/>
  </r>
  <r>
    <s v="Rural"/>
    <n v="2018"/>
    <s v="October"/>
    <x v="70"/>
    <s v="General index"/>
    <n v="142.19999999999999"/>
    <x v="9"/>
  </r>
  <r>
    <s v="Urban"/>
    <n v="2018"/>
    <s v="October"/>
    <x v="70"/>
    <s v="Cereals and products"/>
    <n v="137.6"/>
    <x v="0"/>
  </r>
  <r>
    <s v="Urban"/>
    <n v="2018"/>
    <s v="October"/>
    <x v="70"/>
    <s v="Meat and fish"/>
    <n v="144.9"/>
    <x v="0"/>
  </r>
  <r>
    <s v="Urban"/>
    <n v="2018"/>
    <s v="October"/>
    <x v="70"/>
    <s v="Egg"/>
    <n v="133.5"/>
    <x v="0"/>
  </r>
  <r>
    <s v="Urban"/>
    <n v="2018"/>
    <s v="October"/>
    <x v="70"/>
    <s v="Milk and products"/>
    <n v="141.5"/>
    <x v="0"/>
  </r>
  <r>
    <s v="Urban"/>
    <n v="2018"/>
    <s v="October"/>
    <x v="70"/>
    <s v="Oils and fats"/>
    <n v="118"/>
    <x v="0"/>
  </r>
  <r>
    <s v="Urban"/>
    <n v="2018"/>
    <s v="October"/>
    <x v="70"/>
    <s v="Fruits"/>
    <n v="139.5"/>
    <x v="0"/>
  </r>
  <r>
    <s v="Urban"/>
    <n v="2018"/>
    <s v="October"/>
    <x v="70"/>
    <s v="Vegetables"/>
    <n v="153"/>
    <x v="0"/>
  </r>
  <r>
    <s v="Urban"/>
    <n v="2018"/>
    <s v="October"/>
    <x v="70"/>
    <s v="Pulses and products"/>
    <n v="113.2"/>
    <x v="0"/>
  </r>
  <r>
    <s v="Urban"/>
    <n v="2018"/>
    <s v="October"/>
    <x v="70"/>
    <s v="Sugar and Confectionery"/>
    <n v="112.8"/>
    <x v="0"/>
  </r>
  <r>
    <s v="Urban"/>
    <n v="2018"/>
    <s v="October"/>
    <x v="70"/>
    <s v="Spices"/>
    <n v="141.1"/>
    <x v="0"/>
  </r>
  <r>
    <s v="Urban"/>
    <n v="2018"/>
    <s v="October"/>
    <x v="70"/>
    <s v="Non-alcoholic beverages"/>
    <n v="127.6"/>
    <x v="0"/>
  </r>
  <r>
    <s v="Urban"/>
    <n v="2018"/>
    <s v="October"/>
    <x v="70"/>
    <s v="Prepared meals, snacks, sweets etc."/>
    <n v="152"/>
    <x v="0"/>
  </r>
  <r>
    <s v="Urban"/>
    <n v="2018"/>
    <s v="October"/>
    <x v="70"/>
    <s v="Food and beverages"/>
    <n v="139.4"/>
    <x v="0"/>
  </r>
  <r>
    <s v="Urban"/>
    <n v="2018"/>
    <s v="October"/>
    <x v="70"/>
    <s v="Pan, tobacco and intoxicants"/>
    <n v="164"/>
    <x v="1"/>
  </r>
  <r>
    <s v="Urban"/>
    <n v="2018"/>
    <s v="October"/>
    <x v="70"/>
    <s v="Clothing"/>
    <n v="141.5"/>
    <x v="2"/>
  </r>
  <r>
    <s v="Urban"/>
    <n v="2018"/>
    <s v="October"/>
    <x v="70"/>
    <s v="Footwear"/>
    <n v="129.80000000000001"/>
    <x v="2"/>
  </r>
  <r>
    <s v="Urban"/>
    <n v="2018"/>
    <s v="October"/>
    <x v="70"/>
    <s v="Clothing and footwear"/>
    <n v="139.69999999999999"/>
    <x v="2"/>
  </r>
  <r>
    <s v="Urban"/>
    <n v="2018"/>
    <s v="October"/>
    <x v="70"/>
    <s v="Housing"/>
    <n v="146.30000000000001"/>
    <x v="10"/>
  </r>
  <r>
    <s v="Urban"/>
    <n v="2018"/>
    <s v="October"/>
    <x v="70"/>
    <s v="Fuel and light"/>
    <n v="133.4"/>
    <x v="3"/>
  </r>
  <r>
    <s v="Urban"/>
    <n v="2018"/>
    <s v="October"/>
    <x v="70"/>
    <s v="Household goods and services"/>
    <n v="135.1"/>
    <x v="4"/>
  </r>
  <r>
    <s v="Urban"/>
    <n v="2018"/>
    <s v="October"/>
    <x v="70"/>
    <s v="Health"/>
    <n v="136.19999999999999"/>
    <x v="5"/>
  </r>
  <r>
    <s v="Urban"/>
    <n v="2018"/>
    <s v="October"/>
    <x v="70"/>
    <s v="Transport and communication"/>
    <n v="123.3"/>
    <x v="6"/>
  </r>
  <r>
    <s v="Urban"/>
    <n v="2018"/>
    <s v="October"/>
    <x v="70"/>
    <s v="Recreation and amusement"/>
    <n v="130.69999999999999"/>
    <x v="1"/>
  </r>
  <r>
    <s v="Urban"/>
    <n v="2018"/>
    <s v="October"/>
    <x v="70"/>
    <s v="Education"/>
    <n v="145.5"/>
    <x v="7"/>
  </r>
  <r>
    <s v="Urban"/>
    <n v="2018"/>
    <s v="October"/>
    <x v="70"/>
    <s v="Personal care and effects"/>
    <n v="130.4"/>
    <x v="4"/>
  </r>
  <r>
    <s v="Urban"/>
    <n v="2018"/>
    <s v="October"/>
    <x v="70"/>
    <s v="Miscellaneous"/>
    <n v="132.5"/>
    <x v="8"/>
  </r>
  <r>
    <s v="Urban"/>
    <n v="2018"/>
    <s v="October"/>
    <x v="70"/>
    <s v="General index"/>
    <n v="138.9"/>
    <x v="9"/>
  </r>
  <r>
    <s v="Rural+Urban"/>
    <n v="2018"/>
    <s v="October"/>
    <x v="70"/>
    <s v="Cereals and products"/>
    <n v="137.4"/>
    <x v="0"/>
  </r>
  <r>
    <s v="Rural+Urban"/>
    <n v="2018"/>
    <s v="October"/>
    <x v="70"/>
    <s v="Meat and fish"/>
    <n v="149.5"/>
    <x v="0"/>
  </r>
  <r>
    <s v="Rural+Urban"/>
    <n v="2018"/>
    <s v="October"/>
    <x v="70"/>
    <s v="Egg"/>
    <n v="137.30000000000001"/>
    <x v="0"/>
  </r>
  <r>
    <s v="Rural+Urban"/>
    <n v="2018"/>
    <s v="October"/>
    <x v="70"/>
    <s v="Milk and products"/>
    <n v="141.9"/>
    <x v="0"/>
  </r>
  <r>
    <s v="Rural+Urban"/>
    <n v="2018"/>
    <s v="October"/>
    <x v="70"/>
    <s v="Oils and fats"/>
    <n v="121.1"/>
    <x v="0"/>
  </r>
  <r>
    <s v="Rural+Urban"/>
    <n v="2018"/>
    <s v="October"/>
    <x v="70"/>
    <s v="Fruits"/>
    <n v="142.5"/>
    <x v="0"/>
  </r>
  <r>
    <s v="Rural+Urban"/>
    <n v="2018"/>
    <s v="October"/>
    <x v="70"/>
    <s v="Vegetables"/>
    <n v="146.69999999999999"/>
    <x v="0"/>
  </r>
  <r>
    <s v="Rural+Urban"/>
    <n v="2018"/>
    <s v="October"/>
    <x v="70"/>
    <s v="Pulses and products"/>
    <n v="119.1"/>
    <x v="0"/>
  </r>
  <r>
    <s v="Rural+Urban"/>
    <n v="2018"/>
    <s v="October"/>
    <x v="70"/>
    <s v="Sugar and Confectionery"/>
    <n v="111.9"/>
    <x v="0"/>
  </r>
  <r>
    <s v="Rural+Urban"/>
    <n v="2018"/>
    <s v="October"/>
    <x v="70"/>
    <s v="Spices"/>
    <n v="141"/>
    <x v="0"/>
  </r>
  <r>
    <s v="Rural+Urban"/>
    <n v="2018"/>
    <s v="October"/>
    <x v="70"/>
    <s v="Non-alcoholic beverages"/>
    <n v="133.6"/>
    <x v="0"/>
  </r>
  <r>
    <s v="Rural+Urban"/>
    <n v="2018"/>
    <s v="October"/>
    <x v="70"/>
    <s v="Prepared meals, snacks, sweets etc."/>
    <n v="154.5"/>
    <x v="0"/>
  </r>
  <r>
    <s v="Rural+Urban"/>
    <n v="2018"/>
    <s v="October"/>
    <x v="70"/>
    <s v="Food and beverages"/>
    <n v="139.69999999999999"/>
    <x v="0"/>
  </r>
  <r>
    <s v="Rural+Urban"/>
    <n v="2018"/>
    <s v="October"/>
    <x v="70"/>
    <s v="Pan, tobacco and intoxicants"/>
    <n v="162.6"/>
    <x v="1"/>
  </r>
  <r>
    <s v="Rural+Urban"/>
    <n v="2018"/>
    <s v="October"/>
    <x v="70"/>
    <s v="Clothing"/>
    <n v="148"/>
    <x v="2"/>
  </r>
  <r>
    <s v="Rural+Urban"/>
    <n v="2018"/>
    <s v="October"/>
    <x v="70"/>
    <s v="Footwear"/>
    <n v="139.19999999999999"/>
    <x v="2"/>
  </r>
  <r>
    <s v="Rural+Urban"/>
    <n v="2018"/>
    <s v="October"/>
    <x v="70"/>
    <s v="Clothing and footwear"/>
    <n v="146.80000000000001"/>
    <x v="2"/>
  </r>
  <r>
    <s v="Rural+Urban"/>
    <n v="2018"/>
    <s v="October"/>
    <x v="70"/>
    <s v="Housing"/>
    <n v="146.9"/>
    <x v="10"/>
  </r>
  <r>
    <s v="Rural+Urban"/>
    <n v="2018"/>
    <s v="October"/>
    <x v="70"/>
    <s v="Fuel and light"/>
    <n v="145.30000000000001"/>
    <x v="3"/>
  </r>
  <r>
    <s v="Rural+Urban"/>
    <n v="2018"/>
    <s v="October"/>
    <x v="70"/>
    <s v="Household goods and services"/>
    <n v="142.19999999999999"/>
    <x v="4"/>
  </r>
  <r>
    <s v="Rural+Urban"/>
    <n v="2018"/>
    <s v="October"/>
    <x v="70"/>
    <s v="Health"/>
    <n v="142.1"/>
    <x v="5"/>
  </r>
  <r>
    <s v="Rural+Urban"/>
    <n v="2018"/>
    <s v="October"/>
    <x v="70"/>
    <s v="Transport and communication"/>
    <n v="125.5"/>
    <x v="6"/>
  </r>
  <r>
    <s v="Rural+Urban"/>
    <n v="2018"/>
    <s v="October"/>
    <x v="70"/>
    <s v="Recreation and amusement"/>
    <n v="136.5"/>
    <x v="1"/>
  </r>
  <r>
    <s v="Rural+Urban"/>
    <n v="2018"/>
    <s v="October"/>
    <x v="70"/>
    <s v="Education"/>
    <n v="147.80000000000001"/>
    <x v="7"/>
  </r>
  <r>
    <s v="Rural+Urban"/>
    <n v="2018"/>
    <s v="October"/>
    <x v="70"/>
    <s v="Personal care and effects"/>
    <n v="132"/>
    <x v="4"/>
  </r>
  <r>
    <s v="Rural+Urban"/>
    <n v="2018"/>
    <s v="October"/>
    <x v="70"/>
    <s v="Miscellaneous"/>
    <n v="136.30000000000001"/>
    <x v="8"/>
  </r>
  <r>
    <s v="Rural+Urban"/>
    <n v="2018"/>
    <s v="October"/>
    <x v="70"/>
    <s v="General index"/>
    <n v="140.80000000000001"/>
    <x v="9"/>
  </r>
  <r>
    <s v="Rural"/>
    <n v="2018"/>
    <s v="November"/>
    <x v="71"/>
    <s v="Cereals and products"/>
    <n v="137.1"/>
    <x v="0"/>
  </r>
  <r>
    <s v="Rural"/>
    <n v="2018"/>
    <s v="November"/>
    <x v="71"/>
    <s v="Meat and fish"/>
    <n v="150.80000000000001"/>
    <x v="0"/>
  </r>
  <r>
    <s v="Rural"/>
    <n v="2018"/>
    <s v="November"/>
    <x v="71"/>
    <s v="Egg"/>
    <n v="136.69999999999999"/>
    <x v="0"/>
  </r>
  <r>
    <s v="Rural"/>
    <n v="2018"/>
    <s v="November"/>
    <x v="71"/>
    <s v="Milk and products"/>
    <n v="141.9"/>
    <x v="0"/>
  </r>
  <r>
    <s v="Rural"/>
    <n v="2018"/>
    <s v="November"/>
    <x v="71"/>
    <s v="Oils and fats"/>
    <n v="122.8"/>
    <x v="0"/>
  </r>
  <r>
    <s v="Rural"/>
    <n v="2018"/>
    <s v="November"/>
    <x v="71"/>
    <s v="Fruits"/>
    <n v="143.9"/>
    <x v="0"/>
  </r>
  <r>
    <s v="Rural"/>
    <n v="2018"/>
    <s v="November"/>
    <x v="71"/>
    <s v="Vegetables"/>
    <n v="147.5"/>
    <x v="0"/>
  </r>
  <r>
    <s v="Rural"/>
    <n v="2018"/>
    <s v="November"/>
    <x v="71"/>
    <s v="Pulses and products"/>
    <n v="121"/>
    <x v="0"/>
  </r>
  <r>
    <s v="Rural"/>
    <n v="2018"/>
    <s v="November"/>
    <x v="71"/>
    <s v="Sugar and Confectionery"/>
    <n v="111.6"/>
    <x v="0"/>
  </r>
  <r>
    <s v="Rural"/>
    <n v="2018"/>
    <s v="November"/>
    <x v="71"/>
    <s v="Spices"/>
    <n v="140.6"/>
    <x v="0"/>
  </r>
  <r>
    <s v="Rural"/>
    <n v="2018"/>
    <s v="November"/>
    <x v="71"/>
    <s v="Non-alcoholic beverages"/>
    <n v="137.5"/>
    <x v="0"/>
  </r>
  <r>
    <s v="Rural"/>
    <n v="2018"/>
    <s v="November"/>
    <x v="71"/>
    <s v="Prepared meals, snacks, sweets etc."/>
    <n v="156.1"/>
    <x v="0"/>
  </r>
  <r>
    <s v="Rural"/>
    <n v="2018"/>
    <s v="November"/>
    <x v="71"/>
    <s v="Food and beverages"/>
    <n v="140"/>
    <x v="0"/>
  </r>
  <r>
    <s v="Rural"/>
    <n v="2018"/>
    <s v="November"/>
    <x v="71"/>
    <s v="Pan, tobacco and intoxicants"/>
    <n v="161.9"/>
    <x v="1"/>
  </r>
  <r>
    <s v="Rural"/>
    <n v="2018"/>
    <s v="November"/>
    <x v="71"/>
    <s v="Clothing"/>
    <n v="151.69999999999999"/>
    <x v="2"/>
  </r>
  <r>
    <s v="Rural"/>
    <n v="2018"/>
    <s v="November"/>
    <x v="71"/>
    <s v="Footwear"/>
    <n v="145.5"/>
    <x v="2"/>
  </r>
  <r>
    <s v="Rural"/>
    <n v="2018"/>
    <s v="November"/>
    <x v="71"/>
    <s v="Clothing and footwear"/>
    <n v="150.80000000000001"/>
    <x v="2"/>
  </r>
  <r>
    <s v="Rural"/>
    <n v="2018"/>
    <s v="November"/>
    <x v="71"/>
    <s v="Fuel and light"/>
    <n v="150.30000000000001"/>
    <x v="3"/>
  </r>
  <r>
    <s v="Rural"/>
    <n v="2018"/>
    <s v="November"/>
    <x v="71"/>
    <s v="Household goods and services"/>
    <n v="148"/>
    <x v="4"/>
  </r>
  <r>
    <s v="Rural"/>
    <n v="2018"/>
    <s v="November"/>
    <x v="71"/>
    <s v="Health"/>
    <n v="145.4"/>
    <x v="5"/>
  </r>
  <r>
    <s v="Rural"/>
    <n v="2018"/>
    <s v="November"/>
    <x v="71"/>
    <s v="Transport and communication"/>
    <n v="130.30000000000001"/>
    <x v="6"/>
  </r>
  <r>
    <s v="Rural"/>
    <n v="2018"/>
    <s v="November"/>
    <x v="71"/>
    <s v="Recreation and amusement"/>
    <n v="143.1"/>
    <x v="1"/>
  </r>
  <r>
    <s v="Rural"/>
    <n v="2018"/>
    <s v="November"/>
    <x v="71"/>
    <s v="Education"/>
    <n v="150.19999999999999"/>
    <x v="7"/>
  </r>
  <r>
    <s v="Rural"/>
    <n v="2018"/>
    <s v="November"/>
    <x v="71"/>
    <s v="Personal care and effects"/>
    <n v="133.1"/>
    <x v="4"/>
  </r>
  <r>
    <s v="Rural"/>
    <n v="2018"/>
    <s v="November"/>
    <x v="71"/>
    <s v="Miscellaneous"/>
    <n v="140.1"/>
    <x v="8"/>
  </r>
  <r>
    <s v="Rural"/>
    <n v="2018"/>
    <s v="November"/>
    <x v="71"/>
    <s v="General index"/>
    <n v="142.4"/>
    <x v="9"/>
  </r>
  <r>
    <s v="Urban"/>
    <n v="2018"/>
    <s v="November"/>
    <x v="71"/>
    <s v="Cereals and products"/>
    <n v="138.1"/>
    <x v="0"/>
  </r>
  <r>
    <s v="Urban"/>
    <n v="2018"/>
    <s v="November"/>
    <x v="71"/>
    <s v="Meat and fish"/>
    <n v="146.30000000000001"/>
    <x v="0"/>
  </r>
  <r>
    <s v="Urban"/>
    <n v="2018"/>
    <s v="November"/>
    <x v="71"/>
    <s v="Egg"/>
    <n v="137.80000000000001"/>
    <x v="0"/>
  </r>
  <r>
    <s v="Urban"/>
    <n v="2018"/>
    <s v="November"/>
    <x v="71"/>
    <s v="Milk and products"/>
    <n v="141.6"/>
    <x v="0"/>
  </r>
  <r>
    <s v="Urban"/>
    <n v="2018"/>
    <s v="November"/>
    <x v="71"/>
    <s v="Oils and fats"/>
    <n v="118.1"/>
    <x v="0"/>
  </r>
  <r>
    <s v="Urban"/>
    <n v="2018"/>
    <s v="November"/>
    <x v="71"/>
    <s v="Fruits"/>
    <n v="141.5"/>
    <x v="0"/>
  </r>
  <r>
    <s v="Urban"/>
    <n v="2018"/>
    <s v="November"/>
    <x v="71"/>
    <s v="Vegetables"/>
    <n v="145.19999999999999"/>
    <x v="0"/>
  </r>
  <r>
    <s v="Urban"/>
    <n v="2018"/>
    <s v="November"/>
    <x v="71"/>
    <s v="Pulses and products"/>
    <n v="115.3"/>
    <x v="0"/>
  </r>
  <r>
    <s v="Urban"/>
    <n v="2018"/>
    <s v="November"/>
    <x v="71"/>
    <s v="Sugar and Confectionery"/>
    <n v="112.5"/>
    <x v="0"/>
  </r>
  <r>
    <s v="Urban"/>
    <n v="2018"/>
    <s v="November"/>
    <x v="71"/>
    <s v="Spices"/>
    <n v="141.4"/>
    <x v="0"/>
  </r>
  <r>
    <s v="Urban"/>
    <n v="2018"/>
    <s v="November"/>
    <x v="71"/>
    <s v="Non-alcoholic beverages"/>
    <n v="128"/>
    <x v="0"/>
  </r>
  <r>
    <s v="Urban"/>
    <n v="2018"/>
    <s v="November"/>
    <x v="71"/>
    <s v="Prepared meals, snacks, sweets etc."/>
    <n v="152.6"/>
    <x v="0"/>
  </r>
  <r>
    <s v="Urban"/>
    <n v="2018"/>
    <s v="November"/>
    <x v="71"/>
    <s v="Food and beverages"/>
    <n v="139.1"/>
    <x v="0"/>
  </r>
  <r>
    <s v="Urban"/>
    <n v="2018"/>
    <s v="November"/>
    <x v="71"/>
    <s v="Pan, tobacco and intoxicants"/>
    <n v="164.4"/>
    <x v="1"/>
  </r>
  <r>
    <s v="Urban"/>
    <n v="2018"/>
    <s v="November"/>
    <x v="71"/>
    <s v="Clothing"/>
    <n v="142.4"/>
    <x v="2"/>
  </r>
  <r>
    <s v="Urban"/>
    <n v="2018"/>
    <s v="November"/>
    <x v="71"/>
    <s v="Footwear"/>
    <n v="130.19999999999999"/>
    <x v="2"/>
  </r>
  <r>
    <s v="Urban"/>
    <n v="2018"/>
    <s v="November"/>
    <x v="71"/>
    <s v="Clothing and footwear"/>
    <n v="140.5"/>
    <x v="2"/>
  </r>
  <r>
    <s v="Urban"/>
    <n v="2018"/>
    <s v="November"/>
    <x v="71"/>
    <s v="Housing"/>
    <n v="146.9"/>
    <x v="10"/>
  </r>
  <r>
    <s v="Urban"/>
    <n v="2018"/>
    <s v="November"/>
    <x v="71"/>
    <s v="Fuel and light"/>
    <n v="136.69999999999999"/>
    <x v="3"/>
  </r>
  <r>
    <s v="Urban"/>
    <n v="2018"/>
    <s v="November"/>
    <x v="71"/>
    <s v="Household goods and services"/>
    <n v="135.80000000000001"/>
    <x v="4"/>
  </r>
  <r>
    <s v="Urban"/>
    <n v="2018"/>
    <s v="November"/>
    <x v="71"/>
    <s v="Health"/>
    <n v="136.80000000000001"/>
    <x v="5"/>
  </r>
  <r>
    <s v="Urban"/>
    <n v="2018"/>
    <s v="November"/>
    <x v="71"/>
    <s v="Transport and communication"/>
    <n v="121.2"/>
    <x v="6"/>
  </r>
  <r>
    <s v="Urban"/>
    <n v="2018"/>
    <s v="November"/>
    <x v="71"/>
    <s v="Recreation and amusement"/>
    <n v="131.30000000000001"/>
    <x v="1"/>
  </r>
  <r>
    <s v="Urban"/>
    <n v="2018"/>
    <s v="November"/>
    <x v="71"/>
    <s v="Education"/>
    <n v="146.1"/>
    <x v="7"/>
  </r>
  <r>
    <s v="Urban"/>
    <n v="2018"/>
    <s v="November"/>
    <x v="71"/>
    <s v="Personal care and effects"/>
    <n v="130.5"/>
    <x v="4"/>
  </r>
  <r>
    <s v="Urban"/>
    <n v="2018"/>
    <s v="November"/>
    <x v="71"/>
    <s v="Miscellaneous"/>
    <n v="132.19999999999999"/>
    <x v="8"/>
  </r>
  <r>
    <s v="Urban"/>
    <n v="2018"/>
    <s v="November"/>
    <x v="71"/>
    <s v="General index"/>
    <n v="139"/>
    <x v="9"/>
  </r>
  <r>
    <s v="Rural+Urban"/>
    <n v="2018"/>
    <s v="November"/>
    <x v="71"/>
    <s v="Cereals and products"/>
    <n v="137.4"/>
    <x v="0"/>
  </r>
  <r>
    <s v="Rural+Urban"/>
    <n v="2018"/>
    <s v="November"/>
    <x v="71"/>
    <s v="Meat and fish"/>
    <n v="149.19999999999999"/>
    <x v="0"/>
  </r>
  <r>
    <s v="Rural+Urban"/>
    <n v="2018"/>
    <s v="November"/>
    <x v="71"/>
    <s v="Egg"/>
    <n v="137.1"/>
    <x v="0"/>
  </r>
  <r>
    <s v="Rural+Urban"/>
    <n v="2018"/>
    <s v="November"/>
    <x v="71"/>
    <s v="Milk and products"/>
    <n v="141.80000000000001"/>
    <x v="0"/>
  </r>
  <r>
    <s v="Rural+Urban"/>
    <n v="2018"/>
    <s v="November"/>
    <x v="71"/>
    <s v="Oils and fats"/>
    <n v="121.1"/>
    <x v="0"/>
  </r>
  <r>
    <s v="Rural+Urban"/>
    <n v="2018"/>
    <s v="November"/>
    <x v="71"/>
    <s v="Fruits"/>
    <n v="142.80000000000001"/>
    <x v="0"/>
  </r>
  <r>
    <s v="Rural+Urban"/>
    <n v="2018"/>
    <s v="November"/>
    <x v="71"/>
    <s v="Vegetables"/>
    <n v="146.69999999999999"/>
    <x v="0"/>
  </r>
  <r>
    <s v="Rural+Urban"/>
    <n v="2018"/>
    <s v="November"/>
    <x v="71"/>
    <s v="Pulses and products"/>
    <n v="119.1"/>
    <x v="0"/>
  </r>
  <r>
    <s v="Rural+Urban"/>
    <n v="2018"/>
    <s v="November"/>
    <x v="71"/>
    <s v="Sugar and Confectionery"/>
    <n v="111.9"/>
    <x v="0"/>
  </r>
  <r>
    <s v="Rural+Urban"/>
    <n v="2018"/>
    <s v="November"/>
    <x v="71"/>
    <s v="Spices"/>
    <n v="140.9"/>
    <x v="0"/>
  </r>
  <r>
    <s v="Rural+Urban"/>
    <n v="2018"/>
    <s v="November"/>
    <x v="71"/>
    <s v="Non-alcoholic beverages"/>
    <n v="133.5"/>
    <x v="0"/>
  </r>
  <r>
    <s v="Rural+Urban"/>
    <n v="2018"/>
    <s v="November"/>
    <x v="71"/>
    <s v="Prepared meals, snacks, sweets etc."/>
    <n v="154.5"/>
    <x v="0"/>
  </r>
  <r>
    <s v="Rural+Urban"/>
    <n v="2018"/>
    <s v="November"/>
    <x v="71"/>
    <s v="Food and beverages"/>
    <n v="139.69999999999999"/>
    <x v="0"/>
  </r>
  <r>
    <s v="Rural+Urban"/>
    <n v="2018"/>
    <s v="November"/>
    <x v="71"/>
    <s v="Pan, tobacco and intoxicants"/>
    <n v="162.6"/>
    <x v="1"/>
  </r>
  <r>
    <s v="Rural+Urban"/>
    <n v="2018"/>
    <s v="November"/>
    <x v="71"/>
    <s v="Clothing"/>
    <n v="148"/>
    <x v="2"/>
  </r>
  <r>
    <s v="Rural+Urban"/>
    <n v="2018"/>
    <s v="November"/>
    <x v="71"/>
    <s v="Footwear"/>
    <n v="139.1"/>
    <x v="2"/>
  </r>
  <r>
    <s v="Rural+Urban"/>
    <n v="2018"/>
    <s v="November"/>
    <x v="71"/>
    <s v="Clothing and footwear"/>
    <n v="146.69999999999999"/>
    <x v="2"/>
  </r>
  <r>
    <s v="Rural+Urban"/>
    <n v="2018"/>
    <s v="November"/>
    <x v="71"/>
    <s v="Housing"/>
    <n v="146.9"/>
    <x v="10"/>
  </r>
  <r>
    <s v="Rural+Urban"/>
    <n v="2018"/>
    <s v="November"/>
    <x v="71"/>
    <s v="Fuel and light"/>
    <n v="145.1"/>
    <x v="3"/>
  </r>
  <r>
    <s v="Rural+Urban"/>
    <n v="2018"/>
    <s v="November"/>
    <x v="71"/>
    <s v="Household goods and services"/>
    <n v="142.19999999999999"/>
    <x v="4"/>
  </r>
  <r>
    <s v="Rural+Urban"/>
    <n v="2018"/>
    <s v="November"/>
    <x v="71"/>
    <s v="Health"/>
    <n v="142.1"/>
    <x v="5"/>
  </r>
  <r>
    <s v="Rural+Urban"/>
    <n v="2018"/>
    <s v="November"/>
    <x v="71"/>
    <s v="Transport and communication"/>
    <n v="125.5"/>
    <x v="6"/>
  </r>
  <r>
    <s v="Rural+Urban"/>
    <n v="2018"/>
    <s v="November"/>
    <x v="71"/>
    <s v="Recreation and amusement"/>
    <n v="136.5"/>
    <x v="1"/>
  </r>
  <r>
    <s v="Rural+Urban"/>
    <n v="2018"/>
    <s v="November"/>
    <x v="71"/>
    <s v="Education"/>
    <n v="147.80000000000001"/>
    <x v="7"/>
  </r>
  <r>
    <s v="Rural+Urban"/>
    <n v="2018"/>
    <s v="November"/>
    <x v="71"/>
    <s v="Personal care and effects"/>
    <n v="132"/>
    <x v="4"/>
  </r>
  <r>
    <s v="Rural+Urban"/>
    <n v="2018"/>
    <s v="November"/>
    <x v="71"/>
    <s v="Miscellaneous"/>
    <n v="136.30000000000001"/>
    <x v="8"/>
  </r>
  <r>
    <s v="Rural+Urban"/>
    <n v="2018"/>
    <s v="November"/>
    <x v="71"/>
    <s v="General index"/>
    <n v="140.80000000000001"/>
    <x v="9"/>
  </r>
  <r>
    <s v="Rural"/>
    <n v="2018"/>
    <s v="December"/>
    <x v="72"/>
    <s v="Cereals and products"/>
    <n v="137.1"/>
    <x v="0"/>
  </r>
  <r>
    <s v="Rural"/>
    <n v="2018"/>
    <s v="December"/>
    <x v="72"/>
    <s v="Meat and fish"/>
    <n v="151.9"/>
    <x v="0"/>
  </r>
  <r>
    <s v="Rural"/>
    <n v="2018"/>
    <s v="December"/>
    <x v="72"/>
    <s v="Egg"/>
    <n v="137.4"/>
    <x v="0"/>
  </r>
  <r>
    <s v="Rural"/>
    <n v="2018"/>
    <s v="December"/>
    <x v="72"/>
    <s v="Milk and products"/>
    <n v="142.4"/>
    <x v="0"/>
  </r>
  <r>
    <s v="Rural"/>
    <n v="2018"/>
    <s v="December"/>
    <x v="72"/>
    <s v="Oils and fats"/>
    <n v="124.2"/>
    <x v="0"/>
  </r>
  <r>
    <s v="Rural"/>
    <n v="2018"/>
    <s v="December"/>
    <x v="72"/>
    <s v="Fruits"/>
    <n v="140.19999999999999"/>
    <x v="0"/>
  </r>
  <r>
    <s v="Rural"/>
    <n v="2018"/>
    <s v="December"/>
    <x v="72"/>
    <s v="Vegetables"/>
    <n v="136.6"/>
    <x v="0"/>
  </r>
  <r>
    <s v="Rural"/>
    <n v="2018"/>
    <s v="December"/>
    <x v="72"/>
    <s v="Pulses and products"/>
    <n v="120.9"/>
    <x v="0"/>
  </r>
  <r>
    <s v="Rural"/>
    <n v="2018"/>
    <s v="December"/>
    <x v="72"/>
    <s v="Sugar and Confectionery"/>
    <n v="109.9"/>
    <x v="0"/>
  </r>
  <r>
    <s v="Rural"/>
    <n v="2018"/>
    <s v="December"/>
    <x v="72"/>
    <s v="Spices"/>
    <n v="140.19999999999999"/>
    <x v="0"/>
  </r>
  <r>
    <s v="Rural"/>
    <n v="2018"/>
    <s v="December"/>
    <x v="72"/>
    <s v="Non-alcoholic beverages"/>
    <n v="137.80000000000001"/>
    <x v="0"/>
  </r>
  <r>
    <s v="Rural"/>
    <n v="2018"/>
    <s v="December"/>
    <x v="72"/>
    <s v="Prepared meals, snacks, sweets etc."/>
    <n v="156"/>
    <x v="0"/>
  </r>
  <r>
    <s v="Rural"/>
    <n v="2018"/>
    <s v="December"/>
    <x v="72"/>
    <s v="Food and beverages"/>
    <n v="138.5"/>
    <x v="0"/>
  </r>
  <r>
    <s v="Rural"/>
    <n v="2018"/>
    <s v="December"/>
    <x v="72"/>
    <s v="Pan, tobacco and intoxicants"/>
    <n v="162.4"/>
    <x v="1"/>
  </r>
  <r>
    <s v="Rural"/>
    <n v="2018"/>
    <s v="December"/>
    <x v="72"/>
    <s v="Clothing"/>
    <n v="151.6"/>
    <x v="2"/>
  </r>
  <r>
    <s v="Rural"/>
    <n v="2018"/>
    <s v="December"/>
    <x v="72"/>
    <s v="Footwear"/>
    <n v="145.9"/>
    <x v="2"/>
  </r>
  <r>
    <s v="Rural"/>
    <n v="2018"/>
    <s v="December"/>
    <x v="72"/>
    <s v="Clothing and footwear"/>
    <n v="150.80000000000001"/>
    <x v="2"/>
  </r>
  <r>
    <s v="Rural"/>
    <n v="2018"/>
    <s v="December"/>
    <x v="72"/>
    <s v="Fuel and light"/>
    <n v="149"/>
    <x v="3"/>
  </r>
  <r>
    <s v="Rural"/>
    <n v="2018"/>
    <s v="December"/>
    <x v="72"/>
    <s v="Household goods and services"/>
    <n v="149.5"/>
    <x v="4"/>
  </r>
  <r>
    <s v="Rural"/>
    <n v="2018"/>
    <s v="December"/>
    <x v="72"/>
    <s v="Health"/>
    <n v="149.6"/>
    <x v="5"/>
  </r>
  <r>
    <s v="Rural"/>
    <n v="2018"/>
    <s v="December"/>
    <x v="72"/>
    <s v="Transport and communication"/>
    <n v="128.9"/>
    <x v="6"/>
  </r>
  <r>
    <s v="Rural"/>
    <n v="2018"/>
    <s v="December"/>
    <x v="72"/>
    <s v="Recreation and amusement"/>
    <n v="143.30000000000001"/>
    <x v="1"/>
  </r>
  <r>
    <s v="Rural"/>
    <n v="2018"/>
    <s v="December"/>
    <x v="72"/>
    <s v="Education"/>
    <n v="155.1"/>
    <x v="7"/>
  </r>
  <r>
    <s v="Rural"/>
    <n v="2018"/>
    <s v="December"/>
    <x v="72"/>
    <s v="Personal care and effects"/>
    <n v="133.19999999999999"/>
    <x v="4"/>
  </r>
  <r>
    <s v="Rural"/>
    <n v="2018"/>
    <s v="December"/>
    <x v="72"/>
    <s v="Miscellaneous"/>
    <n v="141.6"/>
    <x v="8"/>
  </r>
  <r>
    <s v="Rural"/>
    <n v="2018"/>
    <s v="December"/>
    <x v="72"/>
    <s v="General index"/>
    <n v="141.9"/>
    <x v="9"/>
  </r>
  <r>
    <s v="Urban"/>
    <n v="2018"/>
    <s v="December"/>
    <x v="72"/>
    <s v="Cereals and products"/>
    <n v="138.5"/>
    <x v="0"/>
  </r>
  <r>
    <s v="Urban"/>
    <n v="2018"/>
    <s v="December"/>
    <x v="72"/>
    <s v="Meat and fish"/>
    <n v="147.80000000000001"/>
    <x v="0"/>
  </r>
  <r>
    <s v="Urban"/>
    <n v="2018"/>
    <s v="December"/>
    <x v="72"/>
    <s v="Egg"/>
    <n v="141.1"/>
    <x v="0"/>
  </r>
  <r>
    <s v="Urban"/>
    <n v="2018"/>
    <s v="December"/>
    <x v="72"/>
    <s v="Milk and products"/>
    <n v="141.6"/>
    <x v="0"/>
  </r>
  <r>
    <s v="Urban"/>
    <n v="2018"/>
    <s v="December"/>
    <x v="72"/>
    <s v="Oils and fats"/>
    <n v="118.1"/>
    <x v="0"/>
  </r>
  <r>
    <s v="Urban"/>
    <n v="2018"/>
    <s v="December"/>
    <x v="72"/>
    <s v="Fruits"/>
    <n v="138.5"/>
    <x v="0"/>
  </r>
  <r>
    <s v="Urban"/>
    <n v="2018"/>
    <s v="December"/>
    <x v="72"/>
    <s v="Vegetables"/>
    <n v="132.4"/>
    <x v="0"/>
  </r>
  <r>
    <s v="Urban"/>
    <n v="2018"/>
    <s v="December"/>
    <x v="72"/>
    <s v="Pulses and products"/>
    <n v="117.5"/>
    <x v="0"/>
  </r>
  <r>
    <s v="Urban"/>
    <n v="2018"/>
    <s v="December"/>
    <x v="72"/>
    <s v="Sugar and Confectionery"/>
    <n v="111"/>
    <x v="0"/>
  </r>
  <r>
    <s v="Urban"/>
    <n v="2018"/>
    <s v="December"/>
    <x v="72"/>
    <s v="Spices"/>
    <n v="141.5"/>
    <x v="0"/>
  </r>
  <r>
    <s v="Urban"/>
    <n v="2018"/>
    <s v="December"/>
    <x v="72"/>
    <s v="Non-alcoholic beverages"/>
    <n v="128.1"/>
    <x v="0"/>
  </r>
  <r>
    <s v="Urban"/>
    <n v="2018"/>
    <s v="December"/>
    <x v="72"/>
    <s v="Prepared meals, snacks, sweets etc."/>
    <n v="152.9"/>
    <x v="0"/>
  </r>
  <r>
    <s v="Urban"/>
    <n v="2018"/>
    <s v="December"/>
    <x v="72"/>
    <s v="Food and beverages"/>
    <n v="137.6"/>
    <x v="0"/>
  </r>
  <r>
    <s v="Urban"/>
    <n v="2018"/>
    <s v="December"/>
    <x v="72"/>
    <s v="Pan, tobacco and intoxicants"/>
    <n v="164.6"/>
    <x v="1"/>
  </r>
  <r>
    <s v="Urban"/>
    <n v="2018"/>
    <s v="December"/>
    <x v="72"/>
    <s v="Clothing"/>
    <n v="142.69999999999999"/>
    <x v="2"/>
  </r>
  <r>
    <s v="Urban"/>
    <n v="2018"/>
    <s v="December"/>
    <x v="72"/>
    <s v="Footwear"/>
    <n v="130.30000000000001"/>
    <x v="2"/>
  </r>
  <r>
    <s v="Urban"/>
    <n v="2018"/>
    <s v="December"/>
    <x v="72"/>
    <s v="Clothing and footwear"/>
    <n v="140.80000000000001"/>
    <x v="2"/>
  </r>
  <r>
    <s v="Urban"/>
    <n v="2018"/>
    <s v="December"/>
    <x v="72"/>
    <s v="Housing"/>
    <n v="146.5"/>
    <x v="10"/>
  </r>
  <r>
    <s v="Urban"/>
    <n v="2018"/>
    <s v="December"/>
    <x v="72"/>
    <s v="Fuel and light"/>
    <n v="132.4"/>
    <x v="3"/>
  </r>
  <r>
    <s v="Urban"/>
    <n v="2018"/>
    <s v="December"/>
    <x v="72"/>
    <s v="Household goods and services"/>
    <n v="136.19999999999999"/>
    <x v="4"/>
  </r>
  <r>
    <s v="Urban"/>
    <n v="2018"/>
    <s v="December"/>
    <x v="72"/>
    <s v="Health"/>
    <n v="137.30000000000001"/>
    <x v="5"/>
  </r>
  <r>
    <s v="Urban"/>
    <n v="2018"/>
    <s v="December"/>
    <x v="72"/>
    <s v="Transport and communication"/>
    <n v="118.8"/>
    <x v="6"/>
  </r>
  <r>
    <s v="Urban"/>
    <n v="2018"/>
    <s v="December"/>
    <x v="72"/>
    <s v="Recreation and amusement"/>
    <n v="131.69999999999999"/>
    <x v="1"/>
  </r>
  <r>
    <s v="Urban"/>
    <n v="2018"/>
    <s v="December"/>
    <x v="72"/>
    <s v="Education"/>
    <n v="146.5"/>
    <x v="7"/>
  </r>
  <r>
    <s v="Urban"/>
    <n v="2018"/>
    <s v="December"/>
    <x v="72"/>
    <s v="Personal care and effects"/>
    <n v="130.80000000000001"/>
    <x v="4"/>
  </r>
  <r>
    <s v="Urban"/>
    <n v="2018"/>
    <s v="December"/>
    <x v="72"/>
    <s v="Miscellaneous"/>
    <n v="131.69999999999999"/>
    <x v="8"/>
  </r>
  <r>
    <s v="Urban"/>
    <n v="2018"/>
    <s v="December"/>
    <x v="72"/>
    <s v="General index"/>
    <n v="138"/>
    <x v="9"/>
  </r>
  <r>
    <s v="Rural+Urban"/>
    <n v="2018"/>
    <s v="December"/>
    <x v="72"/>
    <s v="Cereals and products"/>
    <n v="137.5"/>
    <x v="0"/>
  </r>
  <r>
    <s v="Rural+Urban"/>
    <n v="2018"/>
    <s v="December"/>
    <x v="72"/>
    <s v="Meat and fish"/>
    <n v="150.5"/>
    <x v="0"/>
  </r>
  <r>
    <s v="Rural+Urban"/>
    <n v="2018"/>
    <s v="December"/>
    <x v="72"/>
    <s v="Egg"/>
    <n v="138.80000000000001"/>
    <x v="0"/>
  </r>
  <r>
    <s v="Rural+Urban"/>
    <n v="2018"/>
    <s v="December"/>
    <x v="72"/>
    <s v="Milk and products"/>
    <n v="142.1"/>
    <x v="0"/>
  </r>
  <r>
    <s v="Rural+Urban"/>
    <n v="2018"/>
    <s v="December"/>
    <x v="72"/>
    <s v="Oils and fats"/>
    <n v="122"/>
    <x v="0"/>
  </r>
  <r>
    <s v="Rural+Urban"/>
    <n v="2018"/>
    <s v="December"/>
    <x v="72"/>
    <s v="Fruits"/>
    <n v="139.4"/>
    <x v="0"/>
  </r>
  <r>
    <s v="Rural+Urban"/>
    <n v="2018"/>
    <s v="December"/>
    <x v="72"/>
    <s v="Vegetables"/>
    <n v="135.19999999999999"/>
    <x v="0"/>
  </r>
  <r>
    <s v="Rural+Urban"/>
    <n v="2018"/>
    <s v="December"/>
    <x v="72"/>
    <s v="Pulses and products"/>
    <n v="119.8"/>
    <x v="0"/>
  </r>
  <r>
    <s v="Rural+Urban"/>
    <n v="2018"/>
    <s v="December"/>
    <x v="72"/>
    <s v="Sugar and Confectionery"/>
    <n v="110.3"/>
    <x v="0"/>
  </r>
  <r>
    <s v="Rural+Urban"/>
    <n v="2018"/>
    <s v="December"/>
    <x v="72"/>
    <s v="Spices"/>
    <n v="140.6"/>
    <x v="0"/>
  </r>
  <r>
    <s v="Rural+Urban"/>
    <n v="2018"/>
    <s v="December"/>
    <x v="72"/>
    <s v="Non-alcoholic beverages"/>
    <n v="133.80000000000001"/>
    <x v="0"/>
  </r>
  <r>
    <s v="Rural+Urban"/>
    <n v="2018"/>
    <s v="December"/>
    <x v="72"/>
    <s v="Prepared meals, snacks, sweets etc."/>
    <n v="154.6"/>
    <x v="0"/>
  </r>
  <r>
    <s v="Rural+Urban"/>
    <n v="2018"/>
    <s v="December"/>
    <x v="72"/>
    <s v="Food and beverages"/>
    <n v="138.19999999999999"/>
    <x v="0"/>
  </r>
  <r>
    <s v="Rural+Urban"/>
    <n v="2018"/>
    <s v="December"/>
    <x v="72"/>
    <s v="Pan, tobacco and intoxicants"/>
    <n v="163"/>
    <x v="1"/>
  </r>
  <r>
    <s v="Rural+Urban"/>
    <n v="2018"/>
    <s v="December"/>
    <x v="72"/>
    <s v="Clothing"/>
    <n v="148.1"/>
    <x v="2"/>
  </r>
  <r>
    <s v="Rural+Urban"/>
    <n v="2018"/>
    <s v="December"/>
    <x v="72"/>
    <s v="Footwear"/>
    <n v="139.4"/>
    <x v="2"/>
  </r>
  <r>
    <s v="Rural+Urban"/>
    <n v="2018"/>
    <s v="December"/>
    <x v="72"/>
    <s v="Clothing and footwear"/>
    <n v="146.80000000000001"/>
    <x v="2"/>
  </r>
  <r>
    <s v="Rural+Urban"/>
    <n v="2018"/>
    <s v="December"/>
    <x v="72"/>
    <s v="Housing"/>
    <n v="146.5"/>
    <x v="10"/>
  </r>
  <r>
    <s v="Rural+Urban"/>
    <n v="2018"/>
    <s v="December"/>
    <x v="72"/>
    <s v="Fuel and light"/>
    <n v="142.69999999999999"/>
    <x v="3"/>
  </r>
  <r>
    <s v="Rural+Urban"/>
    <n v="2018"/>
    <s v="December"/>
    <x v="72"/>
    <s v="Household goods and services"/>
    <n v="143.19999999999999"/>
    <x v="4"/>
  </r>
  <r>
    <s v="Rural+Urban"/>
    <n v="2018"/>
    <s v="December"/>
    <x v="72"/>
    <s v="Health"/>
    <n v="144.9"/>
    <x v="5"/>
  </r>
  <r>
    <s v="Rural+Urban"/>
    <n v="2018"/>
    <s v="December"/>
    <x v="72"/>
    <s v="Transport and communication"/>
    <n v="123.6"/>
    <x v="6"/>
  </r>
  <r>
    <s v="Rural+Urban"/>
    <n v="2018"/>
    <s v="December"/>
    <x v="72"/>
    <s v="Recreation and amusement"/>
    <n v="136.80000000000001"/>
    <x v="1"/>
  </r>
  <r>
    <s v="Rural+Urban"/>
    <n v="2018"/>
    <s v="December"/>
    <x v="72"/>
    <s v="Education"/>
    <n v="150.1"/>
    <x v="7"/>
  </r>
  <r>
    <s v="Rural+Urban"/>
    <n v="2018"/>
    <s v="December"/>
    <x v="72"/>
    <s v="Personal care and effects"/>
    <n v="132.19999999999999"/>
    <x v="4"/>
  </r>
  <r>
    <s v="Rural+Urban"/>
    <n v="2018"/>
    <s v="December"/>
    <x v="72"/>
    <s v="Miscellaneous"/>
    <n v="136.80000000000001"/>
    <x v="8"/>
  </r>
  <r>
    <s v="Rural+Urban"/>
    <n v="2018"/>
    <s v="December"/>
    <x v="72"/>
    <s v="General index"/>
    <n v="140.1"/>
    <x v="9"/>
  </r>
  <r>
    <s v="Rural"/>
    <n v="2019"/>
    <s v="January"/>
    <x v="73"/>
    <s v="Cereals and products"/>
    <n v="136.6"/>
    <x v="0"/>
  </r>
  <r>
    <s v="Rural"/>
    <n v="2019"/>
    <s v="January"/>
    <x v="73"/>
    <s v="Meat and fish"/>
    <n v="152.5"/>
    <x v="0"/>
  </r>
  <r>
    <s v="Rural"/>
    <n v="2019"/>
    <s v="January"/>
    <x v="73"/>
    <s v="Egg"/>
    <n v="138.19999999999999"/>
    <x v="0"/>
  </r>
  <r>
    <s v="Rural"/>
    <n v="2019"/>
    <s v="January"/>
    <x v="73"/>
    <s v="Milk and products"/>
    <n v="142.4"/>
    <x v="0"/>
  </r>
  <r>
    <s v="Rural"/>
    <n v="2019"/>
    <s v="January"/>
    <x v="73"/>
    <s v="Oils and fats"/>
    <n v="123.9"/>
    <x v="0"/>
  </r>
  <r>
    <s v="Rural"/>
    <n v="2019"/>
    <s v="January"/>
    <x v="73"/>
    <s v="Fruits"/>
    <n v="135.5"/>
    <x v="0"/>
  </r>
  <r>
    <s v="Rural"/>
    <n v="2019"/>
    <s v="January"/>
    <x v="73"/>
    <s v="Vegetables"/>
    <n v="131.69999999999999"/>
    <x v="0"/>
  </r>
  <r>
    <s v="Rural"/>
    <n v="2019"/>
    <s v="January"/>
    <x v="73"/>
    <s v="Pulses and products"/>
    <n v="121.3"/>
    <x v="0"/>
  </r>
  <r>
    <s v="Rural"/>
    <n v="2019"/>
    <s v="January"/>
    <x v="73"/>
    <s v="Sugar and Confectionery"/>
    <n v="108.4"/>
    <x v="0"/>
  </r>
  <r>
    <s v="Rural"/>
    <n v="2019"/>
    <s v="January"/>
    <x v="73"/>
    <s v="Spices"/>
    <n v="138.9"/>
    <x v="0"/>
  </r>
  <r>
    <s v="Rural"/>
    <n v="2019"/>
    <s v="January"/>
    <x v="73"/>
    <s v="Non-alcoholic beverages"/>
    <n v="137"/>
    <x v="0"/>
  </r>
  <r>
    <s v="Rural"/>
    <n v="2019"/>
    <s v="January"/>
    <x v="73"/>
    <s v="Prepared meals, snacks, sweets etc."/>
    <n v="155.80000000000001"/>
    <x v="0"/>
  </r>
  <r>
    <s v="Rural"/>
    <n v="2019"/>
    <s v="January"/>
    <x v="73"/>
    <s v="Food and beverages"/>
    <n v="137.4"/>
    <x v="0"/>
  </r>
  <r>
    <s v="Rural"/>
    <n v="2019"/>
    <s v="January"/>
    <x v="73"/>
    <s v="Pan, tobacco and intoxicants"/>
    <n v="162.69999999999999"/>
    <x v="1"/>
  </r>
  <r>
    <s v="Rural"/>
    <n v="2019"/>
    <s v="January"/>
    <x v="73"/>
    <s v="Clothing"/>
    <n v="150.6"/>
    <x v="2"/>
  </r>
  <r>
    <s v="Rural"/>
    <n v="2019"/>
    <s v="January"/>
    <x v="73"/>
    <s v="Footwear"/>
    <n v="145.1"/>
    <x v="2"/>
  </r>
  <r>
    <s v="Rural"/>
    <n v="2019"/>
    <s v="January"/>
    <x v="73"/>
    <s v="Clothing and footwear"/>
    <n v="149.9"/>
    <x v="2"/>
  </r>
  <r>
    <s v="Rural"/>
    <n v="2019"/>
    <s v="January"/>
    <x v="73"/>
    <s v="Fuel and light"/>
    <n v="146.19999999999999"/>
    <x v="3"/>
  </r>
  <r>
    <s v="Rural"/>
    <n v="2019"/>
    <s v="January"/>
    <x v="73"/>
    <s v="Household goods and services"/>
    <n v="150.1"/>
    <x v="4"/>
  </r>
  <r>
    <s v="Rural"/>
    <n v="2019"/>
    <s v="January"/>
    <x v="73"/>
    <s v="Health"/>
    <n v="149.6"/>
    <x v="5"/>
  </r>
  <r>
    <s v="Rural"/>
    <n v="2019"/>
    <s v="January"/>
    <x v="73"/>
    <s v="Transport and communication"/>
    <n v="128.6"/>
    <x v="6"/>
  </r>
  <r>
    <s v="Rural"/>
    <n v="2019"/>
    <s v="January"/>
    <x v="73"/>
    <s v="Recreation and amusement"/>
    <n v="142.9"/>
    <x v="1"/>
  </r>
  <r>
    <s v="Rural"/>
    <n v="2019"/>
    <s v="January"/>
    <x v="73"/>
    <s v="Education"/>
    <n v="155.19999999999999"/>
    <x v="7"/>
  </r>
  <r>
    <s v="Rural"/>
    <n v="2019"/>
    <s v="January"/>
    <x v="73"/>
    <s v="Personal care and effects"/>
    <n v="133.5"/>
    <x v="4"/>
  </r>
  <r>
    <s v="Rural"/>
    <n v="2019"/>
    <s v="January"/>
    <x v="73"/>
    <s v="Miscellaneous"/>
    <n v="141.69999999999999"/>
    <x v="8"/>
  </r>
  <r>
    <s v="Rural"/>
    <n v="2019"/>
    <s v="January"/>
    <x v="73"/>
    <s v="General index"/>
    <n v="141"/>
    <x v="9"/>
  </r>
  <r>
    <s v="Urban"/>
    <n v="2019"/>
    <s v="January"/>
    <x v="73"/>
    <s v="Cereals and products"/>
    <n v="138.30000000000001"/>
    <x v="0"/>
  </r>
  <r>
    <s v="Urban"/>
    <n v="2019"/>
    <s v="January"/>
    <x v="73"/>
    <s v="Meat and fish"/>
    <n v="149.4"/>
    <x v="0"/>
  </r>
  <r>
    <s v="Urban"/>
    <n v="2019"/>
    <s v="January"/>
    <x v="73"/>
    <s v="Egg"/>
    <n v="143.5"/>
    <x v="0"/>
  </r>
  <r>
    <s v="Urban"/>
    <n v="2019"/>
    <s v="January"/>
    <x v="73"/>
    <s v="Milk and products"/>
    <n v="141.69999999999999"/>
    <x v="0"/>
  </r>
  <r>
    <s v="Urban"/>
    <n v="2019"/>
    <s v="January"/>
    <x v="73"/>
    <s v="Oils and fats"/>
    <n v="118.1"/>
    <x v="0"/>
  </r>
  <r>
    <s v="Urban"/>
    <n v="2019"/>
    <s v="January"/>
    <x v="73"/>
    <s v="Fruits"/>
    <n v="135.19999999999999"/>
    <x v="0"/>
  </r>
  <r>
    <s v="Urban"/>
    <n v="2019"/>
    <s v="January"/>
    <x v="73"/>
    <s v="Vegetables"/>
    <n v="130.5"/>
    <x v="0"/>
  </r>
  <r>
    <s v="Urban"/>
    <n v="2019"/>
    <s v="January"/>
    <x v="73"/>
    <s v="Pulses and products"/>
    <n v="118.2"/>
    <x v="0"/>
  </r>
  <r>
    <s v="Urban"/>
    <n v="2019"/>
    <s v="January"/>
    <x v="73"/>
    <s v="Sugar and Confectionery"/>
    <n v="110.4"/>
    <x v="0"/>
  </r>
  <r>
    <s v="Urban"/>
    <n v="2019"/>
    <s v="January"/>
    <x v="73"/>
    <s v="Spices"/>
    <n v="140.4"/>
    <x v="0"/>
  </r>
  <r>
    <s v="Urban"/>
    <n v="2019"/>
    <s v="January"/>
    <x v="73"/>
    <s v="Non-alcoholic beverages"/>
    <n v="128.1"/>
    <x v="0"/>
  </r>
  <r>
    <s v="Urban"/>
    <n v="2019"/>
    <s v="January"/>
    <x v="73"/>
    <s v="Prepared meals, snacks, sweets etc."/>
    <n v="153.19999999999999"/>
    <x v="0"/>
  </r>
  <r>
    <s v="Urban"/>
    <n v="2019"/>
    <s v="January"/>
    <x v="73"/>
    <s v="Food and beverages"/>
    <n v="137.30000000000001"/>
    <x v="0"/>
  </r>
  <r>
    <s v="Urban"/>
    <n v="2019"/>
    <s v="January"/>
    <x v="73"/>
    <s v="Pan, tobacco and intoxicants"/>
    <n v="164.7"/>
    <x v="1"/>
  </r>
  <r>
    <s v="Urban"/>
    <n v="2019"/>
    <s v="January"/>
    <x v="73"/>
    <s v="Clothing"/>
    <n v="143"/>
    <x v="2"/>
  </r>
  <r>
    <s v="Urban"/>
    <n v="2019"/>
    <s v="January"/>
    <x v="73"/>
    <s v="Footwear"/>
    <n v="130.4"/>
    <x v="2"/>
  </r>
  <r>
    <s v="Urban"/>
    <n v="2019"/>
    <s v="January"/>
    <x v="73"/>
    <s v="Clothing and footwear"/>
    <n v="141.1"/>
    <x v="2"/>
  </r>
  <r>
    <s v="Urban"/>
    <n v="2019"/>
    <s v="January"/>
    <x v="73"/>
    <s v="Housing"/>
    <n v="147.69999999999999"/>
    <x v="10"/>
  </r>
  <r>
    <s v="Urban"/>
    <n v="2019"/>
    <s v="January"/>
    <x v="73"/>
    <s v="Fuel and light"/>
    <n v="128.6"/>
    <x v="3"/>
  </r>
  <r>
    <s v="Urban"/>
    <n v="2019"/>
    <s v="January"/>
    <x v="73"/>
    <s v="Household goods and services"/>
    <n v="136.30000000000001"/>
    <x v="4"/>
  </r>
  <r>
    <s v="Urban"/>
    <n v="2019"/>
    <s v="January"/>
    <x v="73"/>
    <s v="Health"/>
    <n v="137.80000000000001"/>
    <x v="5"/>
  </r>
  <r>
    <s v="Urban"/>
    <n v="2019"/>
    <s v="January"/>
    <x v="73"/>
    <s v="Transport and communication"/>
    <n v="118.6"/>
    <x v="6"/>
  </r>
  <r>
    <s v="Urban"/>
    <n v="2019"/>
    <s v="January"/>
    <x v="73"/>
    <s v="Recreation and amusement"/>
    <n v="131.9"/>
    <x v="1"/>
  </r>
  <r>
    <s v="Urban"/>
    <n v="2019"/>
    <s v="January"/>
    <x v="73"/>
    <s v="Education"/>
    <n v="146.6"/>
    <x v="7"/>
  </r>
  <r>
    <s v="Urban"/>
    <n v="2019"/>
    <s v="January"/>
    <x v="73"/>
    <s v="Personal care and effects"/>
    <n v="131.69999999999999"/>
    <x v="4"/>
  </r>
  <r>
    <s v="Urban"/>
    <n v="2019"/>
    <s v="January"/>
    <x v="73"/>
    <s v="Miscellaneous"/>
    <n v="131.80000000000001"/>
    <x v="8"/>
  </r>
  <r>
    <s v="Urban"/>
    <n v="2019"/>
    <s v="January"/>
    <x v="73"/>
    <s v="General index"/>
    <n v="138"/>
    <x v="9"/>
  </r>
  <r>
    <s v="Rural+Urban"/>
    <n v="2019"/>
    <s v="January"/>
    <x v="73"/>
    <s v="Cereals and products"/>
    <n v="137.1"/>
    <x v="0"/>
  </r>
  <r>
    <s v="Rural+Urban"/>
    <n v="2019"/>
    <s v="January"/>
    <x v="73"/>
    <s v="Meat and fish"/>
    <n v="151.4"/>
    <x v="0"/>
  </r>
  <r>
    <s v="Rural+Urban"/>
    <n v="2019"/>
    <s v="January"/>
    <x v="73"/>
    <s v="Egg"/>
    <n v="140.19999999999999"/>
    <x v="0"/>
  </r>
  <r>
    <s v="Rural+Urban"/>
    <n v="2019"/>
    <s v="January"/>
    <x v="73"/>
    <s v="Milk and products"/>
    <n v="142.1"/>
    <x v="0"/>
  </r>
  <r>
    <s v="Rural+Urban"/>
    <n v="2019"/>
    <s v="January"/>
    <x v="73"/>
    <s v="Oils and fats"/>
    <n v="121.8"/>
    <x v="0"/>
  </r>
  <r>
    <s v="Rural+Urban"/>
    <n v="2019"/>
    <s v="January"/>
    <x v="73"/>
    <s v="Fruits"/>
    <n v="135.4"/>
    <x v="0"/>
  </r>
  <r>
    <s v="Rural+Urban"/>
    <n v="2019"/>
    <s v="January"/>
    <x v="73"/>
    <s v="Vegetables"/>
    <n v="131.30000000000001"/>
    <x v="0"/>
  </r>
  <r>
    <s v="Rural+Urban"/>
    <n v="2019"/>
    <s v="January"/>
    <x v="73"/>
    <s v="Pulses and products"/>
    <n v="120.3"/>
    <x v="0"/>
  </r>
  <r>
    <s v="Rural+Urban"/>
    <n v="2019"/>
    <s v="January"/>
    <x v="73"/>
    <s v="Sugar and Confectionery"/>
    <n v="109.1"/>
    <x v="0"/>
  </r>
  <r>
    <s v="Rural+Urban"/>
    <n v="2019"/>
    <s v="January"/>
    <x v="73"/>
    <s v="Spices"/>
    <n v="139.4"/>
    <x v="0"/>
  </r>
  <r>
    <s v="Rural+Urban"/>
    <n v="2019"/>
    <s v="January"/>
    <x v="73"/>
    <s v="Non-alcoholic beverages"/>
    <n v="133.30000000000001"/>
    <x v="0"/>
  </r>
  <r>
    <s v="Rural+Urban"/>
    <n v="2019"/>
    <s v="January"/>
    <x v="73"/>
    <s v="Prepared meals, snacks, sweets etc."/>
    <n v="154.6"/>
    <x v="0"/>
  </r>
  <r>
    <s v="Rural+Urban"/>
    <n v="2019"/>
    <s v="January"/>
    <x v="73"/>
    <s v="Food and beverages"/>
    <n v="137.4"/>
    <x v="0"/>
  </r>
  <r>
    <s v="Rural+Urban"/>
    <n v="2019"/>
    <s v="January"/>
    <x v="73"/>
    <s v="Pan, tobacco and intoxicants"/>
    <n v="163.19999999999999"/>
    <x v="1"/>
  </r>
  <r>
    <s v="Rural+Urban"/>
    <n v="2019"/>
    <s v="January"/>
    <x v="73"/>
    <s v="Clothing"/>
    <n v="147.6"/>
    <x v="2"/>
  </r>
  <r>
    <s v="Rural+Urban"/>
    <n v="2019"/>
    <s v="January"/>
    <x v="73"/>
    <s v="Footwear"/>
    <n v="139"/>
    <x v="2"/>
  </r>
  <r>
    <s v="Rural+Urban"/>
    <n v="2019"/>
    <s v="January"/>
    <x v="73"/>
    <s v="Clothing and footwear"/>
    <n v="146.4"/>
    <x v="2"/>
  </r>
  <r>
    <s v="Rural+Urban"/>
    <n v="2019"/>
    <s v="January"/>
    <x v="73"/>
    <s v="Housing"/>
    <n v="147.69999999999999"/>
    <x v="10"/>
  </r>
  <r>
    <s v="Rural+Urban"/>
    <n v="2019"/>
    <s v="January"/>
    <x v="73"/>
    <s v="Fuel and light"/>
    <n v="139.5"/>
    <x v="3"/>
  </r>
  <r>
    <s v="Rural+Urban"/>
    <n v="2019"/>
    <s v="January"/>
    <x v="73"/>
    <s v="Household goods and services"/>
    <n v="143.6"/>
    <x v="4"/>
  </r>
  <r>
    <s v="Rural+Urban"/>
    <n v="2019"/>
    <s v="January"/>
    <x v="73"/>
    <s v="Health"/>
    <n v="145.1"/>
    <x v="5"/>
  </r>
  <r>
    <s v="Rural+Urban"/>
    <n v="2019"/>
    <s v="January"/>
    <x v="73"/>
    <s v="Transport and communication"/>
    <n v="123.3"/>
    <x v="6"/>
  </r>
  <r>
    <s v="Rural+Urban"/>
    <n v="2019"/>
    <s v="January"/>
    <x v="73"/>
    <s v="Recreation and amusement"/>
    <n v="136.69999999999999"/>
    <x v="1"/>
  </r>
  <r>
    <s v="Rural+Urban"/>
    <n v="2019"/>
    <s v="January"/>
    <x v="73"/>
    <s v="Education"/>
    <n v="150.19999999999999"/>
    <x v="7"/>
  </r>
  <r>
    <s v="Rural+Urban"/>
    <n v="2019"/>
    <s v="January"/>
    <x v="73"/>
    <s v="Personal care and effects"/>
    <n v="132.80000000000001"/>
    <x v="4"/>
  </r>
  <r>
    <s v="Rural+Urban"/>
    <n v="2019"/>
    <s v="January"/>
    <x v="73"/>
    <s v="Miscellaneous"/>
    <n v="136.9"/>
    <x v="8"/>
  </r>
  <r>
    <s v="Rural+Urban"/>
    <n v="2019"/>
    <s v="January"/>
    <x v="73"/>
    <s v="General index"/>
    <n v="139.6"/>
    <x v="9"/>
  </r>
  <r>
    <s v="Rural"/>
    <n v="2019"/>
    <s v="February"/>
    <x v="74"/>
    <s v="Cereals and products"/>
    <n v="136.80000000000001"/>
    <x v="0"/>
  </r>
  <r>
    <s v="Rural"/>
    <n v="2019"/>
    <s v="February"/>
    <x v="74"/>
    <s v="Meat and fish"/>
    <n v="153"/>
    <x v="0"/>
  </r>
  <r>
    <s v="Rural"/>
    <n v="2019"/>
    <s v="February"/>
    <x v="74"/>
    <s v="Egg"/>
    <n v="139.1"/>
    <x v="0"/>
  </r>
  <r>
    <s v="Rural"/>
    <n v="2019"/>
    <s v="February"/>
    <x v="74"/>
    <s v="Milk and products"/>
    <n v="142.5"/>
    <x v="0"/>
  </r>
  <r>
    <s v="Rural"/>
    <n v="2019"/>
    <s v="February"/>
    <x v="74"/>
    <s v="Oils and fats"/>
    <n v="124.1"/>
    <x v="0"/>
  </r>
  <r>
    <s v="Rural"/>
    <n v="2019"/>
    <s v="February"/>
    <x v="74"/>
    <s v="Fruits"/>
    <n v="135.80000000000001"/>
    <x v="0"/>
  </r>
  <r>
    <s v="Rural"/>
    <n v="2019"/>
    <s v="February"/>
    <x v="74"/>
    <s v="Vegetables"/>
    <n v="128.69999999999999"/>
    <x v="0"/>
  </r>
  <r>
    <s v="Rural"/>
    <n v="2019"/>
    <s v="February"/>
    <x v="74"/>
    <s v="Pulses and products"/>
    <n v="121.5"/>
    <x v="0"/>
  </r>
  <r>
    <s v="Rural"/>
    <n v="2019"/>
    <s v="February"/>
    <x v="74"/>
    <s v="Sugar and Confectionery"/>
    <n v="108.3"/>
    <x v="0"/>
  </r>
  <r>
    <s v="Rural"/>
    <n v="2019"/>
    <s v="February"/>
    <x v="74"/>
    <s v="Spices"/>
    <n v="139.19999999999999"/>
    <x v="0"/>
  </r>
  <r>
    <s v="Rural"/>
    <n v="2019"/>
    <s v="February"/>
    <x v="74"/>
    <s v="Non-alcoholic beverages"/>
    <n v="137.4"/>
    <x v="0"/>
  </r>
  <r>
    <s v="Rural"/>
    <n v="2019"/>
    <s v="February"/>
    <x v="74"/>
    <s v="Prepared meals, snacks, sweets etc."/>
    <n v="156.19999999999999"/>
    <x v="0"/>
  </r>
  <r>
    <s v="Rural"/>
    <n v="2019"/>
    <s v="February"/>
    <x v="74"/>
    <s v="Food and beverages"/>
    <n v="137.19999999999999"/>
    <x v="0"/>
  </r>
  <r>
    <s v="Rural"/>
    <n v="2019"/>
    <s v="February"/>
    <x v="74"/>
    <s v="Pan, tobacco and intoxicants"/>
    <n v="162.80000000000001"/>
    <x v="1"/>
  </r>
  <r>
    <s v="Rural"/>
    <n v="2019"/>
    <s v="February"/>
    <x v="74"/>
    <s v="Clothing"/>
    <n v="150.5"/>
    <x v="2"/>
  </r>
  <r>
    <s v="Rural"/>
    <n v="2019"/>
    <s v="February"/>
    <x v="74"/>
    <s v="Footwear"/>
    <n v="146.1"/>
    <x v="2"/>
  </r>
  <r>
    <s v="Rural"/>
    <n v="2019"/>
    <s v="February"/>
    <x v="74"/>
    <s v="Clothing and footwear"/>
    <n v="149.9"/>
    <x v="2"/>
  </r>
  <r>
    <s v="Rural"/>
    <n v="2019"/>
    <s v="February"/>
    <x v="74"/>
    <s v="Fuel and light"/>
    <n v="145.30000000000001"/>
    <x v="3"/>
  </r>
  <r>
    <s v="Rural"/>
    <n v="2019"/>
    <s v="February"/>
    <x v="74"/>
    <s v="Household goods and services"/>
    <n v="150.1"/>
    <x v="4"/>
  </r>
  <r>
    <s v="Rural"/>
    <n v="2019"/>
    <s v="February"/>
    <x v="74"/>
    <s v="Health"/>
    <n v="149.9"/>
    <x v="5"/>
  </r>
  <r>
    <s v="Rural"/>
    <n v="2019"/>
    <s v="February"/>
    <x v="74"/>
    <s v="Transport and communication"/>
    <n v="129.19999999999999"/>
    <x v="6"/>
  </r>
  <r>
    <s v="Rural"/>
    <n v="2019"/>
    <s v="February"/>
    <x v="74"/>
    <s v="Recreation and amusement"/>
    <n v="143.4"/>
    <x v="1"/>
  </r>
  <r>
    <s v="Rural"/>
    <n v="2019"/>
    <s v="February"/>
    <x v="74"/>
    <s v="Education"/>
    <n v="155.5"/>
    <x v="7"/>
  </r>
  <r>
    <s v="Rural"/>
    <n v="2019"/>
    <s v="February"/>
    <x v="74"/>
    <s v="Personal care and effects"/>
    <n v="134.9"/>
    <x v="4"/>
  </r>
  <r>
    <s v="Rural"/>
    <n v="2019"/>
    <s v="February"/>
    <x v="74"/>
    <s v="Miscellaneous"/>
    <n v="142.19999999999999"/>
    <x v="8"/>
  </r>
  <r>
    <s v="Rural"/>
    <n v="2019"/>
    <s v="February"/>
    <x v="74"/>
    <s v="General index"/>
    <n v="141"/>
    <x v="9"/>
  </r>
  <r>
    <s v="Urban"/>
    <n v="2019"/>
    <s v="February"/>
    <x v="74"/>
    <s v="Cereals and products"/>
    <n v="139.4"/>
    <x v="0"/>
  </r>
  <r>
    <s v="Urban"/>
    <n v="2019"/>
    <s v="February"/>
    <x v="74"/>
    <s v="Meat and fish"/>
    <n v="150.1"/>
    <x v="0"/>
  </r>
  <r>
    <s v="Urban"/>
    <n v="2019"/>
    <s v="February"/>
    <x v="74"/>
    <s v="Egg"/>
    <n v="145.30000000000001"/>
    <x v="0"/>
  </r>
  <r>
    <s v="Urban"/>
    <n v="2019"/>
    <s v="February"/>
    <x v="74"/>
    <s v="Milk and products"/>
    <n v="141.69999999999999"/>
    <x v="0"/>
  </r>
  <r>
    <s v="Urban"/>
    <n v="2019"/>
    <s v="February"/>
    <x v="74"/>
    <s v="Oils and fats"/>
    <n v="118.4"/>
    <x v="0"/>
  </r>
  <r>
    <s v="Urban"/>
    <n v="2019"/>
    <s v="February"/>
    <x v="74"/>
    <s v="Fruits"/>
    <n v="137"/>
    <x v="0"/>
  </r>
  <r>
    <s v="Urban"/>
    <n v="2019"/>
    <s v="February"/>
    <x v="74"/>
    <s v="Vegetables"/>
    <n v="131.6"/>
    <x v="0"/>
  </r>
  <r>
    <s v="Urban"/>
    <n v="2019"/>
    <s v="February"/>
    <x v="74"/>
    <s v="Pulses and products"/>
    <n v="119.9"/>
    <x v="0"/>
  </r>
  <r>
    <s v="Urban"/>
    <n v="2019"/>
    <s v="February"/>
    <x v="74"/>
    <s v="Sugar and Confectionery"/>
    <n v="110.4"/>
    <x v="0"/>
  </r>
  <r>
    <s v="Urban"/>
    <n v="2019"/>
    <s v="February"/>
    <x v="74"/>
    <s v="Spices"/>
    <n v="140.80000000000001"/>
    <x v="0"/>
  </r>
  <r>
    <s v="Urban"/>
    <n v="2019"/>
    <s v="February"/>
    <x v="74"/>
    <s v="Non-alcoholic beverages"/>
    <n v="128.30000000000001"/>
    <x v="0"/>
  </r>
  <r>
    <s v="Urban"/>
    <n v="2019"/>
    <s v="February"/>
    <x v="74"/>
    <s v="Prepared meals, snacks, sweets etc."/>
    <n v="153.5"/>
    <x v="0"/>
  </r>
  <r>
    <s v="Urban"/>
    <n v="2019"/>
    <s v="February"/>
    <x v="74"/>
    <s v="Food and beverages"/>
    <n v="138"/>
    <x v="0"/>
  </r>
  <r>
    <s v="Urban"/>
    <n v="2019"/>
    <s v="February"/>
    <x v="74"/>
    <s v="Pan, tobacco and intoxicants"/>
    <n v="164.9"/>
    <x v="1"/>
  </r>
  <r>
    <s v="Urban"/>
    <n v="2019"/>
    <s v="February"/>
    <x v="74"/>
    <s v="Clothing"/>
    <n v="143.30000000000001"/>
    <x v="2"/>
  </r>
  <r>
    <s v="Urban"/>
    <n v="2019"/>
    <s v="February"/>
    <x v="74"/>
    <s v="Footwear"/>
    <n v="130.80000000000001"/>
    <x v="2"/>
  </r>
  <r>
    <s v="Urban"/>
    <n v="2019"/>
    <s v="February"/>
    <x v="74"/>
    <s v="Clothing and footwear"/>
    <n v="141.4"/>
    <x v="2"/>
  </r>
  <r>
    <s v="Urban"/>
    <n v="2019"/>
    <s v="February"/>
    <x v="74"/>
    <s v="Housing"/>
    <n v="148.5"/>
    <x v="10"/>
  </r>
  <r>
    <s v="Urban"/>
    <n v="2019"/>
    <s v="February"/>
    <x v="74"/>
    <s v="Fuel and light"/>
    <n v="127.1"/>
    <x v="3"/>
  </r>
  <r>
    <s v="Urban"/>
    <n v="2019"/>
    <s v="February"/>
    <x v="74"/>
    <s v="Household goods and services"/>
    <n v="136.6"/>
    <x v="4"/>
  </r>
  <r>
    <s v="Urban"/>
    <n v="2019"/>
    <s v="February"/>
    <x v="74"/>
    <s v="Health"/>
    <n v="138.5"/>
    <x v="5"/>
  </r>
  <r>
    <s v="Urban"/>
    <n v="2019"/>
    <s v="February"/>
    <x v="74"/>
    <s v="Transport and communication"/>
    <n v="119.2"/>
    <x v="6"/>
  </r>
  <r>
    <s v="Urban"/>
    <n v="2019"/>
    <s v="February"/>
    <x v="74"/>
    <s v="Recreation and amusement"/>
    <n v="132.19999999999999"/>
    <x v="1"/>
  </r>
  <r>
    <s v="Urban"/>
    <n v="2019"/>
    <s v="February"/>
    <x v="74"/>
    <s v="Education"/>
    <n v="146.6"/>
    <x v="7"/>
  </r>
  <r>
    <s v="Urban"/>
    <n v="2019"/>
    <s v="February"/>
    <x v="74"/>
    <s v="Personal care and effects"/>
    <n v="133"/>
    <x v="4"/>
  </r>
  <r>
    <s v="Urban"/>
    <n v="2019"/>
    <s v="February"/>
    <x v="74"/>
    <s v="Miscellaneous"/>
    <n v="132.4"/>
    <x v="8"/>
  </r>
  <r>
    <s v="Urban"/>
    <n v="2019"/>
    <s v="February"/>
    <x v="74"/>
    <s v="General index"/>
    <n v="138.6"/>
    <x v="9"/>
  </r>
  <r>
    <s v="Rural+Urban"/>
    <n v="2019"/>
    <s v="February"/>
    <x v="74"/>
    <s v="Cereals and products"/>
    <n v="137.6"/>
    <x v="0"/>
  </r>
  <r>
    <s v="Rural+Urban"/>
    <n v="2019"/>
    <s v="February"/>
    <x v="74"/>
    <s v="Meat and fish"/>
    <n v="152"/>
    <x v="0"/>
  </r>
  <r>
    <s v="Rural+Urban"/>
    <n v="2019"/>
    <s v="February"/>
    <x v="74"/>
    <s v="Egg"/>
    <n v="141.5"/>
    <x v="0"/>
  </r>
  <r>
    <s v="Rural+Urban"/>
    <n v="2019"/>
    <s v="February"/>
    <x v="74"/>
    <s v="Milk and products"/>
    <n v="142.19999999999999"/>
    <x v="0"/>
  </r>
  <r>
    <s v="Rural+Urban"/>
    <n v="2019"/>
    <s v="February"/>
    <x v="74"/>
    <s v="Oils and fats"/>
    <n v="122"/>
    <x v="0"/>
  </r>
  <r>
    <s v="Rural+Urban"/>
    <n v="2019"/>
    <s v="February"/>
    <x v="74"/>
    <s v="Fruits"/>
    <n v="136.4"/>
    <x v="0"/>
  </r>
  <r>
    <s v="Rural+Urban"/>
    <n v="2019"/>
    <s v="February"/>
    <x v="74"/>
    <s v="Vegetables"/>
    <n v="129.69999999999999"/>
    <x v="0"/>
  </r>
  <r>
    <s v="Rural+Urban"/>
    <n v="2019"/>
    <s v="February"/>
    <x v="74"/>
    <s v="Pulses and products"/>
    <n v="121"/>
    <x v="0"/>
  </r>
  <r>
    <s v="Rural+Urban"/>
    <n v="2019"/>
    <s v="February"/>
    <x v="74"/>
    <s v="Sugar and Confectionery"/>
    <n v="109"/>
    <x v="0"/>
  </r>
  <r>
    <s v="Rural+Urban"/>
    <n v="2019"/>
    <s v="February"/>
    <x v="74"/>
    <s v="Spices"/>
    <n v="139.69999999999999"/>
    <x v="0"/>
  </r>
  <r>
    <s v="Rural+Urban"/>
    <n v="2019"/>
    <s v="February"/>
    <x v="74"/>
    <s v="Non-alcoholic beverages"/>
    <n v="133.6"/>
    <x v="0"/>
  </r>
  <r>
    <s v="Rural+Urban"/>
    <n v="2019"/>
    <s v="February"/>
    <x v="74"/>
    <s v="Prepared meals, snacks, sweets etc."/>
    <n v="154.9"/>
    <x v="0"/>
  </r>
  <r>
    <s v="Rural+Urban"/>
    <n v="2019"/>
    <s v="February"/>
    <x v="74"/>
    <s v="Food and beverages"/>
    <n v="137.5"/>
    <x v="0"/>
  </r>
  <r>
    <s v="Rural+Urban"/>
    <n v="2019"/>
    <s v="February"/>
    <x v="74"/>
    <s v="Pan, tobacco and intoxicants"/>
    <n v="163.4"/>
    <x v="1"/>
  </r>
  <r>
    <s v="Rural+Urban"/>
    <n v="2019"/>
    <s v="February"/>
    <x v="74"/>
    <s v="Clothing"/>
    <n v="147.69999999999999"/>
    <x v="2"/>
  </r>
  <r>
    <s v="Rural+Urban"/>
    <n v="2019"/>
    <s v="February"/>
    <x v="74"/>
    <s v="Footwear"/>
    <n v="139.69999999999999"/>
    <x v="2"/>
  </r>
  <r>
    <s v="Rural+Urban"/>
    <n v="2019"/>
    <s v="February"/>
    <x v="74"/>
    <s v="Clothing and footwear"/>
    <n v="146.5"/>
    <x v="2"/>
  </r>
  <r>
    <s v="Rural+Urban"/>
    <n v="2019"/>
    <s v="February"/>
    <x v="74"/>
    <s v="Housing"/>
    <n v="148.5"/>
    <x v="10"/>
  </r>
  <r>
    <s v="Rural+Urban"/>
    <n v="2019"/>
    <s v="February"/>
    <x v="74"/>
    <s v="Fuel and light"/>
    <n v="138.4"/>
    <x v="3"/>
  </r>
  <r>
    <s v="Rural+Urban"/>
    <n v="2019"/>
    <s v="February"/>
    <x v="74"/>
    <s v="Household goods and services"/>
    <n v="143.69999999999999"/>
    <x v="4"/>
  </r>
  <r>
    <s v="Rural+Urban"/>
    <n v="2019"/>
    <s v="February"/>
    <x v="74"/>
    <s v="Health"/>
    <n v="145.6"/>
    <x v="5"/>
  </r>
  <r>
    <s v="Rural+Urban"/>
    <n v="2019"/>
    <s v="February"/>
    <x v="74"/>
    <s v="Transport and communication"/>
    <n v="123.9"/>
    <x v="6"/>
  </r>
  <r>
    <s v="Rural+Urban"/>
    <n v="2019"/>
    <s v="February"/>
    <x v="74"/>
    <s v="Recreation and amusement"/>
    <n v="137.1"/>
    <x v="1"/>
  </r>
  <r>
    <s v="Rural+Urban"/>
    <n v="2019"/>
    <s v="February"/>
    <x v="74"/>
    <s v="Education"/>
    <n v="150.30000000000001"/>
    <x v="7"/>
  </r>
  <r>
    <s v="Rural+Urban"/>
    <n v="2019"/>
    <s v="February"/>
    <x v="74"/>
    <s v="Personal care and effects"/>
    <n v="134.1"/>
    <x v="4"/>
  </r>
  <r>
    <s v="Rural+Urban"/>
    <n v="2019"/>
    <s v="February"/>
    <x v="74"/>
    <s v="Miscellaneous"/>
    <n v="137.4"/>
    <x v="8"/>
  </r>
  <r>
    <s v="Rural+Urban"/>
    <n v="2019"/>
    <s v="February"/>
    <x v="74"/>
    <s v="General index"/>
    <n v="139.9"/>
    <x v="9"/>
  </r>
  <r>
    <s v="Rural"/>
    <n v="2019"/>
    <s v="March"/>
    <x v="75"/>
    <s v="Cereals and products"/>
    <n v="136.9"/>
    <x v="0"/>
  </r>
  <r>
    <s v="Rural"/>
    <n v="2019"/>
    <s v="March"/>
    <x v="75"/>
    <s v="Meat and fish"/>
    <n v="154.1"/>
    <x v="0"/>
  </r>
  <r>
    <s v="Rural"/>
    <n v="2019"/>
    <s v="March"/>
    <x v="75"/>
    <s v="Egg"/>
    <n v="138.69999999999999"/>
    <x v="0"/>
  </r>
  <r>
    <s v="Rural"/>
    <n v="2019"/>
    <s v="March"/>
    <x v="75"/>
    <s v="Milk and products"/>
    <n v="142.5"/>
    <x v="0"/>
  </r>
  <r>
    <s v="Rural"/>
    <n v="2019"/>
    <s v="March"/>
    <x v="75"/>
    <s v="Oils and fats"/>
    <n v="124.1"/>
    <x v="0"/>
  </r>
  <r>
    <s v="Rural"/>
    <n v="2019"/>
    <s v="March"/>
    <x v="75"/>
    <s v="Fruits"/>
    <n v="136.1"/>
    <x v="0"/>
  </r>
  <r>
    <s v="Rural"/>
    <n v="2019"/>
    <s v="March"/>
    <x v="75"/>
    <s v="Vegetables"/>
    <n v="128.19999999999999"/>
    <x v="0"/>
  </r>
  <r>
    <s v="Rural"/>
    <n v="2019"/>
    <s v="March"/>
    <x v="75"/>
    <s v="Pulses and products"/>
    <n v="122.3"/>
    <x v="0"/>
  </r>
  <r>
    <s v="Rural"/>
    <n v="2019"/>
    <s v="March"/>
    <x v="75"/>
    <s v="Sugar and Confectionery"/>
    <n v="108.3"/>
    <x v="0"/>
  </r>
  <r>
    <s v="Rural"/>
    <n v="2019"/>
    <s v="March"/>
    <x v="75"/>
    <s v="Spices"/>
    <n v="138.9"/>
    <x v="0"/>
  </r>
  <r>
    <s v="Rural"/>
    <n v="2019"/>
    <s v="March"/>
    <x v="75"/>
    <s v="Non-alcoholic beverages"/>
    <n v="137.4"/>
    <x v="0"/>
  </r>
  <r>
    <s v="Rural"/>
    <n v="2019"/>
    <s v="March"/>
    <x v="75"/>
    <s v="Prepared meals, snacks, sweets etc."/>
    <n v="156.4"/>
    <x v="0"/>
  </r>
  <r>
    <s v="Rural"/>
    <n v="2019"/>
    <s v="March"/>
    <x v="75"/>
    <s v="Food and beverages"/>
    <n v="137.30000000000001"/>
    <x v="0"/>
  </r>
  <r>
    <s v="Rural"/>
    <n v="2019"/>
    <s v="March"/>
    <x v="75"/>
    <s v="Pan, tobacco and intoxicants"/>
    <n v="162.9"/>
    <x v="1"/>
  </r>
  <r>
    <s v="Rural"/>
    <n v="2019"/>
    <s v="March"/>
    <x v="75"/>
    <s v="Clothing"/>
    <n v="150.80000000000001"/>
    <x v="2"/>
  </r>
  <r>
    <s v="Rural"/>
    <n v="2019"/>
    <s v="March"/>
    <x v="75"/>
    <s v="Footwear"/>
    <n v="146.1"/>
    <x v="2"/>
  </r>
  <r>
    <s v="Rural"/>
    <n v="2019"/>
    <s v="March"/>
    <x v="75"/>
    <s v="Clothing and footwear"/>
    <n v="150.1"/>
    <x v="2"/>
  </r>
  <r>
    <s v="Rural"/>
    <n v="2019"/>
    <s v="March"/>
    <x v="75"/>
    <s v="Fuel and light"/>
    <n v="146.4"/>
    <x v="3"/>
  </r>
  <r>
    <s v="Rural"/>
    <n v="2019"/>
    <s v="March"/>
    <x v="75"/>
    <s v="Household goods and services"/>
    <n v="150"/>
    <x v="4"/>
  </r>
  <r>
    <s v="Rural"/>
    <n v="2019"/>
    <s v="March"/>
    <x v="75"/>
    <s v="Health"/>
    <n v="150.4"/>
    <x v="5"/>
  </r>
  <r>
    <s v="Rural"/>
    <n v="2019"/>
    <s v="March"/>
    <x v="75"/>
    <s v="Transport and communication"/>
    <n v="129.9"/>
    <x v="6"/>
  </r>
  <r>
    <s v="Rural"/>
    <n v="2019"/>
    <s v="March"/>
    <x v="75"/>
    <s v="Recreation and amusement"/>
    <n v="143.80000000000001"/>
    <x v="1"/>
  </r>
  <r>
    <s v="Rural"/>
    <n v="2019"/>
    <s v="March"/>
    <x v="75"/>
    <s v="Education"/>
    <n v="155.5"/>
    <x v="7"/>
  </r>
  <r>
    <s v="Rural"/>
    <n v="2019"/>
    <s v="March"/>
    <x v="75"/>
    <s v="Personal care and effects"/>
    <n v="134"/>
    <x v="4"/>
  </r>
  <r>
    <s v="Rural"/>
    <n v="2019"/>
    <s v="March"/>
    <x v="75"/>
    <s v="Miscellaneous"/>
    <n v="142.4"/>
    <x v="8"/>
  </r>
  <r>
    <s v="Rural"/>
    <n v="2019"/>
    <s v="March"/>
    <x v="75"/>
    <s v="General index"/>
    <n v="141.19999999999999"/>
    <x v="9"/>
  </r>
  <r>
    <s v="Urban"/>
    <n v="2019"/>
    <s v="March"/>
    <x v="75"/>
    <s v="Cereals and products"/>
    <n v="139.69999999999999"/>
    <x v="0"/>
  </r>
  <r>
    <s v="Urban"/>
    <n v="2019"/>
    <s v="March"/>
    <x v="75"/>
    <s v="Meat and fish"/>
    <n v="151.1"/>
    <x v="0"/>
  </r>
  <r>
    <s v="Urban"/>
    <n v="2019"/>
    <s v="March"/>
    <x v="75"/>
    <s v="Egg"/>
    <n v="142.9"/>
    <x v="0"/>
  </r>
  <r>
    <s v="Urban"/>
    <n v="2019"/>
    <s v="March"/>
    <x v="75"/>
    <s v="Milk and products"/>
    <n v="141.9"/>
    <x v="0"/>
  </r>
  <r>
    <s v="Urban"/>
    <n v="2019"/>
    <s v="March"/>
    <x v="75"/>
    <s v="Oils and fats"/>
    <n v="118.4"/>
    <x v="0"/>
  </r>
  <r>
    <s v="Urban"/>
    <n v="2019"/>
    <s v="March"/>
    <x v="75"/>
    <s v="Fruits"/>
    <n v="139.4"/>
    <x v="0"/>
  </r>
  <r>
    <s v="Urban"/>
    <n v="2019"/>
    <s v="March"/>
    <x v="75"/>
    <s v="Vegetables"/>
    <n v="141.19999999999999"/>
    <x v="0"/>
  </r>
  <r>
    <s v="Urban"/>
    <n v="2019"/>
    <s v="March"/>
    <x v="75"/>
    <s v="Pulses and products"/>
    <n v="120.7"/>
    <x v="0"/>
  </r>
  <r>
    <s v="Urban"/>
    <n v="2019"/>
    <s v="March"/>
    <x v="75"/>
    <s v="Sugar and Confectionery"/>
    <n v="110.4"/>
    <x v="0"/>
  </r>
  <r>
    <s v="Urban"/>
    <n v="2019"/>
    <s v="March"/>
    <x v="75"/>
    <s v="Spices"/>
    <n v="140.69999999999999"/>
    <x v="0"/>
  </r>
  <r>
    <s v="Urban"/>
    <n v="2019"/>
    <s v="March"/>
    <x v="75"/>
    <s v="Non-alcoholic beverages"/>
    <n v="128.5"/>
    <x v="0"/>
  </r>
  <r>
    <s v="Urban"/>
    <n v="2019"/>
    <s v="March"/>
    <x v="75"/>
    <s v="Prepared meals, snacks, sweets etc."/>
    <n v="153.9"/>
    <x v="0"/>
  </r>
  <r>
    <s v="Urban"/>
    <n v="2019"/>
    <s v="March"/>
    <x v="75"/>
    <s v="Food and beverages"/>
    <n v="139.6"/>
    <x v="0"/>
  </r>
  <r>
    <s v="Urban"/>
    <n v="2019"/>
    <s v="March"/>
    <x v="75"/>
    <s v="Pan, tobacco and intoxicants"/>
    <n v="165.3"/>
    <x v="1"/>
  </r>
  <r>
    <s v="Urban"/>
    <n v="2019"/>
    <s v="March"/>
    <x v="75"/>
    <s v="Clothing"/>
    <n v="143.5"/>
    <x v="2"/>
  </r>
  <r>
    <s v="Urban"/>
    <n v="2019"/>
    <s v="March"/>
    <x v="75"/>
    <s v="Footwear"/>
    <n v="131.19999999999999"/>
    <x v="2"/>
  </r>
  <r>
    <s v="Urban"/>
    <n v="2019"/>
    <s v="March"/>
    <x v="75"/>
    <s v="Clothing and footwear"/>
    <n v="141.6"/>
    <x v="2"/>
  </r>
  <r>
    <s v="Urban"/>
    <n v="2019"/>
    <s v="March"/>
    <x v="75"/>
    <s v="Housing"/>
    <n v="149"/>
    <x v="10"/>
  </r>
  <r>
    <s v="Urban"/>
    <n v="2019"/>
    <s v="March"/>
    <x v="75"/>
    <s v="Fuel and light"/>
    <n v="128.80000000000001"/>
    <x v="3"/>
  </r>
  <r>
    <s v="Urban"/>
    <n v="2019"/>
    <s v="March"/>
    <x v="75"/>
    <s v="Household goods and services"/>
    <n v="136.80000000000001"/>
    <x v="4"/>
  </r>
  <r>
    <s v="Urban"/>
    <n v="2019"/>
    <s v="March"/>
    <x v="75"/>
    <s v="Health"/>
    <n v="139.19999999999999"/>
    <x v="5"/>
  </r>
  <r>
    <s v="Urban"/>
    <n v="2019"/>
    <s v="March"/>
    <x v="75"/>
    <s v="Transport and communication"/>
    <n v="119.9"/>
    <x v="6"/>
  </r>
  <r>
    <s v="Urban"/>
    <n v="2019"/>
    <s v="March"/>
    <x v="75"/>
    <s v="Recreation and amusement"/>
    <n v="133"/>
    <x v="1"/>
  </r>
  <r>
    <s v="Urban"/>
    <n v="2019"/>
    <s v="March"/>
    <x v="75"/>
    <s v="Education"/>
    <n v="146.69999999999999"/>
    <x v="7"/>
  </r>
  <r>
    <s v="Urban"/>
    <n v="2019"/>
    <s v="March"/>
    <x v="75"/>
    <s v="Personal care and effects"/>
    <n v="132.5"/>
    <x v="4"/>
  </r>
  <r>
    <s v="Urban"/>
    <n v="2019"/>
    <s v="March"/>
    <x v="75"/>
    <s v="Miscellaneous"/>
    <n v="132.80000000000001"/>
    <x v="8"/>
  </r>
  <r>
    <s v="Urban"/>
    <n v="2019"/>
    <s v="March"/>
    <x v="75"/>
    <s v="General index"/>
    <n v="139.5"/>
    <x v="9"/>
  </r>
  <r>
    <s v="Rural+Urban"/>
    <n v="2019"/>
    <s v="March"/>
    <x v="75"/>
    <s v="Cereals and products"/>
    <n v="137.80000000000001"/>
    <x v="0"/>
  </r>
  <r>
    <s v="Rural+Urban"/>
    <n v="2019"/>
    <s v="March"/>
    <x v="75"/>
    <s v="Meat and fish"/>
    <n v="153"/>
    <x v="0"/>
  </r>
  <r>
    <s v="Rural+Urban"/>
    <n v="2019"/>
    <s v="March"/>
    <x v="75"/>
    <s v="Egg"/>
    <n v="140.30000000000001"/>
    <x v="0"/>
  </r>
  <r>
    <s v="Rural+Urban"/>
    <n v="2019"/>
    <s v="March"/>
    <x v="75"/>
    <s v="Milk and products"/>
    <n v="142.30000000000001"/>
    <x v="0"/>
  </r>
  <r>
    <s v="Rural+Urban"/>
    <n v="2019"/>
    <s v="March"/>
    <x v="75"/>
    <s v="Oils and fats"/>
    <n v="122"/>
    <x v="0"/>
  </r>
  <r>
    <s v="Rural+Urban"/>
    <n v="2019"/>
    <s v="March"/>
    <x v="75"/>
    <s v="Fruits"/>
    <n v="137.6"/>
    <x v="0"/>
  </r>
  <r>
    <s v="Rural+Urban"/>
    <n v="2019"/>
    <s v="March"/>
    <x v="75"/>
    <s v="Vegetables"/>
    <n v="132.6"/>
    <x v="0"/>
  </r>
  <r>
    <s v="Rural+Urban"/>
    <n v="2019"/>
    <s v="March"/>
    <x v="75"/>
    <s v="Pulses and products"/>
    <n v="121.8"/>
    <x v="0"/>
  </r>
  <r>
    <s v="Rural+Urban"/>
    <n v="2019"/>
    <s v="March"/>
    <x v="75"/>
    <s v="Sugar and Confectionery"/>
    <n v="109"/>
    <x v="0"/>
  </r>
  <r>
    <s v="Rural+Urban"/>
    <n v="2019"/>
    <s v="March"/>
    <x v="75"/>
    <s v="Spices"/>
    <n v="139.5"/>
    <x v="0"/>
  </r>
  <r>
    <s v="Rural+Urban"/>
    <n v="2019"/>
    <s v="March"/>
    <x v="75"/>
    <s v="Non-alcoholic beverages"/>
    <n v="133.69999999999999"/>
    <x v="0"/>
  </r>
  <r>
    <s v="Rural+Urban"/>
    <n v="2019"/>
    <s v="March"/>
    <x v="75"/>
    <s v="Prepared meals, snacks, sweets etc."/>
    <n v="155.19999999999999"/>
    <x v="0"/>
  </r>
  <r>
    <s v="Rural+Urban"/>
    <n v="2019"/>
    <s v="March"/>
    <x v="75"/>
    <s v="Food and beverages"/>
    <n v="138.1"/>
    <x v="0"/>
  </r>
  <r>
    <s v="Rural+Urban"/>
    <n v="2019"/>
    <s v="March"/>
    <x v="75"/>
    <s v="Pan, tobacco and intoxicants"/>
    <n v="163.5"/>
    <x v="1"/>
  </r>
  <r>
    <s v="Rural+Urban"/>
    <n v="2019"/>
    <s v="March"/>
    <x v="75"/>
    <s v="Clothing"/>
    <n v="147.9"/>
    <x v="2"/>
  </r>
  <r>
    <s v="Rural+Urban"/>
    <n v="2019"/>
    <s v="March"/>
    <x v="75"/>
    <s v="Footwear"/>
    <n v="139.9"/>
    <x v="2"/>
  </r>
  <r>
    <s v="Rural+Urban"/>
    <n v="2019"/>
    <s v="March"/>
    <x v="75"/>
    <s v="Clothing and footwear"/>
    <n v="146.69999999999999"/>
    <x v="2"/>
  </r>
  <r>
    <s v="Rural+Urban"/>
    <n v="2019"/>
    <s v="March"/>
    <x v="75"/>
    <s v="Housing"/>
    <n v="149"/>
    <x v="10"/>
  </r>
  <r>
    <s v="Rural+Urban"/>
    <n v="2019"/>
    <s v="March"/>
    <x v="75"/>
    <s v="Fuel and light"/>
    <n v="139.69999999999999"/>
    <x v="3"/>
  </r>
  <r>
    <s v="Rural+Urban"/>
    <n v="2019"/>
    <s v="March"/>
    <x v="75"/>
    <s v="Household goods and services"/>
    <n v="143.80000000000001"/>
    <x v="4"/>
  </r>
  <r>
    <s v="Rural+Urban"/>
    <n v="2019"/>
    <s v="March"/>
    <x v="75"/>
    <s v="Health"/>
    <n v="146.19999999999999"/>
    <x v="5"/>
  </r>
  <r>
    <s v="Rural+Urban"/>
    <n v="2019"/>
    <s v="March"/>
    <x v="75"/>
    <s v="Transport and communication"/>
    <n v="124.6"/>
    <x v="6"/>
  </r>
  <r>
    <s v="Rural+Urban"/>
    <n v="2019"/>
    <s v="March"/>
    <x v="75"/>
    <s v="Recreation and amusement"/>
    <n v="137.69999999999999"/>
    <x v="1"/>
  </r>
  <r>
    <s v="Rural+Urban"/>
    <n v="2019"/>
    <s v="March"/>
    <x v="75"/>
    <s v="Education"/>
    <n v="150.30000000000001"/>
    <x v="7"/>
  </r>
  <r>
    <s v="Rural+Urban"/>
    <n v="2019"/>
    <s v="March"/>
    <x v="75"/>
    <s v="Personal care and effects"/>
    <n v="133.4"/>
    <x v="4"/>
  </r>
  <r>
    <s v="Rural+Urban"/>
    <n v="2019"/>
    <s v="March"/>
    <x v="75"/>
    <s v="Miscellaneous"/>
    <n v="137.69999999999999"/>
    <x v="8"/>
  </r>
  <r>
    <s v="Rural+Urban"/>
    <n v="2019"/>
    <s v="March"/>
    <x v="75"/>
    <s v="General index"/>
    <n v="140.4"/>
    <x v="9"/>
  </r>
  <r>
    <s v="Rural"/>
    <n v="2019"/>
    <s v="May"/>
    <x v="76"/>
    <s v="Cereals and products"/>
    <n v="137.4"/>
    <x v="0"/>
  </r>
  <r>
    <s v="Rural"/>
    <n v="2019"/>
    <s v="May"/>
    <x v="76"/>
    <s v="Meat and fish"/>
    <n v="159.5"/>
    <x v="0"/>
  </r>
  <r>
    <s v="Rural"/>
    <n v="2019"/>
    <s v="May"/>
    <x v="76"/>
    <s v="Egg"/>
    <n v="134.5"/>
    <x v="0"/>
  </r>
  <r>
    <s v="Rural"/>
    <n v="2019"/>
    <s v="May"/>
    <x v="76"/>
    <s v="Milk and products"/>
    <n v="142.6"/>
    <x v="0"/>
  </r>
  <r>
    <s v="Rural"/>
    <n v="2019"/>
    <s v="May"/>
    <x v="76"/>
    <s v="Oils and fats"/>
    <n v="124"/>
    <x v="0"/>
  </r>
  <r>
    <s v="Rural"/>
    <n v="2019"/>
    <s v="May"/>
    <x v="76"/>
    <s v="Fruits"/>
    <n v="143.69999999999999"/>
    <x v="0"/>
  </r>
  <r>
    <s v="Rural"/>
    <n v="2019"/>
    <s v="May"/>
    <x v="76"/>
    <s v="Vegetables"/>
    <n v="133.4"/>
    <x v="0"/>
  </r>
  <r>
    <s v="Rural"/>
    <n v="2019"/>
    <s v="May"/>
    <x v="76"/>
    <s v="Pulses and products"/>
    <n v="125.1"/>
    <x v="0"/>
  </r>
  <r>
    <s v="Rural"/>
    <n v="2019"/>
    <s v="May"/>
    <x v="76"/>
    <s v="Sugar and Confectionery"/>
    <n v="109.3"/>
    <x v="0"/>
  </r>
  <r>
    <s v="Rural"/>
    <n v="2019"/>
    <s v="May"/>
    <x v="76"/>
    <s v="Spices"/>
    <n v="139.30000000000001"/>
    <x v="0"/>
  </r>
  <r>
    <s v="Rural"/>
    <n v="2019"/>
    <s v="May"/>
    <x v="76"/>
    <s v="Non-alcoholic beverages"/>
    <n v="137.69999999999999"/>
    <x v="0"/>
  </r>
  <r>
    <s v="Rural"/>
    <n v="2019"/>
    <s v="May"/>
    <x v="76"/>
    <s v="Prepared meals, snacks, sweets etc."/>
    <n v="156.4"/>
    <x v="0"/>
  </r>
  <r>
    <s v="Rural"/>
    <n v="2019"/>
    <s v="May"/>
    <x v="76"/>
    <s v="Food and beverages"/>
    <n v="139.19999999999999"/>
    <x v="0"/>
  </r>
  <r>
    <s v="Rural"/>
    <n v="2019"/>
    <s v="May"/>
    <x v="76"/>
    <s v="Pan, tobacco and intoxicants"/>
    <n v="163.30000000000001"/>
    <x v="1"/>
  </r>
  <r>
    <s v="Rural"/>
    <n v="2019"/>
    <s v="May"/>
    <x v="76"/>
    <s v="Clothing"/>
    <n v="151.30000000000001"/>
    <x v="2"/>
  </r>
  <r>
    <s v="Rural"/>
    <n v="2019"/>
    <s v="May"/>
    <x v="76"/>
    <s v="Footwear"/>
    <n v="146.6"/>
    <x v="2"/>
  </r>
  <r>
    <s v="Rural"/>
    <n v="2019"/>
    <s v="May"/>
    <x v="76"/>
    <s v="Clothing and footwear"/>
    <n v="150.69999999999999"/>
    <x v="2"/>
  </r>
  <r>
    <s v="Rural"/>
    <n v="2019"/>
    <s v="May"/>
    <x v="76"/>
    <s v="Fuel and light"/>
    <n v="146.9"/>
    <x v="3"/>
  </r>
  <r>
    <s v="Rural"/>
    <n v="2019"/>
    <s v="May"/>
    <x v="76"/>
    <s v="Household goods and services"/>
    <n v="149.5"/>
    <x v="4"/>
  </r>
  <r>
    <s v="Rural"/>
    <n v="2019"/>
    <s v="May"/>
    <x v="76"/>
    <s v="Health"/>
    <n v="151.30000000000001"/>
    <x v="5"/>
  </r>
  <r>
    <s v="Rural"/>
    <n v="2019"/>
    <s v="May"/>
    <x v="76"/>
    <s v="Transport and communication"/>
    <n v="130.19999999999999"/>
    <x v="6"/>
  </r>
  <r>
    <s v="Rural"/>
    <n v="2019"/>
    <s v="May"/>
    <x v="76"/>
    <s v="Recreation and amusement"/>
    <n v="145.9"/>
    <x v="1"/>
  </r>
  <r>
    <s v="Rural"/>
    <n v="2019"/>
    <s v="May"/>
    <x v="76"/>
    <s v="Education"/>
    <n v="156.69999999999999"/>
    <x v="7"/>
  </r>
  <r>
    <s v="Rural"/>
    <n v="2019"/>
    <s v="May"/>
    <x v="76"/>
    <s v="Personal care and effects"/>
    <n v="133.9"/>
    <x v="4"/>
  </r>
  <r>
    <s v="Rural"/>
    <n v="2019"/>
    <s v="May"/>
    <x v="76"/>
    <s v="Miscellaneous"/>
    <n v="142.9"/>
    <x v="8"/>
  </r>
  <r>
    <s v="Rural"/>
    <n v="2019"/>
    <s v="May"/>
    <x v="76"/>
    <s v="General index"/>
    <n v="142.4"/>
    <x v="9"/>
  </r>
  <r>
    <s v="Urban"/>
    <n v="2019"/>
    <s v="May"/>
    <x v="76"/>
    <s v="Cereals and products"/>
    <n v="140.4"/>
    <x v="0"/>
  </r>
  <r>
    <s v="Urban"/>
    <n v="2019"/>
    <s v="May"/>
    <x v="76"/>
    <s v="Meat and fish"/>
    <n v="156.69999999999999"/>
    <x v="0"/>
  </r>
  <r>
    <s v="Urban"/>
    <n v="2019"/>
    <s v="May"/>
    <x v="76"/>
    <s v="Egg"/>
    <n v="138.30000000000001"/>
    <x v="0"/>
  </r>
  <r>
    <s v="Urban"/>
    <n v="2019"/>
    <s v="May"/>
    <x v="76"/>
    <s v="Milk and products"/>
    <n v="142.4"/>
    <x v="0"/>
  </r>
  <r>
    <s v="Urban"/>
    <n v="2019"/>
    <s v="May"/>
    <x v="76"/>
    <s v="Oils and fats"/>
    <n v="118.6"/>
    <x v="0"/>
  </r>
  <r>
    <s v="Urban"/>
    <n v="2019"/>
    <s v="May"/>
    <x v="76"/>
    <s v="Fruits"/>
    <n v="149.69999999999999"/>
    <x v="0"/>
  </r>
  <r>
    <s v="Urban"/>
    <n v="2019"/>
    <s v="May"/>
    <x v="76"/>
    <s v="Vegetables"/>
    <n v="161.6"/>
    <x v="0"/>
  </r>
  <r>
    <s v="Urban"/>
    <n v="2019"/>
    <s v="May"/>
    <x v="76"/>
    <s v="Pulses and products"/>
    <n v="124.4"/>
    <x v="0"/>
  </r>
  <r>
    <s v="Urban"/>
    <n v="2019"/>
    <s v="May"/>
    <x v="76"/>
    <s v="Sugar and Confectionery"/>
    <n v="111.2"/>
    <x v="0"/>
  </r>
  <r>
    <s v="Urban"/>
    <n v="2019"/>
    <s v="May"/>
    <x v="76"/>
    <s v="Spices"/>
    <n v="141"/>
    <x v="0"/>
  </r>
  <r>
    <s v="Urban"/>
    <n v="2019"/>
    <s v="May"/>
    <x v="76"/>
    <s v="Non-alcoholic beverages"/>
    <n v="128.9"/>
    <x v="0"/>
  </r>
  <r>
    <s v="Urban"/>
    <n v="2019"/>
    <s v="May"/>
    <x v="76"/>
    <s v="Prepared meals, snacks, sweets etc."/>
    <n v="154.5"/>
    <x v="0"/>
  </r>
  <r>
    <s v="Urban"/>
    <n v="2019"/>
    <s v="May"/>
    <x v="76"/>
    <s v="Food and beverages"/>
    <n v="143.80000000000001"/>
    <x v="0"/>
  </r>
  <r>
    <s v="Urban"/>
    <n v="2019"/>
    <s v="May"/>
    <x v="76"/>
    <s v="Pan, tobacco and intoxicants"/>
    <n v="166.2"/>
    <x v="1"/>
  </r>
  <r>
    <s v="Urban"/>
    <n v="2019"/>
    <s v="May"/>
    <x v="76"/>
    <s v="Clothing"/>
    <n v="144"/>
    <x v="2"/>
  </r>
  <r>
    <s v="Urban"/>
    <n v="2019"/>
    <s v="May"/>
    <x v="76"/>
    <s v="Footwear"/>
    <n v="131.69999999999999"/>
    <x v="2"/>
  </r>
  <r>
    <s v="Urban"/>
    <n v="2019"/>
    <s v="May"/>
    <x v="76"/>
    <s v="Clothing and footwear"/>
    <n v="142.19999999999999"/>
    <x v="2"/>
  </r>
  <r>
    <s v="Urban"/>
    <n v="2019"/>
    <s v="May"/>
    <x v="76"/>
    <s v="Housing"/>
    <n v="150.1"/>
    <x v="10"/>
  </r>
  <r>
    <s v="Urban"/>
    <n v="2019"/>
    <s v="May"/>
    <x v="76"/>
    <s v="Fuel and light"/>
    <n v="129.4"/>
    <x v="3"/>
  </r>
  <r>
    <s v="Urban"/>
    <n v="2019"/>
    <s v="May"/>
    <x v="76"/>
    <s v="Household goods and services"/>
    <n v="137.19999999999999"/>
    <x v="4"/>
  </r>
  <r>
    <s v="Urban"/>
    <n v="2019"/>
    <s v="May"/>
    <x v="76"/>
    <s v="Health"/>
    <n v="139.80000000000001"/>
    <x v="5"/>
  </r>
  <r>
    <s v="Urban"/>
    <n v="2019"/>
    <s v="May"/>
    <x v="76"/>
    <s v="Transport and communication"/>
    <n v="120.1"/>
    <x v="6"/>
  </r>
  <r>
    <s v="Urban"/>
    <n v="2019"/>
    <s v="May"/>
    <x v="76"/>
    <s v="Recreation and amusement"/>
    <n v="134"/>
    <x v="1"/>
  </r>
  <r>
    <s v="Urban"/>
    <n v="2019"/>
    <s v="May"/>
    <x v="76"/>
    <s v="Education"/>
    <n v="148"/>
    <x v="7"/>
  </r>
  <r>
    <s v="Urban"/>
    <n v="2019"/>
    <s v="May"/>
    <x v="76"/>
    <s v="Personal care and effects"/>
    <n v="132.6"/>
    <x v="4"/>
  </r>
  <r>
    <s v="Urban"/>
    <n v="2019"/>
    <s v="May"/>
    <x v="76"/>
    <s v="Miscellaneous"/>
    <n v="133.30000000000001"/>
    <x v="8"/>
  </r>
  <r>
    <s v="Urban"/>
    <n v="2019"/>
    <s v="May"/>
    <x v="76"/>
    <s v="General index"/>
    <n v="141.5"/>
    <x v="9"/>
  </r>
  <r>
    <s v="Rural+Urban"/>
    <n v="2019"/>
    <s v="May"/>
    <x v="76"/>
    <s v="Cereals and products"/>
    <n v="138.30000000000001"/>
    <x v="0"/>
  </r>
  <r>
    <s v="Rural+Urban"/>
    <n v="2019"/>
    <s v="May"/>
    <x v="76"/>
    <s v="Meat and fish"/>
    <n v="158.5"/>
    <x v="0"/>
  </r>
  <r>
    <s v="Rural+Urban"/>
    <n v="2019"/>
    <s v="May"/>
    <x v="76"/>
    <s v="Egg"/>
    <n v="136"/>
    <x v="0"/>
  </r>
  <r>
    <s v="Rural+Urban"/>
    <n v="2019"/>
    <s v="May"/>
    <x v="76"/>
    <s v="Milk and products"/>
    <n v="142.5"/>
    <x v="0"/>
  </r>
  <r>
    <s v="Rural+Urban"/>
    <n v="2019"/>
    <s v="May"/>
    <x v="76"/>
    <s v="Oils and fats"/>
    <n v="122"/>
    <x v="0"/>
  </r>
  <r>
    <s v="Rural+Urban"/>
    <n v="2019"/>
    <s v="May"/>
    <x v="76"/>
    <s v="Fruits"/>
    <n v="146.5"/>
    <x v="0"/>
  </r>
  <r>
    <s v="Rural+Urban"/>
    <n v="2019"/>
    <s v="May"/>
    <x v="76"/>
    <s v="Vegetables"/>
    <n v="143"/>
    <x v="0"/>
  </r>
  <r>
    <s v="Rural+Urban"/>
    <n v="2019"/>
    <s v="May"/>
    <x v="76"/>
    <s v="Pulses and products"/>
    <n v="124.9"/>
    <x v="0"/>
  </r>
  <r>
    <s v="Rural+Urban"/>
    <n v="2019"/>
    <s v="May"/>
    <x v="76"/>
    <s v="Sugar and Confectionery"/>
    <n v="109.9"/>
    <x v="0"/>
  </r>
  <r>
    <s v="Rural+Urban"/>
    <n v="2019"/>
    <s v="May"/>
    <x v="76"/>
    <s v="Spices"/>
    <n v="139.9"/>
    <x v="0"/>
  </r>
  <r>
    <s v="Rural+Urban"/>
    <n v="2019"/>
    <s v="May"/>
    <x v="76"/>
    <s v="Non-alcoholic beverages"/>
    <n v="134"/>
    <x v="0"/>
  </r>
  <r>
    <s v="Rural+Urban"/>
    <n v="2019"/>
    <s v="May"/>
    <x v="76"/>
    <s v="Prepared meals, snacks, sweets etc."/>
    <n v="155.5"/>
    <x v="0"/>
  </r>
  <r>
    <s v="Rural+Urban"/>
    <n v="2019"/>
    <s v="May"/>
    <x v="76"/>
    <s v="Food and beverages"/>
    <n v="140.9"/>
    <x v="0"/>
  </r>
  <r>
    <s v="Rural+Urban"/>
    <n v="2019"/>
    <s v="May"/>
    <x v="76"/>
    <s v="Pan, tobacco and intoxicants"/>
    <n v="164.1"/>
    <x v="1"/>
  </r>
  <r>
    <s v="Rural+Urban"/>
    <n v="2019"/>
    <s v="May"/>
    <x v="76"/>
    <s v="Clothing"/>
    <n v="148.4"/>
    <x v="2"/>
  </r>
  <r>
    <s v="Rural+Urban"/>
    <n v="2019"/>
    <s v="May"/>
    <x v="76"/>
    <s v="Footwear"/>
    <n v="140.4"/>
    <x v="2"/>
  </r>
  <r>
    <s v="Rural+Urban"/>
    <n v="2019"/>
    <s v="May"/>
    <x v="76"/>
    <s v="Clothing and footwear"/>
    <n v="147.30000000000001"/>
    <x v="2"/>
  </r>
  <r>
    <s v="Rural+Urban"/>
    <n v="2019"/>
    <s v="May"/>
    <x v="76"/>
    <s v="Housing"/>
    <n v="150.1"/>
    <x v="10"/>
  </r>
  <r>
    <s v="Rural+Urban"/>
    <n v="2019"/>
    <s v="May"/>
    <x v="76"/>
    <s v="Fuel and light"/>
    <n v="140.30000000000001"/>
    <x v="3"/>
  </r>
  <r>
    <s v="Rural+Urban"/>
    <n v="2019"/>
    <s v="May"/>
    <x v="76"/>
    <s v="Household goods and services"/>
    <n v="143.69999999999999"/>
    <x v="4"/>
  </r>
  <r>
    <s v="Rural+Urban"/>
    <n v="2019"/>
    <s v="May"/>
    <x v="76"/>
    <s v="Health"/>
    <n v="146.9"/>
    <x v="5"/>
  </r>
  <r>
    <s v="Rural+Urban"/>
    <n v="2019"/>
    <s v="May"/>
    <x v="76"/>
    <s v="Transport and communication"/>
    <n v="124.9"/>
    <x v="6"/>
  </r>
  <r>
    <s v="Rural+Urban"/>
    <n v="2019"/>
    <s v="May"/>
    <x v="76"/>
    <s v="Recreation and amusement"/>
    <n v="139.19999999999999"/>
    <x v="1"/>
  </r>
  <r>
    <s v="Rural+Urban"/>
    <n v="2019"/>
    <s v="May"/>
    <x v="76"/>
    <s v="Education"/>
    <n v="151.6"/>
    <x v="7"/>
  </r>
  <r>
    <s v="Rural+Urban"/>
    <n v="2019"/>
    <s v="May"/>
    <x v="76"/>
    <s v="Personal care and effects"/>
    <n v="133.4"/>
    <x v="4"/>
  </r>
  <r>
    <s v="Rural+Urban"/>
    <n v="2019"/>
    <s v="May"/>
    <x v="76"/>
    <s v="Miscellaneous"/>
    <n v="138.19999999999999"/>
    <x v="8"/>
  </r>
  <r>
    <s v="Rural+Urban"/>
    <n v="2019"/>
    <s v="May"/>
    <x v="76"/>
    <s v="General index"/>
    <n v="142"/>
    <x v="9"/>
  </r>
  <r>
    <s v="Rural"/>
    <n v="2019"/>
    <s v="June"/>
    <x v="77"/>
    <s v="Cereals and products"/>
    <n v="137.80000000000001"/>
    <x v="0"/>
  </r>
  <r>
    <s v="Rural"/>
    <n v="2019"/>
    <s v="June"/>
    <x v="77"/>
    <s v="Meat and fish"/>
    <n v="163.5"/>
    <x v="0"/>
  </r>
  <r>
    <s v="Rural"/>
    <n v="2019"/>
    <s v="June"/>
    <x v="77"/>
    <s v="Egg"/>
    <n v="136.19999999999999"/>
    <x v="0"/>
  </r>
  <r>
    <s v="Rural"/>
    <n v="2019"/>
    <s v="June"/>
    <x v="77"/>
    <s v="Milk and products"/>
    <n v="143.19999999999999"/>
    <x v="0"/>
  </r>
  <r>
    <s v="Rural"/>
    <n v="2019"/>
    <s v="June"/>
    <x v="77"/>
    <s v="Oils and fats"/>
    <n v="124.3"/>
    <x v="0"/>
  </r>
  <r>
    <s v="Rural"/>
    <n v="2019"/>
    <s v="June"/>
    <x v="77"/>
    <s v="Fruits"/>
    <n v="143.30000000000001"/>
    <x v="0"/>
  </r>
  <r>
    <s v="Rural"/>
    <n v="2019"/>
    <s v="June"/>
    <x v="77"/>
    <s v="Vegetables"/>
    <n v="140.6"/>
    <x v="0"/>
  </r>
  <r>
    <s v="Rural"/>
    <n v="2019"/>
    <s v="June"/>
    <x v="77"/>
    <s v="Pulses and products"/>
    <n v="128.69999999999999"/>
    <x v="0"/>
  </r>
  <r>
    <s v="Rural"/>
    <n v="2019"/>
    <s v="June"/>
    <x v="77"/>
    <s v="Sugar and Confectionery"/>
    <n v="110.6"/>
    <x v="0"/>
  </r>
  <r>
    <s v="Rural"/>
    <n v="2019"/>
    <s v="June"/>
    <x v="77"/>
    <s v="Spices"/>
    <n v="140.4"/>
    <x v="0"/>
  </r>
  <r>
    <s v="Rural"/>
    <n v="2019"/>
    <s v="June"/>
    <x v="77"/>
    <s v="Non-alcoholic beverages"/>
    <n v="138"/>
    <x v="0"/>
  </r>
  <r>
    <s v="Rural"/>
    <n v="2019"/>
    <s v="June"/>
    <x v="77"/>
    <s v="Prepared meals, snacks, sweets etc."/>
    <n v="156.6"/>
    <x v="0"/>
  </r>
  <r>
    <s v="Rural"/>
    <n v="2019"/>
    <s v="June"/>
    <x v="77"/>
    <s v="Food and beverages"/>
    <n v="141"/>
    <x v="0"/>
  </r>
  <r>
    <s v="Rural"/>
    <n v="2019"/>
    <s v="June"/>
    <x v="77"/>
    <s v="Pan, tobacco and intoxicants"/>
    <n v="164.2"/>
    <x v="1"/>
  </r>
  <r>
    <s v="Rural"/>
    <n v="2019"/>
    <s v="June"/>
    <x v="77"/>
    <s v="Clothing"/>
    <n v="151.4"/>
    <x v="2"/>
  </r>
  <r>
    <s v="Rural"/>
    <n v="2019"/>
    <s v="June"/>
    <x v="77"/>
    <s v="Footwear"/>
    <n v="146.5"/>
    <x v="2"/>
  </r>
  <r>
    <s v="Rural"/>
    <n v="2019"/>
    <s v="June"/>
    <x v="77"/>
    <s v="Clothing and footwear"/>
    <n v="150.69999999999999"/>
    <x v="2"/>
  </r>
  <r>
    <s v="Rural"/>
    <n v="2019"/>
    <s v="June"/>
    <x v="77"/>
    <s v="Fuel and light"/>
    <n v="147.80000000000001"/>
    <x v="3"/>
  </r>
  <r>
    <s v="Rural"/>
    <n v="2019"/>
    <s v="June"/>
    <x v="77"/>
    <s v="Household goods and services"/>
    <n v="149.6"/>
    <x v="4"/>
  </r>
  <r>
    <s v="Rural"/>
    <n v="2019"/>
    <s v="June"/>
    <x v="77"/>
    <s v="Health"/>
    <n v="151.69999999999999"/>
    <x v="5"/>
  </r>
  <r>
    <s v="Rural"/>
    <n v="2019"/>
    <s v="June"/>
    <x v="77"/>
    <s v="Transport and communication"/>
    <n v="130.19999999999999"/>
    <x v="6"/>
  </r>
  <r>
    <s v="Rural"/>
    <n v="2019"/>
    <s v="June"/>
    <x v="77"/>
    <s v="Recreation and amusement"/>
    <n v="146.4"/>
    <x v="1"/>
  </r>
  <r>
    <s v="Rural"/>
    <n v="2019"/>
    <s v="June"/>
    <x v="77"/>
    <s v="Education"/>
    <n v="157.69999999999999"/>
    <x v="7"/>
  </r>
  <r>
    <s v="Rural"/>
    <n v="2019"/>
    <s v="June"/>
    <x v="77"/>
    <s v="Personal care and effects"/>
    <n v="134.80000000000001"/>
    <x v="4"/>
  </r>
  <r>
    <s v="Rural"/>
    <n v="2019"/>
    <s v="June"/>
    <x v="77"/>
    <s v="Miscellaneous"/>
    <n v="143.30000000000001"/>
    <x v="8"/>
  </r>
  <r>
    <s v="Rural"/>
    <n v="2019"/>
    <s v="June"/>
    <x v="77"/>
    <s v="General index"/>
    <n v="143.6"/>
    <x v="9"/>
  </r>
  <r>
    <s v="Urban"/>
    <n v="2019"/>
    <s v="June"/>
    <x v="77"/>
    <s v="Cereals and products"/>
    <n v="140.69999999999999"/>
    <x v="0"/>
  </r>
  <r>
    <s v="Urban"/>
    <n v="2019"/>
    <s v="June"/>
    <x v="77"/>
    <s v="Meat and fish"/>
    <n v="159.6"/>
    <x v="0"/>
  </r>
  <r>
    <s v="Urban"/>
    <n v="2019"/>
    <s v="June"/>
    <x v="77"/>
    <s v="Egg"/>
    <n v="140.4"/>
    <x v="0"/>
  </r>
  <r>
    <s v="Urban"/>
    <n v="2019"/>
    <s v="June"/>
    <x v="77"/>
    <s v="Milk and products"/>
    <n v="143.4"/>
    <x v="0"/>
  </r>
  <r>
    <s v="Urban"/>
    <n v="2019"/>
    <s v="June"/>
    <x v="77"/>
    <s v="Oils and fats"/>
    <n v="118.6"/>
    <x v="0"/>
  </r>
  <r>
    <s v="Urban"/>
    <n v="2019"/>
    <s v="June"/>
    <x v="77"/>
    <s v="Fruits"/>
    <n v="150.9"/>
    <x v="0"/>
  </r>
  <r>
    <s v="Urban"/>
    <n v="2019"/>
    <s v="June"/>
    <x v="77"/>
    <s v="Vegetables"/>
    <n v="169.8"/>
    <x v="0"/>
  </r>
  <r>
    <s v="Urban"/>
    <n v="2019"/>
    <s v="June"/>
    <x v="77"/>
    <s v="Pulses and products"/>
    <n v="127.4"/>
    <x v="0"/>
  </r>
  <r>
    <s v="Urban"/>
    <n v="2019"/>
    <s v="June"/>
    <x v="77"/>
    <s v="Sugar and Confectionery"/>
    <n v="111.8"/>
    <x v="0"/>
  </r>
  <r>
    <s v="Urban"/>
    <n v="2019"/>
    <s v="June"/>
    <x v="77"/>
    <s v="Spices"/>
    <n v="141"/>
    <x v="0"/>
  </r>
  <r>
    <s v="Urban"/>
    <n v="2019"/>
    <s v="June"/>
    <x v="77"/>
    <s v="Non-alcoholic beverages"/>
    <n v="129"/>
    <x v="0"/>
  </r>
  <r>
    <s v="Urban"/>
    <n v="2019"/>
    <s v="June"/>
    <x v="77"/>
    <s v="Prepared meals, snacks, sweets etc."/>
    <n v="155.1"/>
    <x v="0"/>
  </r>
  <r>
    <s v="Urban"/>
    <n v="2019"/>
    <s v="June"/>
    <x v="77"/>
    <s v="Food and beverages"/>
    <n v="145.6"/>
    <x v="0"/>
  </r>
  <r>
    <s v="Urban"/>
    <n v="2019"/>
    <s v="June"/>
    <x v="77"/>
    <s v="Pan, tobacco and intoxicants"/>
    <n v="166.7"/>
    <x v="1"/>
  </r>
  <r>
    <s v="Urban"/>
    <n v="2019"/>
    <s v="June"/>
    <x v="77"/>
    <s v="Clothing"/>
    <n v="144.30000000000001"/>
    <x v="2"/>
  </r>
  <r>
    <s v="Urban"/>
    <n v="2019"/>
    <s v="June"/>
    <x v="77"/>
    <s v="Footwear"/>
    <n v="131.69999999999999"/>
    <x v="2"/>
  </r>
  <r>
    <s v="Urban"/>
    <n v="2019"/>
    <s v="June"/>
    <x v="77"/>
    <s v="Clothing and footwear"/>
    <n v="142.4"/>
    <x v="2"/>
  </r>
  <r>
    <s v="Urban"/>
    <n v="2019"/>
    <s v="June"/>
    <x v="77"/>
    <s v="Housing"/>
    <n v="149.4"/>
    <x v="10"/>
  </r>
  <r>
    <s v="Urban"/>
    <n v="2019"/>
    <s v="June"/>
    <x v="77"/>
    <s v="Fuel and light"/>
    <n v="130.5"/>
    <x v="3"/>
  </r>
  <r>
    <s v="Urban"/>
    <n v="2019"/>
    <s v="June"/>
    <x v="77"/>
    <s v="Household goods and services"/>
    <n v="137.4"/>
    <x v="4"/>
  </r>
  <r>
    <s v="Urban"/>
    <n v="2019"/>
    <s v="June"/>
    <x v="77"/>
    <s v="Health"/>
    <n v="140.30000000000001"/>
    <x v="5"/>
  </r>
  <r>
    <s v="Urban"/>
    <n v="2019"/>
    <s v="June"/>
    <x v="77"/>
    <s v="Transport and communication"/>
    <n v="119.6"/>
    <x v="6"/>
  </r>
  <r>
    <s v="Urban"/>
    <n v="2019"/>
    <s v="June"/>
    <x v="77"/>
    <s v="Recreation and amusement"/>
    <n v="134.30000000000001"/>
    <x v="1"/>
  </r>
  <r>
    <s v="Urban"/>
    <n v="2019"/>
    <s v="June"/>
    <x v="77"/>
    <s v="Education"/>
    <n v="148.9"/>
    <x v="7"/>
  </r>
  <r>
    <s v="Urban"/>
    <n v="2019"/>
    <s v="June"/>
    <x v="77"/>
    <s v="Personal care and effects"/>
    <n v="133.69999999999999"/>
    <x v="4"/>
  </r>
  <r>
    <s v="Urban"/>
    <n v="2019"/>
    <s v="June"/>
    <x v="77"/>
    <s v="Miscellaneous"/>
    <n v="133.6"/>
    <x v="8"/>
  </r>
  <r>
    <s v="Urban"/>
    <n v="2019"/>
    <s v="June"/>
    <x v="77"/>
    <s v="General index"/>
    <n v="142.1"/>
    <x v="9"/>
  </r>
  <r>
    <s v="Rural+Urban"/>
    <n v="2019"/>
    <s v="June"/>
    <x v="77"/>
    <s v="Cereals and products"/>
    <n v="138.69999999999999"/>
    <x v="0"/>
  </r>
  <r>
    <s v="Rural+Urban"/>
    <n v="2019"/>
    <s v="June"/>
    <x v="77"/>
    <s v="Meat and fish"/>
    <n v="162.1"/>
    <x v="0"/>
  </r>
  <r>
    <s v="Rural+Urban"/>
    <n v="2019"/>
    <s v="June"/>
    <x v="77"/>
    <s v="Egg"/>
    <n v="137.80000000000001"/>
    <x v="0"/>
  </r>
  <r>
    <s v="Rural+Urban"/>
    <n v="2019"/>
    <s v="June"/>
    <x v="77"/>
    <s v="Milk and products"/>
    <n v="143.30000000000001"/>
    <x v="0"/>
  </r>
  <r>
    <s v="Rural+Urban"/>
    <n v="2019"/>
    <s v="June"/>
    <x v="77"/>
    <s v="Oils and fats"/>
    <n v="122.2"/>
    <x v="0"/>
  </r>
  <r>
    <s v="Rural+Urban"/>
    <n v="2019"/>
    <s v="June"/>
    <x v="77"/>
    <s v="Fruits"/>
    <n v="146.80000000000001"/>
    <x v="0"/>
  </r>
  <r>
    <s v="Rural+Urban"/>
    <n v="2019"/>
    <s v="June"/>
    <x v="77"/>
    <s v="Vegetables"/>
    <n v="150.5"/>
    <x v="0"/>
  </r>
  <r>
    <s v="Rural+Urban"/>
    <n v="2019"/>
    <s v="June"/>
    <x v="77"/>
    <s v="Pulses and products"/>
    <n v="128.30000000000001"/>
    <x v="0"/>
  </r>
  <r>
    <s v="Rural+Urban"/>
    <n v="2019"/>
    <s v="June"/>
    <x v="77"/>
    <s v="Sugar and Confectionery"/>
    <n v="111"/>
    <x v="0"/>
  </r>
  <r>
    <s v="Rural+Urban"/>
    <n v="2019"/>
    <s v="June"/>
    <x v="77"/>
    <s v="Spices"/>
    <n v="140.6"/>
    <x v="0"/>
  </r>
  <r>
    <s v="Rural+Urban"/>
    <n v="2019"/>
    <s v="June"/>
    <x v="77"/>
    <s v="Non-alcoholic beverages"/>
    <n v="134.19999999999999"/>
    <x v="0"/>
  </r>
  <r>
    <s v="Rural+Urban"/>
    <n v="2019"/>
    <s v="June"/>
    <x v="77"/>
    <s v="Prepared meals, snacks, sweets etc."/>
    <n v="155.9"/>
    <x v="0"/>
  </r>
  <r>
    <s v="Rural+Urban"/>
    <n v="2019"/>
    <s v="June"/>
    <x v="77"/>
    <s v="Food and beverages"/>
    <n v="142.69999999999999"/>
    <x v="0"/>
  </r>
  <r>
    <s v="Rural+Urban"/>
    <n v="2019"/>
    <s v="June"/>
    <x v="77"/>
    <s v="Pan, tobacco and intoxicants"/>
    <n v="164.9"/>
    <x v="1"/>
  </r>
  <r>
    <s v="Rural+Urban"/>
    <n v="2019"/>
    <s v="June"/>
    <x v="77"/>
    <s v="Clothing"/>
    <n v="148.6"/>
    <x v="2"/>
  </r>
  <r>
    <s v="Rural+Urban"/>
    <n v="2019"/>
    <s v="June"/>
    <x v="77"/>
    <s v="Footwear"/>
    <n v="140.4"/>
    <x v="2"/>
  </r>
  <r>
    <s v="Rural+Urban"/>
    <n v="2019"/>
    <s v="June"/>
    <x v="77"/>
    <s v="Clothing and footwear"/>
    <n v="147.4"/>
    <x v="2"/>
  </r>
  <r>
    <s v="Rural+Urban"/>
    <n v="2019"/>
    <s v="June"/>
    <x v="77"/>
    <s v="Housing"/>
    <n v="149.4"/>
    <x v="10"/>
  </r>
  <r>
    <s v="Rural+Urban"/>
    <n v="2019"/>
    <s v="June"/>
    <x v="77"/>
    <s v="Fuel and light"/>
    <n v="141.19999999999999"/>
    <x v="3"/>
  </r>
  <r>
    <s v="Rural+Urban"/>
    <n v="2019"/>
    <s v="June"/>
    <x v="77"/>
    <s v="Household goods and services"/>
    <n v="143.80000000000001"/>
    <x v="4"/>
  </r>
  <r>
    <s v="Rural+Urban"/>
    <n v="2019"/>
    <s v="June"/>
    <x v="77"/>
    <s v="Health"/>
    <n v="147.4"/>
    <x v="5"/>
  </r>
  <r>
    <s v="Rural+Urban"/>
    <n v="2019"/>
    <s v="June"/>
    <x v="77"/>
    <s v="Transport and communication"/>
    <n v="124.6"/>
    <x v="6"/>
  </r>
  <r>
    <s v="Rural+Urban"/>
    <n v="2019"/>
    <s v="June"/>
    <x v="77"/>
    <s v="Recreation and amusement"/>
    <n v="139.6"/>
    <x v="1"/>
  </r>
  <r>
    <s v="Rural+Urban"/>
    <n v="2019"/>
    <s v="June"/>
    <x v="77"/>
    <s v="Education"/>
    <n v="152.5"/>
    <x v="7"/>
  </r>
  <r>
    <s v="Rural+Urban"/>
    <n v="2019"/>
    <s v="June"/>
    <x v="77"/>
    <s v="Personal care and effects"/>
    <n v="134.30000000000001"/>
    <x v="4"/>
  </r>
  <r>
    <s v="Rural+Urban"/>
    <n v="2019"/>
    <s v="June"/>
    <x v="77"/>
    <s v="Miscellaneous"/>
    <n v="138.6"/>
    <x v="8"/>
  </r>
  <r>
    <s v="Rural+Urban"/>
    <n v="2019"/>
    <s v="June"/>
    <x v="77"/>
    <s v="General index"/>
    <n v="142.9"/>
    <x v="9"/>
  </r>
  <r>
    <s v="Rural"/>
    <n v="2019"/>
    <s v="July"/>
    <x v="78"/>
    <s v="Cereals and products"/>
    <n v="138.4"/>
    <x v="0"/>
  </r>
  <r>
    <s v="Rural"/>
    <n v="2019"/>
    <s v="July"/>
    <x v="78"/>
    <s v="Meat and fish"/>
    <n v="164"/>
    <x v="0"/>
  </r>
  <r>
    <s v="Rural"/>
    <n v="2019"/>
    <s v="July"/>
    <x v="78"/>
    <s v="Egg"/>
    <n v="138.4"/>
    <x v="0"/>
  </r>
  <r>
    <s v="Rural"/>
    <n v="2019"/>
    <s v="July"/>
    <x v="78"/>
    <s v="Milk and products"/>
    <n v="143.9"/>
    <x v="0"/>
  </r>
  <r>
    <s v="Rural"/>
    <n v="2019"/>
    <s v="July"/>
    <x v="78"/>
    <s v="Oils and fats"/>
    <n v="124.4"/>
    <x v="0"/>
  </r>
  <r>
    <s v="Rural"/>
    <n v="2019"/>
    <s v="July"/>
    <x v="78"/>
    <s v="Fruits"/>
    <n v="146.4"/>
    <x v="0"/>
  </r>
  <r>
    <s v="Rural"/>
    <n v="2019"/>
    <s v="July"/>
    <x v="78"/>
    <s v="Vegetables"/>
    <n v="150.1"/>
    <x v="0"/>
  </r>
  <r>
    <s v="Rural"/>
    <n v="2019"/>
    <s v="July"/>
    <x v="78"/>
    <s v="Pulses and products"/>
    <n v="130.6"/>
    <x v="0"/>
  </r>
  <r>
    <s v="Rural"/>
    <n v="2019"/>
    <s v="July"/>
    <x v="78"/>
    <s v="Sugar and Confectionery"/>
    <n v="110.8"/>
    <x v="0"/>
  </r>
  <r>
    <s v="Rural"/>
    <n v="2019"/>
    <s v="July"/>
    <x v="78"/>
    <s v="Spices"/>
    <n v="141.69999999999999"/>
    <x v="0"/>
  </r>
  <r>
    <s v="Rural"/>
    <n v="2019"/>
    <s v="July"/>
    <x v="78"/>
    <s v="Non-alcoholic beverages"/>
    <n v="138.5"/>
    <x v="0"/>
  </r>
  <r>
    <s v="Rural"/>
    <n v="2019"/>
    <s v="July"/>
    <x v="78"/>
    <s v="Prepared meals, snacks, sweets etc."/>
    <n v="156.69999999999999"/>
    <x v="0"/>
  </r>
  <r>
    <s v="Rural"/>
    <n v="2019"/>
    <s v="July"/>
    <x v="78"/>
    <s v="Food and beverages"/>
    <n v="143"/>
    <x v="0"/>
  </r>
  <r>
    <s v="Rural"/>
    <n v="2019"/>
    <s v="July"/>
    <x v="78"/>
    <s v="Pan, tobacco and intoxicants"/>
    <n v="164.5"/>
    <x v="1"/>
  </r>
  <r>
    <s v="Rural"/>
    <n v="2019"/>
    <s v="July"/>
    <x v="78"/>
    <s v="Clothing"/>
    <n v="151.6"/>
    <x v="2"/>
  </r>
  <r>
    <s v="Rural"/>
    <n v="2019"/>
    <s v="July"/>
    <x v="78"/>
    <s v="Footwear"/>
    <n v="146.6"/>
    <x v="2"/>
  </r>
  <r>
    <s v="Rural"/>
    <n v="2019"/>
    <s v="July"/>
    <x v="78"/>
    <s v="Clothing and footwear"/>
    <n v="150.9"/>
    <x v="2"/>
  </r>
  <r>
    <s v="Rural"/>
    <n v="2019"/>
    <s v="July"/>
    <x v="78"/>
    <s v="Fuel and light"/>
    <n v="146.80000000000001"/>
    <x v="3"/>
  </r>
  <r>
    <s v="Rural"/>
    <n v="2019"/>
    <s v="July"/>
    <x v="78"/>
    <s v="Household goods and services"/>
    <n v="150"/>
    <x v="4"/>
  </r>
  <r>
    <s v="Rural"/>
    <n v="2019"/>
    <s v="July"/>
    <x v="78"/>
    <s v="Health"/>
    <n v="152.19999999999999"/>
    <x v="5"/>
  </r>
  <r>
    <s v="Rural"/>
    <n v="2019"/>
    <s v="July"/>
    <x v="78"/>
    <s v="Transport and communication"/>
    <n v="131.19999999999999"/>
    <x v="6"/>
  </r>
  <r>
    <s v="Rural"/>
    <n v="2019"/>
    <s v="July"/>
    <x v="78"/>
    <s v="Recreation and amusement"/>
    <n v="147.5"/>
    <x v="1"/>
  </r>
  <r>
    <s v="Rural"/>
    <n v="2019"/>
    <s v="July"/>
    <x v="78"/>
    <s v="Education"/>
    <n v="159.1"/>
    <x v="7"/>
  </r>
  <r>
    <s v="Rural"/>
    <n v="2019"/>
    <s v="July"/>
    <x v="78"/>
    <s v="Personal care and effects"/>
    <n v="136.1"/>
    <x v="4"/>
  </r>
  <r>
    <s v="Rural"/>
    <n v="2019"/>
    <s v="July"/>
    <x v="78"/>
    <s v="Miscellaneous"/>
    <n v="144.19999999999999"/>
    <x v="8"/>
  </r>
  <r>
    <s v="Rural"/>
    <n v="2019"/>
    <s v="July"/>
    <x v="78"/>
    <s v="General index"/>
    <n v="144.9"/>
    <x v="9"/>
  </r>
  <r>
    <s v="Urban"/>
    <n v="2019"/>
    <s v="July"/>
    <x v="78"/>
    <s v="Cereals and products"/>
    <n v="141.4"/>
    <x v="0"/>
  </r>
  <r>
    <s v="Urban"/>
    <n v="2019"/>
    <s v="July"/>
    <x v="78"/>
    <s v="Meat and fish"/>
    <n v="160.19999999999999"/>
    <x v="0"/>
  </r>
  <r>
    <s v="Urban"/>
    <n v="2019"/>
    <s v="July"/>
    <x v="78"/>
    <s v="Egg"/>
    <n v="142.5"/>
    <x v="0"/>
  </r>
  <r>
    <s v="Urban"/>
    <n v="2019"/>
    <s v="July"/>
    <x v="78"/>
    <s v="Milk and products"/>
    <n v="144.1"/>
    <x v="0"/>
  </r>
  <r>
    <s v="Urban"/>
    <n v="2019"/>
    <s v="July"/>
    <x v="78"/>
    <s v="Oils and fats"/>
    <n v="119.3"/>
    <x v="0"/>
  </r>
  <r>
    <s v="Urban"/>
    <n v="2019"/>
    <s v="July"/>
    <x v="78"/>
    <s v="Fruits"/>
    <n v="154.69999999999999"/>
    <x v="0"/>
  </r>
  <r>
    <s v="Urban"/>
    <n v="2019"/>
    <s v="July"/>
    <x v="78"/>
    <s v="Vegetables"/>
    <n v="180.1"/>
    <x v="0"/>
  </r>
  <r>
    <s v="Urban"/>
    <n v="2019"/>
    <s v="July"/>
    <x v="78"/>
    <s v="Pulses and products"/>
    <n v="128.9"/>
    <x v="0"/>
  </r>
  <r>
    <s v="Urban"/>
    <n v="2019"/>
    <s v="July"/>
    <x v="78"/>
    <s v="Sugar and Confectionery"/>
    <n v="111.8"/>
    <x v="0"/>
  </r>
  <r>
    <s v="Urban"/>
    <n v="2019"/>
    <s v="July"/>
    <x v="78"/>
    <s v="Spices"/>
    <n v="141.6"/>
    <x v="0"/>
  </r>
  <r>
    <s v="Urban"/>
    <n v="2019"/>
    <s v="July"/>
    <x v="78"/>
    <s v="Non-alcoholic beverages"/>
    <n v="129.5"/>
    <x v="0"/>
  </r>
  <r>
    <s v="Urban"/>
    <n v="2019"/>
    <s v="July"/>
    <x v="78"/>
    <s v="Prepared meals, snacks, sweets etc."/>
    <n v="155.6"/>
    <x v="0"/>
  </r>
  <r>
    <s v="Urban"/>
    <n v="2019"/>
    <s v="July"/>
    <x v="78"/>
    <s v="Food and beverages"/>
    <n v="147.69999999999999"/>
    <x v="0"/>
  </r>
  <r>
    <s v="Urban"/>
    <n v="2019"/>
    <s v="July"/>
    <x v="78"/>
    <s v="Pan, tobacco and intoxicants"/>
    <n v="167.2"/>
    <x v="1"/>
  </r>
  <r>
    <s v="Urban"/>
    <n v="2019"/>
    <s v="July"/>
    <x v="78"/>
    <s v="Clothing"/>
    <n v="144.69999999999999"/>
    <x v="2"/>
  </r>
  <r>
    <s v="Urban"/>
    <n v="2019"/>
    <s v="July"/>
    <x v="78"/>
    <s v="Footwear"/>
    <n v="131.9"/>
    <x v="2"/>
  </r>
  <r>
    <s v="Urban"/>
    <n v="2019"/>
    <s v="July"/>
    <x v="78"/>
    <s v="Clothing and footwear"/>
    <n v="142.69999999999999"/>
    <x v="2"/>
  </r>
  <r>
    <s v="Urban"/>
    <n v="2019"/>
    <s v="July"/>
    <x v="78"/>
    <s v="Housing"/>
    <n v="150.6"/>
    <x v="10"/>
  </r>
  <r>
    <s v="Urban"/>
    <n v="2019"/>
    <s v="July"/>
    <x v="78"/>
    <s v="Fuel and light"/>
    <n v="127"/>
    <x v="3"/>
  </r>
  <r>
    <s v="Urban"/>
    <n v="2019"/>
    <s v="July"/>
    <x v="78"/>
    <s v="Household goods and services"/>
    <n v="137.69999999999999"/>
    <x v="4"/>
  </r>
  <r>
    <s v="Urban"/>
    <n v="2019"/>
    <s v="July"/>
    <x v="78"/>
    <s v="Health"/>
    <n v="140.80000000000001"/>
    <x v="5"/>
  </r>
  <r>
    <s v="Urban"/>
    <n v="2019"/>
    <s v="July"/>
    <x v="78"/>
    <s v="Transport and communication"/>
    <n v="120.6"/>
    <x v="6"/>
  </r>
  <r>
    <s v="Urban"/>
    <n v="2019"/>
    <s v="July"/>
    <x v="78"/>
    <s v="Recreation and amusement"/>
    <n v="135"/>
    <x v="1"/>
  </r>
  <r>
    <s v="Urban"/>
    <n v="2019"/>
    <s v="July"/>
    <x v="78"/>
    <s v="Education"/>
    <n v="150.4"/>
    <x v="7"/>
  </r>
  <r>
    <s v="Urban"/>
    <n v="2019"/>
    <s v="July"/>
    <x v="78"/>
    <s v="Personal care and effects"/>
    <n v="135.1"/>
    <x v="4"/>
  </r>
  <r>
    <s v="Urban"/>
    <n v="2019"/>
    <s v="July"/>
    <x v="78"/>
    <s v="Miscellaneous"/>
    <n v="134.5"/>
    <x v="8"/>
  </r>
  <r>
    <s v="Urban"/>
    <n v="2019"/>
    <s v="July"/>
    <x v="78"/>
    <s v="General index"/>
    <n v="143.30000000000001"/>
    <x v="9"/>
  </r>
  <r>
    <s v="Rural+Urban"/>
    <n v="2019"/>
    <s v="July"/>
    <x v="78"/>
    <s v="Cereals and products"/>
    <n v="139.30000000000001"/>
    <x v="0"/>
  </r>
  <r>
    <s v="Rural+Urban"/>
    <n v="2019"/>
    <s v="July"/>
    <x v="78"/>
    <s v="Meat and fish"/>
    <n v="162.69999999999999"/>
    <x v="0"/>
  </r>
  <r>
    <s v="Rural+Urban"/>
    <n v="2019"/>
    <s v="July"/>
    <x v="78"/>
    <s v="Egg"/>
    <n v="140"/>
    <x v="0"/>
  </r>
  <r>
    <s v="Rural+Urban"/>
    <n v="2019"/>
    <s v="July"/>
    <x v="78"/>
    <s v="Milk and products"/>
    <n v="144"/>
    <x v="0"/>
  </r>
  <r>
    <s v="Rural+Urban"/>
    <n v="2019"/>
    <s v="July"/>
    <x v="78"/>
    <s v="Oils and fats"/>
    <n v="122.5"/>
    <x v="0"/>
  </r>
  <r>
    <s v="Rural+Urban"/>
    <n v="2019"/>
    <s v="July"/>
    <x v="78"/>
    <s v="Fruits"/>
    <n v="150.30000000000001"/>
    <x v="0"/>
  </r>
  <r>
    <s v="Rural+Urban"/>
    <n v="2019"/>
    <s v="July"/>
    <x v="78"/>
    <s v="Vegetables"/>
    <n v="160.30000000000001"/>
    <x v="0"/>
  </r>
  <r>
    <s v="Rural+Urban"/>
    <n v="2019"/>
    <s v="July"/>
    <x v="78"/>
    <s v="Pulses and products"/>
    <n v="130"/>
    <x v="0"/>
  </r>
  <r>
    <s v="Rural+Urban"/>
    <n v="2019"/>
    <s v="July"/>
    <x v="78"/>
    <s v="Sugar and Confectionery"/>
    <n v="111.1"/>
    <x v="0"/>
  </r>
  <r>
    <s v="Rural+Urban"/>
    <n v="2019"/>
    <s v="July"/>
    <x v="78"/>
    <s v="Spices"/>
    <n v="141.69999999999999"/>
    <x v="0"/>
  </r>
  <r>
    <s v="Rural+Urban"/>
    <n v="2019"/>
    <s v="July"/>
    <x v="78"/>
    <s v="Non-alcoholic beverages"/>
    <n v="134.69999999999999"/>
    <x v="0"/>
  </r>
  <r>
    <s v="Rural+Urban"/>
    <n v="2019"/>
    <s v="July"/>
    <x v="78"/>
    <s v="Prepared meals, snacks, sweets etc."/>
    <n v="156.19999999999999"/>
    <x v="0"/>
  </r>
  <r>
    <s v="Rural+Urban"/>
    <n v="2019"/>
    <s v="July"/>
    <x v="78"/>
    <s v="Food and beverages"/>
    <n v="144.69999999999999"/>
    <x v="0"/>
  </r>
  <r>
    <s v="Rural+Urban"/>
    <n v="2019"/>
    <s v="July"/>
    <x v="78"/>
    <s v="Pan, tobacco and intoxicants"/>
    <n v="165.2"/>
    <x v="1"/>
  </r>
  <r>
    <s v="Rural+Urban"/>
    <n v="2019"/>
    <s v="July"/>
    <x v="78"/>
    <s v="Clothing"/>
    <n v="148.9"/>
    <x v="2"/>
  </r>
  <r>
    <s v="Rural+Urban"/>
    <n v="2019"/>
    <s v="July"/>
    <x v="78"/>
    <s v="Footwear"/>
    <n v="140.5"/>
    <x v="2"/>
  </r>
  <r>
    <s v="Rural+Urban"/>
    <n v="2019"/>
    <s v="July"/>
    <x v="78"/>
    <s v="Clothing and footwear"/>
    <n v="147.6"/>
    <x v="2"/>
  </r>
  <r>
    <s v="Rural+Urban"/>
    <n v="2019"/>
    <s v="July"/>
    <x v="78"/>
    <s v="Housing"/>
    <n v="150.6"/>
    <x v="10"/>
  </r>
  <r>
    <s v="Rural+Urban"/>
    <n v="2019"/>
    <s v="July"/>
    <x v="78"/>
    <s v="Fuel and light"/>
    <n v="139.30000000000001"/>
    <x v="3"/>
  </r>
  <r>
    <s v="Rural+Urban"/>
    <n v="2019"/>
    <s v="July"/>
    <x v="78"/>
    <s v="Household goods and services"/>
    <n v="144.19999999999999"/>
    <x v="4"/>
  </r>
  <r>
    <s v="Rural+Urban"/>
    <n v="2019"/>
    <s v="July"/>
    <x v="78"/>
    <s v="Health"/>
    <n v="147.9"/>
    <x v="5"/>
  </r>
  <r>
    <s v="Rural+Urban"/>
    <n v="2019"/>
    <s v="July"/>
    <x v="78"/>
    <s v="Transport and communication"/>
    <n v="125.6"/>
    <x v="6"/>
  </r>
  <r>
    <s v="Rural+Urban"/>
    <n v="2019"/>
    <s v="July"/>
    <x v="78"/>
    <s v="Recreation and amusement"/>
    <n v="140.5"/>
    <x v="1"/>
  </r>
  <r>
    <s v="Rural+Urban"/>
    <n v="2019"/>
    <s v="July"/>
    <x v="78"/>
    <s v="Education"/>
    <n v="154"/>
    <x v="7"/>
  </r>
  <r>
    <s v="Rural+Urban"/>
    <n v="2019"/>
    <s v="July"/>
    <x v="78"/>
    <s v="Personal care and effects"/>
    <n v="135.69999999999999"/>
    <x v="4"/>
  </r>
  <r>
    <s v="Rural+Urban"/>
    <n v="2019"/>
    <s v="July"/>
    <x v="78"/>
    <s v="Miscellaneous"/>
    <n v="139.5"/>
    <x v="8"/>
  </r>
  <r>
    <s v="Rural+Urban"/>
    <n v="2019"/>
    <s v="July"/>
    <x v="78"/>
    <s v="General index"/>
    <n v="144.19999999999999"/>
    <x v="9"/>
  </r>
  <r>
    <s v="Rural"/>
    <n v="2019"/>
    <s v="August"/>
    <x v="79"/>
    <s v="Cereals and products"/>
    <n v="139.19999999999999"/>
    <x v="0"/>
  </r>
  <r>
    <s v="Rural"/>
    <n v="2019"/>
    <s v="August"/>
    <x v="79"/>
    <s v="Meat and fish"/>
    <n v="161.9"/>
    <x v="0"/>
  </r>
  <r>
    <s v="Rural"/>
    <n v="2019"/>
    <s v="August"/>
    <x v="79"/>
    <s v="Egg"/>
    <n v="137.1"/>
    <x v="0"/>
  </r>
  <r>
    <s v="Rural"/>
    <n v="2019"/>
    <s v="August"/>
    <x v="79"/>
    <s v="Milk and products"/>
    <n v="144.6"/>
    <x v="0"/>
  </r>
  <r>
    <s v="Rural"/>
    <n v="2019"/>
    <s v="August"/>
    <x v="79"/>
    <s v="Oils and fats"/>
    <n v="124.7"/>
    <x v="0"/>
  </r>
  <r>
    <s v="Rural"/>
    <n v="2019"/>
    <s v="August"/>
    <x v="79"/>
    <s v="Fruits"/>
    <n v="145.5"/>
    <x v="0"/>
  </r>
  <r>
    <s v="Rural"/>
    <n v="2019"/>
    <s v="August"/>
    <x v="79"/>
    <s v="Vegetables"/>
    <n v="156.19999999999999"/>
    <x v="0"/>
  </r>
  <r>
    <s v="Rural"/>
    <n v="2019"/>
    <s v="August"/>
    <x v="79"/>
    <s v="Pulses and products"/>
    <n v="131.5"/>
    <x v="0"/>
  </r>
  <r>
    <s v="Rural"/>
    <n v="2019"/>
    <s v="August"/>
    <x v="79"/>
    <s v="Sugar and Confectionery"/>
    <n v="111.7"/>
    <x v="0"/>
  </r>
  <r>
    <s v="Rural"/>
    <n v="2019"/>
    <s v="August"/>
    <x v="79"/>
    <s v="Spices"/>
    <n v="142.69999999999999"/>
    <x v="0"/>
  </r>
  <r>
    <s v="Rural"/>
    <n v="2019"/>
    <s v="August"/>
    <x v="79"/>
    <s v="Non-alcoholic beverages"/>
    <n v="138.5"/>
    <x v="0"/>
  </r>
  <r>
    <s v="Rural"/>
    <n v="2019"/>
    <s v="August"/>
    <x v="79"/>
    <s v="Prepared meals, snacks, sweets etc."/>
    <n v="156.9"/>
    <x v="0"/>
  </r>
  <r>
    <s v="Rural"/>
    <n v="2019"/>
    <s v="August"/>
    <x v="79"/>
    <s v="Food and beverages"/>
    <n v="144"/>
    <x v="0"/>
  </r>
  <r>
    <s v="Rural"/>
    <n v="2019"/>
    <s v="August"/>
    <x v="79"/>
    <s v="Pan, tobacco and intoxicants"/>
    <n v="165.1"/>
    <x v="1"/>
  </r>
  <r>
    <s v="Rural"/>
    <n v="2019"/>
    <s v="August"/>
    <x v="79"/>
    <s v="Clothing"/>
    <n v="151.80000000000001"/>
    <x v="2"/>
  </r>
  <r>
    <s v="Rural"/>
    <n v="2019"/>
    <s v="August"/>
    <x v="79"/>
    <s v="Footwear"/>
    <n v="146.6"/>
    <x v="2"/>
  </r>
  <r>
    <s v="Rural"/>
    <n v="2019"/>
    <s v="August"/>
    <x v="79"/>
    <s v="Clothing and footwear"/>
    <n v="151.1"/>
    <x v="2"/>
  </r>
  <r>
    <s v="Rural"/>
    <n v="2019"/>
    <s v="August"/>
    <x v="79"/>
    <s v="Fuel and light"/>
    <n v="146.4"/>
    <x v="3"/>
  </r>
  <r>
    <s v="Rural"/>
    <n v="2019"/>
    <s v="August"/>
    <x v="79"/>
    <s v="Household goods and services"/>
    <n v="150.19999999999999"/>
    <x v="4"/>
  </r>
  <r>
    <s v="Rural"/>
    <n v="2019"/>
    <s v="August"/>
    <x v="79"/>
    <s v="Health"/>
    <n v="152.69999999999999"/>
    <x v="5"/>
  </r>
  <r>
    <s v="Rural"/>
    <n v="2019"/>
    <s v="August"/>
    <x v="79"/>
    <s v="Transport and communication"/>
    <n v="131.4"/>
    <x v="6"/>
  </r>
  <r>
    <s v="Rural"/>
    <n v="2019"/>
    <s v="August"/>
    <x v="79"/>
    <s v="Recreation and amusement"/>
    <n v="148"/>
    <x v="1"/>
  </r>
  <r>
    <s v="Rural"/>
    <n v="2019"/>
    <s v="August"/>
    <x v="79"/>
    <s v="Education"/>
    <n v="159.69999999999999"/>
    <x v="7"/>
  </r>
  <r>
    <s v="Rural"/>
    <n v="2019"/>
    <s v="August"/>
    <x v="79"/>
    <s v="Personal care and effects"/>
    <n v="138.80000000000001"/>
    <x v="4"/>
  </r>
  <r>
    <s v="Rural"/>
    <n v="2019"/>
    <s v="August"/>
    <x v="79"/>
    <s v="Miscellaneous"/>
    <n v="144.9"/>
    <x v="8"/>
  </r>
  <r>
    <s v="Rural"/>
    <n v="2019"/>
    <s v="August"/>
    <x v="79"/>
    <s v="General index"/>
    <n v="145.69999999999999"/>
    <x v="9"/>
  </r>
  <r>
    <s v="Urban"/>
    <n v="2019"/>
    <s v="August"/>
    <x v="79"/>
    <s v="Cereals and products"/>
    <n v="142.1"/>
    <x v="0"/>
  </r>
  <r>
    <s v="Urban"/>
    <n v="2019"/>
    <s v="August"/>
    <x v="79"/>
    <s v="Meat and fish"/>
    <n v="158.30000000000001"/>
    <x v="0"/>
  </r>
  <r>
    <s v="Urban"/>
    <n v="2019"/>
    <s v="August"/>
    <x v="79"/>
    <s v="Egg"/>
    <n v="140.80000000000001"/>
    <x v="0"/>
  </r>
  <r>
    <s v="Urban"/>
    <n v="2019"/>
    <s v="August"/>
    <x v="79"/>
    <s v="Milk and products"/>
    <n v="144.9"/>
    <x v="0"/>
  </r>
  <r>
    <s v="Urban"/>
    <n v="2019"/>
    <s v="August"/>
    <x v="79"/>
    <s v="Oils and fats"/>
    <n v="119.9"/>
    <x v="0"/>
  </r>
  <r>
    <s v="Urban"/>
    <n v="2019"/>
    <s v="August"/>
    <x v="79"/>
    <s v="Fruits"/>
    <n v="153.9"/>
    <x v="0"/>
  </r>
  <r>
    <s v="Urban"/>
    <n v="2019"/>
    <s v="August"/>
    <x v="79"/>
    <s v="Vegetables"/>
    <n v="189.1"/>
    <x v="0"/>
  </r>
  <r>
    <s v="Urban"/>
    <n v="2019"/>
    <s v="August"/>
    <x v="79"/>
    <s v="Pulses and products"/>
    <n v="129.80000000000001"/>
    <x v="0"/>
  </r>
  <r>
    <s v="Urban"/>
    <n v="2019"/>
    <s v="August"/>
    <x v="79"/>
    <s v="Sugar and Confectionery"/>
    <n v="112.7"/>
    <x v="0"/>
  </r>
  <r>
    <s v="Urban"/>
    <n v="2019"/>
    <s v="August"/>
    <x v="79"/>
    <s v="Spices"/>
    <n v="142.5"/>
    <x v="0"/>
  </r>
  <r>
    <s v="Urban"/>
    <n v="2019"/>
    <s v="August"/>
    <x v="79"/>
    <s v="Non-alcoholic beverages"/>
    <n v="129.80000000000001"/>
    <x v="0"/>
  </r>
  <r>
    <s v="Urban"/>
    <n v="2019"/>
    <s v="August"/>
    <x v="79"/>
    <s v="Prepared meals, snacks, sweets etc."/>
    <n v="156.19999999999999"/>
    <x v="0"/>
  </r>
  <r>
    <s v="Urban"/>
    <n v="2019"/>
    <s v="August"/>
    <x v="79"/>
    <s v="Food and beverages"/>
    <n v="149.1"/>
    <x v="0"/>
  </r>
  <r>
    <s v="Urban"/>
    <n v="2019"/>
    <s v="August"/>
    <x v="79"/>
    <s v="Pan, tobacco and intoxicants"/>
    <n v="167.9"/>
    <x v="1"/>
  </r>
  <r>
    <s v="Urban"/>
    <n v="2019"/>
    <s v="August"/>
    <x v="79"/>
    <s v="Clothing"/>
    <n v="145"/>
    <x v="2"/>
  </r>
  <r>
    <s v="Urban"/>
    <n v="2019"/>
    <s v="August"/>
    <x v="79"/>
    <s v="Footwear"/>
    <n v="132.19999999999999"/>
    <x v="2"/>
  </r>
  <r>
    <s v="Urban"/>
    <n v="2019"/>
    <s v="August"/>
    <x v="79"/>
    <s v="Clothing and footwear"/>
    <n v="143"/>
    <x v="2"/>
  </r>
  <r>
    <s v="Urban"/>
    <n v="2019"/>
    <s v="August"/>
    <x v="79"/>
    <s v="Housing"/>
    <n v="151.6"/>
    <x v="10"/>
  </r>
  <r>
    <s v="Urban"/>
    <n v="2019"/>
    <s v="August"/>
    <x v="79"/>
    <s v="Fuel and light"/>
    <n v="125.5"/>
    <x v="3"/>
  </r>
  <r>
    <s v="Urban"/>
    <n v="2019"/>
    <s v="August"/>
    <x v="79"/>
    <s v="Household goods and services"/>
    <n v="138.1"/>
    <x v="4"/>
  </r>
  <r>
    <s v="Urban"/>
    <n v="2019"/>
    <s v="August"/>
    <x v="79"/>
    <s v="Health"/>
    <n v="141.5"/>
    <x v="5"/>
  </r>
  <r>
    <s v="Urban"/>
    <n v="2019"/>
    <s v="August"/>
    <x v="79"/>
    <s v="Transport and communication"/>
    <n v="120.8"/>
    <x v="6"/>
  </r>
  <r>
    <s v="Urban"/>
    <n v="2019"/>
    <s v="August"/>
    <x v="79"/>
    <s v="Recreation and amusement"/>
    <n v="135.4"/>
    <x v="1"/>
  </r>
  <r>
    <s v="Urban"/>
    <n v="2019"/>
    <s v="August"/>
    <x v="79"/>
    <s v="Education"/>
    <n v="151.5"/>
    <x v="7"/>
  </r>
  <r>
    <s v="Urban"/>
    <n v="2019"/>
    <s v="August"/>
    <x v="79"/>
    <s v="Personal care and effects"/>
    <n v="137.80000000000001"/>
    <x v="4"/>
  </r>
  <r>
    <s v="Urban"/>
    <n v="2019"/>
    <s v="August"/>
    <x v="79"/>
    <s v="Miscellaneous"/>
    <n v="135.30000000000001"/>
    <x v="8"/>
  </r>
  <r>
    <s v="Urban"/>
    <n v="2019"/>
    <s v="August"/>
    <x v="79"/>
    <s v="General index"/>
    <n v="144.19999999999999"/>
    <x v="9"/>
  </r>
  <r>
    <s v="Rural+Urban"/>
    <n v="2019"/>
    <s v="August"/>
    <x v="79"/>
    <s v="Cereals and products"/>
    <n v="140.1"/>
    <x v="0"/>
  </r>
  <r>
    <s v="Rural+Urban"/>
    <n v="2019"/>
    <s v="August"/>
    <x v="79"/>
    <s v="Meat and fish"/>
    <n v="160.6"/>
    <x v="0"/>
  </r>
  <r>
    <s v="Rural+Urban"/>
    <n v="2019"/>
    <s v="August"/>
    <x v="79"/>
    <s v="Egg"/>
    <n v="138.5"/>
    <x v="0"/>
  </r>
  <r>
    <s v="Rural+Urban"/>
    <n v="2019"/>
    <s v="August"/>
    <x v="79"/>
    <s v="Milk and products"/>
    <n v="144.69999999999999"/>
    <x v="0"/>
  </r>
  <r>
    <s v="Rural+Urban"/>
    <n v="2019"/>
    <s v="August"/>
    <x v="79"/>
    <s v="Oils and fats"/>
    <n v="122.9"/>
    <x v="0"/>
  </r>
  <r>
    <s v="Rural+Urban"/>
    <n v="2019"/>
    <s v="August"/>
    <x v="79"/>
    <s v="Fruits"/>
    <n v="149.4"/>
    <x v="0"/>
  </r>
  <r>
    <s v="Rural+Urban"/>
    <n v="2019"/>
    <s v="August"/>
    <x v="79"/>
    <s v="Vegetables"/>
    <n v="167.4"/>
    <x v="0"/>
  </r>
  <r>
    <s v="Rural+Urban"/>
    <n v="2019"/>
    <s v="August"/>
    <x v="79"/>
    <s v="Pulses and products"/>
    <n v="130.9"/>
    <x v="0"/>
  </r>
  <r>
    <s v="Rural+Urban"/>
    <n v="2019"/>
    <s v="August"/>
    <x v="79"/>
    <s v="Sugar and Confectionery"/>
    <n v="112"/>
    <x v="0"/>
  </r>
  <r>
    <s v="Rural+Urban"/>
    <n v="2019"/>
    <s v="August"/>
    <x v="79"/>
    <s v="Spices"/>
    <n v="142.6"/>
    <x v="0"/>
  </r>
  <r>
    <s v="Rural+Urban"/>
    <n v="2019"/>
    <s v="August"/>
    <x v="79"/>
    <s v="Non-alcoholic beverages"/>
    <n v="134.9"/>
    <x v="0"/>
  </r>
  <r>
    <s v="Rural+Urban"/>
    <n v="2019"/>
    <s v="August"/>
    <x v="79"/>
    <s v="Prepared meals, snacks, sweets etc."/>
    <n v="156.6"/>
    <x v="0"/>
  </r>
  <r>
    <s v="Rural+Urban"/>
    <n v="2019"/>
    <s v="August"/>
    <x v="79"/>
    <s v="Food and beverages"/>
    <n v="145.9"/>
    <x v="0"/>
  </r>
  <r>
    <s v="Rural+Urban"/>
    <n v="2019"/>
    <s v="August"/>
    <x v="79"/>
    <s v="Pan, tobacco and intoxicants"/>
    <n v="165.8"/>
    <x v="1"/>
  </r>
  <r>
    <s v="Rural+Urban"/>
    <n v="2019"/>
    <s v="August"/>
    <x v="79"/>
    <s v="Clothing"/>
    <n v="149.1"/>
    <x v="2"/>
  </r>
  <r>
    <s v="Rural+Urban"/>
    <n v="2019"/>
    <s v="August"/>
    <x v="79"/>
    <s v="Footwear"/>
    <n v="140.6"/>
    <x v="2"/>
  </r>
  <r>
    <s v="Rural+Urban"/>
    <n v="2019"/>
    <s v="August"/>
    <x v="79"/>
    <s v="Clothing and footwear"/>
    <n v="147.9"/>
    <x v="2"/>
  </r>
  <r>
    <s v="Rural+Urban"/>
    <n v="2019"/>
    <s v="August"/>
    <x v="79"/>
    <s v="Housing"/>
    <n v="151.6"/>
    <x v="10"/>
  </r>
  <r>
    <s v="Rural+Urban"/>
    <n v="2019"/>
    <s v="August"/>
    <x v="79"/>
    <s v="Fuel and light"/>
    <n v="138.5"/>
    <x v="3"/>
  </r>
  <r>
    <s v="Rural+Urban"/>
    <n v="2019"/>
    <s v="August"/>
    <x v="79"/>
    <s v="Household goods and services"/>
    <n v="144.5"/>
    <x v="4"/>
  </r>
  <r>
    <s v="Rural+Urban"/>
    <n v="2019"/>
    <s v="August"/>
    <x v="79"/>
    <s v="Health"/>
    <n v="148.5"/>
    <x v="5"/>
  </r>
  <r>
    <s v="Rural+Urban"/>
    <n v="2019"/>
    <s v="August"/>
    <x v="79"/>
    <s v="Transport and communication"/>
    <n v="125.8"/>
    <x v="6"/>
  </r>
  <r>
    <s v="Rural+Urban"/>
    <n v="2019"/>
    <s v="August"/>
    <x v="79"/>
    <s v="Recreation and amusement"/>
    <n v="140.9"/>
    <x v="1"/>
  </r>
  <r>
    <s v="Rural+Urban"/>
    <n v="2019"/>
    <s v="August"/>
    <x v="79"/>
    <s v="Education"/>
    <n v="154.9"/>
    <x v="7"/>
  </r>
  <r>
    <s v="Rural+Urban"/>
    <n v="2019"/>
    <s v="August"/>
    <x v="79"/>
    <s v="Personal care and effects"/>
    <n v="138.4"/>
    <x v="4"/>
  </r>
  <r>
    <s v="Rural+Urban"/>
    <n v="2019"/>
    <s v="August"/>
    <x v="79"/>
    <s v="Miscellaneous"/>
    <n v="140.19999999999999"/>
    <x v="8"/>
  </r>
  <r>
    <s v="Rural+Urban"/>
    <n v="2019"/>
    <s v="August"/>
    <x v="79"/>
    <s v="General index"/>
    <n v="145"/>
    <x v="9"/>
  </r>
  <r>
    <s v="Rural"/>
    <n v="2019"/>
    <s v="September"/>
    <x v="80"/>
    <s v="Cereals and products"/>
    <n v="140.1"/>
    <x v="0"/>
  </r>
  <r>
    <s v="Rural"/>
    <n v="2019"/>
    <s v="September"/>
    <x v="80"/>
    <s v="Meat and fish"/>
    <n v="161.9"/>
    <x v="0"/>
  </r>
  <r>
    <s v="Rural"/>
    <n v="2019"/>
    <s v="September"/>
    <x v="80"/>
    <s v="Egg"/>
    <n v="138.30000000000001"/>
    <x v="0"/>
  </r>
  <r>
    <s v="Rural"/>
    <n v="2019"/>
    <s v="September"/>
    <x v="80"/>
    <s v="Milk and products"/>
    <n v="145.69999999999999"/>
    <x v="0"/>
  </r>
  <r>
    <s v="Rural"/>
    <n v="2019"/>
    <s v="September"/>
    <x v="80"/>
    <s v="Oils and fats"/>
    <n v="125.1"/>
    <x v="0"/>
  </r>
  <r>
    <s v="Rural"/>
    <n v="2019"/>
    <s v="September"/>
    <x v="80"/>
    <s v="Fruits"/>
    <n v="143.80000000000001"/>
    <x v="0"/>
  </r>
  <r>
    <s v="Rural"/>
    <n v="2019"/>
    <s v="September"/>
    <x v="80"/>
    <s v="Vegetables"/>
    <n v="163.4"/>
    <x v="0"/>
  </r>
  <r>
    <s v="Rural"/>
    <n v="2019"/>
    <s v="September"/>
    <x v="80"/>
    <s v="Pulses and products"/>
    <n v="132.19999999999999"/>
    <x v="0"/>
  </r>
  <r>
    <s v="Rural"/>
    <n v="2019"/>
    <s v="September"/>
    <x v="80"/>
    <s v="Sugar and Confectionery"/>
    <n v="112.8"/>
    <x v="0"/>
  </r>
  <r>
    <s v="Rural"/>
    <n v="2019"/>
    <s v="September"/>
    <x v="80"/>
    <s v="Spices"/>
    <n v="144.19999999999999"/>
    <x v="0"/>
  </r>
  <r>
    <s v="Rural"/>
    <n v="2019"/>
    <s v="September"/>
    <x v="80"/>
    <s v="Non-alcoholic beverages"/>
    <n v="138.5"/>
    <x v="0"/>
  </r>
  <r>
    <s v="Rural"/>
    <n v="2019"/>
    <s v="September"/>
    <x v="80"/>
    <s v="Prepared meals, snacks, sweets etc."/>
    <n v="157.19999999999999"/>
    <x v="0"/>
  </r>
  <r>
    <s v="Rural"/>
    <n v="2019"/>
    <s v="September"/>
    <x v="80"/>
    <s v="Food and beverages"/>
    <n v="145.5"/>
    <x v="0"/>
  </r>
  <r>
    <s v="Rural"/>
    <n v="2019"/>
    <s v="September"/>
    <x v="80"/>
    <s v="Pan, tobacco and intoxicants"/>
    <n v="165.7"/>
    <x v="1"/>
  </r>
  <r>
    <s v="Rural"/>
    <n v="2019"/>
    <s v="September"/>
    <x v="80"/>
    <s v="Clothing"/>
    <n v="151.69999999999999"/>
    <x v="2"/>
  </r>
  <r>
    <s v="Rural"/>
    <n v="2019"/>
    <s v="September"/>
    <x v="80"/>
    <s v="Footwear"/>
    <n v="146.6"/>
    <x v="2"/>
  </r>
  <r>
    <s v="Rural"/>
    <n v="2019"/>
    <s v="September"/>
    <x v="80"/>
    <s v="Clothing and footwear"/>
    <n v="151"/>
    <x v="2"/>
  </r>
  <r>
    <s v="Rural"/>
    <n v="2019"/>
    <s v="September"/>
    <x v="80"/>
    <s v="Fuel and light"/>
    <n v="146.9"/>
    <x v="3"/>
  </r>
  <r>
    <s v="Rural"/>
    <n v="2019"/>
    <s v="September"/>
    <x v="80"/>
    <s v="Household goods and services"/>
    <n v="150.30000000000001"/>
    <x v="4"/>
  </r>
  <r>
    <s v="Rural"/>
    <n v="2019"/>
    <s v="September"/>
    <x v="80"/>
    <s v="Health"/>
    <n v="153.4"/>
    <x v="5"/>
  </r>
  <r>
    <s v="Rural"/>
    <n v="2019"/>
    <s v="September"/>
    <x v="80"/>
    <s v="Transport and communication"/>
    <n v="131.6"/>
    <x v="6"/>
  </r>
  <r>
    <s v="Rural"/>
    <n v="2019"/>
    <s v="September"/>
    <x v="80"/>
    <s v="Recreation and amusement"/>
    <n v="148.30000000000001"/>
    <x v="1"/>
  </r>
  <r>
    <s v="Rural"/>
    <n v="2019"/>
    <s v="September"/>
    <x v="80"/>
    <s v="Education"/>
    <n v="160.19999999999999"/>
    <x v="7"/>
  </r>
  <r>
    <s v="Rural"/>
    <n v="2019"/>
    <s v="September"/>
    <x v="80"/>
    <s v="Personal care and effects"/>
    <n v="140.19999999999999"/>
    <x v="4"/>
  </r>
  <r>
    <s v="Rural"/>
    <n v="2019"/>
    <s v="September"/>
    <x v="80"/>
    <s v="Miscellaneous"/>
    <n v="145.4"/>
    <x v="8"/>
  </r>
  <r>
    <s v="Rural"/>
    <n v="2019"/>
    <s v="September"/>
    <x v="80"/>
    <s v="General index"/>
    <n v="146.69999999999999"/>
    <x v="9"/>
  </r>
  <r>
    <s v="Urban"/>
    <n v="2019"/>
    <s v="September"/>
    <x v="80"/>
    <s v="Cereals and products"/>
    <n v="142.69999999999999"/>
    <x v="0"/>
  </r>
  <r>
    <s v="Urban"/>
    <n v="2019"/>
    <s v="September"/>
    <x v="80"/>
    <s v="Meat and fish"/>
    <n v="158.69999999999999"/>
    <x v="0"/>
  </r>
  <r>
    <s v="Urban"/>
    <n v="2019"/>
    <s v="September"/>
    <x v="80"/>
    <s v="Egg"/>
    <n v="141.6"/>
    <x v="0"/>
  </r>
  <r>
    <s v="Urban"/>
    <n v="2019"/>
    <s v="September"/>
    <x v="80"/>
    <s v="Milk and products"/>
    <n v="144.9"/>
    <x v="0"/>
  </r>
  <r>
    <s v="Urban"/>
    <n v="2019"/>
    <s v="September"/>
    <x v="80"/>
    <s v="Oils and fats"/>
    <n v="120.8"/>
    <x v="0"/>
  </r>
  <r>
    <s v="Urban"/>
    <n v="2019"/>
    <s v="September"/>
    <x v="80"/>
    <s v="Fruits"/>
    <n v="149.80000000000001"/>
    <x v="0"/>
  </r>
  <r>
    <s v="Urban"/>
    <n v="2019"/>
    <s v="September"/>
    <x v="80"/>
    <s v="Vegetables"/>
    <n v="192.4"/>
    <x v="0"/>
  </r>
  <r>
    <s v="Urban"/>
    <n v="2019"/>
    <s v="September"/>
    <x v="80"/>
    <s v="Pulses and products"/>
    <n v="130.30000000000001"/>
    <x v="0"/>
  </r>
  <r>
    <s v="Urban"/>
    <n v="2019"/>
    <s v="September"/>
    <x v="80"/>
    <s v="Sugar and Confectionery"/>
    <n v="114"/>
    <x v="0"/>
  </r>
  <r>
    <s v="Urban"/>
    <n v="2019"/>
    <s v="September"/>
    <x v="80"/>
    <s v="Spices"/>
    <n v="143.80000000000001"/>
    <x v="0"/>
  </r>
  <r>
    <s v="Urban"/>
    <n v="2019"/>
    <s v="September"/>
    <x v="80"/>
    <s v="Non-alcoholic beverages"/>
    <n v="130"/>
    <x v="0"/>
  </r>
  <r>
    <s v="Urban"/>
    <n v="2019"/>
    <s v="September"/>
    <x v="80"/>
    <s v="Prepared meals, snacks, sweets etc."/>
    <n v="156.4"/>
    <x v="0"/>
  </r>
  <r>
    <s v="Urban"/>
    <n v="2019"/>
    <s v="September"/>
    <x v="80"/>
    <s v="Food and beverages"/>
    <n v="149.5"/>
    <x v="0"/>
  </r>
  <r>
    <s v="Urban"/>
    <n v="2019"/>
    <s v="September"/>
    <x v="80"/>
    <s v="Pan, tobacco and intoxicants"/>
    <n v="168.6"/>
    <x v="1"/>
  </r>
  <r>
    <s v="Urban"/>
    <n v="2019"/>
    <s v="September"/>
    <x v="80"/>
    <s v="Clothing"/>
    <n v="145.30000000000001"/>
    <x v="2"/>
  </r>
  <r>
    <s v="Urban"/>
    <n v="2019"/>
    <s v="September"/>
    <x v="80"/>
    <s v="Footwear"/>
    <n v="132.19999999999999"/>
    <x v="2"/>
  </r>
  <r>
    <s v="Urban"/>
    <n v="2019"/>
    <s v="September"/>
    <x v="80"/>
    <s v="Clothing and footwear"/>
    <n v="143.30000000000001"/>
    <x v="2"/>
  </r>
  <r>
    <s v="Urban"/>
    <n v="2019"/>
    <s v="September"/>
    <x v="80"/>
    <s v="Housing"/>
    <n v="152.19999999999999"/>
    <x v="10"/>
  </r>
  <r>
    <s v="Urban"/>
    <n v="2019"/>
    <s v="September"/>
    <x v="80"/>
    <s v="Fuel and light"/>
    <n v="126.6"/>
    <x v="3"/>
  </r>
  <r>
    <s v="Urban"/>
    <n v="2019"/>
    <s v="September"/>
    <x v="80"/>
    <s v="Household goods and services"/>
    <n v="138.30000000000001"/>
    <x v="4"/>
  </r>
  <r>
    <s v="Urban"/>
    <n v="2019"/>
    <s v="September"/>
    <x v="80"/>
    <s v="Health"/>
    <n v="141.9"/>
    <x v="5"/>
  </r>
  <r>
    <s v="Urban"/>
    <n v="2019"/>
    <s v="September"/>
    <x v="80"/>
    <s v="Transport and communication"/>
    <n v="121.2"/>
    <x v="6"/>
  </r>
  <r>
    <s v="Urban"/>
    <n v="2019"/>
    <s v="September"/>
    <x v="80"/>
    <s v="Recreation and amusement"/>
    <n v="135.9"/>
    <x v="1"/>
  </r>
  <r>
    <s v="Urban"/>
    <n v="2019"/>
    <s v="September"/>
    <x v="80"/>
    <s v="Education"/>
    <n v="151.6"/>
    <x v="7"/>
  </r>
  <r>
    <s v="Urban"/>
    <n v="2019"/>
    <s v="September"/>
    <x v="80"/>
    <s v="Personal care and effects"/>
    <n v="139"/>
    <x v="4"/>
  </r>
  <r>
    <s v="Urban"/>
    <n v="2019"/>
    <s v="September"/>
    <x v="80"/>
    <s v="Miscellaneous"/>
    <n v="135.69999999999999"/>
    <x v="8"/>
  </r>
  <r>
    <s v="Urban"/>
    <n v="2019"/>
    <s v="September"/>
    <x v="80"/>
    <s v="General index"/>
    <n v="144.69999999999999"/>
    <x v="9"/>
  </r>
  <r>
    <s v="Rural+Urban"/>
    <n v="2019"/>
    <s v="September"/>
    <x v="80"/>
    <s v="Cereals and products"/>
    <n v="140.9"/>
    <x v="0"/>
  </r>
  <r>
    <s v="Rural+Urban"/>
    <n v="2019"/>
    <s v="September"/>
    <x v="80"/>
    <s v="Meat and fish"/>
    <n v="160.80000000000001"/>
    <x v="0"/>
  </r>
  <r>
    <s v="Rural+Urban"/>
    <n v="2019"/>
    <s v="September"/>
    <x v="80"/>
    <s v="Egg"/>
    <n v="139.6"/>
    <x v="0"/>
  </r>
  <r>
    <s v="Rural+Urban"/>
    <n v="2019"/>
    <s v="September"/>
    <x v="80"/>
    <s v="Milk and products"/>
    <n v="145.4"/>
    <x v="0"/>
  </r>
  <r>
    <s v="Rural+Urban"/>
    <n v="2019"/>
    <s v="September"/>
    <x v="80"/>
    <s v="Oils and fats"/>
    <n v="123.5"/>
    <x v="0"/>
  </r>
  <r>
    <s v="Rural+Urban"/>
    <n v="2019"/>
    <s v="September"/>
    <x v="80"/>
    <s v="Fruits"/>
    <n v="146.6"/>
    <x v="0"/>
  </r>
  <r>
    <s v="Rural+Urban"/>
    <n v="2019"/>
    <s v="September"/>
    <x v="80"/>
    <s v="Vegetables"/>
    <n v="173.2"/>
    <x v="0"/>
  </r>
  <r>
    <s v="Rural+Urban"/>
    <n v="2019"/>
    <s v="September"/>
    <x v="80"/>
    <s v="Pulses and products"/>
    <n v="131.6"/>
    <x v="0"/>
  </r>
  <r>
    <s v="Rural+Urban"/>
    <n v="2019"/>
    <s v="September"/>
    <x v="80"/>
    <s v="Sugar and Confectionery"/>
    <n v="113.2"/>
    <x v="0"/>
  </r>
  <r>
    <s v="Rural+Urban"/>
    <n v="2019"/>
    <s v="September"/>
    <x v="80"/>
    <s v="Spices"/>
    <n v="144.1"/>
    <x v="0"/>
  </r>
  <r>
    <s v="Rural+Urban"/>
    <n v="2019"/>
    <s v="September"/>
    <x v="80"/>
    <s v="Non-alcoholic beverages"/>
    <n v="135"/>
    <x v="0"/>
  </r>
  <r>
    <s v="Rural+Urban"/>
    <n v="2019"/>
    <s v="September"/>
    <x v="80"/>
    <s v="Prepared meals, snacks, sweets etc."/>
    <n v="156.80000000000001"/>
    <x v="0"/>
  </r>
  <r>
    <s v="Rural+Urban"/>
    <n v="2019"/>
    <s v="September"/>
    <x v="80"/>
    <s v="Food and beverages"/>
    <n v="147"/>
    <x v="0"/>
  </r>
  <r>
    <s v="Rural+Urban"/>
    <n v="2019"/>
    <s v="September"/>
    <x v="80"/>
    <s v="Pan, tobacco and intoxicants"/>
    <n v="166.5"/>
    <x v="1"/>
  </r>
  <r>
    <s v="Rural+Urban"/>
    <n v="2019"/>
    <s v="September"/>
    <x v="80"/>
    <s v="Clothing"/>
    <n v="149.19999999999999"/>
    <x v="2"/>
  </r>
  <r>
    <s v="Rural+Urban"/>
    <n v="2019"/>
    <s v="September"/>
    <x v="80"/>
    <s v="Footwear"/>
    <n v="140.6"/>
    <x v="2"/>
  </r>
  <r>
    <s v="Rural+Urban"/>
    <n v="2019"/>
    <s v="September"/>
    <x v="80"/>
    <s v="Clothing and footwear"/>
    <n v="147.9"/>
    <x v="2"/>
  </r>
  <r>
    <s v="Rural+Urban"/>
    <n v="2019"/>
    <s v="September"/>
    <x v="80"/>
    <s v="Housing"/>
    <n v="152.19999999999999"/>
    <x v="10"/>
  </r>
  <r>
    <s v="Rural+Urban"/>
    <n v="2019"/>
    <s v="September"/>
    <x v="80"/>
    <s v="Fuel and light"/>
    <n v="139.19999999999999"/>
    <x v="3"/>
  </r>
  <r>
    <s v="Rural+Urban"/>
    <n v="2019"/>
    <s v="September"/>
    <x v="80"/>
    <s v="Household goods and services"/>
    <n v="144.6"/>
    <x v="4"/>
  </r>
  <r>
    <s v="Rural+Urban"/>
    <n v="2019"/>
    <s v="September"/>
    <x v="80"/>
    <s v="Health"/>
    <n v="149"/>
    <x v="5"/>
  </r>
  <r>
    <s v="Rural+Urban"/>
    <n v="2019"/>
    <s v="September"/>
    <x v="80"/>
    <s v="Transport and communication"/>
    <n v="126.1"/>
    <x v="6"/>
  </r>
  <r>
    <s v="Rural+Urban"/>
    <n v="2019"/>
    <s v="September"/>
    <x v="80"/>
    <s v="Recreation and amusement"/>
    <n v="141.30000000000001"/>
    <x v="1"/>
  </r>
  <r>
    <s v="Rural+Urban"/>
    <n v="2019"/>
    <s v="September"/>
    <x v="80"/>
    <s v="Education"/>
    <n v="155.19999999999999"/>
    <x v="7"/>
  </r>
  <r>
    <s v="Rural+Urban"/>
    <n v="2019"/>
    <s v="September"/>
    <x v="80"/>
    <s v="Personal care and effects"/>
    <n v="139.69999999999999"/>
    <x v="4"/>
  </r>
  <r>
    <s v="Rural+Urban"/>
    <n v="2019"/>
    <s v="September"/>
    <x v="80"/>
    <s v="Miscellaneous"/>
    <n v="140.69999999999999"/>
    <x v="8"/>
  </r>
  <r>
    <s v="Rural+Urban"/>
    <n v="2019"/>
    <s v="September"/>
    <x v="80"/>
    <s v="General index"/>
    <n v="145.80000000000001"/>
    <x v="9"/>
  </r>
  <r>
    <s v="Rural"/>
    <n v="2019"/>
    <s v="October"/>
    <x v="81"/>
    <s v="Cereals and products"/>
    <n v="141"/>
    <x v="0"/>
  </r>
  <r>
    <s v="Rural"/>
    <n v="2019"/>
    <s v="October"/>
    <x v="81"/>
    <s v="Meat and fish"/>
    <n v="161.6"/>
    <x v="0"/>
  </r>
  <r>
    <s v="Rural"/>
    <n v="2019"/>
    <s v="October"/>
    <x v="81"/>
    <s v="Egg"/>
    <n v="141.19999999999999"/>
    <x v="0"/>
  </r>
  <r>
    <s v="Rural"/>
    <n v="2019"/>
    <s v="October"/>
    <x v="81"/>
    <s v="Milk and products"/>
    <n v="146.5"/>
    <x v="0"/>
  </r>
  <r>
    <s v="Rural"/>
    <n v="2019"/>
    <s v="October"/>
    <x v="81"/>
    <s v="Oils and fats"/>
    <n v="125.6"/>
    <x v="0"/>
  </r>
  <r>
    <s v="Rural"/>
    <n v="2019"/>
    <s v="October"/>
    <x v="81"/>
    <s v="Fruits"/>
    <n v="145.69999999999999"/>
    <x v="0"/>
  </r>
  <r>
    <s v="Rural"/>
    <n v="2019"/>
    <s v="October"/>
    <x v="81"/>
    <s v="Vegetables"/>
    <n v="178.8"/>
    <x v="0"/>
  </r>
  <r>
    <s v="Rural"/>
    <n v="2019"/>
    <s v="October"/>
    <x v="81"/>
    <s v="Pulses and products"/>
    <n v="133.1"/>
    <x v="0"/>
  </r>
  <r>
    <s v="Rural"/>
    <n v="2019"/>
    <s v="October"/>
    <x v="81"/>
    <s v="Sugar and Confectionery"/>
    <n v="113.6"/>
    <x v="0"/>
  </r>
  <r>
    <s v="Rural"/>
    <n v="2019"/>
    <s v="October"/>
    <x v="81"/>
    <s v="Spices"/>
    <n v="145.5"/>
    <x v="0"/>
  </r>
  <r>
    <s v="Rural"/>
    <n v="2019"/>
    <s v="October"/>
    <x v="81"/>
    <s v="Non-alcoholic beverages"/>
    <n v="138.6"/>
    <x v="0"/>
  </r>
  <r>
    <s v="Rural"/>
    <n v="2019"/>
    <s v="October"/>
    <x v="81"/>
    <s v="Prepared meals, snacks, sweets etc."/>
    <n v="157.4"/>
    <x v="0"/>
  </r>
  <r>
    <s v="Rural"/>
    <n v="2019"/>
    <s v="October"/>
    <x v="81"/>
    <s v="Food and beverages"/>
    <n v="148.30000000000001"/>
    <x v="0"/>
  </r>
  <r>
    <s v="Rural"/>
    <n v="2019"/>
    <s v="October"/>
    <x v="81"/>
    <s v="Pan, tobacco and intoxicants"/>
    <n v="166.3"/>
    <x v="1"/>
  </r>
  <r>
    <s v="Rural"/>
    <n v="2019"/>
    <s v="October"/>
    <x v="81"/>
    <s v="Clothing"/>
    <n v="151.69999999999999"/>
    <x v="2"/>
  </r>
  <r>
    <s v="Rural"/>
    <n v="2019"/>
    <s v="October"/>
    <x v="81"/>
    <s v="Footwear"/>
    <n v="146.69999999999999"/>
    <x v="2"/>
  </r>
  <r>
    <s v="Rural"/>
    <n v="2019"/>
    <s v="October"/>
    <x v="81"/>
    <s v="Clothing and footwear"/>
    <n v="151"/>
    <x v="2"/>
  </r>
  <r>
    <s v="Rural"/>
    <n v="2019"/>
    <s v="October"/>
    <x v="81"/>
    <s v="Fuel and light"/>
    <n v="147.69999999999999"/>
    <x v="3"/>
  </r>
  <r>
    <s v="Rural"/>
    <n v="2019"/>
    <s v="October"/>
    <x v="81"/>
    <s v="Household goods and services"/>
    <n v="150.6"/>
    <x v="4"/>
  </r>
  <r>
    <s v="Rural"/>
    <n v="2019"/>
    <s v="October"/>
    <x v="81"/>
    <s v="Health"/>
    <n v="153.69999999999999"/>
    <x v="5"/>
  </r>
  <r>
    <s v="Rural"/>
    <n v="2019"/>
    <s v="October"/>
    <x v="81"/>
    <s v="Transport and communication"/>
    <n v="131.69999999999999"/>
    <x v="6"/>
  </r>
  <r>
    <s v="Rural"/>
    <n v="2019"/>
    <s v="October"/>
    <x v="81"/>
    <s v="Recreation and amusement"/>
    <n v="148.69999999999999"/>
    <x v="1"/>
  </r>
  <r>
    <s v="Rural"/>
    <n v="2019"/>
    <s v="October"/>
    <x v="81"/>
    <s v="Education"/>
    <n v="160.69999999999999"/>
    <x v="7"/>
  </r>
  <r>
    <s v="Rural"/>
    <n v="2019"/>
    <s v="October"/>
    <x v="81"/>
    <s v="Personal care and effects"/>
    <n v="140.30000000000001"/>
    <x v="4"/>
  </r>
  <r>
    <s v="Rural"/>
    <n v="2019"/>
    <s v="October"/>
    <x v="81"/>
    <s v="Miscellaneous"/>
    <n v="145.69999999999999"/>
    <x v="8"/>
  </r>
  <r>
    <s v="Rural"/>
    <n v="2019"/>
    <s v="October"/>
    <x v="81"/>
    <s v="General index"/>
    <n v="148.30000000000001"/>
    <x v="9"/>
  </r>
  <r>
    <s v="Urban"/>
    <n v="2019"/>
    <s v="October"/>
    <x v="81"/>
    <s v="Cereals and products"/>
    <n v="143.5"/>
    <x v="0"/>
  </r>
  <r>
    <s v="Urban"/>
    <n v="2019"/>
    <s v="October"/>
    <x v="81"/>
    <s v="Meat and fish"/>
    <n v="159.80000000000001"/>
    <x v="0"/>
  </r>
  <r>
    <s v="Urban"/>
    <n v="2019"/>
    <s v="October"/>
    <x v="81"/>
    <s v="Egg"/>
    <n v="144.69999999999999"/>
    <x v="0"/>
  </r>
  <r>
    <s v="Urban"/>
    <n v="2019"/>
    <s v="October"/>
    <x v="81"/>
    <s v="Milk and products"/>
    <n v="145.6"/>
    <x v="0"/>
  </r>
  <r>
    <s v="Urban"/>
    <n v="2019"/>
    <s v="October"/>
    <x v="81"/>
    <s v="Oils and fats"/>
    <n v="121.1"/>
    <x v="0"/>
  </r>
  <r>
    <s v="Urban"/>
    <n v="2019"/>
    <s v="October"/>
    <x v="81"/>
    <s v="Fruits"/>
    <n v="150.6"/>
    <x v="0"/>
  </r>
  <r>
    <s v="Urban"/>
    <n v="2019"/>
    <s v="October"/>
    <x v="81"/>
    <s v="Vegetables"/>
    <n v="207.2"/>
    <x v="0"/>
  </r>
  <r>
    <s v="Urban"/>
    <n v="2019"/>
    <s v="October"/>
    <x v="81"/>
    <s v="Pulses and products"/>
    <n v="131.19999999999999"/>
    <x v="0"/>
  </r>
  <r>
    <s v="Urban"/>
    <n v="2019"/>
    <s v="October"/>
    <x v="81"/>
    <s v="Sugar and Confectionery"/>
    <n v="114.8"/>
    <x v="0"/>
  </r>
  <r>
    <s v="Urban"/>
    <n v="2019"/>
    <s v="October"/>
    <x v="81"/>
    <s v="Spices"/>
    <n v="145.19999999999999"/>
    <x v="0"/>
  </r>
  <r>
    <s v="Urban"/>
    <n v="2019"/>
    <s v="October"/>
    <x v="81"/>
    <s v="Non-alcoholic beverages"/>
    <n v="130.19999999999999"/>
    <x v="0"/>
  </r>
  <r>
    <s v="Urban"/>
    <n v="2019"/>
    <s v="October"/>
    <x v="81"/>
    <s v="Prepared meals, snacks, sweets etc."/>
    <n v="156.80000000000001"/>
    <x v="0"/>
  </r>
  <r>
    <s v="Urban"/>
    <n v="2019"/>
    <s v="October"/>
    <x v="81"/>
    <s v="Food and beverages"/>
    <n v="151.9"/>
    <x v="0"/>
  </r>
  <r>
    <s v="Urban"/>
    <n v="2019"/>
    <s v="October"/>
    <x v="81"/>
    <s v="Pan, tobacco and intoxicants"/>
    <n v="169.3"/>
    <x v="1"/>
  </r>
  <r>
    <s v="Urban"/>
    <n v="2019"/>
    <s v="October"/>
    <x v="81"/>
    <s v="Clothing"/>
    <n v="145.9"/>
    <x v="2"/>
  </r>
  <r>
    <s v="Urban"/>
    <n v="2019"/>
    <s v="October"/>
    <x v="81"/>
    <s v="Footwear"/>
    <n v="132.4"/>
    <x v="2"/>
  </r>
  <r>
    <s v="Urban"/>
    <n v="2019"/>
    <s v="October"/>
    <x v="81"/>
    <s v="Clothing and footwear"/>
    <n v="143.9"/>
    <x v="2"/>
  </r>
  <r>
    <s v="Urban"/>
    <n v="2019"/>
    <s v="October"/>
    <x v="81"/>
    <s v="Housing"/>
    <n v="153"/>
    <x v="10"/>
  </r>
  <r>
    <s v="Urban"/>
    <n v="2019"/>
    <s v="October"/>
    <x v="81"/>
    <s v="Fuel and light"/>
    <n v="128.9"/>
    <x v="3"/>
  </r>
  <r>
    <s v="Urban"/>
    <n v="2019"/>
    <s v="October"/>
    <x v="81"/>
    <s v="Household goods and services"/>
    <n v="138.69999999999999"/>
    <x v="4"/>
  </r>
  <r>
    <s v="Urban"/>
    <n v="2019"/>
    <s v="October"/>
    <x v="81"/>
    <s v="Health"/>
    <n v="142.4"/>
    <x v="5"/>
  </r>
  <r>
    <s v="Urban"/>
    <n v="2019"/>
    <s v="October"/>
    <x v="81"/>
    <s v="Transport and communication"/>
    <n v="121.5"/>
    <x v="6"/>
  </r>
  <r>
    <s v="Urban"/>
    <n v="2019"/>
    <s v="October"/>
    <x v="81"/>
    <s v="Recreation and amusement"/>
    <n v="136.19999999999999"/>
    <x v="1"/>
  </r>
  <r>
    <s v="Urban"/>
    <n v="2019"/>
    <s v="October"/>
    <x v="81"/>
    <s v="Education"/>
    <n v="151.69999999999999"/>
    <x v="7"/>
  </r>
  <r>
    <s v="Urban"/>
    <n v="2019"/>
    <s v="October"/>
    <x v="81"/>
    <s v="Personal care and effects"/>
    <n v="139.5"/>
    <x v="4"/>
  </r>
  <r>
    <s v="Urban"/>
    <n v="2019"/>
    <s v="October"/>
    <x v="81"/>
    <s v="Miscellaneous"/>
    <n v="136"/>
    <x v="8"/>
  </r>
  <r>
    <s v="Urban"/>
    <n v="2019"/>
    <s v="October"/>
    <x v="81"/>
    <s v="General index"/>
    <n v="146"/>
    <x v="9"/>
  </r>
  <r>
    <s v="Rural+Urban"/>
    <n v="2019"/>
    <s v="October"/>
    <x v="81"/>
    <s v="Cereals and products"/>
    <n v="141.80000000000001"/>
    <x v="0"/>
  </r>
  <r>
    <s v="Rural+Urban"/>
    <n v="2019"/>
    <s v="October"/>
    <x v="81"/>
    <s v="Meat and fish"/>
    <n v="161"/>
    <x v="0"/>
  </r>
  <r>
    <s v="Rural+Urban"/>
    <n v="2019"/>
    <s v="October"/>
    <x v="81"/>
    <s v="Egg"/>
    <n v="142.6"/>
    <x v="0"/>
  </r>
  <r>
    <s v="Rural+Urban"/>
    <n v="2019"/>
    <s v="October"/>
    <x v="81"/>
    <s v="Milk and products"/>
    <n v="146.19999999999999"/>
    <x v="0"/>
  </r>
  <r>
    <s v="Rural+Urban"/>
    <n v="2019"/>
    <s v="October"/>
    <x v="81"/>
    <s v="Oils and fats"/>
    <n v="123.9"/>
    <x v="0"/>
  </r>
  <r>
    <s v="Rural+Urban"/>
    <n v="2019"/>
    <s v="October"/>
    <x v="81"/>
    <s v="Fruits"/>
    <n v="148"/>
    <x v="0"/>
  </r>
  <r>
    <s v="Rural+Urban"/>
    <n v="2019"/>
    <s v="October"/>
    <x v="81"/>
    <s v="Vegetables"/>
    <n v="188.4"/>
    <x v="0"/>
  </r>
  <r>
    <s v="Rural+Urban"/>
    <n v="2019"/>
    <s v="October"/>
    <x v="81"/>
    <s v="Pulses and products"/>
    <n v="132.5"/>
    <x v="0"/>
  </r>
  <r>
    <s v="Rural+Urban"/>
    <n v="2019"/>
    <s v="October"/>
    <x v="81"/>
    <s v="Sugar and Confectionery"/>
    <n v="114"/>
    <x v="0"/>
  </r>
  <r>
    <s v="Rural+Urban"/>
    <n v="2019"/>
    <s v="October"/>
    <x v="81"/>
    <s v="Spices"/>
    <n v="145.4"/>
    <x v="0"/>
  </r>
  <r>
    <s v="Rural+Urban"/>
    <n v="2019"/>
    <s v="October"/>
    <x v="81"/>
    <s v="Non-alcoholic beverages"/>
    <n v="135.1"/>
    <x v="0"/>
  </r>
  <r>
    <s v="Rural+Urban"/>
    <n v="2019"/>
    <s v="October"/>
    <x v="81"/>
    <s v="Prepared meals, snacks, sweets etc."/>
    <n v="157.1"/>
    <x v="0"/>
  </r>
  <r>
    <s v="Rural+Urban"/>
    <n v="2019"/>
    <s v="October"/>
    <x v="81"/>
    <s v="Food and beverages"/>
    <n v="149.6"/>
    <x v="0"/>
  </r>
  <r>
    <s v="Rural+Urban"/>
    <n v="2019"/>
    <s v="October"/>
    <x v="81"/>
    <s v="Pan, tobacco and intoxicants"/>
    <n v="167.1"/>
    <x v="1"/>
  </r>
  <r>
    <s v="Rural+Urban"/>
    <n v="2019"/>
    <s v="October"/>
    <x v="81"/>
    <s v="Clothing"/>
    <n v="149.4"/>
    <x v="2"/>
  </r>
  <r>
    <s v="Rural+Urban"/>
    <n v="2019"/>
    <s v="October"/>
    <x v="81"/>
    <s v="Footwear"/>
    <n v="140.80000000000001"/>
    <x v="2"/>
  </r>
  <r>
    <s v="Rural+Urban"/>
    <n v="2019"/>
    <s v="October"/>
    <x v="81"/>
    <s v="Clothing and footwear"/>
    <n v="148.19999999999999"/>
    <x v="2"/>
  </r>
  <r>
    <s v="Rural+Urban"/>
    <n v="2019"/>
    <s v="October"/>
    <x v="81"/>
    <s v="Housing"/>
    <n v="153"/>
    <x v="10"/>
  </r>
  <r>
    <s v="Rural+Urban"/>
    <n v="2019"/>
    <s v="October"/>
    <x v="81"/>
    <s v="Fuel and light"/>
    <n v="140.6"/>
    <x v="3"/>
  </r>
  <r>
    <s v="Rural+Urban"/>
    <n v="2019"/>
    <s v="October"/>
    <x v="81"/>
    <s v="Household goods and services"/>
    <n v="145"/>
    <x v="4"/>
  </r>
  <r>
    <s v="Rural+Urban"/>
    <n v="2019"/>
    <s v="October"/>
    <x v="81"/>
    <s v="Health"/>
    <n v="149.4"/>
    <x v="5"/>
  </r>
  <r>
    <s v="Rural+Urban"/>
    <n v="2019"/>
    <s v="October"/>
    <x v="81"/>
    <s v="Transport and communication"/>
    <n v="126.3"/>
    <x v="6"/>
  </r>
  <r>
    <s v="Rural+Urban"/>
    <n v="2019"/>
    <s v="October"/>
    <x v="81"/>
    <s v="Recreation and amusement"/>
    <n v="141.69999999999999"/>
    <x v="1"/>
  </r>
  <r>
    <s v="Rural+Urban"/>
    <n v="2019"/>
    <s v="October"/>
    <x v="81"/>
    <s v="Education"/>
    <n v="155.4"/>
    <x v="7"/>
  </r>
  <r>
    <s v="Rural+Urban"/>
    <n v="2019"/>
    <s v="October"/>
    <x v="81"/>
    <s v="Personal care and effects"/>
    <n v="140"/>
    <x v="4"/>
  </r>
  <r>
    <s v="Rural+Urban"/>
    <n v="2019"/>
    <s v="October"/>
    <x v="81"/>
    <s v="Miscellaneous"/>
    <n v="141"/>
    <x v="8"/>
  </r>
  <r>
    <s v="Rural+Urban"/>
    <n v="2019"/>
    <s v="October"/>
    <x v="81"/>
    <s v="General index"/>
    <n v="147.19999999999999"/>
    <x v="9"/>
  </r>
  <r>
    <s v="Rural"/>
    <n v="2019"/>
    <s v="November"/>
    <x v="82"/>
    <s v="Cereals and products"/>
    <n v="141.80000000000001"/>
    <x v="0"/>
  </r>
  <r>
    <s v="Rural"/>
    <n v="2019"/>
    <s v="November"/>
    <x v="82"/>
    <s v="Meat and fish"/>
    <n v="163.69999999999999"/>
    <x v="0"/>
  </r>
  <r>
    <s v="Rural"/>
    <n v="2019"/>
    <s v="November"/>
    <x v="82"/>
    <s v="Egg"/>
    <n v="143.80000000000001"/>
    <x v="0"/>
  </r>
  <r>
    <s v="Rural"/>
    <n v="2019"/>
    <s v="November"/>
    <x v="82"/>
    <s v="Milk and products"/>
    <n v="147.1"/>
    <x v="0"/>
  </r>
  <r>
    <s v="Rural"/>
    <n v="2019"/>
    <s v="November"/>
    <x v="82"/>
    <s v="Oils and fats"/>
    <n v="126"/>
    <x v="0"/>
  </r>
  <r>
    <s v="Rural"/>
    <n v="2019"/>
    <s v="November"/>
    <x v="82"/>
    <s v="Fruits"/>
    <n v="146.19999999999999"/>
    <x v="0"/>
  </r>
  <r>
    <s v="Rural"/>
    <n v="2019"/>
    <s v="November"/>
    <x v="82"/>
    <s v="Vegetables"/>
    <n v="191.4"/>
    <x v="0"/>
  </r>
  <r>
    <s v="Rural"/>
    <n v="2019"/>
    <s v="November"/>
    <x v="82"/>
    <s v="Pulses and products"/>
    <n v="136.19999999999999"/>
    <x v="0"/>
  </r>
  <r>
    <s v="Rural"/>
    <n v="2019"/>
    <s v="November"/>
    <x v="82"/>
    <s v="Sugar and Confectionery"/>
    <n v="113.8"/>
    <x v="0"/>
  </r>
  <r>
    <s v="Rural"/>
    <n v="2019"/>
    <s v="November"/>
    <x v="82"/>
    <s v="Spices"/>
    <n v="147.30000000000001"/>
    <x v="0"/>
  </r>
  <r>
    <s v="Rural"/>
    <n v="2019"/>
    <s v="November"/>
    <x v="82"/>
    <s v="Non-alcoholic beverages"/>
    <n v="138.69999999999999"/>
    <x v="0"/>
  </r>
  <r>
    <s v="Rural"/>
    <n v="2019"/>
    <s v="November"/>
    <x v="82"/>
    <s v="Prepared meals, snacks, sweets etc."/>
    <n v="157.69999999999999"/>
    <x v="0"/>
  </r>
  <r>
    <s v="Rural"/>
    <n v="2019"/>
    <s v="November"/>
    <x v="82"/>
    <s v="Food and beverages"/>
    <n v="150.9"/>
    <x v="0"/>
  </r>
  <r>
    <s v="Rural"/>
    <n v="2019"/>
    <s v="November"/>
    <x v="82"/>
    <s v="Pan, tobacco and intoxicants"/>
    <n v="167.2"/>
    <x v="1"/>
  </r>
  <r>
    <s v="Rural"/>
    <n v="2019"/>
    <s v="November"/>
    <x v="82"/>
    <s v="Clothing"/>
    <n v="152.30000000000001"/>
    <x v="2"/>
  </r>
  <r>
    <s v="Rural"/>
    <n v="2019"/>
    <s v="November"/>
    <x v="82"/>
    <s v="Footwear"/>
    <n v="147"/>
    <x v="2"/>
  </r>
  <r>
    <s v="Rural"/>
    <n v="2019"/>
    <s v="November"/>
    <x v="82"/>
    <s v="Clothing and footwear"/>
    <n v="151.5"/>
    <x v="2"/>
  </r>
  <r>
    <s v="Rural"/>
    <n v="2019"/>
    <s v="November"/>
    <x v="82"/>
    <s v="Fuel and light"/>
    <n v="148.4"/>
    <x v="3"/>
  </r>
  <r>
    <s v="Rural"/>
    <n v="2019"/>
    <s v="November"/>
    <x v="82"/>
    <s v="Household goods and services"/>
    <n v="150.9"/>
    <x v="4"/>
  </r>
  <r>
    <s v="Rural"/>
    <n v="2019"/>
    <s v="November"/>
    <x v="82"/>
    <s v="Health"/>
    <n v="154.30000000000001"/>
    <x v="5"/>
  </r>
  <r>
    <s v="Rural"/>
    <n v="2019"/>
    <s v="November"/>
    <x v="82"/>
    <s v="Transport and communication"/>
    <n v="132.1"/>
    <x v="6"/>
  </r>
  <r>
    <s v="Rural"/>
    <n v="2019"/>
    <s v="November"/>
    <x v="82"/>
    <s v="Recreation and amusement"/>
    <n v="149.1"/>
    <x v="1"/>
  </r>
  <r>
    <s v="Rural"/>
    <n v="2019"/>
    <s v="November"/>
    <x v="82"/>
    <s v="Education"/>
    <n v="160.80000000000001"/>
    <x v="7"/>
  </r>
  <r>
    <s v="Rural"/>
    <n v="2019"/>
    <s v="November"/>
    <x v="82"/>
    <s v="Personal care and effects"/>
    <n v="140.6"/>
    <x v="4"/>
  </r>
  <r>
    <s v="Rural"/>
    <n v="2019"/>
    <s v="November"/>
    <x v="82"/>
    <s v="Miscellaneous"/>
    <n v="146.1"/>
    <x v="8"/>
  </r>
  <r>
    <s v="Rural"/>
    <n v="2019"/>
    <s v="November"/>
    <x v="82"/>
    <s v="General index"/>
    <n v="149.9"/>
    <x v="9"/>
  </r>
  <r>
    <s v="Urban"/>
    <n v="2019"/>
    <s v="November"/>
    <x v="82"/>
    <s v="Cereals and products"/>
    <n v="144.1"/>
    <x v="0"/>
  </r>
  <r>
    <s v="Urban"/>
    <n v="2019"/>
    <s v="November"/>
    <x v="82"/>
    <s v="Meat and fish"/>
    <n v="162.4"/>
    <x v="0"/>
  </r>
  <r>
    <s v="Urban"/>
    <n v="2019"/>
    <s v="November"/>
    <x v="82"/>
    <s v="Egg"/>
    <n v="148.4"/>
    <x v="0"/>
  </r>
  <r>
    <s v="Urban"/>
    <n v="2019"/>
    <s v="November"/>
    <x v="82"/>
    <s v="Milk and products"/>
    <n v="145.9"/>
    <x v="0"/>
  </r>
  <r>
    <s v="Urban"/>
    <n v="2019"/>
    <s v="November"/>
    <x v="82"/>
    <s v="Oils and fats"/>
    <n v="121.5"/>
    <x v="0"/>
  </r>
  <r>
    <s v="Urban"/>
    <n v="2019"/>
    <s v="November"/>
    <x v="82"/>
    <s v="Fruits"/>
    <n v="148.80000000000001"/>
    <x v="0"/>
  </r>
  <r>
    <s v="Urban"/>
    <n v="2019"/>
    <s v="November"/>
    <x v="82"/>
    <s v="Vegetables"/>
    <n v="215.7"/>
    <x v="0"/>
  </r>
  <r>
    <s v="Urban"/>
    <n v="2019"/>
    <s v="November"/>
    <x v="82"/>
    <s v="Pulses and products"/>
    <n v="134.6"/>
    <x v="0"/>
  </r>
  <r>
    <s v="Urban"/>
    <n v="2019"/>
    <s v="November"/>
    <x v="82"/>
    <s v="Sugar and Confectionery"/>
    <n v="115"/>
    <x v="0"/>
  </r>
  <r>
    <s v="Urban"/>
    <n v="2019"/>
    <s v="November"/>
    <x v="82"/>
    <s v="Spices"/>
    <n v="146.30000000000001"/>
    <x v="0"/>
  </r>
  <r>
    <s v="Urban"/>
    <n v="2019"/>
    <s v="November"/>
    <x v="82"/>
    <s v="Non-alcoholic beverages"/>
    <n v="130.5"/>
    <x v="0"/>
  </r>
  <r>
    <s v="Urban"/>
    <n v="2019"/>
    <s v="November"/>
    <x v="82"/>
    <s v="Prepared meals, snacks, sweets etc."/>
    <n v="157.19999999999999"/>
    <x v="0"/>
  </r>
  <r>
    <s v="Urban"/>
    <n v="2019"/>
    <s v="November"/>
    <x v="82"/>
    <s v="Food and beverages"/>
    <n v="153.6"/>
    <x v="0"/>
  </r>
  <r>
    <s v="Urban"/>
    <n v="2019"/>
    <s v="November"/>
    <x v="82"/>
    <s v="Pan, tobacco and intoxicants"/>
    <n v="169.9"/>
    <x v="1"/>
  </r>
  <r>
    <s v="Urban"/>
    <n v="2019"/>
    <s v="November"/>
    <x v="82"/>
    <s v="Clothing"/>
    <n v="146.30000000000001"/>
    <x v="2"/>
  </r>
  <r>
    <s v="Urban"/>
    <n v="2019"/>
    <s v="November"/>
    <x v="82"/>
    <s v="Footwear"/>
    <n v="132.6"/>
    <x v="2"/>
  </r>
  <r>
    <s v="Urban"/>
    <n v="2019"/>
    <s v="November"/>
    <x v="82"/>
    <s v="Clothing and footwear"/>
    <n v="144.19999999999999"/>
    <x v="2"/>
  </r>
  <r>
    <s v="Urban"/>
    <n v="2019"/>
    <s v="November"/>
    <x v="82"/>
    <s v="Housing"/>
    <n v="153.5"/>
    <x v="10"/>
  </r>
  <r>
    <s v="Urban"/>
    <n v="2019"/>
    <s v="November"/>
    <x v="82"/>
    <s v="Fuel and light"/>
    <n v="132.19999999999999"/>
    <x v="3"/>
  </r>
  <r>
    <s v="Urban"/>
    <n v="2019"/>
    <s v="November"/>
    <x v="82"/>
    <s v="Household goods and services"/>
    <n v="139.1"/>
    <x v="4"/>
  </r>
  <r>
    <s v="Urban"/>
    <n v="2019"/>
    <s v="November"/>
    <x v="82"/>
    <s v="Health"/>
    <n v="142.80000000000001"/>
    <x v="5"/>
  </r>
  <r>
    <s v="Urban"/>
    <n v="2019"/>
    <s v="November"/>
    <x v="82"/>
    <s v="Transport and communication"/>
    <n v="121.7"/>
    <x v="6"/>
  </r>
  <r>
    <s v="Urban"/>
    <n v="2019"/>
    <s v="November"/>
    <x v="82"/>
    <s v="Recreation and amusement"/>
    <n v="136.69999999999999"/>
    <x v="1"/>
  </r>
  <r>
    <s v="Urban"/>
    <n v="2019"/>
    <s v="November"/>
    <x v="82"/>
    <s v="Education"/>
    <n v="151.80000000000001"/>
    <x v="7"/>
  </r>
  <r>
    <s v="Urban"/>
    <n v="2019"/>
    <s v="November"/>
    <x v="82"/>
    <s v="Personal care and effects"/>
    <n v="139.80000000000001"/>
    <x v="4"/>
  </r>
  <r>
    <s v="Urban"/>
    <n v="2019"/>
    <s v="November"/>
    <x v="82"/>
    <s v="Miscellaneous"/>
    <n v="136.30000000000001"/>
    <x v="8"/>
  </r>
  <r>
    <s v="Urban"/>
    <n v="2019"/>
    <s v="November"/>
    <x v="82"/>
    <s v="General index"/>
    <n v="147"/>
    <x v="9"/>
  </r>
  <r>
    <s v="Rural+Urban"/>
    <n v="2019"/>
    <s v="November"/>
    <x v="82"/>
    <s v="Cereals and products"/>
    <n v="142.5"/>
    <x v="0"/>
  </r>
  <r>
    <s v="Rural+Urban"/>
    <n v="2019"/>
    <s v="November"/>
    <x v="82"/>
    <s v="Meat and fish"/>
    <n v="163.19999999999999"/>
    <x v="0"/>
  </r>
  <r>
    <s v="Rural+Urban"/>
    <n v="2019"/>
    <s v="November"/>
    <x v="82"/>
    <s v="Egg"/>
    <n v="145.6"/>
    <x v="0"/>
  </r>
  <r>
    <s v="Rural+Urban"/>
    <n v="2019"/>
    <s v="November"/>
    <x v="82"/>
    <s v="Milk and products"/>
    <n v="146.69999999999999"/>
    <x v="0"/>
  </r>
  <r>
    <s v="Rural+Urban"/>
    <n v="2019"/>
    <s v="November"/>
    <x v="82"/>
    <s v="Oils and fats"/>
    <n v="124.3"/>
    <x v="0"/>
  </r>
  <r>
    <s v="Rural+Urban"/>
    <n v="2019"/>
    <s v="November"/>
    <x v="82"/>
    <s v="Fruits"/>
    <n v="147.4"/>
    <x v="0"/>
  </r>
  <r>
    <s v="Rural+Urban"/>
    <n v="2019"/>
    <s v="November"/>
    <x v="82"/>
    <s v="Vegetables"/>
    <n v="199.6"/>
    <x v="0"/>
  </r>
  <r>
    <s v="Rural+Urban"/>
    <n v="2019"/>
    <s v="November"/>
    <x v="82"/>
    <s v="Pulses and products"/>
    <n v="135.69999999999999"/>
    <x v="0"/>
  </r>
  <r>
    <s v="Rural+Urban"/>
    <n v="2019"/>
    <s v="November"/>
    <x v="82"/>
    <s v="Sugar and Confectionery"/>
    <n v="114.2"/>
    <x v="0"/>
  </r>
  <r>
    <s v="Rural+Urban"/>
    <n v="2019"/>
    <s v="November"/>
    <x v="82"/>
    <s v="Spices"/>
    <n v="147"/>
    <x v="0"/>
  </r>
  <r>
    <s v="Rural+Urban"/>
    <n v="2019"/>
    <s v="November"/>
    <x v="82"/>
    <s v="Non-alcoholic beverages"/>
    <n v="135.30000000000001"/>
    <x v="0"/>
  </r>
  <r>
    <s v="Rural+Urban"/>
    <n v="2019"/>
    <s v="November"/>
    <x v="82"/>
    <s v="Prepared meals, snacks, sweets etc."/>
    <n v="157.5"/>
    <x v="0"/>
  </r>
  <r>
    <s v="Rural+Urban"/>
    <n v="2019"/>
    <s v="November"/>
    <x v="82"/>
    <s v="Food and beverages"/>
    <n v="151.9"/>
    <x v="0"/>
  </r>
  <r>
    <s v="Rural+Urban"/>
    <n v="2019"/>
    <s v="November"/>
    <x v="82"/>
    <s v="Pan, tobacco and intoxicants"/>
    <n v="167.9"/>
    <x v="1"/>
  </r>
  <r>
    <s v="Rural+Urban"/>
    <n v="2019"/>
    <s v="November"/>
    <x v="82"/>
    <s v="Clothing"/>
    <n v="149.9"/>
    <x v="2"/>
  </r>
  <r>
    <s v="Rural+Urban"/>
    <n v="2019"/>
    <s v="November"/>
    <x v="82"/>
    <s v="Footwear"/>
    <n v="141"/>
    <x v="2"/>
  </r>
  <r>
    <s v="Rural+Urban"/>
    <n v="2019"/>
    <s v="November"/>
    <x v="82"/>
    <s v="Clothing and footwear"/>
    <n v="148.6"/>
    <x v="2"/>
  </r>
  <r>
    <s v="Rural+Urban"/>
    <n v="2019"/>
    <s v="November"/>
    <x v="82"/>
    <s v="Housing"/>
    <n v="153.5"/>
    <x v="10"/>
  </r>
  <r>
    <s v="Rural+Urban"/>
    <n v="2019"/>
    <s v="November"/>
    <x v="82"/>
    <s v="Fuel and light"/>
    <n v="142.30000000000001"/>
    <x v="3"/>
  </r>
  <r>
    <s v="Rural+Urban"/>
    <n v="2019"/>
    <s v="November"/>
    <x v="82"/>
    <s v="Household goods and services"/>
    <n v="145.30000000000001"/>
    <x v="4"/>
  </r>
  <r>
    <s v="Rural+Urban"/>
    <n v="2019"/>
    <s v="November"/>
    <x v="82"/>
    <s v="Health"/>
    <n v="149.9"/>
    <x v="5"/>
  </r>
  <r>
    <s v="Rural+Urban"/>
    <n v="2019"/>
    <s v="November"/>
    <x v="82"/>
    <s v="Transport and communication"/>
    <n v="126.6"/>
    <x v="6"/>
  </r>
  <r>
    <s v="Rural+Urban"/>
    <n v="2019"/>
    <s v="November"/>
    <x v="82"/>
    <s v="Recreation and amusement"/>
    <n v="142.1"/>
    <x v="1"/>
  </r>
  <r>
    <s v="Rural+Urban"/>
    <n v="2019"/>
    <s v="November"/>
    <x v="82"/>
    <s v="Education"/>
    <n v="155.5"/>
    <x v="7"/>
  </r>
  <r>
    <s v="Rural+Urban"/>
    <n v="2019"/>
    <s v="November"/>
    <x v="82"/>
    <s v="Personal care and effects"/>
    <n v="140.30000000000001"/>
    <x v="4"/>
  </r>
  <r>
    <s v="Rural+Urban"/>
    <n v="2019"/>
    <s v="November"/>
    <x v="82"/>
    <s v="Miscellaneous"/>
    <n v="141.30000000000001"/>
    <x v="8"/>
  </r>
  <r>
    <s v="Rural+Urban"/>
    <n v="2019"/>
    <s v="November"/>
    <x v="82"/>
    <s v="General index"/>
    <n v="148.6"/>
    <x v="9"/>
  </r>
  <r>
    <s v="Rural"/>
    <n v="2019"/>
    <s v="December"/>
    <x v="83"/>
    <s v="Cereals and products"/>
    <n v="142.80000000000001"/>
    <x v="0"/>
  </r>
  <r>
    <s v="Rural"/>
    <n v="2019"/>
    <s v="December"/>
    <x v="83"/>
    <s v="Meat and fish"/>
    <n v="165.3"/>
    <x v="0"/>
  </r>
  <r>
    <s v="Rural"/>
    <n v="2019"/>
    <s v="December"/>
    <x v="83"/>
    <s v="Egg"/>
    <n v="149.5"/>
    <x v="0"/>
  </r>
  <r>
    <s v="Rural"/>
    <n v="2019"/>
    <s v="December"/>
    <x v="83"/>
    <s v="Milk and products"/>
    <n v="148.69999999999999"/>
    <x v="0"/>
  </r>
  <r>
    <s v="Rural"/>
    <n v="2019"/>
    <s v="December"/>
    <x v="83"/>
    <s v="Oils and fats"/>
    <n v="127.5"/>
    <x v="0"/>
  </r>
  <r>
    <s v="Rural"/>
    <n v="2019"/>
    <s v="December"/>
    <x v="83"/>
    <s v="Fruits"/>
    <n v="144.30000000000001"/>
    <x v="0"/>
  </r>
  <r>
    <s v="Rural"/>
    <n v="2019"/>
    <s v="December"/>
    <x v="83"/>
    <s v="Vegetables"/>
    <n v="209.5"/>
    <x v="0"/>
  </r>
  <r>
    <s v="Rural"/>
    <n v="2019"/>
    <s v="December"/>
    <x v="83"/>
    <s v="Pulses and products"/>
    <n v="138.80000000000001"/>
    <x v="0"/>
  </r>
  <r>
    <s v="Rural"/>
    <n v="2019"/>
    <s v="December"/>
    <x v="83"/>
    <s v="Sugar and Confectionery"/>
    <n v="113.6"/>
    <x v="0"/>
  </r>
  <r>
    <s v="Rural"/>
    <n v="2019"/>
    <s v="December"/>
    <x v="83"/>
    <s v="Spices"/>
    <n v="149.1"/>
    <x v="0"/>
  </r>
  <r>
    <s v="Rural"/>
    <n v="2019"/>
    <s v="December"/>
    <x v="83"/>
    <s v="Non-alcoholic beverages"/>
    <n v="139.30000000000001"/>
    <x v="0"/>
  </r>
  <r>
    <s v="Rural"/>
    <n v="2019"/>
    <s v="December"/>
    <x v="83"/>
    <s v="Prepared meals, snacks, sweets etc."/>
    <n v="158.30000000000001"/>
    <x v="0"/>
  </r>
  <r>
    <s v="Rural"/>
    <n v="2019"/>
    <s v="December"/>
    <x v="83"/>
    <s v="Food and beverages"/>
    <n v="154.30000000000001"/>
    <x v="0"/>
  </r>
  <r>
    <s v="Rural"/>
    <n v="2019"/>
    <s v="December"/>
    <x v="83"/>
    <s v="Pan, tobacco and intoxicants"/>
    <n v="167.8"/>
    <x v="1"/>
  </r>
  <r>
    <s v="Rural"/>
    <n v="2019"/>
    <s v="December"/>
    <x v="83"/>
    <s v="Clothing"/>
    <n v="152.6"/>
    <x v="2"/>
  </r>
  <r>
    <s v="Rural"/>
    <n v="2019"/>
    <s v="December"/>
    <x v="83"/>
    <s v="Footwear"/>
    <n v="147.30000000000001"/>
    <x v="2"/>
  </r>
  <r>
    <s v="Rural"/>
    <n v="2019"/>
    <s v="December"/>
    <x v="83"/>
    <s v="Clothing and footwear"/>
    <n v="151.9"/>
    <x v="2"/>
  </r>
  <r>
    <s v="Rural"/>
    <n v="2019"/>
    <s v="December"/>
    <x v="83"/>
    <s v="Fuel and light"/>
    <n v="149.9"/>
    <x v="3"/>
  </r>
  <r>
    <s v="Rural"/>
    <n v="2019"/>
    <s v="December"/>
    <x v="83"/>
    <s v="Household goods and services"/>
    <n v="151.19999999999999"/>
    <x v="4"/>
  </r>
  <r>
    <s v="Rural"/>
    <n v="2019"/>
    <s v="December"/>
    <x v="83"/>
    <s v="Health"/>
    <n v="154.80000000000001"/>
    <x v="5"/>
  </r>
  <r>
    <s v="Rural"/>
    <n v="2019"/>
    <s v="December"/>
    <x v="83"/>
    <s v="Transport and communication"/>
    <n v="135"/>
    <x v="6"/>
  </r>
  <r>
    <s v="Rural"/>
    <n v="2019"/>
    <s v="December"/>
    <x v="83"/>
    <s v="Recreation and amusement"/>
    <n v="149.5"/>
    <x v="1"/>
  </r>
  <r>
    <s v="Rural"/>
    <n v="2019"/>
    <s v="December"/>
    <x v="83"/>
    <s v="Education"/>
    <n v="161.1"/>
    <x v="7"/>
  </r>
  <r>
    <s v="Rural"/>
    <n v="2019"/>
    <s v="December"/>
    <x v="83"/>
    <s v="Personal care and effects"/>
    <n v="140.6"/>
    <x v="4"/>
  </r>
  <r>
    <s v="Rural"/>
    <n v="2019"/>
    <s v="December"/>
    <x v="83"/>
    <s v="Miscellaneous"/>
    <n v="147.1"/>
    <x v="8"/>
  </r>
  <r>
    <s v="Rural"/>
    <n v="2019"/>
    <s v="December"/>
    <x v="83"/>
    <s v="General index"/>
    <n v="152.30000000000001"/>
    <x v="9"/>
  </r>
  <r>
    <s v="Urban"/>
    <n v="2019"/>
    <s v="December"/>
    <x v="83"/>
    <s v="Cereals and products"/>
    <n v="144.9"/>
    <x v="0"/>
  </r>
  <r>
    <s v="Urban"/>
    <n v="2019"/>
    <s v="December"/>
    <x v="83"/>
    <s v="Meat and fish"/>
    <n v="164.5"/>
    <x v="0"/>
  </r>
  <r>
    <s v="Urban"/>
    <n v="2019"/>
    <s v="December"/>
    <x v="83"/>
    <s v="Egg"/>
    <n v="153.69999999999999"/>
    <x v="0"/>
  </r>
  <r>
    <s v="Urban"/>
    <n v="2019"/>
    <s v="December"/>
    <x v="83"/>
    <s v="Milk and products"/>
    <n v="147.5"/>
    <x v="0"/>
  </r>
  <r>
    <s v="Urban"/>
    <n v="2019"/>
    <s v="December"/>
    <x v="83"/>
    <s v="Oils and fats"/>
    <n v="122.7"/>
    <x v="0"/>
  </r>
  <r>
    <s v="Urban"/>
    <n v="2019"/>
    <s v="December"/>
    <x v="83"/>
    <s v="Fruits"/>
    <n v="147.19999999999999"/>
    <x v="0"/>
  </r>
  <r>
    <s v="Urban"/>
    <n v="2019"/>
    <s v="December"/>
    <x v="83"/>
    <s v="Vegetables"/>
    <n v="231.5"/>
    <x v="0"/>
  </r>
  <r>
    <s v="Urban"/>
    <n v="2019"/>
    <s v="December"/>
    <x v="83"/>
    <s v="Pulses and products"/>
    <n v="137.19999999999999"/>
    <x v="0"/>
  </r>
  <r>
    <s v="Urban"/>
    <n v="2019"/>
    <s v="December"/>
    <x v="83"/>
    <s v="Sugar and Confectionery"/>
    <n v="114.7"/>
    <x v="0"/>
  </r>
  <r>
    <s v="Urban"/>
    <n v="2019"/>
    <s v="December"/>
    <x v="83"/>
    <s v="Spices"/>
    <n v="148"/>
    <x v="0"/>
  </r>
  <r>
    <s v="Urban"/>
    <n v="2019"/>
    <s v="December"/>
    <x v="83"/>
    <s v="Non-alcoholic beverages"/>
    <n v="130.80000000000001"/>
    <x v="0"/>
  </r>
  <r>
    <s v="Urban"/>
    <n v="2019"/>
    <s v="December"/>
    <x v="83"/>
    <s v="Prepared meals, snacks, sweets etc."/>
    <n v="157.69999999999999"/>
    <x v="0"/>
  </r>
  <r>
    <s v="Urban"/>
    <n v="2019"/>
    <s v="December"/>
    <x v="83"/>
    <s v="Food and beverages"/>
    <n v="156.30000000000001"/>
    <x v="0"/>
  </r>
  <r>
    <s v="Urban"/>
    <n v="2019"/>
    <s v="December"/>
    <x v="83"/>
    <s v="Pan, tobacco and intoxicants"/>
    <n v="170.4"/>
    <x v="1"/>
  </r>
  <r>
    <s v="Urban"/>
    <n v="2019"/>
    <s v="December"/>
    <x v="83"/>
    <s v="Clothing"/>
    <n v="146.80000000000001"/>
    <x v="2"/>
  </r>
  <r>
    <s v="Urban"/>
    <n v="2019"/>
    <s v="December"/>
    <x v="83"/>
    <s v="Footwear"/>
    <n v="132.80000000000001"/>
    <x v="2"/>
  </r>
  <r>
    <s v="Urban"/>
    <n v="2019"/>
    <s v="December"/>
    <x v="83"/>
    <s v="Clothing and footwear"/>
    <n v="144.6"/>
    <x v="2"/>
  </r>
  <r>
    <s v="Urban"/>
    <n v="2019"/>
    <s v="December"/>
    <x v="83"/>
    <s v="Housing"/>
    <n v="152.80000000000001"/>
    <x v="10"/>
  </r>
  <r>
    <s v="Urban"/>
    <n v="2019"/>
    <s v="December"/>
    <x v="83"/>
    <s v="Fuel and light"/>
    <n v="133.6"/>
    <x v="3"/>
  </r>
  <r>
    <s v="Urban"/>
    <n v="2019"/>
    <s v="December"/>
    <x v="83"/>
    <s v="Household goods and services"/>
    <n v="139.80000000000001"/>
    <x v="4"/>
  </r>
  <r>
    <s v="Urban"/>
    <n v="2019"/>
    <s v="December"/>
    <x v="83"/>
    <s v="Health"/>
    <n v="143.19999999999999"/>
    <x v="5"/>
  </r>
  <r>
    <s v="Urban"/>
    <n v="2019"/>
    <s v="December"/>
    <x v="83"/>
    <s v="Transport and communication"/>
    <n v="125.2"/>
    <x v="6"/>
  </r>
  <r>
    <s v="Urban"/>
    <n v="2019"/>
    <s v="December"/>
    <x v="83"/>
    <s v="Recreation and amusement"/>
    <n v="136.80000000000001"/>
    <x v="1"/>
  </r>
  <r>
    <s v="Urban"/>
    <n v="2019"/>
    <s v="December"/>
    <x v="83"/>
    <s v="Education"/>
    <n v="151.9"/>
    <x v="7"/>
  </r>
  <r>
    <s v="Urban"/>
    <n v="2019"/>
    <s v="December"/>
    <x v="83"/>
    <s v="Personal care and effects"/>
    <n v="140.19999999999999"/>
    <x v="4"/>
  </r>
  <r>
    <s v="Urban"/>
    <n v="2019"/>
    <s v="December"/>
    <x v="83"/>
    <s v="Miscellaneous"/>
    <n v="137.69999999999999"/>
    <x v="8"/>
  </r>
  <r>
    <s v="Urban"/>
    <n v="2019"/>
    <s v="December"/>
    <x v="83"/>
    <s v="General index"/>
    <n v="148.30000000000001"/>
    <x v="9"/>
  </r>
  <r>
    <s v="Rural+Urban"/>
    <n v="2019"/>
    <s v="December"/>
    <x v="83"/>
    <s v="Cereals and products"/>
    <n v="143.5"/>
    <x v="0"/>
  </r>
  <r>
    <s v="Rural+Urban"/>
    <n v="2019"/>
    <s v="December"/>
    <x v="83"/>
    <s v="Meat and fish"/>
    <n v="165"/>
    <x v="0"/>
  </r>
  <r>
    <s v="Rural+Urban"/>
    <n v="2019"/>
    <s v="December"/>
    <x v="83"/>
    <s v="Egg"/>
    <n v="151.1"/>
    <x v="0"/>
  </r>
  <r>
    <s v="Rural+Urban"/>
    <n v="2019"/>
    <s v="December"/>
    <x v="83"/>
    <s v="Milk and products"/>
    <n v="148.30000000000001"/>
    <x v="0"/>
  </r>
  <r>
    <s v="Rural+Urban"/>
    <n v="2019"/>
    <s v="December"/>
    <x v="83"/>
    <s v="Oils and fats"/>
    <n v="125.7"/>
    <x v="0"/>
  </r>
  <r>
    <s v="Rural+Urban"/>
    <n v="2019"/>
    <s v="December"/>
    <x v="83"/>
    <s v="Fruits"/>
    <n v="145.69999999999999"/>
    <x v="0"/>
  </r>
  <r>
    <s v="Rural+Urban"/>
    <n v="2019"/>
    <s v="December"/>
    <x v="83"/>
    <s v="Vegetables"/>
    <n v="217"/>
    <x v="0"/>
  </r>
  <r>
    <s v="Rural+Urban"/>
    <n v="2019"/>
    <s v="December"/>
    <x v="83"/>
    <s v="Pulses and products"/>
    <n v="138.30000000000001"/>
    <x v="0"/>
  </r>
  <r>
    <s v="Rural+Urban"/>
    <n v="2019"/>
    <s v="December"/>
    <x v="83"/>
    <s v="Sugar and Confectionery"/>
    <n v="114"/>
    <x v="0"/>
  </r>
  <r>
    <s v="Rural+Urban"/>
    <n v="2019"/>
    <s v="December"/>
    <x v="83"/>
    <s v="Spices"/>
    <n v="148.69999999999999"/>
    <x v="0"/>
  </r>
  <r>
    <s v="Rural+Urban"/>
    <n v="2019"/>
    <s v="December"/>
    <x v="83"/>
    <s v="Non-alcoholic beverages"/>
    <n v="135.80000000000001"/>
    <x v="0"/>
  </r>
  <r>
    <s v="Rural+Urban"/>
    <n v="2019"/>
    <s v="December"/>
    <x v="83"/>
    <s v="Prepared meals, snacks, sweets etc."/>
    <n v="158"/>
    <x v="0"/>
  </r>
  <r>
    <s v="Rural+Urban"/>
    <n v="2019"/>
    <s v="December"/>
    <x v="83"/>
    <s v="Food and beverages"/>
    <n v="155"/>
    <x v="0"/>
  </r>
  <r>
    <s v="Rural+Urban"/>
    <n v="2019"/>
    <s v="December"/>
    <x v="83"/>
    <s v="Pan, tobacco and intoxicants"/>
    <n v="168.5"/>
    <x v="1"/>
  </r>
  <r>
    <s v="Rural+Urban"/>
    <n v="2019"/>
    <s v="December"/>
    <x v="83"/>
    <s v="Clothing"/>
    <n v="150.30000000000001"/>
    <x v="2"/>
  </r>
  <r>
    <s v="Rural+Urban"/>
    <n v="2019"/>
    <s v="December"/>
    <x v="83"/>
    <s v="Footwear"/>
    <n v="141.30000000000001"/>
    <x v="2"/>
  </r>
  <r>
    <s v="Rural+Urban"/>
    <n v="2019"/>
    <s v="December"/>
    <x v="83"/>
    <s v="Clothing and footwear"/>
    <n v="149"/>
    <x v="2"/>
  </r>
  <r>
    <s v="Rural+Urban"/>
    <n v="2019"/>
    <s v="December"/>
    <x v="83"/>
    <s v="Housing"/>
    <n v="152.80000000000001"/>
    <x v="10"/>
  </r>
  <r>
    <s v="Rural+Urban"/>
    <n v="2019"/>
    <s v="December"/>
    <x v="83"/>
    <s v="Fuel and light"/>
    <n v="143.69999999999999"/>
    <x v="3"/>
  </r>
  <r>
    <s v="Rural+Urban"/>
    <n v="2019"/>
    <s v="December"/>
    <x v="83"/>
    <s v="Household goods and services"/>
    <n v="145.80000000000001"/>
    <x v="4"/>
  </r>
  <r>
    <s v="Rural+Urban"/>
    <n v="2019"/>
    <s v="December"/>
    <x v="83"/>
    <s v="Health"/>
    <n v="150.4"/>
    <x v="5"/>
  </r>
  <r>
    <s v="Rural+Urban"/>
    <n v="2019"/>
    <s v="December"/>
    <x v="83"/>
    <s v="Transport and communication"/>
    <n v="129.80000000000001"/>
    <x v="6"/>
  </r>
  <r>
    <s v="Rural+Urban"/>
    <n v="2019"/>
    <s v="December"/>
    <x v="83"/>
    <s v="Recreation and amusement"/>
    <n v="142.30000000000001"/>
    <x v="1"/>
  </r>
  <r>
    <s v="Rural+Urban"/>
    <n v="2019"/>
    <s v="December"/>
    <x v="83"/>
    <s v="Education"/>
    <n v="155.69999999999999"/>
    <x v="7"/>
  </r>
  <r>
    <s v="Rural+Urban"/>
    <n v="2019"/>
    <s v="December"/>
    <x v="83"/>
    <s v="Personal care and effects"/>
    <n v="140.4"/>
    <x v="4"/>
  </r>
  <r>
    <s v="Rural+Urban"/>
    <n v="2019"/>
    <s v="December"/>
    <x v="83"/>
    <s v="Miscellaneous"/>
    <n v="142.5"/>
    <x v="8"/>
  </r>
  <r>
    <s v="Rural+Urban"/>
    <n v="2019"/>
    <s v="December"/>
    <x v="83"/>
    <s v="General index"/>
    <n v="150.4"/>
    <x v="9"/>
  </r>
  <r>
    <s v="Rural"/>
    <n v="2020"/>
    <s v="January"/>
    <x v="84"/>
    <s v="Cereals and products"/>
    <n v="143.69999999999999"/>
    <x v="0"/>
  </r>
  <r>
    <s v="Rural"/>
    <n v="2020"/>
    <s v="January"/>
    <x v="84"/>
    <s v="Meat and fish"/>
    <n v="167.3"/>
    <x v="0"/>
  </r>
  <r>
    <s v="Rural"/>
    <n v="2020"/>
    <s v="January"/>
    <x v="84"/>
    <s v="Egg"/>
    <n v="153.5"/>
    <x v="0"/>
  </r>
  <r>
    <s v="Rural"/>
    <n v="2020"/>
    <s v="January"/>
    <x v="84"/>
    <s v="Milk and products"/>
    <n v="150.5"/>
    <x v="0"/>
  </r>
  <r>
    <s v="Rural"/>
    <n v="2020"/>
    <s v="January"/>
    <x v="84"/>
    <s v="Oils and fats"/>
    <n v="132"/>
    <x v="0"/>
  </r>
  <r>
    <s v="Rural"/>
    <n v="2020"/>
    <s v="January"/>
    <x v="84"/>
    <s v="Fruits"/>
    <n v="142.19999999999999"/>
    <x v="0"/>
  </r>
  <r>
    <s v="Rural"/>
    <n v="2020"/>
    <s v="January"/>
    <x v="84"/>
    <s v="Vegetables"/>
    <n v="191.5"/>
    <x v="0"/>
  </r>
  <r>
    <s v="Rural"/>
    <n v="2020"/>
    <s v="January"/>
    <x v="84"/>
    <s v="Pulses and products"/>
    <n v="141.1"/>
    <x v="0"/>
  </r>
  <r>
    <s v="Rural"/>
    <n v="2020"/>
    <s v="January"/>
    <x v="84"/>
    <s v="Sugar and Confectionery"/>
    <n v="113.8"/>
    <x v="0"/>
  </r>
  <r>
    <s v="Rural"/>
    <n v="2020"/>
    <s v="January"/>
    <x v="84"/>
    <s v="Spices"/>
    <n v="151.6"/>
    <x v="0"/>
  </r>
  <r>
    <s v="Rural"/>
    <n v="2020"/>
    <s v="January"/>
    <x v="84"/>
    <s v="Non-alcoholic beverages"/>
    <n v="139.69999999999999"/>
    <x v="0"/>
  </r>
  <r>
    <s v="Rural"/>
    <n v="2020"/>
    <s v="January"/>
    <x v="84"/>
    <s v="Prepared meals, snacks, sweets etc."/>
    <n v="158.69999999999999"/>
    <x v="0"/>
  </r>
  <r>
    <s v="Rural"/>
    <n v="2020"/>
    <s v="January"/>
    <x v="84"/>
    <s v="Food and beverages"/>
    <n v="153"/>
    <x v="0"/>
  </r>
  <r>
    <s v="Rural"/>
    <n v="2020"/>
    <s v="January"/>
    <x v="84"/>
    <s v="Pan, tobacco and intoxicants"/>
    <n v="168.6"/>
    <x v="1"/>
  </r>
  <r>
    <s v="Rural"/>
    <n v="2020"/>
    <s v="January"/>
    <x v="84"/>
    <s v="Clothing"/>
    <n v="152.80000000000001"/>
    <x v="2"/>
  </r>
  <r>
    <s v="Rural"/>
    <n v="2020"/>
    <s v="January"/>
    <x v="84"/>
    <s v="Footwear"/>
    <n v="147.4"/>
    <x v="2"/>
  </r>
  <r>
    <s v="Rural"/>
    <n v="2020"/>
    <s v="January"/>
    <x v="84"/>
    <s v="Clothing and footwear"/>
    <n v="152.1"/>
    <x v="2"/>
  </r>
  <r>
    <s v="Rural"/>
    <n v="2020"/>
    <s v="January"/>
    <x v="84"/>
    <s v="Fuel and light"/>
    <n v="150.4"/>
    <x v="3"/>
  </r>
  <r>
    <s v="Rural"/>
    <n v="2020"/>
    <s v="January"/>
    <x v="84"/>
    <s v="Household goods and services"/>
    <n v="151.69999999999999"/>
    <x v="4"/>
  </r>
  <r>
    <s v="Rural"/>
    <n v="2020"/>
    <s v="January"/>
    <x v="84"/>
    <s v="Health"/>
    <n v="155.69999999999999"/>
    <x v="5"/>
  </r>
  <r>
    <s v="Rural"/>
    <n v="2020"/>
    <s v="January"/>
    <x v="84"/>
    <s v="Transport and communication"/>
    <n v="136.30000000000001"/>
    <x v="6"/>
  </r>
  <r>
    <s v="Rural"/>
    <n v="2020"/>
    <s v="January"/>
    <x v="84"/>
    <s v="Recreation and amusement"/>
    <n v="150.1"/>
    <x v="1"/>
  </r>
  <r>
    <s v="Rural"/>
    <n v="2020"/>
    <s v="January"/>
    <x v="84"/>
    <s v="Education"/>
    <n v="161.69999999999999"/>
    <x v="7"/>
  </r>
  <r>
    <s v="Rural"/>
    <n v="2020"/>
    <s v="January"/>
    <x v="84"/>
    <s v="Personal care and effects"/>
    <n v="142.5"/>
    <x v="4"/>
  </r>
  <r>
    <s v="Rural"/>
    <n v="2020"/>
    <s v="January"/>
    <x v="84"/>
    <s v="Miscellaneous"/>
    <n v="148.1"/>
    <x v="8"/>
  </r>
  <r>
    <s v="Rural"/>
    <n v="2020"/>
    <s v="January"/>
    <x v="84"/>
    <s v="General index"/>
    <n v="151.9"/>
    <x v="9"/>
  </r>
  <r>
    <s v="Urban"/>
    <n v="2020"/>
    <s v="January"/>
    <x v="84"/>
    <s v="Cereals and products"/>
    <n v="145.6"/>
    <x v="0"/>
  </r>
  <r>
    <s v="Urban"/>
    <n v="2020"/>
    <s v="January"/>
    <x v="84"/>
    <s v="Meat and fish"/>
    <n v="167.6"/>
    <x v="0"/>
  </r>
  <r>
    <s v="Urban"/>
    <n v="2020"/>
    <s v="January"/>
    <x v="84"/>
    <s v="Egg"/>
    <n v="157"/>
    <x v="0"/>
  </r>
  <r>
    <s v="Urban"/>
    <n v="2020"/>
    <s v="January"/>
    <x v="84"/>
    <s v="Milk and products"/>
    <n v="149.30000000000001"/>
    <x v="0"/>
  </r>
  <r>
    <s v="Urban"/>
    <n v="2020"/>
    <s v="January"/>
    <x v="84"/>
    <s v="Oils and fats"/>
    <n v="126.3"/>
    <x v="0"/>
  </r>
  <r>
    <s v="Urban"/>
    <n v="2020"/>
    <s v="January"/>
    <x v="84"/>
    <s v="Fruits"/>
    <n v="144.4"/>
    <x v="0"/>
  </r>
  <r>
    <s v="Urban"/>
    <n v="2020"/>
    <s v="January"/>
    <x v="84"/>
    <s v="Vegetables"/>
    <n v="207.8"/>
    <x v="0"/>
  </r>
  <r>
    <s v="Urban"/>
    <n v="2020"/>
    <s v="January"/>
    <x v="84"/>
    <s v="Pulses and products"/>
    <n v="139.1"/>
    <x v="0"/>
  </r>
  <r>
    <s v="Urban"/>
    <n v="2020"/>
    <s v="January"/>
    <x v="84"/>
    <s v="Sugar and Confectionery"/>
    <n v="114.8"/>
    <x v="0"/>
  </r>
  <r>
    <s v="Urban"/>
    <n v="2020"/>
    <s v="January"/>
    <x v="84"/>
    <s v="Spices"/>
    <n v="149.5"/>
    <x v="0"/>
  </r>
  <r>
    <s v="Urban"/>
    <n v="2020"/>
    <s v="January"/>
    <x v="84"/>
    <s v="Non-alcoholic beverages"/>
    <n v="131.1"/>
    <x v="0"/>
  </r>
  <r>
    <s v="Urban"/>
    <n v="2020"/>
    <s v="January"/>
    <x v="84"/>
    <s v="Prepared meals, snacks, sweets etc."/>
    <n v="158.5"/>
    <x v="0"/>
  </r>
  <r>
    <s v="Urban"/>
    <n v="2020"/>
    <s v="January"/>
    <x v="84"/>
    <s v="Food and beverages"/>
    <n v="154.4"/>
    <x v="0"/>
  </r>
  <r>
    <s v="Urban"/>
    <n v="2020"/>
    <s v="January"/>
    <x v="84"/>
    <s v="Pan, tobacco and intoxicants"/>
    <n v="170.8"/>
    <x v="1"/>
  </r>
  <r>
    <s v="Urban"/>
    <n v="2020"/>
    <s v="January"/>
    <x v="84"/>
    <s v="Clothing"/>
    <n v="147"/>
    <x v="2"/>
  </r>
  <r>
    <s v="Urban"/>
    <n v="2020"/>
    <s v="January"/>
    <x v="84"/>
    <s v="Footwear"/>
    <n v="133.19999999999999"/>
    <x v="2"/>
  </r>
  <r>
    <s v="Urban"/>
    <n v="2020"/>
    <s v="January"/>
    <x v="84"/>
    <s v="Clothing and footwear"/>
    <n v="144.9"/>
    <x v="2"/>
  </r>
  <r>
    <s v="Urban"/>
    <n v="2020"/>
    <s v="January"/>
    <x v="84"/>
    <s v="Housing"/>
    <n v="153.9"/>
    <x v="10"/>
  </r>
  <r>
    <s v="Urban"/>
    <n v="2020"/>
    <s v="January"/>
    <x v="84"/>
    <s v="Fuel and light"/>
    <n v="135.1"/>
    <x v="3"/>
  </r>
  <r>
    <s v="Urban"/>
    <n v="2020"/>
    <s v="January"/>
    <x v="84"/>
    <s v="Household goods and services"/>
    <n v="140.1"/>
    <x v="4"/>
  </r>
  <r>
    <s v="Urban"/>
    <n v="2020"/>
    <s v="January"/>
    <x v="84"/>
    <s v="Health"/>
    <n v="143.80000000000001"/>
    <x v="5"/>
  </r>
  <r>
    <s v="Urban"/>
    <n v="2020"/>
    <s v="January"/>
    <x v="84"/>
    <s v="Transport and communication"/>
    <n v="126.1"/>
    <x v="6"/>
  </r>
  <r>
    <s v="Urban"/>
    <n v="2020"/>
    <s v="January"/>
    <x v="84"/>
    <s v="Recreation and amusement"/>
    <n v="137.19999999999999"/>
    <x v="1"/>
  </r>
  <r>
    <s v="Urban"/>
    <n v="2020"/>
    <s v="January"/>
    <x v="84"/>
    <s v="Education"/>
    <n v="152.1"/>
    <x v="7"/>
  </r>
  <r>
    <s v="Urban"/>
    <n v="2020"/>
    <s v="January"/>
    <x v="84"/>
    <s v="Personal care and effects"/>
    <n v="142.1"/>
    <x v="4"/>
  </r>
  <r>
    <s v="Urban"/>
    <n v="2020"/>
    <s v="January"/>
    <x v="84"/>
    <s v="Miscellaneous"/>
    <n v="138.4"/>
    <x v="8"/>
  </r>
  <r>
    <s v="Urban"/>
    <n v="2020"/>
    <s v="January"/>
    <x v="84"/>
    <s v="General index"/>
    <n v="148.19999999999999"/>
    <x v="9"/>
  </r>
  <r>
    <s v="Rural+Urban"/>
    <n v="2020"/>
    <s v="January"/>
    <x v="84"/>
    <s v="Cereals and products"/>
    <n v="144.30000000000001"/>
    <x v="0"/>
  </r>
  <r>
    <s v="Rural+Urban"/>
    <n v="2020"/>
    <s v="January"/>
    <x v="84"/>
    <s v="Meat and fish"/>
    <n v="167.4"/>
    <x v="0"/>
  </r>
  <r>
    <s v="Rural+Urban"/>
    <n v="2020"/>
    <s v="January"/>
    <x v="84"/>
    <s v="Egg"/>
    <n v="154.9"/>
    <x v="0"/>
  </r>
  <r>
    <s v="Rural+Urban"/>
    <n v="2020"/>
    <s v="January"/>
    <x v="84"/>
    <s v="Milk and products"/>
    <n v="150.1"/>
    <x v="0"/>
  </r>
  <r>
    <s v="Rural+Urban"/>
    <n v="2020"/>
    <s v="January"/>
    <x v="84"/>
    <s v="Oils and fats"/>
    <n v="129.9"/>
    <x v="0"/>
  </r>
  <r>
    <s v="Rural+Urban"/>
    <n v="2020"/>
    <s v="January"/>
    <x v="84"/>
    <s v="Fruits"/>
    <n v="143.19999999999999"/>
    <x v="0"/>
  </r>
  <r>
    <s v="Rural+Urban"/>
    <n v="2020"/>
    <s v="January"/>
    <x v="84"/>
    <s v="Vegetables"/>
    <n v="197"/>
    <x v="0"/>
  </r>
  <r>
    <s v="Rural+Urban"/>
    <n v="2020"/>
    <s v="January"/>
    <x v="84"/>
    <s v="Pulses and products"/>
    <n v="140.4"/>
    <x v="0"/>
  </r>
  <r>
    <s v="Rural+Urban"/>
    <n v="2020"/>
    <s v="January"/>
    <x v="84"/>
    <s v="Sugar and Confectionery"/>
    <n v="114.1"/>
    <x v="0"/>
  </r>
  <r>
    <s v="Rural+Urban"/>
    <n v="2020"/>
    <s v="January"/>
    <x v="84"/>
    <s v="Spices"/>
    <n v="150.9"/>
    <x v="0"/>
  </r>
  <r>
    <s v="Rural+Urban"/>
    <n v="2020"/>
    <s v="January"/>
    <x v="84"/>
    <s v="Non-alcoholic beverages"/>
    <n v="136.1"/>
    <x v="0"/>
  </r>
  <r>
    <s v="Rural+Urban"/>
    <n v="2020"/>
    <s v="January"/>
    <x v="84"/>
    <s v="Prepared meals, snacks, sweets etc."/>
    <n v="158.6"/>
    <x v="0"/>
  </r>
  <r>
    <s v="Rural+Urban"/>
    <n v="2020"/>
    <s v="January"/>
    <x v="84"/>
    <s v="Food and beverages"/>
    <n v="153.5"/>
    <x v="0"/>
  </r>
  <r>
    <s v="Rural+Urban"/>
    <n v="2020"/>
    <s v="January"/>
    <x v="84"/>
    <s v="Pan, tobacco and intoxicants"/>
    <n v="169.2"/>
    <x v="1"/>
  </r>
  <r>
    <s v="Rural+Urban"/>
    <n v="2020"/>
    <s v="January"/>
    <x v="84"/>
    <s v="Clothing"/>
    <n v="150.5"/>
    <x v="2"/>
  </r>
  <r>
    <s v="Rural+Urban"/>
    <n v="2020"/>
    <s v="January"/>
    <x v="84"/>
    <s v="Footwear"/>
    <n v="141.5"/>
    <x v="2"/>
  </r>
  <r>
    <s v="Rural+Urban"/>
    <n v="2020"/>
    <s v="January"/>
    <x v="84"/>
    <s v="Clothing and footwear"/>
    <n v="149.19999999999999"/>
    <x v="2"/>
  </r>
  <r>
    <s v="Rural+Urban"/>
    <n v="2020"/>
    <s v="January"/>
    <x v="84"/>
    <s v="Housing"/>
    <n v="153.9"/>
    <x v="10"/>
  </r>
  <r>
    <s v="Rural+Urban"/>
    <n v="2020"/>
    <s v="January"/>
    <x v="84"/>
    <s v="Fuel and light"/>
    <n v="144.6"/>
    <x v="3"/>
  </r>
  <r>
    <s v="Rural+Urban"/>
    <n v="2020"/>
    <s v="January"/>
    <x v="84"/>
    <s v="Household goods and services"/>
    <n v="146.19999999999999"/>
    <x v="4"/>
  </r>
  <r>
    <s v="Rural+Urban"/>
    <n v="2020"/>
    <s v="January"/>
    <x v="84"/>
    <s v="Health"/>
    <n v="151.19999999999999"/>
    <x v="5"/>
  </r>
  <r>
    <s v="Rural+Urban"/>
    <n v="2020"/>
    <s v="January"/>
    <x v="84"/>
    <s v="Transport and communication"/>
    <n v="130.9"/>
    <x v="6"/>
  </r>
  <r>
    <s v="Rural+Urban"/>
    <n v="2020"/>
    <s v="January"/>
    <x v="84"/>
    <s v="Recreation and amusement"/>
    <n v="142.80000000000001"/>
    <x v="1"/>
  </r>
  <r>
    <s v="Rural+Urban"/>
    <n v="2020"/>
    <s v="January"/>
    <x v="84"/>
    <s v="Education"/>
    <n v="156.1"/>
    <x v="7"/>
  </r>
  <r>
    <s v="Rural+Urban"/>
    <n v="2020"/>
    <s v="January"/>
    <x v="84"/>
    <s v="Personal care and effects"/>
    <n v="142.30000000000001"/>
    <x v="4"/>
  </r>
  <r>
    <s v="Rural+Urban"/>
    <n v="2020"/>
    <s v="January"/>
    <x v="84"/>
    <s v="Miscellaneous"/>
    <n v="143.4"/>
    <x v="8"/>
  </r>
  <r>
    <s v="Rural+Urban"/>
    <n v="2020"/>
    <s v="January"/>
    <x v="84"/>
    <s v="General index"/>
    <n v="150.19999999999999"/>
    <x v="9"/>
  </r>
  <r>
    <s v="Rural"/>
    <n v="2020"/>
    <s v="February"/>
    <x v="85"/>
    <s v="Cereals and products"/>
    <n v="144.19999999999999"/>
    <x v="0"/>
  </r>
  <r>
    <s v="Rural"/>
    <n v="2020"/>
    <s v="February"/>
    <x v="85"/>
    <s v="Meat and fish"/>
    <n v="167.5"/>
    <x v="0"/>
  </r>
  <r>
    <s v="Rural"/>
    <n v="2020"/>
    <s v="February"/>
    <x v="85"/>
    <s v="Egg"/>
    <n v="150.9"/>
    <x v="0"/>
  </r>
  <r>
    <s v="Rural"/>
    <n v="2020"/>
    <s v="February"/>
    <x v="85"/>
    <s v="Milk and products"/>
    <n v="150.9"/>
    <x v="0"/>
  </r>
  <r>
    <s v="Rural"/>
    <n v="2020"/>
    <s v="February"/>
    <x v="85"/>
    <s v="Oils and fats"/>
    <n v="133.69999999999999"/>
    <x v="0"/>
  </r>
  <r>
    <s v="Rural"/>
    <n v="2020"/>
    <s v="February"/>
    <x v="85"/>
    <s v="Fruits"/>
    <n v="140.69999999999999"/>
    <x v="0"/>
  </r>
  <r>
    <s v="Rural"/>
    <n v="2020"/>
    <s v="February"/>
    <x v="85"/>
    <s v="Vegetables"/>
    <n v="165.1"/>
    <x v="0"/>
  </r>
  <r>
    <s v="Rural"/>
    <n v="2020"/>
    <s v="February"/>
    <x v="85"/>
    <s v="Pulses and products"/>
    <n v="141.80000000000001"/>
    <x v="0"/>
  </r>
  <r>
    <s v="Rural"/>
    <n v="2020"/>
    <s v="February"/>
    <x v="85"/>
    <s v="Sugar and Confectionery"/>
    <n v="113.1"/>
    <x v="0"/>
  </r>
  <r>
    <s v="Rural"/>
    <n v="2020"/>
    <s v="February"/>
    <x v="85"/>
    <s v="Spices"/>
    <n v="152.80000000000001"/>
    <x v="0"/>
  </r>
  <r>
    <s v="Rural"/>
    <n v="2020"/>
    <s v="February"/>
    <x v="85"/>
    <s v="Non-alcoholic beverages"/>
    <n v="140.1"/>
    <x v="0"/>
  </r>
  <r>
    <s v="Rural"/>
    <n v="2020"/>
    <s v="February"/>
    <x v="85"/>
    <s v="Prepared meals, snacks, sweets etc."/>
    <n v="159.19999999999999"/>
    <x v="0"/>
  </r>
  <r>
    <s v="Rural"/>
    <n v="2020"/>
    <s v="February"/>
    <x v="85"/>
    <s v="Food and beverages"/>
    <n v="149.80000000000001"/>
    <x v="0"/>
  </r>
  <r>
    <s v="Rural"/>
    <n v="2020"/>
    <s v="February"/>
    <x v="85"/>
    <s v="Pan, tobacco and intoxicants"/>
    <n v="169.4"/>
    <x v="1"/>
  </r>
  <r>
    <s v="Rural"/>
    <n v="2020"/>
    <s v="February"/>
    <x v="85"/>
    <s v="Clothing"/>
    <n v="153"/>
    <x v="2"/>
  </r>
  <r>
    <s v="Rural"/>
    <n v="2020"/>
    <s v="February"/>
    <x v="85"/>
    <s v="Footwear"/>
    <n v="147.5"/>
    <x v="2"/>
  </r>
  <r>
    <s v="Rural"/>
    <n v="2020"/>
    <s v="February"/>
    <x v="85"/>
    <s v="Clothing and footwear"/>
    <n v="152.30000000000001"/>
    <x v="2"/>
  </r>
  <r>
    <s v="Rural"/>
    <n v="2020"/>
    <s v="February"/>
    <x v="85"/>
    <s v="Fuel and light"/>
    <n v="152.30000000000001"/>
    <x v="3"/>
  </r>
  <r>
    <s v="Rural"/>
    <n v="2020"/>
    <s v="February"/>
    <x v="85"/>
    <s v="Household goods and services"/>
    <n v="151.80000000000001"/>
    <x v="4"/>
  </r>
  <r>
    <s v="Rural"/>
    <n v="2020"/>
    <s v="February"/>
    <x v="85"/>
    <s v="Health"/>
    <n v="156.19999999999999"/>
    <x v="5"/>
  </r>
  <r>
    <s v="Rural"/>
    <n v="2020"/>
    <s v="February"/>
    <x v="85"/>
    <s v="Transport and communication"/>
    <n v="136"/>
    <x v="6"/>
  </r>
  <r>
    <s v="Rural"/>
    <n v="2020"/>
    <s v="February"/>
    <x v="85"/>
    <s v="Recreation and amusement"/>
    <n v="150.4"/>
    <x v="1"/>
  </r>
  <r>
    <s v="Rural"/>
    <n v="2020"/>
    <s v="February"/>
    <x v="85"/>
    <s v="Education"/>
    <n v="161.9"/>
    <x v="7"/>
  </r>
  <r>
    <s v="Rural"/>
    <n v="2020"/>
    <s v="February"/>
    <x v="85"/>
    <s v="Personal care and effects"/>
    <n v="143.4"/>
    <x v="4"/>
  </r>
  <r>
    <s v="Rural"/>
    <n v="2020"/>
    <s v="February"/>
    <x v="85"/>
    <s v="Miscellaneous"/>
    <n v="148.4"/>
    <x v="8"/>
  </r>
  <r>
    <s v="Rural"/>
    <n v="2020"/>
    <s v="February"/>
    <x v="85"/>
    <s v="General index"/>
    <n v="150.4"/>
    <x v="9"/>
  </r>
  <r>
    <s v="Urban"/>
    <n v="2020"/>
    <s v="February"/>
    <x v="85"/>
    <s v="Cereals and products"/>
    <n v="146.19999999999999"/>
    <x v="0"/>
  </r>
  <r>
    <s v="Urban"/>
    <n v="2020"/>
    <s v="February"/>
    <x v="85"/>
    <s v="Meat and fish"/>
    <n v="167.6"/>
    <x v="0"/>
  </r>
  <r>
    <s v="Urban"/>
    <n v="2020"/>
    <s v="February"/>
    <x v="85"/>
    <s v="Egg"/>
    <n v="153.1"/>
    <x v="0"/>
  </r>
  <r>
    <s v="Urban"/>
    <n v="2020"/>
    <s v="February"/>
    <x v="85"/>
    <s v="Milk and products"/>
    <n v="150.69999999999999"/>
    <x v="0"/>
  </r>
  <r>
    <s v="Urban"/>
    <n v="2020"/>
    <s v="February"/>
    <x v="85"/>
    <s v="Oils and fats"/>
    <n v="127.4"/>
    <x v="0"/>
  </r>
  <r>
    <s v="Urban"/>
    <n v="2020"/>
    <s v="February"/>
    <x v="85"/>
    <s v="Fruits"/>
    <n v="143.1"/>
    <x v="0"/>
  </r>
  <r>
    <s v="Urban"/>
    <n v="2020"/>
    <s v="February"/>
    <x v="85"/>
    <s v="Vegetables"/>
    <n v="181.7"/>
    <x v="0"/>
  </r>
  <r>
    <s v="Urban"/>
    <n v="2020"/>
    <s v="February"/>
    <x v="85"/>
    <s v="Pulses and products"/>
    <n v="139.6"/>
    <x v="0"/>
  </r>
  <r>
    <s v="Urban"/>
    <n v="2020"/>
    <s v="February"/>
    <x v="85"/>
    <s v="Sugar and Confectionery"/>
    <n v="114.6"/>
    <x v="0"/>
  </r>
  <r>
    <s v="Urban"/>
    <n v="2020"/>
    <s v="February"/>
    <x v="85"/>
    <s v="Spices"/>
    <n v="150.4"/>
    <x v="0"/>
  </r>
  <r>
    <s v="Urban"/>
    <n v="2020"/>
    <s v="February"/>
    <x v="85"/>
    <s v="Non-alcoholic beverages"/>
    <n v="131.5"/>
    <x v="0"/>
  </r>
  <r>
    <s v="Urban"/>
    <n v="2020"/>
    <s v="February"/>
    <x v="85"/>
    <s v="Prepared meals, snacks, sweets etc."/>
    <n v="159"/>
    <x v="0"/>
  </r>
  <r>
    <s v="Urban"/>
    <n v="2020"/>
    <s v="February"/>
    <x v="85"/>
    <s v="Food and beverages"/>
    <n v="151.69999999999999"/>
    <x v="0"/>
  </r>
  <r>
    <s v="Urban"/>
    <n v="2020"/>
    <s v="February"/>
    <x v="85"/>
    <s v="Pan, tobacco and intoxicants"/>
    <n v="172"/>
    <x v="1"/>
  </r>
  <r>
    <s v="Urban"/>
    <n v="2020"/>
    <s v="February"/>
    <x v="85"/>
    <s v="Clothing"/>
    <n v="147.30000000000001"/>
    <x v="2"/>
  </r>
  <r>
    <s v="Urban"/>
    <n v="2020"/>
    <s v="February"/>
    <x v="85"/>
    <s v="Footwear"/>
    <n v="133.5"/>
    <x v="2"/>
  </r>
  <r>
    <s v="Urban"/>
    <n v="2020"/>
    <s v="February"/>
    <x v="85"/>
    <s v="Clothing and footwear"/>
    <n v="145.19999999999999"/>
    <x v="2"/>
  </r>
  <r>
    <s v="Urban"/>
    <n v="2020"/>
    <s v="February"/>
    <x v="85"/>
    <s v="Housing"/>
    <n v="154.80000000000001"/>
    <x v="10"/>
  </r>
  <r>
    <s v="Urban"/>
    <n v="2020"/>
    <s v="February"/>
    <x v="85"/>
    <s v="Fuel and light"/>
    <n v="138.9"/>
    <x v="3"/>
  </r>
  <r>
    <s v="Urban"/>
    <n v="2020"/>
    <s v="February"/>
    <x v="85"/>
    <s v="Household goods and services"/>
    <n v="140.4"/>
    <x v="4"/>
  </r>
  <r>
    <s v="Urban"/>
    <n v="2020"/>
    <s v="February"/>
    <x v="85"/>
    <s v="Health"/>
    <n v="144.4"/>
    <x v="5"/>
  </r>
  <r>
    <s v="Urban"/>
    <n v="2020"/>
    <s v="February"/>
    <x v="85"/>
    <s v="Transport and communication"/>
    <n v="125.2"/>
    <x v="6"/>
  </r>
  <r>
    <s v="Urban"/>
    <n v="2020"/>
    <s v="February"/>
    <x v="85"/>
    <s v="Recreation and amusement"/>
    <n v="137.69999999999999"/>
    <x v="1"/>
  </r>
  <r>
    <s v="Urban"/>
    <n v="2020"/>
    <s v="February"/>
    <x v="85"/>
    <s v="Education"/>
    <n v="152.19999999999999"/>
    <x v="7"/>
  </r>
  <r>
    <s v="Urban"/>
    <n v="2020"/>
    <s v="February"/>
    <x v="85"/>
    <s v="Personal care and effects"/>
    <n v="143.5"/>
    <x v="4"/>
  </r>
  <r>
    <s v="Urban"/>
    <n v="2020"/>
    <s v="February"/>
    <x v="85"/>
    <s v="Miscellaneous"/>
    <n v="138.4"/>
    <x v="8"/>
  </r>
  <r>
    <s v="Urban"/>
    <n v="2020"/>
    <s v="February"/>
    <x v="85"/>
    <s v="General index"/>
    <n v="147.69999999999999"/>
    <x v="9"/>
  </r>
  <r>
    <s v="Rural+Urban"/>
    <n v="2020"/>
    <s v="February"/>
    <x v="85"/>
    <s v="Cereals and products"/>
    <n v="144.80000000000001"/>
    <x v="0"/>
  </r>
  <r>
    <s v="Rural+Urban"/>
    <n v="2020"/>
    <s v="February"/>
    <x v="85"/>
    <s v="Meat and fish"/>
    <n v="167.5"/>
    <x v="0"/>
  </r>
  <r>
    <s v="Rural+Urban"/>
    <n v="2020"/>
    <s v="February"/>
    <x v="85"/>
    <s v="Egg"/>
    <n v="151.80000000000001"/>
    <x v="0"/>
  </r>
  <r>
    <s v="Rural+Urban"/>
    <n v="2020"/>
    <s v="February"/>
    <x v="85"/>
    <s v="Milk and products"/>
    <n v="150.80000000000001"/>
    <x v="0"/>
  </r>
  <r>
    <s v="Rural+Urban"/>
    <n v="2020"/>
    <s v="February"/>
    <x v="85"/>
    <s v="Oils and fats"/>
    <n v="131.4"/>
    <x v="0"/>
  </r>
  <r>
    <s v="Rural+Urban"/>
    <n v="2020"/>
    <s v="February"/>
    <x v="85"/>
    <s v="Fruits"/>
    <n v="141.80000000000001"/>
    <x v="0"/>
  </r>
  <r>
    <s v="Rural+Urban"/>
    <n v="2020"/>
    <s v="February"/>
    <x v="85"/>
    <s v="Vegetables"/>
    <n v="170.7"/>
    <x v="0"/>
  </r>
  <r>
    <s v="Rural+Urban"/>
    <n v="2020"/>
    <s v="February"/>
    <x v="85"/>
    <s v="Pulses and products"/>
    <n v="141.1"/>
    <x v="0"/>
  </r>
  <r>
    <s v="Rural+Urban"/>
    <n v="2020"/>
    <s v="February"/>
    <x v="85"/>
    <s v="Sugar and Confectionery"/>
    <n v="113.6"/>
    <x v="0"/>
  </r>
  <r>
    <s v="Rural+Urban"/>
    <n v="2020"/>
    <s v="February"/>
    <x v="85"/>
    <s v="Spices"/>
    <n v="152"/>
    <x v="0"/>
  </r>
  <r>
    <s v="Rural+Urban"/>
    <n v="2020"/>
    <s v="February"/>
    <x v="85"/>
    <s v="Non-alcoholic beverages"/>
    <n v="136.5"/>
    <x v="0"/>
  </r>
  <r>
    <s v="Rural+Urban"/>
    <n v="2020"/>
    <s v="February"/>
    <x v="85"/>
    <s v="Prepared meals, snacks, sweets etc."/>
    <n v="159.1"/>
    <x v="0"/>
  </r>
  <r>
    <s v="Rural+Urban"/>
    <n v="2020"/>
    <s v="February"/>
    <x v="85"/>
    <s v="Food and beverages"/>
    <n v="150.5"/>
    <x v="0"/>
  </r>
  <r>
    <s v="Rural+Urban"/>
    <n v="2020"/>
    <s v="February"/>
    <x v="85"/>
    <s v="Pan, tobacco and intoxicants"/>
    <n v="170.1"/>
    <x v="1"/>
  </r>
  <r>
    <s v="Rural+Urban"/>
    <n v="2020"/>
    <s v="February"/>
    <x v="85"/>
    <s v="Clothing"/>
    <n v="150.80000000000001"/>
    <x v="2"/>
  </r>
  <r>
    <s v="Rural+Urban"/>
    <n v="2020"/>
    <s v="February"/>
    <x v="85"/>
    <s v="Footwear"/>
    <n v="141.69999999999999"/>
    <x v="2"/>
  </r>
  <r>
    <s v="Rural+Urban"/>
    <n v="2020"/>
    <s v="February"/>
    <x v="85"/>
    <s v="Clothing and footwear"/>
    <n v="149.5"/>
    <x v="2"/>
  </r>
  <r>
    <s v="Rural+Urban"/>
    <n v="2020"/>
    <s v="February"/>
    <x v="85"/>
    <s v="Housing"/>
    <n v="154.80000000000001"/>
    <x v="10"/>
  </r>
  <r>
    <s v="Rural+Urban"/>
    <n v="2020"/>
    <s v="February"/>
    <x v="85"/>
    <s v="Fuel and light"/>
    <n v="147.19999999999999"/>
    <x v="3"/>
  </r>
  <r>
    <s v="Rural+Urban"/>
    <n v="2020"/>
    <s v="February"/>
    <x v="85"/>
    <s v="Household goods and services"/>
    <n v="146.4"/>
    <x v="4"/>
  </r>
  <r>
    <s v="Rural+Urban"/>
    <n v="2020"/>
    <s v="February"/>
    <x v="85"/>
    <s v="Health"/>
    <n v="151.69999999999999"/>
    <x v="5"/>
  </r>
  <r>
    <s v="Rural+Urban"/>
    <n v="2020"/>
    <s v="February"/>
    <x v="85"/>
    <s v="Transport and communication"/>
    <n v="130.30000000000001"/>
    <x v="6"/>
  </r>
  <r>
    <s v="Rural+Urban"/>
    <n v="2020"/>
    <s v="February"/>
    <x v="85"/>
    <s v="Recreation and amusement"/>
    <n v="143.19999999999999"/>
    <x v="1"/>
  </r>
  <r>
    <s v="Rural+Urban"/>
    <n v="2020"/>
    <s v="February"/>
    <x v="85"/>
    <s v="Education"/>
    <n v="156.19999999999999"/>
    <x v="7"/>
  </r>
  <r>
    <s v="Rural+Urban"/>
    <n v="2020"/>
    <s v="February"/>
    <x v="85"/>
    <s v="Personal care and effects"/>
    <n v="143.4"/>
    <x v="4"/>
  </r>
  <r>
    <s v="Rural+Urban"/>
    <n v="2020"/>
    <s v="February"/>
    <x v="85"/>
    <s v="Miscellaneous"/>
    <n v="143.6"/>
    <x v="8"/>
  </r>
  <r>
    <s v="Rural+Urban"/>
    <n v="2020"/>
    <s v="February"/>
    <x v="85"/>
    <s v="General index"/>
    <n v="149.1"/>
    <x v="9"/>
  </r>
  <r>
    <s v="Rural"/>
    <n v="2020"/>
    <s v="March"/>
    <x v="86"/>
    <s v="Cereals and products"/>
    <n v="144.4"/>
    <x v="0"/>
  </r>
  <r>
    <s v="Rural"/>
    <n v="2020"/>
    <s v="March"/>
    <x v="86"/>
    <s v="Meat and fish"/>
    <n v="166.8"/>
    <x v="0"/>
  </r>
  <r>
    <s v="Rural"/>
    <n v="2020"/>
    <s v="March"/>
    <x v="86"/>
    <s v="Egg"/>
    <n v="147.6"/>
    <x v="0"/>
  </r>
  <r>
    <s v="Rural"/>
    <n v="2020"/>
    <s v="March"/>
    <x v="86"/>
    <s v="Milk and products"/>
    <n v="151.69999999999999"/>
    <x v="0"/>
  </r>
  <r>
    <s v="Rural"/>
    <n v="2020"/>
    <s v="March"/>
    <x v="86"/>
    <s v="Oils and fats"/>
    <n v="133.30000000000001"/>
    <x v="0"/>
  </r>
  <r>
    <s v="Rural"/>
    <n v="2020"/>
    <s v="March"/>
    <x v="86"/>
    <s v="Fruits"/>
    <n v="141.80000000000001"/>
    <x v="0"/>
  </r>
  <r>
    <s v="Rural"/>
    <n v="2020"/>
    <s v="March"/>
    <x v="86"/>
    <s v="Vegetables"/>
    <n v="152.30000000000001"/>
    <x v="0"/>
  </r>
  <r>
    <s v="Rural"/>
    <n v="2020"/>
    <s v="March"/>
    <x v="86"/>
    <s v="Pulses and products"/>
    <n v="141.80000000000001"/>
    <x v="0"/>
  </r>
  <r>
    <s v="Rural"/>
    <n v="2020"/>
    <s v="March"/>
    <x v="86"/>
    <s v="Sugar and Confectionery"/>
    <n v="112.6"/>
    <x v="0"/>
  </r>
  <r>
    <s v="Rural"/>
    <n v="2020"/>
    <s v="March"/>
    <x v="86"/>
    <s v="Spices"/>
    <n v="154"/>
    <x v="0"/>
  </r>
  <r>
    <s v="Rural"/>
    <n v="2020"/>
    <s v="March"/>
    <x v="86"/>
    <s v="Non-alcoholic beverages"/>
    <n v="140.1"/>
    <x v="0"/>
  </r>
  <r>
    <s v="Rural"/>
    <n v="2020"/>
    <s v="March"/>
    <x v="86"/>
    <s v="Prepared meals, snacks, sweets etc."/>
    <n v="160"/>
    <x v="0"/>
  </r>
  <r>
    <s v="Rural"/>
    <n v="2020"/>
    <s v="March"/>
    <x v="86"/>
    <s v="Food and beverages"/>
    <n v="148.19999999999999"/>
    <x v="0"/>
  </r>
  <r>
    <s v="Rural"/>
    <n v="2020"/>
    <s v="March"/>
    <x v="86"/>
    <s v="Pan, tobacco and intoxicants"/>
    <n v="170.5"/>
    <x v="1"/>
  </r>
  <r>
    <s v="Rural"/>
    <n v="2020"/>
    <s v="March"/>
    <x v="86"/>
    <s v="Clothing"/>
    <n v="153.4"/>
    <x v="2"/>
  </r>
  <r>
    <s v="Rural"/>
    <n v="2020"/>
    <s v="March"/>
    <x v="86"/>
    <s v="Footwear"/>
    <n v="147.6"/>
    <x v="2"/>
  </r>
  <r>
    <s v="Rural"/>
    <n v="2020"/>
    <s v="March"/>
    <x v="86"/>
    <s v="Clothing and footwear"/>
    <n v="152.5"/>
    <x v="2"/>
  </r>
  <r>
    <s v="Rural"/>
    <n v="2020"/>
    <s v="March"/>
    <x v="86"/>
    <s v="Fuel and light"/>
    <n v="153.4"/>
    <x v="3"/>
  </r>
  <r>
    <s v="Rural"/>
    <n v="2020"/>
    <s v="March"/>
    <x v="86"/>
    <s v="Household goods and services"/>
    <n v="151.5"/>
    <x v="4"/>
  </r>
  <r>
    <s v="Rural"/>
    <n v="2020"/>
    <s v="March"/>
    <x v="86"/>
    <s v="Health"/>
    <n v="156.69999999999999"/>
    <x v="5"/>
  </r>
  <r>
    <s v="Rural"/>
    <n v="2020"/>
    <s v="March"/>
    <x v="86"/>
    <s v="Transport and communication"/>
    <n v="135.80000000000001"/>
    <x v="6"/>
  </r>
  <r>
    <s v="Rural"/>
    <n v="2020"/>
    <s v="March"/>
    <x v="86"/>
    <s v="Recreation and amusement"/>
    <n v="151.19999999999999"/>
    <x v="1"/>
  </r>
  <r>
    <s v="Rural"/>
    <n v="2020"/>
    <s v="March"/>
    <x v="86"/>
    <s v="Education"/>
    <n v="161.19999999999999"/>
    <x v="7"/>
  </r>
  <r>
    <s v="Rural"/>
    <n v="2020"/>
    <s v="March"/>
    <x v="86"/>
    <s v="Personal care and effects"/>
    <n v="145.1"/>
    <x v="4"/>
  </r>
  <r>
    <s v="Rural"/>
    <n v="2020"/>
    <s v="March"/>
    <x v="86"/>
    <s v="Miscellaneous"/>
    <n v="148.6"/>
    <x v="8"/>
  </r>
  <r>
    <s v="Rural"/>
    <n v="2020"/>
    <s v="March"/>
    <x v="86"/>
    <s v="General index"/>
    <n v="149.80000000000001"/>
    <x v="9"/>
  </r>
  <r>
    <s v="Urban"/>
    <n v="2020"/>
    <s v="March"/>
    <x v="86"/>
    <s v="Cereals and products"/>
    <n v="146.5"/>
    <x v="0"/>
  </r>
  <r>
    <s v="Urban"/>
    <n v="2020"/>
    <s v="March"/>
    <x v="86"/>
    <s v="Meat and fish"/>
    <n v="167.5"/>
    <x v="0"/>
  </r>
  <r>
    <s v="Urban"/>
    <n v="2020"/>
    <s v="March"/>
    <x v="86"/>
    <s v="Egg"/>
    <n v="148.9"/>
    <x v="0"/>
  </r>
  <r>
    <s v="Urban"/>
    <n v="2020"/>
    <s v="March"/>
    <x v="86"/>
    <s v="Milk and products"/>
    <n v="151.1"/>
    <x v="0"/>
  </r>
  <r>
    <s v="Urban"/>
    <n v="2020"/>
    <s v="March"/>
    <x v="86"/>
    <s v="Oils and fats"/>
    <n v="127.5"/>
    <x v="0"/>
  </r>
  <r>
    <s v="Urban"/>
    <n v="2020"/>
    <s v="March"/>
    <x v="86"/>
    <s v="Fruits"/>
    <n v="143.30000000000001"/>
    <x v="0"/>
  </r>
  <r>
    <s v="Urban"/>
    <n v="2020"/>
    <s v="March"/>
    <x v="86"/>
    <s v="Vegetables"/>
    <n v="167"/>
    <x v="0"/>
  </r>
  <r>
    <s v="Urban"/>
    <n v="2020"/>
    <s v="March"/>
    <x v="86"/>
    <s v="Pulses and products"/>
    <n v="139.69999999999999"/>
    <x v="0"/>
  </r>
  <r>
    <s v="Urban"/>
    <n v="2020"/>
    <s v="March"/>
    <x v="86"/>
    <s v="Sugar and Confectionery"/>
    <n v="114.4"/>
    <x v="0"/>
  </r>
  <r>
    <s v="Urban"/>
    <n v="2020"/>
    <s v="March"/>
    <x v="86"/>
    <s v="Spices"/>
    <n v="151.5"/>
    <x v="0"/>
  </r>
  <r>
    <s v="Urban"/>
    <n v="2020"/>
    <s v="March"/>
    <x v="86"/>
    <s v="Non-alcoholic beverages"/>
    <n v="131.9"/>
    <x v="0"/>
  </r>
  <r>
    <s v="Urban"/>
    <n v="2020"/>
    <s v="March"/>
    <x v="86"/>
    <s v="Prepared meals, snacks, sweets etc."/>
    <n v="159.1"/>
    <x v="0"/>
  </r>
  <r>
    <s v="Urban"/>
    <n v="2020"/>
    <s v="March"/>
    <x v="86"/>
    <s v="Food and beverages"/>
    <n v="150.1"/>
    <x v="0"/>
  </r>
  <r>
    <s v="Urban"/>
    <n v="2020"/>
    <s v="March"/>
    <x v="86"/>
    <s v="Pan, tobacco and intoxicants"/>
    <n v="173.3"/>
    <x v="1"/>
  </r>
  <r>
    <s v="Urban"/>
    <n v="2020"/>
    <s v="March"/>
    <x v="86"/>
    <s v="Clothing"/>
    <n v="147.69999999999999"/>
    <x v="2"/>
  </r>
  <r>
    <s v="Urban"/>
    <n v="2020"/>
    <s v="March"/>
    <x v="86"/>
    <s v="Footwear"/>
    <n v="133.80000000000001"/>
    <x v="2"/>
  </r>
  <r>
    <s v="Urban"/>
    <n v="2020"/>
    <s v="March"/>
    <x v="86"/>
    <s v="Clothing and footwear"/>
    <n v="145.6"/>
    <x v="2"/>
  </r>
  <r>
    <s v="Urban"/>
    <n v="2020"/>
    <s v="March"/>
    <x v="86"/>
    <s v="Housing"/>
    <n v="154.5"/>
    <x v="10"/>
  </r>
  <r>
    <s v="Urban"/>
    <n v="2020"/>
    <s v="March"/>
    <x v="86"/>
    <s v="Fuel and light"/>
    <n v="141.4"/>
    <x v="3"/>
  </r>
  <r>
    <s v="Urban"/>
    <n v="2020"/>
    <s v="March"/>
    <x v="86"/>
    <s v="Household goods and services"/>
    <n v="140.80000000000001"/>
    <x v="4"/>
  </r>
  <r>
    <s v="Urban"/>
    <n v="2020"/>
    <s v="March"/>
    <x v="86"/>
    <s v="Health"/>
    <n v="145"/>
    <x v="5"/>
  </r>
  <r>
    <s v="Urban"/>
    <n v="2020"/>
    <s v="March"/>
    <x v="86"/>
    <s v="Transport and communication"/>
    <n v="124.6"/>
    <x v="6"/>
  </r>
  <r>
    <s v="Urban"/>
    <n v="2020"/>
    <s v="March"/>
    <x v="86"/>
    <s v="Recreation and amusement"/>
    <n v="137.9"/>
    <x v="1"/>
  </r>
  <r>
    <s v="Urban"/>
    <n v="2020"/>
    <s v="March"/>
    <x v="86"/>
    <s v="Education"/>
    <n v="152.5"/>
    <x v="7"/>
  </r>
  <r>
    <s v="Urban"/>
    <n v="2020"/>
    <s v="March"/>
    <x v="86"/>
    <s v="Personal care and effects"/>
    <n v="145.30000000000001"/>
    <x v="4"/>
  </r>
  <r>
    <s v="Urban"/>
    <n v="2020"/>
    <s v="March"/>
    <x v="86"/>
    <s v="Miscellaneous"/>
    <n v="138.69999999999999"/>
    <x v="8"/>
  </r>
  <r>
    <s v="Urban"/>
    <n v="2020"/>
    <s v="March"/>
    <x v="86"/>
    <s v="General index"/>
    <n v="147.30000000000001"/>
    <x v="9"/>
  </r>
  <r>
    <s v="Rural+Urban"/>
    <n v="2020"/>
    <s v="March"/>
    <x v="86"/>
    <s v="Cereals and products"/>
    <n v="145.1"/>
    <x v="0"/>
  </r>
  <r>
    <s v="Rural+Urban"/>
    <n v="2020"/>
    <s v="March"/>
    <x v="86"/>
    <s v="Meat and fish"/>
    <n v="167"/>
    <x v="0"/>
  </r>
  <r>
    <s v="Rural+Urban"/>
    <n v="2020"/>
    <s v="March"/>
    <x v="86"/>
    <s v="Egg"/>
    <n v="148.1"/>
    <x v="0"/>
  </r>
  <r>
    <s v="Rural+Urban"/>
    <n v="2020"/>
    <s v="March"/>
    <x v="86"/>
    <s v="Milk and products"/>
    <n v="151.5"/>
    <x v="0"/>
  </r>
  <r>
    <s v="Rural+Urban"/>
    <n v="2020"/>
    <s v="March"/>
    <x v="86"/>
    <s v="Oils and fats"/>
    <n v="131.19999999999999"/>
    <x v="0"/>
  </r>
  <r>
    <s v="Rural+Urban"/>
    <n v="2020"/>
    <s v="March"/>
    <x v="86"/>
    <s v="Fruits"/>
    <n v="142.5"/>
    <x v="0"/>
  </r>
  <r>
    <s v="Rural+Urban"/>
    <n v="2020"/>
    <s v="March"/>
    <x v="86"/>
    <s v="Vegetables"/>
    <n v="157.30000000000001"/>
    <x v="0"/>
  </r>
  <r>
    <s v="Rural+Urban"/>
    <n v="2020"/>
    <s v="March"/>
    <x v="86"/>
    <s v="Pulses and products"/>
    <n v="141.1"/>
    <x v="0"/>
  </r>
  <r>
    <s v="Rural+Urban"/>
    <n v="2020"/>
    <s v="March"/>
    <x v="86"/>
    <s v="Sugar and Confectionery"/>
    <n v="113.2"/>
    <x v="0"/>
  </r>
  <r>
    <s v="Rural+Urban"/>
    <n v="2020"/>
    <s v="March"/>
    <x v="86"/>
    <s v="Spices"/>
    <n v="153.19999999999999"/>
    <x v="0"/>
  </r>
  <r>
    <s v="Rural+Urban"/>
    <n v="2020"/>
    <s v="March"/>
    <x v="86"/>
    <s v="Non-alcoholic beverages"/>
    <n v="136.69999999999999"/>
    <x v="0"/>
  </r>
  <r>
    <s v="Rural+Urban"/>
    <n v="2020"/>
    <s v="March"/>
    <x v="86"/>
    <s v="Prepared meals, snacks, sweets etc."/>
    <n v="159.6"/>
    <x v="0"/>
  </r>
  <r>
    <s v="Rural+Urban"/>
    <n v="2020"/>
    <s v="March"/>
    <x v="86"/>
    <s v="Food and beverages"/>
    <n v="148.9"/>
    <x v="0"/>
  </r>
  <r>
    <s v="Rural+Urban"/>
    <n v="2020"/>
    <s v="March"/>
    <x v="86"/>
    <s v="Pan, tobacco and intoxicants"/>
    <n v="171.2"/>
    <x v="1"/>
  </r>
  <r>
    <s v="Rural+Urban"/>
    <n v="2020"/>
    <s v="March"/>
    <x v="86"/>
    <s v="Clothing"/>
    <n v="151.19999999999999"/>
    <x v="2"/>
  </r>
  <r>
    <s v="Rural+Urban"/>
    <n v="2020"/>
    <s v="March"/>
    <x v="86"/>
    <s v="Footwear"/>
    <n v="141.9"/>
    <x v="2"/>
  </r>
  <r>
    <s v="Rural+Urban"/>
    <n v="2020"/>
    <s v="March"/>
    <x v="86"/>
    <s v="Clothing and footwear"/>
    <n v="149.80000000000001"/>
    <x v="2"/>
  </r>
  <r>
    <s v="Rural+Urban"/>
    <n v="2020"/>
    <s v="March"/>
    <x v="86"/>
    <s v="Housing"/>
    <n v="154.5"/>
    <x v="10"/>
  </r>
  <r>
    <s v="Rural+Urban"/>
    <n v="2020"/>
    <s v="March"/>
    <x v="86"/>
    <s v="Fuel and light"/>
    <n v="148.9"/>
    <x v="3"/>
  </r>
  <r>
    <s v="Rural+Urban"/>
    <n v="2020"/>
    <s v="March"/>
    <x v="86"/>
    <s v="Household goods and services"/>
    <n v="146.4"/>
    <x v="4"/>
  </r>
  <r>
    <s v="Rural+Urban"/>
    <n v="2020"/>
    <s v="March"/>
    <x v="86"/>
    <s v="Health"/>
    <n v="152.30000000000001"/>
    <x v="5"/>
  </r>
  <r>
    <s v="Rural+Urban"/>
    <n v="2020"/>
    <s v="March"/>
    <x v="86"/>
    <s v="Transport and communication"/>
    <n v="129.9"/>
    <x v="6"/>
  </r>
  <r>
    <s v="Rural+Urban"/>
    <n v="2020"/>
    <s v="March"/>
    <x v="86"/>
    <s v="Recreation and amusement"/>
    <n v="143.69999999999999"/>
    <x v="1"/>
  </r>
  <r>
    <s v="Rural+Urban"/>
    <n v="2020"/>
    <s v="March"/>
    <x v="86"/>
    <s v="Education"/>
    <n v="156.1"/>
    <x v="7"/>
  </r>
  <r>
    <s v="Rural+Urban"/>
    <n v="2020"/>
    <s v="March"/>
    <x v="86"/>
    <s v="Personal care and effects"/>
    <n v="145.19999999999999"/>
    <x v="4"/>
  </r>
  <r>
    <s v="Rural+Urban"/>
    <n v="2020"/>
    <s v="March"/>
    <x v="86"/>
    <s v="Miscellaneous"/>
    <n v="143.80000000000001"/>
    <x v="8"/>
  </r>
  <r>
    <s v="Rural+Urban"/>
    <n v="2020"/>
    <s v="March"/>
    <x v="86"/>
    <s v="General index"/>
    <n v="148.6"/>
    <x v="9"/>
  </r>
  <r>
    <s v="Rural"/>
    <n v="2020"/>
    <s v="April"/>
    <x v="87"/>
    <s v="Cereals and products"/>
    <n v="147.19999999999999"/>
    <x v="0"/>
  </r>
  <r>
    <s v="Rural"/>
    <n v="2020"/>
    <s v="April"/>
    <x v="87"/>
    <s v="Egg"/>
    <n v="146.9"/>
    <x v="0"/>
  </r>
  <r>
    <s v="Rural"/>
    <n v="2020"/>
    <s v="April"/>
    <x v="87"/>
    <s v="Milk and products"/>
    <n v="155.6"/>
    <x v="0"/>
  </r>
  <r>
    <s v="Rural"/>
    <n v="2020"/>
    <s v="April"/>
    <x v="87"/>
    <s v="Oils and fats"/>
    <n v="137.1"/>
    <x v="0"/>
  </r>
  <r>
    <s v="Rural"/>
    <n v="2020"/>
    <s v="April"/>
    <x v="87"/>
    <s v="Fruits"/>
    <n v="147.30000000000001"/>
    <x v="0"/>
  </r>
  <r>
    <s v="Rural"/>
    <n v="2020"/>
    <s v="April"/>
    <x v="87"/>
    <s v="Vegetables"/>
    <n v="162.69999999999999"/>
    <x v="0"/>
  </r>
  <r>
    <s v="Rural"/>
    <n v="2020"/>
    <s v="April"/>
    <x v="87"/>
    <s v="Pulses and products"/>
    <n v="150.19999999999999"/>
    <x v="0"/>
  </r>
  <r>
    <s v="Rural"/>
    <n v="2020"/>
    <s v="April"/>
    <x v="87"/>
    <s v="Sugar and Confectionery"/>
    <n v="119.8"/>
    <x v="0"/>
  </r>
  <r>
    <s v="Rural"/>
    <n v="2020"/>
    <s v="April"/>
    <x v="87"/>
    <s v="Spices"/>
    <n v="158.69999999999999"/>
    <x v="0"/>
  </r>
  <r>
    <s v="Rural"/>
    <n v="2020"/>
    <s v="April"/>
    <x v="87"/>
    <s v="Non-alcoholic beverages"/>
    <n v="139.19999999999999"/>
    <x v="0"/>
  </r>
  <r>
    <s v="Rural"/>
    <n v="2020"/>
    <s v="April"/>
    <x v="87"/>
    <s v="Food and beverages"/>
    <n v="150.1"/>
    <x v="0"/>
  </r>
  <r>
    <s v="Rural"/>
    <n v="2020"/>
    <s v="April"/>
    <x v="87"/>
    <s v="Fuel and light"/>
    <n v="148.4"/>
    <x v="3"/>
  </r>
  <r>
    <s v="Rural"/>
    <n v="2020"/>
    <s v="April"/>
    <x v="87"/>
    <s v="Health"/>
    <n v="154.30000000000001"/>
    <x v="5"/>
  </r>
  <r>
    <s v="Rural"/>
    <n v="2020"/>
    <s v="April"/>
    <x v="87"/>
    <s v="Transport and communication"/>
    <n v="136.03333333333333"/>
    <x v="6"/>
  </r>
  <r>
    <s v="Urban"/>
    <n v="2020"/>
    <s v="April"/>
    <x v="87"/>
    <s v="Cereals and products"/>
    <n v="151.80000000000001"/>
    <x v="0"/>
  </r>
  <r>
    <s v="Urban"/>
    <n v="2020"/>
    <s v="April"/>
    <x v="87"/>
    <s v="Egg"/>
    <n v="151.9"/>
    <x v="0"/>
  </r>
  <r>
    <s v="Urban"/>
    <n v="2020"/>
    <s v="April"/>
    <x v="87"/>
    <s v="Milk and products"/>
    <n v="155.5"/>
    <x v="0"/>
  </r>
  <r>
    <s v="Urban"/>
    <n v="2020"/>
    <s v="April"/>
    <x v="87"/>
    <s v="Oils and fats"/>
    <n v="131.6"/>
    <x v="0"/>
  </r>
  <r>
    <s v="Urban"/>
    <n v="2020"/>
    <s v="April"/>
    <x v="87"/>
    <s v="Fruits"/>
    <n v="152.9"/>
    <x v="0"/>
  </r>
  <r>
    <s v="Urban"/>
    <n v="2020"/>
    <s v="April"/>
    <x v="87"/>
    <s v="Vegetables"/>
    <n v="180"/>
    <x v="0"/>
  </r>
  <r>
    <s v="Urban"/>
    <n v="2020"/>
    <s v="April"/>
    <x v="87"/>
    <s v="Pulses and products"/>
    <n v="150.80000000000001"/>
    <x v="0"/>
  </r>
  <r>
    <s v="Urban"/>
    <n v="2020"/>
    <s v="April"/>
    <x v="87"/>
    <s v="Sugar and Confectionery"/>
    <n v="121.2"/>
    <x v="0"/>
  </r>
  <r>
    <s v="Urban"/>
    <n v="2020"/>
    <s v="April"/>
    <x v="87"/>
    <s v="Spices"/>
    <n v="154"/>
    <x v="0"/>
  </r>
  <r>
    <s v="Urban"/>
    <n v="2020"/>
    <s v="April"/>
    <x v="87"/>
    <s v="Non-alcoholic beverages"/>
    <n v="133.5"/>
    <x v="0"/>
  </r>
  <r>
    <s v="Urban"/>
    <n v="2020"/>
    <s v="April"/>
    <x v="87"/>
    <s v="Food and beverages"/>
    <n v="153.5"/>
    <x v="0"/>
  </r>
  <r>
    <s v="Urban"/>
    <n v="2020"/>
    <s v="April"/>
    <x v="87"/>
    <s v="Housing"/>
    <n v="155.6"/>
    <x v="10"/>
  </r>
  <r>
    <s v="Urban"/>
    <n v="2020"/>
    <s v="April"/>
    <x v="87"/>
    <s v="Fuel and light"/>
    <n v="137.1"/>
    <x v="3"/>
  </r>
  <r>
    <s v="Urban"/>
    <n v="2020"/>
    <s v="April"/>
    <x v="87"/>
    <s v="Health"/>
    <n v="144.80000000000001"/>
    <x v="5"/>
  </r>
  <r>
    <s v="Urban"/>
    <n v="2020"/>
    <s v="April"/>
    <x v="87"/>
    <s v="Transport and communication"/>
    <n v="125.3"/>
    <x v="6"/>
  </r>
  <r>
    <s v="Rural+Urban"/>
    <n v="2020"/>
    <s v="April"/>
    <x v="87"/>
    <s v="Cereals and products"/>
    <n v="148.69999999999999"/>
    <x v="0"/>
  </r>
  <r>
    <s v="Rural+Urban"/>
    <n v="2020"/>
    <s v="April"/>
    <x v="87"/>
    <s v="Egg"/>
    <n v="148.80000000000001"/>
    <x v="0"/>
  </r>
  <r>
    <s v="Rural+Urban"/>
    <n v="2020"/>
    <s v="April"/>
    <x v="87"/>
    <s v="Milk and products"/>
    <n v="155.6"/>
    <x v="0"/>
  </r>
  <r>
    <s v="Rural+Urban"/>
    <n v="2020"/>
    <s v="April"/>
    <x v="87"/>
    <s v="Oils and fats"/>
    <n v="135.1"/>
    <x v="0"/>
  </r>
  <r>
    <s v="Rural+Urban"/>
    <n v="2020"/>
    <s v="April"/>
    <x v="87"/>
    <s v="Fruits"/>
    <n v="149.9"/>
    <x v="0"/>
  </r>
  <r>
    <s v="Rural+Urban"/>
    <n v="2020"/>
    <s v="April"/>
    <x v="87"/>
    <s v="Vegetables"/>
    <n v="168.6"/>
    <x v="0"/>
  </r>
  <r>
    <s v="Rural+Urban"/>
    <n v="2020"/>
    <s v="April"/>
    <x v="87"/>
    <s v="Pulses and products"/>
    <n v="150.4"/>
    <x v="0"/>
  </r>
  <r>
    <s v="Rural+Urban"/>
    <n v="2020"/>
    <s v="April"/>
    <x v="87"/>
    <s v="Sugar and Confectionery"/>
    <n v="120.3"/>
    <x v="0"/>
  </r>
  <r>
    <s v="Rural+Urban"/>
    <n v="2020"/>
    <s v="April"/>
    <x v="87"/>
    <s v="Spices"/>
    <n v="157.1"/>
    <x v="0"/>
  </r>
  <r>
    <s v="Rural+Urban"/>
    <n v="2020"/>
    <s v="April"/>
    <x v="87"/>
    <s v="Non-alcoholic beverages"/>
    <n v="136.80000000000001"/>
    <x v="0"/>
  </r>
  <r>
    <s v="Rural+Urban"/>
    <n v="2020"/>
    <s v="April"/>
    <x v="87"/>
    <s v="Food and beverages"/>
    <n v="151.4"/>
    <x v="0"/>
  </r>
  <r>
    <s v="Rural+Urban"/>
    <n v="2020"/>
    <s v="April"/>
    <x v="87"/>
    <s v="Housing"/>
    <n v="155.6"/>
    <x v="10"/>
  </r>
  <r>
    <s v="Rural+Urban"/>
    <n v="2020"/>
    <s v="April"/>
    <x v="87"/>
    <s v="Fuel and light"/>
    <n v="144.1"/>
    <x v="3"/>
  </r>
  <r>
    <s v="Rural+Urban"/>
    <n v="2020"/>
    <s v="April"/>
    <x v="87"/>
    <s v="Health"/>
    <n v="150.69999999999999"/>
    <x v="5"/>
  </r>
  <r>
    <s v="Rural+Urban"/>
    <n v="2020"/>
    <s v="April"/>
    <x v="87"/>
    <s v="Transport and communication"/>
    <n v="130.36666666666667"/>
    <x v="6"/>
  </r>
  <r>
    <s v="Rural"/>
    <n v="2020"/>
    <s v="May"/>
    <x v="88"/>
    <s v="Food and beverages"/>
    <n v="151.33333333333334"/>
    <x v="0"/>
  </r>
  <r>
    <s v="Rural"/>
    <n v="2020"/>
    <s v="May"/>
    <x v="88"/>
    <s v="Fuel and light"/>
    <n v="148.28333333333333"/>
    <x v="3"/>
  </r>
  <r>
    <s v="Rural"/>
    <n v="2020"/>
    <s v="May"/>
    <x v="88"/>
    <s v="Health"/>
    <n v="157.06666666666663"/>
    <x v="5"/>
  </r>
  <r>
    <s v="Rural"/>
    <n v="2020"/>
    <s v="May"/>
    <x v="88"/>
    <s v="Transport and communication"/>
    <n v="142.13333333333333"/>
    <x v="6"/>
  </r>
  <r>
    <s v="Urban"/>
    <n v="2020"/>
    <s v="May"/>
    <x v="88"/>
    <s v="Food and beverages"/>
    <n v="154.86666666666665"/>
    <x v="0"/>
  </r>
  <r>
    <s v="Urban"/>
    <n v="2020"/>
    <s v="May"/>
    <x v="88"/>
    <s v="Fuel and light"/>
    <n v="138.31666666666669"/>
    <x v="3"/>
  </r>
  <r>
    <s v="Urban"/>
    <n v="2020"/>
    <s v="May"/>
    <x v="88"/>
    <s v="Health"/>
    <n v="146.51666666666668"/>
    <x v="5"/>
  </r>
  <r>
    <s v="Urban"/>
    <n v="2020"/>
    <s v="May"/>
    <x v="88"/>
    <s v="Transport and communication"/>
    <n v="130.83333333333334"/>
    <x v="6"/>
  </r>
  <r>
    <s v="Rural+Urban"/>
    <n v="2020"/>
    <s v="May"/>
    <x v="88"/>
    <s v="Food and beverages"/>
    <n v="152.63333333333333"/>
    <x v="0"/>
  </r>
  <r>
    <s v="Rural+Urban"/>
    <n v="2020"/>
    <s v="May"/>
    <x v="88"/>
    <s v="Fuel and light"/>
    <n v="144.5"/>
    <x v="3"/>
  </r>
  <r>
    <s v="Rural+Urban"/>
    <n v="2020"/>
    <s v="May"/>
    <x v="88"/>
    <s v="Health"/>
    <n v="153.08333333333334"/>
    <x v="5"/>
  </r>
  <r>
    <s v="Rural+Urban"/>
    <n v="2020"/>
    <s v="May"/>
    <x v="88"/>
    <s v="Transport and communication"/>
    <n v="136.16666666666666"/>
    <x v="6"/>
  </r>
  <r>
    <s v="Rural"/>
    <n v="2020"/>
    <s v="June"/>
    <x v="89"/>
    <s v="Cereals and products"/>
    <n v="148.19999999999999"/>
    <x v="0"/>
  </r>
  <r>
    <s v="Rural"/>
    <n v="2020"/>
    <s v="June"/>
    <x v="89"/>
    <s v="Meat and fish"/>
    <n v="190.3"/>
    <x v="0"/>
  </r>
  <r>
    <s v="Rural"/>
    <n v="2020"/>
    <s v="June"/>
    <x v="89"/>
    <s v="Egg"/>
    <n v="149.4"/>
    <x v="0"/>
  </r>
  <r>
    <s v="Rural"/>
    <n v="2020"/>
    <s v="June"/>
    <x v="89"/>
    <s v="Milk and products"/>
    <n v="153.30000000000001"/>
    <x v="0"/>
  </r>
  <r>
    <s v="Rural"/>
    <n v="2020"/>
    <s v="June"/>
    <x v="89"/>
    <s v="Oils and fats"/>
    <n v="138.19999999999999"/>
    <x v="0"/>
  </r>
  <r>
    <s v="Rural"/>
    <n v="2020"/>
    <s v="June"/>
    <x v="89"/>
    <s v="Fruits"/>
    <n v="143.19999999999999"/>
    <x v="0"/>
  </r>
  <r>
    <s v="Rural"/>
    <n v="2020"/>
    <s v="June"/>
    <x v="89"/>
    <s v="Vegetables"/>
    <n v="148.9"/>
    <x v="0"/>
  </r>
  <r>
    <s v="Rural"/>
    <n v="2020"/>
    <s v="June"/>
    <x v="89"/>
    <s v="Pulses and products"/>
    <n v="150.30000000000001"/>
    <x v="0"/>
  </r>
  <r>
    <s v="Rural"/>
    <n v="2020"/>
    <s v="June"/>
    <x v="89"/>
    <s v="Sugar and Confectionery"/>
    <n v="113.2"/>
    <x v="0"/>
  </r>
  <r>
    <s v="Rural"/>
    <n v="2020"/>
    <s v="June"/>
    <x v="89"/>
    <s v="Spices"/>
    <n v="159.80000000000001"/>
    <x v="0"/>
  </r>
  <r>
    <s v="Rural"/>
    <n v="2020"/>
    <s v="June"/>
    <x v="89"/>
    <s v="Non-alcoholic beverages"/>
    <n v="142.1"/>
    <x v="0"/>
  </r>
  <r>
    <s v="Rural"/>
    <n v="2020"/>
    <s v="June"/>
    <x v="89"/>
    <s v="Prepared meals, snacks, sweets etc."/>
    <n v="161.80000000000001"/>
    <x v="0"/>
  </r>
  <r>
    <s v="Rural"/>
    <n v="2020"/>
    <s v="June"/>
    <x v="89"/>
    <s v="Food and beverages"/>
    <n v="152.30000000000001"/>
    <x v="0"/>
  </r>
  <r>
    <s v="Rural"/>
    <n v="2020"/>
    <s v="June"/>
    <x v="89"/>
    <s v="Pan, tobacco and intoxicants"/>
    <n v="182.4"/>
    <x v="1"/>
  </r>
  <r>
    <s v="Rural"/>
    <n v="2020"/>
    <s v="June"/>
    <x v="89"/>
    <s v="Clothing"/>
    <n v="154.69999999999999"/>
    <x v="2"/>
  </r>
  <r>
    <s v="Rural"/>
    <n v="2020"/>
    <s v="June"/>
    <x v="89"/>
    <s v="Footwear"/>
    <n v="150"/>
    <x v="2"/>
  </r>
  <r>
    <s v="Rural"/>
    <n v="2020"/>
    <s v="June"/>
    <x v="89"/>
    <s v="Clothing and footwear"/>
    <n v="154.1"/>
    <x v="2"/>
  </r>
  <r>
    <s v="Rural"/>
    <n v="2020"/>
    <s v="June"/>
    <x v="89"/>
    <s v="Fuel and light"/>
    <n v="144.9"/>
    <x v="3"/>
  </r>
  <r>
    <s v="Rural"/>
    <n v="2020"/>
    <s v="June"/>
    <x v="89"/>
    <s v="Household goods and services"/>
    <n v="151.69999999999999"/>
    <x v="4"/>
  </r>
  <r>
    <s v="Rural"/>
    <n v="2020"/>
    <s v="June"/>
    <x v="89"/>
    <s v="Health"/>
    <n v="158.19999999999999"/>
    <x v="5"/>
  </r>
  <r>
    <s v="Rural"/>
    <n v="2020"/>
    <s v="June"/>
    <x v="89"/>
    <s v="Transport and communication"/>
    <n v="141.4"/>
    <x v="6"/>
  </r>
  <r>
    <s v="Rural"/>
    <n v="2020"/>
    <s v="June"/>
    <x v="89"/>
    <s v="Recreation and amusement"/>
    <n v="153.19999999999999"/>
    <x v="1"/>
  </r>
  <r>
    <s v="Rural"/>
    <n v="2020"/>
    <s v="June"/>
    <x v="89"/>
    <s v="Education"/>
    <n v="161.80000000000001"/>
    <x v="7"/>
  </r>
  <r>
    <s v="Rural"/>
    <n v="2020"/>
    <s v="June"/>
    <x v="89"/>
    <s v="Personal care and effects"/>
    <n v="151.19999999999999"/>
    <x v="4"/>
  </r>
  <r>
    <s v="Rural"/>
    <n v="2020"/>
    <s v="June"/>
    <x v="89"/>
    <s v="Miscellaneous"/>
    <n v="151.69999999999999"/>
    <x v="8"/>
  </r>
  <r>
    <s v="Rural"/>
    <n v="2020"/>
    <s v="June"/>
    <x v="89"/>
    <s v="General index"/>
    <n v="152.69999999999999"/>
    <x v="9"/>
  </r>
  <r>
    <s v="Urban"/>
    <n v="2020"/>
    <s v="June"/>
    <x v="89"/>
    <s v="Cereals and products"/>
    <n v="152.69999999999999"/>
    <x v="0"/>
  </r>
  <r>
    <s v="Urban"/>
    <n v="2020"/>
    <s v="June"/>
    <x v="89"/>
    <s v="Meat and fish"/>
    <n v="197"/>
    <x v="0"/>
  </r>
  <r>
    <s v="Urban"/>
    <n v="2020"/>
    <s v="June"/>
    <x v="89"/>
    <s v="Egg"/>
    <n v="154.6"/>
    <x v="0"/>
  </r>
  <r>
    <s v="Urban"/>
    <n v="2020"/>
    <s v="June"/>
    <x v="89"/>
    <s v="Milk and products"/>
    <n v="153.4"/>
    <x v="0"/>
  </r>
  <r>
    <s v="Urban"/>
    <n v="2020"/>
    <s v="June"/>
    <x v="89"/>
    <s v="Oils and fats"/>
    <n v="132.9"/>
    <x v="0"/>
  </r>
  <r>
    <s v="Urban"/>
    <n v="2020"/>
    <s v="June"/>
    <x v="89"/>
    <s v="Fruits"/>
    <n v="151.80000000000001"/>
    <x v="0"/>
  </r>
  <r>
    <s v="Urban"/>
    <n v="2020"/>
    <s v="June"/>
    <x v="89"/>
    <s v="Vegetables"/>
    <n v="171.2"/>
    <x v="0"/>
  </r>
  <r>
    <s v="Urban"/>
    <n v="2020"/>
    <s v="June"/>
    <x v="89"/>
    <s v="Pulses and products"/>
    <n v="152"/>
    <x v="0"/>
  </r>
  <r>
    <s v="Urban"/>
    <n v="2020"/>
    <s v="June"/>
    <x v="89"/>
    <s v="Sugar and Confectionery"/>
    <n v="116.3"/>
    <x v="0"/>
  </r>
  <r>
    <s v="Urban"/>
    <n v="2020"/>
    <s v="June"/>
    <x v="89"/>
    <s v="Spices"/>
    <n v="158.80000000000001"/>
    <x v="0"/>
  </r>
  <r>
    <s v="Urban"/>
    <n v="2020"/>
    <s v="June"/>
    <x v="89"/>
    <s v="Non-alcoholic beverages"/>
    <n v="135.6"/>
    <x v="0"/>
  </r>
  <r>
    <s v="Urban"/>
    <n v="2020"/>
    <s v="June"/>
    <x v="89"/>
    <s v="Prepared meals, snacks, sweets etc."/>
    <n v="161.69999999999999"/>
    <x v="0"/>
  </r>
  <r>
    <s v="Urban"/>
    <n v="2020"/>
    <s v="June"/>
    <x v="89"/>
    <s v="Food and beverages"/>
    <n v="157"/>
    <x v="0"/>
  </r>
  <r>
    <s v="Urban"/>
    <n v="2020"/>
    <s v="June"/>
    <x v="89"/>
    <s v="Pan, tobacco and intoxicants"/>
    <n v="186.7"/>
    <x v="1"/>
  </r>
  <r>
    <s v="Urban"/>
    <n v="2020"/>
    <s v="June"/>
    <x v="89"/>
    <s v="Clothing"/>
    <n v="149.1"/>
    <x v="2"/>
  </r>
  <r>
    <s v="Urban"/>
    <n v="2020"/>
    <s v="June"/>
    <x v="89"/>
    <s v="Footwear"/>
    <n v="136.6"/>
    <x v="2"/>
  </r>
  <r>
    <s v="Urban"/>
    <n v="2020"/>
    <s v="June"/>
    <x v="89"/>
    <s v="Clothing and footwear"/>
    <n v="147.19999999999999"/>
    <x v="2"/>
  </r>
  <r>
    <s v="Urban"/>
    <n v="2020"/>
    <s v="June"/>
    <x v="89"/>
    <s v="Housing"/>
    <n v="154.69999999999999"/>
    <x v="10"/>
  </r>
  <r>
    <s v="Urban"/>
    <n v="2020"/>
    <s v="June"/>
    <x v="89"/>
    <s v="Fuel and light"/>
    <n v="137.1"/>
    <x v="3"/>
  </r>
  <r>
    <s v="Urban"/>
    <n v="2020"/>
    <s v="June"/>
    <x v="89"/>
    <s v="Household goods and services"/>
    <n v="140.4"/>
    <x v="4"/>
  </r>
  <r>
    <s v="Urban"/>
    <n v="2020"/>
    <s v="June"/>
    <x v="89"/>
    <s v="Health"/>
    <n v="148.1"/>
    <x v="5"/>
  </r>
  <r>
    <s v="Urban"/>
    <n v="2020"/>
    <s v="June"/>
    <x v="89"/>
    <s v="Transport and communication"/>
    <n v="129.30000000000001"/>
    <x v="6"/>
  </r>
  <r>
    <s v="Urban"/>
    <n v="2020"/>
    <s v="June"/>
    <x v="89"/>
    <s v="Recreation and amusement"/>
    <n v="144.5"/>
    <x v="1"/>
  </r>
  <r>
    <s v="Urban"/>
    <n v="2020"/>
    <s v="June"/>
    <x v="89"/>
    <s v="Education"/>
    <n v="152.5"/>
    <x v="7"/>
  </r>
  <r>
    <s v="Urban"/>
    <n v="2020"/>
    <s v="June"/>
    <x v="89"/>
    <s v="Personal care and effects"/>
    <n v="152.19999999999999"/>
    <x v="4"/>
  </r>
  <r>
    <s v="Urban"/>
    <n v="2020"/>
    <s v="June"/>
    <x v="89"/>
    <s v="Miscellaneous"/>
    <n v="142"/>
    <x v="8"/>
  </r>
  <r>
    <s v="Urban"/>
    <n v="2020"/>
    <s v="June"/>
    <x v="89"/>
    <s v="General index"/>
    <n v="150.80000000000001"/>
    <x v="9"/>
  </r>
  <r>
    <s v="Rural+Urban"/>
    <n v="2020"/>
    <s v="June"/>
    <x v="89"/>
    <s v="Cereals and products"/>
    <n v="149.6"/>
    <x v="0"/>
  </r>
  <r>
    <s v="Rural+Urban"/>
    <n v="2020"/>
    <s v="June"/>
    <x v="89"/>
    <s v="Meat and fish"/>
    <n v="192.7"/>
    <x v="0"/>
  </r>
  <r>
    <s v="Rural+Urban"/>
    <n v="2020"/>
    <s v="June"/>
    <x v="89"/>
    <s v="Egg"/>
    <n v="151.4"/>
    <x v="0"/>
  </r>
  <r>
    <s v="Rural+Urban"/>
    <n v="2020"/>
    <s v="June"/>
    <x v="89"/>
    <s v="Milk and products"/>
    <n v="153.30000000000001"/>
    <x v="0"/>
  </r>
  <r>
    <s v="Rural+Urban"/>
    <n v="2020"/>
    <s v="June"/>
    <x v="89"/>
    <s v="Oils and fats"/>
    <n v="136.30000000000001"/>
    <x v="0"/>
  </r>
  <r>
    <s v="Rural+Urban"/>
    <n v="2020"/>
    <s v="June"/>
    <x v="89"/>
    <s v="Fruits"/>
    <n v="147.19999999999999"/>
    <x v="0"/>
  </r>
  <r>
    <s v="Rural+Urban"/>
    <n v="2020"/>
    <s v="June"/>
    <x v="89"/>
    <s v="Vegetables"/>
    <n v="156.5"/>
    <x v="0"/>
  </r>
  <r>
    <s v="Rural+Urban"/>
    <n v="2020"/>
    <s v="June"/>
    <x v="89"/>
    <s v="Pulses and products"/>
    <n v="150.9"/>
    <x v="0"/>
  </r>
  <r>
    <s v="Rural+Urban"/>
    <n v="2020"/>
    <s v="June"/>
    <x v="89"/>
    <s v="Sugar and Confectionery"/>
    <n v="114.2"/>
    <x v="0"/>
  </r>
  <r>
    <s v="Rural+Urban"/>
    <n v="2020"/>
    <s v="June"/>
    <x v="89"/>
    <s v="Spices"/>
    <n v="159.5"/>
    <x v="0"/>
  </r>
  <r>
    <s v="Rural+Urban"/>
    <n v="2020"/>
    <s v="June"/>
    <x v="89"/>
    <s v="Non-alcoholic beverages"/>
    <n v="139.4"/>
    <x v="0"/>
  </r>
  <r>
    <s v="Rural+Urban"/>
    <n v="2020"/>
    <s v="June"/>
    <x v="89"/>
    <s v="Prepared meals, snacks, sweets etc."/>
    <n v="161.80000000000001"/>
    <x v="0"/>
  </r>
  <r>
    <s v="Rural+Urban"/>
    <n v="2020"/>
    <s v="June"/>
    <x v="89"/>
    <s v="Food and beverages"/>
    <n v="154"/>
    <x v="0"/>
  </r>
  <r>
    <s v="Rural+Urban"/>
    <n v="2020"/>
    <s v="June"/>
    <x v="89"/>
    <s v="Pan, tobacco and intoxicants"/>
    <n v="183.5"/>
    <x v="1"/>
  </r>
  <r>
    <s v="Rural+Urban"/>
    <n v="2020"/>
    <s v="June"/>
    <x v="89"/>
    <s v="Clothing"/>
    <n v="152.5"/>
    <x v="2"/>
  </r>
  <r>
    <s v="Rural+Urban"/>
    <n v="2020"/>
    <s v="June"/>
    <x v="89"/>
    <s v="Footwear"/>
    <n v="144.4"/>
    <x v="2"/>
  </r>
  <r>
    <s v="Rural+Urban"/>
    <n v="2020"/>
    <s v="June"/>
    <x v="89"/>
    <s v="Clothing and footwear"/>
    <n v="151.4"/>
    <x v="2"/>
  </r>
  <r>
    <s v="Rural+Urban"/>
    <n v="2020"/>
    <s v="June"/>
    <x v="89"/>
    <s v="Housing"/>
    <n v="154.69999999999999"/>
    <x v="10"/>
  </r>
  <r>
    <s v="Rural+Urban"/>
    <n v="2020"/>
    <s v="June"/>
    <x v="89"/>
    <s v="Fuel and light"/>
    <n v="141.9"/>
    <x v="3"/>
  </r>
  <r>
    <s v="Rural+Urban"/>
    <n v="2020"/>
    <s v="June"/>
    <x v="89"/>
    <s v="Household goods and services"/>
    <n v="146.4"/>
    <x v="4"/>
  </r>
  <r>
    <s v="Rural+Urban"/>
    <n v="2020"/>
    <s v="June"/>
    <x v="89"/>
    <s v="Health"/>
    <n v="154.4"/>
    <x v="5"/>
  </r>
  <r>
    <s v="Rural+Urban"/>
    <n v="2020"/>
    <s v="June"/>
    <x v="89"/>
    <s v="Transport and communication"/>
    <n v="135"/>
    <x v="6"/>
  </r>
  <r>
    <s v="Rural+Urban"/>
    <n v="2020"/>
    <s v="June"/>
    <x v="89"/>
    <s v="Recreation and amusement"/>
    <n v="148.30000000000001"/>
    <x v="1"/>
  </r>
  <r>
    <s v="Rural+Urban"/>
    <n v="2020"/>
    <s v="June"/>
    <x v="89"/>
    <s v="Education"/>
    <n v="156.4"/>
    <x v="7"/>
  </r>
  <r>
    <s v="Rural+Urban"/>
    <n v="2020"/>
    <s v="June"/>
    <x v="89"/>
    <s v="Personal care and effects"/>
    <n v="151.6"/>
    <x v="4"/>
  </r>
  <r>
    <s v="Rural+Urban"/>
    <n v="2020"/>
    <s v="June"/>
    <x v="89"/>
    <s v="Miscellaneous"/>
    <n v="147"/>
    <x v="8"/>
  </r>
  <r>
    <s v="Rural+Urban"/>
    <n v="2020"/>
    <s v="June"/>
    <x v="89"/>
    <s v="General index"/>
    <n v="151.80000000000001"/>
    <x v="9"/>
  </r>
  <r>
    <s v="Rural"/>
    <n v="2020"/>
    <s v="July"/>
    <x v="90"/>
    <s v="Cereals and products"/>
    <n v="148.19999999999999"/>
    <x v="0"/>
  </r>
  <r>
    <s v="Rural"/>
    <n v="2020"/>
    <s v="July"/>
    <x v="90"/>
    <s v="Meat and fish"/>
    <n v="190.3"/>
    <x v="0"/>
  </r>
  <r>
    <s v="Rural"/>
    <n v="2020"/>
    <s v="July"/>
    <x v="90"/>
    <s v="Egg"/>
    <n v="149.4"/>
    <x v="0"/>
  </r>
  <r>
    <s v="Rural"/>
    <n v="2020"/>
    <s v="July"/>
    <x v="90"/>
    <s v="Milk and products"/>
    <n v="153.30000000000001"/>
    <x v="0"/>
  </r>
  <r>
    <s v="Rural"/>
    <n v="2020"/>
    <s v="July"/>
    <x v="90"/>
    <s v="Oils and fats"/>
    <n v="138.19999999999999"/>
    <x v="0"/>
  </r>
  <r>
    <s v="Rural"/>
    <n v="2020"/>
    <s v="July"/>
    <x v="90"/>
    <s v="Fruits"/>
    <n v="143.19999999999999"/>
    <x v="0"/>
  </r>
  <r>
    <s v="Rural"/>
    <n v="2020"/>
    <s v="July"/>
    <x v="90"/>
    <s v="Vegetables"/>
    <n v="148.9"/>
    <x v="0"/>
  </r>
  <r>
    <s v="Rural"/>
    <n v="2020"/>
    <s v="July"/>
    <x v="90"/>
    <s v="Pulses and products"/>
    <n v="150.30000000000001"/>
    <x v="0"/>
  </r>
  <r>
    <s v="Rural"/>
    <n v="2020"/>
    <s v="July"/>
    <x v="90"/>
    <s v="Sugar and Confectionery"/>
    <n v="113.2"/>
    <x v="0"/>
  </r>
  <r>
    <s v="Rural"/>
    <n v="2020"/>
    <s v="July"/>
    <x v="90"/>
    <s v="Spices"/>
    <n v="159.80000000000001"/>
    <x v="0"/>
  </r>
  <r>
    <s v="Rural"/>
    <n v="2020"/>
    <s v="July"/>
    <x v="90"/>
    <s v="Non-alcoholic beverages"/>
    <n v="142.1"/>
    <x v="0"/>
  </r>
  <r>
    <s v="Rural"/>
    <n v="2020"/>
    <s v="July"/>
    <x v="90"/>
    <s v="Prepared meals, snacks, sweets etc."/>
    <n v="161.80000000000001"/>
    <x v="0"/>
  </r>
  <r>
    <s v="Rural"/>
    <n v="2020"/>
    <s v="July"/>
    <x v="90"/>
    <s v="Food and beverages"/>
    <n v="152.30000000000001"/>
    <x v="0"/>
  </r>
  <r>
    <s v="Rural"/>
    <n v="2020"/>
    <s v="July"/>
    <x v="90"/>
    <s v="Pan, tobacco and intoxicants"/>
    <n v="182.4"/>
    <x v="1"/>
  </r>
  <r>
    <s v="Rural"/>
    <n v="2020"/>
    <s v="July"/>
    <x v="90"/>
    <s v="Clothing"/>
    <n v="154.69999999999999"/>
    <x v="2"/>
  </r>
  <r>
    <s v="Rural"/>
    <n v="2020"/>
    <s v="July"/>
    <x v="90"/>
    <s v="Footwear"/>
    <n v="150"/>
    <x v="2"/>
  </r>
  <r>
    <s v="Rural"/>
    <n v="2020"/>
    <s v="July"/>
    <x v="90"/>
    <s v="Clothing and footwear"/>
    <n v="154.1"/>
    <x v="2"/>
  </r>
  <r>
    <s v="Rural"/>
    <n v="2020"/>
    <s v="July"/>
    <x v="90"/>
    <s v="Fuel and light"/>
    <n v="144.9"/>
    <x v="3"/>
  </r>
  <r>
    <s v="Rural"/>
    <n v="2020"/>
    <s v="July"/>
    <x v="90"/>
    <s v="Household goods and services"/>
    <n v="151.69999999999999"/>
    <x v="4"/>
  </r>
  <r>
    <s v="Rural"/>
    <n v="2020"/>
    <s v="July"/>
    <x v="90"/>
    <s v="Health"/>
    <n v="158.19999999999999"/>
    <x v="5"/>
  </r>
  <r>
    <s v="Rural"/>
    <n v="2020"/>
    <s v="July"/>
    <x v="90"/>
    <s v="Transport and communication"/>
    <n v="141.4"/>
    <x v="6"/>
  </r>
  <r>
    <s v="Rural"/>
    <n v="2020"/>
    <s v="July"/>
    <x v="90"/>
    <s v="Recreation and amusement"/>
    <n v="153.19999999999999"/>
    <x v="1"/>
  </r>
  <r>
    <s v="Rural"/>
    <n v="2020"/>
    <s v="July"/>
    <x v="90"/>
    <s v="Education"/>
    <n v="161.80000000000001"/>
    <x v="7"/>
  </r>
  <r>
    <s v="Rural"/>
    <n v="2020"/>
    <s v="July"/>
    <x v="90"/>
    <s v="Personal care and effects"/>
    <n v="151.19999999999999"/>
    <x v="4"/>
  </r>
  <r>
    <s v="Rural"/>
    <n v="2020"/>
    <s v="July"/>
    <x v="90"/>
    <s v="Miscellaneous"/>
    <n v="151.69999999999999"/>
    <x v="8"/>
  </r>
  <r>
    <s v="Rural"/>
    <n v="2020"/>
    <s v="July"/>
    <x v="90"/>
    <s v="General index"/>
    <n v="152.69999999999999"/>
    <x v="9"/>
  </r>
  <r>
    <s v="Urban"/>
    <n v="2020"/>
    <s v="July"/>
    <x v="90"/>
    <s v="Cereals and products"/>
    <n v="152.69999999999999"/>
    <x v="0"/>
  </r>
  <r>
    <s v="Urban"/>
    <n v="2020"/>
    <s v="July"/>
    <x v="90"/>
    <s v="Meat and fish"/>
    <n v="197"/>
    <x v="0"/>
  </r>
  <r>
    <s v="Urban"/>
    <n v="2020"/>
    <s v="July"/>
    <x v="90"/>
    <s v="Egg"/>
    <n v="154.6"/>
    <x v="0"/>
  </r>
  <r>
    <s v="Urban"/>
    <n v="2020"/>
    <s v="July"/>
    <x v="90"/>
    <s v="Milk and products"/>
    <n v="153.4"/>
    <x v="0"/>
  </r>
  <r>
    <s v="Urban"/>
    <n v="2020"/>
    <s v="July"/>
    <x v="90"/>
    <s v="Oils and fats"/>
    <n v="132.9"/>
    <x v="0"/>
  </r>
  <r>
    <s v="Urban"/>
    <n v="2020"/>
    <s v="July"/>
    <x v="90"/>
    <s v="Fruits"/>
    <n v="151.80000000000001"/>
    <x v="0"/>
  </r>
  <r>
    <s v="Urban"/>
    <n v="2020"/>
    <s v="July"/>
    <x v="90"/>
    <s v="Vegetables"/>
    <n v="171.2"/>
    <x v="0"/>
  </r>
  <r>
    <s v="Urban"/>
    <n v="2020"/>
    <s v="July"/>
    <x v="90"/>
    <s v="Pulses and products"/>
    <n v="152"/>
    <x v="0"/>
  </r>
  <r>
    <s v="Urban"/>
    <n v="2020"/>
    <s v="July"/>
    <x v="90"/>
    <s v="Sugar and Confectionery"/>
    <n v="116.3"/>
    <x v="0"/>
  </r>
  <r>
    <s v="Urban"/>
    <n v="2020"/>
    <s v="July"/>
    <x v="90"/>
    <s v="Spices"/>
    <n v="158.80000000000001"/>
    <x v="0"/>
  </r>
  <r>
    <s v="Urban"/>
    <n v="2020"/>
    <s v="July"/>
    <x v="90"/>
    <s v="Non-alcoholic beverages"/>
    <n v="135.6"/>
    <x v="0"/>
  </r>
  <r>
    <s v="Urban"/>
    <n v="2020"/>
    <s v="July"/>
    <x v="90"/>
    <s v="Prepared meals, snacks, sweets etc."/>
    <n v="161.69999999999999"/>
    <x v="0"/>
  </r>
  <r>
    <s v="Urban"/>
    <n v="2020"/>
    <s v="July"/>
    <x v="90"/>
    <s v="Food and beverages"/>
    <n v="157"/>
    <x v="0"/>
  </r>
  <r>
    <s v="Urban"/>
    <n v="2020"/>
    <s v="July"/>
    <x v="90"/>
    <s v="Pan, tobacco and intoxicants"/>
    <n v="186.7"/>
    <x v="1"/>
  </r>
  <r>
    <s v="Urban"/>
    <n v="2020"/>
    <s v="July"/>
    <x v="90"/>
    <s v="Clothing"/>
    <n v="149.1"/>
    <x v="2"/>
  </r>
  <r>
    <s v="Urban"/>
    <n v="2020"/>
    <s v="July"/>
    <x v="90"/>
    <s v="Footwear"/>
    <n v="136.6"/>
    <x v="2"/>
  </r>
  <r>
    <s v="Urban"/>
    <n v="2020"/>
    <s v="July"/>
    <x v="90"/>
    <s v="Clothing and footwear"/>
    <n v="147.19999999999999"/>
    <x v="2"/>
  </r>
  <r>
    <s v="Urban"/>
    <n v="2020"/>
    <s v="July"/>
    <x v="90"/>
    <s v="Housing"/>
    <n v="154.69999999999999"/>
    <x v="10"/>
  </r>
  <r>
    <s v="Urban"/>
    <n v="2020"/>
    <s v="July"/>
    <x v="90"/>
    <s v="Fuel and light"/>
    <n v="137.1"/>
    <x v="3"/>
  </r>
  <r>
    <s v="Urban"/>
    <n v="2020"/>
    <s v="July"/>
    <x v="90"/>
    <s v="Household goods and services"/>
    <n v="140.4"/>
    <x v="4"/>
  </r>
  <r>
    <s v="Urban"/>
    <n v="2020"/>
    <s v="July"/>
    <x v="90"/>
    <s v="Health"/>
    <n v="148.1"/>
    <x v="5"/>
  </r>
  <r>
    <s v="Urban"/>
    <n v="2020"/>
    <s v="July"/>
    <x v="90"/>
    <s v="Transport and communication"/>
    <n v="129.30000000000001"/>
    <x v="6"/>
  </r>
  <r>
    <s v="Urban"/>
    <n v="2020"/>
    <s v="July"/>
    <x v="90"/>
    <s v="Recreation and amusement"/>
    <n v="144.5"/>
    <x v="1"/>
  </r>
  <r>
    <s v="Urban"/>
    <n v="2020"/>
    <s v="July"/>
    <x v="90"/>
    <s v="Education"/>
    <n v="152.5"/>
    <x v="7"/>
  </r>
  <r>
    <s v="Urban"/>
    <n v="2020"/>
    <s v="July"/>
    <x v="90"/>
    <s v="Personal care and effects"/>
    <n v="152.19999999999999"/>
    <x v="4"/>
  </r>
  <r>
    <s v="Urban"/>
    <n v="2020"/>
    <s v="July"/>
    <x v="90"/>
    <s v="Miscellaneous"/>
    <n v="142"/>
    <x v="8"/>
  </r>
  <r>
    <s v="Urban"/>
    <n v="2020"/>
    <s v="July"/>
    <x v="90"/>
    <s v="General index"/>
    <n v="150.80000000000001"/>
    <x v="9"/>
  </r>
  <r>
    <s v="Rural+Urban"/>
    <n v="2020"/>
    <s v="July"/>
    <x v="90"/>
    <s v="Cereals and products"/>
    <n v="149.6"/>
    <x v="0"/>
  </r>
  <r>
    <s v="Rural+Urban"/>
    <n v="2020"/>
    <s v="July"/>
    <x v="90"/>
    <s v="Meat and fish"/>
    <n v="192.7"/>
    <x v="0"/>
  </r>
  <r>
    <s v="Rural+Urban"/>
    <n v="2020"/>
    <s v="July"/>
    <x v="90"/>
    <s v="Egg"/>
    <n v="151.4"/>
    <x v="0"/>
  </r>
  <r>
    <s v="Rural+Urban"/>
    <n v="2020"/>
    <s v="July"/>
    <x v="90"/>
    <s v="Milk and products"/>
    <n v="153.30000000000001"/>
    <x v="0"/>
  </r>
  <r>
    <s v="Rural+Urban"/>
    <n v="2020"/>
    <s v="July"/>
    <x v="90"/>
    <s v="Oils and fats"/>
    <n v="136.30000000000001"/>
    <x v="0"/>
  </r>
  <r>
    <s v="Rural+Urban"/>
    <n v="2020"/>
    <s v="July"/>
    <x v="90"/>
    <s v="Fruits"/>
    <n v="147.19999999999999"/>
    <x v="0"/>
  </r>
  <r>
    <s v="Rural+Urban"/>
    <n v="2020"/>
    <s v="July"/>
    <x v="90"/>
    <s v="Vegetables"/>
    <n v="156.5"/>
    <x v="0"/>
  </r>
  <r>
    <s v="Rural+Urban"/>
    <n v="2020"/>
    <s v="July"/>
    <x v="90"/>
    <s v="Pulses and products"/>
    <n v="150.9"/>
    <x v="0"/>
  </r>
  <r>
    <s v="Rural+Urban"/>
    <n v="2020"/>
    <s v="July"/>
    <x v="90"/>
    <s v="Sugar and Confectionery"/>
    <n v="114.2"/>
    <x v="0"/>
  </r>
  <r>
    <s v="Rural+Urban"/>
    <n v="2020"/>
    <s v="July"/>
    <x v="90"/>
    <s v="Spices"/>
    <n v="159.5"/>
    <x v="0"/>
  </r>
  <r>
    <s v="Rural+Urban"/>
    <n v="2020"/>
    <s v="July"/>
    <x v="90"/>
    <s v="Non-alcoholic beverages"/>
    <n v="139.4"/>
    <x v="0"/>
  </r>
  <r>
    <s v="Rural+Urban"/>
    <n v="2020"/>
    <s v="July"/>
    <x v="90"/>
    <s v="Prepared meals, snacks, sweets etc."/>
    <n v="161.80000000000001"/>
    <x v="0"/>
  </r>
  <r>
    <s v="Rural+Urban"/>
    <n v="2020"/>
    <s v="July"/>
    <x v="90"/>
    <s v="Food and beverages"/>
    <n v="154"/>
    <x v="0"/>
  </r>
  <r>
    <s v="Rural+Urban"/>
    <n v="2020"/>
    <s v="July"/>
    <x v="90"/>
    <s v="Pan, tobacco and intoxicants"/>
    <n v="183.5"/>
    <x v="1"/>
  </r>
  <r>
    <s v="Rural+Urban"/>
    <n v="2020"/>
    <s v="July"/>
    <x v="90"/>
    <s v="Clothing"/>
    <n v="152.5"/>
    <x v="2"/>
  </r>
  <r>
    <s v="Rural+Urban"/>
    <n v="2020"/>
    <s v="July"/>
    <x v="90"/>
    <s v="Footwear"/>
    <n v="144.4"/>
    <x v="2"/>
  </r>
  <r>
    <s v="Rural+Urban"/>
    <n v="2020"/>
    <s v="July"/>
    <x v="90"/>
    <s v="Clothing and footwear"/>
    <n v="151.4"/>
    <x v="2"/>
  </r>
  <r>
    <s v="Rural+Urban"/>
    <n v="2020"/>
    <s v="July"/>
    <x v="90"/>
    <s v="Housing"/>
    <n v="154.69999999999999"/>
    <x v="10"/>
  </r>
  <r>
    <s v="Rural+Urban"/>
    <n v="2020"/>
    <s v="July"/>
    <x v="90"/>
    <s v="Fuel and light"/>
    <n v="141.9"/>
    <x v="3"/>
  </r>
  <r>
    <s v="Rural+Urban"/>
    <n v="2020"/>
    <s v="July"/>
    <x v="90"/>
    <s v="Household goods and services"/>
    <n v="146.4"/>
    <x v="4"/>
  </r>
  <r>
    <s v="Rural+Urban"/>
    <n v="2020"/>
    <s v="July"/>
    <x v="90"/>
    <s v="Health"/>
    <n v="154.4"/>
    <x v="5"/>
  </r>
  <r>
    <s v="Rural+Urban"/>
    <n v="2020"/>
    <s v="July"/>
    <x v="90"/>
    <s v="Transport and communication"/>
    <n v="135"/>
    <x v="6"/>
  </r>
  <r>
    <s v="Rural+Urban"/>
    <n v="2020"/>
    <s v="July"/>
    <x v="90"/>
    <s v="Recreation and amusement"/>
    <n v="148.30000000000001"/>
    <x v="1"/>
  </r>
  <r>
    <s v="Rural+Urban"/>
    <n v="2020"/>
    <s v="July"/>
    <x v="90"/>
    <s v="Education"/>
    <n v="156.4"/>
    <x v="7"/>
  </r>
  <r>
    <s v="Rural+Urban"/>
    <n v="2020"/>
    <s v="July"/>
    <x v="90"/>
    <s v="Personal care and effects"/>
    <n v="151.6"/>
    <x v="4"/>
  </r>
  <r>
    <s v="Rural+Urban"/>
    <n v="2020"/>
    <s v="July"/>
    <x v="90"/>
    <s v="Miscellaneous"/>
    <n v="147"/>
    <x v="8"/>
  </r>
  <r>
    <s v="Rural+Urban"/>
    <n v="2020"/>
    <s v="July"/>
    <x v="90"/>
    <s v="General index"/>
    <n v="151.80000000000001"/>
    <x v="9"/>
  </r>
  <r>
    <s v="Rural"/>
    <n v="2020"/>
    <s v="August"/>
    <x v="91"/>
    <s v="Cereals and products"/>
    <n v="147.6"/>
    <x v="0"/>
  </r>
  <r>
    <s v="Rural"/>
    <n v="2020"/>
    <s v="August"/>
    <x v="91"/>
    <s v="Meat and fish"/>
    <n v="187.2"/>
    <x v="0"/>
  </r>
  <r>
    <s v="Rural"/>
    <n v="2020"/>
    <s v="August"/>
    <x v="91"/>
    <s v="Egg"/>
    <n v="148.4"/>
    <x v="0"/>
  </r>
  <r>
    <s v="Rural"/>
    <n v="2020"/>
    <s v="August"/>
    <x v="91"/>
    <s v="Milk and products"/>
    <n v="153.30000000000001"/>
    <x v="0"/>
  </r>
  <r>
    <s v="Rural"/>
    <n v="2020"/>
    <s v="August"/>
    <x v="91"/>
    <s v="Oils and fats"/>
    <n v="139.80000000000001"/>
    <x v="0"/>
  </r>
  <r>
    <s v="Rural"/>
    <n v="2020"/>
    <s v="August"/>
    <x v="91"/>
    <s v="Fruits"/>
    <n v="146.9"/>
    <x v="0"/>
  </r>
  <r>
    <s v="Rural"/>
    <n v="2020"/>
    <s v="August"/>
    <x v="91"/>
    <s v="Vegetables"/>
    <n v="171"/>
    <x v="0"/>
  </r>
  <r>
    <s v="Rural"/>
    <n v="2020"/>
    <s v="August"/>
    <x v="91"/>
    <s v="Pulses and products"/>
    <n v="149.9"/>
    <x v="0"/>
  </r>
  <r>
    <s v="Rural"/>
    <n v="2020"/>
    <s v="August"/>
    <x v="91"/>
    <s v="Sugar and Confectionery"/>
    <n v="114.2"/>
    <x v="0"/>
  </r>
  <r>
    <s v="Rural"/>
    <n v="2020"/>
    <s v="August"/>
    <x v="91"/>
    <s v="Spices"/>
    <n v="160"/>
    <x v="0"/>
  </r>
  <r>
    <s v="Rural"/>
    <n v="2020"/>
    <s v="August"/>
    <x v="91"/>
    <s v="Non-alcoholic beverages"/>
    <n v="143.5"/>
    <x v="0"/>
  </r>
  <r>
    <s v="Rural"/>
    <n v="2020"/>
    <s v="August"/>
    <x v="91"/>
    <s v="Prepared meals, snacks, sweets etc."/>
    <n v="161.5"/>
    <x v="0"/>
  </r>
  <r>
    <s v="Rural"/>
    <n v="2020"/>
    <s v="August"/>
    <x v="91"/>
    <s v="Food and beverages"/>
    <n v="155.30000000000001"/>
    <x v="0"/>
  </r>
  <r>
    <s v="Rural"/>
    <n v="2020"/>
    <s v="August"/>
    <x v="91"/>
    <s v="Pan, tobacco and intoxicants"/>
    <n v="180.9"/>
    <x v="1"/>
  </r>
  <r>
    <s v="Rural"/>
    <n v="2020"/>
    <s v="August"/>
    <x v="91"/>
    <s v="Clothing"/>
    <n v="155.1"/>
    <x v="2"/>
  </r>
  <r>
    <s v="Rural"/>
    <n v="2020"/>
    <s v="August"/>
    <x v="91"/>
    <s v="Footwear"/>
    <n v="149.30000000000001"/>
    <x v="2"/>
  </r>
  <r>
    <s v="Rural"/>
    <n v="2020"/>
    <s v="August"/>
    <x v="91"/>
    <s v="Clothing and footwear"/>
    <n v="154.30000000000001"/>
    <x v="2"/>
  </r>
  <r>
    <s v="Rural"/>
    <n v="2020"/>
    <s v="August"/>
    <x v="91"/>
    <s v="Fuel and light"/>
    <n v="145.80000000000001"/>
    <x v="3"/>
  </r>
  <r>
    <s v="Rural"/>
    <n v="2020"/>
    <s v="August"/>
    <x v="91"/>
    <s v="Household goods and services"/>
    <n v="151.9"/>
    <x v="4"/>
  </r>
  <r>
    <s v="Rural"/>
    <n v="2020"/>
    <s v="August"/>
    <x v="91"/>
    <s v="Health"/>
    <n v="158.80000000000001"/>
    <x v="5"/>
  </r>
  <r>
    <s v="Rural"/>
    <n v="2020"/>
    <s v="August"/>
    <x v="91"/>
    <s v="Transport and communication"/>
    <n v="143.6"/>
    <x v="6"/>
  </r>
  <r>
    <s v="Rural"/>
    <n v="2020"/>
    <s v="August"/>
    <x v="91"/>
    <s v="Recreation and amusement"/>
    <n v="152.19999999999999"/>
    <x v="1"/>
  </r>
  <r>
    <s v="Rural"/>
    <n v="2020"/>
    <s v="August"/>
    <x v="91"/>
    <s v="Education"/>
    <n v="162.69999999999999"/>
    <x v="7"/>
  </r>
  <r>
    <s v="Rural"/>
    <n v="2020"/>
    <s v="August"/>
    <x v="91"/>
    <s v="Personal care and effects"/>
    <n v="153.6"/>
    <x v="4"/>
  </r>
  <r>
    <s v="Rural"/>
    <n v="2020"/>
    <s v="August"/>
    <x v="91"/>
    <s v="Miscellaneous"/>
    <n v="153"/>
    <x v="8"/>
  </r>
  <r>
    <s v="Rural"/>
    <n v="2020"/>
    <s v="August"/>
    <x v="91"/>
    <s v="General index"/>
    <n v="154.69999999999999"/>
    <x v="9"/>
  </r>
  <r>
    <s v="Urban"/>
    <n v="2020"/>
    <s v="August"/>
    <x v="91"/>
    <s v="Cereals and products"/>
    <n v="151.6"/>
    <x v="0"/>
  </r>
  <r>
    <s v="Urban"/>
    <n v="2020"/>
    <s v="August"/>
    <x v="91"/>
    <s v="Meat and fish"/>
    <n v="197.8"/>
    <x v="0"/>
  </r>
  <r>
    <s v="Urban"/>
    <n v="2020"/>
    <s v="August"/>
    <x v="91"/>
    <s v="Egg"/>
    <n v="154.5"/>
    <x v="0"/>
  </r>
  <r>
    <s v="Urban"/>
    <n v="2020"/>
    <s v="August"/>
    <x v="91"/>
    <s v="Milk and products"/>
    <n v="153.4"/>
    <x v="0"/>
  </r>
  <r>
    <s v="Urban"/>
    <n v="2020"/>
    <s v="August"/>
    <x v="91"/>
    <s v="Oils and fats"/>
    <n v="133.4"/>
    <x v="0"/>
  </r>
  <r>
    <s v="Urban"/>
    <n v="2020"/>
    <s v="August"/>
    <x v="91"/>
    <s v="Fruits"/>
    <n v="154.5"/>
    <x v="0"/>
  </r>
  <r>
    <s v="Urban"/>
    <n v="2020"/>
    <s v="August"/>
    <x v="91"/>
    <s v="Vegetables"/>
    <n v="191.9"/>
    <x v="0"/>
  </r>
  <r>
    <s v="Urban"/>
    <n v="2020"/>
    <s v="August"/>
    <x v="91"/>
    <s v="Pulses and products"/>
    <n v="151.30000000000001"/>
    <x v="0"/>
  </r>
  <r>
    <s v="Urban"/>
    <n v="2020"/>
    <s v="August"/>
    <x v="91"/>
    <s v="Sugar and Confectionery"/>
    <n v="116.8"/>
    <x v="0"/>
  </r>
  <r>
    <s v="Urban"/>
    <n v="2020"/>
    <s v="August"/>
    <x v="91"/>
    <s v="Spices"/>
    <n v="160"/>
    <x v="0"/>
  </r>
  <r>
    <s v="Urban"/>
    <n v="2020"/>
    <s v="August"/>
    <x v="91"/>
    <s v="Non-alcoholic beverages"/>
    <n v="136.5"/>
    <x v="0"/>
  </r>
  <r>
    <s v="Urban"/>
    <n v="2020"/>
    <s v="August"/>
    <x v="91"/>
    <s v="Prepared meals, snacks, sweets etc."/>
    <n v="163.30000000000001"/>
    <x v="0"/>
  </r>
  <r>
    <s v="Urban"/>
    <n v="2020"/>
    <s v="August"/>
    <x v="91"/>
    <s v="Food and beverages"/>
    <n v="159.9"/>
    <x v="0"/>
  </r>
  <r>
    <s v="Urban"/>
    <n v="2020"/>
    <s v="August"/>
    <x v="91"/>
    <s v="Pan, tobacco and intoxicants"/>
    <n v="187.2"/>
    <x v="1"/>
  </r>
  <r>
    <s v="Urban"/>
    <n v="2020"/>
    <s v="August"/>
    <x v="91"/>
    <s v="Clothing"/>
    <n v="150"/>
    <x v="2"/>
  </r>
  <r>
    <s v="Urban"/>
    <n v="2020"/>
    <s v="August"/>
    <x v="91"/>
    <s v="Footwear"/>
    <n v="135.19999999999999"/>
    <x v="2"/>
  </r>
  <r>
    <s v="Urban"/>
    <n v="2020"/>
    <s v="August"/>
    <x v="91"/>
    <s v="Clothing and footwear"/>
    <n v="147.80000000000001"/>
    <x v="2"/>
  </r>
  <r>
    <s v="Urban"/>
    <n v="2020"/>
    <s v="August"/>
    <x v="91"/>
    <s v="Housing"/>
    <n v="155.5"/>
    <x v="10"/>
  </r>
  <r>
    <s v="Urban"/>
    <n v="2020"/>
    <s v="August"/>
    <x v="91"/>
    <s v="Fuel and light"/>
    <n v="138.30000000000001"/>
    <x v="3"/>
  </r>
  <r>
    <s v="Urban"/>
    <n v="2020"/>
    <s v="August"/>
    <x v="91"/>
    <s v="Household goods and services"/>
    <n v="144.5"/>
    <x v="4"/>
  </r>
  <r>
    <s v="Urban"/>
    <n v="2020"/>
    <s v="August"/>
    <x v="91"/>
    <s v="Health"/>
    <n v="148.69999999999999"/>
    <x v="5"/>
  </r>
  <r>
    <s v="Urban"/>
    <n v="2020"/>
    <s v="August"/>
    <x v="91"/>
    <s v="Transport and communication"/>
    <n v="133.9"/>
    <x v="6"/>
  </r>
  <r>
    <s v="Urban"/>
    <n v="2020"/>
    <s v="August"/>
    <x v="91"/>
    <s v="Recreation and amusement"/>
    <n v="141.19999999999999"/>
    <x v="1"/>
  </r>
  <r>
    <s v="Urban"/>
    <n v="2020"/>
    <s v="August"/>
    <x v="91"/>
    <s v="Education"/>
    <n v="155.5"/>
    <x v="7"/>
  </r>
  <r>
    <s v="Urban"/>
    <n v="2020"/>
    <s v="August"/>
    <x v="91"/>
    <s v="Personal care and effects"/>
    <n v="155.19999999999999"/>
    <x v="4"/>
  </r>
  <r>
    <s v="Urban"/>
    <n v="2020"/>
    <s v="August"/>
    <x v="91"/>
    <s v="Miscellaneous"/>
    <n v="144.80000000000001"/>
    <x v="8"/>
  </r>
  <r>
    <s v="Urban"/>
    <n v="2020"/>
    <s v="August"/>
    <x v="91"/>
    <s v="General index"/>
    <n v="152.9"/>
    <x v="9"/>
  </r>
  <r>
    <s v="Rural+Urban"/>
    <n v="2020"/>
    <s v="August"/>
    <x v="91"/>
    <s v="Cereals and products"/>
    <n v="148.9"/>
    <x v="0"/>
  </r>
  <r>
    <s v="Rural+Urban"/>
    <n v="2020"/>
    <s v="August"/>
    <x v="91"/>
    <s v="Meat and fish"/>
    <n v="190.9"/>
    <x v="0"/>
  </r>
  <r>
    <s v="Rural+Urban"/>
    <n v="2020"/>
    <s v="August"/>
    <x v="91"/>
    <s v="Egg"/>
    <n v="150.80000000000001"/>
    <x v="0"/>
  </r>
  <r>
    <s v="Rural+Urban"/>
    <n v="2020"/>
    <s v="August"/>
    <x v="91"/>
    <s v="Milk and products"/>
    <n v="153.30000000000001"/>
    <x v="0"/>
  </r>
  <r>
    <s v="Rural+Urban"/>
    <n v="2020"/>
    <s v="August"/>
    <x v="91"/>
    <s v="Oils and fats"/>
    <n v="137.4"/>
    <x v="0"/>
  </r>
  <r>
    <s v="Rural+Urban"/>
    <n v="2020"/>
    <s v="August"/>
    <x v="91"/>
    <s v="Fruits"/>
    <n v="150.4"/>
    <x v="0"/>
  </r>
  <r>
    <s v="Rural+Urban"/>
    <n v="2020"/>
    <s v="August"/>
    <x v="91"/>
    <s v="Vegetables"/>
    <n v="178.1"/>
    <x v="0"/>
  </r>
  <r>
    <s v="Rural+Urban"/>
    <n v="2020"/>
    <s v="August"/>
    <x v="91"/>
    <s v="Pulses and products"/>
    <n v="150.4"/>
    <x v="0"/>
  </r>
  <r>
    <s v="Rural+Urban"/>
    <n v="2020"/>
    <s v="August"/>
    <x v="91"/>
    <s v="Sugar and Confectionery"/>
    <n v="115.1"/>
    <x v="0"/>
  </r>
  <r>
    <s v="Rural+Urban"/>
    <n v="2020"/>
    <s v="August"/>
    <x v="91"/>
    <s v="Spices"/>
    <n v="160"/>
    <x v="0"/>
  </r>
  <r>
    <s v="Rural+Urban"/>
    <n v="2020"/>
    <s v="August"/>
    <x v="91"/>
    <s v="Non-alcoholic beverages"/>
    <n v="140.6"/>
    <x v="0"/>
  </r>
  <r>
    <s v="Rural+Urban"/>
    <n v="2020"/>
    <s v="August"/>
    <x v="91"/>
    <s v="Prepared meals, snacks, sweets etc."/>
    <n v="162.30000000000001"/>
    <x v="0"/>
  </r>
  <r>
    <s v="Rural+Urban"/>
    <n v="2020"/>
    <s v="August"/>
    <x v="91"/>
    <s v="Food and beverages"/>
    <n v="157"/>
    <x v="0"/>
  </r>
  <r>
    <s v="Rural+Urban"/>
    <n v="2020"/>
    <s v="August"/>
    <x v="91"/>
    <s v="Pan, tobacco and intoxicants"/>
    <n v="182.6"/>
    <x v="1"/>
  </r>
  <r>
    <s v="Rural+Urban"/>
    <n v="2020"/>
    <s v="August"/>
    <x v="91"/>
    <s v="Clothing"/>
    <n v="153.1"/>
    <x v="2"/>
  </r>
  <r>
    <s v="Rural+Urban"/>
    <n v="2020"/>
    <s v="August"/>
    <x v="91"/>
    <s v="Footwear"/>
    <n v="143.4"/>
    <x v="2"/>
  </r>
  <r>
    <s v="Rural+Urban"/>
    <n v="2020"/>
    <s v="August"/>
    <x v="91"/>
    <s v="Clothing and footwear"/>
    <n v="151.69999999999999"/>
    <x v="2"/>
  </r>
  <r>
    <s v="Rural+Urban"/>
    <n v="2020"/>
    <s v="August"/>
    <x v="91"/>
    <s v="Housing"/>
    <n v="155.5"/>
    <x v="10"/>
  </r>
  <r>
    <s v="Rural+Urban"/>
    <n v="2020"/>
    <s v="August"/>
    <x v="91"/>
    <s v="Fuel and light"/>
    <n v="143"/>
    <x v="3"/>
  </r>
  <r>
    <s v="Rural+Urban"/>
    <n v="2020"/>
    <s v="August"/>
    <x v="91"/>
    <s v="Household goods and services"/>
    <n v="148.4"/>
    <x v="4"/>
  </r>
  <r>
    <s v="Rural+Urban"/>
    <n v="2020"/>
    <s v="August"/>
    <x v="91"/>
    <s v="Health"/>
    <n v="155"/>
    <x v="5"/>
  </r>
  <r>
    <s v="Rural+Urban"/>
    <n v="2020"/>
    <s v="August"/>
    <x v="91"/>
    <s v="Transport and communication"/>
    <n v="138.5"/>
    <x v="6"/>
  </r>
  <r>
    <s v="Rural+Urban"/>
    <n v="2020"/>
    <s v="August"/>
    <x v="91"/>
    <s v="Recreation and amusement"/>
    <n v="146"/>
    <x v="1"/>
  </r>
  <r>
    <s v="Rural+Urban"/>
    <n v="2020"/>
    <s v="August"/>
    <x v="91"/>
    <s v="Education"/>
    <n v="158.5"/>
    <x v="7"/>
  </r>
  <r>
    <s v="Rural+Urban"/>
    <n v="2020"/>
    <s v="August"/>
    <x v="91"/>
    <s v="Personal care and effects"/>
    <n v="154.30000000000001"/>
    <x v="4"/>
  </r>
  <r>
    <s v="Rural+Urban"/>
    <n v="2020"/>
    <s v="August"/>
    <x v="91"/>
    <s v="Miscellaneous"/>
    <n v="149"/>
    <x v="8"/>
  </r>
  <r>
    <s v="Rural+Urban"/>
    <n v="2020"/>
    <s v="August"/>
    <x v="91"/>
    <s v="General index"/>
    <n v="153.9"/>
    <x v="9"/>
  </r>
  <r>
    <s v="Rural"/>
    <n v="2020"/>
    <s v="September"/>
    <x v="92"/>
    <s v="Cereals and products"/>
    <n v="146.9"/>
    <x v="0"/>
  </r>
  <r>
    <s v="Rural"/>
    <n v="2020"/>
    <s v="September"/>
    <x v="92"/>
    <s v="Meat and fish"/>
    <n v="183.9"/>
    <x v="0"/>
  </r>
  <r>
    <s v="Rural"/>
    <n v="2020"/>
    <s v="September"/>
    <x v="92"/>
    <s v="Egg"/>
    <n v="149.5"/>
    <x v="0"/>
  </r>
  <r>
    <s v="Rural"/>
    <n v="2020"/>
    <s v="September"/>
    <x v="92"/>
    <s v="Milk and products"/>
    <n v="153.4"/>
    <x v="0"/>
  </r>
  <r>
    <s v="Rural"/>
    <n v="2020"/>
    <s v="September"/>
    <x v="92"/>
    <s v="Oils and fats"/>
    <n v="140.4"/>
    <x v="0"/>
  </r>
  <r>
    <s v="Rural"/>
    <n v="2020"/>
    <s v="September"/>
    <x v="92"/>
    <s v="Fruits"/>
    <n v="147"/>
    <x v="0"/>
  </r>
  <r>
    <s v="Rural"/>
    <n v="2020"/>
    <s v="September"/>
    <x v="92"/>
    <s v="Vegetables"/>
    <n v="178.8"/>
    <x v="0"/>
  </r>
  <r>
    <s v="Rural"/>
    <n v="2020"/>
    <s v="September"/>
    <x v="92"/>
    <s v="Pulses and products"/>
    <n v="149.30000000000001"/>
    <x v="0"/>
  </r>
  <r>
    <s v="Rural"/>
    <n v="2020"/>
    <s v="September"/>
    <x v="92"/>
    <s v="Sugar and Confectionery"/>
    <n v="115.1"/>
    <x v="0"/>
  </r>
  <r>
    <s v="Rural"/>
    <n v="2020"/>
    <s v="September"/>
    <x v="92"/>
    <s v="Spices"/>
    <n v="160"/>
    <x v="0"/>
  </r>
  <r>
    <s v="Rural"/>
    <n v="2020"/>
    <s v="September"/>
    <x v="92"/>
    <s v="Non-alcoholic beverages"/>
    <n v="145.4"/>
    <x v="0"/>
  </r>
  <r>
    <s v="Rural"/>
    <n v="2020"/>
    <s v="September"/>
    <x v="92"/>
    <s v="Prepared meals, snacks, sweets etc."/>
    <n v="161.6"/>
    <x v="0"/>
  </r>
  <r>
    <s v="Rural"/>
    <n v="2020"/>
    <s v="September"/>
    <x v="92"/>
    <s v="Food and beverages"/>
    <n v="156.1"/>
    <x v="0"/>
  </r>
  <r>
    <s v="Rural"/>
    <n v="2020"/>
    <s v="September"/>
    <x v="92"/>
    <s v="Pan, tobacco and intoxicants"/>
    <n v="182.9"/>
    <x v="1"/>
  </r>
  <r>
    <s v="Rural"/>
    <n v="2020"/>
    <s v="September"/>
    <x v="92"/>
    <s v="Clothing"/>
    <n v="155.4"/>
    <x v="2"/>
  </r>
  <r>
    <s v="Rural"/>
    <n v="2020"/>
    <s v="September"/>
    <x v="92"/>
    <s v="Footwear"/>
    <n v="149.9"/>
    <x v="2"/>
  </r>
  <r>
    <s v="Rural"/>
    <n v="2020"/>
    <s v="September"/>
    <x v="92"/>
    <s v="Clothing and footwear"/>
    <n v="154.6"/>
    <x v="2"/>
  </r>
  <r>
    <s v="Rural"/>
    <n v="2020"/>
    <s v="September"/>
    <x v="92"/>
    <s v="Fuel and light"/>
    <n v="146.4"/>
    <x v="3"/>
  </r>
  <r>
    <s v="Rural"/>
    <n v="2020"/>
    <s v="September"/>
    <x v="92"/>
    <s v="Household goods and services"/>
    <n v="151.6"/>
    <x v="4"/>
  </r>
  <r>
    <s v="Rural"/>
    <n v="2020"/>
    <s v="September"/>
    <x v="92"/>
    <s v="Health"/>
    <n v="159.1"/>
    <x v="5"/>
  </r>
  <r>
    <s v="Rural"/>
    <n v="2020"/>
    <s v="September"/>
    <x v="92"/>
    <s v="Transport and communication"/>
    <n v="144.6"/>
    <x v="6"/>
  </r>
  <r>
    <s v="Rural"/>
    <n v="2020"/>
    <s v="September"/>
    <x v="92"/>
    <s v="Recreation and amusement"/>
    <n v="152.80000000000001"/>
    <x v="1"/>
  </r>
  <r>
    <s v="Rural"/>
    <n v="2020"/>
    <s v="September"/>
    <x v="92"/>
    <s v="Education"/>
    <n v="161.1"/>
    <x v="7"/>
  </r>
  <r>
    <s v="Rural"/>
    <n v="2020"/>
    <s v="September"/>
    <x v="92"/>
    <s v="Personal care and effects"/>
    <n v="157.4"/>
    <x v="4"/>
  </r>
  <r>
    <s v="Rural"/>
    <n v="2020"/>
    <s v="September"/>
    <x v="92"/>
    <s v="Miscellaneous"/>
    <n v="153.69999999999999"/>
    <x v="8"/>
  </r>
  <r>
    <s v="Rural"/>
    <n v="2020"/>
    <s v="September"/>
    <x v="92"/>
    <s v="General index"/>
    <n v="155.4"/>
    <x v="9"/>
  </r>
  <r>
    <s v="Urban"/>
    <n v="2020"/>
    <s v="September"/>
    <x v="92"/>
    <s v="Cereals and products"/>
    <n v="151.5"/>
    <x v="0"/>
  </r>
  <r>
    <s v="Urban"/>
    <n v="2020"/>
    <s v="September"/>
    <x v="92"/>
    <s v="Meat and fish"/>
    <n v="193.1"/>
    <x v="0"/>
  </r>
  <r>
    <s v="Urban"/>
    <n v="2020"/>
    <s v="September"/>
    <x v="92"/>
    <s v="Egg"/>
    <n v="157.30000000000001"/>
    <x v="0"/>
  </r>
  <r>
    <s v="Urban"/>
    <n v="2020"/>
    <s v="September"/>
    <x v="92"/>
    <s v="Milk and products"/>
    <n v="153.9"/>
    <x v="0"/>
  </r>
  <r>
    <s v="Urban"/>
    <n v="2020"/>
    <s v="September"/>
    <x v="92"/>
    <s v="Oils and fats"/>
    <n v="134.4"/>
    <x v="0"/>
  </r>
  <r>
    <s v="Urban"/>
    <n v="2020"/>
    <s v="September"/>
    <x v="92"/>
    <s v="Fruits"/>
    <n v="155.4"/>
    <x v="0"/>
  </r>
  <r>
    <s v="Urban"/>
    <n v="2020"/>
    <s v="September"/>
    <x v="92"/>
    <s v="Vegetables"/>
    <n v="202"/>
    <x v="0"/>
  </r>
  <r>
    <s v="Urban"/>
    <n v="2020"/>
    <s v="September"/>
    <x v="92"/>
    <s v="Pulses and products"/>
    <n v="150.80000000000001"/>
    <x v="0"/>
  </r>
  <r>
    <s v="Urban"/>
    <n v="2020"/>
    <s v="September"/>
    <x v="92"/>
    <s v="Sugar and Confectionery"/>
    <n v="118.9"/>
    <x v="0"/>
  </r>
  <r>
    <s v="Urban"/>
    <n v="2020"/>
    <s v="September"/>
    <x v="92"/>
    <s v="Spices"/>
    <n v="160.9"/>
    <x v="0"/>
  </r>
  <r>
    <s v="Urban"/>
    <n v="2020"/>
    <s v="September"/>
    <x v="92"/>
    <s v="Non-alcoholic beverages"/>
    <n v="137.69999999999999"/>
    <x v="0"/>
  </r>
  <r>
    <s v="Urban"/>
    <n v="2020"/>
    <s v="September"/>
    <x v="92"/>
    <s v="Prepared meals, snacks, sweets etc."/>
    <n v="164.4"/>
    <x v="0"/>
  </r>
  <r>
    <s v="Urban"/>
    <n v="2020"/>
    <s v="September"/>
    <x v="92"/>
    <s v="Food and beverages"/>
    <n v="161.30000000000001"/>
    <x v="0"/>
  </r>
  <r>
    <s v="Urban"/>
    <n v="2020"/>
    <s v="September"/>
    <x v="92"/>
    <s v="Pan, tobacco and intoxicants"/>
    <n v="188.7"/>
    <x v="1"/>
  </r>
  <r>
    <s v="Urban"/>
    <n v="2020"/>
    <s v="September"/>
    <x v="92"/>
    <s v="Clothing"/>
    <n v="150.19999999999999"/>
    <x v="2"/>
  </r>
  <r>
    <s v="Urban"/>
    <n v="2020"/>
    <s v="September"/>
    <x v="92"/>
    <s v="Footwear"/>
    <n v="136.30000000000001"/>
    <x v="2"/>
  </r>
  <r>
    <s v="Urban"/>
    <n v="2020"/>
    <s v="September"/>
    <x v="92"/>
    <s v="Clothing and footwear"/>
    <n v="148.1"/>
    <x v="2"/>
  </r>
  <r>
    <s v="Urban"/>
    <n v="2020"/>
    <s v="September"/>
    <x v="92"/>
    <s v="Housing"/>
    <n v="156.30000000000001"/>
    <x v="10"/>
  </r>
  <r>
    <s v="Urban"/>
    <n v="2020"/>
    <s v="September"/>
    <x v="92"/>
    <s v="Fuel and light"/>
    <n v="137.19999999999999"/>
    <x v="3"/>
  </r>
  <r>
    <s v="Urban"/>
    <n v="2020"/>
    <s v="September"/>
    <x v="92"/>
    <s v="Household goods and services"/>
    <n v="145.4"/>
    <x v="4"/>
  </r>
  <r>
    <s v="Urban"/>
    <n v="2020"/>
    <s v="September"/>
    <x v="92"/>
    <s v="Health"/>
    <n v="150"/>
    <x v="5"/>
  </r>
  <r>
    <s v="Urban"/>
    <n v="2020"/>
    <s v="September"/>
    <x v="92"/>
    <s v="Transport and communication"/>
    <n v="135.1"/>
    <x v="6"/>
  </r>
  <r>
    <s v="Urban"/>
    <n v="2020"/>
    <s v="September"/>
    <x v="92"/>
    <s v="Recreation and amusement"/>
    <n v="141.80000000000001"/>
    <x v="1"/>
  </r>
  <r>
    <s v="Urban"/>
    <n v="2020"/>
    <s v="September"/>
    <x v="92"/>
    <s v="Education"/>
    <n v="154.9"/>
    <x v="7"/>
  </r>
  <r>
    <s v="Urban"/>
    <n v="2020"/>
    <s v="September"/>
    <x v="92"/>
    <s v="Personal care and effects"/>
    <n v="159.80000000000001"/>
    <x v="4"/>
  </r>
  <r>
    <s v="Urban"/>
    <n v="2020"/>
    <s v="September"/>
    <x v="92"/>
    <s v="Miscellaneous"/>
    <n v="146"/>
    <x v="8"/>
  </r>
  <r>
    <s v="Urban"/>
    <n v="2020"/>
    <s v="September"/>
    <x v="92"/>
    <s v="General index"/>
    <n v="154"/>
    <x v="9"/>
  </r>
  <r>
    <s v="Rural+Urban"/>
    <n v="2020"/>
    <s v="September"/>
    <x v="92"/>
    <s v="Cereals and products"/>
    <n v="148.4"/>
    <x v="0"/>
  </r>
  <r>
    <s v="Rural+Urban"/>
    <n v="2020"/>
    <s v="September"/>
    <x v="92"/>
    <s v="Meat and fish"/>
    <n v="187.1"/>
    <x v="0"/>
  </r>
  <r>
    <s v="Rural+Urban"/>
    <n v="2020"/>
    <s v="September"/>
    <x v="92"/>
    <s v="Egg"/>
    <n v="152.5"/>
    <x v="0"/>
  </r>
  <r>
    <s v="Rural+Urban"/>
    <n v="2020"/>
    <s v="September"/>
    <x v="92"/>
    <s v="Milk and products"/>
    <n v="153.6"/>
    <x v="0"/>
  </r>
  <r>
    <s v="Rural+Urban"/>
    <n v="2020"/>
    <s v="September"/>
    <x v="92"/>
    <s v="Oils and fats"/>
    <n v="138.19999999999999"/>
    <x v="0"/>
  </r>
  <r>
    <s v="Rural+Urban"/>
    <n v="2020"/>
    <s v="September"/>
    <x v="92"/>
    <s v="Fruits"/>
    <n v="150.9"/>
    <x v="0"/>
  </r>
  <r>
    <s v="Rural+Urban"/>
    <n v="2020"/>
    <s v="September"/>
    <x v="92"/>
    <s v="Vegetables"/>
    <n v="186.7"/>
    <x v="0"/>
  </r>
  <r>
    <s v="Rural+Urban"/>
    <n v="2020"/>
    <s v="September"/>
    <x v="92"/>
    <s v="Pulses and products"/>
    <n v="149.80000000000001"/>
    <x v="0"/>
  </r>
  <r>
    <s v="Rural+Urban"/>
    <n v="2020"/>
    <s v="September"/>
    <x v="92"/>
    <s v="Sugar and Confectionery"/>
    <n v="116.4"/>
    <x v="0"/>
  </r>
  <r>
    <s v="Rural+Urban"/>
    <n v="2020"/>
    <s v="September"/>
    <x v="92"/>
    <s v="Spices"/>
    <n v="160.30000000000001"/>
    <x v="0"/>
  </r>
  <r>
    <s v="Rural+Urban"/>
    <n v="2020"/>
    <s v="September"/>
    <x v="92"/>
    <s v="Non-alcoholic beverages"/>
    <n v="142.19999999999999"/>
    <x v="0"/>
  </r>
  <r>
    <s v="Rural+Urban"/>
    <n v="2020"/>
    <s v="September"/>
    <x v="92"/>
    <s v="Prepared meals, snacks, sweets etc."/>
    <n v="162.9"/>
    <x v="0"/>
  </r>
  <r>
    <s v="Rural+Urban"/>
    <n v="2020"/>
    <s v="September"/>
    <x v="92"/>
    <s v="Food and beverages"/>
    <n v="158"/>
    <x v="0"/>
  </r>
  <r>
    <s v="Rural+Urban"/>
    <n v="2020"/>
    <s v="September"/>
    <x v="92"/>
    <s v="Pan, tobacco and intoxicants"/>
    <n v="184.4"/>
    <x v="1"/>
  </r>
  <r>
    <s v="Rural+Urban"/>
    <n v="2020"/>
    <s v="September"/>
    <x v="92"/>
    <s v="Clothing"/>
    <n v="153.4"/>
    <x v="2"/>
  </r>
  <r>
    <s v="Rural+Urban"/>
    <n v="2020"/>
    <s v="September"/>
    <x v="92"/>
    <s v="Footwear"/>
    <n v="144.30000000000001"/>
    <x v="2"/>
  </r>
  <r>
    <s v="Rural+Urban"/>
    <n v="2020"/>
    <s v="September"/>
    <x v="92"/>
    <s v="Clothing and footwear"/>
    <n v="152"/>
    <x v="2"/>
  </r>
  <r>
    <s v="Rural+Urban"/>
    <n v="2020"/>
    <s v="September"/>
    <x v="92"/>
    <s v="Housing"/>
    <n v="156.30000000000001"/>
    <x v="10"/>
  </r>
  <r>
    <s v="Rural+Urban"/>
    <n v="2020"/>
    <s v="September"/>
    <x v="92"/>
    <s v="Fuel and light"/>
    <n v="142.9"/>
    <x v="3"/>
  </r>
  <r>
    <s v="Rural+Urban"/>
    <n v="2020"/>
    <s v="September"/>
    <x v="92"/>
    <s v="Household goods and services"/>
    <n v="148.69999999999999"/>
    <x v="4"/>
  </r>
  <r>
    <s v="Rural+Urban"/>
    <n v="2020"/>
    <s v="September"/>
    <x v="92"/>
    <s v="Health"/>
    <n v="155.6"/>
    <x v="5"/>
  </r>
  <r>
    <s v="Rural+Urban"/>
    <n v="2020"/>
    <s v="September"/>
    <x v="92"/>
    <s v="Transport and communication"/>
    <n v="139.6"/>
    <x v="6"/>
  </r>
  <r>
    <s v="Rural+Urban"/>
    <n v="2020"/>
    <s v="September"/>
    <x v="92"/>
    <s v="Recreation and amusement"/>
    <n v="146.6"/>
    <x v="1"/>
  </r>
  <r>
    <s v="Rural+Urban"/>
    <n v="2020"/>
    <s v="September"/>
    <x v="92"/>
    <s v="Education"/>
    <n v="157.5"/>
    <x v="7"/>
  </r>
  <r>
    <s v="Rural+Urban"/>
    <n v="2020"/>
    <s v="September"/>
    <x v="92"/>
    <s v="Personal care and effects"/>
    <n v="158.4"/>
    <x v="4"/>
  </r>
  <r>
    <s v="Rural+Urban"/>
    <n v="2020"/>
    <s v="September"/>
    <x v="92"/>
    <s v="Miscellaneous"/>
    <n v="150"/>
    <x v="8"/>
  </r>
  <r>
    <s v="Rural+Urban"/>
    <n v="2020"/>
    <s v="September"/>
    <x v="92"/>
    <s v="General index"/>
    <n v="154.69999999999999"/>
    <x v="9"/>
  </r>
  <r>
    <s v="Rural"/>
    <n v="2020"/>
    <s v="October"/>
    <x v="93"/>
    <s v="Cereals and products"/>
    <n v="146"/>
    <x v="0"/>
  </r>
  <r>
    <s v="Rural"/>
    <n v="2020"/>
    <s v="October"/>
    <x v="93"/>
    <s v="Meat and fish"/>
    <n v="186.3"/>
    <x v="0"/>
  </r>
  <r>
    <s v="Rural"/>
    <n v="2020"/>
    <s v="October"/>
    <x v="93"/>
    <s v="Egg"/>
    <n v="159.19999999999999"/>
    <x v="0"/>
  </r>
  <r>
    <s v="Rural"/>
    <n v="2020"/>
    <s v="October"/>
    <x v="93"/>
    <s v="Milk and products"/>
    <n v="153.6"/>
    <x v="0"/>
  </r>
  <r>
    <s v="Rural"/>
    <n v="2020"/>
    <s v="October"/>
    <x v="93"/>
    <s v="Oils and fats"/>
    <n v="142.6"/>
    <x v="0"/>
  </r>
  <r>
    <s v="Rural"/>
    <n v="2020"/>
    <s v="October"/>
    <x v="93"/>
    <s v="Fruits"/>
    <n v="147.19999999999999"/>
    <x v="0"/>
  </r>
  <r>
    <s v="Rural"/>
    <n v="2020"/>
    <s v="October"/>
    <x v="93"/>
    <s v="Vegetables"/>
    <n v="200.6"/>
    <x v="0"/>
  </r>
  <r>
    <s v="Rural"/>
    <n v="2020"/>
    <s v="October"/>
    <x v="93"/>
    <s v="Pulses and products"/>
    <n v="150.30000000000001"/>
    <x v="0"/>
  </r>
  <r>
    <s v="Rural"/>
    <n v="2020"/>
    <s v="October"/>
    <x v="93"/>
    <s v="Sugar and Confectionery"/>
    <n v="115.3"/>
    <x v="0"/>
  </r>
  <r>
    <s v="Rural"/>
    <n v="2020"/>
    <s v="October"/>
    <x v="93"/>
    <s v="Spices"/>
    <n v="160.9"/>
    <x v="0"/>
  </r>
  <r>
    <s v="Rural"/>
    <n v="2020"/>
    <s v="October"/>
    <x v="93"/>
    <s v="Non-alcoholic beverages"/>
    <n v="147.4"/>
    <x v="0"/>
  </r>
  <r>
    <s v="Rural"/>
    <n v="2020"/>
    <s v="October"/>
    <x v="93"/>
    <s v="Prepared meals, snacks, sweets etc."/>
    <n v="161.9"/>
    <x v="0"/>
  </r>
  <r>
    <s v="Rural"/>
    <n v="2020"/>
    <s v="October"/>
    <x v="93"/>
    <s v="Food and beverages"/>
    <n v="159.6"/>
    <x v="0"/>
  </r>
  <r>
    <s v="Rural"/>
    <n v="2020"/>
    <s v="October"/>
    <x v="93"/>
    <s v="Pan, tobacco and intoxicants"/>
    <n v="182.7"/>
    <x v="1"/>
  </r>
  <r>
    <s v="Rural"/>
    <n v="2020"/>
    <s v="October"/>
    <x v="93"/>
    <s v="Clothing"/>
    <n v="155.69999999999999"/>
    <x v="2"/>
  </r>
  <r>
    <s v="Rural"/>
    <n v="2020"/>
    <s v="October"/>
    <x v="93"/>
    <s v="Footwear"/>
    <n v="150.6"/>
    <x v="2"/>
  </r>
  <r>
    <s v="Rural"/>
    <n v="2020"/>
    <s v="October"/>
    <x v="93"/>
    <s v="Clothing and footwear"/>
    <n v="155"/>
    <x v="2"/>
  </r>
  <r>
    <s v="Rural"/>
    <n v="2020"/>
    <s v="October"/>
    <x v="93"/>
    <s v="Fuel and light"/>
    <n v="146.80000000000001"/>
    <x v="3"/>
  </r>
  <r>
    <s v="Rural"/>
    <n v="2020"/>
    <s v="October"/>
    <x v="93"/>
    <s v="Household goods and services"/>
    <n v="152"/>
    <x v="4"/>
  </r>
  <r>
    <s v="Rural"/>
    <n v="2020"/>
    <s v="October"/>
    <x v="93"/>
    <s v="Health"/>
    <n v="159.5"/>
    <x v="5"/>
  </r>
  <r>
    <s v="Rural"/>
    <n v="2020"/>
    <s v="October"/>
    <x v="93"/>
    <s v="Transport and communication"/>
    <n v="146.4"/>
    <x v="6"/>
  </r>
  <r>
    <s v="Rural"/>
    <n v="2020"/>
    <s v="October"/>
    <x v="93"/>
    <s v="Recreation and amusement"/>
    <n v="152.4"/>
    <x v="1"/>
  </r>
  <r>
    <s v="Rural"/>
    <n v="2020"/>
    <s v="October"/>
    <x v="93"/>
    <s v="Education"/>
    <n v="162.5"/>
    <x v="7"/>
  </r>
  <r>
    <s v="Rural"/>
    <n v="2020"/>
    <s v="October"/>
    <x v="93"/>
    <s v="Personal care and effects"/>
    <n v="156.19999999999999"/>
    <x v="4"/>
  </r>
  <r>
    <s v="Rural"/>
    <n v="2020"/>
    <s v="October"/>
    <x v="93"/>
    <s v="Miscellaneous"/>
    <n v="154.30000000000001"/>
    <x v="8"/>
  </r>
  <r>
    <s v="Rural"/>
    <n v="2020"/>
    <s v="October"/>
    <x v="93"/>
    <s v="General index"/>
    <n v="157.5"/>
    <x v="9"/>
  </r>
  <r>
    <s v="Urban"/>
    <n v="2020"/>
    <s v="October"/>
    <x v="93"/>
    <s v="Cereals and products"/>
    <n v="150.6"/>
    <x v="0"/>
  </r>
  <r>
    <s v="Urban"/>
    <n v="2020"/>
    <s v="October"/>
    <x v="93"/>
    <s v="Meat and fish"/>
    <n v="193.7"/>
    <x v="0"/>
  </r>
  <r>
    <s v="Urban"/>
    <n v="2020"/>
    <s v="October"/>
    <x v="93"/>
    <s v="Egg"/>
    <n v="164.8"/>
    <x v="0"/>
  </r>
  <r>
    <s v="Urban"/>
    <n v="2020"/>
    <s v="October"/>
    <x v="93"/>
    <s v="Milk and products"/>
    <n v="153.69999999999999"/>
    <x v="0"/>
  </r>
  <r>
    <s v="Urban"/>
    <n v="2020"/>
    <s v="October"/>
    <x v="93"/>
    <s v="Oils and fats"/>
    <n v="135.69999999999999"/>
    <x v="0"/>
  </r>
  <r>
    <s v="Urban"/>
    <n v="2020"/>
    <s v="October"/>
    <x v="93"/>
    <s v="Fruits"/>
    <n v="155.69999999999999"/>
    <x v="0"/>
  </r>
  <r>
    <s v="Urban"/>
    <n v="2020"/>
    <s v="October"/>
    <x v="93"/>
    <s v="Vegetables"/>
    <n v="226"/>
    <x v="0"/>
  </r>
  <r>
    <s v="Urban"/>
    <n v="2020"/>
    <s v="October"/>
    <x v="93"/>
    <s v="Pulses and products"/>
    <n v="152.19999999999999"/>
    <x v="0"/>
  </r>
  <r>
    <s v="Urban"/>
    <n v="2020"/>
    <s v="October"/>
    <x v="93"/>
    <s v="Sugar and Confectionery"/>
    <n v="118.1"/>
    <x v="0"/>
  </r>
  <r>
    <s v="Urban"/>
    <n v="2020"/>
    <s v="October"/>
    <x v="93"/>
    <s v="Spices"/>
    <n v="161.30000000000001"/>
    <x v="0"/>
  </r>
  <r>
    <s v="Urban"/>
    <n v="2020"/>
    <s v="October"/>
    <x v="93"/>
    <s v="Non-alcoholic beverages"/>
    <n v="139.19999999999999"/>
    <x v="0"/>
  </r>
  <r>
    <s v="Urban"/>
    <n v="2020"/>
    <s v="October"/>
    <x v="93"/>
    <s v="Prepared meals, snacks, sweets etc."/>
    <n v="164.8"/>
    <x v="0"/>
  </r>
  <r>
    <s v="Urban"/>
    <n v="2020"/>
    <s v="October"/>
    <x v="93"/>
    <s v="Food and beverages"/>
    <n v="164.4"/>
    <x v="0"/>
  </r>
  <r>
    <s v="Urban"/>
    <n v="2020"/>
    <s v="October"/>
    <x v="93"/>
    <s v="Pan, tobacco and intoxicants"/>
    <n v="188.7"/>
    <x v="1"/>
  </r>
  <r>
    <s v="Urban"/>
    <n v="2020"/>
    <s v="October"/>
    <x v="93"/>
    <s v="Clothing"/>
    <n v="150.5"/>
    <x v="2"/>
  </r>
  <r>
    <s v="Urban"/>
    <n v="2020"/>
    <s v="October"/>
    <x v="93"/>
    <s v="Footwear"/>
    <n v="136.1"/>
    <x v="2"/>
  </r>
  <r>
    <s v="Urban"/>
    <n v="2020"/>
    <s v="October"/>
    <x v="93"/>
    <s v="Clothing and footwear"/>
    <n v="148.30000000000001"/>
    <x v="2"/>
  </r>
  <r>
    <s v="Urban"/>
    <n v="2020"/>
    <s v="October"/>
    <x v="93"/>
    <s v="Housing"/>
    <n v="156.5"/>
    <x v="10"/>
  </r>
  <r>
    <s v="Urban"/>
    <n v="2020"/>
    <s v="October"/>
    <x v="93"/>
    <s v="Fuel and light"/>
    <n v="137.1"/>
    <x v="3"/>
  </r>
  <r>
    <s v="Urban"/>
    <n v="2020"/>
    <s v="October"/>
    <x v="93"/>
    <s v="Household goods and services"/>
    <n v="145.1"/>
    <x v="4"/>
  </r>
  <r>
    <s v="Urban"/>
    <n v="2020"/>
    <s v="October"/>
    <x v="93"/>
    <s v="Health"/>
    <n v="151"/>
    <x v="5"/>
  </r>
  <r>
    <s v="Urban"/>
    <n v="2020"/>
    <s v="October"/>
    <x v="93"/>
    <s v="Transport and communication"/>
    <n v="135.4"/>
    <x v="6"/>
  </r>
  <r>
    <s v="Urban"/>
    <n v="2020"/>
    <s v="October"/>
    <x v="93"/>
    <s v="Recreation and amusement"/>
    <n v="142"/>
    <x v="1"/>
  </r>
  <r>
    <s v="Urban"/>
    <n v="2020"/>
    <s v="October"/>
    <x v="93"/>
    <s v="Education"/>
    <n v="155.69999999999999"/>
    <x v="7"/>
  </r>
  <r>
    <s v="Urban"/>
    <n v="2020"/>
    <s v="October"/>
    <x v="93"/>
    <s v="Personal care and effects"/>
    <n v="158.1"/>
    <x v="4"/>
  </r>
  <r>
    <s v="Urban"/>
    <n v="2020"/>
    <s v="October"/>
    <x v="93"/>
    <s v="Miscellaneous"/>
    <n v="146.19999999999999"/>
    <x v="8"/>
  </r>
  <r>
    <s v="Urban"/>
    <n v="2020"/>
    <s v="October"/>
    <x v="93"/>
    <s v="General index"/>
    <n v="155.19999999999999"/>
    <x v="9"/>
  </r>
  <r>
    <s v="Rural+Urban"/>
    <n v="2020"/>
    <s v="October"/>
    <x v="93"/>
    <s v="Cereals and products"/>
    <n v="147.5"/>
    <x v="0"/>
  </r>
  <r>
    <s v="Rural+Urban"/>
    <n v="2020"/>
    <s v="October"/>
    <x v="93"/>
    <s v="Meat and fish"/>
    <n v="188.9"/>
    <x v="0"/>
  </r>
  <r>
    <s v="Rural+Urban"/>
    <n v="2020"/>
    <s v="October"/>
    <x v="93"/>
    <s v="Egg"/>
    <n v="161.4"/>
    <x v="0"/>
  </r>
  <r>
    <s v="Rural+Urban"/>
    <n v="2020"/>
    <s v="October"/>
    <x v="93"/>
    <s v="Milk and products"/>
    <n v="153.6"/>
    <x v="0"/>
  </r>
  <r>
    <s v="Rural+Urban"/>
    <n v="2020"/>
    <s v="October"/>
    <x v="93"/>
    <s v="Oils and fats"/>
    <n v="140.1"/>
    <x v="0"/>
  </r>
  <r>
    <s v="Rural+Urban"/>
    <n v="2020"/>
    <s v="October"/>
    <x v="93"/>
    <s v="Fruits"/>
    <n v="151.19999999999999"/>
    <x v="0"/>
  </r>
  <r>
    <s v="Rural+Urban"/>
    <n v="2020"/>
    <s v="October"/>
    <x v="93"/>
    <s v="Vegetables"/>
    <n v="209.2"/>
    <x v="0"/>
  </r>
  <r>
    <s v="Rural+Urban"/>
    <n v="2020"/>
    <s v="October"/>
    <x v="93"/>
    <s v="Pulses and products"/>
    <n v="150.9"/>
    <x v="0"/>
  </r>
  <r>
    <s v="Rural+Urban"/>
    <n v="2020"/>
    <s v="October"/>
    <x v="93"/>
    <s v="Sugar and Confectionery"/>
    <n v="116.2"/>
    <x v="0"/>
  </r>
  <r>
    <s v="Rural+Urban"/>
    <n v="2020"/>
    <s v="October"/>
    <x v="93"/>
    <s v="Spices"/>
    <n v="161"/>
    <x v="0"/>
  </r>
  <r>
    <s v="Rural+Urban"/>
    <n v="2020"/>
    <s v="October"/>
    <x v="93"/>
    <s v="Non-alcoholic beverages"/>
    <n v="144"/>
    <x v="0"/>
  </r>
  <r>
    <s v="Rural+Urban"/>
    <n v="2020"/>
    <s v="October"/>
    <x v="93"/>
    <s v="Prepared meals, snacks, sweets etc."/>
    <n v="163.19999999999999"/>
    <x v="0"/>
  </r>
  <r>
    <s v="Rural+Urban"/>
    <n v="2020"/>
    <s v="October"/>
    <x v="93"/>
    <s v="Food and beverages"/>
    <n v="161.4"/>
    <x v="0"/>
  </r>
  <r>
    <s v="Rural+Urban"/>
    <n v="2020"/>
    <s v="October"/>
    <x v="93"/>
    <s v="Pan, tobacco and intoxicants"/>
    <n v="184.3"/>
    <x v="1"/>
  </r>
  <r>
    <s v="Rural+Urban"/>
    <n v="2020"/>
    <s v="October"/>
    <x v="93"/>
    <s v="Clothing"/>
    <n v="153.69999999999999"/>
    <x v="2"/>
  </r>
  <r>
    <s v="Rural+Urban"/>
    <n v="2020"/>
    <s v="October"/>
    <x v="93"/>
    <s v="Footwear"/>
    <n v="144.6"/>
    <x v="2"/>
  </r>
  <r>
    <s v="Rural+Urban"/>
    <n v="2020"/>
    <s v="October"/>
    <x v="93"/>
    <s v="Clothing and footwear"/>
    <n v="152.30000000000001"/>
    <x v="2"/>
  </r>
  <r>
    <s v="Rural+Urban"/>
    <n v="2020"/>
    <s v="October"/>
    <x v="93"/>
    <s v="Housing"/>
    <n v="156.5"/>
    <x v="10"/>
  </r>
  <r>
    <s v="Rural+Urban"/>
    <n v="2020"/>
    <s v="October"/>
    <x v="93"/>
    <s v="Fuel and light"/>
    <n v="143.1"/>
    <x v="3"/>
  </r>
  <r>
    <s v="Rural+Urban"/>
    <n v="2020"/>
    <s v="October"/>
    <x v="93"/>
    <s v="Household goods and services"/>
    <n v="148.69999999999999"/>
    <x v="4"/>
  </r>
  <r>
    <s v="Rural+Urban"/>
    <n v="2020"/>
    <s v="October"/>
    <x v="93"/>
    <s v="Health"/>
    <n v="156.30000000000001"/>
    <x v="5"/>
  </r>
  <r>
    <s v="Rural+Urban"/>
    <n v="2020"/>
    <s v="October"/>
    <x v="93"/>
    <s v="Transport and communication"/>
    <n v="140.6"/>
    <x v="6"/>
  </r>
  <r>
    <s v="Rural+Urban"/>
    <n v="2020"/>
    <s v="October"/>
    <x v="93"/>
    <s v="Recreation and amusement"/>
    <n v="146.5"/>
    <x v="1"/>
  </r>
  <r>
    <s v="Rural+Urban"/>
    <n v="2020"/>
    <s v="October"/>
    <x v="93"/>
    <s v="Education"/>
    <n v="158.5"/>
    <x v="7"/>
  </r>
  <r>
    <s v="Rural+Urban"/>
    <n v="2020"/>
    <s v="October"/>
    <x v="93"/>
    <s v="Personal care and effects"/>
    <n v="157"/>
    <x v="4"/>
  </r>
  <r>
    <s v="Rural+Urban"/>
    <n v="2020"/>
    <s v="October"/>
    <x v="93"/>
    <s v="Miscellaneous"/>
    <n v="150.4"/>
    <x v="8"/>
  </r>
  <r>
    <s v="Rural+Urban"/>
    <n v="2020"/>
    <s v="October"/>
    <x v="93"/>
    <s v="General index"/>
    <n v="156.4"/>
    <x v="9"/>
  </r>
  <r>
    <s v="Rural"/>
    <n v="2020"/>
    <s v="November"/>
    <x v="94"/>
    <s v="Cereals and products"/>
    <n v="145.4"/>
    <x v="0"/>
  </r>
  <r>
    <s v="Rural"/>
    <n v="2020"/>
    <s v="November"/>
    <x v="94"/>
    <s v="Meat and fish"/>
    <n v="188.6"/>
    <x v="0"/>
  </r>
  <r>
    <s v="Rural"/>
    <n v="2020"/>
    <s v="November"/>
    <x v="94"/>
    <s v="Egg"/>
    <n v="171.6"/>
    <x v="0"/>
  </r>
  <r>
    <s v="Rural"/>
    <n v="2020"/>
    <s v="November"/>
    <x v="94"/>
    <s v="Milk and products"/>
    <n v="153.80000000000001"/>
    <x v="0"/>
  </r>
  <r>
    <s v="Rural"/>
    <n v="2020"/>
    <s v="November"/>
    <x v="94"/>
    <s v="Oils and fats"/>
    <n v="145.4"/>
    <x v="0"/>
  </r>
  <r>
    <s v="Rural"/>
    <n v="2020"/>
    <s v="November"/>
    <x v="94"/>
    <s v="Fruits"/>
    <n v="146.5"/>
    <x v="0"/>
  </r>
  <r>
    <s v="Rural"/>
    <n v="2020"/>
    <s v="November"/>
    <x v="94"/>
    <s v="Vegetables"/>
    <n v="222.2"/>
    <x v="0"/>
  </r>
  <r>
    <s v="Rural"/>
    <n v="2020"/>
    <s v="November"/>
    <x v="94"/>
    <s v="Pulses and products"/>
    <n v="155.9"/>
    <x v="0"/>
  </r>
  <r>
    <s v="Rural"/>
    <n v="2020"/>
    <s v="November"/>
    <x v="94"/>
    <s v="Sugar and Confectionery"/>
    <n v="114.9"/>
    <x v="0"/>
  </r>
  <r>
    <s v="Rural"/>
    <n v="2020"/>
    <s v="November"/>
    <x v="94"/>
    <s v="Spices"/>
    <n v="162"/>
    <x v="0"/>
  </r>
  <r>
    <s v="Rural"/>
    <n v="2020"/>
    <s v="November"/>
    <x v="94"/>
    <s v="Non-alcoholic beverages"/>
    <n v="150"/>
    <x v="0"/>
  </r>
  <r>
    <s v="Rural"/>
    <n v="2020"/>
    <s v="November"/>
    <x v="94"/>
    <s v="Prepared meals, snacks, sweets etc."/>
    <n v="162.69999999999999"/>
    <x v="0"/>
  </r>
  <r>
    <s v="Rural"/>
    <n v="2020"/>
    <s v="November"/>
    <x v="94"/>
    <s v="Food and beverages"/>
    <n v="163.4"/>
    <x v="0"/>
  </r>
  <r>
    <s v="Rural"/>
    <n v="2020"/>
    <s v="November"/>
    <x v="94"/>
    <s v="Pan, tobacco and intoxicants"/>
    <n v="183.4"/>
    <x v="1"/>
  </r>
  <r>
    <s v="Rural"/>
    <n v="2020"/>
    <s v="November"/>
    <x v="94"/>
    <s v="Clothing"/>
    <n v="156.30000000000001"/>
    <x v="2"/>
  </r>
  <r>
    <s v="Rural"/>
    <n v="2020"/>
    <s v="November"/>
    <x v="94"/>
    <s v="Footwear"/>
    <n v="151"/>
    <x v="2"/>
  </r>
  <r>
    <s v="Rural"/>
    <n v="2020"/>
    <s v="November"/>
    <x v="94"/>
    <s v="Clothing and footwear"/>
    <n v="155.5"/>
    <x v="2"/>
  </r>
  <r>
    <s v="Rural"/>
    <n v="2020"/>
    <s v="November"/>
    <x v="94"/>
    <s v="Fuel and light"/>
    <n v="147.5"/>
    <x v="3"/>
  </r>
  <r>
    <s v="Rural"/>
    <n v="2020"/>
    <s v="November"/>
    <x v="94"/>
    <s v="Household goods and services"/>
    <n v="152.80000000000001"/>
    <x v="4"/>
  </r>
  <r>
    <s v="Rural"/>
    <n v="2020"/>
    <s v="November"/>
    <x v="94"/>
    <s v="Health"/>
    <n v="160.4"/>
    <x v="5"/>
  </r>
  <r>
    <s v="Rural"/>
    <n v="2020"/>
    <s v="November"/>
    <x v="94"/>
    <s v="Transport and communication"/>
    <n v="146.1"/>
    <x v="6"/>
  </r>
  <r>
    <s v="Rural"/>
    <n v="2020"/>
    <s v="November"/>
    <x v="94"/>
    <s v="Recreation and amusement"/>
    <n v="153.6"/>
    <x v="1"/>
  </r>
  <r>
    <s v="Rural"/>
    <n v="2020"/>
    <s v="November"/>
    <x v="94"/>
    <s v="Education"/>
    <n v="161.6"/>
    <x v="7"/>
  </r>
  <r>
    <s v="Rural"/>
    <n v="2020"/>
    <s v="November"/>
    <x v="94"/>
    <s v="Personal care and effects"/>
    <n v="156.19999999999999"/>
    <x v="4"/>
  </r>
  <r>
    <s v="Rural"/>
    <n v="2020"/>
    <s v="November"/>
    <x v="94"/>
    <s v="Miscellaneous"/>
    <n v="154.5"/>
    <x v="8"/>
  </r>
  <r>
    <s v="Rural"/>
    <n v="2020"/>
    <s v="November"/>
    <x v="94"/>
    <s v="General index"/>
    <n v="159.80000000000001"/>
    <x v="9"/>
  </r>
  <r>
    <s v="Urban"/>
    <n v="2020"/>
    <s v="November"/>
    <x v="94"/>
    <s v="Cereals and products"/>
    <n v="149.69999999999999"/>
    <x v="0"/>
  </r>
  <r>
    <s v="Urban"/>
    <n v="2020"/>
    <s v="November"/>
    <x v="94"/>
    <s v="Meat and fish"/>
    <n v="195.5"/>
    <x v="0"/>
  </r>
  <r>
    <s v="Urban"/>
    <n v="2020"/>
    <s v="November"/>
    <x v="94"/>
    <s v="Egg"/>
    <n v="176.9"/>
    <x v="0"/>
  </r>
  <r>
    <s v="Urban"/>
    <n v="2020"/>
    <s v="November"/>
    <x v="94"/>
    <s v="Milk and products"/>
    <n v="153.9"/>
    <x v="0"/>
  </r>
  <r>
    <s v="Urban"/>
    <n v="2020"/>
    <s v="November"/>
    <x v="94"/>
    <s v="Oils and fats"/>
    <n v="138"/>
    <x v="0"/>
  </r>
  <r>
    <s v="Urban"/>
    <n v="2020"/>
    <s v="November"/>
    <x v="94"/>
    <s v="Fruits"/>
    <n v="150.5"/>
    <x v="0"/>
  </r>
  <r>
    <s v="Urban"/>
    <n v="2020"/>
    <s v="November"/>
    <x v="94"/>
    <s v="Vegetables"/>
    <n v="245.3"/>
    <x v="0"/>
  </r>
  <r>
    <s v="Urban"/>
    <n v="2020"/>
    <s v="November"/>
    <x v="94"/>
    <s v="Pulses and products"/>
    <n v="158.69999999999999"/>
    <x v="0"/>
  </r>
  <r>
    <s v="Urban"/>
    <n v="2020"/>
    <s v="November"/>
    <x v="94"/>
    <s v="Sugar and Confectionery"/>
    <n v="117.2"/>
    <x v="0"/>
  </r>
  <r>
    <s v="Urban"/>
    <n v="2020"/>
    <s v="November"/>
    <x v="94"/>
    <s v="Spices"/>
    <n v="161.4"/>
    <x v="0"/>
  </r>
  <r>
    <s v="Urban"/>
    <n v="2020"/>
    <s v="November"/>
    <x v="94"/>
    <s v="Non-alcoholic beverages"/>
    <n v="141.5"/>
    <x v="0"/>
  </r>
  <r>
    <s v="Urban"/>
    <n v="2020"/>
    <s v="November"/>
    <x v="94"/>
    <s v="Prepared meals, snacks, sweets etc."/>
    <n v="165.1"/>
    <x v="0"/>
  </r>
  <r>
    <s v="Urban"/>
    <n v="2020"/>
    <s v="November"/>
    <x v="94"/>
    <s v="Food and beverages"/>
    <n v="167"/>
    <x v="0"/>
  </r>
  <r>
    <s v="Urban"/>
    <n v="2020"/>
    <s v="November"/>
    <x v="94"/>
    <s v="Pan, tobacco and intoxicants"/>
    <n v="188.8"/>
    <x v="1"/>
  </r>
  <r>
    <s v="Urban"/>
    <n v="2020"/>
    <s v="November"/>
    <x v="94"/>
    <s v="Clothing"/>
    <n v="151.1"/>
    <x v="2"/>
  </r>
  <r>
    <s v="Urban"/>
    <n v="2020"/>
    <s v="November"/>
    <x v="94"/>
    <s v="Footwear"/>
    <n v="136.4"/>
    <x v="2"/>
  </r>
  <r>
    <s v="Urban"/>
    <n v="2020"/>
    <s v="November"/>
    <x v="94"/>
    <s v="Clothing and footwear"/>
    <n v="148.80000000000001"/>
    <x v="2"/>
  </r>
  <r>
    <s v="Urban"/>
    <n v="2020"/>
    <s v="November"/>
    <x v="94"/>
    <s v="Housing"/>
    <n v="158"/>
    <x v="10"/>
  </r>
  <r>
    <s v="Urban"/>
    <n v="2020"/>
    <s v="November"/>
    <x v="94"/>
    <s v="Fuel and light"/>
    <n v="137.30000000000001"/>
    <x v="3"/>
  </r>
  <r>
    <s v="Urban"/>
    <n v="2020"/>
    <s v="November"/>
    <x v="94"/>
    <s v="Household goods and services"/>
    <n v="145.1"/>
    <x v="4"/>
  </r>
  <r>
    <s v="Urban"/>
    <n v="2020"/>
    <s v="November"/>
    <x v="94"/>
    <s v="Health"/>
    <n v="152"/>
    <x v="5"/>
  </r>
  <r>
    <s v="Urban"/>
    <n v="2020"/>
    <s v="November"/>
    <x v="94"/>
    <s v="Transport and communication"/>
    <n v="135.19999999999999"/>
    <x v="6"/>
  </r>
  <r>
    <s v="Urban"/>
    <n v="2020"/>
    <s v="November"/>
    <x v="94"/>
    <s v="Recreation and amusement"/>
    <n v="144.4"/>
    <x v="1"/>
  </r>
  <r>
    <s v="Urban"/>
    <n v="2020"/>
    <s v="November"/>
    <x v="94"/>
    <s v="Education"/>
    <n v="156.4"/>
    <x v="7"/>
  </r>
  <r>
    <s v="Urban"/>
    <n v="2020"/>
    <s v="November"/>
    <x v="94"/>
    <s v="Personal care and effects"/>
    <n v="157.9"/>
    <x v="4"/>
  </r>
  <r>
    <s v="Urban"/>
    <n v="2020"/>
    <s v="November"/>
    <x v="94"/>
    <s v="Miscellaneous"/>
    <n v="146.6"/>
    <x v="8"/>
  </r>
  <r>
    <s v="Urban"/>
    <n v="2020"/>
    <s v="November"/>
    <x v="94"/>
    <s v="General index"/>
    <n v="156.69999999999999"/>
    <x v="9"/>
  </r>
  <r>
    <s v="Rural+Urban"/>
    <n v="2020"/>
    <s v="November"/>
    <x v="94"/>
    <s v="Cereals and products"/>
    <n v="146.80000000000001"/>
    <x v="0"/>
  </r>
  <r>
    <s v="Rural+Urban"/>
    <n v="2020"/>
    <s v="November"/>
    <x v="94"/>
    <s v="Meat and fish"/>
    <n v="191"/>
    <x v="0"/>
  </r>
  <r>
    <s v="Rural+Urban"/>
    <n v="2020"/>
    <s v="November"/>
    <x v="94"/>
    <s v="Egg"/>
    <n v="173.6"/>
    <x v="0"/>
  </r>
  <r>
    <s v="Rural+Urban"/>
    <n v="2020"/>
    <s v="November"/>
    <x v="94"/>
    <s v="Milk and products"/>
    <n v="153.80000000000001"/>
    <x v="0"/>
  </r>
  <r>
    <s v="Rural+Urban"/>
    <n v="2020"/>
    <s v="November"/>
    <x v="94"/>
    <s v="Oils and fats"/>
    <n v="142.69999999999999"/>
    <x v="0"/>
  </r>
  <r>
    <s v="Rural+Urban"/>
    <n v="2020"/>
    <s v="November"/>
    <x v="94"/>
    <s v="Fruits"/>
    <n v="148.4"/>
    <x v="0"/>
  </r>
  <r>
    <s v="Rural+Urban"/>
    <n v="2020"/>
    <s v="November"/>
    <x v="94"/>
    <s v="Vegetables"/>
    <n v="230"/>
    <x v="0"/>
  </r>
  <r>
    <s v="Rural+Urban"/>
    <n v="2020"/>
    <s v="November"/>
    <x v="94"/>
    <s v="Pulses and products"/>
    <n v="156.80000000000001"/>
    <x v="0"/>
  </r>
  <r>
    <s v="Rural+Urban"/>
    <n v="2020"/>
    <s v="November"/>
    <x v="94"/>
    <s v="Sugar and Confectionery"/>
    <n v="115.7"/>
    <x v="0"/>
  </r>
  <r>
    <s v="Rural+Urban"/>
    <n v="2020"/>
    <s v="November"/>
    <x v="94"/>
    <s v="Spices"/>
    <n v="161.80000000000001"/>
    <x v="0"/>
  </r>
  <r>
    <s v="Rural+Urban"/>
    <n v="2020"/>
    <s v="November"/>
    <x v="94"/>
    <s v="Non-alcoholic beverages"/>
    <n v="146.5"/>
    <x v="0"/>
  </r>
  <r>
    <s v="Rural+Urban"/>
    <n v="2020"/>
    <s v="November"/>
    <x v="94"/>
    <s v="Prepared meals, snacks, sweets etc."/>
    <n v="163.80000000000001"/>
    <x v="0"/>
  </r>
  <r>
    <s v="Rural+Urban"/>
    <n v="2020"/>
    <s v="November"/>
    <x v="94"/>
    <s v="Food and beverages"/>
    <n v="164.7"/>
    <x v="0"/>
  </r>
  <r>
    <s v="Rural+Urban"/>
    <n v="2020"/>
    <s v="November"/>
    <x v="94"/>
    <s v="Pan, tobacco and intoxicants"/>
    <n v="184.8"/>
    <x v="1"/>
  </r>
  <r>
    <s v="Rural+Urban"/>
    <n v="2020"/>
    <s v="November"/>
    <x v="94"/>
    <s v="Clothing"/>
    <n v="154.30000000000001"/>
    <x v="2"/>
  </r>
  <r>
    <s v="Rural+Urban"/>
    <n v="2020"/>
    <s v="November"/>
    <x v="94"/>
    <s v="Footwear"/>
    <n v="144.9"/>
    <x v="2"/>
  </r>
  <r>
    <s v="Rural+Urban"/>
    <n v="2020"/>
    <s v="November"/>
    <x v="94"/>
    <s v="Clothing and footwear"/>
    <n v="152.80000000000001"/>
    <x v="2"/>
  </r>
  <r>
    <s v="Rural+Urban"/>
    <n v="2020"/>
    <s v="November"/>
    <x v="94"/>
    <s v="Housing"/>
    <n v="158"/>
    <x v="10"/>
  </r>
  <r>
    <s v="Rural+Urban"/>
    <n v="2020"/>
    <s v="November"/>
    <x v="94"/>
    <s v="Fuel and light"/>
    <n v="143.6"/>
    <x v="3"/>
  </r>
  <r>
    <s v="Rural+Urban"/>
    <n v="2020"/>
    <s v="November"/>
    <x v="94"/>
    <s v="Household goods and services"/>
    <n v="149.19999999999999"/>
    <x v="4"/>
  </r>
  <r>
    <s v="Rural+Urban"/>
    <n v="2020"/>
    <s v="November"/>
    <x v="94"/>
    <s v="Health"/>
    <n v="157.19999999999999"/>
    <x v="5"/>
  </r>
  <r>
    <s v="Rural+Urban"/>
    <n v="2020"/>
    <s v="November"/>
    <x v="94"/>
    <s v="Transport and communication"/>
    <n v="140.4"/>
    <x v="6"/>
  </r>
  <r>
    <s v="Rural+Urban"/>
    <n v="2020"/>
    <s v="November"/>
    <x v="94"/>
    <s v="Recreation and amusement"/>
    <n v="148.4"/>
    <x v="1"/>
  </r>
  <r>
    <s v="Rural+Urban"/>
    <n v="2020"/>
    <s v="November"/>
    <x v="94"/>
    <s v="Education"/>
    <n v="158.6"/>
    <x v="7"/>
  </r>
  <r>
    <s v="Rural+Urban"/>
    <n v="2020"/>
    <s v="November"/>
    <x v="94"/>
    <s v="Personal care and effects"/>
    <n v="156.9"/>
    <x v="4"/>
  </r>
  <r>
    <s v="Rural+Urban"/>
    <n v="2020"/>
    <s v="November"/>
    <x v="94"/>
    <s v="Miscellaneous"/>
    <n v="150.69999999999999"/>
    <x v="8"/>
  </r>
  <r>
    <s v="Rural+Urban"/>
    <n v="2020"/>
    <s v="November"/>
    <x v="94"/>
    <s v="General index"/>
    <n v="158.4"/>
    <x v="9"/>
  </r>
  <r>
    <s v="Rural"/>
    <n v="2020"/>
    <s v="December"/>
    <x v="95"/>
    <s v="Cereals and products"/>
    <n v="144.6"/>
    <x v="0"/>
  </r>
  <r>
    <s v="Rural"/>
    <n v="2020"/>
    <s v="December"/>
    <x v="95"/>
    <s v="Meat and fish"/>
    <n v="188.5"/>
    <x v="0"/>
  </r>
  <r>
    <s v="Rural"/>
    <n v="2020"/>
    <s v="December"/>
    <x v="95"/>
    <s v="Egg"/>
    <n v="173.4"/>
    <x v="0"/>
  </r>
  <r>
    <s v="Rural"/>
    <n v="2020"/>
    <s v="December"/>
    <x v="95"/>
    <s v="Milk and products"/>
    <n v="154"/>
    <x v="0"/>
  </r>
  <r>
    <s v="Rural"/>
    <n v="2020"/>
    <s v="December"/>
    <x v="95"/>
    <s v="Oils and fats"/>
    <n v="150"/>
    <x v="0"/>
  </r>
  <r>
    <s v="Rural"/>
    <n v="2020"/>
    <s v="December"/>
    <x v="95"/>
    <s v="Fruits"/>
    <n v="145.9"/>
    <x v="0"/>
  </r>
  <r>
    <s v="Rural"/>
    <n v="2020"/>
    <s v="December"/>
    <x v="95"/>
    <s v="Vegetables"/>
    <n v="225.2"/>
    <x v="0"/>
  </r>
  <r>
    <s v="Rural"/>
    <n v="2020"/>
    <s v="December"/>
    <x v="95"/>
    <s v="Pulses and products"/>
    <n v="159.5"/>
    <x v="0"/>
  </r>
  <r>
    <s v="Rural"/>
    <n v="2020"/>
    <s v="December"/>
    <x v="95"/>
    <s v="Sugar and Confectionery"/>
    <n v="114.4"/>
    <x v="0"/>
  </r>
  <r>
    <s v="Rural"/>
    <n v="2020"/>
    <s v="December"/>
    <x v="95"/>
    <s v="Spices"/>
    <n v="163.5"/>
    <x v="0"/>
  </r>
  <r>
    <s v="Rural"/>
    <n v="2020"/>
    <s v="December"/>
    <x v="95"/>
    <s v="Non-alcoholic beverages"/>
    <n v="153.4"/>
    <x v="0"/>
  </r>
  <r>
    <s v="Rural"/>
    <n v="2020"/>
    <s v="December"/>
    <x v="95"/>
    <s v="Prepared meals, snacks, sweets etc."/>
    <n v="163.6"/>
    <x v="0"/>
  </r>
  <r>
    <s v="Rural"/>
    <n v="2020"/>
    <s v="December"/>
    <x v="95"/>
    <s v="Food and beverages"/>
    <n v="164.5"/>
    <x v="0"/>
  </r>
  <r>
    <s v="Rural"/>
    <n v="2020"/>
    <s v="December"/>
    <x v="95"/>
    <s v="Pan, tobacco and intoxicants"/>
    <n v="183.6"/>
    <x v="1"/>
  </r>
  <r>
    <s v="Rural"/>
    <n v="2020"/>
    <s v="December"/>
    <x v="95"/>
    <s v="Clothing"/>
    <n v="157"/>
    <x v="2"/>
  </r>
  <r>
    <s v="Rural"/>
    <n v="2020"/>
    <s v="December"/>
    <x v="95"/>
    <s v="Footwear"/>
    <n v="151.6"/>
    <x v="2"/>
  </r>
  <r>
    <s v="Rural"/>
    <n v="2020"/>
    <s v="December"/>
    <x v="95"/>
    <s v="Clothing and footwear"/>
    <n v="156.30000000000001"/>
    <x v="2"/>
  </r>
  <r>
    <s v="Rural"/>
    <n v="2020"/>
    <s v="December"/>
    <x v="95"/>
    <s v="Fuel and light"/>
    <n v="148.69999999999999"/>
    <x v="3"/>
  </r>
  <r>
    <s v="Rural"/>
    <n v="2020"/>
    <s v="December"/>
    <x v="95"/>
    <s v="Household goods and services"/>
    <n v="153.4"/>
    <x v="4"/>
  </r>
  <r>
    <s v="Rural"/>
    <n v="2020"/>
    <s v="December"/>
    <x v="95"/>
    <s v="Health"/>
    <n v="161.6"/>
    <x v="5"/>
  </r>
  <r>
    <s v="Rural"/>
    <n v="2020"/>
    <s v="December"/>
    <x v="95"/>
    <s v="Transport and communication"/>
    <n v="146.4"/>
    <x v="6"/>
  </r>
  <r>
    <s v="Rural"/>
    <n v="2020"/>
    <s v="December"/>
    <x v="95"/>
    <s v="Recreation and amusement"/>
    <n v="153.9"/>
    <x v="1"/>
  </r>
  <r>
    <s v="Rural"/>
    <n v="2020"/>
    <s v="December"/>
    <x v="95"/>
    <s v="Education"/>
    <n v="162.9"/>
    <x v="7"/>
  </r>
  <r>
    <s v="Rural"/>
    <n v="2020"/>
    <s v="December"/>
    <x v="95"/>
    <s v="Personal care and effects"/>
    <n v="156.6"/>
    <x v="4"/>
  </r>
  <r>
    <s v="Rural"/>
    <n v="2020"/>
    <s v="December"/>
    <x v="95"/>
    <s v="Miscellaneous"/>
    <n v="155.19999999999999"/>
    <x v="8"/>
  </r>
  <r>
    <s v="Rural"/>
    <n v="2020"/>
    <s v="December"/>
    <x v="95"/>
    <s v="General index"/>
    <n v="160.69999999999999"/>
    <x v="9"/>
  </r>
  <r>
    <s v="Urban"/>
    <n v="2020"/>
    <s v="December"/>
    <x v="95"/>
    <s v="Cereals and products"/>
    <n v="149"/>
    <x v="0"/>
  </r>
  <r>
    <s v="Urban"/>
    <n v="2020"/>
    <s v="December"/>
    <x v="95"/>
    <s v="Meat and fish"/>
    <n v="195.7"/>
    <x v="0"/>
  </r>
  <r>
    <s v="Urban"/>
    <n v="2020"/>
    <s v="December"/>
    <x v="95"/>
    <s v="Egg"/>
    <n v="178.3"/>
    <x v="0"/>
  </r>
  <r>
    <s v="Urban"/>
    <n v="2020"/>
    <s v="December"/>
    <x v="95"/>
    <s v="Milk and products"/>
    <n v="154.19999999999999"/>
    <x v="0"/>
  </r>
  <r>
    <s v="Urban"/>
    <n v="2020"/>
    <s v="December"/>
    <x v="95"/>
    <s v="Oils and fats"/>
    <n v="140.69999999999999"/>
    <x v="0"/>
  </r>
  <r>
    <s v="Urban"/>
    <n v="2020"/>
    <s v="December"/>
    <x v="95"/>
    <s v="Fruits"/>
    <n v="149.69999999999999"/>
    <x v="0"/>
  </r>
  <r>
    <s v="Urban"/>
    <n v="2020"/>
    <s v="December"/>
    <x v="95"/>
    <s v="Vegetables"/>
    <n v="240.9"/>
    <x v="0"/>
  </r>
  <r>
    <s v="Urban"/>
    <n v="2020"/>
    <s v="December"/>
    <x v="95"/>
    <s v="Pulses and products"/>
    <n v="161.5"/>
    <x v="0"/>
  </r>
  <r>
    <s v="Urban"/>
    <n v="2020"/>
    <s v="December"/>
    <x v="95"/>
    <s v="Sugar and Confectionery"/>
    <n v="117.1"/>
    <x v="0"/>
  </r>
  <r>
    <s v="Urban"/>
    <n v="2020"/>
    <s v="December"/>
    <x v="95"/>
    <s v="Spices"/>
    <n v="161.9"/>
    <x v="0"/>
  </r>
  <r>
    <s v="Urban"/>
    <n v="2020"/>
    <s v="December"/>
    <x v="95"/>
    <s v="Non-alcoholic beverages"/>
    <n v="143.30000000000001"/>
    <x v="0"/>
  </r>
  <r>
    <s v="Urban"/>
    <n v="2020"/>
    <s v="December"/>
    <x v="95"/>
    <s v="Prepared meals, snacks, sweets etc."/>
    <n v="166.1"/>
    <x v="0"/>
  </r>
  <r>
    <s v="Urban"/>
    <n v="2020"/>
    <s v="December"/>
    <x v="95"/>
    <s v="Food and beverages"/>
    <n v="167"/>
    <x v="0"/>
  </r>
  <r>
    <s v="Urban"/>
    <n v="2020"/>
    <s v="December"/>
    <x v="95"/>
    <s v="Pan, tobacco and intoxicants"/>
    <n v="190.2"/>
    <x v="1"/>
  </r>
  <r>
    <s v="Urban"/>
    <n v="2020"/>
    <s v="December"/>
    <x v="95"/>
    <s v="Clothing"/>
    <n v="151.9"/>
    <x v="2"/>
  </r>
  <r>
    <s v="Urban"/>
    <n v="2020"/>
    <s v="December"/>
    <x v="95"/>
    <s v="Footwear"/>
    <n v="136.69999999999999"/>
    <x v="2"/>
  </r>
  <r>
    <s v="Urban"/>
    <n v="2020"/>
    <s v="December"/>
    <x v="95"/>
    <s v="Clothing and footwear"/>
    <n v="149.6"/>
    <x v="2"/>
  </r>
  <r>
    <s v="Urban"/>
    <n v="2020"/>
    <s v="December"/>
    <x v="95"/>
    <s v="Housing"/>
    <n v="158.4"/>
    <x v="10"/>
  </r>
  <r>
    <s v="Urban"/>
    <n v="2020"/>
    <s v="December"/>
    <x v="95"/>
    <s v="Fuel and light"/>
    <n v="137.9"/>
    <x v="3"/>
  </r>
  <r>
    <s v="Urban"/>
    <n v="2020"/>
    <s v="December"/>
    <x v="95"/>
    <s v="Household goods and services"/>
    <n v="145.5"/>
    <x v="4"/>
  </r>
  <r>
    <s v="Urban"/>
    <n v="2020"/>
    <s v="December"/>
    <x v="95"/>
    <s v="Health"/>
    <n v="152.9"/>
    <x v="5"/>
  </r>
  <r>
    <s v="Urban"/>
    <n v="2020"/>
    <s v="December"/>
    <x v="95"/>
    <s v="Transport and communication"/>
    <n v="135.5"/>
    <x v="6"/>
  </r>
  <r>
    <s v="Urban"/>
    <n v="2020"/>
    <s v="December"/>
    <x v="95"/>
    <s v="Recreation and amusement"/>
    <n v="144.30000000000001"/>
    <x v="1"/>
  </r>
  <r>
    <s v="Urban"/>
    <n v="2020"/>
    <s v="December"/>
    <x v="95"/>
    <s v="Education"/>
    <n v="156.9"/>
    <x v="7"/>
  </r>
  <r>
    <s v="Urban"/>
    <n v="2020"/>
    <s v="December"/>
    <x v="95"/>
    <s v="Personal care and effects"/>
    <n v="157.9"/>
    <x v="4"/>
  </r>
  <r>
    <s v="Urban"/>
    <n v="2020"/>
    <s v="December"/>
    <x v="95"/>
    <s v="Miscellaneous"/>
    <n v="146.9"/>
    <x v="8"/>
  </r>
  <r>
    <s v="Urban"/>
    <n v="2020"/>
    <s v="December"/>
    <x v="95"/>
    <s v="General index"/>
    <n v="156.9"/>
    <x v="9"/>
  </r>
  <r>
    <s v="Rural+Urban"/>
    <n v="2020"/>
    <s v="December"/>
    <x v="95"/>
    <s v="Cereals and products"/>
    <n v="146"/>
    <x v="0"/>
  </r>
  <r>
    <s v="Rural+Urban"/>
    <n v="2020"/>
    <s v="December"/>
    <x v="95"/>
    <s v="Meat and fish"/>
    <n v="191"/>
    <x v="0"/>
  </r>
  <r>
    <s v="Rural+Urban"/>
    <n v="2020"/>
    <s v="December"/>
    <x v="95"/>
    <s v="Egg"/>
    <n v="175.3"/>
    <x v="0"/>
  </r>
  <r>
    <s v="Rural+Urban"/>
    <n v="2020"/>
    <s v="December"/>
    <x v="95"/>
    <s v="Milk and products"/>
    <n v="154.1"/>
    <x v="0"/>
  </r>
  <r>
    <s v="Rural+Urban"/>
    <n v="2020"/>
    <s v="December"/>
    <x v="95"/>
    <s v="Oils and fats"/>
    <n v="146.6"/>
    <x v="0"/>
  </r>
  <r>
    <s v="Rural+Urban"/>
    <n v="2020"/>
    <s v="December"/>
    <x v="95"/>
    <s v="Fruits"/>
    <n v="147.69999999999999"/>
    <x v="0"/>
  </r>
  <r>
    <s v="Rural+Urban"/>
    <n v="2020"/>
    <s v="December"/>
    <x v="95"/>
    <s v="Vegetables"/>
    <n v="230.5"/>
    <x v="0"/>
  </r>
  <r>
    <s v="Rural+Urban"/>
    <n v="2020"/>
    <s v="December"/>
    <x v="95"/>
    <s v="Pulses and products"/>
    <n v="160.19999999999999"/>
    <x v="0"/>
  </r>
  <r>
    <s v="Rural+Urban"/>
    <n v="2020"/>
    <s v="December"/>
    <x v="95"/>
    <s v="Sugar and Confectionery"/>
    <n v="115.3"/>
    <x v="0"/>
  </r>
  <r>
    <s v="Rural+Urban"/>
    <n v="2020"/>
    <s v="December"/>
    <x v="95"/>
    <s v="Spices"/>
    <n v="163"/>
    <x v="0"/>
  </r>
  <r>
    <s v="Rural+Urban"/>
    <n v="2020"/>
    <s v="December"/>
    <x v="95"/>
    <s v="Non-alcoholic beverages"/>
    <n v="149.19999999999999"/>
    <x v="0"/>
  </r>
  <r>
    <s v="Rural+Urban"/>
    <n v="2020"/>
    <s v="December"/>
    <x v="95"/>
    <s v="Prepared meals, snacks, sweets etc."/>
    <n v="164.8"/>
    <x v="0"/>
  </r>
  <r>
    <s v="Rural+Urban"/>
    <n v="2020"/>
    <s v="December"/>
    <x v="95"/>
    <s v="Food and beverages"/>
    <n v="165.4"/>
    <x v="0"/>
  </r>
  <r>
    <s v="Rural+Urban"/>
    <n v="2020"/>
    <s v="December"/>
    <x v="95"/>
    <s v="Pan, tobacco and intoxicants"/>
    <n v="185.4"/>
    <x v="1"/>
  </r>
  <r>
    <s v="Rural+Urban"/>
    <n v="2020"/>
    <s v="December"/>
    <x v="95"/>
    <s v="Clothing"/>
    <n v="155"/>
    <x v="2"/>
  </r>
  <r>
    <s v="Rural+Urban"/>
    <n v="2020"/>
    <s v="December"/>
    <x v="95"/>
    <s v="Footwear"/>
    <n v="145.4"/>
    <x v="2"/>
  </r>
  <r>
    <s v="Rural+Urban"/>
    <n v="2020"/>
    <s v="December"/>
    <x v="95"/>
    <s v="Clothing and footwear"/>
    <n v="153.6"/>
    <x v="2"/>
  </r>
  <r>
    <s v="Rural+Urban"/>
    <n v="2020"/>
    <s v="December"/>
    <x v="95"/>
    <s v="Housing"/>
    <n v="158.4"/>
    <x v="10"/>
  </r>
  <r>
    <s v="Rural+Urban"/>
    <n v="2020"/>
    <s v="December"/>
    <x v="95"/>
    <s v="Fuel and light"/>
    <n v="144.6"/>
    <x v="3"/>
  </r>
  <r>
    <s v="Rural+Urban"/>
    <n v="2020"/>
    <s v="December"/>
    <x v="95"/>
    <s v="Household goods and services"/>
    <n v="149.69999999999999"/>
    <x v="4"/>
  </r>
  <r>
    <s v="Rural+Urban"/>
    <n v="2020"/>
    <s v="December"/>
    <x v="95"/>
    <s v="Health"/>
    <n v="158.30000000000001"/>
    <x v="5"/>
  </r>
  <r>
    <s v="Rural+Urban"/>
    <n v="2020"/>
    <s v="December"/>
    <x v="95"/>
    <s v="Transport and communication"/>
    <n v="140.69999999999999"/>
    <x v="6"/>
  </r>
  <r>
    <s v="Rural+Urban"/>
    <n v="2020"/>
    <s v="December"/>
    <x v="95"/>
    <s v="Recreation and amusement"/>
    <n v="148.5"/>
    <x v="1"/>
  </r>
  <r>
    <s v="Rural+Urban"/>
    <n v="2020"/>
    <s v="December"/>
    <x v="95"/>
    <s v="Education"/>
    <n v="159.4"/>
    <x v="7"/>
  </r>
  <r>
    <s v="Rural+Urban"/>
    <n v="2020"/>
    <s v="December"/>
    <x v="95"/>
    <s v="Personal care and effects"/>
    <n v="157.1"/>
    <x v="4"/>
  </r>
  <r>
    <s v="Rural+Urban"/>
    <n v="2020"/>
    <s v="December"/>
    <x v="95"/>
    <s v="Miscellaneous"/>
    <n v="151.19999999999999"/>
    <x v="8"/>
  </r>
  <r>
    <s v="Rural+Urban"/>
    <n v="2020"/>
    <s v="December"/>
    <x v="95"/>
    <s v="General index"/>
    <n v="158.9"/>
    <x v="9"/>
  </r>
  <r>
    <s v="Rural"/>
    <n v="2021"/>
    <s v="January"/>
    <x v="96"/>
    <s v="Cereals and products"/>
    <n v="143.4"/>
    <x v="0"/>
  </r>
  <r>
    <s v="Rural"/>
    <n v="2021"/>
    <s v="January"/>
    <x v="96"/>
    <s v="Meat and fish"/>
    <n v="187.5"/>
    <x v="0"/>
  </r>
  <r>
    <s v="Rural"/>
    <n v="2021"/>
    <s v="January"/>
    <x v="96"/>
    <s v="Egg"/>
    <n v="173.4"/>
    <x v="0"/>
  </r>
  <r>
    <s v="Rural"/>
    <n v="2021"/>
    <s v="January"/>
    <x v="96"/>
    <s v="Milk and products"/>
    <n v="154"/>
    <x v="0"/>
  </r>
  <r>
    <s v="Rural"/>
    <n v="2021"/>
    <s v="January"/>
    <x v="96"/>
    <s v="Oils and fats"/>
    <n v="154.80000000000001"/>
    <x v="0"/>
  </r>
  <r>
    <s v="Rural"/>
    <n v="2021"/>
    <s v="January"/>
    <x v="96"/>
    <s v="Fruits"/>
    <n v="147"/>
    <x v="0"/>
  </r>
  <r>
    <s v="Rural"/>
    <n v="2021"/>
    <s v="January"/>
    <x v="96"/>
    <s v="Vegetables"/>
    <n v="187.8"/>
    <x v="0"/>
  </r>
  <r>
    <s v="Rural"/>
    <n v="2021"/>
    <s v="January"/>
    <x v="96"/>
    <s v="Pulses and products"/>
    <n v="159.5"/>
    <x v="0"/>
  </r>
  <r>
    <s v="Rural"/>
    <n v="2021"/>
    <s v="January"/>
    <x v="96"/>
    <s v="Sugar and Confectionery"/>
    <n v="113.8"/>
    <x v="0"/>
  </r>
  <r>
    <s v="Rural"/>
    <n v="2021"/>
    <s v="January"/>
    <x v="96"/>
    <s v="Spices"/>
    <n v="164.5"/>
    <x v="0"/>
  </r>
  <r>
    <s v="Rural"/>
    <n v="2021"/>
    <s v="January"/>
    <x v="96"/>
    <s v="Non-alcoholic beverages"/>
    <n v="156.1"/>
    <x v="0"/>
  </r>
  <r>
    <s v="Rural"/>
    <n v="2021"/>
    <s v="January"/>
    <x v="96"/>
    <s v="Prepared meals, snacks, sweets etc."/>
    <n v="164.3"/>
    <x v="0"/>
  </r>
  <r>
    <s v="Rural"/>
    <n v="2021"/>
    <s v="January"/>
    <x v="96"/>
    <s v="Food and beverages"/>
    <n v="159.6"/>
    <x v="0"/>
  </r>
  <r>
    <s v="Rural"/>
    <n v="2021"/>
    <s v="January"/>
    <x v="96"/>
    <s v="Pan, tobacco and intoxicants"/>
    <n v="184.6"/>
    <x v="1"/>
  </r>
  <r>
    <s v="Rural"/>
    <n v="2021"/>
    <s v="January"/>
    <x v="96"/>
    <s v="Clothing"/>
    <n v="157.5"/>
    <x v="2"/>
  </r>
  <r>
    <s v="Rural"/>
    <n v="2021"/>
    <s v="January"/>
    <x v="96"/>
    <s v="Footwear"/>
    <n v="152.4"/>
    <x v="2"/>
  </r>
  <r>
    <s v="Rural"/>
    <n v="2021"/>
    <s v="January"/>
    <x v="96"/>
    <s v="Clothing and footwear"/>
    <n v="156.80000000000001"/>
    <x v="2"/>
  </r>
  <r>
    <s v="Rural"/>
    <n v="2021"/>
    <s v="January"/>
    <x v="96"/>
    <s v="Fuel and light"/>
    <n v="150.9"/>
    <x v="3"/>
  </r>
  <r>
    <s v="Rural"/>
    <n v="2021"/>
    <s v="January"/>
    <x v="96"/>
    <s v="Household goods and services"/>
    <n v="153.9"/>
    <x v="4"/>
  </r>
  <r>
    <s v="Rural"/>
    <n v="2021"/>
    <s v="January"/>
    <x v="96"/>
    <s v="Health"/>
    <n v="162.5"/>
    <x v="5"/>
  </r>
  <r>
    <s v="Rural"/>
    <n v="2021"/>
    <s v="January"/>
    <x v="96"/>
    <s v="Transport and communication"/>
    <n v="147.5"/>
    <x v="6"/>
  </r>
  <r>
    <s v="Rural"/>
    <n v="2021"/>
    <s v="January"/>
    <x v="96"/>
    <s v="Recreation and amusement"/>
    <n v="155.1"/>
    <x v="1"/>
  </r>
  <r>
    <s v="Rural"/>
    <n v="2021"/>
    <s v="January"/>
    <x v="96"/>
    <s v="Education"/>
    <n v="163.5"/>
    <x v="7"/>
  </r>
  <r>
    <s v="Rural"/>
    <n v="2021"/>
    <s v="January"/>
    <x v="96"/>
    <s v="Personal care and effects"/>
    <n v="156.19999999999999"/>
    <x v="4"/>
  </r>
  <r>
    <s v="Rural"/>
    <n v="2021"/>
    <s v="January"/>
    <x v="96"/>
    <s v="Miscellaneous"/>
    <n v="155.9"/>
    <x v="8"/>
  </r>
  <r>
    <s v="Rural"/>
    <n v="2021"/>
    <s v="January"/>
    <x v="96"/>
    <s v="General index"/>
    <n v="158.5"/>
    <x v="9"/>
  </r>
  <r>
    <s v="Urban"/>
    <n v="2021"/>
    <s v="January"/>
    <x v="96"/>
    <s v="Cereals and products"/>
    <n v="148"/>
    <x v="0"/>
  </r>
  <r>
    <s v="Urban"/>
    <n v="2021"/>
    <s v="January"/>
    <x v="96"/>
    <s v="Meat and fish"/>
    <n v="194.8"/>
    <x v="0"/>
  </r>
  <r>
    <s v="Urban"/>
    <n v="2021"/>
    <s v="January"/>
    <x v="96"/>
    <s v="Egg"/>
    <n v="178.4"/>
    <x v="0"/>
  </r>
  <r>
    <s v="Urban"/>
    <n v="2021"/>
    <s v="January"/>
    <x v="96"/>
    <s v="Milk and products"/>
    <n v="154.4"/>
    <x v="0"/>
  </r>
  <r>
    <s v="Urban"/>
    <n v="2021"/>
    <s v="January"/>
    <x v="96"/>
    <s v="Oils and fats"/>
    <n v="144.1"/>
    <x v="0"/>
  </r>
  <r>
    <s v="Urban"/>
    <n v="2021"/>
    <s v="January"/>
    <x v="96"/>
    <s v="Fruits"/>
    <n v="152.6"/>
    <x v="0"/>
  </r>
  <r>
    <s v="Urban"/>
    <n v="2021"/>
    <s v="January"/>
    <x v="96"/>
    <s v="Vegetables"/>
    <n v="206.8"/>
    <x v="0"/>
  </r>
  <r>
    <s v="Urban"/>
    <n v="2021"/>
    <s v="January"/>
    <x v="96"/>
    <s v="Pulses and products"/>
    <n v="162.1"/>
    <x v="0"/>
  </r>
  <r>
    <s v="Urban"/>
    <n v="2021"/>
    <s v="January"/>
    <x v="96"/>
    <s v="Sugar and Confectionery"/>
    <n v="116.3"/>
    <x v="0"/>
  </r>
  <r>
    <s v="Urban"/>
    <n v="2021"/>
    <s v="January"/>
    <x v="96"/>
    <s v="Spices"/>
    <n v="163"/>
    <x v="0"/>
  </r>
  <r>
    <s v="Urban"/>
    <n v="2021"/>
    <s v="January"/>
    <x v="96"/>
    <s v="Non-alcoholic beverages"/>
    <n v="145.9"/>
    <x v="0"/>
  </r>
  <r>
    <s v="Urban"/>
    <n v="2021"/>
    <s v="January"/>
    <x v="96"/>
    <s v="Prepared meals, snacks, sweets etc."/>
    <n v="167.2"/>
    <x v="0"/>
  </r>
  <r>
    <s v="Urban"/>
    <n v="2021"/>
    <s v="January"/>
    <x v="96"/>
    <s v="Food and beverages"/>
    <n v="163.4"/>
    <x v="0"/>
  </r>
  <r>
    <s v="Urban"/>
    <n v="2021"/>
    <s v="January"/>
    <x v="96"/>
    <s v="Pan, tobacco and intoxicants"/>
    <n v="191.8"/>
    <x v="1"/>
  </r>
  <r>
    <s v="Urban"/>
    <n v="2021"/>
    <s v="January"/>
    <x v="96"/>
    <s v="Clothing"/>
    <n v="152.5"/>
    <x v="2"/>
  </r>
  <r>
    <s v="Urban"/>
    <n v="2021"/>
    <s v="January"/>
    <x v="96"/>
    <s v="Footwear"/>
    <n v="137.30000000000001"/>
    <x v="2"/>
  </r>
  <r>
    <s v="Urban"/>
    <n v="2021"/>
    <s v="January"/>
    <x v="96"/>
    <s v="Clothing and footwear"/>
    <n v="150.19999999999999"/>
    <x v="2"/>
  </r>
  <r>
    <s v="Urban"/>
    <n v="2021"/>
    <s v="January"/>
    <x v="96"/>
    <s v="Housing"/>
    <n v="157.69999999999999"/>
    <x v="10"/>
  </r>
  <r>
    <s v="Urban"/>
    <n v="2021"/>
    <s v="January"/>
    <x v="96"/>
    <s v="Fuel and light"/>
    <n v="142.9"/>
    <x v="3"/>
  </r>
  <r>
    <s v="Urban"/>
    <n v="2021"/>
    <s v="January"/>
    <x v="96"/>
    <s v="Household goods and services"/>
    <n v="145.69999999999999"/>
    <x v="4"/>
  </r>
  <r>
    <s v="Urban"/>
    <n v="2021"/>
    <s v="January"/>
    <x v="96"/>
    <s v="Health"/>
    <n v="154.1"/>
    <x v="5"/>
  </r>
  <r>
    <s v="Urban"/>
    <n v="2021"/>
    <s v="January"/>
    <x v="96"/>
    <s v="Transport and communication"/>
    <n v="136.9"/>
    <x v="6"/>
  </r>
  <r>
    <s v="Urban"/>
    <n v="2021"/>
    <s v="January"/>
    <x v="96"/>
    <s v="Recreation and amusement"/>
    <n v="145.4"/>
    <x v="1"/>
  </r>
  <r>
    <s v="Urban"/>
    <n v="2021"/>
    <s v="January"/>
    <x v="96"/>
    <s v="Education"/>
    <n v="156.1"/>
    <x v="7"/>
  </r>
  <r>
    <s v="Urban"/>
    <n v="2021"/>
    <s v="January"/>
    <x v="96"/>
    <s v="Personal care and effects"/>
    <n v="157.69999999999999"/>
    <x v="4"/>
  </r>
  <r>
    <s v="Urban"/>
    <n v="2021"/>
    <s v="January"/>
    <x v="96"/>
    <s v="Miscellaneous"/>
    <n v="147.6"/>
    <x v="8"/>
  </r>
  <r>
    <s v="Urban"/>
    <n v="2021"/>
    <s v="January"/>
    <x v="96"/>
    <s v="General index"/>
    <n v="156"/>
    <x v="9"/>
  </r>
  <r>
    <s v="Rural+Urban"/>
    <n v="2021"/>
    <s v="January"/>
    <x v="96"/>
    <s v="Cereals and products"/>
    <n v="144.9"/>
    <x v="0"/>
  </r>
  <r>
    <s v="Rural+Urban"/>
    <n v="2021"/>
    <s v="January"/>
    <x v="96"/>
    <s v="Meat and fish"/>
    <n v="190.1"/>
    <x v="0"/>
  </r>
  <r>
    <s v="Rural+Urban"/>
    <n v="2021"/>
    <s v="January"/>
    <x v="96"/>
    <s v="Egg"/>
    <n v="175.3"/>
    <x v="0"/>
  </r>
  <r>
    <s v="Rural+Urban"/>
    <n v="2021"/>
    <s v="January"/>
    <x v="96"/>
    <s v="Milk and products"/>
    <n v="154.1"/>
    <x v="0"/>
  </r>
  <r>
    <s v="Rural+Urban"/>
    <n v="2021"/>
    <s v="January"/>
    <x v="96"/>
    <s v="Oils and fats"/>
    <n v="150.9"/>
    <x v="0"/>
  </r>
  <r>
    <s v="Rural+Urban"/>
    <n v="2021"/>
    <s v="January"/>
    <x v="96"/>
    <s v="Fruits"/>
    <n v="149.6"/>
    <x v="0"/>
  </r>
  <r>
    <s v="Rural+Urban"/>
    <n v="2021"/>
    <s v="January"/>
    <x v="96"/>
    <s v="Vegetables"/>
    <n v="194.2"/>
    <x v="0"/>
  </r>
  <r>
    <s v="Rural+Urban"/>
    <n v="2021"/>
    <s v="January"/>
    <x v="96"/>
    <s v="Pulses and products"/>
    <n v="160.4"/>
    <x v="0"/>
  </r>
  <r>
    <s v="Rural+Urban"/>
    <n v="2021"/>
    <s v="January"/>
    <x v="96"/>
    <s v="Sugar and Confectionery"/>
    <n v="114.6"/>
    <x v="0"/>
  </r>
  <r>
    <s v="Rural+Urban"/>
    <n v="2021"/>
    <s v="January"/>
    <x v="96"/>
    <s v="Spices"/>
    <n v="164"/>
    <x v="0"/>
  </r>
  <r>
    <s v="Rural+Urban"/>
    <n v="2021"/>
    <s v="January"/>
    <x v="96"/>
    <s v="Non-alcoholic beverages"/>
    <n v="151.80000000000001"/>
    <x v="0"/>
  </r>
  <r>
    <s v="Rural+Urban"/>
    <n v="2021"/>
    <s v="January"/>
    <x v="96"/>
    <s v="Prepared meals, snacks, sweets etc."/>
    <n v="165.6"/>
    <x v="0"/>
  </r>
  <r>
    <s v="Rural+Urban"/>
    <n v="2021"/>
    <s v="January"/>
    <x v="96"/>
    <s v="Food and beverages"/>
    <n v="161"/>
    <x v="0"/>
  </r>
  <r>
    <s v="Rural+Urban"/>
    <n v="2021"/>
    <s v="January"/>
    <x v="96"/>
    <s v="Pan, tobacco and intoxicants"/>
    <n v="186.5"/>
    <x v="1"/>
  </r>
  <r>
    <s v="Rural+Urban"/>
    <n v="2021"/>
    <s v="January"/>
    <x v="96"/>
    <s v="Clothing"/>
    <n v="155.5"/>
    <x v="2"/>
  </r>
  <r>
    <s v="Rural+Urban"/>
    <n v="2021"/>
    <s v="January"/>
    <x v="96"/>
    <s v="Footwear"/>
    <n v="146.1"/>
    <x v="2"/>
  </r>
  <r>
    <s v="Rural+Urban"/>
    <n v="2021"/>
    <s v="January"/>
    <x v="96"/>
    <s v="Clothing and footwear"/>
    <n v="154.19999999999999"/>
    <x v="2"/>
  </r>
  <r>
    <s v="Rural+Urban"/>
    <n v="2021"/>
    <s v="January"/>
    <x v="96"/>
    <s v="Housing"/>
    <n v="157.69999999999999"/>
    <x v="10"/>
  </r>
  <r>
    <s v="Rural+Urban"/>
    <n v="2021"/>
    <s v="January"/>
    <x v="96"/>
    <s v="Fuel and light"/>
    <n v="147.9"/>
    <x v="3"/>
  </r>
  <r>
    <s v="Rural+Urban"/>
    <n v="2021"/>
    <s v="January"/>
    <x v="96"/>
    <s v="Household goods and services"/>
    <n v="150"/>
    <x v="4"/>
  </r>
  <r>
    <s v="Rural+Urban"/>
    <n v="2021"/>
    <s v="January"/>
    <x v="96"/>
    <s v="Health"/>
    <n v="159.30000000000001"/>
    <x v="5"/>
  </r>
  <r>
    <s v="Rural+Urban"/>
    <n v="2021"/>
    <s v="January"/>
    <x v="96"/>
    <s v="Transport and communication"/>
    <n v="141.9"/>
    <x v="6"/>
  </r>
  <r>
    <s v="Rural+Urban"/>
    <n v="2021"/>
    <s v="January"/>
    <x v="96"/>
    <s v="Recreation and amusement"/>
    <n v="149.6"/>
    <x v="1"/>
  </r>
  <r>
    <s v="Rural+Urban"/>
    <n v="2021"/>
    <s v="January"/>
    <x v="96"/>
    <s v="Education"/>
    <n v="159.19999999999999"/>
    <x v="7"/>
  </r>
  <r>
    <s v="Rural+Urban"/>
    <n v="2021"/>
    <s v="January"/>
    <x v="96"/>
    <s v="Personal care and effects"/>
    <n v="156.80000000000001"/>
    <x v="4"/>
  </r>
  <r>
    <s v="Rural+Urban"/>
    <n v="2021"/>
    <s v="January"/>
    <x v="96"/>
    <s v="Miscellaneous"/>
    <n v="151.9"/>
    <x v="8"/>
  </r>
  <r>
    <s v="Rural+Urban"/>
    <n v="2021"/>
    <s v="January"/>
    <x v="96"/>
    <s v="General index"/>
    <n v="157.30000000000001"/>
    <x v="9"/>
  </r>
  <r>
    <s v="Rural"/>
    <n v="2021"/>
    <s v="February"/>
    <x v="97"/>
    <s v="Cereals and products"/>
    <n v="142.80000000000001"/>
    <x v="0"/>
  </r>
  <r>
    <s v="Rural"/>
    <n v="2021"/>
    <s v="February"/>
    <x v="97"/>
    <s v="Meat and fish"/>
    <n v="184"/>
    <x v="0"/>
  </r>
  <r>
    <s v="Rural"/>
    <n v="2021"/>
    <s v="February"/>
    <x v="97"/>
    <s v="Egg"/>
    <n v="168"/>
    <x v="0"/>
  </r>
  <r>
    <s v="Rural"/>
    <n v="2021"/>
    <s v="February"/>
    <x v="97"/>
    <s v="Milk and products"/>
    <n v="154.4"/>
    <x v="0"/>
  </r>
  <r>
    <s v="Rural"/>
    <n v="2021"/>
    <s v="February"/>
    <x v="97"/>
    <s v="Oils and fats"/>
    <n v="163"/>
    <x v="0"/>
  </r>
  <r>
    <s v="Rural"/>
    <n v="2021"/>
    <s v="February"/>
    <x v="97"/>
    <s v="Fruits"/>
    <n v="147.80000000000001"/>
    <x v="0"/>
  </r>
  <r>
    <s v="Rural"/>
    <n v="2021"/>
    <s v="February"/>
    <x v="97"/>
    <s v="Vegetables"/>
    <n v="149.69999999999999"/>
    <x v="0"/>
  </r>
  <r>
    <s v="Rural"/>
    <n v="2021"/>
    <s v="February"/>
    <x v="97"/>
    <s v="Pulses and products"/>
    <n v="158.30000000000001"/>
    <x v="0"/>
  </r>
  <r>
    <s v="Rural"/>
    <n v="2021"/>
    <s v="February"/>
    <x v="97"/>
    <s v="Sugar and Confectionery"/>
    <n v="111.8"/>
    <x v="0"/>
  </r>
  <r>
    <s v="Rural"/>
    <n v="2021"/>
    <s v="February"/>
    <x v="97"/>
    <s v="Spices"/>
    <n v="165"/>
    <x v="0"/>
  </r>
  <r>
    <s v="Rural"/>
    <n v="2021"/>
    <s v="February"/>
    <x v="97"/>
    <s v="Non-alcoholic beverages"/>
    <n v="160"/>
    <x v="0"/>
  </r>
  <r>
    <s v="Rural"/>
    <n v="2021"/>
    <s v="February"/>
    <x v="97"/>
    <s v="Prepared meals, snacks, sweets etc."/>
    <n v="165.8"/>
    <x v="0"/>
  </r>
  <r>
    <s v="Rural"/>
    <n v="2021"/>
    <s v="February"/>
    <x v="97"/>
    <s v="Food and beverages"/>
    <n v="154.69999999999999"/>
    <x v="0"/>
  </r>
  <r>
    <s v="Rural"/>
    <n v="2021"/>
    <s v="February"/>
    <x v="97"/>
    <s v="Pan, tobacco and intoxicants"/>
    <n v="186.5"/>
    <x v="1"/>
  </r>
  <r>
    <s v="Rural"/>
    <n v="2021"/>
    <s v="February"/>
    <x v="97"/>
    <s v="Clothing"/>
    <n v="159.1"/>
    <x v="2"/>
  </r>
  <r>
    <s v="Rural"/>
    <n v="2021"/>
    <s v="February"/>
    <x v="97"/>
    <s v="Footwear"/>
    <n v="153.9"/>
    <x v="2"/>
  </r>
  <r>
    <s v="Rural"/>
    <n v="2021"/>
    <s v="February"/>
    <x v="97"/>
    <s v="Clothing and footwear"/>
    <n v="158.4"/>
    <x v="2"/>
  </r>
  <r>
    <s v="Rural"/>
    <n v="2021"/>
    <s v="February"/>
    <x v="97"/>
    <s v="Fuel and light"/>
    <n v="154.4"/>
    <x v="3"/>
  </r>
  <r>
    <s v="Rural"/>
    <n v="2021"/>
    <s v="February"/>
    <x v="97"/>
    <s v="Household goods and services"/>
    <n v="154.80000000000001"/>
    <x v="4"/>
  </r>
  <r>
    <s v="Rural"/>
    <n v="2021"/>
    <s v="February"/>
    <x v="97"/>
    <s v="Health"/>
    <n v="164.3"/>
    <x v="5"/>
  </r>
  <r>
    <s v="Rural"/>
    <n v="2021"/>
    <s v="February"/>
    <x v="97"/>
    <s v="Transport and communication"/>
    <n v="150.19999999999999"/>
    <x v="6"/>
  </r>
  <r>
    <s v="Rural"/>
    <n v="2021"/>
    <s v="February"/>
    <x v="97"/>
    <s v="Recreation and amusement"/>
    <n v="157"/>
    <x v="1"/>
  </r>
  <r>
    <s v="Rural"/>
    <n v="2021"/>
    <s v="February"/>
    <x v="97"/>
    <s v="Education"/>
    <n v="163.6"/>
    <x v="7"/>
  </r>
  <r>
    <s v="Rural"/>
    <n v="2021"/>
    <s v="February"/>
    <x v="97"/>
    <s v="Personal care and effects"/>
    <n v="155.19999999999999"/>
    <x v="4"/>
  </r>
  <r>
    <s v="Rural"/>
    <n v="2021"/>
    <s v="February"/>
    <x v="97"/>
    <s v="Miscellaneous"/>
    <n v="157.19999999999999"/>
    <x v="8"/>
  </r>
  <r>
    <s v="Rural"/>
    <n v="2021"/>
    <s v="February"/>
    <x v="97"/>
    <s v="General index"/>
    <n v="156.69999999999999"/>
    <x v="9"/>
  </r>
  <r>
    <s v="Urban"/>
    <n v="2021"/>
    <s v="February"/>
    <x v="97"/>
    <s v="Cereals and products"/>
    <n v="147.6"/>
    <x v="0"/>
  </r>
  <r>
    <s v="Urban"/>
    <n v="2021"/>
    <s v="February"/>
    <x v="97"/>
    <s v="Meat and fish"/>
    <n v="191.2"/>
    <x v="0"/>
  </r>
  <r>
    <s v="Urban"/>
    <n v="2021"/>
    <s v="February"/>
    <x v="97"/>
    <s v="Egg"/>
    <n v="169.9"/>
    <x v="0"/>
  </r>
  <r>
    <s v="Urban"/>
    <n v="2021"/>
    <s v="February"/>
    <x v="97"/>
    <s v="Milk and products"/>
    <n v="155.1"/>
    <x v="0"/>
  </r>
  <r>
    <s v="Urban"/>
    <n v="2021"/>
    <s v="February"/>
    <x v="97"/>
    <s v="Oils and fats"/>
    <n v="151.4"/>
    <x v="0"/>
  </r>
  <r>
    <s v="Urban"/>
    <n v="2021"/>
    <s v="February"/>
    <x v="97"/>
    <s v="Fruits"/>
    <n v="154"/>
    <x v="0"/>
  </r>
  <r>
    <s v="Urban"/>
    <n v="2021"/>
    <s v="February"/>
    <x v="97"/>
    <s v="Vegetables"/>
    <n v="180.2"/>
    <x v="0"/>
  </r>
  <r>
    <s v="Urban"/>
    <n v="2021"/>
    <s v="February"/>
    <x v="97"/>
    <s v="Pulses and products"/>
    <n v="159.80000000000001"/>
    <x v="0"/>
  </r>
  <r>
    <s v="Urban"/>
    <n v="2021"/>
    <s v="February"/>
    <x v="97"/>
    <s v="Sugar and Confectionery"/>
    <n v="114.9"/>
    <x v="0"/>
  </r>
  <r>
    <s v="Urban"/>
    <n v="2021"/>
    <s v="February"/>
    <x v="97"/>
    <s v="Spices"/>
    <n v="162.5"/>
    <x v="0"/>
  </r>
  <r>
    <s v="Urban"/>
    <n v="2021"/>
    <s v="February"/>
    <x v="97"/>
    <s v="Non-alcoholic beverages"/>
    <n v="149.19999999999999"/>
    <x v="0"/>
  </r>
  <r>
    <s v="Urban"/>
    <n v="2021"/>
    <s v="February"/>
    <x v="97"/>
    <s v="Prepared meals, snacks, sweets etc."/>
    <n v="169.4"/>
    <x v="0"/>
  </r>
  <r>
    <s v="Urban"/>
    <n v="2021"/>
    <s v="February"/>
    <x v="97"/>
    <s v="Food and beverages"/>
    <n v="160.80000000000001"/>
    <x v="0"/>
  </r>
  <r>
    <s v="Urban"/>
    <n v="2021"/>
    <s v="February"/>
    <x v="97"/>
    <s v="Pan, tobacco and intoxicants"/>
    <n v="193.3"/>
    <x v="1"/>
  </r>
  <r>
    <s v="Urban"/>
    <n v="2021"/>
    <s v="February"/>
    <x v="97"/>
    <s v="Clothing"/>
    <n v="154.19999999999999"/>
    <x v="2"/>
  </r>
  <r>
    <s v="Urban"/>
    <n v="2021"/>
    <s v="February"/>
    <x v="97"/>
    <s v="Footwear"/>
    <n v="138.19999999999999"/>
    <x v="2"/>
  </r>
  <r>
    <s v="Urban"/>
    <n v="2021"/>
    <s v="February"/>
    <x v="97"/>
    <s v="Clothing and footwear"/>
    <n v="151.80000000000001"/>
    <x v="2"/>
  </r>
  <r>
    <s v="Urban"/>
    <n v="2021"/>
    <s v="February"/>
    <x v="97"/>
    <s v="Housing"/>
    <n v="159.80000000000001"/>
    <x v="10"/>
  </r>
  <r>
    <s v="Urban"/>
    <n v="2021"/>
    <s v="February"/>
    <x v="97"/>
    <s v="Fuel and light"/>
    <n v="149.1"/>
    <x v="3"/>
  </r>
  <r>
    <s v="Urban"/>
    <n v="2021"/>
    <s v="February"/>
    <x v="97"/>
    <s v="Household goods and services"/>
    <n v="146.5"/>
    <x v="4"/>
  </r>
  <r>
    <s v="Urban"/>
    <n v="2021"/>
    <s v="February"/>
    <x v="97"/>
    <s v="Health"/>
    <n v="156.30000000000001"/>
    <x v="5"/>
  </r>
  <r>
    <s v="Urban"/>
    <n v="2021"/>
    <s v="February"/>
    <x v="97"/>
    <s v="Transport and communication"/>
    <n v="140.5"/>
    <x v="6"/>
  </r>
  <r>
    <s v="Urban"/>
    <n v="2021"/>
    <s v="February"/>
    <x v="97"/>
    <s v="Recreation and amusement"/>
    <n v="147.30000000000001"/>
    <x v="1"/>
  </r>
  <r>
    <s v="Urban"/>
    <n v="2021"/>
    <s v="February"/>
    <x v="97"/>
    <s v="Education"/>
    <n v="156.6"/>
    <x v="7"/>
  </r>
  <r>
    <s v="Urban"/>
    <n v="2021"/>
    <s v="February"/>
    <x v="97"/>
    <s v="Personal care and effects"/>
    <n v="156.69999999999999"/>
    <x v="4"/>
  </r>
  <r>
    <s v="Urban"/>
    <n v="2021"/>
    <s v="February"/>
    <x v="97"/>
    <s v="Miscellaneous"/>
    <n v="149.30000000000001"/>
    <x v="8"/>
  </r>
  <r>
    <s v="Urban"/>
    <n v="2021"/>
    <s v="February"/>
    <x v="97"/>
    <s v="General index"/>
    <n v="156.5"/>
    <x v="9"/>
  </r>
  <r>
    <s v="Rural+Urban"/>
    <n v="2021"/>
    <s v="February"/>
    <x v="97"/>
    <s v="Cereals and products"/>
    <n v="144.30000000000001"/>
    <x v="0"/>
  </r>
  <r>
    <s v="Rural+Urban"/>
    <n v="2021"/>
    <s v="February"/>
    <x v="97"/>
    <s v="Meat and fish"/>
    <n v="186.5"/>
    <x v="0"/>
  </r>
  <r>
    <s v="Rural+Urban"/>
    <n v="2021"/>
    <s v="February"/>
    <x v="97"/>
    <s v="Egg"/>
    <n v="168.7"/>
    <x v="0"/>
  </r>
  <r>
    <s v="Rural+Urban"/>
    <n v="2021"/>
    <s v="February"/>
    <x v="97"/>
    <s v="Milk and products"/>
    <n v="154.69999999999999"/>
    <x v="0"/>
  </r>
  <r>
    <s v="Rural+Urban"/>
    <n v="2021"/>
    <s v="February"/>
    <x v="97"/>
    <s v="Oils and fats"/>
    <n v="158.69999999999999"/>
    <x v="0"/>
  </r>
  <r>
    <s v="Rural+Urban"/>
    <n v="2021"/>
    <s v="February"/>
    <x v="97"/>
    <s v="Fruits"/>
    <n v="150.69999999999999"/>
    <x v="0"/>
  </r>
  <r>
    <s v="Rural+Urban"/>
    <n v="2021"/>
    <s v="February"/>
    <x v="97"/>
    <s v="Vegetables"/>
    <n v="160"/>
    <x v="0"/>
  </r>
  <r>
    <s v="Rural+Urban"/>
    <n v="2021"/>
    <s v="February"/>
    <x v="97"/>
    <s v="Pulses and products"/>
    <n v="158.80000000000001"/>
    <x v="0"/>
  </r>
  <r>
    <s v="Rural+Urban"/>
    <n v="2021"/>
    <s v="February"/>
    <x v="97"/>
    <s v="Sugar and Confectionery"/>
    <n v="112.8"/>
    <x v="0"/>
  </r>
  <r>
    <s v="Rural+Urban"/>
    <n v="2021"/>
    <s v="February"/>
    <x v="97"/>
    <s v="Spices"/>
    <n v="164.2"/>
    <x v="0"/>
  </r>
  <r>
    <s v="Rural+Urban"/>
    <n v="2021"/>
    <s v="February"/>
    <x v="97"/>
    <s v="Non-alcoholic beverages"/>
    <n v="155.5"/>
    <x v="0"/>
  </r>
  <r>
    <s v="Rural+Urban"/>
    <n v="2021"/>
    <s v="February"/>
    <x v="97"/>
    <s v="Prepared meals, snacks, sweets etc."/>
    <n v="167.5"/>
    <x v="0"/>
  </r>
  <r>
    <s v="Rural+Urban"/>
    <n v="2021"/>
    <s v="February"/>
    <x v="97"/>
    <s v="Food and beverages"/>
    <n v="156.9"/>
    <x v="0"/>
  </r>
  <r>
    <s v="Rural+Urban"/>
    <n v="2021"/>
    <s v="February"/>
    <x v="97"/>
    <s v="Pan, tobacco and intoxicants"/>
    <n v="188.3"/>
    <x v="1"/>
  </r>
  <r>
    <s v="Rural+Urban"/>
    <n v="2021"/>
    <s v="February"/>
    <x v="97"/>
    <s v="Clothing"/>
    <n v="157.19999999999999"/>
    <x v="2"/>
  </r>
  <r>
    <s v="Rural+Urban"/>
    <n v="2021"/>
    <s v="February"/>
    <x v="97"/>
    <s v="Footwear"/>
    <n v="147.4"/>
    <x v="2"/>
  </r>
  <r>
    <s v="Rural+Urban"/>
    <n v="2021"/>
    <s v="February"/>
    <x v="97"/>
    <s v="Clothing and footwear"/>
    <n v="155.80000000000001"/>
    <x v="2"/>
  </r>
  <r>
    <s v="Rural+Urban"/>
    <n v="2021"/>
    <s v="February"/>
    <x v="97"/>
    <s v="Housing"/>
    <n v="159.80000000000001"/>
    <x v="10"/>
  </r>
  <r>
    <s v="Rural+Urban"/>
    <n v="2021"/>
    <s v="February"/>
    <x v="97"/>
    <s v="Fuel and light"/>
    <n v="152.4"/>
    <x v="3"/>
  </r>
  <r>
    <s v="Rural+Urban"/>
    <n v="2021"/>
    <s v="February"/>
    <x v="97"/>
    <s v="Household goods and services"/>
    <n v="150.9"/>
    <x v="4"/>
  </r>
  <r>
    <s v="Rural+Urban"/>
    <n v="2021"/>
    <s v="February"/>
    <x v="97"/>
    <s v="Health"/>
    <n v="161.30000000000001"/>
    <x v="5"/>
  </r>
  <r>
    <s v="Rural+Urban"/>
    <n v="2021"/>
    <s v="February"/>
    <x v="97"/>
    <s v="Transport and communication"/>
    <n v="145.1"/>
    <x v="6"/>
  </r>
  <r>
    <s v="Rural+Urban"/>
    <n v="2021"/>
    <s v="February"/>
    <x v="97"/>
    <s v="Recreation and amusement"/>
    <n v="151.5"/>
    <x v="1"/>
  </r>
  <r>
    <s v="Rural+Urban"/>
    <n v="2021"/>
    <s v="February"/>
    <x v="97"/>
    <s v="Education"/>
    <n v="159.5"/>
    <x v="7"/>
  </r>
  <r>
    <s v="Rural+Urban"/>
    <n v="2021"/>
    <s v="February"/>
    <x v="97"/>
    <s v="Personal care and effects"/>
    <n v="155.80000000000001"/>
    <x v="4"/>
  </r>
  <r>
    <s v="Rural+Urban"/>
    <n v="2021"/>
    <s v="February"/>
    <x v="97"/>
    <s v="Miscellaneous"/>
    <n v="153.4"/>
    <x v="8"/>
  </r>
  <r>
    <s v="Rural+Urban"/>
    <n v="2021"/>
    <s v="February"/>
    <x v="97"/>
    <s v="General index"/>
    <n v="156.6"/>
    <x v="9"/>
  </r>
  <r>
    <s v="Rural"/>
    <n v="2021"/>
    <s v="March"/>
    <x v="98"/>
    <s v="Cereals and products"/>
    <n v="142.5"/>
    <x v="0"/>
  </r>
  <r>
    <s v="Rural"/>
    <n v="2021"/>
    <s v="March"/>
    <x v="98"/>
    <s v="Meat and fish"/>
    <n v="189.4"/>
    <x v="0"/>
  </r>
  <r>
    <s v="Rural"/>
    <n v="2021"/>
    <s v="March"/>
    <x v="98"/>
    <s v="Egg"/>
    <n v="163.19999999999999"/>
    <x v="0"/>
  </r>
  <r>
    <s v="Rural"/>
    <n v="2021"/>
    <s v="March"/>
    <x v="98"/>
    <s v="Milk and products"/>
    <n v="154.5"/>
    <x v="0"/>
  </r>
  <r>
    <s v="Rural"/>
    <n v="2021"/>
    <s v="March"/>
    <x v="98"/>
    <s v="Oils and fats"/>
    <n v="168.2"/>
    <x v="0"/>
  </r>
  <r>
    <s v="Rural"/>
    <n v="2021"/>
    <s v="March"/>
    <x v="98"/>
    <s v="Fruits"/>
    <n v="150.5"/>
    <x v="0"/>
  </r>
  <r>
    <s v="Rural"/>
    <n v="2021"/>
    <s v="March"/>
    <x v="98"/>
    <s v="Vegetables"/>
    <n v="141"/>
    <x v="0"/>
  </r>
  <r>
    <s v="Rural"/>
    <n v="2021"/>
    <s v="March"/>
    <x v="98"/>
    <s v="Pulses and products"/>
    <n v="159.19999999999999"/>
    <x v="0"/>
  </r>
  <r>
    <s v="Rural"/>
    <n v="2021"/>
    <s v="March"/>
    <x v="98"/>
    <s v="Sugar and Confectionery"/>
    <n v="111.7"/>
    <x v="0"/>
  </r>
  <r>
    <s v="Rural"/>
    <n v="2021"/>
    <s v="March"/>
    <x v="98"/>
    <s v="Spices"/>
    <n v="164"/>
    <x v="0"/>
  </r>
  <r>
    <s v="Rural"/>
    <n v="2021"/>
    <s v="March"/>
    <x v="98"/>
    <s v="Non-alcoholic beverages"/>
    <n v="160.6"/>
    <x v="0"/>
  </r>
  <r>
    <s v="Rural"/>
    <n v="2021"/>
    <s v="March"/>
    <x v="98"/>
    <s v="Prepared meals, snacks, sweets etc."/>
    <n v="166.4"/>
    <x v="0"/>
  </r>
  <r>
    <s v="Rural"/>
    <n v="2021"/>
    <s v="March"/>
    <x v="98"/>
    <s v="Food and beverages"/>
    <n v="154.5"/>
    <x v="0"/>
  </r>
  <r>
    <s v="Rural"/>
    <n v="2021"/>
    <s v="March"/>
    <x v="98"/>
    <s v="Pan, tobacco and intoxicants"/>
    <n v="186.1"/>
    <x v="1"/>
  </r>
  <r>
    <s v="Rural"/>
    <n v="2021"/>
    <s v="March"/>
    <x v="98"/>
    <s v="Clothing"/>
    <n v="159.6"/>
    <x v="2"/>
  </r>
  <r>
    <s v="Rural"/>
    <n v="2021"/>
    <s v="March"/>
    <x v="98"/>
    <s v="Footwear"/>
    <n v="154.4"/>
    <x v="2"/>
  </r>
  <r>
    <s v="Rural"/>
    <n v="2021"/>
    <s v="March"/>
    <x v="98"/>
    <s v="Clothing and footwear"/>
    <n v="158.9"/>
    <x v="2"/>
  </r>
  <r>
    <s v="Rural"/>
    <n v="2021"/>
    <s v="March"/>
    <x v="98"/>
    <s v="Fuel and light"/>
    <n v="156"/>
    <x v="3"/>
  </r>
  <r>
    <s v="Rural"/>
    <n v="2021"/>
    <s v="March"/>
    <x v="98"/>
    <s v="Household goods and services"/>
    <n v="154.80000000000001"/>
    <x v="4"/>
  </r>
  <r>
    <s v="Rural"/>
    <n v="2021"/>
    <s v="March"/>
    <x v="98"/>
    <s v="Health"/>
    <n v="164.6"/>
    <x v="5"/>
  </r>
  <r>
    <s v="Rural"/>
    <n v="2021"/>
    <s v="March"/>
    <x v="98"/>
    <s v="Transport and communication"/>
    <n v="151.30000000000001"/>
    <x v="6"/>
  </r>
  <r>
    <s v="Rural"/>
    <n v="2021"/>
    <s v="March"/>
    <x v="98"/>
    <s v="Recreation and amusement"/>
    <n v="157.80000000000001"/>
    <x v="1"/>
  </r>
  <r>
    <s v="Rural"/>
    <n v="2021"/>
    <s v="March"/>
    <x v="98"/>
    <s v="Education"/>
    <n v="163.80000000000001"/>
    <x v="7"/>
  </r>
  <r>
    <s v="Rural"/>
    <n v="2021"/>
    <s v="March"/>
    <x v="98"/>
    <s v="Personal care and effects"/>
    <n v="153.1"/>
    <x v="4"/>
  </r>
  <r>
    <s v="Rural"/>
    <n v="2021"/>
    <s v="March"/>
    <x v="98"/>
    <s v="Miscellaneous"/>
    <n v="157.30000000000001"/>
    <x v="8"/>
  </r>
  <r>
    <s v="Rural"/>
    <n v="2021"/>
    <s v="March"/>
    <x v="98"/>
    <s v="General index"/>
    <n v="156.69999999999999"/>
    <x v="9"/>
  </r>
  <r>
    <s v="Urban"/>
    <n v="2021"/>
    <s v="March"/>
    <x v="98"/>
    <s v="Cereals and products"/>
    <n v="147.5"/>
    <x v="0"/>
  </r>
  <r>
    <s v="Urban"/>
    <n v="2021"/>
    <s v="March"/>
    <x v="98"/>
    <s v="Meat and fish"/>
    <n v="197.5"/>
    <x v="0"/>
  </r>
  <r>
    <s v="Urban"/>
    <n v="2021"/>
    <s v="March"/>
    <x v="98"/>
    <s v="Egg"/>
    <n v="164.7"/>
    <x v="0"/>
  </r>
  <r>
    <s v="Urban"/>
    <n v="2021"/>
    <s v="March"/>
    <x v="98"/>
    <s v="Milk and products"/>
    <n v="155.6"/>
    <x v="0"/>
  </r>
  <r>
    <s v="Urban"/>
    <n v="2021"/>
    <s v="March"/>
    <x v="98"/>
    <s v="Oils and fats"/>
    <n v="156.4"/>
    <x v="0"/>
  </r>
  <r>
    <s v="Urban"/>
    <n v="2021"/>
    <s v="March"/>
    <x v="98"/>
    <s v="Fruits"/>
    <n v="157.30000000000001"/>
    <x v="0"/>
  </r>
  <r>
    <s v="Urban"/>
    <n v="2021"/>
    <s v="March"/>
    <x v="98"/>
    <s v="Vegetables"/>
    <n v="166.1"/>
    <x v="0"/>
  </r>
  <r>
    <s v="Urban"/>
    <n v="2021"/>
    <s v="March"/>
    <x v="98"/>
    <s v="Pulses and products"/>
    <n v="161.1"/>
    <x v="0"/>
  </r>
  <r>
    <s v="Urban"/>
    <n v="2021"/>
    <s v="March"/>
    <x v="98"/>
    <s v="Sugar and Confectionery"/>
    <n v="114.3"/>
    <x v="0"/>
  </r>
  <r>
    <s v="Urban"/>
    <n v="2021"/>
    <s v="March"/>
    <x v="98"/>
    <s v="Spices"/>
    <n v="162.6"/>
    <x v="0"/>
  </r>
  <r>
    <s v="Urban"/>
    <n v="2021"/>
    <s v="March"/>
    <x v="98"/>
    <s v="Non-alcoholic beverages"/>
    <n v="150.69999999999999"/>
    <x v="0"/>
  </r>
  <r>
    <s v="Urban"/>
    <n v="2021"/>
    <s v="March"/>
    <x v="98"/>
    <s v="Prepared meals, snacks, sweets etc."/>
    <n v="170.3"/>
    <x v="0"/>
  </r>
  <r>
    <s v="Urban"/>
    <n v="2021"/>
    <s v="March"/>
    <x v="98"/>
    <s v="Food and beverages"/>
    <n v="160.4"/>
    <x v="0"/>
  </r>
  <r>
    <s v="Urban"/>
    <n v="2021"/>
    <s v="March"/>
    <x v="98"/>
    <s v="Pan, tobacco and intoxicants"/>
    <n v="193.5"/>
    <x v="1"/>
  </r>
  <r>
    <s v="Urban"/>
    <n v="2021"/>
    <s v="March"/>
    <x v="98"/>
    <s v="Clothing"/>
    <n v="155.1"/>
    <x v="2"/>
  </r>
  <r>
    <s v="Urban"/>
    <n v="2021"/>
    <s v="March"/>
    <x v="98"/>
    <s v="Footwear"/>
    <n v="138.69999999999999"/>
    <x v="2"/>
  </r>
  <r>
    <s v="Urban"/>
    <n v="2021"/>
    <s v="March"/>
    <x v="98"/>
    <s v="Clothing and footwear"/>
    <n v="152.6"/>
    <x v="2"/>
  </r>
  <r>
    <s v="Urban"/>
    <n v="2021"/>
    <s v="March"/>
    <x v="98"/>
    <s v="Housing"/>
    <n v="159.9"/>
    <x v="10"/>
  </r>
  <r>
    <s v="Urban"/>
    <n v="2021"/>
    <s v="March"/>
    <x v="98"/>
    <s v="Fuel and light"/>
    <n v="154.80000000000001"/>
    <x v="3"/>
  </r>
  <r>
    <s v="Urban"/>
    <n v="2021"/>
    <s v="March"/>
    <x v="98"/>
    <s v="Household goods and services"/>
    <n v="147.19999999999999"/>
    <x v="4"/>
  </r>
  <r>
    <s v="Urban"/>
    <n v="2021"/>
    <s v="March"/>
    <x v="98"/>
    <s v="Health"/>
    <n v="156.9"/>
    <x v="5"/>
  </r>
  <r>
    <s v="Urban"/>
    <n v="2021"/>
    <s v="March"/>
    <x v="98"/>
    <s v="Transport and communication"/>
    <n v="141.69999999999999"/>
    <x v="6"/>
  </r>
  <r>
    <s v="Urban"/>
    <n v="2021"/>
    <s v="March"/>
    <x v="98"/>
    <s v="Recreation and amusement"/>
    <n v="148.6"/>
    <x v="1"/>
  </r>
  <r>
    <s v="Urban"/>
    <n v="2021"/>
    <s v="March"/>
    <x v="98"/>
    <s v="Education"/>
    <n v="157.6"/>
    <x v="7"/>
  </r>
  <r>
    <s v="Urban"/>
    <n v="2021"/>
    <s v="March"/>
    <x v="98"/>
    <s v="Personal care and effects"/>
    <n v="154.9"/>
    <x v="4"/>
  </r>
  <r>
    <s v="Urban"/>
    <n v="2021"/>
    <s v="March"/>
    <x v="98"/>
    <s v="Miscellaneous"/>
    <n v="150"/>
    <x v="8"/>
  </r>
  <r>
    <s v="Urban"/>
    <n v="2021"/>
    <s v="March"/>
    <x v="98"/>
    <s v="General index"/>
    <n v="156.9"/>
    <x v="9"/>
  </r>
  <r>
    <s v="Rural+Urban"/>
    <n v="2021"/>
    <s v="March"/>
    <x v="98"/>
    <s v="Cereals and products"/>
    <n v="144.1"/>
    <x v="0"/>
  </r>
  <r>
    <s v="Rural+Urban"/>
    <n v="2021"/>
    <s v="March"/>
    <x v="98"/>
    <s v="Meat and fish"/>
    <n v="192.2"/>
    <x v="0"/>
  </r>
  <r>
    <s v="Rural+Urban"/>
    <n v="2021"/>
    <s v="March"/>
    <x v="98"/>
    <s v="Egg"/>
    <n v="163.80000000000001"/>
    <x v="0"/>
  </r>
  <r>
    <s v="Rural+Urban"/>
    <n v="2021"/>
    <s v="March"/>
    <x v="98"/>
    <s v="Milk and products"/>
    <n v="154.9"/>
    <x v="0"/>
  </r>
  <r>
    <s v="Rural+Urban"/>
    <n v="2021"/>
    <s v="March"/>
    <x v="98"/>
    <s v="Oils and fats"/>
    <n v="163.9"/>
    <x v="0"/>
  </r>
  <r>
    <s v="Rural+Urban"/>
    <n v="2021"/>
    <s v="March"/>
    <x v="98"/>
    <s v="Fruits"/>
    <n v="153.69999999999999"/>
    <x v="0"/>
  </r>
  <r>
    <s v="Rural+Urban"/>
    <n v="2021"/>
    <s v="March"/>
    <x v="98"/>
    <s v="Vegetables"/>
    <n v="149.5"/>
    <x v="0"/>
  </r>
  <r>
    <s v="Rural+Urban"/>
    <n v="2021"/>
    <s v="March"/>
    <x v="98"/>
    <s v="Pulses and products"/>
    <n v="159.80000000000001"/>
    <x v="0"/>
  </r>
  <r>
    <s v="Rural+Urban"/>
    <n v="2021"/>
    <s v="March"/>
    <x v="98"/>
    <s v="Sugar and Confectionery"/>
    <n v="112.6"/>
    <x v="0"/>
  </r>
  <r>
    <s v="Rural+Urban"/>
    <n v="2021"/>
    <s v="March"/>
    <x v="98"/>
    <s v="Spices"/>
    <n v="163.5"/>
    <x v="0"/>
  </r>
  <r>
    <s v="Rural+Urban"/>
    <n v="2021"/>
    <s v="March"/>
    <x v="98"/>
    <s v="Non-alcoholic beverages"/>
    <n v="156.5"/>
    <x v="0"/>
  </r>
  <r>
    <s v="Rural+Urban"/>
    <n v="2021"/>
    <s v="March"/>
    <x v="98"/>
    <s v="Prepared meals, snacks, sweets etc."/>
    <n v="168.2"/>
    <x v="0"/>
  </r>
  <r>
    <s v="Rural+Urban"/>
    <n v="2021"/>
    <s v="March"/>
    <x v="98"/>
    <s v="Food and beverages"/>
    <n v="156.69999999999999"/>
    <x v="0"/>
  </r>
  <r>
    <s v="Rural+Urban"/>
    <n v="2021"/>
    <s v="March"/>
    <x v="98"/>
    <s v="Pan, tobacco and intoxicants"/>
    <n v="188.1"/>
    <x v="1"/>
  </r>
  <r>
    <s v="Rural+Urban"/>
    <n v="2021"/>
    <s v="March"/>
    <x v="98"/>
    <s v="Clothing"/>
    <n v="157.80000000000001"/>
    <x v="2"/>
  </r>
  <r>
    <s v="Rural+Urban"/>
    <n v="2021"/>
    <s v="March"/>
    <x v="98"/>
    <s v="Footwear"/>
    <n v="147.9"/>
    <x v="2"/>
  </r>
  <r>
    <s v="Rural+Urban"/>
    <n v="2021"/>
    <s v="March"/>
    <x v="98"/>
    <s v="Clothing and footwear"/>
    <n v="156.4"/>
    <x v="2"/>
  </r>
  <r>
    <s v="Rural+Urban"/>
    <n v="2021"/>
    <s v="March"/>
    <x v="98"/>
    <s v="Housing"/>
    <n v="159.9"/>
    <x v="10"/>
  </r>
  <r>
    <s v="Rural+Urban"/>
    <n v="2021"/>
    <s v="March"/>
    <x v="98"/>
    <s v="Fuel and light"/>
    <n v="155.5"/>
    <x v="3"/>
  </r>
  <r>
    <s v="Rural+Urban"/>
    <n v="2021"/>
    <s v="March"/>
    <x v="98"/>
    <s v="Household goods and services"/>
    <n v="151.19999999999999"/>
    <x v="4"/>
  </r>
  <r>
    <s v="Rural+Urban"/>
    <n v="2021"/>
    <s v="March"/>
    <x v="98"/>
    <s v="Health"/>
    <n v="161.69999999999999"/>
    <x v="5"/>
  </r>
  <r>
    <s v="Rural+Urban"/>
    <n v="2021"/>
    <s v="March"/>
    <x v="98"/>
    <s v="Transport and communication"/>
    <n v="146.19999999999999"/>
    <x v="6"/>
  </r>
  <r>
    <s v="Rural+Urban"/>
    <n v="2021"/>
    <s v="March"/>
    <x v="98"/>
    <s v="Recreation and amusement"/>
    <n v="152.6"/>
    <x v="1"/>
  </r>
  <r>
    <s v="Rural+Urban"/>
    <n v="2021"/>
    <s v="March"/>
    <x v="98"/>
    <s v="Education"/>
    <n v="160.19999999999999"/>
    <x v="7"/>
  </r>
  <r>
    <s v="Rural+Urban"/>
    <n v="2021"/>
    <s v="March"/>
    <x v="98"/>
    <s v="Personal care and effects"/>
    <n v="153.80000000000001"/>
    <x v="4"/>
  </r>
  <r>
    <s v="Rural+Urban"/>
    <n v="2021"/>
    <s v="March"/>
    <x v="98"/>
    <s v="Miscellaneous"/>
    <n v="153.80000000000001"/>
    <x v="8"/>
  </r>
  <r>
    <s v="Rural+Urban"/>
    <n v="2021"/>
    <s v="March"/>
    <x v="98"/>
    <s v="General index"/>
    <n v="156.80000000000001"/>
    <x v="9"/>
  </r>
  <r>
    <s v="Rural"/>
    <n v="2021"/>
    <s v="April"/>
    <x v="99"/>
    <s v="Cereals and products"/>
    <n v="142.69999999999999"/>
    <x v="0"/>
  </r>
  <r>
    <s v="Rural"/>
    <n v="2021"/>
    <s v="April"/>
    <x v="99"/>
    <s v="Meat and fish"/>
    <n v="195.5"/>
    <x v="0"/>
  </r>
  <r>
    <s v="Rural"/>
    <n v="2021"/>
    <s v="April"/>
    <x v="99"/>
    <s v="Egg"/>
    <n v="163.4"/>
    <x v="0"/>
  </r>
  <r>
    <s v="Rural"/>
    <n v="2021"/>
    <s v="April"/>
    <x v="99"/>
    <s v="Milk and products"/>
    <n v="155"/>
    <x v="0"/>
  </r>
  <r>
    <s v="Rural"/>
    <n v="2021"/>
    <s v="April"/>
    <x v="99"/>
    <s v="Oils and fats"/>
    <n v="175.2"/>
    <x v="0"/>
  </r>
  <r>
    <s v="Rural"/>
    <n v="2021"/>
    <s v="April"/>
    <x v="99"/>
    <s v="Fruits"/>
    <n v="160.6"/>
    <x v="0"/>
  </r>
  <r>
    <s v="Rural"/>
    <n v="2021"/>
    <s v="April"/>
    <x v="99"/>
    <s v="Vegetables"/>
    <n v="135.1"/>
    <x v="0"/>
  </r>
  <r>
    <s v="Rural"/>
    <n v="2021"/>
    <s v="April"/>
    <x v="99"/>
    <s v="Pulses and products"/>
    <n v="161.1"/>
    <x v="0"/>
  </r>
  <r>
    <s v="Rural"/>
    <n v="2021"/>
    <s v="April"/>
    <x v="99"/>
    <s v="Sugar and Confectionery"/>
    <n v="112.2"/>
    <x v="0"/>
  </r>
  <r>
    <s v="Rural"/>
    <n v="2021"/>
    <s v="April"/>
    <x v="99"/>
    <s v="Spices"/>
    <n v="164.4"/>
    <x v="0"/>
  </r>
  <r>
    <s v="Rural"/>
    <n v="2021"/>
    <s v="April"/>
    <x v="99"/>
    <s v="Non-alcoholic beverages"/>
    <n v="161.9"/>
    <x v="0"/>
  </r>
  <r>
    <s v="Rural"/>
    <n v="2021"/>
    <s v="April"/>
    <x v="99"/>
    <s v="Prepared meals, snacks, sweets etc."/>
    <n v="166.8"/>
    <x v="0"/>
  </r>
  <r>
    <s v="Rural"/>
    <n v="2021"/>
    <s v="April"/>
    <x v="99"/>
    <s v="Food and beverages"/>
    <n v="155.6"/>
    <x v="0"/>
  </r>
  <r>
    <s v="Rural"/>
    <n v="2021"/>
    <s v="April"/>
    <x v="99"/>
    <s v="Pan, tobacco and intoxicants"/>
    <n v="186.8"/>
    <x v="1"/>
  </r>
  <r>
    <s v="Rural"/>
    <n v="2021"/>
    <s v="April"/>
    <x v="99"/>
    <s v="Clothing"/>
    <n v="160.69999999999999"/>
    <x v="2"/>
  </r>
  <r>
    <s v="Rural"/>
    <n v="2021"/>
    <s v="April"/>
    <x v="99"/>
    <s v="Footwear"/>
    <n v="155.1"/>
    <x v="2"/>
  </r>
  <r>
    <s v="Rural"/>
    <n v="2021"/>
    <s v="April"/>
    <x v="99"/>
    <s v="Clothing and footwear"/>
    <n v="159.9"/>
    <x v="2"/>
  </r>
  <r>
    <s v="Rural"/>
    <n v="2021"/>
    <s v="April"/>
    <x v="99"/>
    <s v="Fuel and light"/>
    <n v="156"/>
    <x v="3"/>
  </r>
  <r>
    <s v="Rural"/>
    <n v="2021"/>
    <s v="April"/>
    <x v="99"/>
    <s v="Household goods and services"/>
    <n v="155.5"/>
    <x v="4"/>
  </r>
  <r>
    <s v="Rural"/>
    <n v="2021"/>
    <s v="April"/>
    <x v="99"/>
    <s v="Health"/>
    <n v="165.3"/>
    <x v="5"/>
  </r>
  <r>
    <s v="Rural"/>
    <n v="2021"/>
    <s v="April"/>
    <x v="99"/>
    <s v="Transport and communication"/>
    <n v="151.69999999999999"/>
    <x v="6"/>
  </r>
  <r>
    <s v="Rural"/>
    <n v="2021"/>
    <s v="April"/>
    <x v="99"/>
    <s v="Recreation and amusement"/>
    <n v="158.6"/>
    <x v="1"/>
  </r>
  <r>
    <s v="Rural"/>
    <n v="2021"/>
    <s v="April"/>
    <x v="99"/>
    <s v="Education"/>
    <n v="164.1"/>
    <x v="7"/>
  </r>
  <r>
    <s v="Rural"/>
    <n v="2021"/>
    <s v="April"/>
    <x v="99"/>
    <s v="Personal care and effects"/>
    <n v="154.6"/>
    <x v="4"/>
  </r>
  <r>
    <s v="Rural"/>
    <n v="2021"/>
    <s v="April"/>
    <x v="99"/>
    <s v="Miscellaneous"/>
    <n v="158"/>
    <x v="8"/>
  </r>
  <r>
    <s v="Rural"/>
    <n v="2021"/>
    <s v="April"/>
    <x v="99"/>
    <s v="General index"/>
    <n v="157.6"/>
    <x v="9"/>
  </r>
  <r>
    <s v="Urban"/>
    <n v="2021"/>
    <s v="April"/>
    <x v="99"/>
    <s v="Cereals and products"/>
    <n v="147.6"/>
    <x v="0"/>
  </r>
  <r>
    <s v="Urban"/>
    <n v="2021"/>
    <s v="April"/>
    <x v="99"/>
    <s v="Meat and fish"/>
    <n v="202.5"/>
    <x v="0"/>
  </r>
  <r>
    <s v="Urban"/>
    <n v="2021"/>
    <s v="April"/>
    <x v="99"/>
    <s v="Egg"/>
    <n v="166.4"/>
    <x v="0"/>
  </r>
  <r>
    <s v="Urban"/>
    <n v="2021"/>
    <s v="April"/>
    <x v="99"/>
    <s v="Milk and products"/>
    <n v="156"/>
    <x v="0"/>
  </r>
  <r>
    <s v="Urban"/>
    <n v="2021"/>
    <s v="April"/>
    <x v="99"/>
    <s v="Oils and fats"/>
    <n v="161.4"/>
    <x v="0"/>
  </r>
  <r>
    <s v="Urban"/>
    <n v="2021"/>
    <s v="April"/>
    <x v="99"/>
    <s v="Fruits"/>
    <n v="168.8"/>
    <x v="0"/>
  </r>
  <r>
    <s v="Urban"/>
    <n v="2021"/>
    <s v="April"/>
    <x v="99"/>
    <s v="Vegetables"/>
    <n v="161.6"/>
    <x v="0"/>
  </r>
  <r>
    <s v="Urban"/>
    <n v="2021"/>
    <s v="April"/>
    <x v="99"/>
    <s v="Pulses and products"/>
    <n v="162.80000000000001"/>
    <x v="0"/>
  </r>
  <r>
    <s v="Urban"/>
    <n v="2021"/>
    <s v="April"/>
    <x v="99"/>
    <s v="Sugar and Confectionery"/>
    <n v="114.8"/>
    <x v="0"/>
  </r>
  <r>
    <s v="Urban"/>
    <n v="2021"/>
    <s v="April"/>
    <x v="99"/>
    <s v="Spices"/>
    <n v="162.80000000000001"/>
    <x v="0"/>
  </r>
  <r>
    <s v="Urban"/>
    <n v="2021"/>
    <s v="April"/>
    <x v="99"/>
    <s v="Non-alcoholic beverages"/>
    <n v="151.5"/>
    <x v="0"/>
  </r>
  <r>
    <s v="Urban"/>
    <n v="2021"/>
    <s v="April"/>
    <x v="99"/>
    <s v="Prepared meals, snacks, sweets etc."/>
    <n v="171.4"/>
    <x v="0"/>
  </r>
  <r>
    <s v="Urban"/>
    <n v="2021"/>
    <s v="April"/>
    <x v="99"/>
    <s v="Food and beverages"/>
    <n v="162"/>
    <x v="0"/>
  </r>
  <r>
    <s v="Urban"/>
    <n v="2021"/>
    <s v="April"/>
    <x v="99"/>
    <s v="Pan, tobacco and intoxicants"/>
    <n v="194.4"/>
    <x v="1"/>
  </r>
  <r>
    <s v="Urban"/>
    <n v="2021"/>
    <s v="April"/>
    <x v="99"/>
    <s v="Clothing"/>
    <n v="155.9"/>
    <x v="2"/>
  </r>
  <r>
    <s v="Urban"/>
    <n v="2021"/>
    <s v="April"/>
    <x v="99"/>
    <s v="Footwear"/>
    <n v="139.30000000000001"/>
    <x v="2"/>
  </r>
  <r>
    <s v="Urban"/>
    <n v="2021"/>
    <s v="April"/>
    <x v="99"/>
    <s v="Clothing and footwear"/>
    <n v="153.4"/>
    <x v="2"/>
  </r>
  <r>
    <s v="Urban"/>
    <n v="2021"/>
    <s v="April"/>
    <x v="99"/>
    <s v="Housing"/>
    <n v="161.4"/>
    <x v="10"/>
  </r>
  <r>
    <s v="Urban"/>
    <n v="2021"/>
    <s v="April"/>
    <x v="99"/>
    <s v="Fuel and light"/>
    <n v="154.9"/>
    <x v="3"/>
  </r>
  <r>
    <s v="Urban"/>
    <n v="2021"/>
    <s v="April"/>
    <x v="99"/>
    <s v="Household goods and services"/>
    <n v="147.6"/>
    <x v="4"/>
  </r>
  <r>
    <s v="Urban"/>
    <n v="2021"/>
    <s v="April"/>
    <x v="99"/>
    <s v="Health"/>
    <n v="157.5"/>
    <x v="5"/>
  </r>
  <r>
    <s v="Urban"/>
    <n v="2021"/>
    <s v="April"/>
    <x v="99"/>
    <s v="Transport and communication"/>
    <n v="142.1"/>
    <x v="6"/>
  </r>
  <r>
    <s v="Urban"/>
    <n v="2021"/>
    <s v="April"/>
    <x v="99"/>
    <s v="Recreation and amusement"/>
    <n v="149.1"/>
    <x v="1"/>
  </r>
  <r>
    <s v="Urban"/>
    <n v="2021"/>
    <s v="April"/>
    <x v="99"/>
    <s v="Education"/>
    <n v="157.6"/>
    <x v="7"/>
  </r>
  <r>
    <s v="Urban"/>
    <n v="2021"/>
    <s v="April"/>
    <x v="99"/>
    <s v="Personal care and effects"/>
    <n v="156.6"/>
    <x v="4"/>
  </r>
  <r>
    <s v="Urban"/>
    <n v="2021"/>
    <s v="April"/>
    <x v="99"/>
    <s v="Miscellaneous"/>
    <n v="150.5"/>
    <x v="8"/>
  </r>
  <r>
    <s v="Urban"/>
    <n v="2021"/>
    <s v="April"/>
    <x v="99"/>
    <s v="General index"/>
    <n v="158"/>
    <x v="9"/>
  </r>
  <r>
    <s v="Rural+Urban"/>
    <n v="2021"/>
    <s v="April"/>
    <x v="99"/>
    <s v="Cereals and products"/>
    <n v="144.30000000000001"/>
    <x v="0"/>
  </r>
  <r>
    <s v="Rural+Urban"/>
    <n v="2021"/>
    <s v="April"/>
    <x v="99"/>
    <s v="Meat and fish"/>
    <n v="198"/>
    <x v="0"/>
  </r>
  <r>
    <s v="Rural+Urban"/>
    <n v="2021"/>
    <s v="April"/>
    <x v="99"/>
    <s v="Egg"/>
    <n v="164.6"/>
    <x v="0"/>
  </r>
  <r>
    <s v="Rural+Urban"/>
    <n v="2021"/>
    <s v="April"/>
    <x v="99"/>
    <s v="Milk and products"/>
    <n v="155.4"/>
    <x v="0"/>
  </r>
  <r>
    <s v="Rural+Urban"/>
    <n v="2021"/>
    <s v="April"/>
    <x v="99"/>
    <s v="Oils and fats"/>
    <n v="170.1"/>
    <x v="0"/>
  </r>
  <r>
    <s v="Rural+Urban"/>
    <n v="2021"/>
    <s v="April"/>
    <x v="99"/>
    <s v="Fruits"/>
    <n v="164.4"/>
    <x v="0"/>
  </r>
  <r>
    <s v="Rural+Urban"/>
    <n v="2021"/>
    <s v="April"/>
    <x v="99"/>
    <s v="Vegetables"/>
    <n v="144.1"/>
    <x v="0"/>
  </r>
  <r>
    <s v="Rural+Urban"/>
    <n v="2021"/>
    <s v="April"/>
    <x v="99"/>
    <s v="Pulses and products"/>
    <n v="161.69999999999999"/>
    <x v="0"/>
  </r>
  <r>
    <s v="Rural+Urban"/>
    <n v="2021"/>
    <s v="April"/>
    <x v="99"/>
    <s v="Sugar and Confectionery"/>
    <n v="113.1"/>
    <x v="0"/>
  </r>
  <r>
    <s v="Rural+Urban"/>
    <n v="2021"/>
    <s v="April"/>
    <x v="99"/>
    <s v="Spices"/>
    <n v="163.9"/>
    <x v="0"/>
  </r>
  <r>
    <s v="Rural+Urban"/>
    <n v="2021"/>
    <s v="April"/>
    <x v="99"/>
    <s v="Non-alcoholic beverages"/>
    <n v="157.6"/>
    <x v="0"/>
  </r>
  <r>
    <s v="Rural+Urban"/>
    <n v="2021"/>
    <s v="April"/>
    <x v="99"/>
    <s v="Prepared meals, snacks, sweets etc."/>
    <n v="168.9"/>
    <x v="0"/>
  </r>
  <r>
    <s v="Rural+Urban"/>
    <n v="2021"/>
    <s v="April"/>
    <x v="99"/>
    <s v="Food and beverages"/>
    <n v="158"/>
    <x v="0"/>
  </r>
  <r>
    <s v="Rural+Urban"/>
    <n v="2021"/>
    <s v="April"/>
    <x v="99"/>
    <s v="Pan, tobacco and intoxicants"/>
    <n v="188.8"/>
    <x v="1"/>
  </r>
  <r>
    <s v="Rural+Urban"/>
    <n v="2021"/>
    <s v="April"/>
    <x v="99"/>
    <s v="Clothing"/>
    <n v="158.80000000000001"/>
    <x v="2"/>
  </r>
  <r>
    <s v="Rural+Urban"/>
    <n v="2021"/>
    <s v="April"/>
    <x v="99"/>
    <s v="Footwear"/>
    <n v="148.5"/>
    <x v="2"/>
  </r>
  <r>
    <s v="Rural+Urban"/>
    <n v="2021"/>
    <s v="April"/>
    <x v="99"/>
    <s v="Clothing and footwear"/>
    <n v="157.30000000000001"/>
    <x v="2"/>
  </r>
  <r>
    <s v="Rural+Urban"/>
    <n v="2021"/>
    <s v="April"/>
    <x v="99"/>
    <s v="Housing"/>
    <n v="161.4"/>
    <x v="10"/>
  </r>
  <r>
    <s v="Rural+Urban"/>
    <n v="2021"/>
    <s v="April"/>
    <x v="99"/>
    <s v="Fuel and light"/>
    <n v="155.6"/>
    <x v="3"/>
  </r>
  <r>
    <s v="Rural+Urban"/>
    <n v="2021"/>
    <s v="April"/>
    <x v="99"/>
    <s v="Household goods and services"/>
    <n v="151.80000000000001"/>
    <x v="4"/>
  </r>
  <r>
    <s v="Rural+Urban"/>
    <n v="2021"/>
    <s v="April"/>
    <x v="99"/>
    <s v="Health"/>
    <n v="162.30000000000001"/>
    <x v="5"/>
  </r>
  <r>
    <s v="Rural+Urban"/>
    <n v="2021"/>
    <s v="April"/>
    <x v="99"/>
    <s v="Transport and communication"/>
    <n v="146.6"/>
    <x v="6"/>
  </r>
  <r>
    <s v="Rural+Urban"/>
    <n v="2021"/>
    <s v="April"/>
    <x v="99"/>
    <s v="Recreation and amusement"/>
    <n v="153.19999999999999"/>
    <x v="1"/>
  </r>
  <r>
    <s v="Rural+Urban"/>
    <n v="2021"/>
    <s v="April"/>
    <x v="99"/>
    <s v="Education"/>
    <n v="160.30000000000001"/>
    <x v="7"/>
  </r>
  <r>
    <s v="Rural+Urban"/>
    <n v="2021"/>
    <s v="April"/>
    <x v="99"/>
    <s v="Personal care and effects"/>
    <n v="155.4"/>
    <x v="4"/>
  </r>
  <r>
    <s v="Rural+Urban"/>
    <n v="2021"/>
    <s v="April"/>
    <x v="99"/>
    <s v="Miscellaneous"/>
    <n v="154.4"/>
    <x v="8"/>
  </r>
  <r>
    <s v="Rural+Urban"/>
    <n v="2021"/>
    <s v="April"/>
    <x v="99"/>
    <s v="General index"/>
    <n v="157.80000000000001"/>
    <x v="9"/>
  </r>
  <r>
    <s v="Rural"/>
    <n v="2021"/>
    <s v="May"/>
    <x v="100"/>
    <s v="Cereals and products"/>
    <n v="145.1"/>
    <x v="0"/>
  </r>
  <r>
    <s v="Rural"/>
    <n v="2021"/>
    <s v="May"/>
    <x v="100"/>
    <s v="Meat and fish"/>
    <n v="198.5"/>
    <x v="0"/>
  </r>
  <r>
    <s v="Rural"/>
    <n v="2021"/>
    <s v="May"/>
    <x v="100"/>
    <s v="Egg"/>
    <n v="168.6"/>
    <x v="0"/>
  </r>
  <r>
    <s v="Rural"/>
    <n v="2021"/>
    <s v="May"/>
    <x v="100"/>
    <s v="Milk and products"/>
    <n v="155.80000000000001"/>
    <x v="0"/>
  </r>
  <r>
    <s v="Rural"/>
    <n v="2021"/>
    <s v="May"/>
    <x v="100"/>
    <s v="Oils and fats"/>
    <n v="184.4"/>
    <x v="0"/>
  </r>
  <r>
    <s v="Rural"/>
    <n v="2021"/>
    <s v="May"/>
    <x v="100"/>
    <s v="Fruits"/>
    <n v="162.30000000000001"/>
    <x v="0"/>
  </r>
  <r>
    <s v="Rural"/>
    <n v="2021"/>
    <s v="May"/>
    <x v="100"/>
    <s v="Vegetables"/>
    <n v="138.4"/>
    <x v="0"/>
  </r>
  <r>
    <s v="Rural"/>
    <n v="2021"/>
    <s v="May"/>
    <x v="100"/>
    <s v="Pulses and products"/>
    <n v="165.1"/>
    <x v="0"/>
  </r>
  <r>
    <s v="Rural"/>
    <n v="2021"/>
    <s v="May"/>
    <x v="100"/>
    <s v="Sugar and Confectionery"/>
    <n v="114.3"/>
    <x v="0"/>
  </r>
  <r>
    <s v="Rural"/>
    <n v="2021"/>
    <s v="May"/>
    <x v="100"/>
    <s v="Spices"/>
    <n v="169.7"/>
    <x v="0"/>
  </r>
  <r>
    <s v="Rural"/>
    <n v="2021"/>
    <s v="May"/>
    <x v="100"/>
    <s v="Non-alcoholic beverages"/>
    <n v="164.6"/>
    <x v="0"/>
  </r>
  <r>
    <s v="Rural"/>
    <n v="2021"/>
    <s v="May"/>
    <x v="100"/>
    <s v="Prepared meals, snacks, sweets etc."/>
    <n v="169.8"/>
    <x v="0"/>
  </r>
  <r>
    <s v="Rural"/>
    <n v="2021"/>
    <s v="May"/>
    <x v="100"/>
    <s v="Food and beverages"/>
    <n v="158.69999999999999"/>
    <x v="0"/>
  </r>
  <r>
    <s v="Rural"/>
    <n v="2021"/>
    <s v="May"/>
    <x v="100"/>
    <s v="Pan, tobacco and intoxicants"/>
    <n v="189.6"/>
    <x v="1"/>
  </r>
  <r>
    <s v="Rural"/>
    <n v="2021"/>
    <s v="May"/>
    <x v="100"/>
    <s v="Clothing"/>
    <n v="165.3"/>
    <x v="2"/>
  </r>
  <r>
    <s v="Rural"/>
    <n v="2021"/>
    <s v="May"/>
    <x v="100"/>
    <s v="Footwear"/>
    <n v="160.6"/>
    <x v="2"/>
  </r>
  <r>
    <s v="Rural"/>
    <n v="2021"/>
    <s v="May"/>
    <x v="100"/>
    <s v="Clothing and footwear"/>
    <n v="164.5"/>
    <x v="2"/>
  </r>
  <r>
    <s v="Rural"/>
    <n v="2021"/>
    <s v="May"/>
    <x v="100"/>
    <s v="Fuel and light"/>
    <n v="161.69999999999999"/>
    <x v="3"/>
  </r>
  <r>
    <s v="Rural"/>
    <n v="2021"/>
    <s v="May"/>
    <x v="100"/>
    <s v="Household goods and services"/>
    <n v="158.80000000000001"/>
    <x v="4"/>
  </r>
  <r>
    <s v="Rural"/>
    <n v="2021"/>
    <s v="May"/>
    <x v="100"/>
    <s v="Health"/>
    <n v="169.1"/>
    <x v="5"/>
  </r>
  <r>
    <s v="Rural"/>
    <n v="2021"/>
    <s v="May"/>
    <x v="100"/>
    <s v="Transport and communication"/>
    <n v="153.19999999999999"/>
    <x v="6"/>
  </r>
  <r>
    <s v="Rural"/>
    <n v="2021"/>
    <s v="May"/>
    <x v="100"/>
    <s v="Recreation and amusement"/>
    <n v="160"/>
    <x v="1"/>
  </r>
  <r>
    <s v="Rural"/>
    <n v="2021"/>
    <s v="May"/>
    <x v="100"/>
    <s v="Education"/>
    <n v="167.6"/>
    <x v="7"/>
  </r>
  <r>
    <s v="Rural"/>
    <n v="2021"/>
    <s v="May"/>
    <x v="100"/>
    <s v="Personal care and effects"/>
    <n v="159.30000000000001"/>
    <x v="4"/>
  </r>
  <r>
    <s v="Rural"/>
    <n v="2021"/>
    <s v="May"/>
    <x v="100"/>
    <s v="Miscellaneous"/>
    <n v="161.1"/>
    <x v="8"/>
  </r>
  <r>
    <s v="Rural"/>
    <n v="2021"/>
    <s v="May"/>
    <x v="100"/>
    <s v="General index"/>
    <n v="161.1"/>
    <x v="9"/>
  </r>
  <r>
    <s v="Urban"/>
    <n v="2021"/>
    <s v="May"/>
    <x v="100"/>
    <s v="Cereals and products"/>
    <n v="148.80000000000001"/>
    <x v="0"/>
  </r>
  <r>
    <s v="Urban"/>
    <n v="2021"/>
    <s v="May"/>
    <x v="100"/>
    <s v="Meat and fish"/>
    <n v="204.3"/>
    <x v="0"/>
  </r>
  <r>
    <s v="Urban"/>
    <n v="2021"/>
    <s v="May"/>
    <x v="100"/>
    <s v="Egg"/>
    <n v="173"/>
    <x v="0"/>
  </r>
  <r>
    <s v="Urban"/>
    <n v="2021"/>
    <s v="May"/>
    <x v="100"/>
    <s v="Milk and products"/>
    <n v="156.5"/>
    <x v="0"/>
  </r>
  <r>
    <s v="Urban"/>
    <n v="2021"/>
    <s v="May"/>
    <x v="100"/>
    <s v="Oils and fats"/>
    <n v="168.8"/>
    <x v="0"/>
  </r>
  <r>
    <s v="Urban"/>
    <n v="2021"/>
    <s v="May"/>
    <x v="100"/>
    <s v="Fruits"/>
    <n v="172.5"/>
    <x v="0"/>
  </r>
  <r>
    <s v="Urban"/>
    <n v="2021"/>
    <s v="May"/>
    <x v="100"/>
    <s v="Vegetables"/>
    <n v="166.5"/>
    <x v="0"/>
  </r>
  <r>
    <s v="Urban"/>
    <n v="2021"/>
    <s v="May"/>
    <x v="100"/>
    <s v="Pulses and products"/>
    <n v="165.9"/>
    <x v="0"/>
  </r>
  <r>
    <s v="Urban"/>
    <n v="2021"/>
    <s v="May"/>
    <x v="100"/>
    <s v="Sugar and Confectionery"/>
    <n v="115.9"/>
    <x v="0"/>
  </r>
  <r>
    <s v="Urban"/>
    <n v="2021"/>
    <s v="May"/>
    <x v="100"/>
    <s v="Spices"/>
    <n v="165.2"/>
    <x v="0"/>
  </r>
  <r>
    <s v="Urban"/>
    <n v="2021"/>
    <s v="May"/>
    <x v="100"/>
    <s v="Non-alcoholic beverages"/>
    <n v="152"/>
    <x v="0"/>
  </r>
  <r>
    <s v="Urban"/>
    <n v="2021"/>
    <s v="May"/>
    <x v="100"/>
    <s v="Prepared meals, snacks, sweets etc."/>
    <n v="171.1"/>
    <x v="0"/>
  </r>
  <r>
    <s v="Urban"/>
    <n v="2021"/>
    <s v="May"/>
    <x v="100"/>
    <s v="Food and beverages"/>
    <n v="164.2"/>
    <x v="0"/>
  </r>
  <r>
    <s v="Urban"/>
    <n v="2021"/>
    <s v="May"/>
    <x v="100"/>
    <s v="Pan, tobacco and intoxicants"/>
    <n v="198.2"/>
    <x v="1"/>
  </r>
  <r>
    <s v="Urban"/>
    <n v="2021"/>
    <s v="May"/>
    <x v="100"/>
    <s v="Clothing"/>
    <n v="156.5"/>
    <x v="2"/>
  </r>
  <r>
    <s v="Urban"/>
    <n v="2021"/>
    <s v="May"/>
    <x v="100"/>
    <s v="Footwear"/>
    <n v="140.19999999999999"/>
    <x v="2"/>
  </r>
  <r>
    <s v="Urban"/>
    <n v="2021"/>
    <s v="May"/>
    <x v="100"/>
    <s v="Clothing and footwear"/>
    <n v="154.1"/>
    <x v="2"/>
  </r>
  <r>
    <s v="Urban"/>
    <n v="2021"/>
    <s v="May"/>
    <x v="100"/>
    <s v="Housing"/>
    <n v="161.6"/>
    <x v="10"/>
  </r>
  <r>
    <s v="Urban"/>
    <n v="2021"/>
    <s v="May"/>
    <x v="100"/>
    <s v="Fuel and light"/>
    <n v="155.5"/>
    <x v="3"/>
  </r>
  <r>
    <s v="Urban"/>
    <n v="2021"/>
    <s v="May"/>
    <x v="100"/>
    <s v="Household goods and services"/>
    <n v="150.1"/>
    <x v="4"/>
  </r>
  <r>
    <s v="Urban"/>
    <n v="2021"/>
    <s v="May"/>
    <x v="100"/>
    <s v="Health"/>
    <n v="160.4"/>
    <x v="5"/>
  </r>
  <r>
    <s v="Urban"/>
    <n v="2021"/>
    <s v="May"/>
    <x v="100"/>
    <s v="Transport and communication"/>
    <n v="145"/>
    <x v="6"/>
  </r>
  <r>
    <s v="Urban"/>
    <n v="2021"/>
    <s v="May"/>
    <x v="100"/>
    <s v="Recreation and amusement"/>
    <n v="152.6"/>
    <x v="1"/>
  </r>
  <r>
    <s v="Urban"/>
    <n v="2021"/>
    <s v="May"/>
    <x v="100"/>
    <s v="Education"/>
    <n v="156.6"/>
    <x v="7"/>
  </r>
  <r>
    <s v="Urban"/>
    <n v="2021"/>
    <s v="May"/>
    <x v="100"/>
    <s v="Personal care and effects"/>
    <n v="157.5"/>
    <x v="4"/>
  </r>
  <r>
    <s v="Urban"/>
    <n v="2021"/>
    <s v="May"/>
    <x v="100"/>
    <s v="Miscellaneous"/>
    <n v="152.30000000000001"/>
    <x v="8"/>
  </r>
  <r>
    <s v="Urban"/>
    <n v="2021"/>
    <s v="May"/>
    <x v="100"/>
    <s v="General index"/>
    <n v="159.5"/>
    <x v="9"/>
  </r>
  <r>
    <s v="Rural+Urban"/>
    <n v="2021"/>
    <s v="May"/>
    <x v="100"/>
    <s v="Cereals and products"/>
    <n v="146.30000000000001"/>
    <x v="0"/>
  </r>
  <r>
    <s v="Rural+Urban"/>
    <n v="2021"/>
    <s v="May"/>
    <x v="100"/>
    <s v="Meat and fish"/>
    <n v="200.5"/>
    <x v="0"/>
  </r>
  <r>
    <s v="Rural+Urban"/>
    <n v="2021"/>
    <s v="May"/>
    <x v="100"/>
    <s v="Egg"/>
    <n v="170.3"/>
    <x v="0"/>
  </r>
  <r>
    <s v="Rural+Urban"/>
    <n v="2021"/>
    <s v="May"/>
    <x v="100"/>
    <s v="Milk and products"/>
    <n v="156.1"/>
    <x v="0"/>
  </r>
  <r>
    <s v="Rural+Urban"/>
    <n v="2021"/>
    <s v="May"/>
    <x v="100"/>
    <s v="Oils and fats"/>
    <n v="178.7"/>
    <x v="0"/>
  </r>
  <r>
    <s v="Rural+Urban"/>
    <n v="2021"/>
    <s v="May"/>
    <x v="100"/>
    <s v="Fruits"/>
    <n v="167.1"/>
    <x v="0"/>
  </r>
  <r>
    <s v="Rural+Urban"/>
    <n v="2021"/>
    <s v="May"/>
    <x v="100"/>
    <s v="Vegetables"/>
    <n v="147.9"/>
    <x v="0"/>
  </r>
  <r>
    <s v="Rural+Urban"/>
    <n v="2021"/>
    <s v="May"/>
    <x v="100"/>
    <s v="Pulses and products"/>
    <n v="165.4"/>
    <x v="0"/>
  </r>
  <r>
    <s v="Rural+Urban"/>
    <n v="2021"/>
    <s v="May"/>
    <x v="100"/>
    <s v="Sugar and Confectionery"/>
    <n v="114.8"/>
    <x v="0"/>
  </r>
  <r>
    <s v="Rural+Urban"/>
    <n v="2021"/>
    <s v="May"/>
    <x v="100"/>
    <s v="Spices"/>
    <n v="168.2"/>
    <x v="0"/>
  </r>
  <r>
    <s v="Rural+Urban"/>
    <n v="2021"/>
    <s v="May"/>
    <x v="100"/>
    <s v="Non-alcoholic beverages"/>
    <n v="159.30000000000001"/>
    <x v="0"/>
  </r>
  <r>
    <s v="Rural+Urban"/>
    <n v="2021"/>
    <s v="May"/>
    <x v="100"/>
    <s v="Prepared meals, snacks, sweets etc."/>
    <n v="170.4"/>
    <x v="0"/>
  </r>
  <r>
    <s v="Rural+Urban"/>
    <n v="2021"/>
    <s v="May"/>
    <x v="100"/>
    <s v="Food and beverages"/>
    <n v="160.69999999999999"/>
    <x v="0"/>
  </r>
  <r>
    <s v="Rural+Urban"/>
    <n v="2021"/>
    <s v="May"/>
    <x v="100"/>
    <s v="Pan, tobacco and intoxicants"/>
    <n v="191.9"/>
    <x v="1"/>
  </r>
  <r>
    <s v="Rural+Urban"/>
    <n v="2021"/>
    <s v="May"/>
    <x v="100"/>
    <s v="Clothing"/>
    <n v="161.80000000000001"/>
    <x v="2"/>
  </r>
  <r>
    <s v="Rural+Urban"/>
    <n v="2021"/>
    <s v="May"/>
    <x v="100"/>
    <s v="Footwear"/>
    <n v="152.1"/>
    <x v="2"/>
  </r>
  <r>
    <s v="Rural+Urban"/>
    <n v="2021"/>
    <s v="May"/>
    <x v="100"/>
    <s v="Clothing and footwear"/>
    <n v="160.4"/>
    <x v="2"/>
  </r>
  <r>
    <s v="Rural+Urban"/>
    <n v="2021"/>
    <s v="May"/>
    <x v="100"/>
    <s v="Housing"/>
    <n v="161.6"/>
    <x v="10"/>
  </r>
  <r>
    <s v="Rural+Urban"/>
    <n v="2021"/>
    <s v="May"/>
    <x v="100"/>
    <s v="Fuel and light"/>
    <n v="159.4"/>
    <x v="3"/>
  </r>
  <r>
    <s v="Rural+Urban"/>
    <n v="2021"/>
    <s v="May"/>
    <x v="100"/>
    <s v="Household goods and services"/>
    <n v="154.69999999999999"/>
    <x v="4"/>
  </r>
  <r>
    <s v="Rural+Urban"/>
    <n v="2021"/>
    <s v="May"/>
    <x v="100"/>
    <s v="Health"/>
    <n v="165.8"/>
    <x v="5"/>
  </r>
  <r>
    <s v="Rural+Urban"/>
    <n v="2021"/>
    <s v="May"/>
    <x v="100"/>
    <s v="Transport and communication"/>
    <n v="148.9"/>
    <x v="6"/>
  </r>
  <r>
    <s v="Rural+Urban"/>
    <n v="2021"/>
    <s v="May"/>
    <x v="100"/>
    <s v="Recreation and amusement"/>
    <n v="155.80000000000001"/>
    <x v="1"/>
  </r>
  <r>
    <s v="Rural+Urban"/>
    <n v="2021"/>
    <s v="May"/>
    <x v="100"/>
    <s v="Education"/>
    <n v="161.19999999999999"/>
    <x v="7"/>
  </r>
  <r>
    <s v="Rural+Urban"/>
    <n v="2021"/>
    <s v="May"/>
    <x v="100"/>
    <s v="Personal care and effects"/>
    <n v="158.6"/>
    <x v="4"/>
  </r>
  <r>
    <s v="Rural+Urban"/>
    <n v="2021"/>
    <s v="May"/>
    <x v="100"/>
    <s v="Miscellaneous"/>
    <n v="156.80000000000001"/>
    <x v="8"/>
  </r>
  <r>
    <s v="Rural+Urban"/>
    <n v="2021"/>
    <s v="May"/>
    <x v="100"/>
    <s v="General index"/>
    <n v="160.4"/>
    <x v="9"/>
  </r>
  <r>
    <s v="Rural"/>
    <n v="2021"/>
    <s v="June"/>
    <x v="101"/>
    <s v="Cereals and products"/>
    <n v="145.6"/>
    <x v="0"/>
  </r>
  <r>
    <s v="Rural"/>
    <n v="2021"/>
    <s v="June"/>
    <x v="101"/>
    <s v="Meat and fish"/>
    <n v="200.1"/>
    <x v="0"/>
  </r>
  <r>
    <s v="Rural"/>
    <n v="2021"/>
    <s v="June"/>
    <x v="101"/>
    <s v="Egg"/>
    <n v="179.3"/>
    <x v="0"/>
  </r>
  <r>
    <s v="Rural"/>
    <n v="2021"/>
    <s v="June"/>
    <x v="101"/>
    <s v="Milk and products"/>
    <n v="156.1"/>
    <x v="0"/>
  </r>
  <r>
    <s v="Rural"/>
    <n v="2021"/>
    <s v="June"/>
    <x v="101"/>
    <s v="Oils and fats"/>
    <n v="190.4"/>
    <x v="0"/>
  </r>
  <r>
    <s v="Rural"/>
    <n v="2021"/>
    <s v="June"/>
    <x v="101"/>
    <s v="Fruits"/>
    <n v="158.6"/>
    <x v="0"/>
  </r>
  <r>
    <s v="Rural"/>
    <n v="2021"/>
    <s v="June"/>
    <x v="101"/>
    <s v="Vegetables"/>
    <n v="144.69999999999999"/>
    <x v="0"/>
  </r>
  <r>
    <s v="Rural"/>
    <n v="2021"/>
    <s v="June"/>
    <x v="101"/>
    <s v="Pulses and products"/>
    <n v="165.5"/>
    <x v="0"/>
  </r>
  <r>
    <s v="Rural"/>
    <n v="2021"/>
    <s v="June"/>
    <x v="101"/>
    <s v="Sugar and Confectionery"/>
    <n v="114.6"/>
    <x v="0"/>
  </r>
  <r>
    <s v="Rural"/>
    <n v="2021"/>
    <s v="June"/>
    <x v="101"/>
    <s v="Spices"/>
    <n v="170"/>
    <x v="0"/>
  </r>
  <r>
    <s v="Rural"/>
    <n v="2021"/>
    <s v="June"/>
    <x v="101"/>
    <s v="Non-alcoholic beverages"/>
    <n v="165.5"/>
    <x v="0"/>
  </r>
  <r>
    <s v="Rural"/>
    <n v="2021"/>
    <s v="June"/>
    <x v="101"/>
    <s v="Prepared meals, snacks, sweets etc."/>
    <n v="171.7"/>
    <x v="0"/>
  </r>
  <r>
    <s v="Rural"/>
    <n v="2021"/>
    <s v="June"/>
    <x v="101"/>
    <s v="Food and beverages"/>
    <n v="160.5"/>
    <x v="0"/>
  </r>
  <r>
    <s v="Rural"/>
    <n v="2021"/>
    <s v="June"/>
    <x v="101"/>
    <s v="Pan, tobacco and intoxicants"/>
    <n v="189.1"/>
    <x v="1"/>
  </r>
  <r>
    <s v="Rural"/>
    <n v="2021"/>
    <s v="June"/>
    <x v="101"/>
    <s v="Clothing"/>
    <n v="165.3"/>
    <x v="2"/>
  </r>
  <r>
    <s v="Rural"/>
    <n v="2021"/>
    <s v="June"/>
    <x v="101"/>
    <s v="Footwear"/>
    <n v="159.9"/>
    <x v="2"/>
  </r>
  <r>
    <s v="Rural"/>
    <n v="2021"/>
    <s v="June"/>
    <x v="101"/>
    <s v="Clothing and footwear"/>
    <n v="164.6"/>
    <x v="2"/>
  </r>
  <r>
    <s v="Rural"/>
    <n v="2021"/>
    <s v="June"/>
    <x v="101"/>
    <s v="Fuel and light"/>
    <n v="162.1"/>
    <x v="3"/>
  </r>
  <r>
    <s v="Rural"/>
    <n v="2021"/>
    <s v="June"/>
    <x v="101"/>
    <s v="Household goods and services"/>
    <n v="159.19999999999999"/>
    <x v="4"/>
  </r>
  <r>
    <s v="Rural"/>
    <n v="2021"/>
    <s v="June"/>
    <x v="101"/>
    <s v="Health"/>
    <n v="169.7"/>
    <x v="5"/>
  </r>
  <r>
    <s v="Rural"/>
    <n v="2021"/>
    <s v="June"/>
    <x v="101"/>
    <s v="Transport and communication"/>
    <n v="154.19999999999999"/>
    <x v="6"/>
  </r>
  <r>
    <s v="Rural"/>
    <n v="2021"/>
    <s v="June"/>
    <x v="101"/>
    <s v="Recreation and amusement"/>
    <n v="160.4"/>
    <x v="1"/>
  </r>
  <r>
    <s v="Rural"/>
    <n v="2021"/>
    <s v="June"/>
    <x v="101"/>
    <s v="Education"/>
    <n v="166.8"/>
    <x v="7"/>
  </r>
  <r>
    <s v="Rural"/>
    <n v="2021"/>
    <s v="June"/>
    <x v="101"/>
    <s v="Personal care and effects"/>
    <n v="159.4"/>
    <x v="4"/>
  </r>
  <r>
    <s v="Rural"/>
    <n v="2021"/>
    <s v="June"/>
    <x v="101"/>
    <s v="Miscellaneous"/>
    <n v="161.5"/>
    <x v="8"/>
  </r>
  <r>
    <s v="Rural"/>
    <n v="2021"/>
    <s v="June"/>
    <x v="101"/>
    <s v="General index"/>
    <n v="162.1"/>
    <x v="9"/>
  </r>
  <r>
    <s v="Urban"/>
    <n v="2021"/>
    <s v="June"/>
    <x v="101"/>
    <s v="Cereals and products"/>
    <n v="149.19999999999999"/>
    <x v="0"/>
  </r>
  <r>
    <s v="Urban"/>
    <n v="2021"/>
    <s v="June"/>
    <x v="101"/>
    <s v="Meat and fish"/>
    <n v="205.5"/>
    <x v="0"/>
  </r>
  <r>
    <s v="Urban"/>
    <n v="2021"/>
    <s v="June"/>
    <x v="101"/>
    <s v="Egg"/>
    <n v="182.8"/>
    <x v="0"/>
  </r>
  <r>
    <s v="Urban"/>
    <n v="2021"/>
    <s v="June"/>
    <x v="101"/>
    <s v="Milk and products"/>
    <n v="156.5"/>
    <x v="0"/>
  </r>
  <r>
    <s v="Urban"/>
    <n v="2021"/>
    <s v="June"/>
    <x v="101"/>
    <s v="Oils and fats"/>
    <n v="172.2"/>
    <x v="0"/>
  </r>
  <r>
    <s v="Urban"/>
    <n v="2021"/>
    <s v="June"/>
    <x v="101"/>
    <s v="Fruits"/>
    <n v="171.5"/>
    <x v="0"/>
  </r>
  <r>
    <s v="Urban"/>
    <n v="2021"/>
    <s v="June"/>
    <x v="101"/>
    <s v="Vegetables"/>
    <n v="176.2"/>
    <x v="0"/>
  </r>
  <r>
    <s v="Urban"/>
    <n v="2021"/>
    <s v="June"/>
    <x v="101"/>
    <s v="Pulses and products"/>
    <n v="166.9"/>
    <x v="0"/>
  </r>
  <r>
    <s v="Urban"/>
    <n v="2021"/>
    <s v="June"/>
    <x v="101"/>
    <s v="Sugar and Confectionery"/>
    <n v="116.1"/>
    <x v="0"/>
  </r>
  <r>
    <s v="Urban"/>
    <n v="2021"/>
    <s v="June"/>
    <x v="101"/>
    <s v="Spices"/>
    <n v="165.5"/>
    <x v="0"/>
  </r>
  <r>
    <s v="Urban"/>
    <n v="2021"/>
    <s v="June"/>
    <x v="101"/>
    <s v="Non-alcoholic beverages"/>
    <n v="152.30000000000001"/>
    <x v="0"/>
  </r>
  <r>
    <s v="Urban"/>
    <n v="2021"/>
    <s v="June"/>
    <x v="101"/>
    <s v="Prepared meals, snacks, sweets etc."/>
    <n v="173.3"/>
    <x v="0"/>
  </r>
  <r>
    <s v="Urban"/>
    <n v="2021"/>
    <s v="June"/>
    <x v="101"/>
    <s v="Food and beverages"/>
    <n v="166.2"/>
    <x v="0"/>
  </r>
  <r>
    <s v="Urban"/>
    <n v="2021"/>
    <s v="June"/>
    <x v="101"/>
    <s v="Pan, tobacco and intoxicants"/>
    <n v="195.6"/>
    <x v="1"/>
  </r>
  <r>
    <s v="Urban"/>
    <n v="2021"/>
    <s v="June"/>
    <x v="101"/>
    <s v="Clothing"/>
    <n v="157.30000000000001"/>
    <x v="2"/>
  </r>
  <r>
    <s v="Urban"/>
    <n v="2021"/>
    <s v="June"/>
    <x v="101"/>
    <s v="Footwear"/>
    <n v="140.5"/>
    <x v="2"/>
  </r>
  <r>
    <s v="Urban"/>
    <n v="2021"/>
    <s v="June"/>
    <x v="101"/>
    <s v="Clothing and footwear"/>
    <n v="154.80000000000001"/>
    <x v="2"/>
  </r>
  <r>
    <s v="Urban"/>
    <n v="2021"/>
    <s v="June"/>
    <x v="101"/>
    <s v="Housing"/>
    <n v="160.5"/>
    <x v="10"/>
  </r>
  <r>
    <s v="Urban"/>
    <n v="2021"/>
    <s v="June"/>
    <x v="101"/>
    <s v="Fuel and light"/>
    <n v="156.1"/>
    <x v="3"/>
  </r>
  <r>
    <s v="Urban"/>
    <n v="2021"/>
    <s v="June"/>
    <x v="101"/>
    <s v="Household goods and services"/>
    <n v="149.80000000000001"/>
    <x v="4"/>
  </r>
  <r>
    <s v="Urban"/>
    <n v="2021"/>
    <s v="June"/>
    <x v="101"/>
    <s v="Health"/>
    <n v="160.80000000000001"/>
    <x v="5"/>
  </r>
  <r>
    <s v="Urban"/>
    <n v="2021"/>
    <s v="June"/>
    <x v="101"/>
    <s v="Transport and communication"/>
    <n v="147.5"/>
    <x v="6"/>
  </r>
  <r>
    <s v="Urban"/>
    <n v="2021"/>
    <s v="June"/>
    <x v="101"/>
    <s v="Recreation and amusement"/>
    <n v="150.69999999999999"/>
    <x v="1"/>
  </r>
  <r>
    <s v="Urban"/>
    <n v="2021"/>
    <s v="June"/>
    <x v="101"/>
    <s v="Education"/>
    <n v="158.1"/>
    <x v="7"/>
  </r>
  <r>
    <s v="Urban"/>
    <n v="2021"/>
    <s v="June"/>
    <x v="101"/>
    <s v="Personal care and effects"/>
    <n v="158"/>
    <x v="4"/>
  </r>
  <r>
    <s v="Urban"/>
    <n v="2021"/>
    <s v="June"/>
    <x v="101"/>
    <s v="Miscellaneous"/>
    <n v="153.4"/>
    <x v="8"/>
  </r>
  <r>
    <s v="Urban"/>
    <n v="2021"/>
    <s v="June"/>
    <x v="101"/>
    <s v="General index"/>
    <n v="160.4"/>
    <x v="9"/>
  </r>
  <r>
    <s v="Rural+Urban"/>
    <n v="2021"/>
    <s v="June"/>
    <x v="101"/>
    <s v="Cereals and products"/>
    <n v="146.69999999999999"/>
    <x v="0"/>
  </r>
  <r>
    <s v="Rural+Urban"/>
    <n v="2021"/>
    <s v="June"/>
    <x v="101"/>
    <s v="Meat and fish"/>
    <n v="202"/>
    <x v="0"/>
  </r>
  <r>
    <s v="Rural+Urban"/>
    <n v="2021"/>
    <s v="June"/>
    <x v="101"/>
    <s v="Egg"/>
    <n v="180.7"/>
    <x v="0"/>
  </r>
  <r>
    <s v="Rural+Urban"/>
    <n v="2021"/>
    <s v="June"/>
    <x v="101"/>
    <s v="Milk and products"/>
    <n v="156.19999999999999"/>
    <x v="0"/>
  </r>
  <r>
    <s v="Rural+Urban"/>
    <n v="2021"/>
    <s v="June"/>
    <x v="101"/>
    <s v="Oils and fats"/>
    <n v="183.7"/>
    <x v="0"/>
  </r>
  <r>
    <s v="Rural+Urban"/>
    <n v="2021"/>
    <s v="June"/>
    <x v="101"/>
    <s v="Fruits"/>
    <n v="164.6"/>
    <x v="0"/>
  </r>
  <r>
    <s v="Rural+Urban"/>
    <n v="2021"/>
    <s v="June"/>
    <x v="101"/>
    <s v="Vegetables"/>
    <n v="155.4"/>
    <x v="0"/>
  </r>
  <r>
    <s v="Rural+Urban"/>
    <n v="2021"/>
    <s v="June"/>
    <x v="101"/>
    <s v="Pulses and products"/>
    <n v="166"/>
    <x v="0"/>
  </r>
  <r>
    <s v="Rural+Urban"/>
    <n v="2021"/>
    <s v="June"/>
    <x v="101"/>
    <s v="Sugar and Confectionery"/>
    <n v="115.1"/>
    <x v="0"/>
  </r>
  <r>
    <s v="Rural+Urban"/>
    <n v="2021"/>
    <s v="June"/>
    <x v="101"/>
    <s v="Spices"/>
    <n v="168.5"/>
    <x v="0"/>
  </r>
  <r>
    <s v="Rural+Urban"/>
    <n v="2021"/>
    <s v="June"/>
    <x v="101"/>
    <s v="Non-alcoholic beverages"/>
    <n v="160"/>
    <x v="0"/>
  </r>
  <r>
    <s v="Rural+Urban"/>
    <n v="2021"/>
    <s v="June"/>
    <x v="101"/>
    <s v="Prepared meals, snacks, sweets etc."/>
    <n v="172.4"/>
    <x v="0"/>
  </r>
  <r>
    <s v="Rural+Urban"/>
    <n v="2021"/>
    <s v="June"/>
    <x v="101"/>
    <s v="Food and beverages"/>
    <n v="162.6"/>
    <x v="0"/>
  </r>
  <r>
    <s v="Rural+Urban"/>
    <n v="2021"/>
    <s v="June"/>
    <x v="101"/>
    <s v="Pan, tobacco and intoxicants"/>
    <n v="190.8"/>
    <x v="1"/>
  </r>
  <r>
    <s v="Rural+Urban"/>
    <n v="2021"/>
    <s v="June"/>
    <x v="101"/>
    <s v="Clothing"/>
    <n v="162.19999999999999"/>
    <x v="2"/>
  </r>
  <r>
    <s v="Rural+Urban"/>
    <n v="2021"/>
    <s v="June"/>
    <x v="101"/>
    <s v="Footwear"/>
    <n v="151.80000000000001"/>
    <x v="2"/>
  </r>
  <r>
    <s v="Rural+Urban"/>
    <n v="2021"/>
    <s v="June"/>
    <x v="101"/>
    <s v="Clothing and footwear"/>
    <n v="160.69999999999999"/>
    <x v="2"/>
  </r>
  <r>
    <s v="Rural+Urban"/>
    <n v="2021"/>
    <s v="June"/>
    <x v="101"/>
    <s v="Housing"/>
    <n v="160.5"/>
    <x v="10"/>
  </r>
  <r>
    <s v="Rural+Urban"/>
    <n v="2021"/>
    <s v="June"/>
    <x v="101"/>
    <s v="Fuel and light"/>
    <n v="159.80000000000001"/>
    <x v="3"/>
  </r>
  <r>
    <s v="Rural+Urban"/>
    <n v="2021"/>
    <s v="June"/>
    <x v="101"/>
    <s v="Household goods and services"/>
    <n v="154.80000000000001"/>
    <x v="4"/>
  </r>
  <r>
    <s v="Rural+Urban"/>
    <n v="2021"/>
    <s v="June"/>
    <x v="101"/>
    <s v="Health"/>
    <n v="166.3"/>
    <x v="5"/>
  </r>
  <r>
    <s v="Rural+Urban"/>
    <n v="2021"/>
    <s v="June"/>
    <x v="101"/>
    <s v="Transport and communication"/>
    <n v="150.69999999999999"/>
    <x v="6"/>
  </r>
  <r>
    <s v="Rural+Urban"/>
    <n v="2021"/>
    <s v="June"/>
    <x v="101"/>
    <s v="Recreation and amusement"/>
    <n v="154.9"/>
    <x v="1"/>
  </r>
  <r>
    <s v="Rural+Urban"/>
    <n v="2021"/>
    <s v="June"/>
    <x v="101"/>
    <s v="Education"/>
    <n v="161.69999999999999"/>
    <x v="7"/>
  </r>
  <r>
    <s v="Rural+Urban"/>
    <n v="2021"/>
    <s v="June"/>
    <x v="101"/>
    <s v="Personal care and effects"/>
    <n v="158.80000000000001"/>
    <x v="4"/>
  </r>
  <r>
    <s v="Rural+Urban"/>
    <n v="2021"/>
    <s v="June"/>
    <x v="101"/>
    <s v="Miscellaneous"/>
    <n v="157.6"/>
    <x v="8"/>
  </r>
  <r>
    <s v="Rural+Urban"/>
    <n v="2021"/>
    <s v="June"/>
    <x v="101"/>
    <s v="General index"/>
    <n v="161.30000000000001"/>
    <x v="9"/>
  </r>
  <r>
    <s v="Rural"/>
    <n v="2021"/>
    <s v="July"/>
    <x v="102"/>
    <s v="Cereals and products"/>
    <n v="145.1"/>
    <x v="0"/>
  </r>
  <r>
    <s v="Rural"/>
    <n v="2021"/>
    <s v="July"/>
    <x v="102"/>
    <s v="Meat and fish"/>
    <n v="204.5"/>
    <x v="0"/>
  </r>
  <r>
    <s v="Rural"/>
    <n v="2021"/>
    <s v="July"/>
    <x v="102"/>
    <s v="Egg"/>
    <n v="180.4"/>
    <x v="0"/>
  </r>
  <r>
    <s v="Rural"/>
    <n v="2021"/>
    <s v="July"/>
    <x v="102"/>
    <s v="Milk and products"/>
    <n v="157.1"/>
    <x v="0"/>
  </r>
  <r>
    <s v="Rural"/>
    <n v="2021"/>
    <s v="July"/>
    <x v="102"/>
    <s v="Oils and fats"/>
    <n v="188.7"/>
    <x v="0"/>
  </r>
  <r>
    <s v="Rural"/>
    <n v="2021"/>
    <s v="July"/>
    <x v="102"/>
    <s v="Fruits"/>
    <n v="157.69999999999999"/>
    <x v="0"/>
  </r>
  <r>
    <s v="Rural"/>
    <n v="2021"/>
    <s v="July"/>
    <x v="102"/>
    <s v="Vegetables"/>
    <n v="152.80000000000001"/>
    <x v="0"/>
  </r>
  <r>
    <s v="Rural"/>
    <n v="2021"/>
    <s v="July"/>
    <x v="102"/>
    <s v="Pulses and products"/>
    <n v="163.6"/>
    <x v="0"/>
  </r>
  <r>
    <s v="Rural"/>
    <n v="2021"/>
    <s v="July"/>
    <x v="102"/>
    <s v="Sugar and Confectionery"/>
    <n v="113.9"/>
    <x v="0"/>
  </r>
  <r>
    <s v="Rural"/>
    <n v="2021"/>
    <s v="July"/>
    <x v="102"/>
    <s v="Spices"/>
    <n v="169.7"/>
    <x v="0"/>
  </r>
  <r>
    <s v="Rural"/>
    <n v="2021"/>
    <s v="July"/>
    <x v="102"/>
    <s v="Non-alcoholic beverages"/>
    <n v="166.2"/>
    <x v="0"/>
  </r>
  <r>
    <s v="Rural"/>
    <n v="2021"/>
    <s v="July"/>
    <x v="102"/>
    <s v="Prepared meals, snacks, sweets etc."/>
    <n v="171"/>
    <x v="0"/>
  </r>
  <r>
    <s v="Rural"/>
    <n v="2021"/>
    <s v="July"/>
    <x v="102"/>
    <s v="Food and beverages"/>
    <n v="161.69999999999999"/>
    <x v="0"/>
  </r>
  <r>
    <s v="Rural"/>
    <n v="2021"/>
    <s v="July"/>
    <x v="102"/>
    <s v="Pan, tobacco and intoxicants"/>
    <n v="189.7"/>
    <x v="1"/>
  </r>
  <r>
    <s v="Rural"/>
    <n v="2021"/>
    <s v="July"/>
    <x v="102"/>
    <s v="Clothing"/>
    <n v="166"/>
    <x v="2"/>
  </r>
  <r>
    <s v="Rural"/>
    <n v="2021"/>
    <s v="July"/>
    <x v="102"/>
    <s v="Footwear"/>
    <n v="161.1"/>
    <x v="2"/>
  </r>
  <r>
    <s v="Rural"/>
    <n v="2021"/>
    <s v="July"/>
    <x v="102"/>
    <s v="Clothing and footwear"/>
    <n v="165.3"/>
    <x v="2"/>
  </r>
  <r>
    <s v="Rural"/>
    <n v="2021"/>
    <s v="July"/>
    <x v="102"/>
    <s v="Fuel and light"/>
    <n v="162.5"/>
    <x v="3"/>
  </r>
  <r>
    <s v="Rural"/>
    <n v="2021"/>
    <s v="July"/>
    <x v="102"/>
    <s v="Household goods and services"/>
    <n v="160.30000000000001"/>
    <x v="4"/>
  </r>
  <r>
    <s v="Rural"/>
    <n v="2021"/>
    <s v="July"/>
    <x v="102"/>
    <s v="Health"/>
    <n v="170.4"/>
    <x v="5"/>
  </r>
  <r>
    <s v="Rural"/>
    <n v="2021"/>
    <s v="July"/>
    <x v="102"/>
    <s v="Transport and communication"/>
    <n v="157.1"/>
    <x v="6"/>
  </r>
  <r>
    <s v="Rural"/>
    <n v="2021"/>
    <s v="July"/>
    <x v="102"/>
    <s v="Recreation and amusement"/>
    <n v="160.69999999999999"/>
    <x v="1"/>
  </r>
  <r>
    <s v="Rural"/>
    <n v="2021"/>
    <s v="July"/>
    <x v="102"/>
    <s v="Education"/>
    <n v="167.2"/>
    <x v="7"/>
  </r>
  <r>
    <s v="Rural"/>
    <n v="2021"/>
    <s v="July"/>
    <x v="102"/>
    <s v="Personal care and effects"/>
    <n v="160.4"/>
    <x v="4"/>
  </r>
  <r>
    <s v="Rural"/>
    <n v="2021"/>
    <s v="July"/>
    <x v="102"/>
    <s v="Miscellaneous"/>
    <n v="162.80000000000001"/>
    <x v="8"/>
  </r>
  <r>
    <s v="Rural"/>
    <n v="2021"/>
    <s v="July"/>
    <x v="102"/>
    <s v="General index"/>
    <n v="163.19999999999999"/>
    <x v="9"/>
  </r>
  <r>
    <s v="Urban"/>
    <n v="2021"/>
    <s v="July"/>
    <x v="102"/>
    <s v="Cereals and products"/>
    <n v="149.1"/>
    <x v="0"/>
  </r>
  <r>
    <s v="Urban"/>
    <n v="2021"/>
    <s v="July"/>
    <x v="102"/>
    <s v="Meat and fish"/>
    <n v="210.9"/>
    <x v="0"/>
  </r>
  <r>
    <s v="Urban"/>
    <n v="2021"/>
    <s v="July"/>
    <x v="102"/>
    <s v="Egg"/>
    <n v="185"/>
    <x v="0"/>
  </r>
  <r>
    <s v="Urban"/>
    <n v="2021"/>
    <s v="July"/>
    <x v="102"/>
    <s v="Milk and products"/>
    <n v="158.19999999999999"/>
    <x v="0"/>
  </r>
  <r>
    <s v="Urban"/>
    <n v="2021"/>
    <s v="July"/>
    <x v="102"/>
    <s v="Oils and fats"/>
    <n v="170.6"/>
    <x v="0"/>
  </r>
  <r>
    <s v="Urban"/>
    <n v="2021"/>
    <s v="July"/>
    <x v="102"/>
    <s v="Fruits"/>
    <n v="170.9"/>
    <x v="0"/>
  </r>
  <r>
    <s v="Urban"/>
    <n v="2021"/>
    <s v="July"/>
    <x v="102"/>
    <s v="Vegetables"/>
    <n v="186.4"/>
    <x v="0"/>
  </r>
  <r>
    <s v="Urban"/>
    <n v="2021"/>
    <s v="July"/>
    <x v="102"/>
    <s v="Pulses and products"/>
    <n v="164.7"/>
    <x v="0"/>
  </r>
  <r>
    <s v="Urban"/>
    <n v="2021"/>
    <s v="July"/>
    <x v="102"/>
    <s v="Sugar and Confectionery"/>
    <n v="115.7"/>
    <x v="0"/>
  </r>
  <r>
    <s v="Urban"/>
    <n v="2021"/>
    <s v="July"/>
    <x v="102"/>
    <s v="Spices"/>
    <n v="165.5"/>
    <x v="0"/>
  </r>
  <r>
    <s v="Urban"/>
    <n v="2021"/>
    <s v="July"/>
    <x v="102"/>
    <s v="Non-alcoholic beverages"/>
    <n v="153.4"/>
    <x v="0"/>
  </r>
  <r>
    <s v="Urban"/>
    <n v="2021"/>
    <s v="July"/>
    <x v="102"/>
    <s v="Prepared meals, snacks, sweets etc."/>
    <n v="173.5"/>
    <x v="0"/>
  </r>
  <r>
    <s v="Urban"/>
    <n v="2021"/>
    <s v="July"/>
    <x v="102"/>
    <s v="Food and beverages"/>
    <n v="167.9"/>
    <x v="0"/>
  </r>
  <r>
    <s v="Urban"/>
    <n v="2021"/>
    <s v="July"/>
    <x v="102"/>
    <s v="Pan, tobacco and intoxicants"/>
    <n v="195.5"/>
    <x v="1"/>
  </r>
  <r>
    <s v="Urban"/>
    <n v="2021"/>
    <s v="July"/>
    <x v="102"/>
    <s v="Clothing"/>
    <n v="157.9"/>
    <x v="2"/>
  </r>
  <r>
    <s v="Urban"/>
    <n v="2021"/>
    <s v="July"/>
    <x v="102"/>
    <s v="Footwear"/>
    <n v="141.9"/>
    <x v="2"/>
  </r>
  <r>
    <s v="Urban"/>
    <n v="2021"/>
    <s v="July"/>
    <x v="102"/>
    <s v="Clothing and footwear"/>
    <n v="155.5"/>
    <x v="2"/>
  </r>
  <r>
    <s v="Urban"/>
    <n v="2021"/>
    <s v="July"/>
    <x v="102"/>
    <s v="Housing"/>
    <n v="161.5"/>
    <x v="10"/>
  </r>
  <r>
    <s v="Urban"/>
    <n v="2021"/>
    <s v="July"/>
    <x v="102"/>
    <s v="Fuel and light"/>
    <n v="157.69999999999999"/>
    <x v="3"/>
  </r>
  <r>
    <s v="Urban"/>
    <n v="2021"/>
    <s v="July"/>
    <x v="102"/>
    <s v="Household goods and services"/>
    <n v="150.69999999999999"/>
    <x v="4"/>
  </r>
  <r>
    <s v="Urban"/>
    <n v="2021"/>
    <s v="July"/>
    <x v="102"/>
    <s v="Health"/>
    <n v="161.5"/>
    <x v="5"/>
  </r>
  <r>
    <s v="Urban"/>
    <n v="2021"/>
    <s v="July"/>
    <x v="102"/>
    <s v="Transport and communication"/>
    <n v="149.5"/>
    <x v="6"/>
  </r>
  <r>
    <s v="Urban"/>
    <n v="2021"/>
    <s v="July"/>
    <x v="102"/>
    <s v="Recreation and amusement"/>
    <n v="151.19999999999999"/>
    <x v="1"/>
  </r>
  <r>
    <s v="Urban"/>
    <n v="2021"/>
    <s v="July"/>
    <x v="102"/>
    <s v="Education"/>
    <n v="160.30000000000001"/>
    <x v="7"/>
  </r>
  <r>
    <s v="Urban"/>
    <n v="2021"/>
    <s v="July"/>
    <x v="102"/>
    <s v="Personal care and effects"/>
    <n v="159.6"/>
    <x v="4"/>
  </r>
  <r>
    <s v="Urban"/>
    <n v="2021"/>
    <s v="July"/>
    <x v="102"/>
    <s v="Miscellaneous"/>
    <n v="155"/>
    <x v="8"/>
  </r>
  <r>
    <s v="Urban"/>
    <n v="2021"/>
    <s v="July"/>
    <x v="102"/>
    <s v="General index"/>
    <n v="161.80000000000001"/>
    <x v="9"/>
  </r>
  <r>
    <s v="Rural+Urban"/>
    <n v="2021"/>
    <s v="July"/>
    <x v="102"/>
    <s v="Cereals and products"/>
    <n v="146.4"/>
    <x v="0"/>
  </r>
  <r>
    <s v="Rural+Urban"/>
    <n v="2021"/>
    <s v="July"/>
    <x v="102"/>
    <s v="Meat and fish"/>
    <n v="206.8"/>
    <x v="0"/>
  </r>
  <r>
    <s v="Rural+Urban"/>
    <n v="2021"/>
    <s v="July"/>
    <x v="102"/>
    <s v="Egg"/>
    <n v="182.2"/>
    <x v="0"/>
  </r>
  <r>
    <s v="Rural+Urban"/>
    <n v="2021"/>
    <s v="July"/>
    <x v="102"/>
    <s v="Milk and products"/>
    <n v="157.5"/>
    <x v="0"/>
  </r>
  <r>
    <s v="Rural+Urban"/>
    <n v="2021"/>
    <s v="July"/>
    <x v="102"/>
    <s v="Oils and fats"/>
    <n v="182.1"/>
    <x v="0"/>
  </r>
  <r>
    <s v="Rural+Urban"/>
    <n v="2021"/>
    <s v="July"/>
    <x v="102"/>
    <s v="Fruits"/>
    <n v="163.9"/>
    <x v="0"/>
  </r>
  <r>
    <s v="Rural+Urban"/>
    <n v="2021"/>
    <s v="July"/>
    <x v="102"/>
    <s v="Vegetables"/>
    <n v="164.2"/>
    <x v="0"/>
  </r>
  <r>
    <s v="Rural+Urban"/>
    <n v="2021"/>
    <s v="July"/>
    <x v="102"/>
    <s v="Pulses and products"/>
    <n v="164"/>
    <x v="0"/>
  </r>
  <r>
    <s v="Rural+Urban"/>
    <n v="2021"/>
    <s v="July"/>
    <x v="102"/>
    <s v="Sugar and Confectionery"/>
    <n v="114.5"/>
    <x v="0"/>
  </r>
  <r>
    <s v="Rural+Urban"/>
    <n v="2021"/>
    <s v="July"/>
    <x v="102"/>
    <s v="Spices"/>
    <n v="168.3"/>
    <x v="0"/>
  </r>
  <r>
    <s v="Rural+Urban"/>
    <n v="2021"/>
    <s v="July"/>
    <x v="102"/>
    <s v="Non-alcoholic beverages"/>
    <n v="160.9"/>
    <x v="0"/>
  </r>
  <r>
    <s v="Rural+Urban"/>
    <n v="2021"/>
    <s v="July"/>
    <x v="102"/>
    <s v="Prepared meals, snacks, sweets etc."/>
    <n v="172.2"/>
    <x v="0"/>
  </r>
  <r>
    <s v="Rural+Urban"/>
    <n v="2021"/>
    <s v="July"/>
    <x v="102"/>
    <s v="Food and beverages"/>
    <n v="164"/>
    <x v="0"/>
  </r>
  <r>
    <s v="Rural+Urban"/>
    <n v="2021"/>
    <s v="July"/>
    <x v="102"/>
    <s v="Pan, tobacco and intoxicants"/>
    <n v="191.2"/>
    <x v="1"/>
  </r>
  <r>
    <s v="Rural+Urban"/>
    <n v="2021"/>
    <s v="July"/>
    <x v="102"/>
    <s v="Clothing"/>
    <n v="162.80000000000001"/>
    <x v="2"/>
  </r>
  <r>
    <s v="Rural+Urban"/>
    <n v="2021"/>
    <s v="July"/>
    <x v="102"/>
    <s v="Footwear"/>
    <n v="153.1"/>
    <x v="2"/>
  </r>
  <r>
    <s v="Rural+Urban"/>
    <n v="2021"/>
    <s v="July"/>
    <x v="102"/>
    <s v="Clothing and footwear"/>
    <n v="161.4"/>
    <x v="2"/>
  </r>
  <r>
    <s v="Rural+Urban"/>
    <n v="2021"/>
    <s v="July"/>
    <x v="102"/>
    <s v="Housing"/>
    <n v="161.5"/>
    <x v="10"/>
  </r>
  <r>
    <s v="Rural+Urban"/>
    <n v="2021"/>
    <s v="July"/>
    <x v="102"/>
    <s v="Fuel and light"/>
    <n v="160.69999999999999"/>
    <x v="3"/>
  </r>
  <r>
    <s v="Rural+Urban"/>
    <n v="2021"/>
    <s v="July"/>
    <x v="102"/>
    <s v="Household goods and services"/>
    <n v="155.80000000000001"/>
    <x v="4"/>
  </r>
  <r>
    <s v="Rural+Urban"/>
    <n v="2021"/>
    <s v="July"/>
    <x v="102"/>
    <s v="Health"/>
    <n v="167"/>
    <x v="5"/>
  </r>
  <r>
    <s v="Rural+Urban"/>
    <n v="2021"/>
    <s v="July"/>
    <x v="102"/>
    <s v="Transport and communication"/>
    <n v="153.1"/>
    <x v="6"/>
  </r>
  <r>
    <s v="Rural+Urban"/>
    <n v="2021"/>
    <s v="July"/>
    <x v="102"/>
    <s v="Recreation and amusement"/>
    <n v="155.30000000000001"/>
    <x v="1"/>
  </r>
  <r>
    <s v="Rural+Urban"/>
    <n v="2021"/>
    <s v="July"/>
    <x v="102"/>
    <s v="Education"/>
    <n v="163.19999999999999"/>
    <x v="7"/>
  </r>
  <r>
    <s v="Rural+Urban"/>
    <n v="2021"/>
    <s v="July"/>
    <x v="102"/>
    <s v="Personal care and effects"/>
    <n v="160.1"/>
    <x v="4"/>
  </r>
  <r>
    <s v="Rural+Urban"/>
    <n v="2021"/>
    <s v="July"/>
    <x v="102"/>
    <s v="Miscellaneous"/>
    <n v="159"/>
    <x v="8"/>
  </r>
  <r>
    <s v="Rural+Urban"/>
    <n v="2021"/>
    <s v="July"/>
    <x v="102"/>
    <s v="General index"/>
    <n v="162.5"/>
    <x v="9"/>
  </r>
  <r>
    <s v="Rural"/>
    <n v="2021"/>
    <s v="August"/>
    <x v="103"/>
    <s v="Cereals and products"/>
    <n v="144.9"/>
    <x v="0"/>
  </r>
  <r>
    <s v="Rural"/>
    <n v="2021"/>
    <s v="August"/>
    <x v="103"/>
    <s v="Meat and fish"/>
    <n v="202.3"/>
    <x v="0"/>
  </r>
  <r>
    <s v="Rural"/>
    <n v="2021"/>
    <s v="August"/>
    <x v="103"/>
    <s v="Egg"/>
    <n v="176.5"/>
    <x v="0"/>
  </r>
  <r>
    <s v="Rural"/>
    <n v="2021"/>
    <s v="August"/>
    <x v="103"/>
    <s v="Milk and products"/>
    <n v="157.5"/>
    <x v="0"/>
  </r>
  <r>
    <s v="Rural"/>
    <n v="2021"/>
    <s v="August"/>
    <x v="103"/>
    <s v="Oils and fats"/>
    <n v="190.9"/>
    <x v="0"/>
  </r>
  <r>
    <s v="Rural"/>
    <n v="2021"/>
    <s v="August"/>
    <x v="103"/>
    <s v="Fruits"/>
    <n v="155.69999999999999"/>
    <x v="0"/>
  </r>
  <r>
    <s v="Rural"/>
    <n v="2021"/>
    <s v="August"/>
    <x v="103"/>
    <s v="Vegetables"/>
    <n v="153.9"/>
    <x v="0"/>
  </r>
  <r>
    <s v="Rural"/>
    <n v="2021"/>
    <s v="August"/>
    <x v="103"/>
    <s v="Pulses and products"/>
    <n v="162.80000000000001"/>
    <x v="0"/>
  </r>
  <r>
    <s v="Rural"/>
    <n v="2021"/>
    <s v="August"/>
    <x v="103"/>
    <s v="Sugar and Confectionery"/>
    <n v="115.2"/>
    <x v="0"/>
  </r>
  <r>
    <s v="Rural"/>
    <n v="2021"/>
    <s v="August"/>
    <x v="103"/>
    <s v="Spices"/>
    <n v="169.8"/>
    <x v="0"/>
  </r>
  <r>
    <s v="Rural"/>
    <n v="2021"/>
    <s v="August"/>
    <x v="103"/>
    <s v="Non-alcoholic beverages"/>
    <n v="167.6"/>
    <x v="0"/>
  </r>
  <r>
    <s v="Rural"/>
    <n v="2021"/>
    <s v="August"/>
    <x v="103"/>
    <s v="Prepared meals, snacks, sweets etc."/>
    <n v="171.9"/>
    <x v="0"/>
  </r>
  <r>
    <s v="Rural"/>
    <n v="2021"/>
    <s v="August"/>
    <x v="103"/>
    <s v="Food and beverages"/>
    <n v="161.80000000000001"/>
    <x v="0"/>
  </r>
  <r>
    <s v="Rural"/>
    <n v="2021"/>
    <s v="August"/>
    <x v="103"/>
    <s v="Pan, tobacco and intoxicants"/>
    <n v="190.2"/>
    <x v="1"/>
  </r>
  <r>
    <s v="Rural"/>
    <n v="2021"/>
    <s v="August"/>
    <x v="103"/>
    <s v="Clothing"/>
    <n v="167"/>
    <x v="2"/>
  </r>
  <r>
    <s v="Rural"/>
    <n v="2021"/>
    <s v="August"/>
    <x v="103"/>
    <s v="Footwear"/>
    <n v="162.6"/>
    <x v="2"/>
  </r>
  <r>
    <s v="Rural"/>
    <n v="2021"/>
    <s v="August"/>
    <x v="103"/>
    <s v="Clothing and footwear"/>
    <n v="166.3"/>
    <x v="2"/>
  </r>
  <r>
    <s v="Rural"/>
    <n v="2021"/>
    <s v="August"/>
    <x v="103"/>
    <s v="Fuel and light"/>
    <n v="163.1"/>
    <x v="3"/>
  </r>
  <r>
    <s v="Rural"/>
    <n v="2021"/>
    <s v="August"/>
    <x v="103"/>
    <s v="Household goods and services"/>
    <n v="160.9"/>
    <x v="4"/>
  </r>
  <r>
    <s v="Rural"/>
    <n v="2021"/>
    <s v="August"/>
    <x v="103"/>
    <s v="Health"/>
    <n v="171.1"/>
    <x v="5"/>
  </r>
  <r>
    <s v="Rural"/>
    <n v="2021"/>
    <s v="August"/>
    <x v="103"/>
    <s v="Transport and communication"/>
    <n v="157.69999999999999"/>
    <x v="6"/>
  </r>
  <r>
    <s v="Rural"/>
    <n v="2021"/>
    <s v="August"/>
    <x v="103"/>
    <s v="Recreation and amusement"/>
    <n v="161.1"/>
    <x v="1"/>
  </r>
  <r>
    <s v="Rural"/>
    <n v="2021"/>
    <s v="August"/>
    <x v="103"/>
    <s v="Education"/>
    <n v="167.5"/>
    <x v="7"/>
  </r>
  <r>
    <s v="Rural"/>
    <n v="2021"/>
    <s v="August"/>
    <x v="103"/>
    <s v="Personal care and effects"/>
    <n v="160.30000000000001"/>
    <x v="4"/>
  </r>
  <r>
    <s v="Rural"/>
    <n v="2021"/>
    <s v="August"/>
    <x v="103"/>
    <s v="Miscellaneous"/>
    <n v="163.30000000000001"/>
    <x v="8"/>
  </r>
  <r>
    <s v="Rural"/>
    <n v="2021"/>
    <s v="August"/>
    <x v="103"/>
    <s v="General index"/>
    <n v="163.6"/>
    <x v="9"/>
  </r>
  <r>
    <s v="Urban"/>
    <n v="2021"/>
    <s v="August"/>
    <x v="103"/>
    <s v="Cereals and products"/>
    <n v="149.30000000000001"/>
    <x v="0"/>
  </r>
  <r>
    <s v="Urban"/>
    <n v="2021"/>
    <s v="August"/>
    <x v="103"/>
    <s v="Meat and fish"/>
    <n v="207.4"/>
    <x v="0"/>
  </r>
  <r>
    <s v="Urban"/>
    <n v="2021"/>
    <s v="August"/>
    <x v="103"/>
    <s v="Egg"/>
    <n v="174.1"/>
    <x v="0"/>
  </r>
  <r>
    <s v="Urban"/>
    <n v="2021"/>
    <s v="August"/>
    <x v="103"/>
    <s v="Milk and products"/>
    <n v="159.19999999999999"/>
    <x v="0"/>
  </r>
  <r>
    <s v="Urban"/>
    <n v="2021"/>
    <s v="August"/>
    <x v="103"/>
    <s v="Oils and fats"/>
    <n v="175"/>
    <x v="0"/>
  </r>
  <r>
    <s v="Urban"/>
    <n v="2021"/>
    <s v="August"/>
    <x v="103"/>
    <s v="Fruits"/>
    <n v="161.30000000000001"/>
    <x v="0"/>
  </r>
  <r>
    <s v="Urban"/>
    <n v="2021"/>
    <s v="August"/>
    <x v="103"/>
    <s v="Vegetables"/>
    <n v="183.3"/>
    <x v="0"/>
  </r>
  <r>
    <s v="Urban"/>
    <n v="2021"/>
    <s v="August"/>
    <x v="103"/>
    <s v="Pulses and products"/>
    <n v="164.5"/>
    <x v="0"/>
  </r>
  <r>
    <s v="Urban"/>
    <n v="2021"/>
    <s v="August"/>
    <x v="103"/>
    <s v="Sugar and Confectionery"/>
    <n v="120.4"/>
    <x v="0"/>
  </r>
  <r>
    <s v="Urban"/>
    <n v="2021"/>
    <s v="August"/>
    <x v="103"/>
    <s v="Spices"/>
    <n v="166.2"/>
    <x v="0"/>
  </r>
  <r>
    <s v="Urban"/>
    <n v="2021"/>
    <s v="August"/>
    <x v="103"/>
    <s v="Non-alcoholic beverages"/>
    <n v="154.80000000000001"/>
    <x v="0"/>
  </r>
  <r>
    <s v="Urban"/>
    <n v="2021"/>
    <s v="August"/>
    <x v="103"/>
    <s v="Prepared meals, snacks, sweets etc."/>
    <n v="175.1"/>
    <x v="0"/>
  </r>
  <r>
    <s v="Urban"/>
    <n v="2021"/>
    <s v="August"/>
    <x v="103"/>
    <s v="Food and beverages"/>
    <n v="167.3"/>
    <x v="0"/>
  </r>
  <r>
    <s v="Urban"/>
    <n v="2021"/>
    <s v="August"/>
    <x v="103"/>
    <s v="Pan, tobacco and intoxicants"/>
    <n v="196.5"/>
    <x v="1"/>
  </r>
  <r>
    <s v="Urban"/>
    <n v="2021"/>
    <s v="August"/>
    <x v="103"/>
    <s v="Clothing"/>
    <n v="159.80000000000001"/>
    <x v="2"/>
  </r>
  <r>
    <s v="Urban"/>
    <n v="2021"/>
    <s v="August"/>
    <x v="103"/>
    <s v="Footwear"/>
    <n v="143.6"/>
    <x v="2"/>
  </r>
  <r>
    <s v="Urban"/>
    <n v="2021"/>
    <s v="August"/>
    <x v="103"/>
    <s v="Clothing and footwear"/>
    <n v="157.30000000000001"/>
    <x v="2"/>
  </r>
  <r>
    <s v="Urban"/>
    <n v="2021"/>
    <s v="August"/>
    <x v="103"/>
    <s v="Housing"/>
    <n v="162.1"/>
    <x v="10"/>
  </r>
  <r>
    <s v="Urban"/>
    <n v="2021"/>
    <s v="August"/>
    <x v="103"/>
    <s v="Fuel and light"/>
    <n v="160.69999999999999"/>
    <x v="3"/>
  </r>
  <r>
    <s v="Urban"/>
    <n v="2021"/>
    <s v="August"/>
    <x v="103"/>
    <s v="Household goods and services"/>
    <n v="153.19999999999999"/>
    <x v="4"/>
  </r>
  <r>
    <s v="Urban"/>
    <n v="2021"/>
    <s v="August"/>
    <x v="103"/>
    <s v="Health"/>
    <n v="162.80000000000001"/>
    <x v="5"/>
  </r>
  <r>
    <s v="Urban"/>
    <n v="2021"/>
    <s v="August"/>
    <x v="103"/>
    <s v="Transport and communication"/>
    <n v="150.4"/>
    <x v="6"/>
  </r>
  <r>
    <s v="Urban"/>
    <n v="2021"/>
    <s v="August"/>
    <x v="103"/>
    <s v="Recreation and amusement"/>
    <n v="153.69999999999999"/>
    <x v="1"/>
  </r>
  <r>
    <s v="Urban"/>
    <n v="2021"/>
    <s v="August"/>
    <x v="103"/>
    <s v="Education"/>
    <n v="160.4"/>
    <x v="7"/>
  </r>
  <r>
    <s v="Urban"/>
    <n v="2021"/>
    <s v="August"/>
    <x v="103"/>
    <s v="Personal care and effects"/>
    <n v="159.6"/>
    <x v="4"/>
  </r>
  <r>
    <s v="Urban"/>
    <n v="2021"/>
    <s v="August"/>
    <x v="103"/>
    <s v="Miscellaneous"/>
    <n v="156"/>
    <x v="8"/>
  </r>
  <r>
    <s v="Urban"/>
    <n v="2021"/>
    <s v="August"/>
    <x v="103"/>
    <s v="General index"/>
    <n v="162.30000000000001"/>
    <x v="9"/>
  </r>
  <r>
    <s v="Rural+Urban"/>
    <n v="2021"/>
    <s v="August"/>
    <x v="103"/>
    <s v="Cereals and products"/>
    <n v="146.6"/>
    <x v="0"/>
  </r>
  <r>
    <s v="Rural+Urban"/>
    <n v="2021"/>
    <s v="August"/>
    <x v="103"/>
    <s v="Meat and fish"/>
    <n v="204"/>
    <x v="0"/>
  </r>
  <r>
    <s v="Rural+Urban"/>
    <n v="2021"/>
    <s v="August"/>
    <x v="103"/>
    <s v="Egg"/>
    <n v="172.8"/>
    <x v="0"/>
  </r>
  <r>
    <s v="Rural+Urban"/>
    <n v="2021"/>
    <s v="August"/>
    <x v="103"/>
    <s v="Milk and products"/>
    <n v="158.4"/>
    <x v="0"/>
  </r>
  <r>
    <s v="Rural+Urban"/>
    <n v="2021"/>
    <s v="August"/>
    <x v="103"/>
    <s v="Oils and fats"/>
    <n v="188"/>
    <x v="0"/>
  </r>
  <r>
    <s v="Rural+Urban"/>
    <n v="2021"/>
    <s v="August"/>
    <x v="103"/>
    <s v="Fruits"/>
    <n v="156.80000000000001"/>
    <x v="0"/>
  </r>
  <r>
    <s v="Rural+Urban"/>
    <n v="2021"/>
    <s v="August"/>
    <x v="103"/>
    <s v="Vegetables"/>
    <n v="162.19999999999999"/>
    <x v="0"/>
  </r>
  <r>
    <s v="Rural+Urban"/>
    <n v="2021"/>
    <s v="August"/>
    <x v="103"/>
    <s v="Pulses and products"/>
    <n v="164.1"/>
    <x v="0"/>
  </r>
  <r>
    <s v="Rural+Urban"/>
    <n v="2021"/>
    <s v="August"/>
    <x v="103"/>
    <s v="Sugar and Confectionery"/>
    <n v="119.7"/>
    <x v="0"/>
  </r>
  <r>
    <s v="Rural+Urban"/>
    <n v="2021"/>
    <s v="August"/>
    <x v="103"/>
    <s v="Spices"/>
    <n v="168.8"/>
    <x v="0"/>
  </r>
  <r>
    <s v="Rural+Urban"/>
    <n v="2021"/>
    <s v="August"/>
    <x v="103"/>
    <s v="Non-alcoholic beverages"/>
    <n v="162.69999999999999"/>
    <x v="0"/>
  </r>
  <r>
    <s v="Rural+Urban"/>
    <n v="2021"/>
    <s v="August"/>
    <x v="103"/>
    <s v="Prepared meals, snacks, sweets etc."/>
    <n v="173.9"/>
    <x v="0"/>
  </r>
  <r>
    <s v="Rural+Urban"/>
    <n v="2021"/>
    <s v="August"/>
    <x v="103"/>
    <s v="Food and beverages"/>
    <n v="164"/>
    <x v="0"/>
  </r>
  <r>
    <s v="Rural+Urban"/>
    <n v="2021"/>
    <s v="August"/>
    <x v="103"/>
    <s v="Pan, tobacco and intoxicants"/>
    <n v="192.1"/>
    <x v="1"/>
  </r>
  <r>
    <s v="Rural+Urban"/>
    <n v="2021"/>
    <s v="August"/>
    <x v="103"/>
    <s v="Clothing"/>
    <n v="164.5"/>
    <x v="2"/>
  </r>
  <r>
    <s v="Rural+Urban"/>
    <n v="2021"/>
    <s v="August"/>
    <x v="103"/>
    <s v="Footwear"/>
    <n v="155.30000000000001"/>
    <x v="2"/>
  </r>
  <r>
    <s v="Rural+Urban"/>
    <n v="2021"/>
    <s v="August"/>
    <x v="103"/>
    <s v="Clothing and footwear"/>
    <n v="163.19999999999999"/>
    <x v="2"/>
  </r>
  <r>
    <s v="Rural+Urban"/>
    <n v="2021"/>
    <s v="August"/>
    <x v="103"/>
    <s v="Housing"/>
    <n v="162.1"/>
    <x v="10"/>
  </r>
  <r>
    <s v="Rural+Urban"/>
    <n v="2021"/>
    <s v="August"/>
    <x v="103"/>
    <s v="Fuel and light"/>
    <n v="162.6"/>
    <x v="3"/>
  </r>
  <r>
    <s v="Rural+Urban"/>
    <n v="2021"/>
    <s v="August"/>
    <x v="103"/>
    <s v="Household goods and services"/>
    <n v="157.5"/>
    <x v="4"/>
  </r>
  <r>
    <s v="Rural+Urban"/>
    <n v="2021"/>
    <s v="August"/>
    <x v="103"/>
    <s v="Health"/>
    <n v="168.4"/>
    <x v="5"/>
  </r>
  <r>
    <s v="Rural+Urban"/>
    <n v="2021"/>
    <s v="August"/>
    <x v="103"/>
    <s v="Transport and communication"/>
    <n v="154"/>
    <x v="6"/>
  </r>
  <r>
    <s v="Rural+Urban"/>
    <n v="2021"/>
    <s v="August"/>
    <x v="103"/>
    <s v="Recreation and amusement"/>
    <n v="157.6"/>
    <x v="1"/>
  </r>
  <r>
    <s v="Rural+Urban"/>
    <n v="2021"/>
    <s v="August"/>
    <x v="103"/>
    <s v="Education"/>
    <n v="163.80000000000001"/>
    <x v="7"/>
  </r>
  <r>
    <s v="Rural+Urban"/>
    <n v="2021"/>
    <s v="August"/>
    <x v="103"/>
    <s v="Personal care and effects"/>
    <n v="160"/>
    <x v="4"/>
  </r>
  <r>
    <s v="Rural+Urban"/>
    <n v="2021"/>
    <s v="August"/>
    <x v="103"/>
    <s v="Miscellaneous"/>
    <n v="160"/>
    <x v="8"/>
  </r>
  <r>
    <s v="Rural+Urban"/>
    <n v="2021"/>
    <s v="August"/>
    <x v="103"/>
    <s v="General index"/>
    <n v="163.19999999999999"/>
    <x v="9"/>
  </r>
  <r>
    <s v="Rural"/>
    <n v="2021"/>
    <s v="September"/>
    <x v="104"/>
    <s v="Cereals and products"/>
    <n v="145.4"/>
    <x v="0"/>
  </r>
  <r>
    <s v="Rural"/>
    <n v="2021"/>
    <s v="September"/>
    <x v="104"/>
    <s v="Meat and fish"/>
    <n v="202.1"/>
    <x v="0"/>
  </r>
  <r>
    <s v="Rural"/>
    <n v="2021"/>
    <s v="September"/>
    <x v="104"/>
    <s v="Egg"/>
    <n v="172"/>
    <x v="0"/>
  </r>
  <r>
    <s v="Rural"/>
    <n v="2021"/>
    <s v="September"/>
    <x v="104"/>
    <s v="Milk and products"/>
    <n v="158"/>
    <x v="0"/>
  </r>
  <r>
    <s v="Rural"/>
    <n v="2021"/>
    <s v="September"/>
    <x v="104"/>
    <s v="Oils and fats"/>
    <n v="195.5"/>
    <x v="0"/>
  </r>
  <r>
    <s v="Rural"/>
    <n v="2021"/>
    <s v="September"/>
    <x v="104"/>
    <s v="Fruits"/>
    <n v="152.69999999999999"/>
    <x v="0"/>
  </r>
  <r>
    <s v="Rural"/>
    <n v="2021"/>
    <s v="September"/>
    <x v="104"/>
    <s v="Vegetables"/>
    <n v="151.4"/>
    <x v="0"/>
  </r>
  <r>
    <s v="Rural"/>
    <n v="2021"/>
    <s v="September"/>
    <x v="104"/>
    <s v="Pulses and products"/>
    <n v="163.9"/>
    <x v="0"/>
  </r>
  <r>
    <s v="Rural"/>
    <n v="2021"/>
    <s v="September"/>
    <x v="104"/>
    <s v="Sugar and Confectionery"/>
    <n v="119.3"/>
    <x v="0"/>
  </r>
  <r>
    <s v="Rural"/>
    <n v="2021"/>
    <s v="September"/>
    <x v="104"/>
    <s v="Spices"/>
    <n v="170.1"/>
    <x v="0"/>
  </r>
  <r>
    <s v="Rural"/>
    <n v="2021"/>
    <s v="September"/>
    <x v="104"/>
    <s v="Non-alcoholic beverages"/>
    <n v="168.3"/>
    <x v="0"/>
  </r>
  <r>
    <s v="Rural"/>
    <n v="2021"/>
    <s v="September"/>
    <x v="104"/>
    <s v="Prepared meals, snacks, sweets etc."/>
    <n v="172.8"/>
    <x v="0"/>
  </r>
  <r>
    <s v="Rural"/>
    <n v="2021"/>
    <s v="September"/>
    <x v="104"/>
    <s v="Food and beverages"/>
    <n v="162.1"/>
    <x v="0"/>
  </r>
  <r>
    <s v="Rural"/>
    <n v="2021"/>
    <s v="September"/>
    <x v="104"/>
    <s v="Pan, tobacco and intoxicants"/>
    <n v="190.5"/>
    <x v="1"/>
  </r>
  <r>
    <s v="Rural"/>
    <n v="2021"/>
    <s v="September"/>
    <x v="104"/>
    <s v="Clothing"/>
    <n v="167.7"/>
    <x v="2"/>
  </r>
  <r>
    <s v="Rural"/>
    <n v="2021"/>
    <s v="September"/>
    <x v="104"/>
    <s v="Footwear"/>
    <n v="163.6"/>
    <x v="2"/>
  </r>
  <r>
    <s v="Rural"/>
    <n v="2021"/>
    <s v="September"/>
    <x v="104"/>
    <s v="Clothing and footwear"/>
    <n v="167.1"/>
    <x v="2"/>
  </r>
  <r>
    <s v="Rural"/>
    <n v="2021"/>
    <s v="September"/>
    <x v="104"/>
    <s v="Fuel and light"/>
    <n v="163.69999999999999"/>
    <x v="3"/>
  </r>
  <r>
    <s v="Rural"/>
    <n v="2021"/>
    <s v="September"/>
    <x v="104"/>
    <s v="Household goods and services"/>
    <n v="161.30000000000001"/>
    <x v="4"/>
  </r>
  <r>
    <s v="Rural"/>
    <n v="2021"/>
    <s v="September"/>
    <x v="104"/>
    <s v="Health"/>
    <n v="171.9"/>
    <x v="5"/>
  </r>
  <r>
    <s v="Rural"/>
    <n v="2021"/>
    <s v="September"/>
    <x v="104"/>
    <s v="Transport and communication"/>
    <n v="157.80000000000001"/>
    <x v="6"/>
  </r>
  <r>
    <s v="Rural"/>
    <n v="2021"/>
    <s v="September"/>
    <x v="104"/>
    <s v="Recreation and amusement"/>
    <n v="162.69999999999999"/>
    <x v="1"/>
  </r>
  <r>
    <s v="Rural"/>
    <n v="2021"/>
    <s v="September"/>
    <x v="104"/>
    <s v="Education"/>
    <n v="168.5"/>
    <x v="7"/>
  </r>
  <r>
    <s v="Rural"/>
    <n v="2021"/>
    <s v="September"/>
    <x v="104"/>
    <s v="Personal care and effects"/>
    <n v="160.19999999999999"/>
    <x v="4"/>
  </r>
  <r>
    <s v="Rural"/>
    <n v="2021"/>
    <s v="September"/>
    <x v="104"/>
    <s v="Miscellaneous"/>
    <n v="163.80000000000001"/>
    <x v="8"/>
  </r>
  <r>
    <s v="Rural"/>
    <n v="2021"/>
    <s v="September"/>
    <x v="104"/>
    <s v="General index"/>
    <n v="164"/>
    <x v="9"/>
  </r>
  <r>
    <s v="Urban"/>
    <n v="2021"/>
    <s v="September"/>
    <x v="104"/>
    <s v="Cereals and products"/>
    <n v="149.30000000000001"/>
    <x v="0"/>
  </r>
  <r>
    <s v="Urban"/>
    <n v="2021"/>
    <s v="September"/>
    <x v="104"/>
    <s v="Meat and fish"/>
    <n v="207.4"/>
    <x v="0"/>
  </r>
  <r>
    <s v="Urban"/>
    <n v="2021"/>
    <s v="September"/>
    <x v="104"/>
    <s v="Egg"/>
    <n v="174.1"/>
    <x v="0"/>
  </r>
  <r>
    <s v="Urban"/>
    <n v="2021"/>
    <s v="September"/>
    <x v="104"/>
    <s v="Milk and products"/>
    <n v="159.1"/>
    <x v="0"/>
  </r>
  <r>
    <s v="Urban"/>
    <n v="2021"/>
    <s v="September"/>
    <x v="104"/>
    <s v="Oils and fats"/>
    <n v="175"/>
    <x v="0"/>
  </r>
  <r>
    <s v="Urban"/>
    <n v="2021"/>
    <s v="September"/>
    <x v="104"/>
    <s v="Fruits"/>
    <n v="161.19999999999999"/>
    <x v="0"/>
  </r>
  <r>
    <s v="Urban"/>
    <n v="2021"/>
    <s v="September"/>
    <x v="104"/>
    <s v="Vegetables"/>
    <n v="183.5"/>
    <x v="0"/>
  </r>
  <r>
    <s v="Urban"/>
    <n v="2021"/>
    <s v="September"/>
    <x v="104"/>
    <s v="Pulses and products"/>
    <n v="164.5"/>
    <x v="0"/>
  </r>
  <r>
    <s v="Urban"/>
    <n v="2021"/>
    <s v="September"/>
    <x v="104"/>
    <s v="Sugar and Confectionery"/>
    <n v="120.4"/>
    <x v="0"/>
  </r>
  <r>
    <s v="Urban"/>
    <n v="2021"/>
    <s v="September"/>
    <x v="104"/>
    <s v="Spices"/>
    <n v="166.2"/>
    <x v="0"/>
  </r>
  <r>
    <s v="Urban"/>
    <n v="2021"/>
    <s v="September"/>
    <x v="104"/>
    <s v="Non-alcoholic beverages"/>
    <n v="154.80000000000001"/>
    <x v="0"/>
  </r>
  <r>
    <s v="Urban"/>
    <n v="2021"/>
    <s v="September"/>
    <x v="104"/>
    <s v="Prepared meals, snacks, sweets etc."/>
    <n v="175.1"/>
    <x v="0"/>
  </r>
  <r>
    <s v="Urban"/>
    <n v="2021"/>
    <s v="September"/>
    <x v="104"/>
    <s v="Food and beverages"/>
    <n v="167.3"/>
    <x v="0"/>
  </r>
  <r>
    <s v="Urban"/>
    <n v="2021"/>
    <s v="September"/>
    <x v="104"/>
    <s v="Pan, tobacco and intoxicants"/>
    <n v="196.5"/>
    <x v="1"/>
  </r>
  <r>
    <s v="Urban"/>
    <n v="2021"/>
    <s v="September"/>
    <x v="104"/>
    <s v="Clothing"/>
    <n v="159.80000000000001"/>
    <x v="2"/>
  </r>
  <r>
    <s v="Urban"/>
    <n v="2021"/>
    <s v="September"/>
    <x v="104"/>
    <s v="Footwear"/>
    <n v="143.6"/>
    <x v="2"/>
  </r>
  <r>
    <s v="Urban"/>
    <n v="2021"/>
    <s v="September"/>
    <x v="104"/>
    <s v="Clothing and footwear"/>
    <n v="157.4"/>
    <x v="2"/>
  </r>
  <r>
    <s v="Urban"/>
    <n v="2021"/>
    <s v="September"/>
    <x v="104"/>
    <s v="Housing"/>
    <n v="162.1"/>
    <x v="10"/>
  </r>
  <r>
    <s v="Urban"/>
    <n v="2021"/>
    <s v="September"/>
    <x v="104"/>
    <s v="Fuel and light"/>
    <n v="160.80000000000001"/>
    <x v="3"/>
  </r>
  <r>
    <s v="Urban"/>
    <n v="2021"/>
    <s v="September"/>
    <x v="104"/>
    <s v="Household goods and services"/>
    <n v="153.30000000000001"/>
    <x v="4"/>
  </r>
  <r>
    <s v="Urban"/>
    <n v="2021"/>
    <s v="September"/>
    <x v="104"/>
    <s v="Health"/>
    <n v="162.80000000000001"/>
    <x v="5"/>
  </r>
  <r>
    <s v="Urban"/>
    <n v="2021"/>
    <s v="September"/>
    <x v="104"/>
    <s v="Transport and communication"/>
    <n v="150.5"/>
    <x v="6"/>
  </r>
  <r>
    <s v="Urban"/>
    <n v="2021"/>
    <s v="September"/>
    <x v="104"/>
    <s v="Recreation and amusement"/>
    <n v="153.9"/>
    <x v="1"/>
  </r>
  <r>
    <s v="Urban"/>
    <n v="2021"/>
    <s v="September"/>
    <x v="104"/>
    <s v="Education"/>
    <n v="160.30000000000001"/>
    <x v="7"/>
  </r>
  <r>
    <s v="Urban"/>
    <n v="2021"/>
    <s v="September"/>
    <x v="104"/>
    <s v="Personal care and effects"/>
    <n v="159.6"/>
    <x v="4"/>
  </r>
  <r>
    <s v="Urban"/>
    <n v="2021"/>
    <s v="September"/>
    <x v="104"/>
    <s v="Miscellaneous"/>
    <n v="156"/>
    <x v="8"/>
  </r>
  <r>
    <s v="Urban"/>
    <n v="2021"/>
    <s v="September"/>
    <x v="104"/>
    <s v="General index"/>
    <n v="162.30000000000001"/>
    <x v="9"/>
  </r>
  <r>
    <s v="Rural+Urban"/>
    <n v="2021"/>
    <s v="September"/>
    <x v="104"/>
    <s v="Cereals and products"/>
    <n v="146.6"/>
    <x v="0"/>
  </r>
  <r>
    <s v="Rural+Urban"/>
    <n v="2021"/>
    <s v="September"/>
    <x v="104"/>
    <s v="Meat and fish"/>
    <n v="204"/>
    <x v="0"/>
  </r>
  <r>
    <s v="Rural+Urban"/>
    <n v="2021"/>
    <s v="September"/>
    <x v="104"/>
    <s v="Egg"/>
    <n v="172.8"/>
    <x v="0"/>
  </r>
  <r>
    <s v="Rural+Urban"/>
    <n v="2021"/>
    <s v="September"/>
    <x v="104"/>
    <s v="Milk and products"/>
    <n v="158.4"/>
    <x v="0"/>
  </r>
  <r>
    <s v="Rural+Urban"/>
    <n v="2021"/>
    <s v="September"/>
    <x v="104"/>
    <s v="Oils and fats"/>
    <n v="188"/>
    <x v="0"/>
  </r>
  <r>
    <s v="Rural+Urban"/>
    <n v="2021"/>
    <s v="September"/>
    <x v="104"/>
    <s v="Fruits"/>
    <n v="156.69999999999999"/>
    <x v="0"/>
  </r>
  <r>
    <s v="Rural+Urban"/>
    <n v="2021"/>
    <s v="September"/>
    <x v="104"/>
    <s v="Vegetables"/>
    <n v="162.30000000000001"/>
    <x v="0"/>
  </r>
  <r>
    <s v="Rural+Urban"/>
    <n v="2021"/>
    <s v="September"/>
    <x v="104"/>
    <s v="Pulses and products"/>
    <n v="164.1"/>
    <x v="0"/>
  </r>
  <r>
    <s v="Rural+Urban"/>
    <n v="2021"/>
    <s v="September"/>
    <x v="104"/>
    <s v="Sugar and Confectionery"/>
    <n v="119.7"/>
    <x v="0"/>
  </r>
  <r>
    <s v="Rural+Urban"/>
    <n v="2021"/>
    <s v="September"/>
    <x v="104"/>
    <s v="Spices"/>
    <n v="168.8"/>
    <x v="0"/>
  </r>
  <r>
    <s v="Rural+Urban"/>
    <n v="2021"/>
    <s v="September"/>
    <x v="104"/>
    <s v="Non-alcoholic beverages"/>
    <n v="162.69999999999999"/>
    <x v="0"/>
  </r>
  <r>
    <s v="Rural+Urban"/>
    <n v="2021"/>
    <s v="September"/>
    <x v="104"/>
    <s v="Prepared meals, snacks, sweets etc."/>
    <n v="173.9"/>
    <x v="0"/>
  </r>
  <r>
    <s v="Rural+Urban"/>
    <n v="2021"/>
    <s v="September"/>
    <x v="104"/>
    <s v="Food and beverages"/>
    <n v="164"/>
    <x v="0"/>
  </r>
  <r>
    <s v="Rural+Urban"/>
    <n v="2021"/>
    <s v="September"/>
    <x v="104"/>
    <s v="Pan, tobacco and intoxicants"/>
    <n v="192.1"/>
    <x v="1"/>
  </r>
  <r>
    <s v="Rural+Urban"/>
    <n v="2021"/>
    <s v="September"/>
    <x v="104"/>
    <s v="Clothing"/>
    <n v="164.6"/>
    <x v="2"/>
  </r>
  <r>
    <s v="Rural+Urban"/>
    <n v="2021"/>
    <s v="September"/>
    <x v="104"/>
    <s v="Footwear"/>
    <n v="155.30000000000001"/>
    <x v="2"/>
  </r>
  <r>
    <s v="Rural+Urban"/>
    <n v="2021"/>
    <s v="September"/>
    <x v="104"/>
    <s v="Clothing and footwear"/>
    <n v="163.30000000000001"/>
    <x v="2"/>
  </r>
  <r>
    <s v="Rural+Urban"/>
    <n v="2021"/>
    <s v="September"/>
    <x v="104"/>
    <s v="Housing"/>
    <n v="162.1"/>
    <x v="10"/>
  </r>
  <r>
    <s v="Rural+Urban"/>
    <n v="2021"/>
    <s v="September"/>
    <x v="104"/>
    <s v="Fuel and light"/>
    <n v="162.6"/>
    <x v="3"/>
  </r>
  <r>
    <s v="Rural+Urban"/>
    <n v="2021"/>
    <s v="September"/>
    <x v="104"/>
    <s v="Household goods and services"/>
    <n v="157.5"/>
    <x v="4"/>
  </r>
  <r>
    <s v="Rural+Urban"/>
    <n v="2021"/>
    <s v="September"/>
    <x v="104"/>
    <s v="Health"/>
    <n v="168.4"/>
    <x v="5"/>
  </r>
  <r>
    <s v="Rural+Urban"/>
    <n v="2021"/>
    <s v="September"/>
    <x v="104"/>
    <s v="Transport and communication"/>
    <n v="154"/>
    <x v="6"/>
  </r>
  <r>
    <s v="Rural+Urban"/>
    <n v="2021"/>
    <s v="September"/>
    <x v="104"/>
    <s v="Recreation and amusement"/>
    <n v="157.69999999999999"/>
    <x v="1"/>
  </r>
  <r>
    <s v="Rural+Urban"/>
    <n v="2021"/>
    <s v="September"/>
    <x v="104"/>
    <s v="Education"/>
    <n v="163.69999999999999"/>
    <x v="7"/>
  </r>
  <r>
    <s v="Rural+Urban"/>
    <n v="2021"/>
    <s v="September"/>
    <x v="104"/>
    <s v="Personal care and effects"/>
    <n v="160"/>
    <x v="4"/>
  </r>
  <r>
    <s v="Rural+Urban"/>
    <n v="2021"/>
    <s v="September"/>
    <x v="104"/>
    <s v="Miscellaneous"/>
    <n v="160"/>
    <x v="8"/>
  </r>
  <r>
    <s v="Rural+Urban"/>
    <n v="2021"/>
    <s v="September"/>
    <x v="104"/>
    <s v="General index"/>
    <n v="163.19999999999999"/>
    <x v="9"/>
  </r>
  <r>
    <s v="Rural"/>
    <n v="2021"/>
    <s v="October"/>
    <x v="105"/>
    <s v="Cereals and products"/>
    <n v="146.1"/>
    <x v="0"/>
  </r>
  <r>
    <s v="Rural"/>
    <n v="2021"/>
    <s v="October"/>
    <x v="105"/>
    <s v="Meat and fish"/>
    <n v="202.5"/>
    <x v="0"/>
  </r>
  <r>
    <s v="Rural"/>
    <n v="2021"/>
    <s v="October"/>
    <x v="105"/>
    <s v="Egg"/>
    <n v="170.1"/>
    <x v="0"/>
  </r>
  <r>
    <s v="Rural"/>
    <n v="2021"/>
    <s v="October"/>
    <x v="105"/>
    <s v="Milk and products"/>
    <n v="158.4"/>
    <x v="0"/>
  </r>
  <r>
    <s v="Rural"/>
    <n v="2021"/>
    <s v="October"/>
    <x v="105"/>
    <s v="Oils and fats"/>
    <n v="198.8"/>
    <x v="0"/>
  </r>
  <r>
    <s v="Rural"/>
    <n v="2021"/>
    <s v="October"/>
    <x v="105"/>
    <s v="Fruits"/>
    <n v="152.6"/>
    <x v="0"/>
  </r>
  <r>
    <s v="Rural"/>
    <n v="2021"/>
    <s v="October"/>
    <x v="105"/>
    <s v="Vegetables"/>
    <n v="170.4"/>
    <x v="0"/>
  </r>
  <r>
    <s v="Rural"/>
    <n v="2021"/>
    <s v="October"/>
    <x v="105"/>
    <s v="Pulses and products"/>
    <n v="165.2"/>
    <x v="0"/>
  </r>
  <r>
    <s v="Rural"/>
    <n v="2021"/>
    <s v="October"/>
    <x v="105"/>
    <s v="Sugar and Confectionery"/>
    <n v="121.6"/>
    <x v="0"/>
  </r>
  <r>
    <s v="Rural"/>
    <n v="2021"/>
    <s v="October"/>
    <x v="105"/>
    <s v="Spices"/>
    <n v="170.6"/>
    <x v="0"/>
  </r>
  <r>
    <s v="Rural"/>
    <n v="2021"/>
    <s v="October"/>
    <x v="105"/>
    <s v="Non-alcoholic beverages"/>
    <n v="168.8"/>
    <x v="0"/>
  </r>
  <r>
    <s v="Rural"/>
    <n v="2021"/>
    <s v="October"/>
    <x v="105"/>
    <s v="Prepared meals, snacks, sweets etc."/>
    <n v="173.6"/>
    <x v="0"/>
  </r>
  <r>
    <s v="Rural"/>
    <n v="2021"/>
    <s v="October"/>
    <x v="105"/>
    <s v="Food and beverages"/>
    <n v="165.5"/>
    <x v="0"/>
  </r>
  <r>
    <s v="Rural"/>
    <n v="2021"/>
    <s v="October"/>
    <x v="105"/>
    <s v="Pan, tobacco and intoxicants"/>
    <n v="191.2"/>
    <x v="1"/>
  </r>
  <r>
    <s v="Rural"/>
    <n v="2021"/>
    <s v="October"/>
    <x v="105"/>
    <s v="Clothing"/>
    <n v="168.9"/>
    <x v="2"/>
  </r>
  <r>
    <s v="Rural"/>
    <n v="2021"/>
    <s v="October"/>
    <x v="105"/>
    <s v="Footwear"/>
    <n v="164.8"/>
    <x v="2"/>
  </r>
  <r>
    <s v="Rural"/>
    <n v="2021"/>
    <s v="October"/>
    <x v="105"/>
    <s v="Clothing and footwear"/>
    <n v="168.3"/>
    <x v="2"/>
  </r>
  <r>
    <s v="Rural"/>
    <n v="2021"/>
    <s v="October"/>
    <x v="105"/>
    <s v="Fuel and light"/>
    <n v="165.5"/>
    <x v="3"/>
  </r>
  <r>
    <s v="Rural"/>
    <n v="2021"/>
    <s v="October"/>
    <x v="105"/>
    <s v="Household goods and services"/>
    <n v="162"/>
    <x v="4"/>
  </r>
  <r>
    <s v="Rural"/>
    <n v="2021"/>
    <s v="October"/>
    <x v="105"/>
    <s v="Health"/>
    <n v="172.5"/>
    <x v="5"/>
  </r>
  <r>
    <s v="Rural"/>
    <n v="2021"/>
    <s v="October"/>
    <x v="105"/>
    <s v="Transport and communication"/>
    <n v="159.5"/>
    <x v="6"/>
  </r>
  <r>
    <s v="Rural"/>
    <n v="2021"/>
    <s v="October"/>
    <x v="105"/>
    <s v="Recreation and amusement"/>
    <n v="163.19999999999999"/>
    <x v="1"/>
  </r>
  <r>
    <s v="Rural"/>
    <n v="2021"/>
    <s v="October"/>
    <x v="105"/>
    <s v="Education"/>
    <n v="169"/>
    <x v="7"/>
  </r>
  <r>
    <s v="Rural"/>
    <n v="2021"/>
    <s v="October"/>
    <x v="105"/>
    <s v="Personal care and effects"/>
    <n v="161.1"/>
    <x v="4"/>
  </r>
  <r>
    <s v="Rural"/>
    <n v="2021"/>
    <s v="October"/>
    <x v="105"/>
    <s v="Miscellaneous"/>
    <n v="164.7"/>
    <x v="8"/>
  </r>
  <r>
    <s v="Rural"/>
    <n v="2021"/>
    <s v="October"/>
    <x v="105"/>
    <s v="General index"/>
    <n v="166.3"/>
    <x v="9"/>
  </r>
  <r>
    <s v="Urban"/>
    <n v="2021"/>
    <s v="October"/>
    <x v="105"/>
    <s v="Cereals and products"/>
    <n v="150.1"/>
    <x v="0"/>
  </r>
  <r>
    <s v="Urban"/>
    <n v="2021"/>
    <s v="October"/>
    <x v="105"/>
    <s v="Meat and fish"/>
    <n v="208.4"/>
    <x v="0"/>
  </r>
  <r>
    <s v="Urban"/>
    <n v="2021"/>
    <s v="October"/>
    <x v="105"/>
    <s v="Egg"/>
    <n v="173"/>
    <x v="0"/>
  </r>
  <r>
    <s v="Urban"/>
    <n v="2021"/>
    <s v="October"/>
    <x v="105"/>
    <s v="Milk and products"/>
    <n v="159.19999999999999"/>
    <x v="0"/>
  </r>
  <r>
    <s v="Urban"/>
    <n v="2021"/>
    <s v="October"/>
    <x v="105"/>
    <s v="Oils and fats"/>
    <n v="176.6"/>
    <x v="0"/>
  </r>
  <r>
    <s v="Urban"/>
    <n v="2021"/>
    <s v="October"/>
    <x v="105"/>
    <s v="Fruits"/>
    <n v="159.30000000000001"/>
    <x v="0"/>
  </r>
  <r>
    <s v="Urban"/>
    <n v="2021"/>
    <s v="October"/>
    <x v="105"/>
    <s v="Vegetables"/>
    <n v="214.4"/>
    <x v="0"/>
  </r>
  <r>
    <s v="Urban"/>
    <n v="2021"/>
    <s v="October"/>
    <x v="105"/>
    <s v="Pulses and products"/>
    <n v="165.3"/>
    <x v="0"/>
  </r>
  <r>
    <s v="Urban"/>
    <n v="2021"/>
    <s v="October"/>
    <x v="105"/>
    <s v="Sugar and Confectionery"/>
    <n v="122.5"/>
    <x v="0"/>
  </r>
  <r>
    <s v="Urban"/>
    <n v="2021"/>
    <s v="October"/>
    <x v="105"/>
    <s v="Spices"/>
    <n v="166.8"/>
    <x v="0"/>
  </r>
  <r>
    <s v="Urban"/>
    <n v="2021"/>
    <s v="October"/>
    <x v="105"/>
    <s v="Non-alcoholic beverages"/>
    <n v="155.4"/>
    <x v="0"/>
  </r>
  <r>
    <s v="Urban"/>
    <n v="2021"/>
    <s v="October"/>
    <x v="105"/>
    <s v="Prepared meals, snacks, sweets etc."/>
    <n v="175.9"/>
    <x v="0"/>
  </r>
  <r>
    <s v="Urban"/>
    <n v="2021"/>
    <s v="October"/>
    <x v="105"/>
    <s v="Food and beverages"/>
    <n v="171.5"/>
    <x v="0"/>
  </r>
  <r>
    <s v="Urban"/>
    <n v="2021"/>
    <s v="October"/>
    <x v="105"/>
    <s v="Pan, tobacco and intoxicants"/>
    <n v="197"/>
    <x v="1"/>
  </r>
  <r>
    <s v="Urban"/>
    <n v="2021"/>
    <s v="October"/>
    <x v="105"/>
    <s v="Clothing"/>
    <n v="160.80000000000001"/>
    <x v="2"/>
  </r>
  <r>
    <s v="Urban"/>
    <n v="2021"/>
    <s v="October"/>
    <x v="105"/>
    <s v="Footwear"/>
    <n v="144.4"/>
    <x v="2"/>
  </r>
  <r>
    <s v="Urban"/>
    <n v="2021"/>
    <s v="October"/>
    <x v="105"/>
    <s v="Clothing and footwear"/>
    <n v="158.30000000000001"/>
    <x v="2"/>
  </r>
  <r>
    <s v="Urban"/>
    <n v="2021"/>
    <s v="October"/>
    <x v="105"/>
    <s v="Housing"/>
    <n v="163.6"/>
    <x v="10"/>
  </r>
  <r>
    <s v="Urban"/>
    <n v="2021"/>
    <s v="October"/>
    <x v="105"/>
    <s v="Fuel and light"/>
    <n v="162.19999999999999"/>
    <x v="3"/>
  </r>
  <r>
    <s v="Urban"/>
    <n v="2021"/>
    <s v="October"/>
    <x v="105"/>
    <s v="Household goods and services"/>
    <n v="154.30000000000001"/>
    <x v="4"/>
  </r>
  <r>
    <s v="Urban"/>
    <n v="2021"/>
    <s v="October"/>
    <x v="105"/>
    <s v="Health"/>
    <n v="163.5"/>
    <x v="5"/>
  </r>
  <r>
    <s v="Urban"/>
    <n v="2021"/>
    <s v="October"/>
    <x v="105"/>
    <s v="Transport and communication"/>
    <n v="152.19999999999999"/>
    <x v="6"/>
  </r>
  <r>
    <s v="Urban"/>
    <n v="2021"/>
    <s v="October"/>
    <x v="105"/>
    <s v="Recreation and amusement"/>
    <n v="155.1"/>
    <x v="1"/>
  </r>
  <r>
    <s v="Urban"/>
    <n v="2021"/>
    <s v="October"/>
    <x v="105"/>
    <s v="Education"/>
    <n v="160.30000000000001"/>
    <x v="7"/>
  </r>
  <r>
    <s v="Urban"/>
    <n v="2021"/>
    <s v="October"/>
    <x v="105"/>
    <s v="Personal care and effects"/>
    <n v="160.30000000000001"/>
    <x v="4"/>
  </r>
  <r>
    <s v="Urban"/>
    <n v="2021"/>
    <s v="October"/>
    <x v="105"/>
    <s v="Miscellaneous"/>
    <n v="157"/>
    <x v="8"/>
  </r>
  <r>
    <s v="Urban"/>
    <n v="2021"/>
    <s v="October"/>
    <x v="105"/>
    <s v="General index"/>
    <n v="164.6"/>
    <x v="9"/>
  </r>
  <r>
    <s v="Rural+Urban"/>
    <n v="2021"/>
    <s v="October"/>
    <x v="105"/>
    <s v="Cereals and products"/>
    <n v="147.4"/>
    <x v="0"/>
  </r>
  <r>
    <s v="Rural+Urban"/>
    <n v="2021"/>
    <s v="October"/>
    <x v="105"/>
    <s v="Meat and fish"/>
    <n v="204.6"/>
    <x v="0"/>
  </r>
  <r>
    <s v="Rural+Urban"/>
    <n v="2021"/>
    <s v="October"/>
    <x v="105"/>
    <s v="Egg"/>
    <n v="171.2"/>
    <x v="0"/>
  </r>
  <r>
    <s v="Rural+Urban"/>
    <n v="2021"/>
    <s v="October"/>
    <x v="105"/>
    <s v="Milk and products"/>
    <n v="158.69999999999999"/>
    <x v="0"/>
  </r>
  <r>
    <s v="Rural+Urban"/>
    <n v="2021"/>
    <s v="October"/>
    <x v="105"/>
    <s v="Oils and fats"/>
    <n v="190.6"/>
    <x v="0"/>
  </r>
  <r>
    <s v="Rural+Urban"/>
    <n v="2021"/>
    <s v="October"/>
    <x v="105"/>
    <s v="Fruits"/>
    <n v="155.69999999999999"/>
    <x v="0"/>
  </r>
  <r>
    <s v="Rural+Urban"/>
    <n v="2021"/>
    <s v="October"/>
    <x v="105"/>
    <s v="Vegetables"/>
    <n v="185.3"/>
    <x v="0"/>
  </r>
  <r>
    <s v="Rural+Urban"/>
    <n v="2021"/>
    <s v="October"/>
    <x v="105"/>
    <s v="Pulses and products"/>
    <n v="165.2"/>
    <x v="0"/>
  </r>
  <r>
    <s v="Rural+Urban"/>
    <n v="2021"/>
    <s v="October"/>
    <x v="105"/>
    <s v="Sugar and Confectionery"/>
    <n v="121.9"/>
    <x v="0"/>
  </r>
  <r>
    <s v="Rural+Urban"/>
    <n v="2021"/>
    <s v="October"/>
    <x v="105"/>
    <s v="Spices"/>
    <n v="169.3"/>
    <x v="0"/>
  </r>
  <r>
    <s v="Rural+Urban"/>
    <n v="2021"/>
    <s v="October"/>
    <x v="105"/>
    <s v="Non-alcoholic beverages"/>
    <n v="163.19999999999999"/>
    <x v="0"/>
  </r>
  <r>
    <s v="Rural+Urban"/>
    <n v="2021"/>
    <s v="October"/>
    <x v="105"/>
    <s v="Prepared meals, snacks, sweets etc."/>
    <n v="174.7"/>
    <x v="0"/>
  </r>
  <r>
    <s v="Rural+Urban"/>
    <n v="2021"/>
    <s v="October"/>
    <x v="105"/>
    <s v="Food and beverages"/>
    <n v="167.7"/>
    <x v="0"/>
  </r>
  <r>
    <s v="Rural+Urban"/>
    <n v="2021"/>
    <s v="October"/>
    <x v="105"/>
    <s v="Pan, tobacco and intoxicants"/>
    <n v="192.7"/>
    <x v="1"/>
  </r>
  <r>
    <s v="Rural+Urban"/>
    <n v="2021"/>
    <s v="October"/>
    <x v="105"/>
    <s v="Clothing"/>
    <n v="165.7"/>
    <x v="2"/>
  </r>
  <r>
    <s v="Rural+Urban"/>
    <n v="2021"/>
    <s v="October"/>
    <x v="105"/>
    <s v="Footwear"/>
    <n v="156.30000000000001"/>
    <x v="2"/>
  </r>
  <r>
    <s v="Rural+Urban"/>
    <n v="2021"/>
    <s v="October"/>
    <x v="105"/>
    <s v="Clothing and footwear"/>
    <n v="164.3"/>
    <x v="2"/>
  </r>
  <r>
    <s v="Rural+Urban"/>
    <n v="2021"/>
    <s v="October"/>
    <x v="105"/>
    <s v="Housing"/>
    <n v="163.6"/>
    <x v="10"/>
  </r>
  <r>
    <s v="Rural+Urban"/>
    <n v="2021"/>
    <s v="October"/>
    <x v="105"/>
    <s v="Fuel and light"/>
    <n v="164.2"/>
    <x v="3"/>
  </r>
  <r>
    <s v="Rural+Urban"/>
    <n v="2021"/>
    <s v="October"/>
    <x v="105"/>
    <s v="Household goods and services"/>
    <n v="158.4"/>
    <x v="4"/>
  </r>
  <r>
    <s v="Rural+Urban"/>
    <n v="2021"/>
    <s v="October"/>
    <x v="105"/>
    <s v="Health"/>
    <n v="169.1"/>
    <x v="5"/>
  </r>
  <r>
    <s v="Rural+Urban"/>
    <n v="2021"/>
    <s v="October"/>
    <x v="105"/>
    <s v="Transport and communication"/>
    <n v="155.69999999999999"/>
    <x v="6"/>
  </r>
  <r>
    <s v="Rural+Urban"/>
    <n v="2021"/>
    <s v="October"/>
    <x v="105"/>
    <s v="Recreation and amusement"/>
    <n v="158.6"/>
    <x v="1"/>
  </r>
  <r>
    <s v="Rural+Urban"/>
    <n v="2021"/>
    <s v="October"/>
    <x v="105"/>
    <s v="Education"/>
    <n v="163.9"/>
    <x v="7"/>
  </r>
  <r>
    <s v="Rural+Urban"/>
    <n v="2021"/>
    <s v="October"/>
    <x v="105"/>
    <s v="Personal care and effects"/>
    <n v="160.80000000000001"/>
    <x v="4"/>
  </r>
  <r>
    <s v="Rural+Urban"/>
    <n v="2021"/>
    <s v="October"/>
    <x v="105"/>
    <s v="Miscellaneous"/>
    <n v="161"/>
    <x v="8"/>
  </r>
  <r>
    <s v="Rural+Urban"/>
    <n v="2021"/>
    <s v="October"/>
    <x v="105"/>
    <s v="General index"/>
    <n v="165.5"/>
    <x v="9"/>
  </r>
  <r>
    <s v="Rural"/>
    <n v="2021"/>
    <s v="November"/>
    <x v="106"/>
    <s v="Cereals and products"/>
    <n v="146.9"/>
    <x v="0"/>
  </r>
  <r>
    <s v="Rural"/>
    <n v="2021"/>
    <s v="November"/>
    <x v="106"/>
    <s v="Meat and fish"/>
    <n v="199.8"/>
    <x v="0"/>
  </r>
  <r>
    <s v="Rural"/>
    <n v="2021"/>
    <s v="November"/>
    <x v="106"/>
    <s v="Egg"/>
    <n v="171.5"/>
    <x v="0"/>
  </r>
  <r>
    <s v="Rural"/>
    <n v="2021"/>
    <s v="November"/>
    <x v="106"/>
    <s v="Milk and products"/>
    <n v="159.1"/>
    <x v="0"/>
  </r>
  <r>
    <s v="Rural"/>
    <n v="2021"/>
    <s v="November"/>
    <x v="106"/>
    <s v="Oils and fats"/>
    <n v="198.4"/>
    <x v="0"/>
  </r>
  <r>
    <s v="Rural"/>
    <n v="2021"/>
    <s v="November"/>
    <x v="106"/>
    <s v="Fruits"/>
    <n v="153.19999999999999"/>
    <x v="0"/>
  </r>
  <r>
    <s v="Rural"/>
    <n v="2021"/>
    <s v="November"/>
    <x v="106"/>
    <s v="Vegetables"/>
    <n v="183.9"/>
    <x v="0"/>
  </r>
  <r>
    <s v="Rural"/>
    <n v="2021"/>
    <s v="November"/>
    <x v="106"/>
    <s v="Pulses and products"/>
    <n v="165.4"/>
    <x v="0"/>
  </r>
  <r>
    <s v="Rural"/>
    <n v="2021"/>
    <s v="November"/>
    <x v="106"/>
    <s v="Sugar and Confectionery"/>
    <n v="122.1"/>
    <x v="0"/>
  </r>
  <r>
    <s v="Rural"/>
    <n v="2021"/>
    <s v="November"/>
    <x v="106"/>
    <s v="Spices"/>
    <n v="170.8"/>
    <x v="0"/>
  </r>
  <r>
    <s v="Rural"/>
    <n v="2021"/>
    <s v="November"/>
    <x v="106"/>
    <s v="Non-alcoholic beverages"/>
    <n v="169.1"/>
    <x v="0"/>
  </r>
  <r>
    <s v="Rural"/>
    <n v="2021"/>
    <s v="November"/>
    <x v="106"/>
    <s v="Prepared meals, snacks, sweets etc."/>
    <n v="174.3"/>
    <x v="0"/>
  </r>
  <r>
    <s v="Rural"/>
    <n v="2021"/>
    <s v="November"/>
    <x v="106"/>
    <s v="Food and beverages"/>
    <n v="167.5"/>
    <x v="0"/>
  </r>
  <r>
    <s v="Rural"/>
    <n v="2021"/>
    <s v="November"/>
    <x v="106"/>
    <s v="Pan, tobacco and intoxicants"/>
    <n v="191.4"/>
    <x v="1"/>
  </r>
  <r>
    <s v="Rural"/>
    <n v="2021"/>
    <s v="November"/>
    <x v="106"/>
    <s v="Clothing"/>
    <n v="170.4"/>
    <x v="2"/>
  </r>
  <r>
    <s v="Rural"/>
    <n v="2021"/>
    <s v="November"/>
    <x v="106"/>
    <s v="Footwear"/>
    <n v="166"/>
    <x v="2"/>
  </r>
  <r>
    <s v="Rural"/>
    <n v="2021"/>
    <s v="November"/>
    <x v="106"/>
    <s v="Clothing and footwear"/>
    <n v="169.8"/>
    <x v="2"/>
  </r>
  <r>
    <s v="Rural"/>
    <n v="2021"/>
    <s v="November"/>
    <x v="106"/>
    <s v="Fuel and light"/>
    <n v="165.3"/>
    <x v="3"/>
  </r>
  <r>
    <s v="Rural"/>
    <n v="2021"/>
    <s v="November"/>
    <x v="106"/>
    <s v="Household goods and services"/>
    <n v="162.9"/>
    <x v="4"/>
  </r>
  <r>
    <s v="Rural"/>
    <n v="2021"/>
    <s v="November"/>
    <x v="106"/>
    <s v="Health"/>
    <n v="173.4"/>
    <x v="5"/>
  </r>
  <r>
    <s v="Rural"/>
    <n v="2021"/>
    <s v="November"/>
    <x v="106"/>
    <s v="Transport and communication"/>
    <n v="158.9"/>
    <x v="6"/>
  </r>
  <r>
    <s v="Rural"/>
    <n v="2021"/>
    <s v="November"/>
    <x v="106"/>
    <s v="Recreation and amusement"/>
    <n v="163.80000000000001"/>
    <x v="1"/>
  </r>
  <r>
    <s v="Rural"/>
    <n v="2021"/>
    <s v="November"/>
    <x v="106"/>
    <s v="Education"/>
    <n v="169.3"/>
    <x v="7"/>
  </r>
  <r>
    <s v="Rural"/>
    <n v="2021"/>
    <s v="November"/>
    <x v="106"/>
    <s v="Personal care and effects"/>
    <n v="162.4"/>
    <x v="4"/>
  </r>
  <r>
    <s v="Rural"/>
    <n v="2021"/>
    <s v="November"/>
    <x v="106"/>
    <s v="Miscellaneous"/>
    <n v="165.2"/>
    <x v="8"/>
  </r>
  <r>
    <s v="Rural"/>
    <n v="2021"/>
    <s v="November"/>
    <x v="106"/>
    <s v="General index"/>
    <n v="167.6"/>
    <x v="9"/>
  </r>
  <r>
    <s v="Urban"/>
    <n v="2021"/>
    <s v="November"/>
    <x v="106"/>
    <s v="Cereals and products"/>
    <n v="151"/>
    <x v="0"/>
  </r>
  <r>
    <s v="Urban"/>
    <n v="2021"/>
    <s v="November"/>
    <x v="106"/>
    <s v="Meat and fish"/>
    <n v="204.9"/>
    <x v="0"/>
  </r>
  <r>
    <s v="Urban"/>
    <n v="2021"/>
    <s v="November"/>
    <x v="106"/>
    <s v="Egg"/>
    <n v="175.4"/>
    <x v="0"/>
  </r>
  <r>
    <s v="Urban"/>
    <n v="2021"/>
    <s v="November"/>
    <x v="106"/>
    <s v="Milk and products"/>
    <n v="159.6"/>
    <x v="0"/>
  </r>
  <r>
    <s v="Urban"/>
    <n v="2021"/>
    <s v="November"/>
    <x v="106"/>
    <s v="Oils and fats"/>
    <n v="175.8"/>
    <x v="0"/>
  </r>
  <r>
    <s v="Urban"/>
    <n v="2021"/>
    <s v="November"/>
    <x v="106"/>
    <s v="Fruits"/>
    <n v="160.30000000000001"/>
    <x v="0"/>
  </r>
  <r>
    <s v="Urban"/>
    <n v="2021"/>
    <s v="November"/>
    <x v="106"/>
    <s v="Vegetables"/>
    <n v="229.1"/>
    <x v="0"/>
  </r>
  <r>
    <s v="Urban"/>
    <n v="2021"/>
    <s v="November"/>
    <x v="106"/>
    <s v="Pulses and products"/>
    <n v="165.1"/>
    <x v="0"/>
  </r>
  <r>
    <s v="Urban"/>
    <n v="2021"/>
    <s v="November"/>
    <x v="106"/>
    <s v="Sugar and Confectionery"/>
    <n v="123.1"/>
    <x v="0"/>
  </r>
  <r>
    <s v="Urban"/>
    <n v="2021"/>
    <s v="November"/>
    <x v="106"/>
    <s v="Spices"/>
    <n v="167.2"/>
    <x v="0"/>
  </r>
  <r>
    <s v="Urban"/>
    <n v="2021"/>
    <s v="November"/>
    <x v="106"/>
    <s v="Non-alcoholic beverages"/>
    <n v="156.1"/>
    <x v="0"/>
  </r>
  <r>
    <s v="Urban"/>
    <n v="2021"/>
    <s v="November"/>
    <x v="106"/>
    <s v="Prepared meals, snacks, sweets etc."/>
    <n v="176.8"/>
    <x v="0"/>
  </r>
  <r>
    <s v="Urban"/>
    <n v="2021"/>
    <s v="November"/>
    <x v="106"/>
    <s v="Food and beverages"/>
    <n v="173.5"/>
    <x v="0"/>
  </r>
  <r>
    <s v="Urban"/>
    <n v="2021"/>
    <s v="November"/>
    <x v="106"/>
    <s v="Pan, tobacco and intoxicants"/>
    <n v="197"/>
    <x v="1"/>
  </r>
  <r>
    <s v="Urban"/>
    <n v="2021"/>
    <s v="November"/>
    <x v="106"/>
    <s v="Clothing"/>
    <n v="162.30000000000001"/>
    <x v="2"/>
  </r>
  <r>
    <s v="Urban"/>
    <n v="2021"/>
    <s v="November"/>
    <x v="106"/>
    <s v="Footwear"/>
    <n v="145.30000000000001"/>
    <x v="2"/>
  </r>
  <r>
    <s v="Urban"/>
    <n v="2021"/>
    <s v="November"/>
    <x v="106"/>
    <s v="Clothing and footwear"/>
    <n v="159.69999999999999"/>
    <x v="2"/>
  </r>
  <r>
    <s v="Urban"/>
    <n v="2021"/>
    <s v="November"/>
    <x v="106"/>
    <s v="Housing"/>
    <n v="164.2"/>
    <x v="10"/>
  </r>
  <r>
    <s v="Urban"/>
    <n v="2021"/>
    <s v="November"/>
    <x v="106"/>
    <s v="Fuel and light"/>
    <n v="161.6"/>
    <x v="3"/>
  </r>
  <r>
    <s v="Urban"/>
    <n v="2021"/>
    <s v="November"/>
    <x v="106"/>
    <s v="Household goods and services"/>
    <n v="155.19999999999999"/>
    <x v="4"/>
  </r>
  <r>
    <s v="Urban"/>
    <n v="2021"/>
    <s v="November"/>
    <x v="106"/>
    <s v="Health"/>
    <n v="164.2"/>
    <x v="5"/>
  </r>
  <r>
    <s v="Urban"/>
    <n v="2021"/>
    <s v="November"/>
    <x v="106"/>
    <s v="Transport and communication"/>
    <n v="151.19999999999999"/>
    <x v="6"/>
  </r>
  <r>
    <s v="Urban"/>
    <n v="2021"/>
    <s v="November"/>
    <x v="106"/>
    <s v="Recreation and amusement"/>
    <n v="156.69999999999999"/>
    <x v="1"/>
  </r>
  <r>
    <s v="Urban"/>
    <n v="2021"/>
    <s v="November"/>
    <x v="106"/>
    <s v="Education"/>
    <n v="160.80000000000001"/>
    <x v="7"/>
  </r>
  <r>
    <s v="Urban"/>
    <n v="2021"/>
    <s v="November"/>
    <x v="106"/>
    <s v="Personal care and effects"/>
    <n v="161.80000000000001"/>
    <x v="4"/>
  </r>
  <r>
    <s v="Urban"/>
    <n v="2021"/>
    <s v="November"/>
    <x v="106"/>
    <s v="Miscellaneous"/>
    <n v="157.30000000000001"/>
    <x v="8"/>
  </r>
  <r>
    <s v="Urban"/>
    <n v="2021"/>
    <s v="November"/>
    <x v="106"/>
    <s v="General index"/>
    <n v="165.6"/>
    <x v="9"/>
  </r>
  <r>
    <s v="Rural+Urban"/>
    <n v="2021"/>
    <s v="November"/>
    <x v="106"/>
    <s v="Cereals and products"/>
    <n v="148.19999999999999"/>
    <x v="0"/>
  </r>
  <r>
    <s v="Rural+Urban"/>
    <n v="2021"/>
    <s v="November"/>
    <x v="106"/>
    <s v="Meat and fish"/>
    <n v="201.6"/>
    <x v="0"/>
  </r>
  <r>
    <s v="Rural+Urban"/>
    <n v="2021"/>
    <s v="November"/>
    <x v="106"/>
    <s v="Egg"/>
    <n v="173"/>
    <x v="0"/>
  </r>
  <r>
    <s v="Rural+Urban"/>
    <n v="2021"/>
    <s v="November"/>
    <x v="106"/>
    <s v="Milk and products"/>
    <n v="159.30000000000001"/>
    <x v="0"/>
  </r>
  <r>
    <s v="Rural+Urban"/>
    <n v="2021"/>
    <s v="November"/>
    <x v="106"/>
    <s v="Oils and fats"/>
    <n v="190.1"/>
    <x v="0"/>
  </r>
  <r>
    <s v="Rural+Urban"/>
    <n v="2021"/>
    <s v="November"/>
    <x v="106"/>
    <s v="Fruits"/>
    <n v="156.5"/>
    <x v="0"/>
  </r>
  <r>
    <s v="Rural+Urban"/>
    <n v="2021"/>
    <s v="November"/>
    <x v="106"/>
    <s v="Vegetables"/>
    <n v="199.2"/>
    <x v="0"/>
  </r>
  <r>
    <s v="Rural+Urban"/>
    <n v="2021"/>
    <s v="November"/>
    <x v="106"/>
    <s v="Pulses and products"/>
    <n v="165.3"/>
    <x v="0"/>
  </r>
  <r>
    <s v="Rural+Urban"/>
    <n v="2021"/>
    <s v="November"/>
    <x v="106"/>
    <s v="Sugar and Confectionery"/>
    <n v="122.4"/>
    <x v="0"/>
  </r>
  <r>
    <s v="Rural+Urban"/>
    <n v="2021"/>
    <s v="November"/>
    <x v="106"/>
    <s v="Spices"/>
    <n v="169.6"/>
    <x v="0"/>
  </r>
  <r>
    <s v="Rural+Urban"/>
    <n v="2021"/>
    <s v="November"/>
    <x v="106"/>
    <s v="Non-alcoholic beverages"/>
    <n v="163.69999999999999"/>
    <x v="0"/>
  </r>
  <r>
    <s v="Rural+Urban"/>
    <n v="2021"/>
    <s v="November"/>
    <x v="106"/>
    <s v="Prepared meals, snacks, sweets etc."/>
    <n v="175.5"/>
    <x v="0"/>
  </r>
  <r>
    <s v="Rural+Urban"/>
    <n v="2021"/>
    <s v="November"/>
    <x v="106"/>
    <s v="Food and beverages"/>
    <n v="169.7"/>
    <x v="0"/>
  </r>
  <r>
    <s v="Rural+Urban"/>
    <n v="2021"/>
    <s v="November"/>
    <x v="106"/>
    <s v="Pan, tobacco and intoxicants"/>
    <n v="192.9"/>
    <x v="1"/>
  </r>
  <r>
    <s v="Rural+Urban"/>
    <n v="2021"/>
    <s v="November"/>
    <x v="106"/>
    <s v="Clothing"/>
    <n v="167.2"/>
    <x v="2"/>
  </r>
  <r>
    <s v="Rural+Urban"/>
    <n v="2021"/>
    <s v="November"/>
    <x v="106"/>
    <s v="Footwear"/>
    <n v="157.4"/>
    <x v="2"/>
  </r>
  <r>
    <s v="Rural+Urban"/>
    <n v="2021"/>
    <s v="November"/>
    <x v="106"/>
    <s v="Clothing and footwear"/>
    <n v="165.8"/>
    <x v="2"/>
  </r>
  <r>
    <s v="Rural+Urban"/>
    <n v="2021"/>
    <s v="November"/>
    <x v="106"/>
    <s v="Housing"/>
    <n v="164.2"/>
    <x v="10"/>
  </r>
  <r>
    <s v="Rural+Urban"/>
    <n v="2021"/>
    <s v="November"/>
    <x v="106"/>
    <s v="Fuel and light"/>
    <n v="163.9"/>
    <x v="3"/>
  </r>
  <r>
    <s v="Rural+Urban"/>
    <n v="2021"/>
    <s v="November"/>
    <x v="106"/>
    <s v="Household goods and services"/>
    <n v="159.30000000000001"/>
    <x v="4"/>
  </r>
  <r>
    <s v="Rural+Urban"/>
    <n v="2021"/>
    <s v="November"/>
    <x v="106"/>
    <s v="Health"/>
    <n v="169.9"/>
    <x v="5"/>
  </r>
  <r>
    <s v="Rural+Urban"/>
    <n v="2021"/>
    <s v="November"/>
    <x v="106"/>
    <s v="Transport and communication"/>
    <n v="154.80000000000001"/>
    <x v="6"/>
  </r>
  <r>
    <s v="Rural+Urban"/>
    <n v="2021"/>
    <s v="November"/>
    <x v="106"/>
    <s v="Recreation and amusement"/>
    <n v="159.80000000000001"/>
    <x v="1"/>
  </r>
  <r>
    <s v="Rural+Urban"/>
    <n v="2021"/>
    <s v="November"/>
    <x v="106"/>
    <s v="Education"/>
    <n v="164.3"/>
    <x v="7"/>
  </r>
  <r>
    <s v="Rural+Urban"/>
    <n v="2021"/>
    <s v="November"/>
    <x v="106"/>
    <s v="Personal care and effects"/>
    <n v="162.19999999999999"/>
    <x v="4"/>
  </r>
  <r>
    <s v="Rural+Urban"/>
    <n v="2021"/>
    <s v="November"/>
    <x v="106"/>
    <s v="Miscellaneous"/>
    <n v="161.4"/>
    <x v="8"/>
  </r>
  <r>
    <s v="Rural+Urban"/>
    <n v="2021"/>
    <s v="November"/>
    <x v="106"/>
    <s v="General index"/>
    <n v="166.7"/>
    <x v="9"/>
  </r>
  <r>
    <s v="Rural"/>
    <n v="2021"/>
    <s v="December"/>
    <x v="107"/>
    <s v="Cereals and products"/>
    <n v="147.4"/>
    <x v="0"/>
  </r>
  <r>
    <s v="Rural"/>
    <n v="2021"/>
    <s v="December"/>
    <x v="107"/>
    <s v="Meat and fish"/>
    <n v="197"/>
    <x v="0"/>
  </r>
  <r>
    <s v="Rural"/>
    <n v="2021"/>
    <s v="December"/>
    <x v="107"/>
    <s v="Egg"/>
    <n v="176.5"/>
    <x v="0"/>
  </r>
  <r>
    <s v="Rural"/>
    <n v="2021"/>
    <s v="December"/>
    <x v="107"/>
    <s v="Milk and products"/>
    <n v="159.80000000000001"/>
    <x v="0"/>
  </r>
  <r>
    <s v="Rural"/>
    <n v="2021"/>
    <s v="December"/>
    <x v="107"/>
    <s v="Oils and fats"/>
    <n v="195.8"/>
    <x v="0"/>
  </r>
  <r>
    <s v="Rural"/>
    <n v="2021"/>
    <s v="December"/>
    <x v="107"/>
    <s v="Fruits"/>
    <n v="152"/>
    <x v="0"/>
  </r>
  <r>
    <s v="Rural"/>
    <n v="2021"/>
    <s v="December"/>
    <x v="107"/>
    <s v="Vegetables"/>
    <n v="172.3"/>
    <x v="0"/>
  </r>
  <r>
    <s v="Rural"/>
    <n v="2021"/>
    <s v="December"/>
    <x v="107"/>
    <s v="Pulses and products"/>
    <n v="164.5"/>
    <x v="0"/>
  </r>
  <r>
    <s v="Rural"/>
    <n v="2021"/>
    <s v="December"/>
    <x v="107"/>
    <s v="Sugar and Confectionery"/>
    <n v="120.6"/>
    <x v="0"/>
  </r>
  <r>
    <s v="Rural"/>
    <n v="2021"/>
    <s v="December"/>
    <x v="107"/>
    <s v="Spices"/>
    <n v="171.7"/>
    <x v="0"/>
  </r>
  <r>
    <s v="Rural"/>
    <n v="2021"/>
    <s v="December"/>
    <x v="107"/>
    <s v="Non-alcoholic beverages"/>
    <n v="169.7"/>
    <x v="0"/>
  </r>
  <r>
    <s v="Rural"/>
    <n v="2021"/>
    <s v="December"/>
    <x v="107"/>
    <s v="Prepared meals, snacks, sweets etc."/>
    <n v="175.1"/>
    <x v="0"/>
  </r>
  <r>
    <s v="Rural"/>
    <n v="2021"/>
    <s v="December"/>
    <x v="107"/>
    <s v="Food and beverages"/>
    <n v="165.8"/>
    <x v="0"/>
  </r>
  <r>
    <s v="Rural"/>
    <n v="2021"/>
    <s v="December"/>
    <x v="107"/>
    <s v="Pan, tobacco and intoxicants"/>
    <n v="190.8"/>
    <x v="1"/>
  </r>
  <r>
    <s v="Rural"/>
    <n v="2021"/>
    <s v="December"/>
    <x v="107"/>
    <s v="Clothing"/>
    <n v="171.8"/>
    <x v="2"/>
  </r>
  <r>
    <s v="Rural"/>
    <n v="2021"/>
    <s v="December"/>
    <x v="107"/>
    <s v="Footwear"/>
    <n v="167.3"/>
    <x v="2"/>
  </r>
  <r>
    <s v="Rural"/>
    <n v="2021"/>
    <s v="December"/>
    <x v="107"/>
    <s v="Clothing and footwear"/>
    <n v="171.2"/>
    <x v="2"/>
  </r>
  <r>
    <s v="Rural"/>
    <n v="2021"/>
    <s v="December"/>
    <x v="107"/>
    <s v="Fuel and light"/>
    <n v="165.6"/>
    <x v="3"/>
  </r>
  <r>
    <s v="Rural"/>
    <n v="2021"/>
    <s v="December"/>
    <x v="107"/>
    <s v="Household goods and services"/>
    <n v="163.9"/>
    <x v="4"/>
  </r>
  <r>
    <s v="Rural"/>
    <n v="2021"/>
    <s v="December"/>
    <x v="107"/>
    <s v="Health"/>
    <n v="174"/>
    <x v="5"/>
  </r>
  <r>
    <s v="Rural"/>
    <n v="2021"/>
    <s v="December"/>
    <x v="107"/>
    <s v="Transport and communication"/>
    <n v="160.1"/>
    <x v="6"/>
  </r>
  <r>
    <s v="Rural"/>
    <n v="2021"/>
    <s v="December"/>
    <x v="107"/>
    <s v="Recreation and amusement"/>
    <n v="164.5"/>
    <x v="1"/>
  </r>
  <r>
    <s v="Rural"/>
    <n v="2021"/>
    <s v="December"/>
    <x v="107"/>
    <s v="Education"/>
    <n v="169.7"/>
    <x v="7"/>
  </r>
  <r>
    <s v="Rural"/>
    <n v="2021"/>
    <s v="December"/>
    <x v="107"/>
    <s v="Personal care and effects"/>
    <n v="162.80000000000001"/>
    <x v="4"/>
  </r>
  <r>
    <s v="Rural"/>
    <n v="2021"/>
    <s v="December"/>
    <x v="107"/>
    <s v="Miscellaneous"/>
    <n v="166"/>
    <x v="8"/>
  </r>
  <r>
    <s v="Rural"/>
    <n v="2021"/>
    <s v="December"/>
    <x v="107"/>
    <s v="General index"/>
    <n v="167"/>
    <x v="9"/>
  </r>
  <r>
    <s v="Urban"/>
    <n v="2021"/>
    <s v="December"/>
    <x v="107"/>
    <s v="Cereals and products"/>
    <n v="151.6"/>
    <x v="0"/>
  </r>
  <r>
    <s v="Urban"/>
    <n v="2021"/>
    <s v="December"/>
    <x v="107"/>
    <s v="Meat and fish"/>
    <n v="202.2"/>
    <x v="0"/>
  </r>
  <r>
    <s v="Urban"/>
    <n v="2021"/>
    <s v="December"/>
    <x v="107"/>
    <s v="Egg"/>
    <n v="180"/>
    <x v="0"/>
  </r>
  <r>
    <s v="Urban"/>
    <n v="2021"/>
    <s v="December"/>
    <x v="107"/>
    <s v="Milk and products"/>
    <n v="160"/>
    <x v="0"/>
  </r>
  <r>
    <s v="Urban"/>
    <n v="2021"/>
    <s v="December"/>
    <x v="107"/>
    <s v="Oils and fats"/>
    <n v="173.5"/>
    <x v="0"/>
  </r>
  <r>
    <s v="Urban"/>
    <n v="2021"/>
    <s v="December"/>
    <x v="107"/>
    <s v="Fruits"/>
    <n v="158.30000000000001"/>
    <x v="0"/>
  </r>
  <r>
    <s v="Urban"/>
    <n v="2021"/>
    <s v="December"/>
    <x v="107"/>
    <s v="Vegetables"/>
    <n v="219.5"/>
    <x v="0"/>
  </r>
  <r>
    <s v="Urban"/>
    <n v="2021"/>
    <s v="December"/>
    <x v="107"/>
    <s v="Pulses and products"/>
    <n v="164.2"/>
    <x v="0"/>
  </r>
  <r>
    <s v="Urban"/>
    <n v="2021"/>
    <s v="December"/>
    <x v="107"/>
    <s v="Sugar and Confectionery"/>
    <n v="121.9"/>
    <x v="0"/>
  </r>
  <r>
    <s v="Urban"/>
    <n v="2021"/>
    <s v="December"/>
    <x v="107"/>
    <s v="Spices"/>
    <n v="168.2"/>
    <x v="0"/>
  </r>
  <r>
    <s v="Urban"/>
    <n v="2021"/>
    <s v="December"/>
    <x v="107"/>
    <s v="Non-alcoholic beverages"/>
    <n v="156.5"/>
    <x v="0"/>
  </r>
  <r>
    <s v="Urban"/>
    <n v="2021"/>
    <s v="December"/>
    <x v="107"/>
    <s v="Prepared meals, snacks, sweets etc."/>
    <n v="178.2"/>
    <x v="0"/>
  </r>
  <r>
    <s v="Urban"/>
    <n v="2021"/>
    <s v="December"/>
    <x v="107"/>
    <s v="Food and beverages"/>
    <n v="172.2"/>
    <x v="0"/>
  </r>
  <r>
    <s v="Urban"/>
    <n v="2021"/>
    <s v="December"/>
    <x v="107"/>
    <s v="Pan, tobacco and intoxicants"/>
    <n v="196.8"/>
    <x v="1"/>
  </r>
  <r>
    <s v="Urban"/>
    <n v="2021"/>
    <s v="December"/>
    <x v="107"/>
    <s v="Clothing"/>
    <n v="163.30000000000001"/>
    <x v="2"/>
  </r>
  <r>
    <s v="Urban"/>
    <n v="2021"/>
    <s v="December"/>
    <x v="107"/>
    <s v="Footwear"/>
    <n v="146.69999999999999"/>
    <x v="2"/>
  </r>
  <r>
    <s v="Urban"/>
    <n v="2021"/>
    <s v="December"/>
    <x v="107"/>
    <s v="Clothing and footwear"/>
    <n v="160.69999999999999"/>
    <x v="2"/>
  </r>
  <r>
    <s v="Urban"/>
    <n v="2021"/>
    <s v="December"/>
    <x v="107"/>
    <s v="Housing"/>
    <n v="163.4"/>
    <x v="10"/>
  </r>
  <r>
    <s v="Urban"/>
    <n v="2021"/>
    <s v="December"/>
    <x v="107"/>
    <s v="Fuel and light"/>
    <n v="161.69999999999999"/>
    <x v="3"/>
  </r>
  <r>
    <s v="Urban"/>
    <n v="2021"/>
    <s v="December"/>
    <x v="107"/>
    <s v="Household goods and services"/>
    <n v="156"/>
    <x v="4"/>
  </r>
  <r>
    <s v="Urban"/>
    <n v="2021"/>
    <s v="December"/>
    <x v="107"/>
    <s v="Health"/>
    <n v="165.1"/>
    <x v="5"/>
  </r>
  <r>
    <s v="Urban"/>
    <n v="2021"/>
    <s v="December"/>
    <x v="107"/>
    <s v="Transport and communication"/>
    <n v="151.80000000000001"/>
    <x v="6"/>
  </r>
  <r>
    <s v="Urban"/>
    <n v="2021"/>
    <s v="December"/>
    <x v="107"/>
    <s v="Recreation and amusement"/>
    <n v="157.6"/>
    <x v="1"/>
  </r>
  <r>
    <s v="Urban"/>
    <n v="2021"/>
    <s v="December"/>
    <x v="107"/>
    <s v="Education"/>
    <n v="160.6"/>
    <x v="7"/>
  </r>
  <r>
    <s v="Urban"/>
    <n v="2021"/>
    <s v="December"/>
    <x v="107"/>
    <s v="Personal care and effects"/>
    <n v="162.4"/>
    <x v="4"/>
  </r>
  <r>
    <s v="Urban"/>
    <n v="2021"/>
    <s v="December"/>
    <x v="107"/>
    <s v="Miscellaneous"/>
    <n v="157.80000000000001"/>
    <x v="8"/>
  </r>
  <r>
    <s v="Urban"/>
    <n v="2021"/>
    <s v="December"/>
    <x v="107"/>
    <s v="General index"/>
    <n v="165.2"/>
    <x v="9"/>
  </r>
  <r>
    <s v="Rural+Urban"/>
    <n v="2021"/>
    <s v="December"/>
    <x v="107"/>
    <s v="Cereals and products"/>
    <n v="148.69999999999999"/>
    <x v="0"/>
  </r>
  <r>
    <s v="Rural+Urban"/>
    <n v="2021"/>
    <s v="December"/>
    <x v="107"/>
    <s v="Meat and fish"/>
    <n v="198.8"/>
    <x v="0"/>
  </r>
  <r>
    <s v="Rural+Urban"/>
    <n v="2021"/>
    <s v="December"/>
    <x v="107"/>
    <s v="Egg"/>
    <n v="177.9"/>
    <x v="0"/>
  </r>
  <r>
    <s v="Rural+Urban"/>
    <n v="2021"/>
    <s v="December"/>
    <x v="107"/>
    <s v="Milk and products"/>
    <n v="159.9"/>
    <x v="0"/>
  </r>
  <r>
    <s v="Rural+Urban"/>
    <n v="2021"/>
    <s v="December"/>
    <x v="107"/>
    <s v="Oils and fats"/>
    <n v="187.6"/>
    <x v="0"/>
  </r>
  <r>
    <s v="Rural+Urban"/>
    <n v="2021"/>
    <s v="December"/>
    <x v="107"/>
    <s v="Fruits"/>
    <n v="154.9"/>
    <x v="0"/>
  </r>
  <r>
    <s v="Rural+Urban"/>
    <n v="2021"/>
    <s v="December"/>
    <x v="107"/>
    <s v="Vegetables"/>
    <n v="188.3"/>
    <x v="0"/>
  </r>
  <r>
    <s v="Rural+Urban"/>
    <n v="2021"/>
    <s v="December"/>
    <x v="107"/>
    <s v="Pulses and products"/>
    <n v="164.4"/>
    <x v="0"/>
  </r>
  <r>
    <s v="Rural+Urban"/>
    <n v="2021"/>
    <s v="December"/>
    <x v="107"/>
    <s v="Sugar and Confectionery"/>
    <n v="121"/>
    <x v="0"/>
  </r>
  <r>
    <s v="Rural+Urban"/>
    <n v="2021"/>
    <s v="December"/>
    <x v="107"/>
    <s v="Spices"/>
    <n v="170.5"/>
    <x v="0"/>
  </r>
  <r>
    <s v="Rural+Urban"/>
    <n v="2021"/>
    <s v="December"/>
    <x v="107"/>
    <s v="Non-alcoholic beverages"/>
    <n v="164.2"/>
    <x v="0"/>
  </r>
  <r>
    <s v="Rural+Urban"/>
    <n v="2021"/>
    <s v="December"/>
    <x v="107"/>
    <s v="Prepared meals, snacks, sweets etc."/>
    <n v="176.5"/>
    <x v="0"/>
  </r>
  <r>
    <s v="Rural+Urban"/>
    <n v="2021"/>
    <s v="December"/>
    <x v="107"/>
    <s v="Food and beverages"/>
    <n v="168.2"/>
    <x v="0"/>
  </r>
  <r>
    <s v="Rural+Urban"/>
    <n v="2021"/>
    <s v="December"/>
    <x v="107"/>
    <s v="Pan, tobacco and intoxicants"/>
    <n v="192.4"/>
    <x v="1"/>
  </r>
  <r>
    <s v="Rural+Urban"/>
    <n v="2021"/>
    <s v="December"/>
    <x v="107"/>
    <s v="Clothing"/>
    <n v="168.5"/>
    <x v="2"/>
  </r>
  <r>
    <s v="Rural+Urban"/>
    <n v="2021"/>
    <s v="December"/>
    <x v="107"/>
    <s v="Footwear"/>
    <n v="158.69999999999999"/>
    <x v="2"/>
  </r>
  <r>
    <s v="Rural+Urban"/>
    <n v="2021"/>
    <s v="December"/>
    <x v="107"/>
    <s v="Clothing and footwear"/>
    <n v="167"/>
    <x v="2"/>
  </r>
  <r>
    <s v="Rural+Urban"/>
    <n v="2021"/>
    <s v="December"/>
    <x v="107"/>
    <s v="Housing"/>
    <n v="163.4"/>
    <x v="10"/>
  </r>
  <r>
    <s v="Rural+Urban"/>
    <n v="2021"/>
    <s v="December"/>
    <x v="107"/>
    <s v="Fuel and light"/>
    <n v="164.1"/>
    <x v="3"/>
  </r>
  <r>
    <s v="Rural+Urban"/>
    <n v="2021"/>
    <s v="December"/>
    <x v="107"/>
    <s v="Household goods and services"/>
    <n v="160.19999999999999"/>
    <x v="4"/>
  </r>
  <r>
    <s v="Rural+Urban"/>
    <n v="2021"/>
    <s v="December"/>
    <x v="107"/>
    <s v="Health"/>
    <n v="170.6"/>
    <x v="5"/>
  </r>
  <r>
    <s v="Rural+Urban"/>
    <n v="2021"/>
    <s v="December"/>
    <x v="107"/>
    <s v="Transport and communication"/>
    <n v="155.69999999999999"/>
    <x v="6"/>
  </r>
  <r>
    <s v="Rural+Urban"/>
    <n v="2021"/>
    <s v="December"/>
    <x v="107"/>
    <s v="Recreation and amusement"/>
    <n v="160.6"/>
    <x v="1"/>
  </r>
  <r>
    <s v="Rural+Urban"/>
    <n v="2021"/>
    <s v="December"/>
    <x v="107"/>
    <s v="Education"/>
    <n v="164.4"/>
    <x v="7"/>
  </r>
  <r>
    <s v="Rural+Urban"/>
    <n v="2021"/>
    <s v="December"/>
    <x v="107"/>
    <s v="Personal care and effects"/>
    <n v="162.6"/>
    <x v="4"/>
  </r>
  <r>
    <s v="Rural+Urban"/>
    <n v="2021"/>
    <s v="December"/>
    <x v="107"/>
    <s v="Miscellaneous"/>
    <n v="162"/>
    <x v="8"/>
  </r>
  <r>
    <s v="Rural+Urban"/>
    <n v="2021"/>
    <s v="December"/>
    <x v="107"/>
    <s v="General index"/>
    <n v="166.2"/>
    <x v="9"/>
  </r>
  <r>
    <s v="Rural"/>
    <n v="2022"/>
    <s v="January"/>
    <x v="108"/>
    <s v="Cereals and products"/>
    <n v="148.30000000000001"/>
    <x v="0"/>
  </r>
  <r>
    <s v="Rural"/>
    <n v="2022"/>
    <s v="January"/>
    <x v="108"/>
    <s v="Meat and fish"/>
    <n v="196.9"/>
    <x v="0"/>
  </r>
  <r>
    <s v="Rural"/>
    <n v="2022"/>
    <s v="January"/>
    <x v="108"/>
    <s v="Egg"/>
    <n v="178"/>
    <x v="0"/>
  </r>
  <r>
    <s v="Rural"/>
    <n v="2022"/>
    <s v="January"/>
    <x v="108"/>
    <s v="Milk and products"/>
    <n v="160.5"/>
    <x v="0"/>
  </r>
  <r>
    <s v="Rural"/>
    <n v="2022"/>
    <s v="January"/>
    <x v="108"/>
    <s v="Oils and fats"/>
    <n v="192.6"/>
    <x v="0"/>
  </r>
  <r>
    <s v="Rural"/>
    <n v="2022"/>
    <s v="January"/>
    <x v="108"/>
    <s v="Fruits"/>
    <n v="151.19999999999999"/>
    <x v="0"/>
  </r>
  <r>
    <s v="Rural"/>
    <n v="2022"/>
    <s v="January"/>
    <x v="108"/>
    <s v="Vegetables"/>
    <n v="159.19999999999999"/>
    <x v="0"/>
  </r>
  <r>
    <s v="Rural"/>
    <n v="2022"/>
    <s v="January"/>
    <x v="108"/>
    <s v="Pulses and products"/>
    <n v="164"/>
    <x v="0"/>
  </r>
  <r>
    <s v="Rural"/>
    <n v="2022"/>
    <s v="January"/>
    <x v="108"/>
    <s v="Sugar and Confectionery"/>
    <n v="119.3"/>
    <x v="0"/>
  </r>
  <r>
    <s v="Rural"/>
    <n v="2022"/>
    <s v="January"/>
    <x v="108"/>
    <s v="Spices"/>
    <n v="173.3"/>
    <x v="0"/>
  </r>
  <r>
    <s v="Rural"/>
    <n v="2022"/>
    <s v="January"/>
    <x v="108"/>
    <s v="Non-alcoholic beverages"/>
    <n v="169.8"/>
    <x v="0"/>
  </r>
  <r>
    <s v="Rural"/>
    <n v="2022"/>
    <s v="January"/>
    <x v="108"/>
    <s v="Prepared meals, snacks, sweets etc."/>
    <n v="175.8"/>
    <x v="0"/>
  </r>
  <r>
    <s v="Rural"/>
    <n v="2022"/>
    <s v="January"/>
    <x v="108"/>
    <s v="Food and beverages"/>
    <n v="164.1"/>
    <x v="0"/>
  </r>
  <r>
    <s v="Rural"/>
    <n v="2022"/>
    <s v="January"/>
    <x v="108"/>
    <s v="Pan, tobacco and intoxicants"/>
    <n v="190.7"/>
    <x v="1"/>
  </r>
  <r>
    <s v="Rural"/>
    <n v="2022"/>
    <s v="January"/>
    <x v="108"/>
    <s v="Clothing"/>
    <n v="173.2"/>
    <x v="2"/>
  </r>
  <r>
    <s v="Rural"/>
    <n v="2022"/>
    <s v="January"/>
    <x v="108"/>
    <s v="Footwear"/>
    <n v="169.3"/>
    <x v="2"/>
  </r>
  <r>
    <s v="Rural"/>
    <n v="2022"/>
    <s v="January"/>
    <x v="108"/>
    <s v="Clothing and footwear"/>
    <n v="172.7"/>
    <x v="2"/>
  </r>
  <r>
    <s v="Rural"/>
    <n v="2022"/>
    <s v="January"/>
    <x v="108"/>
    <s v="Fuel and light"/>
    <n v="165.8"/>
    <x v="3"/>
  </r>
  <r>
    <s v="Rural"/>
    <n v="2022"/>
    <s v="January"/>
    <x v="108"/>
    <s v="Household goods and services"/>
    <n v="164.9"/>
    <x v="4"/>
  </r>
  <r>
    <s v="Rural"/>
    <n v="2022"/>
    <s v="January"/>
    <x v="108"/>
    <s v="Health"/>
    <n v="174.7"/>
    <x v="5"/>
  </r>
  <r>
    <s v="Rural"/>
    <n v="2022"/>
    <s v="January"/>
    <x v="108"/>
    <s v="Transport and communication"/>
    <n v="160.80000000000001"/>
    <x v="6"/>
  </r>
  <r>
    <s v="Rural"/>
    <n v="2022"/>
    <s v="January"/>
    <x v="108"/>
    <s v="Recreation and amusement"/>
    <n v="164.9"/>
    <x v="1"/>
  </r>
  <r>
    <s v="Rural"/>
    <n v="2022"/>
    <s v="January"/>
    <x v="108"/>
    <s v="Education"/>
    <n v="169.9"/>
    <x v="7"/>
  </r>
  <r>
    <s v="Rural"/>
    <n v="2022"/>
    <s v="January"/>
    <x v="108"/>
    <s v="Personal care and effects"/>
    <n v="163.19999999999999"/>
    <x v="4"/>
  </r>
  <r>
    <s v="Rural"/>
    <n v="2022"/>
    <s v="January"/>
    <x v="108"/>
    <s v="Miscellaneous"/>
    <n v="166.6"/>
    <x v="8"/>
  </r>
  <r>
    <s v="Rural"/>
    <n v="2022"/>
    <s v="January"/>
    <x v="108"/>
    <s v="General index"/>
    <n v="166.4"/>
    <x v="9"/>
  </r>
  <r>
    <s v="Urban"/>
    <n v="2022"/>
    <s v="January"/>
    <x v="108"/>
    <s v="Cereals and products"/>
    <n v="152.19999999999999"/>
    <x v="0"/>
  </r>
  <r>
    <s v="Urban"/>
    <n v="2022"/>
    <s v="January"/>
    <x v="108"/>
    <s v="Meat and fish"/>
    <n v="202.1"/>
    <x v="0"/>
  </r>
  <r>
    <s v="Urban"/>
    <n v="2022"/>
    <s v="January"/>
    <x v="108"/>
    <s v="Egg"/>
    <n v="180.1"/>
    <x v="0"/>
  </r>
  <r>
    <s v="Urban"/>
    <n v="2022"/>
    <s v="January"/>
    <x v="108"/>
    <s v="Milk and products"/>
    <n v="160.4"/>
    <x v="0"/>
  </r>
  <r>
    <s v="Urban"/>
    <n v="2022"/>
    <s v="January"/>
    <x v="108"/>
    <s v="Oils and fats"/>
    <n v="171"/>
    <x v="0"/>
  </r>
  <r>
    <s v="Urban"/>
    <n v="2022"/>
    <s v="January"/>
    <x v="108"/>
    <s v="Fruits"/>
    <n v="156.5"/>
    <x v="0"/>
  </r>
  <r>
    <s v="Urban"/>
    <n v="2022"/>
    <s v="January"/>
    <x v="108"/>
    <s v="Vegetables"/>
    <n v="203.6"/>
    <x v="0"/>
  </r>
  <r>
    <s v="Urban"/>
    <n v="2022"/>
    <s v="January"/>
    <x v="108"/>
    <s v="Pulses and products"/>
    <n v="163.80000000000001"/>
    <x v="0"/>
  </r>
  <r>
    <s v="Urban"/>
    <n v="2022"/>
    <s v="January"/>
    <x v="108"/>
    <s v="Sugar and Confectionery"/>
    <n v="121.3"/>
    <x v="0"/>
  </r>
  <r>
    <s v="Urban"/>
    <n v="2022"/>
    <s v="January"/>
    <x v="108"/>
    <s v="Spices"/>
    <n v="169.8"/>
    <x v="0"/>
  </r>
  <r>
    <s v="Urban"/>
    <n v="2022"/>
    <s v="January"/>
    <x v="108"/>
    <s v="Non-alcoholic beverages"/>
    <n v="156.6"/>
    <x v="0"/>
  </r>
  <r>
    <s v="Urban"/>
    <n v="2022"/>
    <s v="January"/>
    <x v="108"/>
    <s v="Prepared meals, snacks, sweets etc."/>
    <n v="179"/>
    <x v="0"/>
  </r>
  <r>
    <s v="Urban"/>
    <n v="2022"/>
    <s v="January"/>
    <x v="108"/>
    <s v="Food and beverages"/>
    <n v="170.3"/>
    <x v="0"/>
  </r>
  <r>
    <s v="Urban"/>
    <n v="2022"/>
    <s v="January"/>
    <x v="108"/>
    <s v="Pan, tobacco and intoxicants"/>
    <n v="196.4"/>
    <x v="1"/>
  </r>
  <r>
    <s v="Urban"/>
    <n v="2022"/>
    <s v="January"/>
    <x v="108"/>
    <s v="Clothing"/>
    <n v="164.7"/>
    <x v="2"/>
  </r>
  <r>
    <s v="Urban"/>
    <n v="2022"/>
    <s v="January"/>
    <x v="108"/>
    <s v="Footwear"/>
    <n v="148.5"/>
    <x v="2"/>
  </r>
  <r>
    <s v="Urban"/>
    <n v="2022"/>
    <s v="January"/>
    <x v="108"/>
    <s v="Clothing and footwear"/>
    <n v="162.19999999999999"/>
    <x v="2"/>
  </r>
  <r>
    <s v="Urban"/>
    <n v="2022"/>
    <s v="January"/>
    <x v="108"/>
    <s v="Housing"/>
    <n v="164.5"/>
    <x v="10"/>
  </r>
  <r>
    <s v="Urban"/>
    <n v="2022"/>
    <s v="January"/>
    <x v="108"/>
    <s v="Fuel and light"/>
    <n v="161.6"/>
    <x v="3"/>
  </r>
  <r>
    <s v="Urban"/>
    <n v="2022"/>
    <s v="January"/>
    <x v="108"/>
    <s v="Household goods and services"/>
    <n v="156.80000000000001"/>
    <x v="4"/>
  </r>
  <r>
    <s v="Urban"/>
    <n v="2022"/>
    <s v="January"/>
    <x v="108"/>
    <s v="Health"/>
    <n v="166.1"/>
    <x v="5"/>
  </r>
  <r>
    <s v="Urban"/>
    <n v="2022"/>
    <s v="January"/>
    <x v="108"/>
    <s v="Transport and communication"/>
    <n v="152.69999999999999"/>
    <x v="6"/>
  </r>
  <r>
    <s v="Urban"/>
    <n v="2022"/>
    <s v="January"/>
    <x v="108"/>
    <s v="Recreation and amusement"/>
    <n v="158.4"/>
    <x v="1"/>
  </r>
  <r>
    <s v="Urban"/>
    <n v="2022"/>
    <s v="January"/>
    <x v="108"/>
    <s v="Education"/>
    <n v="161"/>
    <x v="7"/>
  </r>
  <r>
    <s v="Urban"/>
    <n v="2022"/>
    <s v="January"/>
    <x v="108"/>
    <s v="Personal care and effects"/>
    <n v="162.80000000000001"/>
    <x v="4"/>
  </r>
  <r>
    <s v="Urban"/>
    <n v="2022"/>
    <s v="January"/>
    <x v="108"/>
    <s v="Miscellaneous"/>
    <n v="158.6"/>
    <x v="8"/>
  </r>
  <r>
    <s v="Urban"/>
    <n v="2022"/>
    <s v="January"/>
    <x v="108"/>
    <s v="General index"/>
    <n v="165"/>
    <x v="9"/>
  </r>
  <r>
    <s v="Rural+Urban"/>
    <n v="2022"/>
    <s v="January"/>
    <x v="108"/>
    <s v="Cereals and products"/>
    <n v="149.5"/>
    <x v="0"/>
  </r>
  <r>
    <s v="Rural+Urban"/>
    <n v="2022"/>
    <s v="January"/>
    <x v="108"/>
    <s v="Meat and fish"/>
    <n v="198.7"/>
    <x v="0"/>
  </r>
  <r>
    <s v="Rural+Urban"/>
    <n v="2022"/>
    <s v="January"/>
    <x v="108"/>
    <s v="Egg"/>
    <n v="178.8"/>
    <x v="0"/>
  </r>
  <r>
    <s v="Rural+Urban"/>
    <n v="2022"/>
    <s v="January"/>
    <x v="108"/>
    <s v="Milk and products"/>
    <n v="160.5"/>
    <x v="0"/>
  </r>
  <r>
    <s v="Rural+Urban"/>
    <n v="2022"/>
    <s v="January"/>
    <x v="108"/>
    <s v="Oils and fats"/>
    <n v="184.7"/>
    <x v="0"/>
  </r>
  <r>
    <s v="Rural+Urban"/>
    <n v="2022"/>
    <s v="January"/>
    <x v="108"/>
    <s v="Fruits"/>
    <n v="153.69999999999999"/>
    <x v="0"/>
  </r>
  <r>
    <s v="Rural+Urban"/>
    <n v="2022"/>
    <s v="January"/>
    <x v="108"/>
    <s v="Vegetables"/>
    <n v="174.3"/>
    <x v="0"/>
  </r>
  <r>
    <s v="Rural+Urban"/>
    <n v="2022"/>
    <s v="January"/>
    <x v="108"/>
    <s v="Pulses and products"/>
    <n v="163.9"/>
    <x v="0"/>
  </r>
  <r>
    <s v="Rural+Urban"/>
    <n v="2022"/>
    <s v="January"/>
    <x v="108"/>
    <s v="Sugar and Confectionery"/>
    <n v="120"/>
    <x v="0"/>
  </r>
  <r>
    <s v="Rural+Urban"/>
    <n v="2022"/>
    <s v="January"/>
    <x v="108"/>
    <s v="Spices"/>
    <n v="172.1"/>
    <x v="0"/>
  </r>
  <r>
    <s v="Rural+Urban"/>
    <n v="2022"/>
    <s v="January"/>
    <x v="108"/>
    <s v="Non-alcoholic beverages"/>
    <n v="164.3"/>
    <x v="0"/>
  </r>
  <r>
    <s v="Rural+Urban"/>
    <n v="2022"/>
    <s v="January"/>
    <x v="108"/>
    <s v="Prepared meals, snacks, sweets etc."/>
    <n v="177.3"/>
    <x v="0"/>
  </r>
  <r>
    <s v="Rural+Urban"/>
    <n v="2022"/>
    <s v="January"/>
    <x v="108"/>
    <s v="Food and beverages"/>
    <n v="166.4"/>
    <x v="0"/>
  </r>
  <r>
    <s v="Rural+Urban"/>
    <n v="2022"/>
    <s v="January"/>
    <x v="108"/>
    <s v="Pan, tobacco and intoxicants"/>
    <n v="192.2"/>
    <x v="1"/>
  </r>
  <r>
    <s v="Rural+Urban"/>
    <n v="2022"/>
    <s v="January"/>
    <x v="108"/>
    <s v="Clothing"/>
    <n v="169.9"/>
    <x v="2"/>
  </r>
  <r>
    <s v="Rural+Urban"/>
    <n v="2022"/>
    <s v="January"/>
    <x v="108"/>
    <s v="Footwear"/>
    <n v="160.69999999999999"/>
    <x v="2"/>
  </r>
  <r>
    <s v="Rural+Urban"/>
    <n v="2022"/>
    <s v="January"/>
    <x v="108"/>
    <s v="Clothing and footwear"/>
    <n v="168.5"/>
    <x v="2"/>
  </r>
  <r>
    <s v="Rural+Urban"/>
    <n v="2022"/>
    <s v="January"/>
    <x v="108"/>
    <s v="Housing"/>
    <n v="164.5"/>
    <x v="10"/>
  </r>
  <r>
    <s v="Rural+Urban"/>
    <n v="2022"/>
    <s v="January"/>
    <x v="108"/>
    <s v="Fuel and light"/>
    <n v="164.2"/>
    <x v="3"/>
  </r>
  <r>
    <s v="Rural+Urban"/>
    <n v="2022"/>
    <s v="January"/>
    <x v="108"/>
    <s v="Household goods and services"/>
    <n v="161.1"/>
    <x v="4"/>
  </r>
  <r>
    <s v="Rural+Urban"/>
    <n v="2022"/>
    <s v="January"/>
    <x v="108"/>
    <s v="Health"/>
    <n v="171.4"/>
    <x v="5"/>
  </r>
  <r>
    <s v="Rural+Urban"/>
    <n v="2022"/>
    <s v="January"/>
    <x v="108"/>
    <s v="Transport and communication"/>
    <n v="156.5"/>
    <x v="6"/>
  </r>
  <r>
    <s v="Rural+Urban"/>
    <n v="2022"/>
    <s v="January"/>
    <x v="108"/>
    <s v="Recreation and amusement"/>
    <n v="161.19999999999999"/>
    <x v="1"/>
  </r>
  <r>
    <s v="Rural+Urban"/>
    <n v="2022"/>
    <s v="January"/>
    <x v="108"/>
    <s v="Education"/>
    <n v="164.7"/>
    <x v="7"/>
  </r>
  <r>
    <s v="Rural+Urban"/>
    <n v="2022"/>
    <s v="January"/>
    <x v="108"/>
    <s v="Personal care and effects"/>
    <n v="163"/>
    <x v="4"/>
  </r>
  <r>
    <s v="Rural+Urban"/>
    <n v="2022"/>
    <s v="January"/>
    <x v="108"/>
    <s v="Miscellaneous"/>
    <n v="162.69999999999999"/>
    <x v="8"/>
  </r>
  <r>
    <s v="Rural+Urban"/>
    <n v="2022"/>
    <s v="January"/>
    <x v="108"/>
    <s v="General index"/>
    <n v="165.7"/>
    <x v="9"/>
  </r>
  <r>
    <s v="Rural"/>
    <n v="2022"/>
    <s v="February"/>
    <x v="109"/>
    <s v="Cereals and products"/>
    <n v="148.80000000000001"/>
    <x v="0"/>
  </r>
  <r>
    <s v="Rural"/>
    <n v="2022"/>
    <s v="February"/>
    <x v="109"/>
    <s v="Meat and fish"/>
    <n v="198.1"/>
    <x v="0"/>
  </r>
  <r>
    <s v="Rural"/>
    <n v="2022"/>
    <s v="February"/>
    <x v="109"/>
    <s v="Egg"/>
    <n v="175.5"/>
    <x v="0"/>
  </r>
  <r>
    <s v="Rural"/>
    <n v="2022"/>
    <s v="February"/>
    <x v="109"/>
    <s v="Milk and products"/>
    <n v="160.69999999999999"/>
    <x v="0"/>
  </r>
  <r>
    <s v="Rural"/>
    <n v="2022"/>
    <s v="February"/>
    <x v="109"/>
    <s v="Oils and fats"/>
    <n v="192.6"/>
    <x v="0"/>
  </r>
  <r>
    <s v="Rural"/>
    <n v="2022"/>
    <s v="February"/>
    <x v="109"/>
    <s v="Fruits"/>
    <n v="151.4"/>
    <x v="0"/>
  </r>
  <r>
    <s v="Rural"/>
    <n v="2022"/>
    <s v="February"/>
    <x v="109"/>
    <s v="Vegetables"/>
    <n v="155.19999999999999"/>
    <x v="0"/>
  </r>
  <r>
    <s v="Rural"/>
    <n v="2022"/>
    <s v="February"/>
    <x v="109"/>
    <s v="Pulses and products"/>
    <n v="163.9"/>
    <x v="0"/>
  </r>
  <r>
    <s v="Rural"/>
    <n v="2022"/>
    <s v="February"/>
    <x v="109"/>
    <s v="Sugar and Confectionery"/>
    <n v="118.1"/>
    <x v="0"/>
  </r>
  <r>
    <s v="Rural"/>
    <n v="2022"/>
    <s v="February"/>
    <x v="109"/>
    <s v="Spices"/>
    <n v="175.4"/>
    <x v="0"/>
  </r>
  <r>
    <s v="Rural"/>
    <n v="2022"/>
    <s v="February"/>
    <x v="109"/>
    <s v="Non-alcoholic beverages"/>
    <n v="170.5"/>
    <x v="0"/>
  </r>
  <r>
    <s v="Rural"/>
    <n v="2022"/>
    <s v="February"/>
    <x v="109"/>
    <s v="Prepared meals, snacks, sweets etc."/>
    <n v="176.3"/>
    <x v="0"/>
  </r>
  <r>
    <s v="Rural"/>
    <n v="2022"/>
    <s v="February"/>
    <x v="109"/>
    <s v="Food and beverages"/>
    <n v="163.9"/>
    <x v="0"/>
  </r>
  <r>
    <s v="Rural"/>
    <n v="2022"/>
    <s v="February"/>
    <x v="109"/>
    <s v="Pan, tobacco and intoxicants"/>
    <n v="191.5"/>
    <x v="1"/>
  </r>
  <r>
    <s v="Rural"/>
    <n v="2022"/>
    <s v="February"/>
    <x v="109"/>
    <s v="Clothing"/>
    <n v="174.1"/>
    <x v="2"/>
  </r>
  <r>
    <s v="Rural"/>
    <n v="2022"/>
    <s v="February"/>
    <x v="109"/>
    <s v="Footwear"/>
    <n v="171"/>
    <x v="2"/>
  </r>
  <r>
    <s v="Rural"/>
    <n v="2022"/>
    <s v="February"/>
    <x v="109"/>
    <s v="Clothing and footwear"/>
    <n v="173.7"/>
    <x v="2"/>
  </r>
  <r>
    <s v="Rural"/>
    <n v="2022"/>
    <s v="February"/>
    <x v="109"/>
    <s v="Fuel and light"/>
    <n v="167.4"/>
    <x v="3"/>
  </r>
  <r>
    <s v="Rural"/>
    <n v="2022"/>
    <s v="February"/>
    <x v="109"/>
    <s v="Household goods and services"/>
    <n v="165.7"/>
    <x v="4"/>
  </r>
  <r>
    <s v="Rural"/>
    <n v="2022"/>
    <s v="February"/>
    <x v="109"/>
    <s v="Health"/>
    <n v="175.3"/>
    <x v="5"/>
  </r>
  <r>
    <s v="Rural"/>
    <n v="2022"/>
    <s v="February"/>
    <x v="109"/>
    <s v="Transport and communication"/>
    <n v="161.19999999999999"/>
    <x v="6"/>
  </r>
  <r>
    <s v="Rural"/>
    <n v="2022"/>
    <s v="February"/>
    <x v="109"/>
    <s v="Recreation and amusement"/>
    <n v="165.5"/>
    <x v="1"/>
  </r>
  <r>
    <s v="Rural"/>
    <n v="2022"/>
    <s v="February"/>
    <x v="109"/>
    <s v="Education"/>
    <n v="170.3"/>
    <x v="7"/>
  </r>
  <r>
    <s v="Rural"/>
    <n v="2022"/>
    <s v="February"/>
    <x v="109"/>
    <s v="Personal care and effects"/>
    <n v="164.5"/>
    <x v="4"/>
  </r>
  <r>
    <s v="Rural"/>
    <n v="2022"/>
    <s v="February"/>
    <x v="109"/>
    <s v="Miscellaneous"/>
    <n v="167.3"/>
    <x v="8"/>
  </r>
  <r>
    <s v="Rural"/>
    <n v="2022"/>
    <s v="February"/>
    <x v="109"/>
    <s v="General index"/>
    <n v="166.7"/>
    <x v="9"/>
  </r>
  <r>
    <s v="Urban"/>
    <n v="2022"/>
    <s v="February"/>
    <x v="109"/>
    <s v="Cereals and products"/>
    <n v="152.5"/>
    <x v="0"/>
  </r>
  <r>
    <s v="Urban"/>
    <n v="2022"/>
    <s v="February"/>
    <x v="109"/>
    <s v="Meat and fish"/>
    <n v="205.2"/>
    <x v="0"/>
  </r>
  <r>
    <s v="Urban"/>
    <n v="2022"/>
    <s v="February"/>
    <x v="109"/>
    <s v="Egg"/>
    <n v="176.4"/>
    <x v="0"/>
  </r>
  <r>
    <s v="Urban"/>
    <n v="2022"/>
    <s v="February"/>
    <x v="109"/>
    <s v="Milk and products"/>
    <n v="160.6"/>
    <x v="0"/>
  </r>
  <r>
    <s v="Urban"/>
    <n v="2022"/>
    <s v="February"/>
    <x v="109"/>
    <s v="Oils and fats"/>
    <n v="171.5"/>
    <x v="0"/>
  </r>
  <r>
    <s v="Urban"/>
    <n v="2022"/>
    <s v="February"/>
    <x v="109"/>
    <s v="Fruits"/>
    <n v="156.4"/>
    <x v="0"/>
  </r>
  <r>
    <s v="Urban"/>
    <n v="2022"/>
    <s v="February"/>
    <x v="109"/>
    <s v="Vegetables"/>
    <n v="198"/>
    <x v="0"/>
  </r>
  <r>
    <s v="Urban"/>
    <n v="2022"/>
    <s v="February"/>
    <x v="109"/>
    <s v="Pulses and products"/>
    <n v="163.19999999999999"/>
    <x v="0"/>
  </r>
  <r>
    <s v="Urban"/>
    <n v="2022"/>
    <s v="February"/>
    <x v="109"/>
    <s v="Sugar and Confectionery"/>
    <n v="120.6"/>
    <x v="0"/>
  </r>
  <r>
    <s v="Urban"/>
    <n v="2022"/>
    <s v="February"/>
    <x v="109"/>
    <s v="Spices"/>
    <n v="172.2"/>
    <x v="0"/>
  </r>
  <r>
    <s v="Urban"/>
    <n v="2022"/>
    <s v="February"/>
    <x v="109"/>
    <s v="Non-alcoholic beverages"/>
    <n v="156.69999999999999"/>
    <x v="0"/>
  </r>
  <r>
    <s v="Urban"/>
    <n v="2022"/>
    <s v="February"/>
    <x v="109"/>
    <s v="Prepared meals, snacks, sweets etc."/>
    <n v="180"/>
    <x v="0"/>
  </r>
  <r>
    <s v="Urban"/>
    <n v="2022"/>
    <s v="February"/>
    <x v="109"/>
    <s v="Food and beverages"/>
    <n v="170.2"/>
    <x v="0"/>
  </r>
  <r>
    <s v="Urban"/>
    <n v="2022"/>
    <s v="February"/>
    <x v="109"/>
    <s v="Pan, tobacco and intoxicants"/>
    <n v="196.5"/>
    <x v="1"/>
  </r>
  <r>
    <s v="Urban"/>
    <n v="2022"/>
    <s v="February"/>
    <x v="109"/>
    <s v="Clothing"/>
    <n v="165.7"/>
    <x v="2"/>
  </r>
  <r>
    <s v="Urban"/>
    <n v="2022"/>
    <s v="February"/>
    <x v="109"/>
    <s v="Footwear"/>
    <n v="150.4"/>
    <x v="2"/>
  </r>
  <r>
    <s v="Urban"/>
    <n v="2022"/>
    <s v="February"/>
    <x v="109"/>
    <s v="Clothing and footwear"/>
    <n v="163.4"/>
    <x v="2"/>
  </r>
  <r>
    <s v="Urban"/>
    <n v="2022"/>
    <s v="February"/>
    <x v="109"/>
    <s v="Housing"/>
    <n v="165.5"/>
    <x v="10"/>
  </r>
  <r>
    <s v="Urban"/>
    <n v="2022"/>
    <s v="February"/>
    <x v="109"/>
    <s v="Fuel and light"/>
    <n v="163"/>
    <x v="3"/>
  </r>
  <r>
    <s v="Urban"/>
    <n v="2022"/>
    <s v="February"/>
    <x v="109"/>
    <s v="Household goods and services"/>
    <n v="157.4"/>
    <x v="4"/>
  </r>
  <r>
    <s v="Urban"/>
    <n v="2022"/>
    <s v="February"/>
    <x v="109"/>
    <s v="Health"/>
    <n v="167.2"/>
    <x v="5"/>
  </r>
  <r>
    <s v="Urban"/>
    <n v="2022"/>
    <s v="February"/>
    <x v="109"/>
    <s v="Transport and communication"/>
    <n v="153.1"/>
    <x v="6"/>
  </r>
  <r>
    <s v="Urban"/>
    <n v="2022"/>
    <s v="February"/>
    <x v="109"/>
    <s v="Recreation and amusement"/>
    <n v="159.5"/>
    <x v="1"/>
  </r>
  <r>
    <s v="Urban"/>
    <n v="2022"/>
    <s v="February"/>
    <x v="109"/>
    <s v="Education"/>
    <n v="162"/>
    <x v="7"/>
  </r>
  <r>
    <s v="Urban"/>
    <n v="2022"/>
    <s v="February"/>
    <x v="109"/>
    <s v="Personal care and effects"/>
    <n v="164.2"/>
    <x v="4"/>
  </r>
  <r>
    <s v="Urban"/>
    <n v="2022"/>
    <s v="February"/>
    <x v="109"/>
    <s v="Miscellaneous"/>
    <n v="159.4"/>
    <x v="8"/>
  </r>
  <r>
    <s v="Urban"/>
    <n v="2022"/>
    <s v="February"/>
    <x v="109"/>
    <s v="General index"/>
    <n v="165.5"/>
    <x v="9"/>
  </r>
  <r>
    <s v="Rural+Urban"/>
    <n v="2022"/>
    <s v="February"/>
    <x v="109"/>
    <s v="Cereals and products"/>
    <n v="150"/>
    <x v="0"/>
  </r>
  <r>
    <s v="Rural+Urban"/>
    <n v="2022"/>
    <s v="February"/>
    <x v="109"/>
    <s v="Meat and fish"/>
    <n v="200.6"/>
    <x v="0"/>
  </r>
  <r>
    <s v="Rural+Urban"/>
    <n v="2022"/>
    <s v="February"/>
    <x v="109"/>
    <s v="Egg"/>
    <n v="175.8"/>
    <x v="0"/>
  </r>
  <r>
    <s v="Rural+Urban"/>
    <n v="2022"/>
    <s v="February"/>
    <x v="109"/>
    <s v="Milk and products"/>
    <n v="160.69999999999999"/>
    <x v="0"/>
  </r>
  <r>
    <s v="Rural+Urban"/>
    <n v="2022"/>
    <s v="February"/>
    <x v="109"/>
    <s v="Oils and fats"/>
    <n v="184.9"/>
    <x v="0"/>
  </r>
  <r>
    <s v="Rural+Urban"/>
    <n v="2022"/>
    <s v="February"/>
    <x v="109"/>
    <s v="Fruits"/>
    <n v="153.69999999999999"/>
    <x v="0"/>
  </r>
  <r>
    <s v="Rural+Urban"/>
    <n v="2022"/>
    <s v="February"/>
    <x v="109"/>
    <s v="Vegetables"/>
    <n v="169.7"/>
    <x v="0"/>
  </r>
  <r>
    <s v="Rural+Urban"/>
    <n v="2022"/>
    <s v="February"/>
    <x v="109"/>
    <s v="Pulses and products"/>
    <n v="163.69999999999999"/>
    <x v="0"/>
  </r>
  <r>
    <s v="Rural+Urban"/>
    <n v="2022"/>
    <s v="February"/>
    <x v="109"/>
    <s v="Sugar and Confectionery"/>
    <n v="118.9"/>
    <x v="0"/>
  </r>
  <r>
    <s v="Rural+Urban"/>
    <n v="2022"/>
    <s v="February"/>
    <x v="109"/>
    <s v="Spices"/>
    <n v="174.3"/>
    <x v="0"/>
  </r>
  <r>
    <s v="Rural+Urban"/>
    <n v="2022"/>
    <s v="February"/>
    <x v="109"/>
    <s v="Non-alcoholic beverages"/>
    <n v="164.7"/>
    <x v="0"/>
  </r>
  <r>
    <s v="Rural+Urban"/>
    <n v="2022"/>
    <s v="February"/>
    <x v="109"/>
    <s v="Prepared meals, snacks, sweets etc."/>
    <n v="178"/>
    <x v="0"/>
  </r>
  <r>
    <s v="Rural+Urban"/>
    <n v="2022"/>
    <s v="February"/>
    <x v="109"/>
    <s v="Food and beverages"/>
    <n v="166.2"/>
    <x v="0"/>
  </r>
  <r>
    <s v="Rural+Urban"/>
    <n v="2022"/>
    <s v="February"/>
    <x v="109"/>
    <s v="Pan, tobacco and intoxicants"/>
    <n v="192.8"/>
    <x v="1"/>
  </r>
  <r>
    <s v="Rural+Urban"/>
    <n v="2022"/>
    <s v="February"/>
    <x v="109"/>
    <s v="Clothing"/>
    <n v="170.8"/>
    <x v="2"/>
  </r>
  <r>
    <s v="Rural+Urban"/>
    <n v="2022"/>
    <s v="February"/>
    <x v="109"/>
    <s v="Footwear"/>
    <n v="162.4"/>
    <x v="2"/>
  </r>
  <r>
    <s v="Rural+Urban"/>
    <n v="2022"/>
    <s v="February"/>
    <x v="109"/>
    <s v="Clothing and footwear"/>
    <n v="169.6"/>
    <x v="2"/>
  </r>
  <r>
    <s v="Rural+Urban"/>
    <n v="2022"/>
    <s v="February"/>
    <x v="109"/>
    <s v="Housing"/>
    <n v="165.5"/>
    <x v="10"/>
  </r>
  <r>
    <s v="Rural+Urban"/>
    <n v="2022"/>
    <s v="February"/>
    <x v="109"/>
    <s v="Fuel and light"/>
    <n v="165.7"/>
    <x v="3"/>
  </r>
  <r>
    <s v="Rural+Urban"/>
    <n v="2022"/>
    <s v="February"/>
    <x v="109"/>
    <s v="Household goods and services"/>
    <n v="161.80000000000001"/>
    <x v="4"/>
  </r>
  <r>
    <s v="Rural+Urban"/>
    <n v="2022"/>
    <s v="February"/>
    <x v="109"/>
    <s v="Health"/>
    <n v="172.2"/>
    <x v="5"/>
  </r>
  <r>
    <s v="Rural+Urban"/>
    <n v="2022"/>
    <s v="February"/>
    <x v="109"/>
    <s v="Transport and communication"/>
    <n v="156.9"/>
    <x v="6"/>
  </r>
  <r>
    <s v="Rural+Urban"/>
    <n v="2022"/>
    <s v="February"/>
    <x v="109"/>
    <s v="Recreation and amusement"/>
    <n v="162.1"/>
    <x v="1"/>
  </r>
  <r>
    <s v="Rural+Urban"/>
    <n v="2022"/>
    <s v="February"/>
    <x v="109"/>
    <s v="Education"/>
    <n v="165.4"/>
    <x v="7"/>
  </r>
  <r>
    <s v="Rural+Urban"/>
    <n v="2022"/>
    <s v="February"/>
    <x v="109"/>
    <s v="Personal care and effects"/>
    <n v="164.4"/>
    <x v="4"/>
  </r>
  <r>
    <s v="Rural+Urban"/>
    <n v="2022"/>
    <s v="February"/>
    <x v="109"/>
    <s v="Miscellaneous"/>
    <n v="163.5"/>
    <x v="8"/>
  </r>
  <r>
    <s v="Rural+Urban"/>
    <n v="2022"/>
    <s v="February"/>
    <x v="109"/>
    <s v="General index"/>
    <n v="166.1"/>
    <x v="9"/>
  </r>
  <r>
    <s v="Rural"/>
    <n v="2022"/>
    <s v="March"/>
    <x v="110"/>
    <s v="Cereals and products"/>
    <n v="150.19999999999999"/>
    <x v="0"/>
  </r>
  <r>
    <s v="Rural"/>
    <n v="2022"/>
    <s v="March"/>
    <x v="110"/>
    <s v="Meat and fish"/>
    <n v="208"/>
    <x v="0"/>
  </r>
  <r>
    <s v="Rural"/>
    <n v="2022"/>
    <s v="March"/>
    <x v="110"/>
    <s v="Egg"/>
    <n v="167.9"/>
    <x v="0"/>
  </r>
  <r>
    <s v="Rural"/>
    <n v="2022"/>
    <s v="March"/>
    <x v="110"/>
    <s v="Milk and products"/>
    <n v="162"/>
    <x v="0"/>
  </r>
  <r>
    <s v="Rural"/>
    <n v="2022"/>
    <s v="March"/>
    <x v="110"/>
    <s v="Oils and fats"/>
    <n v="203.1"/>
    <x v="0"/>
  </r>
  <r>
    <s v="Rural"/>
    <n v="2022"/>
    <s v="March"/>
    <x v="110"/>
    <s v="Fruits"/>
    <n v="155.9"/>
    <x v="0"/>
  </r>
  <r>
    <s v="Rural"/>
    <n v="2022"/>
    <s v="March"/>
    <x v="110"/>
    <s v="Vegetables"/>
    <n v="155.80000000000001"/>
    <x v="0"/>
  </r>
  <r>
    <s v="Rural"/>
    <n v="2022"/>
    <s v="March"/>
    <x v="110"/>
    <s v="Pulses and products"/>
    <n v="164.2"/>
    <x v="0"/>
  </r>
  <r>
    <s v="Rural"/>
    <n v="2022"/>
    <s v="March"/>
    <x v="110"/>
    <s v="Sugar and Confectionery"/>
    <n v="118.1"/>
    <x v="0"/>
  </r>
  <r>
    <s v="Rural"/>
    <n v="2022"/>
    <s v="March"/>
    <x v="110"/>
    <s v="Spices"/>
    <n v="178.7"/>
    <x v="0"/>
  </r>
  <r>
    <s v="Rural"/>
    <n v="2022"/>
    <s v="March"/>
    <x v="110"/>
    <s v="Non-alcoholic beverages"/>
    <n v="171.2"/>
    <x v="0"/>
  </r>
  <r>
    <s v="Rural"/>
    <n v="2022"/>
    <s v="March"/>
    <x v="110"/>
    <s v="Prepared meals, snacks, sweets etc."/>
    <n v="177.4"/>
    <x v="0"/>
  </r>
  <r>
    <s v="Rural"/>
    <n v="2022"/>
    <s v="March"/>
    <x v="110"/>
    <s v="Food and beverages"/>
    <n v="166.6"/>
    <x v="0"/>
  </r>
  <r>
    <s v="Rural"/>
    <n v="2022"/>
    <s v="March"/>
    <x v="110"/>
    <s v="Pan, tobacco and intoxicants"/>
    <n v="192.3"/>
    <x v="1"/>
  </r>
  <r>
    <s v="Rural"/>
    <n v="2022"/>
    <s v="March"/>
    <x v="110"/>
    <s v="Clothing"/>
    <n v="175.4"/>
    <x v="2"/>
  </r>
  <r>
    <s v="Rural"/>
    <n v="2022"/>
    <s v="March"/>
    <x v="110"/>
    <s v="Footwear"/>
    <n v="173.2"/>
    <x v="2"/>
  </r>
  <r>
    <s v="Rural"/>
    <n v="2022"/>
    <s v="March"/>
    <x v="110"/>
    <s v="Clothing and footwear"/>
    <n v="175.1"/>
    <x v="2"/>
  </r>
  <r>
    <s v="Rural"/>
    <n v="2022"/>
    <s v="March"/>
    <x v="110"/>
    <s v="Fuel and light"/>
    <n v="168.9"/>
    <x v="3"/>
  </r>
  <r>
    <s v="Rural"/>
    <n v="2022"/>
    <s v="March"/>
    <x v="110"/>
    <s v="Household goods and services"/>
    <n v="166.5"/>
    <x v="4"/>
  </r>
  <r>
    <s v="Rural"/>
    <n v="2022"/>
    <s v="March"/>
    <x v="110"/>
    <s v="Health"/>
    <n v="176"/>
    <x v="5"/>
  </r>
  <r>
    <s v="Rural"/>
    <n v="2022"/>
    <s v="March"/>
    <x v="110"/>
    <s v="Transport and communication"/>
    <n v="162"/>
    <x v="6"/>
  </r>
  <r>
    <s v="Rural"/>
    <n v="2022"/>
    <s v="March"/>
    <x v="110"/>
    <s v="Recreation and amusement"/>
    <n v="166.6"/>
    <x v="1"/>
  </r>
  <r>
    <s v="Rural"/>
    <n v="2022"/>
    <s v="March"/>
    <x v="110"/>
    <s v="Education"/>
    <n v="170.6"/>
    <x v="7"/>
  </r>
  <r>
    <s v="Rural"/>
    <n v="2022"/>
    <s v="March"/>
    <x v="110"/>
    <s v="Personal care and effects"/>
    <n v="167.4"/>
    <x v="4"/>
  </r>
  <r>
    <s v="Rural"/>
    <n v="2022"/>
    <s v="March"/>
    <x v="110"/>
    <s v="Miscellaneous"/>
    <n v="168.3"/>
    <x v="8"/>
  </r>
  <r>
    <s v="Rural"/>
    <n v="2022"/>
    <s v="March"/>
    <x v="110"/>
    <s v="General index"/>
    <n v="168.7"/>
    <x v="9"/>
  </r>
  <r>
    <s v="Urban"/>
    <n v="2022"/>
    <s v="March"/>
    <x v="110"/>
    <s v="Cereals and products"/>
    <n v="153.69999999999999"/>
    <x v="0"/>
  </r>
  <r>
    <s v="Urban"/>
    <n v="2022"/>
    <s v="March"/>
    <x v="110"/>
    <s v="Meat and fish"/>
    <n v="215.8"/>
    <x v="0"/>
  </r>
  <r>
    <s v="Urban"/>
    <n v="2022"/>
    <s v="March"/>
    <x v="110"/>
    <s v="Egg"/>
    <n v="167.7"/>
    <x v="0"/>
  </r>
  <r>
    <s v="Urban"/>
    <n v="2022"/>
    <s v="March"/>
    <x v="110"/>
    <s v="Milk and products"/>
    <n v="162.6"/>
    <x v="0"/>
  </r>
  <r>
    <s v="Urban"/>
    <n v="2022"/>
    <s v="March"/>
    <x v="110"/>
    <s v="Oils and fats"/>
    <n v="180"/>
    <x v="0"/>
  </r>
  <r>
    <s v="Urban"/>
    <n v="2022"/>
    <s v="March"/>
    <x v="110"/>
    <s v="Fruits"/>
    <n v="159.6"/>
    <x v="0"/>
  </r>
  <r>
    <s v="Urban"/>
    <n v="2022"/>
    <s v="March"/>
    <x v="110"/>
    <s v="Vegetables"/>
    <n v="188.4"/>
    <x v="0"/>
  </r>
  <r>
    <s v="Urban"/>
    <n v="2022"/>
    <s v="March"/>
    <x v="110"/>
    <s v="Pulses and products"/>
    <n v="163.4"/>
    <x v="0"/>
  </r>
  <r>
    <s v="Urban"/>
    <n v="2022"/>
    <s v="March"/>
    <x v="110"/>
    <s v="Sugar and Confectionery"/>
    <n v="120.3"/>
    <x v="0"/>
  </r>
  <r>
    <s v="Urban"/>
    <n v="2022"/>
    <s v="March"/>
    <x v="110"/>
    <s v="Spices"/>
    <n v="174.7"/>
    <x v="0"/>
  </r>
  <r>
    <s v="Urban"/>
    <n v="2022"/>
    <s v="March"/>
    <x v="110"/>
    <s v="Non-alcoholic beverages"/>
    <n v="157.1"/>
    <x v="0"/>
  </r>
  <r>
    <s v="Urban"/>
    <n v="2022"/>
    <s v="March"/>
    <x v="110"/>
    <s v="Prepared meals, snacks, sweets etc."/>
    <n v="181.5"/>
    <x v="0"/>
  </r>
  <r>
    <s v="Urban"/>
    <n v="2022"/>
    <s v="March"/>
    <x v="110"/>
    <s v="Food and beverages"/>
    <n v="171.5"/>
    <x v="0"/>
  </r>
  <r>
    <s v="Urban"/>
    <n v="2022"/>
    <s v="March"/>
    <x v="110"/>
    <s v="Pan, tobacco and intoxicants"/>
    <n v="197.5"/>
    <x v="1"/>
  </r>
  <r>
    <s v="Urban"/>
    <n v="2022"/>
    <s v="March"/>
    <x v="110"/>
    <s v="Clothing"/>
    <n v="167.1"/>
    <x v="2"/>
  </r>
  <r>
    <s v="Urban"/>
    <n v="2022"/>
    <s v="March"/>
    <x v="110"/>
    <s v="Footwear"/>
    <n v="152.6"/>
    <x v="2"/>
  </r>
  <r>
    <s v="Urban"/>
    <n v="2022"/>
    <s v="March"/>
    <x v="110"/>
    <s v="Clothing and footwear"/>
    <n v="164.9"/>
    <x v="2"/>
  </r>
  <r>
    <s v="Urban"/>
    <n v="2022"/>
    <s v="March"/>
    <x v="110"/>
    <s v="Housing"/>
    <n v="165.3"/>
    <x v="10"/>
  </r>
  <r>
    <s v="Urban"/>
    <n v="2022"/>
    <s v="March"/>
    <x v="110"/>
    <s v="Fuel and light"/>
    <n v="164.5"/>
    <x v="3"/>
  </r>
  <r>
    <s v="Urban"/>
    <n v="2022"/>
    <s v="March"/>
    <x v="110"/>
    <s v="Household goods and services"/>
    <n v="158.6"/>
    <x v="4"/>
  </r>
  <r>
    <s v="Urban"/>
    <n v="2022"/>
    <s v="March"/>
    <x v="110"/>
    <s v="Health"/>
    <n v="168.2"/>
    <x v="5"/>
  </r>
  <r>
    <s v="Urban"/>
    <n v="2022"/>
    <s v="March"/>
    <x v="110"/>
    <s v="Transport and communication"/>
    <n v="154.19999999999999"/>
    <x v="6"/>
  </r>
  <r>
    <s v="Urban"/>
    <n v="2022"/>
    <s v="March"/>
    <x v="110"/>
    <s v="Recreation and amusement"/>
    <n v="160.80000000000001"/>
    <x v="1"/>
  </r>
  <r>
    <s v="Urban"/>
    <n v="2022"/>
    <s v="March"/>
    <x v="110"/>
    <s v="Education"/>
    <n v="162.69999999999999"/>
    <x v="7"/>
  </r>
  <r>
    <s v="Urban"/>
    <n v="2022"/>
    <s v="March"/>
    <x v="110"/>
    <s v="Personal care and effects"/>
    <n v="166.8"/>
    <x v="4"/>
  </r>
  <r>
    <s v="Urban"/>
    <n v="2022"/>
    <s v="March"/>
    <x v="110"/>
    <s v="Miscellaneous"/>
    <n v="160.6"/>
    <x v="8"/>
  </r>
  <r>
    <s v="Urban"/>
    <n v="2022"/>
    <s v="March"/>
    <x v="110"/>
    <s v="General index"/>
    <n v="166.5"/>
    <x v="9"/>
  </r>
  <r>
    <s v="Rural+Urban"/>
    <n v="2022"/>
    <s v="March"/>
    <x v="110"/>
    <s v="Cereals and products"/>
    <n v="151.30000000000001"/>
    <x v="0"/>
  </r>
  <r>
    <s v="Rural+Urban"/>
    <n v="2022"/>
    <s v="March"/>
    <x v="110"/>
    <s v="Meat and fish"/>
    <n v="210.7"/>
    <x v="0"/>
  </r>
  <r>
    <s v="Rural+Urban"/>
    <n v="2022"/>
    <s v="March"/>
    <x v="110"/>
    <s v="Egg"/>
    <n v="167.8"/>
    <x v="0"/>
  </r>
  <r>
    <s v="Rural+Urban"/>
    <n v="2022"/>
    <s v="March"/>
    <x v="110"/>
    <s v="Milk and products"/>
    <n v="162.19999999999999"/>
    <x v="0"/>
  </r>
  <r>
    <s v="Rural+Urban"/>
    <n v="2022"/>
    <s v="March"/>
    <x v="110"/>
    <s v="Oils and fats"/>
    <n v="194.6"/>
    <x v="0"/>
  </r>
  <r>
    <s v="Rural+Urban"/>
    <n v="2022"/>
    <s v="March"/>
    <x v="110"/>
    <s v="Fruits"/>
    <n v="157.6"/>
    <x v="0"/>
  </r>
  <r>
    <s v="Rural+Urban"/>
    <n v="2022"/>
    <s v="March"/>
    <x v="110"/>
    <s v="Vegetables"/>
    <n v="166.9"/>
    <x v="0"/>
  </r>
  <r>
    <s v="Rural+Urban"/>
    <n v="2022"/>
    <s v="March"/>
    <x v="110"/>
    <s v="Pulses and products"/>
    <n v="163.9"/>
    <x v="0"/>
  </r>
  <r>
    <s v="Rural+Urban"/>
    <n v="2022"/>
    <s v="March"/>
    <x v="110"/>
    <s v="Sugar and Confectionery"/>
    <n v="118.8"/>
    <x v="0"/>
  </r>
  <r>
    <s v="Rural+Urban"/>
    <n v="2022"/>
    <s v="March"/>
    <x v="110"/>
    <s v="Spices"/>
    <n v="177.4"/>
    <x v="0"/>
  </r>
  <r>
    <s v="Rural+Urban"/>
    <n v="2022"/>
    <s v="March"/>
    <x v="110"/>
    <s v="Non-alcoholic beverages"/>
    <n v="165.3"/>
    <x v="0"/>
  </r>
  <r>
    <s v="Rural+Urban"/>
    <n v="2022"/>
    <s v="March"/>
    <x v="110"/>
    <s v="Prepared meals, snacks, sweets etc."/>
    <n v="179.3"/>
    <x v="0"/>
  </r>
  <r>
    <s v="Rural+Urban"/>
    <n v="2022"/>
    <s v="March"/>
    <x v="110"/>
    <s v="Food and beverages"/>
    <n v="168.4"/>
    <x v="0"/>
  </r>
  <r>
    <s v="Rural+Urban"/>
    <n v="2022"/>
    <s v="March"/>
    <x v="110"/>
    <s v="Pan, tobacco and intoxicants"/>
    <n v="193.7"/>
    <x v="1"/>
  </r>
  <r>
    <s v="Rural+Urban"/>
    <n v="2022"/>
    <s v="March"/>
    <x v="110"/>
    <s v="Clothing"/>
    <n v="172.1"/>
    <x v="2"/>
  </r>
  <r>
    <s v="Rural+Urban"/>
    <n v="2022"/>
    <s v="March"/>
    <x v="110"/>
    <s v="Footwear"/>
    <n v="164.6"/>
    <x v="2"/>
  </r>
  <r>
    <s v="Rural+Urban"/>
    <n v="2022"/>
    <s v="March"/>
    <x v="110"/>
    <s v="Clothing and footwear"/>
    <n v="171.1"/>
    <x v="2"/>
  </r>
  <r>
    <s v="Rural+Urban"/>
    <n v="2022"/>
    <s v="March"/>
    <x v="110"/>
    <s v="Housing"/>
    <n v="165.3"/>
    <x v="10"/>
  </r>
  <r>
    <s v="Rural+Urban"/>
    <n v="2022"/>
    <s v="March"/>
    <x v="110"/>
    <s v="Fuel and light"/>
    <n v="167.2"/>
    <x v="3"/>
  </r>
  <r>
    <s v="Rural+Urban"/>
    <n v="2022"/>
    <s v="March"/>
    <x v="110"/>
    <s v="Household goods and services"/>
    <n v="162.80000000000001"/>
    <x v="4"/>
  </r>
  <r>
    <s v="Rural+Urban"/>
    <n v="2022"/>
    <s v="March"/>
    <x v="110"/>
    <s v="Health"/>
    <n v="173"/>
    <x v="5"/>
  </r>
  <r>
    <s v="Rural+Urban"/>
    <n v="2022"/>
    <s v="March"/>
    <x v="110"/>
    <s v="Transport and communication"/>
    <n v="157.9"/>
    <x v="6"/>
  </r>
  <r>
    <s v="Rural+Urban"/>
    <n v="2022"/>
    <s v="March"/>
    <x v="110"/>
    <s v="Recreation and amusement"/>
    <n v="163.30000000000001"/>
    <x v="1"/>
  </r>
  <r>
    <s v="Rural+Urban"/>
    <n v="2022"/>
    <s v="March"/>
    <x v="110"/>
    <s v="Education"/>
    <n v="166"/>
    <x v="7"/>
  </r>
  <r>
    <s v="Rural+Urban"/>
    <n v="2022"/>
    <s v="March"/>
    <x v="110"/>
    <s v="Personal care and effects"/>
    <n v="167.2"/>
    <x v="4"/>
  </r>
  <r>
    <s v="Rural+Urban"/>
    <n v="2022"/>
    <s v="March"/>
    <x v="110"/>
    <s v="Miscellaneous"/>
    <n v="164.6"/>
    <x v="8"/>
  </r>
  <r>
    <s v="Rural+Urban"/>
    <n v="2022"/>
    <s v="March"/>
    <x v="110"/>
    <s v="General index"/>
    <n v="167.7"/>
    <x v="9"/>
  </r>
  <r>
    <s v="Rural"/>
    <n v="2022"/>
    <s v="April"/>
    <x v="111"/>
    <s v="Cereals and products"/>
    <n v="151.80000000000001"/>
    <x v="0"/>
  </r>
  <r>
    <s v="Rural"/>
    <n v="2022"/>
    <s v="April"/>
    <x v="111"/>
    <s v="Meat and fish"/>
    <n v="209.7"/>
    <x v="0"/>
  </r>
  <r>
    <s v="Rural"/>
    <n v="2022"/>
    <s v="April"/>
    <x v="111"/>
    <s v="Egg"/>
    <n v="164.5"/>
    <x v="0"/>
  </r>
  <r>
    <s v="Rural"/>
    <n v="2022"/>
    <s v="April"/>
    <x v="111"/>
    <s v="Milk and products"/>
    <n v="163.80000000000001"/>
    <x v="0"/>
  </r>
  <r>
    <s v="Rural"/>
    <n v="2022"/>
    <s v="April"/>
    <x v="111"/>
    <s v="Oils and fats"/>
    <n v="207.4"/>
    <x v="0"/>
  </r>
  <r>
    <s v="Rural"/>
    <n v="2022"/>
    <s v="April"/>
    <x v="111"/>
    <s v="Fruits"/>
    <n v="169.7"/>
    <x v="0"/>
  </r>
  <r>
    <s v="Rural"/>
    <n v="2022"/>
    <s v="April"/>
    <x v="111"/>
    <s v="Vegetables"/>
    <n v="153.6"/>
    <x v="0"/>
  </r>
  <r>
    <s v="Rural"/>
    <n v="2022"/>
    <s v="April"/>
    <x v="111"/>
    <s v="Pulses and products"/>
    <n v="165.1"/>
    <x v="0"/>
  </r>
  <r>
    <s v="Rural"/>
    <n v="2022"/>
    <s v="April"/>
    <x v="111"/>
    <s v="Sugar and Confectionery"/>
    <n v="118.2"/>
    <x v="0"/>
  </r>
  <r>
    <s v="Rural"/>
    <n v="2022"/>
    <s v="April"/>
    <x v="111"/>
    <s v="Spices"/>
    <n v="182.9"/>
    <x v="0"/>
  </r>
  <r>
    <s v="Rural"/>
    <n v="2022"/>
    <s v="April"/>
    <x v="111"/>
    <s v="Non-alcoholic beverages"/>
    <n v="172.4"/>
    <x v="0"/>
  </r>
  <r>
    <s v="Rural"/>
    <n v="2022"/>
    <s v="April"/>
    <x v="111"/>
    <s v="Prepared meals, snacks, sweets etc."/>
    <n v="178.9"/>
    <x v="0"/>
  </r>
  <r>
    <s v="Rural"/>
    <n v="2022"/>
    <s v="April"/>
    <x v="111"/>
    <s v="Food and beverages"/>
    <n v="168.6"/>
    <x v="0"/>
  </r>
  <r>
    <s v="Rural"/>
    <n v="2022"/>
    <s v="April"/>
    <x v="111"/>
    <s v="Pan, tobacco and intoxicants"/>
    <n v="192.8"/>
    <x v="1"/>
  </r>
  <r>
    <s v="Rural"/>
    <n v="2022"/>
    <s v="April"/>
    <x v="111"/>
    <s v="Clothing"/>
    <n v="177.5"/>
    <x v="2"/>
  </r>
  <r>
    <s v="Rural"/>
    <n v="2022"/>
    <s v="April"/>
    <x v="111"/>
    <s v="Footwear"/>
    <n v="175.1"/>
    <x v="2"/>
  </r>
  <r>
    <s v="Rural"/>
    <n v="2022"/>
    <s v="April"/>
    <x v="111"/>
    <s v="Clothing and footwear"/>
    <n v="177.1"/>
    <x v="2"/>
  </r>
  <r>
    <s v="Rural"/>
    <n v="2022"/>
    <s v="April"/>
    <x v="111"/>
    <s v="Fuel and light"/>
    <n v="173.3"/>
    <x v="3"/>
  </r>
  <r>
    <s v="Rural"/>
    <n v="2022"/>
    <s v="April"/>
    <x v="111"/>
    <s v="Household goods and services"/>
    <n v="167.7"/>
    <x v="4"/>
  </r>
  <r>
    <s v="Rural"/>
    <n v="2022"/>
    <s v="April"/>
    <x v="111"/>
    <s v="Health"/>
    <n v="177"/>
    <x v="5"/>
  </r>
  <r>
    <s v="Rural"/>
    <n v="2022"/>
    <s v="April"/>
    <x v="111"/>
    <s v="Transport and communication"/>
    <n v="166.2"/>
    <x v="6"/>
  </r>
  <r>
    <s v="Rural"/>
    <n v="2022"/>
    <s v="April"/>
    <x v="111"/>
    <s v="Recreation and amusement"/>
    <n v="167.2"/>
    <x v="1"/>
  </r>
  <r>
    <s v="Rural"/>
    <n v="2022"/>
    <s v="April"/>
    <x v="111"/>
    <s v="Education"/>
    <n v="170.9"/>
    <x v="7"/>
  </r>
  <r>
    <s v="Rural"/>
    <n v="2022"/>
    <s v="April"/>
    <x v="111"/>
    <s v="Personal care and effects"/>
    <n v="169"/>
    <x v="4"/>
  </r>
  <r>
    <s v="Rural"/>
    <n v="2022"/>
    <s v="April"/>
    <x v="111"/>
    <s v="Miscellaneous"/>
    <n v="170.2"/>
    <x v="8"/>
  </r>
  <r>
    <s v="Rural"/>
    <n v="2022"/>
    <s v="April"/>
    <x v="111"/>
    <s v="General index"/>
    <n v="170.8"/>
    <x v="9"/>
  </r>
  <r>
    <s v="Urban"/>
    <n v="2022"/>
    <s v="April"/>
    <x v="111"/>
    <s v="Cereals and products"/>
    <n v="155.4"/>
    <x v="0"/>
  </r>
  <r>
    <s v="Urban"/>
    <n v="2022"/>
    <s v="April"/>
    <x v="111"/>
    <s v="Meat and fish"/>
    <n v="215.8"/>
    <x v="0"/>
  </r>
  <r>
    <s v="Urban"/>
    <n v="2022"/>
    <s v="April"/>
    <x v="111"/>
    <s v="Egg"/>
    <n v="164.6"/>
    <x v="0"/>
  </r>
  <r>
    <s v="Urban"/>
    <n v="2022"/>
    <s v="April"/>
    <x v="111"/>
    <s v="Milk and products"/>
    <n v="164.2"/>
    <x v="0"/>
  </r>
  <r>
    <s v="Urban"/>
    <n v="2022"/>
    <s v="April"/>
    <x v="111"/>
    <s v="Oils and fats"/>
    <n v="186"/>
    <x v="0"/>
  </r>
  <r>
    <s v="Urban"/>
    <n v="2022"/>
    <s v="April"/>
    <x v="111"/>
    <s v="Fruits"/>
    <n v="175.9"/>
    <x v="0"/>
  </r>
  <r>
    <s v="Urban"/>
    <n v="2022"/>
    <s v="April"/>
    <x v="111"/>
    <s v="Vegetables"/>
    <n v="190.7"/>
    <x v="0"/>
  </r>
  <r>
    <s v="Urban"/>
    <n v="2022"/>
    <s v="April"/>
    <x v="111"/>
    <s v="Pulses and products"/>
    <n v="164"/>
    <x v="0"/>
  </r>
  <r>
    <s v="Urban"/>
    <n v="2022"/>
    <s v="April"/>
    <x v="111"/>
    <s v="Sugar and Confectionery"/>
    <n v="120.5"/>
    <x v="0"/>
  </r>
  <r>
    <s v="Urban"/>
    <n v="2022"/>
    <s v="April"/>
    <x v="111"/>
    <s v="Spices"/>
    <n v="178"/>
    <x v="0"/>
  </r>
  <r>
    <s v="Urban"/>
    <n v="2022"/>
    <s v="April"/>
    <x v="111"/>
    <s v="Non-alcoholic beverages"/>
    <n v="157.5"/>
    <x v="0"/>
  </r>
  <r>
    <s v="Urban"/>
    <n v="2022"/>
    <s v="April"/>
    <x v="111"/>
    <s v="Prepared meals, snacks, sweets etc."/>
    <n v="183.3"/>
    <x v="0"/>
  </r>
  <r>
    <s v="Urban"/>
    <n v="2022"/>
    <s v="April"/>
    <x v="111"/>
    <s v="Food and beverages"/>
    <n v="174.5"/>
    <x v="0"/>
  </r>
  <r>
    <s v="Urban"/>
    <n v="2022"/>
    <s v="April"/>
    <x v="111"/>
    <s v="Pan, tobacco and intoxicants"/>
    <n v="197.1"/>
    <x v="1"/>
  </r>
  <r>
    <s v="Urban"/>
    <n v="2022"/>
    <s v="April"/>
    <x v="111"/>
    <s v="Clothing"/>
    <n v="168.4"/>
    <x v="2"/>
  </r>
  <r>
    <s v="Urban"/>
    <n v="2022"/>
    <s v="April"/>
    <x v="111"/>
    <s v="Footwear"/>
    <n v="154.5"/>
    <x v="2"/>
  </r>
  <r>
    <s v="Urban"/>
    <n v="2022"/>
    <s v="April"/>
    <x v="111"/>
    <s v="Clothing and footwear"/>
    <n v="166.3"/>
    <x v="2"/>
  </r>
  <r>
    <s v="Urban"/>
    <n v="2022"/>
    <s v="April"/>
    <x v="111"/>
    <s v="Housing"/>
    <n v="167"/>
    <x v="10"/>
  </r>
  <r>
    <s v="Urban"/>
    <n v="2022"/>
    <s v="April"/>
    <x v="111"/>
    <s v="Fuel and light"/>
    <n v="170.5"/>
    <x v="3"/>
  </r>
  <r>
    <s v="Urban"/>
    <n v="2022"/>
    <s v="April"/>
    <x v="111"/>
    <s v="Household goods and services"/>
    <n v="159.80000000000001"/>
    <x v="4"/>
  </r>
  <r>
    <s v="Urban"/>
    <n v="2022"/>
    <s v="April"/>
    <x v="111"/>
    <s v="Health"/>
    <n v="169"/>
    <x v="5"/>
  </r>
  <r>
    <s v="Urban"/>
    <n v="2022"/>
    <s v="April"/>
    <x v="111"/>
    <s v="Transport and communication"/>
    <n v="159.30000000000001"/>
    <x v="6"/>
  </r>
  <r>
    <s v="Urban"/>
    <n v="2022"/>
    <s v="April"/>
    <x v="111"/>
    <s v="Recreation and amusement"/>
    <n v="162.19999999999999"/>
    <x v="1"/>
  </r>
  <r>
    <s v="Urban"/>
    <n v="2022"/>
    <s v="April"/>
    <x v="111"/>
    <s v="Education"/>
    <n v="164"/>
    <x v="7"/>
  </r>
  <r>
    <s v="Urban"/>
    <n v="2022"/>
    <s v="April"/>
    <x v="111"/>
    <s v="Personal care and effects"/>
    <n v="168.4"/>
    <x v="4"/>
  </r>
  <r>
    <s v="Urban"/>
    <n v="2022"/>
    <s v="April"/>
    <x v="111"/>
    <s v="Miscellaneous"/>
    <n v="163.1"/>
    <x v="8"/>
  </r>
  <r>
    <s v="Urban"/>
    <n v="2022"/>
    <s v="April"/>
    <x v="111"/>
    <s v="General index"/>
    <n v="169.2"/>
    <x v="9"/>
  </r>
  <r>
    <s v="Rural+Urban"/>
    <n v="2022"/>
    <s v="April"/>
    <x v="111"/>
    <s v="Cereals and products"/>
    <n v="152.9"/>
    <x v="0"/>
  </r>
  <r>
    <s v="Rural+Urban"/>
    <n v="2022"/>
    <s v="April"/>
    <x v="111"/>
    <s v="Meat and fish"/>
    <n v="211.8"/>
    <x v="0"/>
  </r>
  <r>
    <s v="Rural+Urban"/>
    <n v="2022"/>
    <s v="April"/>
    <x v="111"/>
    <s v="Egg"/>
    <n v="164.5"/>
    <x v="0"/>
  </r>
  <r>
    <s v="Rural+Urban"/>
    <n v="2022"/>
    <s v="April"/>
    <x v="111"/>
    <s v="Milk and products"/>
    <n v="163.9"/>
    <x v="0"/>
  </r>
  <r>
    <s v="Rural+Urban"/>
    <n v="2022"/>
    <s v="April"/>
    <x v="111"/>
    <s v="Oils and fats"/>
    <n v="199.5"/>
    <x v="0"/>
  </r>
  <r>
    <s v="Rural+Urban"/>
    <n v="2022"/>
    <s v="April"/>
    <x v="111"/>
    <s v="Fruits"/>
    <n v="172.6"/>
    <x v="0"/>
  </r>
  <r>
    <s v="Rural+Urban"/>
    <n v="2022"/>
    <s v="April"/>
    <x v="111"/>
    <s v="Vegetables"/>
    <n v="166.2"/>
    <x v="0"/>
  </r>
  <r>
    <s v="Rural+Urban"/>
    <n v="2022"/>
    <s v="April"/>
    <x v="111"/>
    <s v="Pulses and products"/>
    <n v="164.7"/>
    <x v="0"/>
  </r>
  <r>
    <s v="Rural+Urban"/>
    <n v="2022"/>
    <s v="April"/>
    <x v="111"/>
    <s v="Sugar and Confectionery"/>
    <n v="119"/>
    <x v="0"/>
  </r>
  <r>
    <s v="Rural+Urban"/>
    <n v="2022"/>
    <s v="April"/>
    <x v="111"/>
    <s v="Spices"/>
    <n v="181.3"/>
    <x v="0"/>
  </r>
  <r>
    <s v="Rural+Urban"/>
    <n v="2022"/>
    <s v="April"/>
    <x v="111"/>
    <s v="Non-alcoholic beverages"/>
    <n v="166.2"/>
    <x v="0"/>
  </r>
  <r>
    <s v="Rural+Urban"/>
    <n v="2022"/>
    <s v="April"/>
    <x v="111"/>
    <s v="Prepared meals, snacks, sweets etc."/>
    <n v="180.9"/>
    <x v="0"/>
  </r>
  <r>
    <s v="Rural+Urban"/>
    <n v="2022"/>
    <s v="April"/>
    <x v="111"/>
    <s v="Food and beverages"/>
    <n v="170.8"/>
    <x v="0"/>
  </r>
  <r>
    <s v="Rural+Urban"/>
    <n v="2022"/>
    <s v="April"/>
    <x v="111"/>
    <s v="Pan, tobacco and intoxicants"/>
    <n v="193.9"/>
    <x v="1"/>
  </r>
  <r>
    <s v="Rural+Urban"/>
    <n v="2022"/>
    <s v="April"/>
    <x v="111"/>
    <s v="Clothing"/>
    <n v="173.9"/>
    <x v="2"/>
  </r>
  <r>
    <s v="Rural+Urban"/>
    <n v="2022"/>
    <s v="April"/>
    <x v="111"/>
    <s v="Footwear"/>
    <n v="166.5"/>
    <x v="2"/>
  </r>
  <r>
    <s v="Rural+Urban"/>
    <n v="2022"/>
    <s v="April"/>
    <x v="111"/>
    <s v="Clothing and footwear"/>
    <n v="172.8"/>
    <x v="2"/>
  </r>
  <r>
    <s v="Rural+Urban"/>
    <n v="2022"/>
    <s v="April"/>
    <x v="111"/>
    <s v="Housing"/>
    <n v="167"/>
    <x v="10"/>
  </r>
  <r>
    <s v="Rural+Urban"/>
    <n v="2022"/>
    <s v="April"/>
    <x v="111"/>
    <s v="Fuel and light"/>
    <n v="172.2"/>
    <x v="3"/>
  </r>
  <r>
    <s v="Rural+Urban"/>
    <n v="2022"/>
    <s v="April"/>
    <x v="111"/>
    <s v="Household goods and services"/>
    <n v="164"/>
    <x v="4"/>
  </r>
  <r>
    <s v="Rural+Urban"/>
    <n v="2022"/>
    <s v="April"/>
    <x v="111"/>
    <s v="Health"/>
    <n v="174"/>
    <x v="5"/>
  </r>
  <r>
    <s v="Rural+Urban"/>
    <n v="2022"/>
    <s v="April"/>
    <x v="111"/>
    <s v="Transport and communication"/>
    <n v="162.6"/>
    <x v="6"/>
  </r>
  <r>
    <s v="Rural+Urban"/>
    <n v="2022"/>
    <s v="April"/>
    <x v="111"/>
    <s v="Recreation and amusement"/>
    <n v="164.4"/>
    <x v="1"/>
  </r>
  <r>
    <s v="Rural+Urban"/>
    <n v="2022"/>
    <s v="April"/>
    <x v="111"/>
    <s v="Education"/>
    <n v="166.9"/>
    <x v="7"/>
  </r>
  <r>
    <s v="Rural+Urban"/>
    <n v="2022"/>
    <s v="April"/>
    <x v="111"/>
    <s v="Personal care and effects"/>
    <n v="168.8"/>
    <x v="4"/>
  </r>
  <r>
    <s v="Rural+Urban"/>
    <n v="2022"/>
    <s v="April"/>
    <x v="111"/>
    <s v="Miscellaneous"/>
    <n v="166.8"/>
    <x v="8"/>
  </r>
  <r>
    <s v="Rural+Urban"/>
    <n v="2022"/>
    <s v="April"/>
    <x v="111"/>
    <s v="General index"/>
    <n v="170.1"/>
    <x v="9"/>
  </r>
  <r>
    <s v="Rural"/>
    <n v="2022"/>
    <s v="May"/>
    <x v="112"/>
    <s v="Cereals and products"/>
    <n v="152.9"/>
    <x v="0"/>
  </r>
  <r>
    <s v="Rural"/>
    <n v="2022"/>
    <s v="May"/>
    <x v="112"/>
    <s v="Meat and fish"/>
    <n v="214.7"/>
    <x v="0"/>
  </r>
  <r>
    <s v="Rural"/>
    <n v="2022"/>
    <s v="May"/>
    <x v="112"/>
    <s v="Egg"/>
    <n v="161.4"/>
    <x v="0"/>
  </r>
  <r>
    <s v="Rural"/>
    <n v="2022"/>
    <s v="May"/>
    <x v="112"/>
    <s v="Milk and products"/>
    <n v="164.6"/>
    <x v="0"/>
  </r>
  <r>
    <s v="Rural"/>
    <n v="2022"/>
    <s v="May"/>
    <x v="112"/>
    <s v="Oils and fats"/>
    <n v="209.9"/>
    <x v="0"/>
  </r>
  <r>
    <s v="Rural"/>
    <n v="2022"/>
    <s v="May"/>
    <x v="112"/>
    <s v="Fruits"/>
    <n v="168"/>
    <x v="0"/>
  </r>
  <r>
    <s v="Rural"/>
    <n v="2022"/>
    <s v="May"/>
    <x v="112"/>
    <s v="Vegetables"/>
    <n v="160.4"/>
    <x v="0"/>
  </r>
  <r>
    <s v="Rural"/>
    <n v="2022"/>
    <s v="May"/>
    <x v="112"/>
    <s v="Pulses and products"/>
    <n v="165"/>
    <x v="0"/>
  </r>
  <r>
    <s v="Rural"/>
    <n v="2022"/>
    <s v="May"/>
    <x v="112"/>
    <s v="Sugar and Confectionery"/>
    <n v="118.9"/>
    <x v="0"/>
  </r>
  <r>
    <s v="Rural"/>
    <n v="2022"/>
    <s v="May"/>
    <x v="112"/>
    <s v="Spices"/>
    <n v="186.6"/>
    <x v="0"/>
  </r>
  <r>
    <s v="Rural"/>
    <n v="2022"/>
    <s v="May"/>
    <x v="112"/>
    <s v="Non-alcoholic beverages"/>
    <n v="173.2"/>
    <x v="0"/>
  </r>
  <r>
    <s v="Rural"/>
    <n v="2022"/>
    <s v="May"/>
    <x v="112"/>
    <s v="Prepared meals, snacks, sweets etc."/>
    <n v="180.4"/>
    <x v="0"/>
  </r>
  <r>
    <s v="Rural"/>
    <n v="2022"/>
    <s v="May"/>
    <x v="112"/>
    <s v="Food and beverages"/>
    <n v="170.8"/>
    <x v="0"/>
  </r>
  <r>
    <s v="Rural"/>
    <n v="2022"/>
    <s v="May"/>
    <x v="112"/>
    <s v="Pan, tobacco and intoxicants"/>
    <n v="192.9"/>
    <x v="1"/>
  </r>
  <r>
    <s v="Rural"/>
    <n v="2022"/>
    <s v="May"/>
    <x v="112"/>
    <s v="Clothing"/>
    <n v="179.3"/>
    <x v="2"/>
  </r>
  <r>
    <s v="Rural"/>
    <n v="2022"/>
    <s v="May"/>
    <x v="112"/>
    <s v="Footwear"/>
    <n v="177.2"/>
    <x v="2"/>
  </r>
  <r>
    <s v="Rural"/>
    <n v="2022"/>
    <s v="May"/>
    <x v="112"/>
    <s v="Clothing and footwear"/>
    <n v="179"/>
    <x v="2"/>
  </r>
  <r>
    <s v="Rural"/>
    <n v="2022"/>
    <s v="May"/>
    <x v="112"/>
    <s v="Fuel and light"/>
    <n v="175.3"/>
    <x v="3"/>
  </r>
  <r>
    <s v="Rural"/>
    <n v="2022"/>
    <s v="May"/>
    <x v="112"/>
    <s v="Household goods and services"/>
    <n v="168.9"/>
    <x v="4"/>
  </r>
  <r>
    <s v="Rural"/>
    <n v="2022"/>
    <s v="May"/>
    <x v="112"/>
    <s v="Health"/>
    <n v="177.7"/>
    <x v="5"/>
  </r>
  <r>
    <s v="Rural"/>
    <n v="2022"/>
    <s v="May"/>
    <x v="112"/>
    <s v="Transport and communication"/>
    <n v="167.1"/>
    <x v="6"/>
  </r>
  <r>
    <s v="Rural"/>
    <n v="2022"/>
    <s v="May"/>
    <x v="112"/>
    <s v="Recreation and amusement"/>
    <n v="167.6"/>
    <x v="1"/>
  </r>
  <r>
    <s v="Rural"/>
    <n v="2022"/>
    <s v="May"/>
    <x v="112"/>
    <s v="Education"/>
    <n v="171.8"/>
    <x v="7"/>
  </r>
  <r>
    <s v="Rural"/>
    <n v="2022"/>
    <s v="May"/>
    <x v="112"/>
    <s v="Personal care and effects"/>
    <n v="168.5"/>
    <x v="4"/>
  </r>
  <r>
    <s v="Rural"/>
    <n v="2022"/>
    <s v="May"/>
    <x v="112"/>
    <s v="Miscellaneous"/>
    <n v="170.9"/>
    <x v="8"/>
  </r>
  <r>
    <s v="Rural"/>
    <n v="2022"/>
    <s v="May"/>
    <x v="112"/>
    <s v="General index"/>
    <n v="172.5"/>
    <x v="9"/>
  </r>
  <r>
    <s v="Urban"/>
    <n v="2022"/>
    <s v="May"/>
    <x v="112"/>
    <s v="Cereals and products"/>
    <n v="156.69999999999999"/>
    <x v="0"/>
  </r>
  <r>
    <s v="Urban"/>
    <n v="2022"/>
    <s v="May"/>
    <x v="112"/>
    <s v="Meat and fish"/>
    <n v="221.2"/>
    <x v="0"/>
  </r>
  <r>
    <s v="Urban"/>
    <n v="2022"/>
    <s v="May"/>
    <x v="112"/>
    <s v="Egg"/>
    <n v="164.1"/>
    <x v="0"/>
  </r>
  <r>
    <s v="Urban"/>
    <n v="2022"/>
    <s v="May"/>
    <x v="112"/>
    <s v="Milk and products"/>
    <n v="165.4"/>
    <x v="0"/>
  </r>
  <r>
    <s v="Urban"/>
    <n v="2022"/>
    <s v="May"/>
    <x v="112"/>
    <s v="Oils and fats"/>
    <n v="189.5"/>
    <x v="0"/>
  </r>
  <r>
    <s v="Urban"/>
    <n v="2022"/>
    <s v="May"/>
    <x v="112"/>
    <s v="Fruits"/>
    <n v="174.5"/>
    <x v="0"/>
  </r>
  <r>
    <s v="Urban"/>
    <n v="2022"/>
    <s v="May"/>
    <x v="112"/>
    <s v="Vegetables"/>
    <n v="203.2"/>
    <x v="0"/>
  </r>
  <r>
    <s v="Urban"/>
    <n v="2022"/>
    <s v="May"/>
    <x v="112"/>
    <s v="Pulses and products"/>
    <n v="164.1"/>
    <x v="0"/>
  </r>
  <r>
    <s v="Urban"/>
    <n v="2022"/>
    <s v="May"/>
    <x v="112"/>
    <s v="Sugar and Confectionery"/>
    <n v="121.2"/>
    <x v="0"/>
  </r>
  <r>
    <s v="Urban"/>
    <n v="2022"/>
    <s v="May"/>
    <x v="112"/>
    <s v="Spices"/>
    <n v="181.4"/>
    <x v="0"/>
  </r>
  <r>
    <s v="Urban"/>
    <n v="2022"/>
    <s v="May"/>
    <x v="112"/>
    <s v="Non-alcoholic beverages"/>
    <n v="158.5"/>
    <x v="0"/>
  </r>
  <r>
    <s v="Urban"/>
    <n v="2022"/>
    <s v="May"/>
    <x v="112"/>
    <s v="Prepared meals, snacks, sweets etc."/>
    <n v="184.9"/>
    <x v="0"/>
  </r>
  <r>
    <s v="Urban"/>
    <n v="2022"/>
    <s v="May"/>
    <x v="112"/>
    <s v="Food and beverages"/>
    <n v="177.5"/>
    <x v="0"/>
  </r>
  <r>
    <s v="Urban"/>
    <n v="2022"/>
    <s v="May"/>
    <x v="112"/>
    <s v="Pan, tobacco and intoxicants"/>
    <n v="197.5"/>
    <x v="1"/>
  </r>
  <r>
    <s v="Urban"/>
    <n v="2022"/>
    <s v="May"/>
    <x v="112"/>
    <s v="Clothing"/>
    <n v="170"/>
    <x v="2"/>
  </r>
  <r>
    <s v="Urban"/>
    <n v="2022"/>
    <s v="May"/>
    <x v="112"/>
    <s v="Footwear"/>
    <n v="155.9"/>
    <x v="2"/>
  </r>
  <r>
    <s v="Urban"/>
    <n v="2022"/>
    <s v="May"/>
    <x v="112"/>
    <s v="Clothing and footwear"/>
    <n v="167.8"/>
    <x v="2"/>
  </r>
  <r>
    <s v="Urban"/>
    <n v="2022"/>
    <s v="May"/>
    <x v="112"/>
    <s v="Housing"/>
    <n v="167.5"/>
    <x v="10"/>
  </r>
  <r>
    <s v="Urban"/>
    <n v="2022"/>
    <s v="May"/>
    <x v="112"/>
    <s v="Fuel and light"/>
    <n v="173.5"/>
    <x v="3"/>
  </r>
  <r>
    <s v="Urban"/>
    <n v="2022"/>
    <s v="May"/>
    <x v="112"/>
    <s v="Household goods and services"/>
    <n v="161.1"/>
    <x v="4"/>
  </r>
  <r>
    <s v="Urban"/>
    <n v="2022"/>
    <s v="May"/>
    <x v="112"/>
    <s v="Health"/>
    <n v="170.1"/>
    <x v="5"/>
  </r>
  <r>
    <s v="Urban"/>
    <n v="2022"/>
    <s v="May"/>
    <x v="112"/>
    <s v="Transport and communication"/>
    <n v="159.4"/>
    <x v="6"/>
  </r>
  <r>
    <s v="Urban"/>
    <n v="2022"/>
    <s v="May"/>
    <x v="112"/>
    <s v="Recreation and amusement"/>
    <n v="163.19999999999999"/>
    <x v="1"/>
  </r>
  <r>
    <s v="Urban"/>
    <n v="2022"/>
    <s v="May"/>
    <x v="112"/>
    <s v="Education"/>
    <n v="165.2"/>
    <x v="7"/>
  </r>
  <r>
    <s v="Urban"/>
    <n v="2022"/>
    <s v="May"/>
    <x v="112"/>
    <s v="Personal care and effects"/>
    <n v="168.2"/>
    <x v="4"/>
  </r>
  <r>
    <s v="Urban"/>
    <n v="2022"/>
    <s v="May"/>
    <x v="112"/>
    <s v="Miscellaneous"/>
    <n v="163.80000000000001"/>
    <x v="8"/>
  </r>
  <r>
    <s v="Urban"/>
    <n v="2022"/>
    <s v="May"/>
    <x v="112"/>
    <s v="General index"/>
    <n v="170.8"/>
    <x v="9"/>
  </r>
  <r>
    <s v="Rural+Urban"/>
    <n v="2022"/>
    <s v="May"/>
    <x v="112"/>
    <s v="Cereals and products"/>
    <n v="154.1"/>
    <x v="0"/>
  </r>
  <r>
    <s v="Rural+Urban"/>
    <n v="2022"/>
    <s v="May"/>
    <x v="112"/>
    <s v="Meat and fish"/>
    <n v="217"/>
    <x v="0"/>
  </r>
  <r>
    <s v="Rural+Urban"/>
    <n v="2022"/>
    <s v="May"/>
    <x v="112"/>
    <s v="Egg"/>
    <n v="162.4"/>
    <x v="0"/>
  </r>
  <r>
    <s v="Rural+Urban"/>
    <n v="2022"/>
    <s v="May"/>
    <x v="112"/>
    <s v="Milk and products"/>
    <n v="164.9"/>
    <x v="0"/>
  </r>
  <r>
    <s v="Rural+Urban"/>
    <n v="2022"/>
    <s v="May"/>
    <x v="112"/>
    <s v="Oils and fats"/>
    <n v="202.4"/>
    <x v="0"/>
  </r>
  <r>
    <s v="Rural+Urban"/>
    <n v="2022"/>
    <s v="May"/>
    <x v="112"/>
    <s v="Fruits"/>
    <n v="171"/>
    <x v="0"/>
  </r>
  <r>
    <s v="Rural+Urban"/>
    <n v="2022"/>
    <s v="May"/>
    <x v="112"/>
    <s v="Vegetables"/>
    <n v="174.9"/>
    <x v="0"/>
  </r>
  <r>
    <s v="Rural+Urban"/>
    <n v="2022"/>
    <s v="May"/>
    <x v="112"/>
    <s v="Pulses and products"/>
    <n v="164.7"/>
    <x v="0"/>
  </r>
  <r>
    <s v="Rural+Urban"/>
    <n v="2022"/>
    <s v="May"/>
    <x v="112"/>
    <s v="Sugar and Confectionery"/>
    <n v="119.7"/>
    <x v="0"/>
  </r>
  <r>
    <s v="Rural+Urban"/>
    <n v="2022"/>
    <s v="May"/>
    <x v="112"/>
    <s v="Spices"/>
    <n v="184.9"/>
    <x v="0"/>
  </r>
  <r>
    <s v="Rural+Urban"/>
    <n v="2022"/>
    <s v="May"/>
    <x v="112"/>
    <s v="Non-alcoholic beverages"/>
    <n v="167.1"/>
    <x v="0"/>
  </r>
  <r>
    <s v="Rural+Urban"/>
    <n v="2022"/>
    <s v="May"/>
    <x v="112"/>
    <s v="Prepared meals, snacks, sweets etc."/>
    <n v="182.5"/>
    <x v="0"/>
  </r>
  <r>
    <s v="Rural+Urban"/>
    <n v="2022"/>
    <s v="May"/>
    <x v="112"/>
    <s v="Food and beverages"/>
    <n v="173.3"/>
    <x v="0"/>
  </r>
  <r>
    <s v="Rural+Urban"/>
    <n v="2022"/>
    <s v="May"/>
    <x v="112"/>
    <s v="Pan, tobacco and intoxicants"/>
    <n v="194.1"/>
    <x v="1"/>
  </r>
  <r>
    <s v="Rural+Urban"/>
    <n v="2022"/>
    <s v="May"/>
    <x v="112"/>
    <s v="Clothing"/>
    <n v="175.6"/>
    <x v="2"/>
  </r>
  <r>
    <s v="Rural+Urban"/>
    <n v="2022"/>
    <s v="May"/>
    <x v="112"/>
    <s v="Footwear"/>
    <n v="168.4"/>
    <x v="2"/>
  </r>
  <r>
    <s v="Rural+Urban"/>
    <n v="2022"/>
    <s v="May"/>
    <x v="112"/>
    <s v="Clothing and footwear"/>
    <n v="174.6"/>
    <x v="2"/>
  </r>
  <r>
    <s v="Rural+Urban"/>
    <n v="2022"/>
    <s v="May"/>
    <x v="112"/>
    <s v="Housing"/>
    <n v="167.5"/>
    <x v="10"/>
  </r>
  <r>
    <s v="Rural+Urban"/>
    <n v="2022"/>
    <s v="May"/>
    <x v="112"/>
    <s v="Fuel and light"/>
    <n v="174.6"/>
    <x v="3"/>
  </r>
  <r>
    <s v="Rural+Urban"/>
    <n v="2022"/>
    <s v="May"/>
    <x v="112"/>
    <s v="Household goods and services"/>
    <n v="165.2"/>
    <x v="4"/>
  </r>
  <r>
    <s v="Rural+Urban"/>
    <n v="2022"/>
    <s v="May"/>
    <x v="112"/>
    <s v="Health"/>
    <n v="174.8"/>
    <x v="5"/>
  </r>
  <r>
    <s v="Rural+Urban"/>
    <n v="2022"/>
    <s v="May"/>
    <x v="112"/>
    <s v="Transport and communication"/>
    <n v="163"/>
    <x v="6"/>
  </r>
  <r>
    <s v="Rural+Urban"/>
    <n v="2022"/>
    <s v="May"/>
    <x v="112"/>
    <s v="Recreation and amusement"/>
    <n v="165.1"/>
    <x v="1"/>
  </r>
  <r>
    <s v="Rural+Urban"/>
    <n v="2022"/>
    <s v="May"/>
    <x v="112"/>
    <s v="Education"/>
    <n v="167.9"/>
    <x v="7"/>
  </r>
  <r>
    <s v="Rural+Urban"/>
    <n v="2022"/>
    <s v="May"/>
    <x v="112"/>
    <s v="Personal care and effects"/>
    <n v="168.4"/>
    <x v="4"/>
  </r>
  <r>
    <s v="Rural+Urban"/>
    <n v="2022"/>
    <s v="May"/>
    <x v="112"/>
    <s v="Miscellaneous"/>
    <n v="167.5"/>
    <x v="8"/>
  </r>
  <r>
    <s v="Rural+Urban"/>
    <n v="2022"/>
    <s v="May"/>
    <x v="112"/>
    <s v="General index"/>
    <n v="171.7"/>
    <x v="9"/>
  </r>
  <r>
    <s v="Rural"/>
    <n v="2022"/>
    <s v="June"/>
    <x v="113"/>
    <s v="Cereals and products"/>
    <n v="153.80000000000001"/>
    <x v="0"/>
  </r>
  <r>
    <s v="Rural"/>
    <n v="2022"/>
    <s v="June"/>
    <x v="113"/>
    <s v="Meat and fish"/>
    <n v="217.2"/>
    <x v="0"/>
  </r>
  <r>
    <s v="Rural"/>
    <n v="2022"/>
    <s v="June"/>
    <x v="113"/>
    <s v="Egg"/>
    <n v="169.6"/>
    <x v="0"/>
  </r>
  <r>
    <s v="Rural"/>
    <n v="2022"/>
    <s v="June"/>
    <x v="113"/>
    <s v="Milk and products"/>
    <n v="165.4"/>
    <x v="0"/>
  </r>
  <r>
    <s v="Rural"/>
    <n v="2022"/>
    <s v="June"/>
    <x v="113"/>
    <s v="Oils and fats"/>
    <n v="208.1"/>
    <x v="0"/>
  </r>
  <r>
    <s v="Rural"/>
    <n v="2022"/>
    <s v="June"/>
    <x v="113"/>
    <s v="Fruits"/>
    <n v="165.8"/>
    <x v="0"/>
  </r>
  <r>
    <s v="Rural"/>
    <n v="2022"/>
    <s v="June"/>
    <x v="113"/>
    <s v="Vegetables"/>
    <n v="167.3"/>
    <x v="0"/>
  </r>
  <r>
    <s v="Rural"/>
    <n v="2022"/>
    <s v="June"/>
    <x v="113"/>
    <s v="Pulses and products"/>
    <n v="164.6"/>
    <x v="0"/>
  </r>
  <r>
    <s v="Rural"/>
    <n v="2022"/>
    <s v="June"/>
    <x v="113"/>
    <s v="Sugar and Confectionery"/>
    <n v="119.1"/>
    <x v="0"/>
  </r>
  <r>
    <s v="Rural"/>
    <n v="2022"/>
    <s v="June"/>
    <x v="113"/>
    <s v="Spices"/>
    <n v="188.9"/>
    <x v="0"/>
  </r>
  <r>
    <s v="Rural"/>
    <n v="2022"/>
    <s v="June"/>
    <x v="113"/>
    <s v="Non-alcoholic beverages"/>
    <n v="174.2"/>
    <x v="0"/>
  </r>
  <r>
    <s v="Rural"/>
    <n v="2022"/>
    <s v="June"/>
    <x v="113"/>
    <s v="Prepared meals, snacks, sweets etc."/>
    <n v="181.9"/>
    <x v="0"/>
  </r>
  <r>
    <s v="Rural"/>
    <n v="2022"/>
    <s v="June"/>
    <x v="113"/>
    <s v="Food and beverages"/>
    <n v="172.4"/>
    <x v="0"/>
  </r>
  <r>
    <s v="Rural"/>
    <n v="2022"/>
    <s v="June"/>
    <x v="113"/>
    <s v="Pan, tobacco and intoxicants"/>
    <n v="192.9"/>
    <x v="1"/>
  </r>
  <r>
    <s v="Rural"/>
    <n v="2022"/>
    <s v="June"/>
    <x v="113"/>
    <s v="Clothing"/>
    <n v="180.7"/>
    <x v="2"/>
  </r>
  <r>
    <s v="Rural"/>
    <n v="2022"/>
    <s v="June"/>
    <x v="113"/>
    <s v="Footwear"/>
    <n v="178.7"/>
    <x v="2"/>
  </r>
  <r>
    <s v="Rural"/>
    <n v="2022"/>
    <s v="June"/>
    <x v="113"/>
    <s v="Clothing and footwear"/>
    <n v="180.4"/>
    <x v="2"/>
  </r>
  <r>
    <s v="Rural"/>
    <n v="2022"/>
    <s v="June"/>
    <x v="113"/>
    <s v="Fuel and light"/>
    <n v="176.7"/>
    <x v="3"/>
  </r>
  <r>
    <s v="Rural"/>
    <n v="2022"/>
    <s v="June"/>
    <x v="113"/>
    <s v="Household goods and services"/>
    <n v="170.3"/>
    <x v="4"/>
  </r>
  <r>
    <s v="Rural"/>
    <n v="2022"/>
    <s v="June"/>
    <x v="113"/>
    <s v="Health"/>
    <n v="178.2"/>
    <x v="5"/>
  </r>
  <r>
    <s v="Rural"/>
    <n v="2022"/>
    <s v="June"/>
    <x v="113"/>
    <s v="Transport and communication"/>
    <n v="165.5"/>
    <x v="6"/>
  </r>
  <r>
    <s v="Rural"/>
    <n v="2022"/>
    <s v="June"/>
    <x v="113"/>
    <s v="Recreation and amusement"/>
    <n v="168"/>
    <x v="1"/>
  </r>
  <r>
    <s v="Rural"/>
    <n v="2022"/>
    <s v="June"/>
    <x v="113"/>
    <s v="Education"/>
    <n v="172.6"/>
    <x v="7"/>
  </r>
  <r>
    <s v="Rural"/>
    <n v="2022"/>
    <s v="June"/>
    <x v="113"/>
    <s v="Personal care and effects"/>
    <n v="169.5"/>
    <x v="4"/>
  </r>
  <r>
    <s v="Rural"/>
    <n v="2022"/>
    <s v="June"/>
    <x v="113"/>
    <s v="Miscellaneous"/>
    <n v="171"/>
    <x v="8"/>
  </r>
  <r>
    <s v="Rural"/>
    <n v="2022"/>
    <s v="June"/>
    <x v="113"/>
    <s v="General index"/>
    <n v="173.6"/>
    <x v="9"/>
  </r>
  <r>
    <s v="Urban"/>
    <n v="2022"/>
    <s v="June"/>
    <x v="113"/>
    <s v="Cereals and products"/>
    <n v="157.5"/>
    <x v="0"/>
  </r>
  <r>
    <s v="Urban"/>
    <n v="2022"/>
    <s v="June"/>
    <x v="113"/>
    <s v="Meat and fish"/>
    <n v="223.4"/>
    <x v="0"/>
  </r>
  <r>
    <s v="Urban"/>
    <n v="2022"/>
    <s v="June"/>
    <x v="113"/>
    <s v="Egg"/>
    <n v="172.8"/>
    <x v="0"/>
  </r>
  <r>
    <s v="Urban"/>
    <n v="2022"/>
    <s v="June"/>
    <x v="113"/>
    <s v="Milk and products"/>
    <n v="166.4"/>
    <x v="0"/>
  </r>
  <r>
    <s v="Urban"/>
    <n v="2022"/>
    <s v="June"/>
    <x v="113"/>
    <s v="Oils and fats"/>
    <n v="188.6"/>
    <x v="0"/>
  </r>
  <r>
    <s v="Urban"/>
    <n v="2022"/>
    <s v="June"/>
    <x v="113"/>
    <s v="Fruits"/>
    <n v="174.1"/>
    <x v="0"/>
  </r>
  <r>
    <s v="Urban"/>
    <n v="2022"/>
    <s v="June"/>
    <x v="113"/>
    <s v="Vegetables"/>
    <n v="211.5"/>
    <x v="0"/>
  </r>
  <r>
    <s v="Urban"/>
    <n v="2022"/>
    <s v="June"/>
    <x v="113"/>
    <s v="Pulses and products"/>
    <n v="163.6"/>
    <x v="0"/>
  </r>
  <r>
    <s v="Urban"/>
    <n v="2022"/>
    <s v="June"/>
    <x v="113"/>
    <s v="Sugar and Confectionery"/>
    <n v="121.4"/>
    <x v="0"/>
  </r>
  <r>
    <s v="Urban"/>
    <n v="2022"/>
    <s v="June"/>
    <x v="113"/>
    <s v="Spices"/>
    <n v="183.5"/>
    <x v="0"/>
  </r>
  <r>
    <s v="Urban"/>
    <n v="2022"/>
    <s v="June"/>
    <x v="113"/>
    <s v="Non-alcoholic beverages"/>
    <n v="159.1"/>
    <x v="0"/>
  </r>
  <r>
    <s v="Urban"/>
    <n v="2022"/>
    <s v="June"/>
    <x v="113"/>
    <s v="Prepared meals, snacks, sweets etc."/>
    <n v="186.3"/>
    <x v="0"/>
  </r>
  <r>
    <s v="Urban"/>
    <n v="2022"/>
    <s v="June"/>
    <x v="113"/>
    <s v="Food and beverages"/>
    <n v="179.3"/>
    <x v="0"/>
  </r>
  <r>
    <s v="Urban"/>
    <n v="2022"/>
    <s v="June"/>
    <x v="113"/>
    <s v="Pan, tobacco and intoxicants"/>
    <n v="198.3"/>
    <x v="1"/>
  </r>
  <r>
    <s v="Urban"/>
    <n v="2022"/>
    <s v="June"/>
    <x v="113"/>
    <s v="Clothing"/>
    <n v="171.6"/>
    <x v="2"/>
  </r>
  <r>
    <s v="Urban"/>
    <n v="2022"/>
    <s v="June"/>
    <x v="113"/>
    <s v="Footwear"/>
    <n v="157.4"/>
    <x v="2"/>
  </r>
  <r>
    <s v="Urban"/>
    <n v="2022"/>
    <s v="June"/>
    <x v="113"/>
    <s v="Clothing and footwear"/>
    <n v="169.4"/>
    <x v="2"/>
  </r>
  <r>
    <s v="Urban"/>
    <n v="2022"/>
    <s v="June"/>
    <x v="113"/>
    <s v="Housing"/>
    <n v="166.8"/>
    <x v="10"/>
  </r>
  <r>
    <s v="Urban"/>
    <n v="2022"/>
    <s v="June"/>
    <x v="113"/>
    <s v="Fuel and light"/>
    <n v="174.9"/>
    <x v="3"/>
  </r>
  <r>
    <s v="Urban"/>
    <n v="2022"/>
    <s v="June"/>
    <x v="113"/>
    <s v="Household goods and services"/>
    <n v="162.1"/>
    <x v="4"/>
  </r>
  <r>
    <s v="Urban"/>
    <n v="2022"/>
    <s v="June"/>
    <x v="113"/>
    <s v="Health"/>
    <n v="170.9"/>
    <x v="5"/>
  </r>
  <r>
    <s v="Urban"/>
    <n v="2022"/>
    <s v="June"/>
    <x v="113"/>
    <s v="Transport and communication"/>
    <n v="157.19999999999999"/>
    <x v="6"/>
  </r>
  <r>
    <s v="Urban"/>
    <n v="2022"/>
    <s v="June"/>
    <x v="113"/>
    <s v="Recreation and amusement"/>
    <n v="164.1"/>
    <x v="1"/>
  </r>
  <r>
    <s v="Urban"/>
    <n v="2022"/>
    <s v="June"/>
    <x v="113"/>
    <s v="Education"/>
    <n v="166.5"/>
    <x v="7"/>
  </r>
  <r>
    <s v="Urban"/>
    <n v="2022"/>
    <s v="June"/>
    <x v="113"/>
    <s v="Personal care and effects"/>
    <n v="169.2"/>
    <x v="4"/>
  </r>
  <r>
    <s v="Urban"/>
    <n v="2022"/>
    <s v="June"/>
    <x v="113"/>
    <s v="Miscellaneous"/>
    <n v="163.80000000000001"/>
    <x v="8"/>
  </r>
  <r>
    <s v="Urban"/>
    <n v="2022"/>
    <s v="June"/>
    <x v="113"/>
    <s v="General index"/>
    <n v="171.4"/>
    <x v="9"/>
  </r>
  <r>
    <s v="Rural+Urban"/>
    <n v="2022"/>
    <s v="June"/>
    <x v="113"/>
    <s v="Cereals and products"/>
    <n v="155"/>
    <x v="0"/>
  </r>
  <r>
    <s v="Rural+Urban"/>
    <n v="2022"/>
    <s v="June"/>
    <x v="113"/>
    <s v="Meat and fish"/>
    <n v="219.4"/>
    <x v="0"/>
  </r>
  <r>
    <s v="Rural+Urban"/>
    <n v="2022"/>
    <s v="June"/>
    <x v="113"/>
    <s v="Egg"/>
    <n v="170.8"/>
    <x v="0"/>
  </r>
  <r>
    <s v="Rural+Urban"/>
    <n v="2022"/>
    <s v="June"/>
    <x v="113"/>
    <s v="Milk and products"/>
    <n v="165.8"/>
    <x v="0"/>
  </r>
  <r>
    <s v="Rural+Urban"/>
    <n v="2022"/>
    <s v="June"/>
    <x v="113"/>
    <s v="Oils and fats"/>
    <n v="200.9"/>
    <x v="0"/>
  </r>
  <r>
    <s v="Rural+Urban"/>
    <n v="2022"/>
    <s v="June"/>
    <x v="113"/>
    <s v="Fruits"/>
    <n v="169.7"/>
    <x v="0"/>
  </r>
  <r>
    <s v="Rural+Urban"/>
    <n v="2022"/>
    <s v="June"/>
    <x v="113"/>
    <s v="Vegetables"/>
    <n v="182.3"/>
    <x v="0"/>
  </r>
  <r>
    <s v="Rural+Urban"/>
    <n v="2022"/>
    <s v="June"/>
    <x v="113"/>
    <s v="Pulses and products"/>
    <n v="164.3"/>
    <x v="0"/>
  </r>
  <r>
    <s v="Rural+Urban"/>
    <n v="2022"/>
    <s v="June"/>
    <x v="113"/>
    <s v="Sugar and Confectionery"/>
    <n v="119.9"/>
    <x v="0"/>
  </r>
  <r>
    <s v="Rural+Urban"/>
    <n v="2022"/>
    <s v="June"/>
    <x v="113"/>
    <s v="Spices"/>
    <n v="187.1"/>
    <x v="0"/>
  </r>
  <r>
    <s v="Rural+Urban"/>
    <n v="2022"/>
    <s v="June"/>
    <x v="113"/>
    <s v="Non-alcoholic beverages"/>
    <n v="167.9"/>
    <x v="0"/>
  </r>
  <r>
    <s v="Rural+Urban"/>
    <n v="2022"/>
    <s v="June"/>
    <x v="113"/>
    <s v="Prepared meals, snacks, sweets etc."/>
    <n v="183.9"/>
    <x v="0"/>
  </r>
  <r>
    <s v="Rural+Urban"/>
    <n v="2022"/>
    <s v="June"/>
    <x v="113"/>
    <s v="Food and beverages"/>
    <n v="174.9"/>
    <x v="0"/>
  </r>
  <r>
    <s v="Rural+Urban"/>
    <n v="2022"/>
    <s v="June"/>
    <x v="113"/>
    <s v="Pan, tobacco and intoxicants"/>
    <n v="194.3"/>
    <x v="1"/>
  </r>
  <r>
    <s v="Rural+Urban"/>
    <n v="2022"/>
    <s v="June"/>
    <x v="113"/>
    <s v="Clothing"/>
    <n v="177.1"/>
    <x v="2"/>
  </r>
  <r>
    <s v="Rural+Urban"/>
    <n v="2022"/>
    <s v="June"/>
    <x v="113"/>
    <s v="Footwear"/>
    <n v="169.9"/>
    <x v="2"/>
  </r>
  <r>
    <s v="Rural+Urban"/>
    <n v="2022"/>
    <s v="June"/>
    <x v="113"/>
    <s v="Clothing and footwear"/>
    <n v="176"/>
    <x v="2"/>
  </r>
  <r>
    <s v="Rural+Urban"/>
    <n v="2022"/>
    <s v="June"/>
    <x v="113"/>
    <s v="Housing"/>
    <n v="166.8"/>
    <x v="10"/>
  </r>
  <r>
    <s v="Rural+Urban"/>
    <n v="2022"/>
    <s v="June"/>
    <x v="113"/>
    <s v="Fuel and light"/>
    <n v="176"/>
    <x v="3"/>
  </r>
  <r>
    <s v="Rural+Urban"/>
    <n v="2022"/>
    <s v="June"/>
    <x v="113"/>
    <s v="Household goods and services"/>
    <n v="166.4"/>
    <x v="4"/>
  </r>
  <r>
    <s v="Rural+Urban"/>
    <n v="2022"/>
    <s v="June"/>
    <x v="113"/>
    <s v="Health"/>
    <n v="175.4"/>
    <x v="5"/>
  </r>
  <r>
    <s v="Rural+Urban"/>
    <n v="2022"/>
    <s v="June"/>
    <x v="113"/>
    <s v="Transport and communication"/>
    <n v="161.1"/>
    <x v="6"/>
  </r>
  <r>
    <s v="Rural+Urban"/>
    <n v="2022"/>
    <s v="June"/>
    <x v="113"/>
    <s v="Recreation and amusement"/>
    <n v="165.8"/>
    <x v="1"/>
  </r>
  <r>
    <s v="Rural+Urban"/>
    <n v="2022"/>
    <s v="June"/>
    <x v="113"/>
    <s v="Education"/>
    <n v="169"/>
    <x v="7"/>
  </r>
  <r>
    <s v="Rural+Urban"/>
    <n v="2022"/>
    <s v="June"/>
    <x v="113"/>
    <s v="Personal care and effects"/>
    <n v="169.4"/>
    <x v="4"/>
  </r>
  <r>
    <s v="Rural+Urban"/>
    <n v="2022"/>
    <s v="June"/>
    <x v="113"/>
    <s v="Miscellaneous"/>
    <n v="167.5"/>
    <x v="8"/>
  </r>
  <r>
    <s v="Rural+Urban"/>
    <n v="2022"/>
    <s v="June"/>
    <x v="113"/>
    <s v="General index"/>
    <n v="172.6"/>
    <x v="9"/>
  </r>
  <r>
    <s v="Rural"/>
    <n v="2022"/>
    <s v="July"/>
    <x v="114"/>
    <s v="Cereals and products"/>
    <n v="155.19999999999999"/>
    <x v="0"/>
  </r>
  <r>
    <s v="Rural"/>
    <n v="2022"/>
    <s v="July"/>
    <x v="114"/>
    <s v="Meat and fish"/>
    <n v="210.8"/>
    <x v="0"/>
  </r>
  <r>
    <s v="Rural"/>
    <n v="2022"/>
    <s v="July"/>
    <x v="114"/>
    <s v="Egg"/>
    <n v="174.3"/>
    <x v="0"/>
  </r>
  <r>
    <s v="Rural"/>
    <n v="2022"/>
    <s v="July"/>
    <x v="114"/>
    <s v="Milk and products"/>
    <n v="166.3"/>
    <x v="0"/>
  </r>
  <r>
    <s v="Rural"/>
    <n v="2022"/>
    <s v="July"/>
    <x v="114"/>
    <s v="Oils and fats"/>
    <n v="202.2"/>
    <x v="0"/>
  </r>
  <r>
    <s v="Rural"/>
    <n v="2022"/>
    <s v="July"/>
    <x v="114"/>
    <s v="Fruits"/>
    <n v="169.6"/>
    <x v="0"/>
  </r>
  <r>
    <s v="Rural"/>
    <n v="2022"/>
    <s v="July"/>
    <x v="114"/>
    <s v="Vegetables"/>
    <n v="168.6"/>
    <x v="0"/>
  </r>
  <r>
    <s v="Rural"/>
    <n v="2022"/>
    <s v="July"/>
    <x v="114"/>
    <s v="Pulses and products"/>
    <n v="164.4"/>
    <x v="0"/>
  </r>
  <r>
    <s v="Rural"/>
    <n v="2022"/>
    <s v="July"/>
    <x v="114"/>
    <s v="Sugar and Confectionery"/>
    <n v="119.2"/>
    <x v="0"/>
  </r>
  <r>
    <s v="Rural"/>
    <n v="2022"/>
    <s v="July"/>
    <x v="114"/>
    <s v="Spices"/>
    <n v="191.8"/>
    <x v="0"/>
  </r>
  <r>
    <s v="Rural"/>
    <n v="2022"/>
    <s v="July"/>
    <x v="114"/>
    <s v="Non-alcoholic beverages"/>
    <n v="174.5"/>
    <x v="0"/>
  </r>
  <r>
    <s v="Rural"/>
    <n v="2022"/>
    <s v="July"/>
    <x v="114"/>
    <s v="Prepared meals, snacks, sweets etc."/>
    <n v="183.1"/>
    <x v="0"/>
  </r>
  <r>
    <s v="Rural"/>
    <n v="2022"/>
    <s v="July"/>
    <x v="114"/>
    <s v="Food and beverages"/>
    <n v="172.5"/>
    <x v="0"/>
  </r>
  <r>
    <s v="Rural"/>
    <n v="2022"/>
    <s v="July"/>
    <x v="114"/>
    <s v="Pan, tobacco and intoxicants"/>
    <n v="193.2"/>
    <x v="1"/>
  </r>
  <r>
    <s v="Rural"/>
    <n v="2022"/>
    <s v="July"/>
    <x v="114"/>
    <s v="Clothing"/>
    <n v="182"/>
    <x v="2"/>
  </r>
  <r>
    <s v="Rural"/>
    <n v="2022"/>
    <s v="July"/>
    <x v="114"/>
    <s v="Footwear"/>
    <n v="180.3"/>
    <x v="2"/>
  </r>
  <r>
    <s v="Rural"/>
    <n v="2022"/>
    <s v="July"/>
    <x v="114"/>
    <s v="Clothing and footwear"/>
    <n v="181.7"/>
    <x v="2"/>
  </r>
  <r>
    <s v="Rural"/>
    <n v="2022"/>
    <s v="July"/>
    <x v="114"/>
    <s v="Fuel and light"/>
    <n v="179.6"/>
    <x v="3"/>
  </r>
  <r>
    <s v="Rural"/>
    <n v="2022"/>
    <s v="July"/>
    <x v="114"/>
    <s v="Household goods and services"/>
    <n v="171.3"/>
    <x v="4"/>
  </r>
  <r>
    <s v="Rural"/>
    <n v="2022"/>
    <s v="July"/>
    <x v="114"/>
    <s v="Health"/>
    <n v="178.8"/>
    <x v="5"/>
  </r>
  <r>
    <s v="Rural"/>
    <n v="2022"/>
    <s v="July"/>
    <x v="114"/>
    <s v="Transport and communication"/>
    <n v="166.3"/>
    <x v="6"/>
  </r>
  <r>
    <s v="Rural"/>
    <n v="2022"/>
    <s v="July"/>
    <x v="114"/>
    <s v="Recreation and amusement"/>
    <n v="168.6"/>
    <x v="1"/>
  </r>
  <r>
    <s v="Rural"/>
    <n v="2022"/>
    <s v="July"/>
    <x v="114"/>
    <s v="Education"/>
    <n v="174.7"/>
    <x v="7"/>
  </r>
  <r>
    <s v="Rural"/>
    <n v="2022"/>
    <s v="July"/>
    <x v="114"/>
    <s v="Personal care and effects"/>
    <n v="169.7"/>
    <x v="4"/>
  </r>
  <r>
    <s v="Rural"/>
    <n v="2022"/>
    <s v="July"/>
    <x v="114"/>
    <s v="Miscellaneous"/>
    <n v="171.8"/>
    <x v="8"/>
  </r>
  <r>
    <s v="Rural"/>
    <n v="2022"/>
    <s v="July"/>
    <x v="114"/>
    <s v="General index"/>
    <n v="174.3"/>
    <x v="9"/>
  </r>
  <r>
    <s v="Urban"/>
    <n v="2022"/>
    <s v="July"/>
    <x v="114"/>
    <s v="Cereals and products"/>
    <n v="159.30000000000001"/>
    <x v="0"/>
  </r>
  <r>
    <s v="Urban"/>
    <n v="2022"/>
    <s v="July"/>
    <x v="114"/>
    <s v="Meat and fish"/>
    <n v="217.1"/>
    <x v="0"/>
  </r>
  <r>
    <s v="Urban"/>
    <n v="2022"/>
    <s v="July"/>
    <x v="114"/>
    <s v="Egg"/>
    <n v="176.6"/>
    <x v="0"/>
  </r>
  <r>
    <s v="Urban"/>
    <n v="2022"/>
    <s v="July"/>
    <x v="114"/>
    <s v="Milk and products"/>
    <n v="167.1"/>
    <x v="0"/>
  </r>
  <r>
    <s v="Urban"/>
    <n v="2022"/>
    <s v="July"/>
    <x v="114"/>
    <s v="Oils and fats"/>
    <n v="184.8"/>
    <x v="0"/>
  </r>
  <r>
    <s v="Urban"/>
    <n v="2022"/>
    <s v="July"/>
    <x v="114"/>
    <s v="Fruits"/>
    <n v="179.5"/>
    <x v="0"/>
  </r>
  <r>
    <s v="Urban"/>
    <n v="2022"/>
    <s v="July"/>
    <x v="114"/>
    <s v="Vegetables"/>
    <n v="208.5"/>
    <x v="0"/>
  </r>
  <r>
    <s v="Urban"/>
    <n v="2022"/>
    <s v="July"/>
    <x v="114"/>
    <s v="Pulses and products"/>
    <n v="164"/>
    <x v="0"/>
  </r>
  <r>
    <s v="Urban"/>
    <n v="2022"/>
    <s v="July"/>
    <x v="114"/>
    <s v="Sugar and Confectionery"/>
    <n v="121.5"/>
    <x v="0"/>
  </r>
  <r>
    <s v="Urban"/>
    <n v="2022"/>
    <s v="July"/>
    <x v="114"/>
    <s v="Spices"/>
    <n v="186.3"/>
    <x v="0"/>
  </r>
  <r>
    <s v="Urban"/>
    <n v="2022"/>
    <s v="July"/>
    <x v="114"/>
    <s v="Non-alcoholic beverages"/>
    <n v="159.80000000000001"/>
    <x v="0"/>
  </r>
  <r>
    <s v="Urban"/>
    <n v="2022"/>
    <s v="July"/>
    <x v="114"/>
    <s v="Prepared meals, snacks, sweets etc."/>
    <n v="187.7"/>
    <x v="0"/>
  </r>
  <r>
    <s v="Urban"/>
    <n v="2022"/>
    <s v="July"/>
    <x v="114"/>
    <s v="Food and beverages"/>
    <n v="179.4"/>
    <x v="0"/>
  </r>
  <r>
    <s v="Urban"/>
    <n v="2022"/>
    <s v="July"/>
    <x v="114"/>
    <s v="Pan, tobacco and intoxicants"/>
    <n v="198.6"/>
    <x v="1"/>
  </r>
  <r>
    <s v="Urban"/>
    <n v="2022"/>
    <s v="July"/>
    <x v="114"/>
    <s v="Clothing"/>
    <n v="172.7"/>
    <x v="2"/>
  </r>
  <r>
    <s v="Urban"/>
    <n v="2022"/>
    <s v="July"/>
    <x v="114"/>
    <s v="Footwear"/>
    <n v="158.69999999999999"/>
    <x v="2"/>
  </r>
  <r>
    <s v="Urban"/>
    <n v="2022"/>
    <s v="July"/>
    <x v="114"/>
    <s v="Clothing and footwear"/>
    <n v="170.6"/>
    <x v="2"/>
  </r>
  <r>
    <s v="Urban"/>
    <n v="2022"/>
    <s v="July"/>
    <x v="114"/>
    <s v="Housing"/>
    <n v="167.8"/>
    <x v="10"/>
  </r>
  <r>
    <s v="Urban"/>
    <n v="2022"/>
    <s v="July"/>
    <x v="114"/>
    <s v="Fuel and light"/>
    <n v="179.5"/>
    <x v="3"/>
  </r>
  <r>
    <s v="Urban"/>
    <n v="2022"/>
    <s v="July"/>
    <x v="114"/>
    <s v="Household goods and services"/>
    <n v="163.1"/>
    <x v="4"/>
  </r>
  <r>
    <s v="Urban"/>
    <n v="2022"/>
    <s v="July"/>
    <x v="114"/>
    <s v="Health"/>
    <n v="171.7"/>
    <x v="5"/>
  </r>
  <r>
    <s v="Urban"/>
    <n v="2022"/>
    <s v="July"/>
    <x v="114"/>
    <s v="Transport and communication"/>
    <n v="157.4"/>
    <x v="6"/>
  </r>
  <r>
    <s v="Urban"/>
    <n v="2022"/>
    <s v="July"/>
    <x v="114"/>
    <s v="Recreation and amusement"/>
    <n v="164.6"/>
    <x v="1"/>
  </r>
  <r>
    <s v="Urban"/>
    <n v="2022"/>
    <s v="July"/>
    <x v="114"/>
    <s v="Education"/>
    <n v="169.1"/>
    <x v="7"/>
  </r>
  <r>
    <s v="Urban"/>
    <n v="2022"/>
    <s v="July"/>
    <x v="114"/>
    <s v="Personal care and effects"/>
    <n v="169.8"/>
    <x v="4"/>
  </r>
  <r>
    <s v="Urban"/>
    <n v="2022"/>
    <s v="July"/>
    <x v="114"/>
    <s v="Miscellaneous"/>
    <n v="164.7"/>
    <x v="8"/>
  </r>
  <r>
    <s v="Urban"/>
    <n v="2022"/>
    <s v="July"/>
    <x v="114"/>
    <s v="General index"/>
    <n v="172.3"/>
    <x v="9"/>
  </r>
  <r>
    <s v="Rural+Urban"/>
    <n v="2022"/>
    <s v="July"/>
    <x v="114"/>
    <s v="Cereals and products"/>
    <n v="156.5"/>
    <x v="0"/>
  </r>
  <r>
    <s v="Rural+Urban"/>
    <n v="2022"/>
    <s v="July"/>
    <x v="114"/>
    <s v="Meat and fish"/>
    <n v="213"/>
    <x v="0"/>
  </r>
  <r>
    <s v="Rural+Urban"/>
    <n v="2022"/>
    <s v="July"/>
    <x v="114"/>
    <s v="Egg"/>
    <n v="175.2"/>
    <x v="0"/>
  </r>
  <r>
    <s v="Rural+Urban"/>
    <n v="2022"/>
    <s v="July"/>
    <x v="114"/>
    <s v="Milk and products"/>
    <n v="166.6"/>
    <x v="0"/>
  </r>
  <r>
    <s v="Rural+Urban"/>
    <n v="2022"/>
    <s v="July"/>
    <x v="114"/>
    <s v="Oils and fats"/>
    <n v="195.8"/>
    <x v="0"/>
  </r>
  <r>
    <s v="Rural+Urban"/>
    <n v="2022"/>
    <s v="July"/>
    <x v="114"/>
    <s v="Fruits"/>
    <n v="174.2"/>
    <x v="0"/>
  </r>
  <r>
    <s v="Rural+Urban"/>
    <n v="2022"/>
    <s v="July"/>
    <x v="114"/>
    <s v="Vegetables"/>
    <n v="182.1"/>
    <x v="0"/>
  </r>
  <r>
    <s v="Rural+Urban"/>
    <n v="2022"/>
    <s v="July"/>
    <x v="114"/>
    <s v="Pulses and products"/>
    <n v="164.3"/>
    <x v="0"/>
  </r>
  <r>
    <s v="Rural+Urban"/>
    <n v="2022"/>
    <s v="July"/>
    <x v="114"/>
    <s v="Sugar and Confectionery"/>
    <n v="120"/>
    <x v="0"/>
  </r>
  <r>
    <s v="Rural+Urban"/>
    <n v="2022"/>
    <s v="July"/>
    <x v="114"/>
    <s v="Spices"/>
    <n v="190"/>
    <x v="0"/>
  </r>
  <r>
    <s v="Rural+Urban"/>
    <n v="2022"/>
    <s v="July"/>
    <x v="114"/>
    <s v="Non-alcoholic beverages"/>
    <n v="168.4"/>
    <x v="0"/>
  </r>
  <r>
    <s v="Rural+Urban"/>
    <n v="2022"/>
    <s v="July"/>
    <x v="114"/>
    <s v="Prepared meals, snacks, sweets etc."/>
    <n v="185.2"/>
    <x v="0"/>
  </r>
  <r>
    <s v="Rural+Urban"/>
    <n v="2022"/>
    <s v="July"/>
    <x v="114"/>
    <s v="Food and beverages"/>
    <n v="175"/>
    <x v="0"/>
  </r>
  <r>
    <s v="Rural+Urban"/>
    <n v="2022"/>
    <s v="July"/>
    <x v="114"/>
    <s v="Pan, tobacco and intoxicants"/>
    <n v="194.6"/>
    <x v="1"/>
  </r>
  <r>
    <s v="Rural+Urban"/>
    <n v="2022"/>
    <s v="July"/>
    <x v="114"/>
    <s v="Clothing"/>
    <n v="178.3"/>
    <x v="2"/>
  </r>
  <r>
    <s v="Rural+Urban"/>
    <n v="2022"/>
    <s v="July"/>
    <x v="114"/>
    <s v="Footwear"/>
    <n v="171.3"/>
    <x v="2"/>
  </r>
  <r>
    <s v="Rural+Urban"/>
    <n v="2022"/>
    <s v="July"/>
    <x v="114"/>
    <s v="Clothing and footwear"/>
    <n v="177.3"/>
    <x v="2"/>
  </r>
  <r>
    <s v="Rural+Urban"/>
    <n v="2022"/>
    <s v="July"/>
    <x v="114"/>
    <s v="Housing"/>
    <n v="167.8"/>
    <x v="10"/>
  </r>
  <r>
    <s v="Rural+Urban"/>
    <n v="2022"/>
    <s v="July"/>
    <x v="114"/>
    <s v="Fuel and light"/>
    <n v="179.6"/>
    <x v="3"/>
  </r>
  <r>
    <s v="Rural+Urban"/>
    <n v="2022"/>
    <s v="July"/>
    <x v="114"/>
    <s v="Household goods and services"/>
    <n v="167.4"/>
    <x v="4"/>
  </r>
  <r>
    <s v="Rural+Urban"/>
    <n v="2022"/>
    <s v="July"/>
    <x v="114"/>
    <s v="Health"/>
    <n v="176.1"/>
    <x v="5"/>
  </r>
  <r>
    <s v="Rural+Urban"/>
    <n v="2022"/>
    <s v="July"/>
    <x v="114"/>
    <s v="Transport and communication"/>
    <n v="161.6"/>
    <x v="6"/>
  </r>
  <r>
    <s v="Rural+Urban"/>
    <n v="2022"/>
    <s v="July"/>
    <x v="114"/>
    <s v="Recreation and amusement"/>
    <n v="166.3"/>
    <x v="1"/>
  </r>
  <r>
    <s v="Rural+Urban"/>
    <n v="2022"/>
    <s v="July"/>
    <x v="114"/>
    <s v="Education"/>
    <n v="171.4"/>
    <x v="7"/>
  </r>
  <r>
    <s v="Rural+Urban"/>
    <n v="2022"/>
    <s v="July"/>
    <x v="114"/>
    <s v="Personal care and effects"/>
    <n v="169.7"/>
    <x v="4"/>
  </r>
  <r>
    <s v="Rural+Urban"/>
    <n v="2022"/>
    <s v="July"/>
    <x v="114"/>
    <s v="Miscellaneous"/>
    <n v="168.4"/>
    <x v="8"/>
  </r>
  <r>
    <s v="Rural+Urban"/>
    <n v="2022"/>
    <s v="July"/>
    <x v="114"/>
    <s v="General index"/>
    <n v="173.4"/>
    <x v="9"/>
  </r>
  <r>
    <s v="Rural"/>
    <n v="2022"/>
    <s v="August"/>
    <x v="115"/>
    <s v="Cereals and products"/>
    <n v="159.5"/>
    <x v="0"/>
  </r>
  <r>
    <s v="Rural"/>
    <n v="2022"/>
    <s v="August"/>
    <x v="115"/>
    <s v="Meat and fish"/>
    <n v="204.1"/>
    <x v="0"/>
  </r>
  <r>
    <s v="Rural"/>
    <n v="2022"/>
    <s v="August"/>
    <x v="115"/>
    <s v="Egg"/>
    <n v="168.3"/>
    <x v="0"/>
  </r>
  <r>
    <s v="Rural"/>
    <n v="2022"/>
    <s v="August"/>
    <x v="115"/>
    <s v="Milk and products"/>
    <n v="167.9"/>
    <x v="0"/>
  </r>
  <r>
    <s v="Rural"/>
    <n v="2022"/>
    <s v="August"/>
    <x v="115"/>
    <s v="Oils and fats"/>
    <n v="198.1"/>
    <x v="0"/>
  </r>
  <r>
    <s v="Rural"/>
    <n v="2022"/>
    <s v="August"/>
    <x v="115"/>
    <s v="Fruits"/>
    <n v="169.2"/>
    <x v="0"/>
  </r>
  <r>
    <s v="Rural"/>
    <n v="2022"/>
    <s v="August"/>
    <x v="115"/>
    <s v="Vegetables"/>
    <n v="173.1"/>
    <x v="0"/>
  </r>
  <r>
    <s v="Rural"/>
    <n v="2022"/>
    <s v="August"/>
    <x v="115"/>
    <s v="Pulses and products"/>
    <n v="167.1"/>
    <x v="0"/>
  </r>
  <r>
    <s v="Rural"/>
    <n v="2022"/>
    <s v="August"/>
    <x v="115"/>
    <s v="Sugar and Confectionery"/>
    <n v="120.2"/>
    <x v="0"/>
  </r>
  <r>
    <s v="Rural"/>
    <n v="2022"/>
    <s v="August"/>
    <x v="115"/>
    <s v="Spices"/>
    <n v="195.6"/>
    <x v="0"/>
  </r>
  <r>
    <s v="Rural"/>
    <n v="2022"/>
    <s v="August"/>
    <x v="115"/>
    <s v="Non-alcoholic beverages"/>
    <n v="174.8"/>
    <x v="0"/>
  </r>
  <r>
    <s v="Rural"/>
    <n v="2022"/>
    <s v="August"/>
    <x v="115"/>
    <s v="Prepared meals, snacks, sweets etc."/>
    <n v="184"/>
    <x v="0"/>
  </r>
  <r>
    <s v="Rural"/>
    <n v="2022"/>
    <s v="August"/>
    <x v="115"/>
    <s v="Food and beverages"/>
    <n v="173.9"/>
    <x v="0"/>
  </r>
  <r>
    <s v="Rural"/>
    <n v="2022"/>
    <s v="August"/>
    <x v="115"/>
    <s v="Pan, tobacco and intoxicants"/>
    <n v="193.7"/>
    <x v="1"/>
  </r>
  <r>
    <s v="Rural"/>
    <n v="2022"/>
    <s v="August"/>
    <x v="115"/>
    <s v="Clothing"/>
    <n v="183.2"/>
    <x v="2"/>
  </r>
  <r>
    <s v="Rural"/>
    <n v="2022"/>
    <s v="August"/>
    <x v="115"/>
    <s v="Footwear"/>
    <n v="181.7"/>
    <x v="2"/>
  </r>
  <r>
    <s v="Rural"/>
    <n v="2022"/>
    <s v="August"/>
    <x v="115"/>
    <s v="Clothing and footwear"/>
    <n v="183"/>
    <x v="2"/>
  </r>
  <r>
    <s v="Rural"/>
    <n v="2022"/>
    <s v="August"/>
    <x v="115"/>
    <s v="Fuel and light"/>
    <n v="179.1"/>
    <x v="3"/>
  </r>
  <r>
    <s v="Rural"/>
    <n v="2022"/>
    <s v="August"/>
    <x v="115"/>
    <s v="Household goods and services"/>
    <n v="172.3"/>
    <x v="4"/>
  </r>
  <r>
    <s v="Rural"/>
    <n v="2022"/>
    <s v="August"/>
    <x v="115"/>
    <s v="Health"/>
    <n v="179.4"/>
    <x v="5"/>
  </r>
  <r>
    <s v="Rural"/>
    <n v="2022"/>
    <s v="August"/>
    <x v="115"/>
    <s v="Transport and communication"/>
    <n v="166.6"/>
    <x v="6"/>
  </r>
  <r>
    <s v="Rural"/>
    <n v="2022"/>
    <s v="August"/>
    <x v="115"/>
    <s v="Recreation and amusement"/>
    <n v="169.3"/>
    <x v="1"/>
  </r>
  <r>
    <s v="Rural"/>
    <n v="2022"/>
    <s v="August"/>
    <x v="115"/>
    <s v="Education"/>
    <n v="175.7"/>
    <x v="7"/>
  </r>
  <r>
    <s v="Rural"/>
    <n v="2022"/>
    <s v="August"/>
    <x v="115"/>
    <s v="Personal care and effects"/>
    <n v="171.1"/>
    <x v="4"/>
  </r>
  <r>
    <s v="Rural"/>
    <n v="2022"/>
    <s v="August"/>
    <x v="115"/>
    <s v="Miscellaneous"/>
    <n v="172.6"/>
    <x v="8"/>
  </r>
  <r>
    <s v="Rural"/>
    <n v="2022"/>
    <s v="August"/>
    <x v="115"/>
    <s v="General index"/>
    <n v="175.3"/>
    <x v="9"/>
  </r>
  <r>
    <s v="Urban"/>
    <n v="2022"/>
    <s v="August"/>
    <x v="115"/>
    <s v="Cereals and products"/>
    <n v="162.1"/>
    <x v="0"/>
  </r>
  <r>
    <s v="Urban"/>
    <n v="2022"/>
    <s v="August"/>
    <x v="115"/>
    <s v="Meat and fish"/>
    <n v="210.9"/>
    <x v="0"/>
  </r>
  <r>
    <s v="Urban"/>
    <n v="2022"/>
    <s v="August"/>
    <x v="115"/>
    <s v="Egg"/>
    <n v="170.6"/>
    <x v="0"/>
  </r>
  <r>
    <s v="Urban"/>
    <n v="2022"/>
    <s v="August"/>
    <x v="115"/>
    <s v="Milk and products"/>
    <n v="168.4"/>
    <x v="0"/>
  </r>
  <r>
    <s v="Urban"/>
    <n v="2022"/>
    <s v="August"/>
    <x v="115"/>
    <s v="Oils and fats"/>
    <n v="182.5"/>
    <x v="0"/>
  </r>
  <r>
    <s v="Urban"/>
    <n v="2022"/>
    <s v="August"/>
    <x v="115"/>
    <s v="Fruits"/>
    <n v="177.1"/>
    <x v="0"/>
  </r>
  <r>
    <s v="Urban"/>
    <n v="2022"/>
    <s v="August"/>
    <x v="115"/>
    <s v="Vegetables"/>
    <n v="213.1"/>
    <x v="0"/>
  </r>
  <r>
    <s v="Urban"/>
    <n v="2022"/>
    <s v="August"/>
    <x v="115"/>
    <s v="Pulses and products"/>
    <n v="167.3"/>
    <x v="0"/>
  </r>
  <r>
    <s v="Urban"/>
    <n v="2022"/>
    <s v="August"/>
    <x v="115"/>
    <s v="Sugar and Confectionery"/>
    <n v="122.2"/>
    <x v="0"/>
  </r>
  <r>
    <s v="Urban"/>
    <n v="2022"/>
    <s v="August"/>
    <x v="115"/>
    <s v="Spices"/>
    <n v="189.7"/>
    <x v="0"/>
  </r>
  <r>
    <s v="Urban"/>
    <n v="2022"/>
    <s v="August"/>
    <x v="115"/>
    <s v="Non-alcoholic beverages"/>
    <n v="160.5"/>
    <x v="0"/>
  </r>
  <r>
    <s v="Urban"/>
    <n v="2022"/>
    <s v="August"/>
    <x v="115"/>
    <s v="Prepared meals, snacks, sweets etc."/>
    <n v="188.9"/>
    <x v="0"/>
  </r>
  <r>
    <s v="Urban"/>
    <n v="2022"/>
    <s v="August"/>
    <x v="115"/>
    <s v="Food and beverages"/>
    <n v="180.4"/>
    <x v="0"/>
  </r>
  <r>
    <s v="Urban"/>
    <n v="2022"/>
    <s v="August"/>
    <x v="115"/>
    <s v="Pan, tobacco and intoxicants"/>
    <n v="198.7"/>
    <x v="1"/>
  </r>
  <r>
    <s v="Urban"/>
    <n v="2022"/>
    <s v="August"/>
    <x v="115"/>
    <s v="Clothing"/>
    <n v="173.7"/>
    <x v="2"/>
  </r>
  <r>
    <s v="Urban"/>
    <n v="2022"/>
    <s v="August"/>
    <x v="115"/>
    <s v="Footwear"/>
    <n v="160"/>
    <x v="2"/>
  </r>
  <r>
    <s v="Urban"/>
    <n v="2022"/>
    <s v="August"/>
    <x v="115"/>
    <s v="Clothing and footwear"/>
    <n v="171.6"/>
    <x v="2"/>
  </r>
  <r>
    <s v="Urban"/>
    <n v="2022"/>
    <s v="August"/>
    <x v="115"/>
    <s v="Housing"/>
    <n v="169"/>
    <x v="10"/>
  </r>
  <r>
    <s v="Urban"/>
    <n v="2022"/>
    <s v="August"/>
    <x v="115"/>
    <s v="Fuel and light"/>
    <n v="178.4"/>
    <x v="3"/>
  </r>
  <r>
    <s v="Urban"/>
    <n v="2022"/>
    <s v="August"/>
    <x v="115"/>
    <s v="Household goods and services"/>
    <n v="164.2"/>
    <x v="4"/>
  </r>
  <r>
    <s v="Urban"/>
    <n v="2022"/>
    <s v="August"/>
    <x v="115"/>
    <s v="Health"/>
    <n v="172.6"/>
    <x v="5"/>
  </r>
  <r>
    <s v="Urban"/>
    <n v="2022"/>
    <s v="August"/>
    <x v="115"/>
    <s v="Transport and communication"/>
    <n v="157.69999999999999"/>
    <x v="6"/>
  </r>
  <r>
    <s v="Urban"/>
    <n v="2022"/>
    <s v="August"/>
    <x v="115"/>
    <s v="Recreation and amusement"/>
    <n v="165.1"/>
    <x v="1"/>
  </r>
  <r>
    <s v="Urban"/>
    <n v="2022"/>
    <s v="August"/>
    <x v="115"/>
    <s v="Education"/>
    <n v="169.9"/>
    <x v="7"/>
  </r>
  <r>
    <s v="Urban"/>
    <n v="2022"/>
    <s v="August"/>
    <x v="115"/>
    <s v="Personal care and effects"/>
    <n v="171.4"/>
    <x v="4"/>
  </r>
  <r>
    <s v="Urban"/>
    <n v="2022"/>
    <s v="August"/>
    <x v="115"/>
    <s v="Miscellaneous"/>
    <n v="165.4"/>
    <x v="8"/>
  </r>
  <r>
    <s v="Urban"/>
    <n v="2022"/>
    <s v="August"/>
    <x v="115"/>
    <s v="General index"/>
    <n v="173.1"/>
    <x v="9"/>
  </r>
  <r>
    <s v="Rural+Urban"/>
    <n v="2022"/>
    <s v="August"/>
    <x v="115"/>
    <s v="Cereals and products"/>
    <n v="160.30000000000001"/>
    <x v="0"/>
  </r>
  <r>
    <s v="Rural+Urban"/>
    <n v="2022"/>
    <s v="August"/>
    <x v="115"/>
    <s v="Meat and fish"/>
    <n v="206.5"/>
    <x v="0"/>
  </r>
  <r>
    <s v="Rural+Urban"/>
    <n v="2022"/>
    <s v="August"/>
    <x v="115"/>
    <s v="Egg"/>
    <n v="169.2"/>
    <x v="0"/>
  </r>
  <r>
    <s v="Rural+Urban"/>
    <n v="2022"/>
    <s v="August"/>
    <x v="115"/>
    <s v="Milk and products"/>
    <n v="168.1"/>
    <x v="0"/>
  </r>
  <r>
    <s v="Rural+Urban"/>
    <n v="2022"/>
    <s v="August"/>
    <x v="115"/>
    <s v="Oils and fats"/>
    <n v="192.4"/>
    <x v="0"/>
  </r>
  <r>
    <s v="Rural+Urban"/>
    <n v="2022"/>
    <s v="August"/>
    <x v="115"/>
    <s v="Fruits"/>
    <n v="172.9"/>
    <x v="0"/>
  </r>
  <r>
    <s v="Rural+Urban"/>
    <n v="2022"/>
    <s v="August"/>
    <x v="115"/>
    <s v="Vegetables"/>
    <n v="186.7"/>
    <x v="0"/>
  </r>
  <r>
    <s v="Rural+Urban"/>
    <n v="2022"/>
    <s v="August"/>
    <x v="115"/>
    <s v="Pulses and products"/>
    <n v="167.2"/>
    <x v="0"/>
  </r>
  <r>
    <s v="Rural+Urban"/>
    <n v="2022"/>
    <s v="August"/>
    <x v="115"/>
    <s v="Sugar and Confectionery"/>
    <n v="120.9"/>
    <x v="0"/>
  </r>
  <r>
    <s v="Rural+Urban"/>
    <n v="2022"/>
    <s v="August"/>
    <x v="115"/>
    <s v="Spices"/>
    <n v="193.6"/>
    <x v="0"/>
  </r>
  <r>
    <s v="Rural+Urban"/>
    <n v="2022"/>
    <s v="August"/>
    <x v="115"/>
    <s v="Non-alcoholic beverages"/>
    <n v="168.8"/>
    <x v="0"/>
  </r>
  <r>
    <s v="Rural+Urban"/>
    <n v="2022"/>
    <s v="August"/>
    <x v="115"/>
    <s v="Prepared meals, snacks, sweets etc."/>
    <n v="186.3"/>
    <x v="0"/>
  </r>
  <r>
    <s v="Rural+Urban"/>
    <n v="2022"/>
    <s v="August"/>
    <x v="115"/>
    <s v="Food and beverages"/>
    <n v="176.3"/>
    <x v="0"/>
  </r>
  <r>
    <s v="Rural+Urban"/>
    <n v="2022"/>
    <s v="August"/>
    <x v="115"/>
    <s v="Pan, tobacco and intoxicants"/>
    <n v="195"/>
    <x v="1"/>
  </r>
  <r>
    <s v="Rural+Urban"/>
    <n v="2022"/>
    <s v="August"/>
    <x v="115"/>
    <s v="Clothing"/>
    <n v="179.5"/>
    <x v="2"/>
  </r>
  <r>
    <s v="Rural+Urban"/>
    <n v="2022"/>
    <s v="August"/>
    <x v="115"/>
    <s v="Footwear"/>
    <n v="172.7"/>
    <x v="2"/>
  </r>
  <r>
    <s v="Rural+Urban"/>
    <n v="2022"/>
    <s v="August"/>
    <x v="115"/>
    <s v="Clothing and footwear"/>
    <n v="178.5"/>
    <x v="2"/>
  </r>
  <r>
    <s v="Rural+Urban"/>
    <n v="2022"/>
    <s v="August"/>
    <x v="115"/>
    <s v="Housing"/>
    <n v="169"/>
    <x v="10"/>
  </r>
  <r>
    <s v="Rural+Urban"/>
    <n v="2022"/>
    <s v="August"/>
    <x v="115"/>
    <s v="Fuel and light"/>
    <n v="178.8"/>
    <x v="3"/>
  </r>
  <r>
    <s v="Rural+Urban"/>
    <n v="2022"/>
    <s v="August"/>
    <x v="115"/>
    <s v="Household goods and services"/>
    <n v="168.5"/>
    <x v="4"/>
  </r>
  <r>
    <s v="Rural+Urban"/>
    <n v="2022"/>
    <s v="August"/>
    <x v="115"/>
    <s v="Health"/>
    <n v="176.8"/>
    <x v="5"/>
  </r>
  <r>
    <s v="Rural+Urban"/>
    <n v="2022"/>
    <s v="August"/>
    <x v="115"/>
    <s v="Transport and communication"/>
    <n v="161.9"/>
    <x v="6"/>
  </r>
  <r>
    <s v="Rural+Urban"/>
    <n v="2022"/>
    <s v="August"/>
    <x v="115"/>
    <s v="Recreation and amusement"/>
    <n v="166.9"/>
    <x v="1"/>
  </r>
  <r>
    <s v="Rural+Urban"/>
    <n v="2022"/>
    <s v="August"/>
    <x v="115"/>
    <s v="Education"/>
    <n v="172.3"/>
    <x v="7"/>
  </r>
  <r>
    <s v="Rural+Urban"/>
    <n v="2022"/>
    <s v="August"/>
    <x v="115"/>
    <s v="Personal care and effects"/>
    <n v="171.2"/>
    <x v="4"/>
  </r>
  <r>
    <s v="Rural+Urban"/>
    <n v="2022"/>
    <s v="August"/>
    <x v="115"/>
    <s v="Miscellaneous"/>
    <n v="169.1"/>
    <x v="8"/>
  </r>
  <r>
    <s v="Rural+Urban"/>
    <n v="2022"/>
    <s v="August"/>
    <x v="115"/>
    <s v="General index"/>
    <n v="174.3"/>
    <x v="9"/>
  </r>
  <r>
    <s v="Rural"/>
    <n v="2022"/>
    <s v="September"/>
    <x v="116"/>
    <s v="Cereals and products"/>
    <n v="162.9"/>
    <x v="0"/>
  </r>
  <r>
    <s v="Rural"/>
    <n v="2022"/>
    <s v="September"/>
    <x v="116"/>
    <s v="Meat and fish"/>
    <n v="206.7"/>
    <x v="0"/>
  </r>
  <r>
    <s v="Rural"/>
    <n v="2022"/>
    <s v="September"/>
    <x v="116"/>
    <s v="Egg"/>
    <n v="169"/>
    <x v="0"/>
  </r>
  <r>
    <s v="Rural"/>
    <n v="2022"/>
    <s v="September"/>
    <x v="116"/>
    <s v="Milk and products"/>
    <n v="169.5"/>
    <x v="0"/>
  </r>
  <r>
    <s v="Rural"/>
    <n v="2022"/>
    <s v="September"/>
    <x v="116"/>
    <s v="Oils and fats"/>
    <n v="194.1"/>
    <x v="0"/>
  </r>
  <r>
    <s v="Rural"/>
    <n v="2022"/>
    <s v="September"/>
    <x v="116"/>
    <s v="Fruits"/>
    <n v="164.1"/>
    <x v="0"/>
  </r>
  <r>
    <s v="Rural"/>
    <n v="2022"/>
    <s v="September"/>
    <x v="116"/>
    <s v="Vegetables"/>
    <n v="176.9"/>
    <x v="0"/>
  </r>
  <r>
    <s v="Rural"/>
    <n v="2022"/>
    <s v="September"/>
    <x v="116"/>
    <s v="Pulses and products"/>
    <n v="169"/>
    <x v="0"/>
  </r>
  <r>
    <s v="Rural"/>
    <n v="2022"/>
    <s v="September"/>
    <x v="116"/>
    <s v="Sugar and Confectionery"/>
    <n v="120.8"/>
    <x v="0"/>
  </r>
  <r>
    <s v="Rural"/>
    <n v="2022"/>
    <s v="September"/>
    <x v="116"/>
    <s v="Spices"/>
    <n v="199.1"/>
    <x v="0"/>
  </r>
  <r>
    <s v="Rural"/>
    <n v="2022"/>
    <s v="September"/>
    <x v="116"/>
    <s v="Non-alcoholic beverages"/>
    <n v="175.4"/>
    <x v="0"/>
  </r>
  <r>
    <s v="Rural"/>
    <n v="2022"/>
    <s v="September"/>
    <x v="116"/>
    <s v="Prepared meals, snacks, sweets etc."/>
    <n v="184.8"/>
    <x v="0"/>
  </r>
  <r>
    <s v="Rural"/>
    <n v="2022"/>
    <s v="September"/>
    <x v="116"/>
    <s v="Food and beverages"/>
    <n v="175.5"/>
    <x v="0"/>
  </r>
  <r>
    <s v="Rural"/>
    <n v="2022"/>
    <s v="September"/>
    <x v="116"/>
    <s v="Pan, tobacco and intoxicants"/>
    <n v="194.5"/>
    <x v="1"/>
  </r>
  <r>
    <s v="Rural"/>
    <n v="2022"/>
    <s v="September"/>
    <x v="116"/>
    <s v="Clothing"/>
    <n v="184.7"/>
    <x v="2"/>
  </r>
  <r>
    <s v="Rural"/>
    <n v="2022"/>
    <s v="September"/>
    <x v="116"/>
    <s v="Footwear"/>
    <n v="183.3"/>
    <x v="2"/>
  </r>
  <r>
    <s v="Rural"/>
    <n v="2022"/>
    <s v="September"/>
    <x v="116"/>
    <s v="Clothing and footwear"/>
    <n v="184.5"/>
    <x v="2"/>
  </r>
  <r>
    <s v="Rural"/>
    <n v="2022"/>
    <s v="September"/>
    <x v="116"/>
    <s v="Fuel and light"/>
    <n v="179.7"/>
    <x v="3"/>
  </r>
  <r>
    <s v="Rural"/>
    <n v="2022"/>
    <s v="September"/>
    <x v="116"/>
    <s v="Household goods and services"/>
    <n v="173.6"/>
    <x v="4"/>
  </r>
  <r>
    <s v="Rural"/>
    <n v="2022"/>
    <s v="September"/>
    <x v="116"/>
    <s v="Health"/>
    <n v="180.2"/>
    <x v="5"/>
  </r>
  <r>
    <s v="Rural"/>
    <n v="2022"/>
    <s v="September"/>
    <x v="116"/>
    <s v="Transport and communication"/>
    <n v="166.9"/>
    <x v="6"/>
  </r>
  <r>
    <s v="Rural"/>
    <n v="2022"/>
    <s v="September"/>
    <x v="116"/>
    <s v="Recreation and amusement"/>
    <n v="170"/>
    <x v="1"/>
  </r>
  <r>
    <s v="Rural"/>
    <n v="2022"/>
    <s v="September"/>
    <x v="116"/>
    <s v="Education"/>
    <n v="176.2"/>
    <x v="7"/>
  </r>
  <r>
    <s v="Rural"/>
    <n v="2022"/>
    <s v="September"/>
    <x v="116"/>
    <s v="Personal care and effects"/>
    <n v="170.8"/>
    <x v="4"/>
  </r>
  <r>
    <s v="Rural"/>
    <n v="2022"/>
    <s v="September"/>
    <x v="116"/>
    <s v="Miscellaneous"/>
    <n v="173.1"/>
    <x v="8"/>
  </r>
  <r>
    <s v="Rural"/>
    <n v="2022"/>
    <s v="September"/>
    <x v="116"/>
    <s v="General index"/>
    <n v="176.4"/>
    <x v="9"/>
  </r>
  <r>
    <s v="Urban"/>
    <n v="2022"/>
    <s v="September"/>
    <x v="116"/>
    <s v="Cereals and products"/>
    <n v="164.9"/>
    <x v="0"/>
  </r>
  <r>
    <s v="Urban"/>
    <n v="2022"/>
    <s v="September"/>
    <x v="116"/>
    <s v="Meat and fish"/>
    <n v="213.7"/>
    <x v="0"/>
  </r>
  <r>
    <s v="Urban"/>
    <n v="2022"/>
    <s v="September"/>
    <x v="116"/>
    <s v="Egg"/>
    <n v="170.9"/>
    <x v="0"/>
  </r>
  <r>
    <s v="Urban"/>
    <n v="2022"/>
    <s v="September"/>
    <x v="116"/>
    <s v="Milk and products"/>
    <n v="170.1"/>
    <x v="0"/>
  </r>
  <r>
    <s v="Urban"/>
    <n v="2022"/>
    <s v="September"/>
    <x v="116"/>
    <s v="Oils and fats"/>
    <n v="179.3"/>
    <x v="0"/>
  </r>
  <r>
    <s v="Urban"/>
    <n v="2022"/>
    <s v="September"/>
    <x v="116"/>
    <s v="Fruits"/>
    <n v="167.5"/>
    <x v="0"/>
  </r>
  <r>
    <s v="Urban"/>
    <n v="2022"/>
    <s v="September"/>
    <x v="116"/>
    <s v="Vegetables"/>
    <n v="220.8"/>
    <x v="0"/>
  </r>
  <r>
    <s v="Urban"/>
    <n v="2022"/>
    <s v="September"/>
    <x v="116"/>
    <s v="Pulses and products"/>
    <n v="169.2"/>
    <x v="0"/>
  </r>
  <r>
    <s v="Urban"/>
    <n v="2022"/>
    <s v="September"/>
    <x v="116"/>
    <s v="Sugar and Confectionery"/>
    <n v="123.1"/>
    <x v="0"/>
  </r>
  <r>
    <s v="Urban"/>
    <n v="2022"/>
    <s v="September"/>
    <x v="116"/>
    <s v="Spices"/>
    <n v="193.6"/>
    <x v="0"/>
  </r>
  <r>
    <s v="Urban"/>
    <n v="2022"/>
    <s v="September"/>
    <x v="116"/>
    <s v="Non-alcoholic beverages"/>
    <n v="161.1"/>
    <x v="0"/>
  </r>
  <r>
    <s v="Urban"/>
    <n v="2022"/>
    <s v="September"/>
    <x v="116"/>
    <s v="Prepared meals, snacks, sweets etc."/>
    <n v="190.4"/>
    <x v="0"/>
  </r>
  <r>
    <s v="Urban"/>
    <n v="2022"/>
    <s v="September"/>
    <x v="116"/>
    <s v="Food and beverages"/>
    <n v="181.8"/>
    <x v="0"/>
  </r>
  <r>
    <s v="Urban"/>
    <n v="2022"/>
    <s v="September"/>
    <x v="116"/>
    <s v="Pan, tobacco and intoxicants"/>
    <n v="199.7"/>
    <x v="1"/>
  </r>
  <r>
    <s v="Urban"/>
    <n v="2022"/>
    <s v="September"/>
    <x v="116"/>
    <s v="Clothing"/>
    <n v="175"/>
    <x v="2"/>
  </r>
  <r>
    <s v="Urban"/>
    <n v="2022"/>
    <s v="September"/>
    <x v="116"/>
    <s v="Footwear"/>
    <n v="161.69999999999999"/>
    <x v="2"/>
  </r>
  <r>
    <s v="Urban"/>
    <n v="2022"/>
    <s v="September"/>
    <x v="116"/>
    <s v="Clothing and footwear"/>
    <n v="173"/>
    <x v="2"/>
  </r>
  <r>
    <s v="Urban"/>
    <n v="2022"/>
    <s v="September"/>
    <x v="116"/>
    <s v="Housing"/>
    <n v="169.5"/>
    <x v="10"/>
  </r>
  <r>
    <s v="Urban"/>
    <n v="2022"/>
    <s v="September"/>
    <x v="116"/>
    <s v="Fuel and light"/>
    <n v="179.2"/>
    <x v="3"/>
  </r>
  <r>
    <s v="Urban"/>
    <n v="2022"/>
    <s v="September"/>
    <x v="116"/>
    <s v="Household goods and services"/>
    <n v="165"/>
    <x v="4"/>
  </r>
  <r>
    <s v="Urban"/>
    <n v="2022"/>
    <s v="September"/>
    <x v="116"/>
    <s v="Health"/>
    <n v="173.8"/>
    <x v="5"/>
  </r>
  <r>
    <s v="Urban"/>
    <n v="2022"/>
    <s v="September"/>
    <x v="116"/>
    <s v="Transport and communication"/>
    <n v="158.19999999999999"/>
    <x v="6"/>
  </r>
  <r>
    <s v="Urban"/>
    <n v="2022"/>
    <s v="September"/>
    <x v="116"/>
    <s v="Recreation and amusement"/>
    <n v="165.8"/>
    <x v="1"/>
  </r>
  <r>
    <s v="Urban"/>
    <n v="2022"/>
    <s v="September"/>
    <x v="116"/>
    <s v="Education"/>
    <n v="170.9"/>
    <x v="7"/>
  </r>
  <r>
    <s v="Urban"/>
    <n v="2022"/>
    <s v="September"/>
    <x v="116"/>
    <s v="Personal care and effects"/>
    <n v="171.1"/>
    <x v="4"/>
  </r>
  <r>
    <s v="Urban"/>
    <n v="2022"/>
    <s v="September"/>
    <x v="116"/>
    <s v="Miscellaneous"/>
    <n v="166.1"/>
    <x v="8"/>
  </r>
  <r>
    <s v="Urban"/>
    <n v="2022"/>
    <s v="September"/>
    <x v="116"/>
    <s v="General index"/>
    <n v="174.1"/>
    <x v="9"/>
  </r>
  <r>
    <s v="Rural+Urban"/>
    <n v="2022"/>
    <s v="September"/>
    <x v="116"/>
    <s v="Cereals and products"/>
    <n v="163.5"/>
    <x v="0"/>
  </r>
  <r>
    <s v="Rural+Urban"/>
    <n v="2022"/>
    <s v="September"/>
    <x v="116"/>
    <s v="Meat and fish"/>
    <n v="209.2"/>
    <x v="0"/>
  </r>
  <r>
    <s v="Rural+Urban"/>
    <n v="2022"/>
    <s v="September"/>
    <x v="116"/>
    <s v="Egg"/>
    <n v="169.7"/>
    <x v="0"/>
  </r>
  <r>
    <s v="Rural+Urban"/>
    <n v="2022"/>
    <s v="September"/>
    <x v="116"/>
    <s v="Milk and products"/>
    <n v="169.7"/>
    <x v="0"/>
  </r>
  <r>
    <s v="Rural+Urban"/>
    <n v="2022"/>
    <s v="September"/>
    <x v="116"/>
    <s v="Oils and fats"/>
    <n v="188.7"/>
    <x v="0"/>
  </r>
  <r>
    <s v="Rural+Urban"/>
    <n v="2022"/>
    <s v="September"/>
    <x v="116"/>
    <s v="Fruits"/>
    <n v="165.7"/>
    <x v="0"/>
  </r>
  <r>
    <s v="Rural+Urban"/>
    <n v="2022"/>
    <s v="September"/>
    <x v="116"/>
    <s v="Vegetables"/>
    <n v="191.8"/>
    <x v="0"/>
  </r>
  <r>
    <s v="Rural+Urban"/>
    <n v="2022"/>
    <s v="September"/>
    <x v="116"/>
    <s v="Pulses and products"/>
    <n v="169.1"/>
    <x v="0"/>
  </r>
  <r>
    <s v="Rural+Urban"/>
    <n v="2022"/>
    <s v="September"/>
    <x v="116"/>
    <s v="Sugar and Confectionery"/>
    <n v="121.6"/>
    <x v="0"/>
  </r>
  <r>
    <s v="Rural+Urban"/>
    <n v="2022"/>
    <s v="September"/>
    <x v="116"/>
    <s v="Spices"/>
    <n v="197.3"/>
    <x v="0"/>
  </r>
  <r>
    <s v="Rural+Urban"/>
    <n v="2022"/>
    <s v="September"/>
    <x v="116"/>
    <s v="Non-alcoholic beverages"/>
    <n v="169.4"/>
    <x v="0"/>
  </r>
  <r>
    <s v="Rural+Urban"/>
    <n v="2022"/>
    <s v="September"/>
    <x v="116"/>
    <s v="Prepared meals, snacks, sweets etc."/>
    <n v="187.4"/>
    <x v="0"/>
  </r>
  <r>
    <s v="Rural+Urban"/>
    <n v="2022"/>
    <s v="September"/>
    <x v="116"/>
    <s v="Food and beverages"/>
    <n v="177.8"/>
    <x v="0"/>
  </r>
  <r>
    <s v="Rural+Urban"/>
    <n v="2022"/>
    <s v="September"/>
    <x v="116"/>
    <s v="Pan, tobacco and intoxicants"/>
    <n v="195.9"/>
    <x v="1"/>
  </r>
  <r>
    <s v="Rural+Urban"/>
    <n v="2022"/>
    <s v="September"/>
    <x v="116"/>
    <s v="Clothing"/>
    <n v="180.9"/>
    <x v="2"/>
  </r>
  <r>
    <s v="Rural+Urban"/>
    <n v="2022"/>
    <s v="September"/>
    <x v="116"/>
    <s v="Footwear"/>
    <n v="174.3"/>
    <x v="2"/>
  </r>
  <r>
    <s v="Rural+Urban"/>
    <n v="2022"/>
    <s v="September"/>
    <x v="116"/>
    <s v="Clothing and footwear"/>
    <n v="179.9"/>
    <x v="2"/>
  </r>
  <r>
    <s v="Rural+Urban"/>
    <n v="2022"/>
    <s v="September"/>
    <x v="116"/>
    <s v="Housing"/>
    <n v="169.5"/>
    <x v="10"/>
  </r>
  <r>
    <s v="Rural+Urban"/>
    <n v="2022"/>
    <s v="September"/>
    <x v="116"/>
    <s v="Fuel and light"/>
    <n v="179.5"/>
    <x v="3"/>
  </r>
  <r>
    <s v="Rural+Urban"/>
    <n v="2022"/>
    <s v="September"/>
    <x v="116"/>
    <s v="Household goods and services"/>
    <n v="169.5"/>
    <x v="4"/>
  </r>
  <r>
    <s v="Rural+Urban"/>
    <n v="2022"/>
    <s v="September"/>
    <x v="116"/>
    <s v="Health"/>
    <n v="177.8"/>
    <x v="5"/>
  </r>
  <r>
    <s v="Rural+Urban"/>
    <n v="2022"/>
    <s v="September"/>
    <x v="116"/>
    <s v="Transport and communication"/>
    <n v="162.30000000000001"/>
    <x v="6"/>
  </r>
  <r>
    <s v="Rural+Urban"/>
    <n v="2022"/>
    <s v="September"/>
    <x v="116"/>
    <s v="Recreation and amusement"/>
    <n v="167.6"/>
    <x v="1"/>
  </r>
  <r>
    <s v="Rural+Urban"/>
    <n v="2022"/>
    <s v="September"/>
    <x v="116"/>
    <s v="Education"/>
    <n v="173.1"/>
    <x v="7"/>
  </r>
  <r>
    <s v="Rural+Urban"/>
    <n v="2022"/>
    <s v="September"/>
    <x v="116"/>
    <s v="Personal care and effects"/>
    <n v="170.9"/>
    <x v="4"/>
  </r>
  <r>
    <s v="Rural+Urban"/>
    <n v="2022"/>
    <s v="September"/>
    <x v="116"/>
    <s v="Miscellaneous"/>
    <n v="169.7"/>
    <x v="8"/>
  </r>
  <r>
    <s v="Rural+Urban"/>
    <n v="2022"/>
    <s v="September"/>
    <x v="116"/>
    <s v="General index"/>
    <n v="175.3"/>
    <x v="9"/>
  </r>
  <r>
    <s v="Rural"/>
    <n v="2022"/>
    <s v="October"/>
    <x v="117"/>
    <s v="Cereals and products"/>
    <n v="164.7"/>
    <x v="0"/>
  </r>
  <r>
    <s v="Rural"/>
    <n v="2022"/>
    <s v="October"/>
    <x v="117"/>
    <s v="Meat and fish"/>
    <n v="208.8"/>
    <x v="0"/>
  </r>
  <r>
    <s v="Rural"/>
    <n v="2022"/>
    <s v="October"/>
    <x v="117"/>
    <s v="Egg"/>
    <n v="170.3"/>
    <x v="0"/>
  </r>
  <r>
    <s v="Rural"/>
    <n v="2022"/>
    <s v="October"/>
    <x v="117"/>
    <s v="Milk and products"/>
    <n v="170.9"/>
    <x v="0"/>
  </r>
  <r>
    <s v="Rural"/>
    <n v="2022"/>
    <s v="October"/>
    <x v="117"/>
    <s v="Oils and fats"/>
    <n v="191.6"/>
    <x v="0"/>
  </r>
  <r>
    <s v="Rural"/>
    <n v="2022"/>
    <s v="October"/>
    <x v="117"/>
    <s v="Fruits"/>
    <n v="162.19999999999999"/>
    <x v="0"/>
  </r>
  <r>
    <s v="Rural"/>
    <n v="2022"/>
    <s v="October"/>
    <x v="117"/>
    <s v="Vegetables"/>
    <n v="184.8"/>
    <x v="0"/>
  </r>
  <r>
    <s v="Rural"/>
    <n v="2022"/>
    <s v="October"/>
    <x v="117"/>
    <s v="Pulses and products"/>
    <n v="169.7"/>
    <x v="0"/>
  </r>
  <r>
    <s v="Rural"/>
    <n v="2022"/>
    <s v="October"/>
    <x v="117"/>
    <s v="Sugar and Confectionery"/>
    <n v="121.1"/>
    <x v="0"/>
  </r>
  <r>
    <s v="Rural"/>
    <n v="2022"/>
    <s v="October"/>
    <x v="117"/>
    <s v="Spices"/>
    <n v="201.6"/>
    <x v="0"/>
  </r>
  <r>
    <s v="Rural"/>
    <n v="2022"/>
    <s v="October"/>
    <x v="117"/>
    <s v="Non-alcoholic beverages"/>
    <n v="175.8"/>
    <x v="0"/>
  </r>
  <r>
    <s v="Rural"/>
    <n v="2022"/>
    <s v="October"/>
    <x v="117"/>
    <s v="Prepared meals, snacks, sweets etc."/>
    <n v="185.6"/>
    <x v="0"/>
  </r>
  <r>
    <s v="Rural"/>
    <n v="2022"/>
    <s v="October"/>
    <x v="117"/>
    <s v="Food and beverages"/>
    <n v="177.4"/>
    <x v="0"/>
  </r>
  <r>
    <s v="Rural"/>
    <n v="2022"/>
    <s v="October"/>
    <x v="117"/>
    <s v="Pan, tobacco and intoxicants"/>
    <n v="194.9"/>
    <x v="1"/>
  </r>
  <r>
    <s v="Rural"/>
    <n v="2022"/>
    <s v="October"/>
    <x v="117"/>
    <s v="Clothing"/>
    <n v="186.1"/>
    <x v="2"/>
  </r>
  <r>
    <s v="Rural"/>
    <n v="2022"/>
    <s v="October"/>
    <x v="117"/>
    <s v="Footwear"/>
    <n v="184.4"/>
    <x v="2"/>
  </r>
  <r>
    <s v="Rural"/>
    <n v="2022"/>
    <s v="October"/>
    <x v="117"/>
    <s v="Clothing and footwear"/>
    <n v="185.9"/>
    <x v="2"/>
  </r>
  <r>
    <s v="Rural"/>
    <n v="2022"/>
    <s v="October"/>
    <x v="117"/>
    <s v="Fuel and light"/>
    <n v="180.8"/>
    <x v="3"/>
  </r>
  <r>
    <s v="Rural"/>
    <n v="2022"/>
    <s v="October"/>
    <x v="117"/>
    <s v="Household goods and services"/>
    <n v="174.4"/>
    <x v="4"/>
  </r>
  <r>
    <s v="Rural"/>
    <n v="2022"/>
    <s v="October"/>
    <x v="117"/>
    <s v="Health"/>
    <n v="181.2"/>
    <x v="5"/>
  </r>
  <r>
    <s v="Rural"/>
    <n v="2022"/>
    <s v="October"/>
    <x v="117"/>
    <s v="Transport and communication"/>
    <n v="167.4"/>
    <x v="6"/>
  </r>
  <r>
    <s v="Rural"/>
    <n v="2022"/>
    <s v="October"/>
    <x v="117"/>
    <s v="Recreation and amusement"/>
    <n v="170.6"/>
    <x v="1"/>
  </r>
  <r>
    <s v="Rural"/>
    <n v="2022"/>
    <s v="October"/>
    <x v="117"/>
    <s v="Education"/>
    <n v="176.5"/>
    <x v="7"/>
  </r>
  <r>
    <s v="Rural"/>
    <n v="2022"/>
    <s v="October"/>
    <x v="117"/>
    <s v="Personal care and effects"/>
    <n v="172"/>
    <x v="4"/>
  </r>
  <r>
    <s v="Rural"/>
    <n v="2022"/>
    <s v="October"/>
    <x v="117"/>
    <s v="Miscellaneous"/>
    <n v="173.9"/>
    <x v="8"/>
  </r>
  <r>
    <s v="Rural"/>
    <n v="2022"/>
    <s v="October"/>
    <x v="117"/>
    <s v="General index"/>
    <n v="177.9"/>
    <x v="9"/>
  </r>
  <r>
    <s v="Urban"/>
    <n v="2022"/>
    <s v="October"/>
    <x v="117"/>
    <s v="Cereals and products"/>
    <n v="166.4"/>
    <x v="0"/>
  </r>
  <r>
    <s v="Urban"/>
    <n v="2022"/>
    <s v="October"/>
    <x v="117"/>
    <s v="Meat and fish"/>
    <n v="214.9"/>
    <x v="0"/>
  </r>
  <r>
    <s v="Urban"/>
    <n v="2022"/>
    <s v="October"/>
    <x v="117"/>
    <s v="Egg"/>
    <n v="171.9"/>
    <x v="0"/>
  </r>
  <r>
    <s v="Urban"/>
    <n v="2022"/>
    <s v="October"/>
    <x v="117"/>
    <s v="Milk and products"/>
    <n v="171"/>
    <x v="0"/>
  </r>
  <r>
    <s v="Urban"/>
    <n v="2022"/>
    <s v="October"/>
    <x v="117"/>
    <s v="Oils and fats"/>
    <n v="177.7"/>
    <x v="0"/>
  </r>
  <r>
    <s v="Urban"/>
    <n v="2022"/>
    <s v="October"/>
    <x v="117"/>
    <s v="Fruits"/>
    <n v="165.7"/>
    <x v="0"/>
  </r>
  <r>
    <s v="Urban"/>
    <n v="2022"/>
    <s v="October"/>
    <x v="117"/>
    <s v="Vegetables"/>
    <n v="228.6"/>
    <x v="0"/>
  </r>
  <r>
    <s v="Urban"/>
    <n v="2022"/>
    <s v="October"/>
    <x v="117"/>
    <s v="Pulses and products"/>
    <n v="169.9"/>
    <x v="0"/>
  </r>
  <r>
    <s v="Urban"/>
    <n v="2022"/>
    <s v="October"/>
    <x v="117"/>
    <s v="Sugar and Confectionery"/>
    <n v="123.4"/>
    <x v="0"/>
  </r>
  <r>
    <s v="Urban"/>
    <n v="2022"/>
    <s v="October"/>
    <x v="117"/>
    <s v="Spices"/>
    <n v="196.4"/>
    <x v="0"/>
  </r>
  <r>
    <s v="Urban"/>
    <n v="2022"/>
    <s v="October"/>
    <x v="117"/>
    <s v="Non-alcoholic beverages"/>
    <n v="161.6"/>
    <x v="0"/>
  </r>
  <r>
    <s v="Urban"/>
    <n v="2022"/>
    <s v="October"/>
    <x v="117"/>
    <s v="Prepared meals, snacks, sweets etc."/>
    <n v="191.5"/>
    <x v="0"/>
  </r>
  <r>
    <s v="Urban"/>
    <n v="2022"/>
    <s v="October"/>
    <x v="117"/>
    <s v="Food and beverages"/>
    <n v="183.3"/>
    <x v="0"/>
  </r>
  <r>
    <s v="Urban"/>
    <n v="2022"/>
    <s v="October"/>
    <x v="117"/>
    <s v="Pan, tobacco and intoxicants"/>
    <n v="200.1"/>
    <x v="1"/>
  </r>
  <r>
    <s v="Urban"/>
    <n v="2022"/>
    <s v="October"/>
    <x v="117"/>
    <s v="Clothing"/>
    <n v="175.5"/>
    <x v="2"/>
  </r>
  <r>
    <s v="Urban"/>
    <n v="2022"/>
    <s v="October"/>
    <x v="117"/>
    <s v="Footwear"/>
    <n v="162.6"/>
    <x v="2"/>
  </r>
  <r>
    <s v="Urban"/>
    <n v="2022"/>
    <s v="October"/>
    <x v="117"/>
    <s v="Clothing and footwear"/>
    <n v="173.6"/>
    <x v="2"/>
  </r>
  <r>
    <s v="Urban"/>
    <n v="2022"/>
    <s v="October"/>
    <x v="117"/>
    <s v="Housing"/>
    <n v="171.2"/>
    <x v="10"/>
  </r>
  <r>
    <s v="Urban"/>
    <n v="2022"/>
    <s v="October"/>
    <x v="117"/>
    <s v="Fuel and light"/>
    <n v="180"/>
    <x v="3"/>
  </r>
  <r>
    <s v="Urban"/>
    <n v="2022"/>
    <s v="October"/>
    <x v="117"/>
    <s v="Household goods and services"/>
    <n v="166"/>
    <x v="4"/>
  </r>
  <r>
    <s v="Urban"/>
    <n v="2022"/>
    <s v="October"/>
    <x v="117"/>
    <s v="Health"/>
    <n v="174.7"/>
    <x v="5"/>
  </r>
  <r>
    <s v="Urban"/>
    <n v="2022"/>
    <s v="October"/>
    <x v="117"/>
    <s v="Transport and communication"/>
    <n v="158.80000000000001"/>
    <x v="6"/>
  </r>
  <r>
    <s v="Urban"/>
    <n v="2022"/>
    <s v="October"/>
    <x v="117"/>
    <s v="Recreation and amusement"/>
    <n v="166.3"/>
    <x v="1"/>
  </r>
  <r>
    <s v="Urban"/>
    <n v="2022"/>
    <s v="October"/>
    <x v="117"/>
    <s v="Education"/>
    <n v="171.2"/>
    <x v="7"/>
  </r>
  <r>
    <s v="Urban"/>
    <n v="2022"/>
    <s v="October"/>
    <x v="117"/>
    <s v="Personal care and effects"/>
    <n v="172.3"/>
    <x v="4"/>
  </r>
  <r>
    <s v="Urban"/>
    <n v="2022"/>
    <s v="October"/>
    <x v="117"/>
    <s v="Miscellaneous"/>
    <n v="166.8"/>
    <x v="8"/>
  </r>
  <r>
    <s v="Urban"/>
    <n v="2022"/>
    <s v="October"/>
    <x v="117"/>
    <s v="General index"/>
    <n v="175.3"/>
    <x v="9"/>
  </r>
  <r>
    <s v="Rural+Urban"/>
    <n v="2022"/>
    <s v="October"/>
    <x v="117"/>
    <s v="Cereals and products"/>
    <n v="165.2"/>
    <x v="0"/>
  </r>
  <r>
    <s v="Rural+Urban"/>
    <n v="2022"/>
    <s v="October"/>
    <x v="117"/>
    <s v="Meat and fish"/>
    <n v="210.9"/>
    <x v="0"/>
  </r>
  <r>
    <s v="Rural+Urban"/>
    <n v="2022"/>
    <s v="October"/>
    <x v="117"/>
    <s v="Egg"/>
    <n v="170.9"/>
    <x v="0"/>
  </r>
  <r>
    <s v="Rural+Urban"/>
    <n v="2022"/>
    <s v="October"/>
    <x v="117"/>
    <s v="Milk and products"/>
    <n v="170.9"/>
    <x v="0"/>
  </r>
  <r>
    <s v="Rural+Urban"/>
    <n v="2022"/>
    <s v="October"/>
    <x v="117"/>
    <s v="Oils and fats"/>
    <n v="186.5"/>
    <x v="0"/>
  </r>
  <r>
    <s v="Rural+Urban"/>
    <n v="2022"/>
    <s v="October"/>
    <x v="117"/>
    <s v="Fruits"/>
    <n v="163.80000000000001"/>
    <x v="0"/>
  </r>
  <r>
    <s v="Rural+Urban"/>
    <n v="2022"/>
    <s v="October"/>
    <x v="117"/>
    <s v="Vegetables"/>
    <n v="199.7"/>
    <x v="0"/>
  </r>
  <r>
    <s v="Rural+Urban"/>
    <n v="2022"/>
    <s v="October"/>
    <x v="117"/>
    <s v="Pulses and products"/>
    <n v="169.8"/>
    <x v="0"/>
  </r>
  <r>
    <s v="Rural+Urban"/>
    <n v="2022"/>
    <s v="October"/>
    <x v="117"/>
    <s v="Sugar and Confectionery"/>
    <n v="121.9"/>
    <x v="0"/>
  </r>
  <r>
    <s v="Rural+Urban"/>
    <n v="2022"/>
    <s v="October"/>
    <x v="117"/>
    <s v="Spices"/>
    <n v="199.9"/>
    <x v="0"/>
  </r>
  <r>
    <s v="Rural+Urban"/>
    <n v="2022"/>
    <s v="October"/>
    <x v="117"/>
    <s v="Non-alcoholic beverages"/>
    <n v="169.9"/>
    <x v="0"/>
  </r>
  <r>
    <s v="Rural+Urban"/>
    <n v="2022"/>
    <s v="October"/>
    <x v="117"/>
    <s v="Prepared meals, snacks, sweets etc."/>
    <n v="188.3"/>
    <x v="0"/>
  </r>
  <r>
    <s v="Rural+Urban"/>
    <n v="2022"/>
    <s v="October"/>
    <x v="117"/>
    <s v="Food and beverages"/>
    <n v="179.6"/>
    <x v="0"/>
  </r>
  <r>
    <s v="Rural+Urban"/>
    <n v="2022"/>
    <s v="October"/>
    <x v="117"/>
    <s v="Pan, tobacco and intoxicants"/>
    <n v="196.3"/>
    <x v="1"/>
  </r>
  <r>
    <s v="Rural+Urban"/>
    <n v="2022"/>
    <s v="October"/>
    <x v="117"/>
    <s v="Clothing"/>
    <n v="181.9"/>
    <x v="2"/>
  </r>
  <r>
    <s v="Rural+Urban"/>
    <n v="2022"/>
    <s v="October"/>
    <x v="117"/>
    <s v="Footwear"/>
    <n v="175.3"/>
    <x v="2"/>
  </r>
  <r>
    <s v="Rural+Urban"/>
    <n v="2022"/>
    <s v="October"/>
    <x v="117"/>
    <s v="Clothing and footwear"/>
    <n v="181"/>
    <x v="2"/>
  </r>
  <r>
    <s v="Rural+Urban"/>
    <n v="2022"/>
    <s v="October"/>
    <x v="117"/>
    <s v="Housing"/>
    <n v="171.2"/>
    <x v="10"/>
  </r>
  <r>
    <s v="Rural+Urban"/>
    <n v="2022"/>
    <s v="October"/>
    <x v="117"/>
    <s v="Fuel and light"/>
    <n v="180.5"/>
    <x v="3"/>
  </r>
  <r>
    <s v="Rural+Urban"/>
    <n v="2022"/>
    <s v="October"/>
    <x v="117"/>
    <s v="Household goods and services"/>
    <n v="170.4"/>
    <x v="4"/>
  </r>
  <r>
    <s v="Rural+Urban"/>
    <n v="2022"/>
    <s v="October"/>
    <x v="117"/>
    <s v="Health"/>
    <n v="178.7"/>
    <x v="5"/>
  </r>
  <r>
    <s v="Rural+Urban"/>
    <n v="2022"/>
    <s v="October"/>
    <x v="117"/>
    <s v="Transport and communication"/>
    <n v="162.9"/>
    <x v="6"/>
  </r>
  <r>
    <s v="Rural+Urban"/>
    <n v="2022"/>
    <s v="October"/>
    <x v="117"/>
    <s v="Recreation and amusement"/>
    <n v="168.2"/>
    <x v="1"/>
  </r>
  <r>
    <s v="Rural+Urban"/>
    <n v="2022"/>
    <s v="October"/>
    <x v="117"/>
    <s v="Education"/>
    <n v="173.4"/>
    <x v="7"/>
  </r>
  <r>
    <s v="Rural+Urban"/>
    <n v="2022"/>
    <s v="October"/>
    <x v="117"/>
    <s v="Personal care and effects"/>
    <n v="172.1"/>
    <x v="4"/>
  </r>
  <r>
    <s v="Rural+Urban"/>
    <n v="2022"/>
    <s v="October"/>
    <x v="117"/>
    <s v="Miscellaneous"/>
    <n v="170.5"/>
    <x v="8"/>
  </r>
  <r>
    <s v="Rural+Urban"/>
    <n v="2022"/>
    <s v="October"/>
    <x v="117"/>
    <s v="General index"/>
    <n v="176.7"/>
    <x v="9"/>
  </r>
  <r>
    <s v="Rural"/>
    <n v="2022"/>
    <s v="November"/>
    <x v="118"/>
    <s v="Cereals and products"/>
    <n v="166.9"/>
    <x v="0"/>
  </r>
  <r>
    <s v="Rural"/>
    <n v="2022"/>
    <s v="November"/>
    <x v="118"/>
    <s v="Meat and fish"/>
    <n v="207.2"/>
    <x v="0"/>
  </r>
  <r>
    <s v="Rural"/>
    <n v="2022"/>
    <s v="November"/>
    <x v="118"/>
    <s v="Egg"/>
    <n v="180.2"/>
    <x v="0"/>
  </r>
  <r>
    <s v="Rural"/>
    <n v="2022"/>
    <s v="November"/>
    <x v="118"/>
    <s v="Milk and products"/>
    <n v="172.3"/>
    <x v="0"/>
  </r>
  <r>
    <s v="Rural"/>
    <n v="2022"/>
    <s v="November"/>
    <x v="118"/>
    <s v="Oils and fats"/>
    <n v="194"/>
    <x v="0"/>
  </r>
  <r>
    <s v="Rural"/>
    <n v="2022"/>
    <s v="November"/>
    <x v="118"/>
    <s v="Fruits"/>
    <n v="159.1"/>
    <x v="0"/>
  </r>
  <r>
    <s v="Rural"/>
    <n v="2022"/>
    <s v="November"/>
    <x v="118"/>
    <s v="Vegetables"/>
    <n v="171.6"/>
    <x v="0"/>
  </r>
  <r>
    <s v="Rural"/>
    <n v="2022"/>
    <s v="November"/>
    <x v="118"/>
    <s v="Pulses and products"/>
    <n v="170.2"/>
    <x v="0"/>
  </r>
  <r>
    <s v="Rural"/>
    <n v="2022"/>
    <s v="November"/>
    <x v="118"/>
    <s v="Sugar and Confectionery"/>
    <n v="121.5"/>
    <x v="0"/>
  </r>
  <r>
    <s v="Rural"/>
    <n v="2022"/>
    <s v="November"/>
    <x v="118"/>
    <s v="Spices"/>
    <n v="204.8"/>
    <x v="0"/>
  </r>
  <r>
    <s v="Rural"/>
    <n v="2022"/>
    <s v="November"/>
    <x v="118"/>
    <s v="Non-alcoholic beverages"/>
    <n v="176.4"/>
    <x v="0"/>
  </r>
  <r>
    <s v="Rural"/>
    <n v="2022"/>
    <s v="November"/>
    <x v="118"/>
    <s v="Prepared meals, snacks, sweets etc."/>
    <n v="186.9"/>
    <x v="0"/>
  </r>
  <r>
    <s v="Rural"/>
    <n v="2022"/>
    <s v="November"/>
    <x v="118"/>
    <s v="Food and beverages"/>
    <n v="176.6"/>
    <x v="0"/>
  </r>
  <r>
    <s v="Rural"/>
    <n v="2022"/>
    <s v="November"/>
    <x v="118"/>
    <s v="Pan, tobacco and intoxicants"/>
    <n v="195.5"/>
    <x v="1"/>
  </r>
  <r>
    <s v="Rural"/>
    <n v="2022"/>
    <s v="November"/>
    <x v="118"/>
    <s v="Clothing"/>
    <n v="187.2"/>
    <x v="2"/>
  </r>
  <r>
    <s v="Rural"/>
    <n v="2022"/>
    <s v="November"/>
    <x v="118"/>
    <s v="Footwear"/>
    <n v="185.2"/>
    <x v="2"/>
  </r>
  <r>
    <s v="Rural"/>
    <n v="2022"/>
    <s v="November"/>
    <x v="118"/>
    <s v="Clothing and footwear"/>
    <n v="186.9"/>
    <x v="2"/>
  </r>
  <r>
    <s v="Rural"/>
    <n v="2022"/>
    <s v="November"/>
    <x v="118"/>
    <s v="Fuel and light"/>
    <n v="181.9"/>
    <x v="3"/>
  </r>
  <r>
    <s v="Rural"/>
    <n v="2022"/>
    <s v="November"/>
    <x v="118"/>
    <s v="Household goods and services"/>
    <n v="175.5"/>
    <x v="4"/>
  </r>
  <r>
    <s v="Rural"/>
    <n v="2022"/>
    <s v="November"/>
    <x v="118"/>
    <s v="Health"/>
    <n v="182.3"/>
    <x v="5"/>
  </r>
  <r>
    <s v="Rural"/>
    <n v="2022"/>
    <s v="November"/>
    <x v="118"/>
    <s v="Transport and communication"/>
    <n v="167.5"/>
    <x v="6"/>
  </r>
  <r>
    <s v="Rural"/>
    <n v="2022"/>
    <s v="November"/>
    <x v="118"/>
    <s v="Recreation and amusement"/>
    <n v="170.8"/>
    <x v="1"/>
  </r>
  <r>
    <s v="Rural"/>
    <n v="2022"/>
    <s v="November"/>
    <x v="118"/>
    <s v="Education"/>
    <n v="176.9"/>
    <x v="7"/>
  </r>
  <r>
    <s v="Rural"/>
    <n v="2022"/>
    <s v="November"/>
    <x v="118"/>
    <s v="Personal care and effects"/>
    <n v="173.4"/>
    <x v="4"/>
  </r>
  <r>
    <s v="Rural"/>
    <n v="2022"/>
    <s v="November"/>
    <x v="118"/>
    <s v="Miscellaneous"/>
    <n v="174.6"/>
    <x v="8"/>
  </r>
  <r>
    <s v="Rural"/>
    <n v="2022"/>
    <s v="November"/>
    <x v="118"/>
    <s v="General index"/>
    <n v="177.8"/>
    <x v="9"/>
  </r>
  <r>
    <s v="Urban"/>
    <n v="2022"/>
    <s v="November"/>
    <x v="118"/>
    <s v="Cereals and products"/>
    <n v="168.4"/>
    <x v="0"/>
  </r>
  <r>
    <s v="Urban"/>
    <n v="2022"/>
    <s v="November"/>
    <x v="118"/>
    <s v="Meat and fish"/>
    <n v="213.4"/>
    <x v="0"/>
  </r>
  <r>
    <s v="Urban"/>
    <n v="2022"/>
    <s v="November"/>
    <x v="118"/>
    <s v="Egg"/>
    <n v="183.2"/>
    <x v="0"/>
  </r>
  <r>
    <s v="Urban"/>
    <n v="2022"/>
    <s v="November"/>
    <x v="118"/>
    <s v="Milk and products"/>
    <n v="172.3"/>
    <x v="0"/>
  </r>
  <r>
    <s v="Urban"/>
    <n v="2022"/>
    <s v="November"/>
    <x v="118"/>
    <s v="Oils and fats"/>
    <n v="180"/>
    <x v="0"/>
  </r>
  <r>
    <s v="Urban"/>
    <n v="2022"/>
    <s v="November"/>
    <x v="118"/>
    <s v="Fruits"/>
    <n v="162.6"/>
    <x v="0"/>
  </r>
  <r>
    <s v="Urban"/>
    <n v="2022"/>
    <s v="November"/>
    <x v="118"/>
    <s v="Vegetables"/>
    <n v="205.5"/>
    <x v="0"/>
  </r>
  <r>
    <s v="Urban"/>
    <n v="2022"/>
    <s v="November"/>
    <x v="118"/>
    <s v="Pulses and products"/>
    <n v="171"/>
    <x v="0"/>
  </r>
  <r>
    <s v="Urban"/>
    <n v="2022"/>
    <s v="November"/>
    <x v="118"/>
    <s v="Sugar and Confectionery"/>
    <n v="123.4"/>
    <x v="0"/>
  </r>
  <r>
    <s v="Urban"/>
    <n v="2022"/>
    <s v="November"/>
    <x v="118"/>
    <s v="Spices"/>
    <n v="198.8"/>
    <x v="0"/>
  </r>
  <r>
    <s v="Urban"/>
    <n v="2022"/>
    <s v="November"/>
    <x v="118"/>
    <s v="Non-alcoholic beverages"/>
    <n v="162.1"/>
    <x v="0"/>
  </r>
  <r>
    <s v="Urban"/>
    <n v="2022"/>
    <s v="November"/>
    <x v="118"/>
    <s v="Prepared meals, snacks, sweets etc."/>
    <n v="192.4"/>
    <x v="0"/>
  </r>
  <r>
    <s v="Urban"/>
    <n v="2022"/>
    <s v="November"/>
    <x v="118"/>
    <s v="Food and beverages"/>
    <n v="181.3"/>
    <x v="0"/>
  </r>
  <r>
    <s v="Urban"/>
    <n v="2022"/>
    <s v="November"/>
    <x v="118"/>
    <s v="Pan, tobacco and intoxicants"/>
    <n v="200.6"/>
    <x v="1"/>
  </r>
  <r>
    <s v="Urban"/>
    <n v="2022"/>
    <s v="November"/>
    <x v="118"/>
    <s v="Clothing"/>
    <n v="176.7"/>
    <x v="2"/>
  </r>
  <r>
    <s v="Urban"/>
    <n v="2022"/>
    <s v="November"/>
    <x v="118"/>
    <s v="Footwear"/>
    <n v="163.5"/>
    <x v="2"/>
  </r>
  <r>
    <s v="Urban"/>
    <n v="2022"/>
    <s v="November"/>
    <x v="118"/>
    <s v="Clothing and footwear"/>
    <n v="174.7"/>
    <x v="2"/>
  </r>
  <r>
    <s v="Urban"/>
    <n v="2022"/>
    <s v="November"/>
    <x v="118"/>
    <s v="Housing"/>
    <n v="171.8"/>
    <x v="10"/>
  </r>
  <r>
    <s v="Urban"/>
    <n v="2022"/>
    <s v="November"/>
    <x v="118"/>
    <s v="Fuel and light"/>
    <n v="180.3"/>
    <x v="3"/>
  </r>
  <r>
    <s v="Urban"/>
    <n v="2022"/>
    <s v="November"/>
    <x v="118"/>
    <s v="Household goods and services"/>
    <n v="166.9"/>
    <x v="4"/>
  </r>
  <r>
    <s v="Urban"/>
    <n v="2022"/>
    <s v="November"/>
    <x v="118"/>
    <s v="Health"/>
    <n v="175.8"/>
    <x v="5"/>
  </r>
  <r>
    <s v="Urban"/>
    <n v="2022"/>
    <s v="November"/>
    <x v="118"/>
    <s v="Transport and communication"/>
    <n v="158.9"/>
    <x v="6"/>
  </r>
  <r>
    <s v="Urban"/>
    <n v="2022"/>
    <s v="November"/>
    <x v="118"/>
    <s v="Recreation and amusement"/>
    <n v="166.7"/>
    <x v="1"/>
  </r>
  <r>
    <s v="Urban"/>
    <n v="2022"/>
    <s v="November"/>
    <x v="118"/>
    <s v="Education"/>
    <n v="171.5"/>
    <x v="7"/>
  </r>
  <r>
    <s v="Urban"/>
    <n v="2022"/>
    <s v="November"/>
    <x v="118"/>
    <s v="Personal care and effects"/>
    <n v="173.8"/>
    <x v="4"/>
  </r>
  <r>
    <s v="Urban"/>
    <n v="2022"/>
    <s v="November"/>
    <x v="118"/>
    <s v="Miscellaneous"/>
    <n v="167.4"/>
    <x v="8"/>
  </r>
  <r>
    <s v="Urban"/>
    <n v="2022"/>
    <s v="November"/>
    <x v="118"/>
    <s v="General index"/>
    <n v="174.1"/>
    <x v="9"/>
  </r>
  <r>
    <s v="Rural+Urban"/>
    <n v="2022"/>
    <s v="November"/>
    <x v="118"/>
    <s v="Cereals and products"/>
    <n v="167.4"/>
    <x v="0"/>
  </r>
  <r>
    <s v="Rural+Urban"/>
    <n v="2022"/>
    <s v="November"/>
    <x v="118"/>
    <s v="Meat and fish"/>
    <n v="209.4"/>
    <x v="0"/>
  </r>
  <r>
    <s v="Rural+Urban"/>
    <n v="2022"/>
    <s v="November"/>
    <x v="118"/>
    <s v="Egg"/>
    <n v="181.4"/>
    <x v="0"/>
  </r>
  <r>
    <s v="Rural+Urban"/>
    <n v="2022"/>
    <s v="November"/>
    <x v="118"/>
    <s v="Milk and products"/>
    <n v="172.3"/>
    <x v="0"/>
  </r>
  <r>
    <s v="Rural+Urban"/>
    <n v="2022"/>
    <s v="November"/>
    <x v="118"/>
    <s v="Oils and fats"/>
    <n v="188.9"/>
    <x v="0"/>
  </r>
  <r>
    <s v="Rural+Urban"/>
    <n v="2022"/>
    <s v="November"/>
    <x v="118"/>
    <s v="Fruits"/>
    <n v="160.69999999999999"/>
    <x v="0"/>
  </r>
  <r>
    <s v="Rural+Urban"/>
    <n v="2022"/>
    <s v="November"/>
    <x v="118"/>
    <s v="Vegetables"/>
    <n v="183.1"/>
    <x v="0"/>
  </r>
  <r>
    <s v="Rural+Urban"/>
    <n v="2022"/>
    <s v="November"/>
    <x v="118"/>
    <s v="Pulses and products"/>
    <n v="170.5"/>
    <x v="0"/>
  </r>
  <r>
    <s v="Rural+Urban"/>
    <n v="2022"/>
    <s v="November"/>
    <x v="118"/>
    <s v="Sugar and Confectionery"/>
    <n v="122.1"/>
    <x v="0"/>
  </r>
  <r>
    <s v="Rural+Urban"/>
    <n v="2022"/>
    <s v="November"/>
    <x v="118"/>
    <s v="Spices"/>
    <n v="202.8"/>
    <x v="0"/>
  </r>
  <r>
    <s v="Rural+Urban"/>
    <n v="2022"/>
    <s v="November"/>
    <x v="118"/>
    <s v="Non-alcoholic beverages"/>
    <n v="170.4"/>
    <x v="0"/>
  </r>
  <r>
    <s v="Rural+Urban"/>
    <n v="2022"/>
    <s v="November"/>
    <x v="118"/>
    <s v="Prepared meals, snacks, sweets etc."/>
    <n v="189.5"/>
    <x v="0"/>
  </r>
  <r>
    <s v="Rural+Urban"/>
    <n v="2022"/>
    <s v="November"/>
    <x v="118"/>
    <s v="Food and beverages"/>
    <n v="178.3"/>
    <x v="0"/>
  </r>
  <r>
    <s v="Rural+Urban"/>
    <n v="2022"/>
    <s v="November"/>
    <x v="118"/>
    <s v="Pan, tobacco and intoxicants"/>
    <n v="196.9"/>
    <x v="1"/>
  </r>
  <r>
    <s v="Rural+Urban"/>
    <n v="2022"/>
    <s v="November"/>
    <x v="118"/>
    <s v="Clothing"/>
    <n v="183.1"/>
    <x v="2"/>
  </r>
  <r>
    <s v="Rural+Urban"/>
    <n v="2022"/>
    <s v="November"/>
    <x v="118"/>
    <s v="Footwear"/>
    <n v="176.2"/>
    <x v="2"/>
  </r>
  <r>
    <s v="Rural+Urban"/>
    <n v="2022"/>
    <s v="November"/>
    <x v="118"/>
    <s v="Clothing and footwear"/>
    <n v="182.1"/>
    <x v="2"/>
  </r>
  <r>
    <s v="Rural+Urban"/>
    <n v="2022"/>
    <s v="November"/>
    <x v="118"/>
    <s v="Housing"/>
    <n v="171.8"/>
    <x v="10"/>
  </r>
  <r>
    <s v="Rural+Urban"/>
    <n v="2022"/>
    <s v="November"/>
    <x v="118"/>
    <s v="Fuel and light"/>
    <n v="181.3"/>
    <x v="3"/>
  </r>
  <r>
    <s v="Rural+Urban"/>
    <n v="2022"/>
    <s v="November"/>
    <x v="118"/>
    <s v="Household goods and services"/>
    <n v="171.4"/>
    <x v="4"/>
  </r>
  <r>
    <s v="Rural+Urban"/>
    <n v="2022"/>
    <s v="November"/>
    <x v="118"/>
    <s v="Health"/>
    <n v="179.8"/>
    <x v="5"/>
  </r>
  <r>
    <s v="Rural+Urban"/>
    <n v="2022"/>
    <s v="November"/>
    <x v="118"/>
    <s v="Transport and communication"/>
    <n v="163"/>
    <x v="6"/>
  </r>
  <r>
    <s v="Rural+Urban"/>
    <n v="2022"/>
    <s v="November"/>
    <x v="118"/>
    <s v="Recreation and amusement"/>
    <n v="168.5"/>
    <x v="1"/>
  </r>
  <r>
    <s v="Rural+Urban"/>
    <n v="2022"/>
    <s v="November"/>
    <x v="118"/>
    <s v="Education"/>
    <n v="173.7"/>
    <x v="7"/>
  </r>
  <r>
    <s v="Rural+Urban"/>
    <n v="2022"/>
    <s v="November"/>
    <x v="118"/>
    <s v="Personal care and effects"/>
    <n v="173.6"/>
    <x v="4"/>
  </r>
  <r>
    <s v="Rural+Urban"/>
    <n v="2022"/>
    <s v="November"/>
    <x v="118"/>
    <s v="Miscellaneous"/>
    <n v="171.1"/>
    <x v="8"/>
  </r>
  <r>
    <s v="Rural+Urban"/>
    <n v="2022"/>
    <s v="November"/>
    <x v="118"/>
    <s v="General index"/>
    <n v="176.5"/>
    <x v="9"/>
  </r>
  <r>
    <s v="Rural"/>
    <n v="2022"/>
    <s v="December"/>
    <x v="119"/>
    <s v="Cereals and products"/>
    <n v="168.8"/>
    <x v="0"/>
  </r>
  <r>
    <s v="Rural"/>
    <n v="2022"/>
    <s v="December"/>
    <x v="119"/>
    <s v="Meat and fish"/>
    <n v="206.9"/>
    <x v="0"/>
  </r>
  <r>
    <s v="Rural"/>
    <n v="2022"/>
    <s v="December"/>
    <x v="119"/>
    <s v="Egg"/>
    <n v="189.1"/>
    <x v="0"/>
  </r>
  <r>
    <s v="Rural"/>
    <n v="2022"/>
    <s v="December"/>
    <x v="119"/>
    <s v="Milk and products"/>
    <n v="173.4"/>
    <x v="0"/>
  </r>
  <r>
    <s v="Rural"/>
    <n v="2022"/>
    <s v="December"/>
    <x v="119"/>
    <s v="Oils and fats"/>
    <n v="193.9"/>
    <x v="0"/>
  </r>
  <r>
    <s v="Rural"/>
    <n v="2022"/>
    <s v="December"/>
    <x v="119"/>
    <s v="Fruits"/>
    <n v="156.69999999999999"/>
    <x v="0"/>
  </r>
  <r>
    <s v="Rural"/>
    <n v="2022"/>
    <s v="December"/>
    <x v="119"/>
    <s v="Vegetables"/>
    <n v="150.19999999999999"/>
    <x v="0"/>
  </r>
  <r>
    <s v="Rural"/>
    <n v="2022"/>
    <s v="December"/>
    <x v="119"/>
    <s v="Pulses and products"/>
    <n v="170.5"/>
    <x v="0"/>
  </r>
  <r>
    <s v="Rural"/>
    <n v="2022"/>
    <s v="December"/>
    <x v="119"/>
    <s v="Sugar and Confectionery"/>
    <n v="121.2"/>
    <x v="0"/>
  </r>
  <r>
    <s v="Rural"/>
    <n v="2022"/>
    <s v="December"/>
    <x v="119"/>
    <s v="Spices"/>
    <n v="207.5"/>
    <x v="0"/>
  </r>
  <r>
    <s v="Rural"/>
    <n v="2022"/>
    <s v="December"/>
    <x v="119"/>
    <s v="Non-alcoholic beverages"/>
    <n v="176.8"/>
    <x v="0"/>
  </r>
  <r>
    <s v="Rural"/>
    <n v="2022"/>
    <s v="December"/>
    <x v="119"/>
    <s v="Prepared meals, snacks, sweets etc."/>
    <n v="187.7"/>
    <x v="0"/>
  </r>
  <r>
    <s v="Rural"/>
    <n v="2022"/>
    <s v="December"/>
    <x v="119"/>
    <s v="Food and beverages"/>
    <n v="174.4"/>
    <x v="0"/>
  </r>
  <r>
    <s v="Rural"/>
    <n v="2022"/>
    <s v="December"/>
    <x v="119"/>
    <s v="Pan, tobacco and intoxicants"/>
    <n v="195.9"/>
    <x v="1"/>
  </r>
  <r>
    <s v="Rural"/>
    <n v="2022"/>
    <s v="December"/>
    <x v="119"/>
    <s v="Clothing"/>
    <n v="188.1"/>
    <x v="2"/>
  </r>
  <r>
    <s v="Rural"/>
    <n v="2022"/>
    <s v="December"/>
    <x v="119"/>
    <s v="Footwear"/>
    <n v="185.9"/>
    <x v="2"/>
  </r>
  <r>
    <s v="Rural"/>
    <n v="2022"/>
    <s v="December"/>
    <x v="119"/>
    <s v="Clothing and footwear"/>
    <n v="187.8"/>
    <x v="2"/>
  </r>
  <r>
    <s v="Rural"/>
    <n v="2022"/>
    <s v="December"/>
    <x v="119"/>
    <s v="Fuel and light"/>
    <n v="182.8"/>
    <x v="3"/>
  </r>
  <r>
    <s v="Rural"/>
    <n v="2022"/>
    <s v="December"/>
    <x v="119"/>
    <s v="Household goods and services"/>
    <n v="176.4"/>
    <x v="4"/>
  </r>
  <r>
    <s v="Rural"/>
    <n v="2022"/>
    <s v="December"/>
    <x v="119"/>
    <s v="Health"/>
    <n v="183.5"/>
    <x v="5"/>
  </r>
  <r>
    <s v="Rural"/>
    <n v="2022"/>
    <s v="December"/>
    <x v="119"/>
    <s v="Transport and communication"/>
    <n v="167.8"/>
    <x v="6"/>
  </r>
  <r>
    <s v="Rural"/>
    <n v="2022"/>
    <s v="December"/>
    <x v="119"/>
    <s v="Recreation and amusement"/>
    <n v="171.2"/>
    <x v="1"/>
  </r>
  <r>
    <s v="Rural"/>
    <n v="2022"/>
    <s v="December"/>
    <x v="119"/>
    <s v="Education"/>
    <n v="177.3"/>
    <x v="7"/>
  </r>
  <r>
    <s v="Rural"/>
    <n v="2022"/>
    <s v="December"/>
    <x v="119"/>
    <s v="Personal care and effects"/>
    <n v="175.7"/>
    <x v="4"/>
  </r>
  <r>
    <s v="Rural"/>
    <n v="2022"/>
    <s v="December"/>
    <x v="119"/>
    <s v="Miscellaneous"/>
    <n v="175.5"/>
    <x v="8"/>
  </r>
  <r>
    <s v="Rural"/>
    <n v="2022"/>
    <s v="December"/>
    <x v="119"/>
    <s v="General index"/>
    <n v="177.1"/>
    <x v="9"/>
  </r>
  <r>
    <s v="Urban"/>
    <n v="2022"/>
    <s v="December"/>
    <x v="119"/>
    <s v="Cereals and products"/>
    <n v="170.2"/>
    <x v="0"/>
  </r>
  <r>
    <s v="Urban"/>
    <n v="2022"/>
    <s v="December"/>
    <x v="119"/>
    <s v="Meat and fish"/>
    <n v="212.9"/>
    <x v="0"/>
  </r>
  <r>
    <s v="Urban"/>
    <n v="2022"/>
    <s v="December"/>
    <x v="119"/>
    <s v="Egg"/>
    <n v="191.9"/>
    <x v="0"/>
  </r>
  <r>
    <s v="Urban"/>
    <n v="2022"/>
    <s v="December"/>
    <x v="119"/>
    <s v="Milk and products"/>
    <n v="173.9"/>
    <x v="0"/>
  </r>
  <r>
    <s v="Urban"/>
    <n v="2022"/>
    <s v="December"/>
    <x v="119"/>
    <s v="Oils and fats"/>
    <n v="179.1"/>
    <x v="0"/>
  </r>
  <r>
    <s v="Urban"/>
    <n v="2022"/>
    <s v="December"/>
    <x v="119"/>
    <s v="Fruits"/>
    <n v="159.5"/>
    <x v="0"/>
  </r>
  <r>
    <s v="Urban"/>
    <n v="2022"/>
    <s v="December"/>
    <x v="119"/>
    <s v="Vegetables"/>
    <n v="178.7"/>
    <x v="0"/>
  </r>
  <r>
    <s v="Urban"/>
    <n v="2022"/>
    <s v="December"/>
    <x v="119"/>
    <s v="Pulses and products"/>
    <n v="171.3"/>
    <x v="0"/>
  </r>
  <r>
    <s v="Urban"/>
    <n v="2022"/>
    <s v="December"/>
    <x v="119"/>
    <s v="Sugar and Confectionery"/>
    <n v="123.1"/>
    <x v="0"/>
  </r>
  <r>
    <s v="Urban"/>
    <n v="2022"/>
    <s v="December"/>
    <x v="119"/>
    <s v="Spices"/>
    <n v="200.5"/>
    <x v="0"/>
  </r>
  <r>
    <s v="Urban"/>
    <n v="2022"/>
    <s v="December"/>
    <x v="119"/>
    <s v="Non-alcoholic beverages"/>
    <n v="162.80000000000001"/>
    <x v="0"/>
  </r>
  <r>
    <s v="Urban"/>
    <n v="2022"/>
    <s v="December"/>
    <x v="119"/>
    <s v="Prepared meals, snacks, sweets etc."/>
    <n v="193.3"/>
    <x v="0"/>
  </r>
  <r>
    <s v="Urban"/>
    <n v="2022"/>
    <s v="December"/>
    <x v="119"/>
    <s v="Food and beverages"/>
    <n v="178.6"/>
    <x v="0"/>
  </r>
  <r>
    <s v="Urban"/>
    <n v="2022"/>
    <s v="December"/>
    <x v="119"/>
    <s v="Pan, tobacco and intoxicants"/>
    <n v="201.1"/>
    <x v="1"/>
  </r>
  <r>
    <s v="Urban"/>
    <n v="2022"/>
    <s v="December"/>
    <x v="119"/>
    <s v="Clothing"/>
    <n v="177.7"/>
    <x v="2"/>
  </r>
  <r>
    <s v="Urban"/>
    <n v="2022"/>
    <s v="December"/>
    <x v="119"/>
    <s v="Footwear"/>
    <n v="164.5"/>
    <x v="2"/>
  </r>
  <r>
    <s v="Urban"/>
    <n v="2022"/>
    <s v="December"/>
    <x v="119"/>
    <s v="Clothing and footwear"/>
    <n v="175.7"/>
    <x v="2"/>
  </r>
  <r>
    <s v="Urban"/>
    <n v="2022"/>
    <s v="December"/>
    <x v="119"/>
    <s v="Housing"/>
    <n v="170.7"/>
    <x v="10"/>
  </r>
  <r>
    <s v="Urban"/>
    <n v="2022"/>
    <s v="December"/>
    <x v="119"/>
    <s v="Fuel and light"/>
    <n v="180.6"/>
    <x v="3"/>
  </r>
  <r>
    <s v="Urban"/>
    <n v="2022"/>
    <s v="December"/>
    <x v="119"/>
    <s v="Household goods and services"/>
    <n v="167.3"/>
    <x v="4"/>
  </r>
  <r>
    <s v="Urban"/>
    <n v="2022"/>
    <s v="December"/>
    <x v="119"/>
    <s v="Health"/>
    <n v="177.2"/>
    <x v="5"/>
  </r>
  <r>
    <s v="Urban"/>
    <n v="2022"/>
    <s v="December"/>
    <x v="119"/>
    <s v="Transport and communication"/>
    <n v="159.4"/>
    <x v="6"/>
  </r>
  <r>
    <s v="Urban"/>
    <n v="2022"/>
    <s v="December"/>
    <x v="119"/>
    <s v="Recreation and amusement"/>
    <n v="167.1"/>
    <x v="1"/>
  </r>
  <r>
    <s v="Urban"/>
    <n v="2022"/>
    <s v="December"/>
    <x v="119"/>
    <s v="Education"/>
    <n v="171.8"/>
    <x v="7"/>
  </r>
  <r>
    <s v="Urban"/>
    <n v="2022"/>
    <s v="December"/>
    <x v="119"/>
    <s v="Personal care and effects"/>
    <n v="176"/>
    <x v="4"/>
  </r>
  <r>
    <s v="Urban"/>
    <n v="2022"/>
    <s v="December"/>
    <x v="119"/>
    <s v="Miscellaneous"/>
    <n v="168.2"/>
    <x v="8"/>
  </r>
  <r>
    <s v="Urban"/>
    <n v="2022"/>
    <s v="December"/>
    <x v="119"/>
    <s v="General index"/>
    <n v="174.1"/>
    <x v="9"/>
  </r>
  <r>
    <s v="Rural+Urban"/>
    <n v="2022"/>
    <s v="December"/>
    <x v="119"/>
    <s v="Cereals and products"/>
    <n v="169.2"/>
    <x v="0"/>
  </r>
  <r>
    <s v="Rural+Urban"/>
    <n v="2022"/>
    <s v="December"/>
    <x v="119"/>
    <s v="Meat and fish"/>
    <n v="209"/>
    <x v="0"/>
  </r>
  <r>
    <s v="Rural+Urban"/>
    <n v="2022"/>
    <s v="December"/>
    <x v="119"/>
    <s v="Egg"/>
    <n v="190.2"/>
    <x v="0"/>
  </r>
  <r>
    <s v="Rural+Urban"/>
    <n v="2022"/>
    <s v="December"/>
    <x v="119"/>
    <s v="Milk and products"/>
    <n v="173.6"/>
    <x v="0"/>
  </r>
  <r>
    <s v="Rural+Urban"/>
    <n v="2022"/>
    <s v="December"/>
    <x v="119"/>
    <s v="Oils and fats"/>
    <n v="188.5"/>
    <x v="0"/>
  </r>
  <r>
    <s v="Rural+Urban"/>
    <n v="2022"/>
    <s v="December"/>
    <x v="119"/>
    <s v="Fruits"/>
    <n v="158"/>
    <x v="0"/>
  </r>
  <r>
    <s v="Rural+Urban"/>
    <n v="2022"/>
    <s v="December"/>
    <x v="119"/>
    <s v="Vegetables"/>
    <n v="159.9"/>
    <x v="0"/>
  </r>
  <r>
    <s v="Rural+Urban"/>
    <n v="2022"/>
    <s v="December"/>
    <x v="119"/>
    <s v="Pulses and products"/>
    <n v="170.8"/>
    <x v="0"/>
  </r>
  <r>
    <s v="Rural+Urban"/>
    <n v="2022"/>
    <s v="December"/>
    <x v="119"/>
    <s v="Sugar and Confectionery"/>
    <n v="121.8"/>
    <x v="0"/>
  </r>
  <r>
    <s v="Rural+Urban"/>
    <n v="2022"/>
    <s v="December"/>
    <x v="119"/>
    <s v="Spices"/>
    <n v="205.2"/>
    <x v="0"/>
  </r>
  <r>
    <s v="Rural+Urban"/>
    <n v="2022"/>
    <s v="December"/>
    <x v="119"/>
    <s v="Non-alcoholic beverages"/>
    <n v="171"/>
    <x v="0"/>
  </r>
  <r>
    <s v="Rural+Urban"/>
    <n v="2022"/>
    <s v="December"/>
    <x v="119"/>
    <s v="Prepared meals, snacks, sweets etc."/>
    <n v="190.3"/>
    <x v="0"/>
  </r>
  <r>
    <s v="Rural+Urban"/>
    <n v="2022"/>
    <s v="December"/>
    <x v="119"/>
    <s v="Food and beverages"/>
    <n v="175.9"/>
    <x v="0"/>
  </r>
  <r>
    <s v="Rural+Urban"/>
    <n v="2022"/>
    <s v="December"/>
    <x v="119"/>
    <s v="Pan, tobacco and intoxicants"/>
    <n v="197.3"/>
    <x v="1"/>
  </r>
  <r>
    <s v="Rural+Urban"/>
    <n v="2022"/>
    <s v="December"/>
    <x v="119"/>
    <s v="Clothing"/>
    <n v="184"/>
    <x v="2"/>
  </r>
  <r>
    <s v="Rural+Urban"/>
    <n v="2022"/>
    <s v="December"/>
    <x v="119"/>
    <s v="Footwear"/>
    <n v="177"/>
    <x v="2"/>
  </r>
  <r>
    <s v="Rural+Urban"/>
    <n v="2022"/>
    <s v="December"/>
    <x v="119"/>
    <s v="Clothing and footwear"/>
    <n v="183"/>
    <x v="2"/>
  </r>
  <r>
    <s v="Rural+Urban"/>
    <n v="2022"/>
    <s v="December"/>
    <x v="119"/>
    <s v="Housing"/>
    <n v="170.7"/>
    <x v="10"/>
  </r>
  <r>
    <s v="Rural+Urban"/>
    <n v="2022"/>
    <s v="December"/>
    <x v="119"/>
    <s v="Fuel and light"/>
    <n v="182"/>
    <x v="3"/>
  </r>
  <r>
    <s v="Rural+Urban"/>
    <n v="2022"/>
    <s v="December"/>
    <x v="119"/>
    <s v="Household goods and services"/>
    <n v="172.1"/>
    <x v="4"/>
  </r>
  <r>
    <s v="Rural+Urban"/>
    <n v="2022"/>
    <s v="December"/>
    <x v="119"/>
    <s v="Health"/>
    <n v="181.1"/>
    <x v="5"/>
  </r>
  <r>
    <s v="Rural+Urban"/>
    <n v="2022"/>
    <s v="December"/>
    <x v="119"/>
    <s v="Transport and communication"/>
    <n v="163.4"/>
    <x v="6"/>
  </r>
  <r>
    <s v="Rural+Urban"/>
    <n v="2022"/>
    <s v="December"/>
    <x v="119"/>
    <s v="Recreation and amusement"/>
    <n v="168.9"/>
    <x v="1"/>
  </r>
  <r>
    <s v="Rural+Urban"/>
    <n v="2022"/>
    <s v="December"/>
    <x v="119"/>
    <s v="Education"/>
    <n v="174.1"/>
    <x v="7"/>
  </r>
  <r>
    <s v="Rural+Urban"/>
    <n v="2022"/>
    <s v="December"/>
    <x v="119"/>
    <s v="Personal care and effects"/>
    <n v="175.8"/>
    <x v="4"/>
  </r>
  <r>
    <s v="Rural+Urban"/>
    <n v="2022"/>
    <s v="December"/>
    <x v="119"/>
    <s v="Miscellaneous"/>
    <n v="172"/>
    <x v="8"/>
  </r>
  <r>
    <s v="Rural+Urban"/>
    <n v="2022"/>
    <s v="December"/>
    <x v="119"/>
    <s v="General index"/>
    <n v="175.7"/>
    <x v="9"/>
  </r>
  <r>
    <s v="Rural"/>
    <n v="2023"/>
    <s v="January"/>
    <x v="120"/>
    <s v="Cereals and products"/>
    <n v="174"/>
    <x v="0"/>
  </r>
  <r>
    <s v="Rural"/>
    <n v="2023"/>
    <s v="January"/>
    <x v="120"/>
    <s v="Meat and fish"/>
    <n v="208.3"/>
    <x v="0"/>
  </r>
  <r>
    <s v="Rural"/>
    <n v="2023"/>
    <s v="January"/>
    <x v="120"/>
    <s v="Egg"/>
    <n v="192.9"/>
    <x v="0"/>
  </r>
  <r>
    <s v="Rural"/>
    <n v="2023"/>
    <s v="January"/>
    <x v="120"/>
    <s v="Milk and products"/>
    <n v="174.3"/>
    <x v="0"/>
  </r>
  <r>
    <s v="Rural"/>
    <n v="2023"/>
    <s v="January"/>
    <x v="120"/>
    <s v="Oils and fats"/>
    <n v="192.6"/>
    <x v="0"/>
  </r>
  <r>
    <s v="Rural"/>
    <n v="2023"/>
    <s v="January"/>
    <x v="120"/>
    <s v="Fruits"/>
    <n v="156.30000000000001"/>
    <x v="0"/>
  </r>
  <r>
    <s v="Rural"/>
    <n v="2023"/>
    <s v="January"/>
    <x v="120"/>
    <s v="Vegetables"/>
    <n v="142.9"/>
    <x v="0"/>
  </r>
  <r>
    <s v="Rural"/>
    <n v="2023"/>
    <s v="January"/>
    <x v="120"/>
    <s v="Pulses and products"/>
    <n v="170.7"/>
    <x v="0"/>
  </r>
  <r>
    <s v="Rural"/>
    <n v="2023"/>
    <s v="January"/>
    <x v="120"/>
    <s v="Sugar and Confectionery"/>
    <n v="120.3"/>
    <x v="0"/>
  </r>
  <r>
    <s v="Rural"/>
    <n v="2023"/>
    <s v="January"/>
    <x v="120"/>
    <s v="Spices"/>
    <n v="210.5"/>
    <x v="0"/>
  </r>
  <r>
    <s v="Rural"/>
    <n v="2023"/>
    <s v="January"/>
    <x v="120"/>
    <s v="Non-alcoholic beverages"/>
    <n v="176.9"/>
    <x v="0"/>
  </r>
  <r>
    <s v="Rural"/>
    <n v="2023"/>
    <s v="January"/>
    <x v="120"/>
    <s v="Prepared meals, snacks, sweets etc."/>
    <n v="188.5"/>
    <x v="0"/>
  </r>
  <r>
    <s v="Rural"/>
    <n v="2023"/>
    <s v="January"/>
    <x v="120"/>
    <s v="Food and beverages"/>
    <n v="175"/>
    <x v="0"/>
  </r>
  <r>
    <s v="Rural"/>
    <n v="2023"/>
    <s v="January"/>
    <x v="120"/>
    <s v="Pan, tobacco and intoxicants"/>
    <n v="196.9"/>
    <x v="1"/>
  </r>
  <r>
    <s v="Rural"/>
    <n v="2023"/>
    <s v="January"/>
    <x v="120"/>
    <s v="Clothing"/>
    <n v="189"/>
    <x v="2"/>
  </r>
  <r>
    <s v="Rural"/>
    <n v="2023"/>
    <s v="January"/>
    <x v="120"/>
    <s v="Footwear"/>
    <n v="186.3"/>
    <x v="2"/>
  </r>
  <r>
    <s v="Rural"/>
    <n v="2023"/>
    <s v="January"/>
    <x v="120"/>
    <s v="Clothing and footwear"/>
    <n v="188.6"/>
    <x v="2"/>
  </r>
  <r>
    <s v="Rural"/>
    <n v="2023"/>
    <s v="January"/>
    <x v="120"/>
    <s v="Fuel and light"/>
    <n v="183.2"/>
    <x v="3"/>
  </r>
  <r>
    <s v="Rural"/>
    <n v="2023"/>
    <s v="January"/>
    <x v="120"/>
    <s v="Household goods and services"/>
    <n v="177.2"/>
    <x v="4"/>
  </r>
  <r>
    <s v="Rural"/>
    <n v="2023"/>
    <s v="January"/>
    <x v="120"/>
    <s v="Health"/>
    <n v="184.7"/>
    <x v="5"/>
  </r>
  <r>
    <s v="Rural"/>
    <n v="2023"/>
    <s v="January"/>
    <x v="120"/>
    <s v="Transport and communication"/>
    <n v="168.2"/>
    <x v="6"/>
  </r>
  <r>
    <s v="Rural"/>
    <n v="2023"/>
    <s v="January"/>
    <x v="120"/>
    <s v="Recreation and amusement"/>
    <n v="171.8"/>
    <x v="1"/>
  </r>
  <r>
    <s v="Rural"/>
    <n v="2023"/>
    <s v="January"/>
    <x v="120"/>
    <s v="Education"/>
    <n v="177.8"/>
    <x v="7"/>
  </r>
  <r>
    <s v="Rural"/>
    <n v="2023"/>
    <s v="January"/>
    <x v="120"/>
    <s v="Personal care and effects"/>
    <n v="178.4"/>
    <x v="4"/>
  </r>
  <r>
    <s v="Rural"/>
    <n v="2023"/>
    <s v="January"/>
    <x v="120"/>
    <s v="Miscellaneous"/>
    <n v="176.5"/>
    <x v="8"/>
  </r>
  <r>
    <s v="Rural"/>
    <n v="2023"/>
    <s v="January"/>
    <x v="120"/>
    <s v="General index"/>
    <n v="177.8"/>
    <x v="9"/>
  </r>
  <r>
    <s v="Urban"/>
    <n v="2023"/>
    <s v="January"/>
    <x v="120"/>
    <s v="Cereals and products"/>
    <n v="173.3"/>
    <x v="0"/>
  </r>
  <r>
    <s v="Urban"/>
    <n v="2023"/>
    <s v="January"/>
    <x v="120"/>
    <s v="Meat and fish"/>
    <n v="215.2"/>
    <x v="0"/>
  </r>
  <r>
    <s v="Urban"/>
    <n v="2023"/>
    <s v="January"/>
    <x v="120"/>
    <s v="Egg"/>
    <n v="197"/>
    <x v="0"/>
  </r>
  <r>
    <s v="Urban"/>
    <n v="2023"/>
    <s v="January"/>
    <x v="120"/>
    <s v="Milk and products"/>
    <n v="175.2"/>
    <x v="0"/>
  </r>
  <r>
    <s v="Urban"/>
    <n v="2023"/>
    <s v="January"/>
    <x v="120"/>
    <s v="Oils and fats"/>
    <n v="178"/>
    <x v="0"/>
  </r>
  <r>
    <s v="Urban"/>
    <n v="2023"/>
    <s v="January"/>
    <x v="120"/>
    <s v="Fruits"/>
    <n v="160.5"/>
    <x v="0"/>
  </r>
  <r>
    <s v="Urban"/>
    <n v="2023"/>
    <s v="January"/>
    <x v="120"/>
    <s v="Vegetables"/>
    <n v="175.3"/>
    <x v="0"/>
  </r>
  <r>
    <s v="Urban"/>
    <n v="2023"/>
    <s v="January"/>
    <x v="120"/>
    <s v="Pulses and products"/>
    <n v="171.2"/>
    <x v="0"/>
  </r>
  <r>
    <s v="Urban"/>
    <n v="2023"/>
    <s v="January"/>
    <x v="120"/>
    <s v="Sugar and Confectionery"/>
    <n v="122.7"/>
    <x v="0"/>
  </r>
  <r>
    <s v="Urban"/>
    <n v="2023"/>
    <s v="January"/>
    <x v="120"/>
    <s v="Spices"/>
    <n v="204.3"/>
    <x v="0"/>
  </r>
  <r>
    <s v="Urban"/>
    <n v="2023"/>
    <s v="January"/>
    <x v="120"/>
    <s v="Non-alcoholic beverages"/>
    <n v="163.69999999999999"/>
    <x v="0"/>
  </r>
  <r>
    <s v="Urban"/>
    <n v="2023"/>
    <s v="January"/>
    <x v="120"/>
    <s v="Prepared meals, snacks, sweets etc."/>
    <n v="194.3"/>
    <x v="0"/>
  </r>
  <r>
    <s v="Urban"/>
    <n v="2023"/>
    <s v="January"/>
    <x v="120"/>
    <s v="Food and beverages"/>
    <n v="179.5"/>
    <x v="0"/>
  </r>
  <r>
    <s v="Urban"/>
    <n v="2023"/>
    <s v="January"/>
    <x v="120"/>
    <s v="Pan, tobacco and intoxicants"/>
    <n v="201.6"/>
    <x v="1"/>
  </r>
  <r>
    <s v="Urban"/>
    <n v="2023"/>
    <s v="January"/>
    <x v="120"/>
    <s v="Clothing"/>
    <n v="178.7"/>
    <x v="2"/>
  </r>
  <r>
    <s v="Urban"/>
    <n v="2023"/>
    <s v="January"/>
    <x v="120"/>
    <s v="Footwear"/>
    <n v="165.3"/>
    <x v="2"/>
  </r>
  <r>
    <s v="Urban"/>
    <n v="2023"/>
    <s v="January"/>
    <x v="120"/>
    <s v="Clothing and footwear"/>
    <n v="176.6"/>
    <x v="2"/>
  </r>
  <r>
    <s v="Urban"/>
    <n v="2023"/>
    <s v="January"/>
    <x v="120"/>
    <s v="Housing"/>
    <n v="172.1"/>
    <x v="10"/>
  </r>
  <r>
    <s v="Urban"/>
    <n v="2023"/>
    <s v="January"/>
    <x v="120"/>
    <s v="Fuel and light"/>
    <n v="180.1"/>
    <x v="3"/>
  </r>
  <r>
    <s v="Urban"/>
    <n v="2023"/>
    <s v="January"/>
    <x v="120"/>
    <s v="Household goods and services"/>
    <n v="168"/>
    <x v="4"/>
  </r>
  <r>
    <s v="Urban"/>
    <n v="2023"/>
    <s v="January"/>
    <x v="120"/>
    <s v="Health"/>
    <n v="178.5"/>
    <x v="5"/>
  </r>
  <r>
    <s v="Urban"/>
    <n v="2023"/>
    <s v="January"/>
    <x v="120"/>
    <s v="Transport and communication"/>
    <n v="159.5"/>
    <x v="6"/>
  </r>
  <r>
    <s v="Urban"/>
    <n v="2023"/>
    <s v="January"/>
    <x v="120"/>
    <s v="Recreation and amusement"/>
    <n v="167.8"/>
    <x v="1"/>
  </r>
  <r>
    <s v="Urban"/>
    <n v="2023"/>
    <s v="January"/>
    <x v="120"/>
    <s v="Education"/>
    <n v="171.8"/>
    <x v="7"/>
  </r>
  <r>
    <s v="Urban"/>
    <n v="2023"/>
    <s v="January"/>
    <x v="120"/>
    <s v="Personal care and effects"/>
    <n v="178.8"/>
    <x v="4"/>
  </r>
  <r>
    <s v="Urban"/>
    <n v="2023"/>
    <s v="January"/>
    <x v="120"/>
    <s v="Miscellaneous"/>
    <n v="168.9"/>
    <x v="8"/>
  </r>
  <r>
    <s v="Urban"/>
    <n v="2023"/>
    <s v="January"/>
    <x v="120"/>
    <s v="General index"/>
    <n v="174.9"/>
    <x v="9"/>
  </r>
  <r>
    <s v="Rural+Urban"/>
    <n v="2023"/>
    <s v="January"/>
    <x v="120"/>
    <s v="Cereals and products"/>
    <n v="173.8"/>
    <x v="0"/>
  </r>
  <r>
    <s v="Rural+Urban"/>
    <n v="2023"/>
    <s v="January"/>
    <x v="120"/>
    <s v="Meat and fish"/>
    <n v="210.7"/>
    <x v="0"/>
  </r>
  <r>
    <s v="Rural+Urban"/>
    <n v="2023"/>
    <s v="January"/>
    <x v="120"/>
    <s v="Egg"/>
    <n v="194.5"/>
    <x v="0"/>
  </r>
  <r>
    <s v="Rural+Urban"/>
    <n v="2023"/>
    <s v="January"/>
    <x v="120"/>
    <s v="Milk and products"/>
    <n v="174.6"/>
    <x v="0"/>
  </r>
  <r>
    <s v="Rural+Urban"/>
    <n v="2023"/>
    <s v="January"/>
    <x v="120"/>
    <s v="Oils and fats"/>
    <n v="187.2"/>
    <x v="0"/>
  </r>
  <r>
    <s v="Rural+Urban"/>
    <n v="2023"/>
    <s v="January"/>
    <x v="120"/>
    <s v="Fruits"/>
    <n v="158.30000000000001"/>
    <x v="0"/>
  </r>
  <r>
    <s v="Rural+Urban"/>
    <n v="2023"/>
    <s v="January"/>
    <x v="120"/>
    <s v="Vegetables"/>
    <n v="153.9"/>
    <x v="0"/>
  </r>
  <r>
    <s v="Rural+Urban"/>
    <n v="2023"/>
    <s v="January"/>
    <x v="120"/>
    <s v="Pulses and products"/>
    <n v="170.9"/>
    <x v="0"/>
  </r>
  <r>
    <s v="Rural+Urban"/>
    <n v="2023"/>
    <s v="January"/>
    <x v="120"/>
    <s v="Sugar and Confectionery"/>
    <n v="121.1"/>
    <x v="0"/>
  </r>
  <r>
    <s v="Rural+Urban"/>
    <n v="2023"/>
    <s v="January"/>
    <x v="120"/>
    <s v="Spices"/>
    <n v="208.4"/>
    <x v="0"/>
  </r>
  <r>
    <s v="Rural+Urban"/>
    <n v="2023"/>
    <s v="January"/>
    <x v="120"/>
    <s v="Non-alcoholic beverages"/>
    <n v="171.4"/>
    <x v="0"/>
  </r>
  <r>
    <s v="Rural+Urban"/>
    <n v="2023"/>
    <s v="January"/>
    <x v="120"/>
    <s v="Prepared meals, snacks, sweets etc."/>
    <n v="191.2"/>
    <x v="0"/>
  </r>
  <r>
    <s v="Rural+Urban"/>
    <n v="2023"/>
    <s v="January"/>
    <x v="120"/>
    <s v="Food and beverages"/>
    <n v="176.7"/>
    <x v="0"/>
  </r>
  <r>
    <s v="Rural+Urban"/>
    <n v="2023"/>
    <s v="January"/>
    <x v="120"/>
    <s v="Pan, tobacco and intoxicants"/>
    <n v="198.2"/>
    <x v="1"/>
  </r>
  <r>
    <s v="Rural+Urban"/>
    <n v="2023"/>
    <s v="January"/>
    <x v="120"/>
    <s v="Clothing"/>
    <n v="184.9"/>
    <x v="2"/>
  </r>
  <r>
    <s v="Rural+Urban"/>
    <n v="2023"/>
    <s v="January"/>
    <x v="120"/>
    <s v="Footwear"/>
    <n v="177.6"/>
    <x v="2"/>
  </r>
  <r>
    <s v="Rural+Urban"/>
    <n v="2023"/>
    <s v="January"/>
    <x v="120"/>
    <s v="Clothing and footwear"/>
    <n v="183.8"/>
    <x v="2"/>
  </r>
  <r>
    <s v="Rural+Urban"/>
    <n v="2023"/>
    <s v="January"/>
    <x v="120"/>
    <s v="Housing"/>
    <n v="172.1"/>
    <x v="10"/>
  </r>
  <r>
    <s v="Rural+Urban"/>
    <n v="2023"/>
    <s v="January"/>
    <x v="120"/>
    <s v="Fuel and light"/>
    <n v="182"/>
    <x v="3"/>
  </r>
  <r>
    <s v="Rural+Urban"/>
    <n v="2023"/>
    <s v="January"/>
    <x v="120"/>
    <s v="Household goods and services"/>
    <n v="172.9"/>
    <x v="4"/>
  </r>
  <r>
    <s v="Rural+Urban"/>
    <n v="2023"/>
    <s v="January"/>
    <x v="120"/>
    <s v="Health"/>
    <n v="182.3"/>
    <x v="5"/>
  </r>
  <r>
    <s v="Rural+Urban"/>
    <n v="2023"/>
    <s v="January"/>
    <x v="120"/>
    <s v="Transport and communication"/>
    <n v="163.6"/>
    <x v="6"/>
  </r>
  <r>
    <s v="Rural+Urban"/>
    <n v="2023"/>
    <s v="January"/>
    <x v="120"/>
    <s v="Recreation and amusement"/>
    <n v="169.5"/>
    <x v="1"/>
  </r>
  <r>
    <s v="Rural+Urban"/>
    <n v="2023"/>
    <s v="January"/>
    <x v="120"/>
    <s v="Education"/>
    <n v="174.3"/>
    <x v="7"/>
  </r>
  <r>
    <s v="Rural+Urban"/>
    <n v="2023"/>
    <s v="January"/>
    <x v="120"/>
    <s v="Personal care and effects"/>
    <n v="178.6"/>
    <x v="4"/>
  </r>
  <r>
    <s v="Rural+Urban"/>
    <n v="2023"/>
    <s v="January"/>
    <x v="120"/>
    <s v="Miscellaneous"/>
    <n v="172.8"/>
    <x v="8"/>
  </r>
  <r>
    <s v="Rural+Urban"/>
    <n v="2023"/>
    <s v="January"/>
    <x v="120"/>
    <s v="General index"/>
    <n v="176.5"/>
    <x v="9"/>
  </r>
  <r>
    <s v="Rural"/>
    <n v="2023"/>
    <s v="February"/>
    <x v="121"/>
    <s v="Cereals and products"/>
    <n v="174.2"/>
    <x v="0"/>
  </r>
  <r>
    <s v="Rural"/>
    <n v="2023"/>
    <s v="February"/>
    <x v="121"/>
    <s v="Meat and fish"/>
    <n v="205.2"/>
    <x v="0"/>
  </r>
  <r>
    <s v="Rural"/>
    <n v="2023"/>
    <s v="February"/>
    <x v="121"/>
    <s v="Egg"/>
    <n v="173.9"/>
    <x v="0"/>
  </r>
  <r>
    <s v="Rural"/>
    <n v="2023"/>
    <s v="February"/>
    <x v="121"/>
    <s v="Milk and products"/>
    <n v="177"/>
    <x v="0"/>
  </r>
  <r>
    <s v="Rural"/>
    <n v="2023"/>
    <s v="February"/>
    <x v="121"/>
    <s v="Oils and fats"/>
    <n v="183.4"/>
    <x v="0"/>
  </r>
  <r>
    <s v="Rural"/>
    <n v="2023"/>
    <s v="February"/>
    <x v="121"/>
    <s v="Fruits"/>
    <n v="167.2"/>
    <x v="0"/>
  </r>
  <r>
    <s v="Rural"/>
    <n v="2023"/>
    <s v="February"/>
    <x v="121"/>
    <s v="Vegetables"/>
    <n v="140.9"/>
    <x v="0"/>
  </r>
  <r>
    <s v="Rural"/>
    <n v="2023"/>
    <s v="February"/>
    <x v="121"/>
    <s v="Pulses and products"/>
    <n v="170.4"/>
    <x v="0"/>
  </r>
  <r>
    <s v="Rural"/>
    <n v="2023"/>
    <s v="February"/>
    <x v="121"/>
    <s v="Sugar and Confectionery"/>
    <n v="119.1"/>
    <x v="0"/>
  </r>
  <r>
    <s v="Rural"/>
    <n v="2023"/>
    <s v="February"/>
    <x v="121"/>
    <s v="Spices"/>
    <n v="212.1"/>
    <x v="0"/>
  </r>
  <r>
    <s v="Rural"/>
    <n v="2023"/>
    <s v="February"/>
    <x v="121"/>
    <s v="Non-alcoholic beverages"/>
    <n v="177.6"/>
    <x v="0"/>
  </r>
  <r>
    <s v="Rural"/>
    <n v="2023"/>
    <s v="February"/>
    <x v="121"/>
    <s v="Prepared meals, snacks, sweets etc."/>
    <n v="189.9"/>
    <x v="0"/>
  </r>
  <r>
    <s v="Rural"/>
    <n v="2023"/>
    <s v="February"/>
    <x v="121"/>
    <s v="Food and beverages"/>
    <n v="174.8"/>
    <x v="0"/>
  </r>
  <r>
    <s v="Rural"/>
    <n v="2023"/>
    <s v="February"/>
    <x v="121"/>
    <s v="Pan, tobacco and intoxicants"/>
    <n v="198.3"/>
    <x v="1"/>
  </r>
  <r>
    <s v="Rural"/>
    <n v="2023"/>
    <s v="February"/>
    <x v="121"/>
    <s v="Clothing"/>
    <n v="190"/>
    <x v="2"/>
  </r>
  <r>
    <s v="Rural"/>
    <n v="2023"/>
    <s v="February"/>
    <x v="121"/>
    <s v="Footwear"/>
    <n v="187"/>
    <x v="2"/>
  </r>
  <r>
    <s v="Rural"/>
    <n v="2023"/>
    <s v="February"/>
    <x v="121"/>
    <s v="Clothing and footwear"/>
    <n v="189.6"/>
    <x v="2"/>
  </r>
  <r>
    <s v="Rural"/>
    <n v="2023"/>
    <s v="February"/>
    <x v="121"/>
    <s v="Fuel and light"/>
    <n v="181.6"/>
    <x v="3"/>
  </r>
  <r>
    <s v="Rural"/>
    <n v="2023"/>
    <s v="February"/>
    <x v="121"/>
    <s v="Household goods and services"/>
    <n v="178.6"/>
    <x v="4"/>
  </r>
  <r>
    <s v="Rural"/>
    <n v="2023"/>
    <s v="February"/>
    <x v="121"/>
    <s v="Health"/>
    <n v="186.6"/>
    <x v="5"/>
  </r>
  <r>
    <s v="Rural"/>
    <n v="2023"/>
    <s v="February"/>
    <x v="121"/>
    <s v="Transport and communication"/>
    <n v="169"/>
    <x v="6"/>
  </r>
  <r>
    <s v="Rural"/>
    <n v="2023"/>
    <s v="February"/>
    <x v="121"/>
    <s v="Recreation and amusement"/>
    <n v="172.8"/>
    <x v="1"/>
  </r>
  <r>
    <s v="Rural"/>
    <n v="2023"/>
    <s v="February"/>
    <x v="121"/>
    <s v="Education"/>
    <n v="178.5"/>
    <x v="7"/>
  </r>
  <r>
    <s v="Rural"/>
    <n v="2023"/>
    <s v="February"/>
    <x v="121"/>
    <s v="Personal care and effects"/>
    <n v="180.7"/>
    <x v="4"/>
  </r>
  <r>
    <s v="Rural"/>
    <n v="2023"/>
    <s v="February"/>
    <x v="121"/>
    <s v="Miscellaneous"/>
    <n v="177.9"/>
    <x v="8"/>
  </r>
  <r>
    <s v="Rural"/>
    <n v="2023"/>
    <s v="February"/>
    <x v="121"/>
    <s v="General index"/>
    <n v="178"/>
    <x v="9"/>
  </r>
  <r>
    <s v="Urban"/>
    <n v="2023"/>
    <s v="February"/>
    <x v="121"/>
    <s v="Cereals and products"/>
    <n v="174.7"/>
    <x v="0"/>
  </r>
  <r>
    <s v="Urban"/>
    <n v="2023"/>
    <s v="February"/>
    <x v="121"/>
    <s v="Meat and fish"/>
    <n v="212.2"/>
    <x v="0"/>
  </r>
  <r>
    <s v="Urban"/>
    <n v="2023"/>
    <s v="February"/>
    <x v="121"/>
    <s v="Egg"/>
    <n v="177.2"/>
    <x v="0"/>
  </r>
  <r>
    <s v="Urban"/>
    <n v="2023"/>
    <s v="February"/>
    <x v="121"/>
    <s v="Milk and products"/>
    <n v="177.9"/>
    <x v="0"/>
  </r>
  <r>
    <s v="Urban"/>
    <n v="2023"/>
    <s v="February"/>
    <x v="121"/>
    <s v="Oils and fats"/>
    <n v="172.2"/>
    <x v="0"/>
  </r>
  <r>
    <s v="Urban"/>
    <n v="2023"/>
    <s v="February"/>
    <x v="121"/>
    <s v="Fruits"/>
    <n v="172.1"/>
    <x v="0"/>
  </r>
  <r>
    <s v="Urban"/>
    <n v="2023"/>
    <s v="February"/>
    <x v="121"/>
    <s v="Vegetables"/>
    <n v="175.8"/>
    <x v="0"/>
  </r>
  <r>
    <s v="Urban"/>
    <n v="2023"/>
    <s v="February"/>
    <x v="121"/>
    <s v="Pulses and products"/>
    <n v="172.2"/>
    <x v="0"/>
  </r>
  <r>
    <s v="Urban"/>
    <n v="2023"/>
    <s v="February"/>
    <x v="121"/>
    <s v="Sugar and Confectionery"/>
    <n v="121.9"/>
    <x v="0"/>
  </r>
  <r>
    <s v="Urban"/>
    <n v="2023"/>
    <s v="February"/>
    <x v="121"/>
    <s v="Spices"/>
    <n v="204.8"/>
    <x v="0"/>
  </r>
  <r>
    <s v="Urban"/>
    <n v="2023"/>
    <s v="February"/>
    <x v="121"/>
    <s v="Non-alcoholic beverages"/>
    <n v="164.9"/>
    <x v="0"/>
  </r>
  <r>
    <s v="Urban"/>
    <n v="2023"/>
    <s v="February"/>
    <x v="121"/>
    <s v="Prepared meals, snacks, sweets etc."/>
    <n v="196.6"/>
    <x v="0"/>
  </r>
  <r>
    <s v="Urban"/>
    <n v="2023"/>
    <s v="February"/>
    <x v="121"/>
    <s v="Food and beverages"/>
    <n v="180.7"/>
    <x v="0"/>
  </r>
  <r>
    <s v="Urban"/>
    <n v="2023"/>
    <s v="February"/>
    <x v="121"/>
    <s v="Pan, tobacco and intoxicants"/>
    <n v="202.7"/>
    <x v="1"/>
  </r>
  <r>
    <s v="Urban"/>
    <n v="2023"/>
    <s v="February"/>
    <x v="121"/>
    <s v="Clothing"/>
    <n v="180.3"/>
    <x v="2"/>
  </r>
  <r>
    <s v="Urban"/>
    <n v="2023"/>
    <s v="February"/>
    <x v="121"/>
    <s v="Footwear"/>
    <n v="167"/>
    <x v="2"/>
  </r>
  <r>
    <s v="Urban"/>
    <n v="2023"/>
    <s v="February"/>
    <x v="121"/>
    <s v="Clothing and footwear"/>
    <n v="178.2"/>
    <x v="2"/>
  </r>
  <r>
    <s v="Urban"/>
    <n v="2023"/>
    <s v="February"/>
    <x v="121"/>
    <s v="Housing"/>
    <n v="173.5"/>
    <x v="10"/>
  </r>
  <r>
    <s v="Urban"/>
    <n v="2023"/>
    <s v="February"/>
    <x v="121"/>
    <s v="Fuel and light"/>
    <n v="182.8"/>
    <x v="3"/>
  </r>
  <r>
    <s v="Urban"/>
    <n v="2023"/>
    <s v="February"/>
    <x v="121"/>
    <s v="Household goods and services"/>
    <n v="169.2"/>
    <x v="4"/>
  </r>
  <r>
    <s v="Urban"/>
    <n v="2023"/>
    <s v="February"/>
    <x v="121"/>
    <s v="Health"/>
    <n v="180.8"/>
    <x v="5"/>
  </r>
  <r>
    <s v="Urban"/>
    <n v="2023"/>
    <s v="February"/>
    <x v="121"/>
    <s v="Transport and communication"/>
    <n v="159.80000000000001"/>
    <x v="6"/>
  </r>
  <r>
    <s v="Urban"/>
    <n v="2023"/>
    <s v="February"/>
    <x v="121"/>
    <s v="Recreation and amusement"/>
    <n v="168.4"/>
    <x v="1"/>
  </r>
  <r>
    <s v="Urban"/>
    <n v="2023"/>
    <s v="February"/>
    <x v="121"/>
    <s v="Education"/>
    <n v="172.5"/>
    <x v="7"/>
  </r>
  <r>
    <s v="Urban"/>
    <n v="2023"/>
    <s v="February"/>
    <x v="121"/>
    <s v="Personal care and effects"/>
    <n v="181.4"/>
    <x v="4"/>
  </r>
  <r>
    <s v="Urban"/>
    <n v="2023"/>
    <s v="February"/>
    <x v="121"/>
    <s v="Miscellaneous"/>
    <n v="170"/>
    <x v="8"/>
  </r>
  <r>
    <s v="Urban"/>
    <n v="2023"/>
    <s v="February"/>
    <x v="121"/>
    <s v="General index"/>
    <n v="176.3"/>
    <x v="9"/>
  </r>
  <r>
    <s v="Rural+Urban"/>
    <n v="2023"/>
    <s v="February"/>
    <x v="121"/>
    <s v="Cereals and products"/>
    <n v="174.4"/>
    <x v="0"/>
  </r>
  <r>
    <s v="Rural+Urban"/>
    <n v="2023"/>
    <s v="February"/>
    <x v="121"/>
    <s v="Meat and fish"/>
    <n v="207.7"/>
    <x v="0"/>
  </r>
  <r>
    <s v="Rural+Urban"/>
    <n v="2023"/>
    <s v="February"/>
    <x v="121"/>
    <s v="Egg"/>
    <n v="175.2"/>
    <x v="0"/>
  </r>
  <r>
    <s v="Rural+Urban"/>
    <n v="2023"/>
    <s v="February"/>
    <x v="121"/>
    <s v="Milk and products"/>
    <n v="177.3"/>
    <x v="0"/>
  </r>
  <r>
    <s v="Rural+Urban"/>
    <n v="2023"/>
    <s v="February"/>
    <x v="121"/>
    <s v="Oils and fats"/>
    <n v="179.3"/>
    <x v="0"/>
  </r>
  <r>
    <s v="Rural+Urban"/>
    <n v="2023"/>
    <s v="February"/>
    <x v="121"/>
    <s v="Fruits"/>
    <n v="169.5"/>
    <x v="0"/>
  </r>
  <r>
    <s v="Rural+Urban"/>
    <n v="2023"/>
    <s v="February"/>
    <x v="121"/>
    <s v="Vegetables"/>
    <n v="152.69999999999999"/>
    <x v="0"/>
  </r>
  <r>
    <s v="Rural+Urban"/>
    <n v="2023"/>
    <s v="February"/>
    <x v="121"/>
    <s v="Pulses and products"/>
    <n v="171"/>
    <x v="0"/>
  </r>
  <r>
    <s v="Rural+Urban"/>
    <n v="2023"/>
    <s v="February"/>
    <x v="121"/>
    <s v="Sugar and Confectionery"/>
    <n v="120"/>
    <x v="0"/>
  </r>
  <r>
    <s v="Rural+Urban"/>
    <n v="2023"/>
    <s v="February"/>
    <x v="121"/>
    <s v="Spices"/>
    <n v="209.7"/>
    <x v="0"/>
  </r>
  <r>
    <s v="Rural+Urban"/>
    <n v="2023"/>
    <s v="February"/>
    <x v="121"/>
    <s v="Non-alcoholic beverages"/>
    <n v="172.3"/>
    <x v="0"/>
  </r>
  <r>
    <s v="Rural+Urban"/>
    <n v="2023"/>
    <s v="February"/>
    <x v="121"/>
    <s v="Prepared meals, snacks, sweets etc."/>
    <n v="193"/>
    <x v="0"/>
  </r>
  <r>
    <s v="Rural+Urban"/>
    <n v="2023"/>
    <s v="February"/>
    <x v="121"/>
    <s v="Food and beverages"/>
    <n v="177"/>
    <x v="0"/>
  </r>
  <r>
    <s v="Rural+Urban"/>
    <n v="2023"/>
    <s v="February"/>
    <x v="121"/>
    <s v="Pan, tobacco and intoxicants"/>
    <n v="199.5"/>
    <x v="1"/>
  </r>
  <r>
    <s v="Rural+Urban"/>
    <n v="2023"/>
    <s v="February"/>
    <x v="121"/>
    <s v="Clothing"/>
    <n v="186.2"/>
    <x v="2"/>
  </r>
  <r>
    <s v="Rural+Urban"/>
    <n v="2023"/>
    <s v="February"/>
    <x v="121"/>
    <s v="Footwear"/>
    <n v="178.7"/>
    <x v="2"/>
  </r>
  <r>
    <s v="Rural+Urban"/>
    <n v="2023"/>
    <s v="February"/>
    <x v="121"/>
    <s v="Clothing and footwear"/>
    <n v="185.1"/>
    <x v="2"/>
  </r>
  <r>
    <s v="Rural+Urban"/>
    <n v="2023"/>
    <s v="February"/>
    <x v="121"/>
    <s v="Housing"/>
    <n v="173.5"/>
    <x v="10"/>
  </r>
  <r>
    <s v="Rural+Urban"/>
    <n v="2023"/>
    <s v="February"/>
    <x v="121"/>
    <s v="Fuel and light"/>
    <n v="182.1"/>
    <x v="3"/>
  </r>
  <r>
    <s v="Rural+Urban"/>
    <n v="2023"/>
    <s v="February"/>
    <x v="121"/>
    <s v="Household goods and services"/>
    <n v="174.2"/>
    <x v="4"/>
  </r>
  <r>
    <s v="Rural+Urban"/>
    <n v="2023"/>
    <s v="February"/>
    <x v="121"/>
    <s v="Health"/>
    <n v="184.4"/>
    <x v="5"/>
  </r>
  <r>
    <s v="Rural+Urban"/>
    <n v="2023"/>
    <s v="February"/>
    <x v="121"/>
    <s v="Transport and communication"/>
    <n v="164.2"/>
    <x v="6"/>
  </r>
  <r>
    <s v="Rural+Urban"/>
    <n v="2023"/>
    <s v="February"/>
    <x v="121"/>
    <s v="Recreation and amusement"/>
    <n v="170.3"/>
    <x v="1"/>
  </r>
  <r>
    <s v="Rural+Urban"/>
    <n v="2023"/>
    <s v="February"/>
    <x v="121"/>
    <s v="Education"/>
    <n v="175"/>
    <x v="7"/>
  </r>
  <r>
    <s v="Rural+Urban"/>
    <n v="2023"/>
    <s v="February"/>
    <x v="121"/>
    <s v="Personal care and effects"/>
    <n v="181"/>
    <x v="4"/>
  </r>
  <r>
    <s v="Rural+Urban"/>
    <n v="2023"/>
    <s v="February"/>
    <x v="121"/>
    <s v="Miscellaneous"/>
    <n v="174.1"/>
    <x v="8"/>
  </r>
  <r>
    <s v="Rural+Urban"/>
    <n v="2023"/>
    <s v="February"/>
    <x v="121"/>
    <s v="General index"/>
    <n v="177.2"/>
    <x v="9"/>
  </r>
  <r>
    <s v="Rural"/>
    <n v="2023"/>
    <s v="March"/>
    <x v="122"/>
    <s v="Cereals and products"/>
    <n v="174.3"/>
    <x v="0"/>
  </r>
  <r>
    <s v="Rural"/>
    <n v="2023"/>
    <s v="March"/>
    <x v="122"/>
    <s v="Meat and fish"/>
    <n v="205.2"/>
    <x v="0"/>
  </r>
  <r>
    <s v="Rural"/>
    <n v="2023"/>
    <s v="March"/>
    <x v="122"/>
    <s v="Egg"/>
    <n v="173.9"/>
    <x v="0"/>
  </r>
  <r>
    <s v="Rural"/>
    <n v="2023"/>
    <s v="March"/>
    <x v="122"/>
    <s v="Milk and products"/>
    <n v="177"/>
    <x v="0"/>
  </r>
  <r>
    <s v="Rural"/>
    <n v="2023"/>
    <s v="March"/>
    <x v="122"/>
    <s v="Oils and fats"/>
    <n v="183.3"/>
    <x v="0"/>
  </r>
  <r>
    <s v="Rural"/>
    <n v="2023"/>
    <s v="March"/>
    <x v="122"/>
    <s v="Fruits"/>
    <n v="167.2"/>
    <x v="0"/>
  </r>
  <r>
    <s v="Rural"/>
    <n v="2023"/>
    <s v="March"/>
    <x v="122"/>
    <s v="Vegetables"/>
    <n v="140.9"/>
    <x v="0"/>
  </r>
  <r>
    <s v="Rural"/>
    <n v="2023"/>
    <s v="March"/>
    <x v="122"/>
    <s v="Pulses and products"/>
    <n v="170.5"/>
    <x v="0"/>
  </r>
  <r>
    <s v="Rural"/>
    <n v="2023"/>
    <s v="March"/>
    <x v="122"/>
    <s v="Sugar and Confectionery"/>
    <n v="119.1"/>
    <x v="0"/>
  </r>
  <r>
    <s v="Rural"/>
    <n v="2023"/>
    <s v="March"/>
    <x v="122"/>
    <s v="Spices"/>
    <n v="212.1"/>
    <x v="0"/>
  </r>
  <r>
    <s v="Rural"/>
    <n v="2023"/>
    <s v="March"/>
    <x v="122"/>
    <s v="Non-alcoholic beverages"/>
    <n v="177.6"/>
    <x v="0"/>
  </r>
  <r>
    <s v="Rural"/>
    <n v="2023"/>
    <s v="March"/>
    <x v="122"/>
    <s v="Prepared meals, snacks, sweets etc."/>
    <n v="189.9"/>
    <x v="0"/>
  </r>
  <r>
    <s v="Rural"/>
    <n v="2023"/>
    <s v="March"/>
    <x v="122"/>
    <s v="Food and beverages"/>
    <n v="174.8"/>
    <x v="0"/>
  </r>
  <r>
    <s v="Rural"/>
    <n v="2023"/>
    <s v="March"/>
    <x v="122"/>
    <s v="Pan, tobacco and intoxicants"/>
    <n v="198.4"/>
    <x v="1"/>
  </r>
  <r>
    <s v="Rural"/>
    <n v="2023"/>
    <s v="March"/>
    <x v="122"/>
    <s v="Clothing"/>
    <n v="190"/>
    <x v="2"/>
  </r>
  <r>
    <s v="Rural"/>
    <n v="2023"/>
    <s v="March"/>
    <x v="122"/>
    <s v="Footwear"/>
    <n v="187"/>
    <x v="2"/>
  </r>
  <r>
    <s v="Rural"/>
    <n v="2023"/>
    <s v="March"/>
    <x v="122"/>
    <s v="Clothing and footwear"/>
    <n v="189.6"/>
    <x v="2"/>
  </r>
  <r>
    <s v="Rural"/>
    <n v="2023"/>
    <s v="March"/>
    <x v="122"/>
    <s v="Fuel and light"/>
    <n v="181.4"/>
    <x v="3"/>
  </r>
  <r>
    <s v="Rural"/>
    <n v="2023"/>
    <s v="March"/>
    <x v="122"/>
    <s v="Household goods and services"/>
    <n v="178.6"/>
    <x v="4"/>
  </r>
  <r>
    <s v="Rural"/>
    <n v="2023"/>
    <s v="March"/>
    <x v="122"/>
    <s v="Health"/>
    <n v="186.6"/>
    <x v="5"/>
  </r>
  <r>
    <s v="Rural"/>
    <n v="2023"/>
    <s v="March"/>
    <x v="122"/>
    <s v="Transport and communication"/>
    <n v="169"/>
    <x v="6"/>
  </r>
  <r>
    <s v="Rural"/>
    <n v="2023"/>
    <s v="March"/>
    <x v="122"/>
    <s v="Recreation and amusement"/>
    <n v="172.8"/>
    <x v="1"/>
  </r>
  <r>
    <s v="Rural"/>
    <n v="2023"/>
    <s v="March"/>
    <x v="122"/>
    <s v="Education"/>
    <n v="178.5"/>
    <x v="7"/>
  </r>
  <r>
    <s v="Rural"/>
    <n v="2023"/>
    <s v="March"/>
    <x v="122"/>
    <s v="Personal care and effects"/>
    <n v="180.7"/>
    <x v="4"/>
  </r>
  <r>
    <s v="Rural"/>
    <n v="2023"/>
    <s v="March"/>
    <x v="122"/>
    <s v="Miscellaneous"/>
    <n v="177.9"/>
    <x v="8"/>
  </r>
  <r>
    <s v="Rural"/>
    <n v="2023"/>
    <s v="March"/>
    <x v="122"/>
    <s v="General index"/>
    <n v="178"/>
    <x v="9"/>
  </r>
  <r>
    <s v="Urban"/>
    <n v="2023"/>
    <s v="March"/>
    <x v="122"/>
    <s v="Cereals and products"/>
    <n v="174.7"/>
    <x v="0"/>
  </r>
  <r>
    <s v="Urban"/>
    <n v="2023"/>
    <s v="March"/>
    <x v="122"/>
    <s v="Meat and fish"/>
    <n v="212.2"/>
    <x v="0"/>
  </r>
  <r>
    <s v="Urban"/>
    <n v="2023"/>
    <s v="March"/>
    <x v="122"/>
    <s v="Egg"/>
    <n v="177.2"/>
    <x v="0"/>
  </r>
  <r>
    <s v="Urban"/>
    <n v="2023"/>
    <s v="March"/>
    <x v="122"/>
    <s v="Milk and products"/>
    <n v="177.9"/>
    <x v="0"/>
  </r>
  <r>
    <s v="Urban"/>
    <n v="2023"/>
    <s v="March"/>
    <x v="122"/>
    <s v="Oils and fats"/>
    <n v="172.2"/>
    <x v="0"/>
  </r>
  <r>
    <s v="Urban"/>
    <n v="2023"/>
    <s v="March"/>
    <x v="122"/>
    <s v="Fruits"/>
    <n v="172.1"/>
    <x v="0"/>
  </r>
  <r>
    <s v="Urban"/>
    <n v="2023"/>
    <s v="March"/>
    <x v="122"/>
    <s v="Vegetables"/>
    <n v="175.9"/>
    <x v="0"/>
  </r>
  <r>
    <s v="Urban"/>
    <n v="2023"/>
    <s v="March"/>
    <x v="122"/>
    <s v="Pulses and products"/>
    <n v="172.2"/>
    <x v="0"/>
  </r>
  <r>
    <s v="Urban"/>
    <n v="2023"/>
    <s v="March"/>
    <x v="122"/>
    <s v="Sugar and Confectionery"/>
    <n v="121.9"/>
    <x v="0"/>
  </r>
  <r>
    <s v="Urban"/>
    <n v="2023"/>
    <s v="March"/>
    <x v="122"/>
    <s v="Spices"/>
    <n v="204.8"/>
    <x v="0"/>
  </r>
  <r>
    <s v="Urban"/>
    <n v="2023"/>
    <s v="March"/>
    <x v="122"/>
    <s v="Non-alcoholic beverages"/>
    <n v="164.9"/>
    <x v="0"/>
  </r>
  <r>
    <s v="Urban"/>
    <n v="2023"/>
    <s v="March"/>
    <x v="122"/>
    <s v="Prepared meals, snacks, sweets etc."/>
    <n v="196.6"/>
    <x v="0"/>
  </r>
  <r>
    <s v="Urban"/>
    <n v="2023"/>
    <s v="March"/>
    <x v="122"/>
    <s v="Food and beverages"/>
    <n v="180.8"/>
    <x v="0"/>
  </r>
  <r>
    <s v="Urban"/>
    <n v="2023"/>
    <s v="March"/>
    <x v="122"/>
    <s v="Pan, tobacco and intoxicants"/>
    <n v="202.7"/>
    <x v="1"/>
  </r>
  <r>
    <s v="Urban"/>
    <n v="2023"/>
    <s v="March"/>
    <x v="122"/>
    <s v="Clothing"/>
    <n v="180.2"/>
    <x v="2"/>
  </r>
  <r>
    <s v="Urban"/>
    <n v="2023"/>
    <s v="March"/>
    <x v="122"/>
    <s v="Footwear"/>
    <n v="167"/>
    <x v="2"/>
  </r>
  <r>
    <s v="Urban"/>
    <n v="2023"/>
    <s v="March"/>
    <x v="122"/>
    <s v="Clothing and footwear"/>
    <n v="178.2"/>
    <x v="2"/>
  </r>
  <r>
    <s v="Urban"/>
    <n v="2023"/>
    <s v="March"/>
    <x v="122"/>
    <s v="Housing"/>
    <n v="173.5"/>
    <x v="10"/>
  </r>
  <r>
    <s v="Urban"/>
    <n v="2023"/>
    <s v="March"/>
    <x v="122"/>
    <s v="Fuel and light"/>
    <n v="182.6"/>
    <x v="3"/>
  </r>
  <r>
    <s v="Urban"/>
    <n v="2023"/>
    <s v="March"/>
    <x v="122"/>
    <s v="Household goods and services"/>
    <n v="169.2"/>
    <x v="4"/>
  </r>
  <r>
    <s v="Urban"/>
    <n v="2023"/>
    <s v="March"/>
    <x v="122"/>
    <s v="Health"/>
    <n v="180.8"/>
    <x v="5"/>
  </r>
  <r>
    <s v="Urban"/>
    <n v="2023"/>
    <s v="March"/>
    <x v="122"/>
    <s v="Transport and communication"/>
    <n v="159.80000000000001"/>
    <x v="6"/>
  </r>
  <r>
    <s v="Urban"/>
    <n v="2023"/>
    <s v="March"/>
    <x v="122"/>
    <s v="Recreation and amusement"/>
    <n v="168.4"/>
    <x v="1"/>
  </r>
  <r>
    <s v="Urban"/>
    <n v="2023"/>
    <s v="March"/>
    <x v="122"/>
    <s v="Education"/>
    <n v="172.5"/>
    <x v="7"/>
  </r>
  <r>
    <s v="Urban"/>
    <n v="2023"/>
    <s v="March"/>
    <x v="122"/>
    <s v="Personal care and effects"/>
    <n v="181.5"/>
    <x v="4"/>
  </r>
  <r>
    <s v="Urban"/>
    <n v="2023"/>
    <s v="March"/>
    <x v="122"/>
    <s v="Miscellaneous"/>
    <n v="170"/>
    <x v="8"/>
  </r>
  <r>
    <s v="Urban"/>
    <n v="2023"/>
    <s v="March"/>
    <x v="122"/>
    <s v="General index"/>
    <n v="176.3"/>
    <x v="9"/>
  </r>
  <r>
    <s v="Rural+Urban"/>
    <n v="2023"/>
    <s v="March"/>
    <x v="122"/>
    <s v="Cereals and products"/>
    <n v="174.4"/>
    <x v="0"/>
  </r>
  <r>
    <s v="Rural+Urban"/>
    <n v="2023"/>
    <s v="March"/>
    <x v="122"/>
    <s v="Meat and fish"/>
    <n v="207.7"/>
    <x v="0"/>
  </r>
  <r>
    <s v="Rural+Urban"/>
    <n v="2023"/>
    <s v="March"/>
    <x v="122"/>
    <s v="Egg"/>
    <n v="175.2"/>
    <x v="0"/>
  </r>
  <r>
    <s v="Rural+Urban"/>
    <n v="2023"/>
    <s v="March"/>
    <x v="122"/>
    <s v="Milk and products"/>
    <n v="177.3"/>
    <x v="0"/>
  </r>
  <r>
    <s v="Rural+Urban"/>
    <n v="2023"/>
    <s v="March"/>
    <x v="122"/>
    <s v="Oils and fats"/>
    <n v="179.2"/>
    <x v="0"/>
  </r>
  <r>
    <s v="Rural+Urban"/>
    <n v="2023"/>
    <s v="March"/>
    <x v="122"/>
    <s v="Fruits"/>
    <n v="169.5"/>
    <x v="0"/>
  </r>
  <r>
    <s v="Rural+Urban"/>
    <n v="2023"/>
    <s v="March"/>
    <x v="122"/>
    <s v="Vegetables"/>
    <n v="152.80000000000001"/>
    <x v="0"/>
  </r>
  <r>
    <s v="Rural+Urban"/>
    <n v="2023"/>
    <s v="March"/>
    <x v="122"/>
    <s v="Pulses and products"/>
    <n v="171.1"/>
    <x v="0"/>
  </r>
  <r>
    <s v="Rural+Urban"/>
    <n v="2023"/>
    <s v="March"/>
    <x v="122"/>
    <s v="Sugar and Confectionery"/>
    <n v="120"/>
    <x v="0"/>
  </r>
  <r>
    <s v="Rural+Urban"/>
    <n v="2023"/>
    <s v="March"/>
    <x v="122"/>
    <s v="Spices"/>
    <n v="209.7"/>
    <x v="0"/>
  </r>
  <r>
    <s v="Rural+Urban"/>
    <n v="2023"/>
    <s v="March"/>
    <x v="122"/>
    <s v="Non-alcoholic beverages"/>
    <n v="172.3"/>
    <x v="0"/>
  </r>
  <r>
    <s v="Rural+Urban"/>
    <n v="2023"/>
    <s v="March"/>
    <x v="122"/>
    <s v="Prepared meals, snacks, sweets etc."/>
    <n v="193"/>
    <x v="0"/>
  </r>
  <r>
    <s v="Rural+Urban"/>
    <n v="2023"/>
    <s v="March"/>
    <x v="122"/>
    <s v="Food and beverages"/>
    <n v="177"/>
    <x v="0"/>
  </r>
  <r>
    <s v="Rural+Urban"/>
    <n v="2023"/>
    <s v="March"/>
    <x v="122"/>
    <s v="Pan, tobacco and intoxicants"/>
    <n v="199.5"/>
    <x v="1"/>
  </r>
  <r>
    <s v="Rural+Urban"/>
    <n v="2023"/>
    <s v="March"/>
    <x v="122"/>
    <s v="Clothing"/>
    <n v="186.1"/>
    <x v="2"/>
  </r>
  <r>
    <s v="Rural+Urban"/>
    <n v="2023"/>
    <s v="March"/>
    <x v="122"/>
    <s v="Footwear"/>
    <n v="178.7"/>
    <x v="2"/>
  </r>
  <r>
    <s v="Rural+Urban"/>
    <n v="2023"/>
    <s v="March"/>
    <x v="122"/>
    <s v="Clothing and footwear"/>
    <n v="185.1"/>
    <x v="2"/>
  </r>
  <r>
    <s v="Rural+Urban"/>
    <n v="2023"/>
    <s v="March"/>
    <x v="122"/>
    <s v="Housing"/>
    <n v="173.5"/>
    <x v="10"/>
  </r>
  <r>
    <s v="Rural+Urban"/>
    <n v="2023"/>
    <s v="March"/>
    <x v="122"/>
    <s v="Fuel and light"/>
    <n v="181.9"/>
    <x v="3"/>
  </r>
  <r>
    <s v="Rural+Urban"/>
    <n v="2023"/>
    <s v="March"/>
    <x v="122"/>
    <s v="Household goods and services"/>
    <n v="174.2"/>
    <x v="4"/>
  </r>
  <r>
    <s v="Rural+Urban"/>
    <n v="2023"/>
    <s v="March"/>
    <x v="122"/>
    <s v="Health"/>
    <n v="184.4"/>
    <x v="5"/>
  </r>
  <r>
    <s v="Rural+Urban"/>
    <n v="2023"/>
    <s v="March"/>
    <x v="122"/>
    <s v="Transport and communication"/>
    <n v="164.2"/>
    <x v="6"/>
  </r>
  <r>
    <s v="Rural+Urban"/>
    <n v="2023"/>
    <s v="March"/>
    <x v="122"/>
    <s v="Recreation and amusement"/>
    <n v="170.3"/>
    <x v="1"/>
  </r>
  <r>
    <s v="Rural+Urban"/>
    <n v="2023"/>
    <s v="March"/>
    <x v="122"/>
    <s v="Education"/>
    <n v="175"/>
    <x v="7"/>
  </r>
  <r>
    <s v="Rural+Urban"/>
    <n v="2023"/>
    <s v="March"/>
    <x v="122"/>
    <s v="Personal care and effects"/>
    <n v="181"/>
    <x v="4"/>
  </r>
  <r>
    <s v="Rural+Urban"/>
    <n v="2023"/>
    <s v="March"/>
    <x v="122"/>
    <s v="Miscellaneous"/>
    <n v="174.1"/>
    <x v="8"/>
  </r>
  <r>
    <s v="Rural+Urban"/>
    <n v="2023"/>
    <s v="March"/>
    <x v="122"/>
    <s v="General index"/>
    <n v="177.2"/>
    <x v="9"/>
  </r>
  <r>
    <s v="Rural"/>
    <n v="2023"/>
    <s v="April"/>
    <x v="123"/>
    <s v="Cereals and products"/>
    <n v="173.3"/>
    <x v="0"/>
  </r>
  <r>
    <s v="Rural"/>
    <n v="2023"/>
    <s v="April"/>
    <x v="123"/>
    <s v="Meat and fish"/>
    <n v="206.9"/>
    <x v="0"/>
  </r>
  <r>
    <s v="Rural"/>
    <n v="2023"/>
    <s v="April"/>
    <x v="123"/>
    <s v="Egg"/>
    <n v="167.9"/>
    <x v="0"/>
  </r>
  <r>
    <s v="Rural"/>
    <n v="2023"/>
    <s v="April"/>
    <x v="123"/>
    <s v="Milk and products"/>
    <n v="178.2"/>
    <x v="0"/>
  </r>
  <r>
    <s v="Rural"/>
    <n v="2023"/>
    <s v="April"/>
    <x v="123"/>
    <s v="Oils and fats"/>
    <n v="178.5"/>
    <x v="0"/>
  </r>
  <r>
    <s v="Rural"/>
    <n v="2023"/>
    <s v="April"/>
    <x v="123"/>
    <s v="Fruits"/>
    <n v="173.7"/>
    <x v="0"/>
  </r>
  <r>
    <s v="Rural"/>
    <n v="2023"/>
    <s v="April"/>
    <x v="123"/>
    <s v="Vegetables"/>
    <n v="142.80000000000001"/>
    <x v="0"/>
  </r>
  <r>
    <s v="Rural"/>
    <n v="2023"/>
    <s v="April"/>
    <x v="123"/>
    <s v="Pulses and products"/>
    <n v="172.8"/>
    <x v="0"/>
  </r>
  <r>
    <s v="Rural"/>
    <n v="2023"/>
    <s v="April"/>
    <x v="123"/>
    <s v="Sugar and Confectionery"/>
    <n v="120.4"/>
    <x v="0"/>
  </r>
  <r>
    <s v="Rural"/>
    <n v="2023"/>
    <s v="April"/>
    <x v="123"/>
    <s v="Spices"/>
    <n v="215.5"/>
    <x v="0"/>
  </r>
  <r>
    <s v="Rural"/>
    <n v="2023"/>
    <s v="April"/>
    <x v="123"/>
    <s v="Non-alcoholic beverages"/>
    <n v="178.2"/>
    <x v="0"/>
  </r>
  <r>
    <s v="Rural"/>
    <n v="2023"/>
    <s v="April"/>
    <x v="123"/>
    <s v="Prepared meals, snacks, sweets etc."/>
    <n v="190.5"/>
    <x v="0"/>
  </r>
  <r>
    <s v="Rural"/>
    <n v="2023"/>
    <s v="April"/>
    <x v="123"/>
    <s v="Food and beverages"/>
    <n v="175.5"/>
    <x v="0"/>
  </r>
  <r>
    <s v="Rural"/>
    <n v="2023"/>
    <s v="April"/>
    <x v="123"/>
    <s v="Pan, tobacco and intoxicants"/>
    <n v="199.5"/>
    <x v="1"/>
  </r>
  <r>
    <s v="Rural"/>
    <n v="2023"/>
    <s v="April"/>
    <x v="123"/>
    <s v="Clothing"/>
    <n v="190.7"/>
    <x v="2"/>
  </r>
  <r>
    <s v="Rural"/>
    <n v="2023"/>
    <s v="April"/>
    <x v="123"/>
    <s v="Footwear"/>
    <n v="187.3"/>
    <x v="2"/>
  </r>
  <r>
    <s v="Rural"/>
    <n v="2023"/>
    <s v="April"/>
    <x v="123"/>
    <s v="Clothing and footwear"/>
    <n v="190.2"/>
    <x v="2"/>
  </r>
  <r>
    <s v="Rural"/>
    <n v="2023"/>
    <s v="April"/>
    <x v="123"/>
    <s v="Fuel and light"/>
    <n v="181.5"/>
    <x v="3"/>
  </r>
  <r>
    <s v="Rural"/>
    <n v="2023"/>
    <s v="April"/>
    <x v="123"/>
    <s v="Household goods and services"/>
    <n v="179.1"/>
    <x v="4"/>
  </r>
  <r>
    <s v="Rural"/>
    <n v="2023"/>
    <s v="April"/>
    <x v="123"/>
    <s v="Health"/>
    <n v="187.2"/>
    <x v="5"/>
  </r>
  <r>
    <s v="Rural"/>
    <n v="2023"/>
    <s v="April"/>
    <x v="123"/>
    <s v="Transport and communication"/>
    <n v="169.4"/>
    <x v="6"/>
  </r>
  <r>
    <s v="Rural"/>
    <n v="2023"/>
    <s v="April"/>
    <x v="123"/>
    <s v="Recreation and amusement"/>
    <n v="173.2"/>
    <x v="1"/>
  </r>
  <r>
    <s v="Rural"/>
    <n v="2023"/>
    <s v="April"/>
    <x v="123"/>
    <s v="Education"/>
    <n v="179.4"/>
    <x v="7"/>
  </r>
  <r>
    <s v="Rural"/>
    <n v="2023"/>
    <s v="April"/>
    <x v="123"/>
    <s v="Personal care and effects"/>
    <n v="183.8"/>
    <x v="4"/>
  </r>
  <r>
    <s v="Rural"/>
    <n v="2023"/>
    <s v="April"/>
    <x v="123"/>
    <s v="Miscellaneous"/>
    <n v="178.9"/>
    <x v="8"/>
  </r>
  <r>
    <s v="Rural"/>
    <n v="2023"/>
    <s v="April"/>
    <x v="123"/>
    <s v="General index"/>
    <n v="178.8"/>
    <x v="9"/>
  </r>
  <r>
    <s v="Urban"/>
    <n v="2023"/>
    <s v="April"/>
    <x v="123"/>
    <s v="Cereals and products"/>
    <n v="174.8"/>
    <x v="0"/>
  </r>
  <r>
    <s v="Urban"/>
    <n v="2023"/>
    <s v="April"/>
    <x v="123"/>
    <s v="Meat and fish"/>
    <n v="213.7"/>
    <x v="0"/>
  </r>
  <r>
    <s v="Urban"/>
    <n v="2023"/>
    <s v="April"/>
    <x v="123"/>
    <s v="Egg"/>
    <n v="172.4"/>
    <x v="0"/>
  </r>
  <r>
    <s v="Urban"/>
    <n v="2023"/>
    <s v="April"/>
    <x v="123"/>
    <s v="Milk and products"/>
    <n v="178.8"/>
    <x v="0"/>
  </r>
  <r>
    <s v="Urban"/>
    <n v="2023"/>
    <s v="April"/>
    <x v="123"/>
    <s v="Oils and fats"/>
    <n v="168.7"/>
    <x v="0"/>
  </r>
  <r>
    <s v="Urban"/>
    <n v="2023"/>
    <s v="April"/>
    <x v="123"/>
    <s v="Fruits"/>
    <n v="179.2"/>
    <x v="0"/>
  </r>
  <r>
    <s v="Urban"/>
    <n v="2023"/>
    <s v="April"/>
    <x v="123"/>
    <s v="Vegetables"/>
    <n v="179.9"/>
    <x v="0"/>
  </r>
  <r>
    <s v="Urban"/>
    <n v="2023"/>
    <s v="April"/>
    <x v="123"/>
    <s v="Pulses and products"/>
    <n v="174.7"/>
    <x v="0"/>
  </r>
  <r>
    <s v="Urban"/>
    <n v="2023"/>
    <s v="April"/>
    <x v="123"/>
    <s v="Sugar and Confectionery"/>
    <n v="123.1"/>
    <x v="0"/>
  </r>
  <r>
    <s v="Urban"/>
    <n v="2023"/>
    <s v="April"/>
    <x v="123"/>
    <s v="Spices"/>
    <n v="207.8"/>
    <x v="0"/>
  </r>
  <r>
    <s v="Urban"/>
    <n v="2023"/>
    <s v="April"/>
    <x v="123"/>
    <s v="Non-alcoholic beverages"/>
    <n v="165.5"/>
    <x v="0"/>
  </r>
  <r>
    <s v="Urban"/>
    <n v="2023"/>
    <s v="April"/>
    <x v="123"/>
    <s v="Prepared meals, snacks, sweets etc."/>
    <n v="197"/>
    <x v="0"/>
  </r>
  <r>
    <s v="Urban"/>
    <n v="2023"/>
    <s v="April"/>
    <x v="123"/>
    <s v="Food and beverages"/>
    <n v="182.1"/>
    <x v="0"/>
  </r>
  <r>
    <s v="Urban"/>
    <n v="2023"/>
    <s v="April"/>
    <x v="123"/>
    <s v="Pan, tobacco and intoxicants"/>
    <n v="203.5"/>
    <x v="1"/>
  </r>
  <r>
    <s v="Urban"/>
    <n v="2023"/>
    <s v="April"/>
    <x v="123"/>
    <s v="Clothing"/>
    <n v="181"/>
    <x v="2"/>
  </r>
  <r>
    <s v="Urban"/>
    <n v="2023"/>
    <s v="April"/>
    <x v="123"/>
    <s v="Footwear"/>
    <n v="167.7"/>
    <x v="2"/>
  </r>
  <r>
    <s v="Urban"/>
    <n v="2023"/>
    <s v="April"/>
    <x v="123"/>
    <s v="Clothing and footwear"/>
    <n v="178.9"/>
    <x v="2"/>
  </r>
  <r>
    <s v="Urban"/>
    <n v="2023"/>
    <s v="April"/>
    <x v="123"/>
    <s v="Housing"/>
    <n v="175.2"/>
    <x v="10"/>
  </r>
  <r>
    <s v="Urban"/>
    <n v="2023"/>
    <s v="April"/>
    <x v="123"/>
    <s v="Fuel and light"/>
    <n v="182.1"/>
    <x v="3"/>
  </r>
  <r>
    <s v="Urban"/>
    <n v="2023"/>
    <s v="April"/>
    <x v="123"/>
    <s v="Household goods and services"/>
    <n v="169.6"/>
    <x v="4"/>
  </r>
  <r>
    <s v="Urban"/>
    <n v="2023"/>
    <s v="April"/>
    <x v="123"/>
    <s v="Health"/>
    <n v="181.5"/>
    <x v="5"/>
  </r>
  <r>
    <s v="Urban"/>
    <n v="2023"/>
    <s v="April"/>
    <x v="123"/>
    <s v="Transport and communication"/>
    <n v="160.1"/>
    <x v="6"/>
  </r>
  <r>
    <s v="Urban"/>
    <n v="2023"/>
    <s v="April"/>
    <x v="123"/>
    <s v="Recreation and amusement"/>
    <n v="168.8"/>
    <x v="1"/>
  </r>
  <r>
    <s v="Urban"/>
    <n v="2023"/>
    <s v="April"/>
    <x v="123"/>
    <s v="Education"/>
    <n v="174.2"/>
    <x v="7"/>
  </r>
  <r>
    <s v="Urban"/>
    <n v="2023"/>
    <s v="April"/>
    <x v="123"/>
    <s v="Personal care and effects"/>
    <n v="184.4"/>
    <x v="4"/>
  </r>
  <r>
    <s v="Urban"/>
    <n v="2023"/>
    <s v="April"/>
    <x v="123"/>
    <s v="Miscellaneous"/>
    <n v="170.9"/>
    <x v="8"/>
  </r>
  <r>
    <s v="Urban"/>
    <n v="2023"/>
    <s v="April"/>
    <x v="123"/>
    <s v="General index"/>
    <n v="177.4"/>
    <x v="9"/>
  </r>
  <r>
    <s v="Rural+Urban"/>
    <n v="2023"/>
    <s v="April"/>
    <x v="123"/>
    <s v="Cereals and products"/>
    <n v="173.8"/>
    <x v="0"/>
  </r>
  <r>
    <s v="Rural+Urban"/>
    <n v="2023"/>
    <s v="April"/>
    <x v="123"/>
    <s v="Meat and fish"/>
    <n v="209.3"/>
    <x v="0"/>
  </r>
  <r>
    <s v="Rural+Urban"/>
    <n v="2023"/>
    <s v="April"/>
    <x v="123"/>
    <s v="Egg"/>
    <n v="169.6"/>
    <x v="0"/>
  </r>
  <r>
    <s v="Rural+Urban"/>
    <n v="2023"/>
    <s v="April"/>
    <x v="123"/>
    <s v="Milk and products"/>
    <n v="178.4"/>
    <x v="0"/>
  </r>
  <r>
    <s v="Rural+Urban"/>
    <n v="2023"/>
    <s v="April"/>
    <x v="123"/>
    <s v="Oils and fats"/>
    <n v="174.9"/>
    <x v="0"/>
  </r>
  <r>
    <s v="Rural+Urban"/>
    <n v="2023"/>
    <s v="April"/>
    <x v="123"/>
    <s v="Fruits"/>
    <n v="176.3"/>
    <x v="0"/>
  </r>
  <r>
    <s v="Rural+Urban"/>
    <n v="2023"/>
    <s v="April"/>
    <x v="123"/>
    <s v="Vegetables"/>
    <n v="155.4"/>
    <x v="0"/>
  </r>
  <r>
    <s v="Rural+Urban"/>
    <n v="2023"/>
    <s v="April"/>
    <x v="123"/>
    <s v="Pulses and products"/>
    <n v="173.4"/>
    <x v="0"/>
  </r>
  <r>
    <s v="Rural+Urban"/>
    <n v="2023"/>
    <s v="April"/>
    <x v="123"/>
    <s v="Sugar and Confectionery"/>
    <n v="121.3"/>
    <x v="0"/>
  </r>
  <r>
    <s v="Rural+Urban"/>
    <n v="2023"/>
    <s v="April"/>
    <x v="123"/>
    <s v="Spices"/>
    <n v="212.9"/>
    <x v="0"/>
  </r>
  <r>
    <s v="Rural+Urban"/>
    <n v="2023"/>
    <s v="April"/>
    <x v="123"/>
    <s v="Non-alcoholic beverages"/>
    <n v="172.9"/>
    <x v="0"/>
  </r>
  <r>
    <s v="Rural+Urban"/>
    <n v="2023"/>
    <s v="April"/>
    <x v="123"/>
    <s v="Prepared meals, snacks, sweets etc."/>
    <n v="193.5"/>
    <x v="0"/>
  </r>
  <r>
    <s v="Rural+Urban"/>
    <n v="2023"/>
    <s v="April"/>
    <x v="123"/>
    <s v="Food and beverages"/>
    <n v="177.9"/>
    <x v="0"/>
  </r>
  <r>
    <s v="Rural+Urban"/>
    <n v="2023"/>
    <s v="April"/>
    <x v="123"/>
    <s v="Pan, tobacco and intoxicants"/>
    <n v="200.6"/>
    <x v="1"/>
  </r>
  <r>
    <s v="Rural+Urban"/>
    <n v="2023"/>
    <s v="April"/>
    <x v="123"/>
    <s v="Clothing"/>
    <n v="186.9"/>
    <x v="2"/>
  </r>
  <r>
    <s v="Rural+Urban"/>
    <n v="2023"/>
    <s v="April"/>
    <x v="123"/>
    <s v="Footwear"/>
    <n v="179.2"/>
    <x v="2"/>
  </r>
  <r>
    <s v="Rural+Urban"/>
    <n v="2023"/>
    <s v="April"/>
    <x v="123"/>
    <s v="Clothing and footwear"/>
    <n v="185.7"/>
    <x v="2"/>
  </r>
  <r>
    <s v="Rural+Urban"/>
    <n v="2023"/>
    <s v="April"/>
    <x v="123"/>
    <s v="Housing"/>
    <n v="175.2"/>
    <x v="10"/>
  </r>
  <r>
    <s v="Rural+Urban"/>
    <n v="2023"/>
    <s v="April"/>
    <x v="123"/>
    <s v="Fuel and light"/>
    <n v="181.7"/>
    <x v="3"/>
  </r>
  <r>
    <s v="Rural+Urban"/>
    <n v="2023"/>
    <s v="April"/>
    <x v="123"/>
    <s v="Household goods and services"/>
    <n v="174.6"/>
    <x v="4"/>
  </r>
  <r>
    <s v="Rural+Urban"/>
    <n v="2023"/>
    <s v="April"/>
    <x v="123"/>
    <s v="Health"/>
    <n v="185"/>
    <x v="5"/>
  </r>
  <r>
    <s v="Rural+Urban"/>
    <n v="2023"/>
    <s v="April"/>
    <x v="123"/>
    <s v="Transport and communication"/>
    <n v="164.5"/>
    <x v="6"/>
  </r>
  <r>
    <s v="Rural+Urban"/>
    <n v="2023"/>
    <s v="April"/>
    <x v="123"/>
    <s v="Recreation and amusement"/>
    <n v="170.7"/>
    <x v="1"/>
  </r>
  <r>
    <s v="Rural+Urban"/>
    <n v="2023"/>
    <s v="April"/>
    <x v="123"/>
    <s v="Education"/>
    <n v="176.4"/>
    <x v="7"/>
  </r>
  <r>
    <s v="Rural+Urban"/>
    <n v="2023"/>
    <s v="April"/>
    <x v="123"/>
    <s v="Personal care and effects"/>
    <n v="184"/>
    <x v="4"/>
  </r>
  <r>
    <s v="Rural+Urban"/>
    <n v="2023"/>
    <s v="April"/>
    <x v="123"/>
    <s v="Miscellaneous"/>
    <n v="175"/>
    <x v="8"/>
  </r>
  <r>
    <s v="Rural+Urban"/>
    <n v="2023"/>
    <s v="April"/>
    <x v="123"/>
    <s v="General index"/>
    <n v="178.1"/>
    <x v="9"/>
  </r>
  <r>
    <s v="Rural"/>
    <n v="2023"/>
    <s v="May"/>
    <x v="124"/>
    <s v="Cereals and products"/>
    <n v="173.2"/>
    <x v="0"/>
  </r>
  <r>
    <s v="Rural"/>
    <n v="2023"/>
    <s v="May"/>
    <x v="124"/>
    <s v="Meat and fish"/>
    <n v="211.5"/>
    <x v="0"/>
  </r>
  <r>
    <s v="Rural"/>
    <n v="2023"/>
    <s v="May"/>
    <x v="124"/>
    <s v="Egg"/>
    <n v="171"/>
    <x v="0"/>
  </r>
  <r>
    <s v="Rural"/>
    <n v="2023"/>
    <s v="May"/>
    <x v="124"/>
    <s v="Milk and products"/>
    <n v="179.6"/>
    <x v="0"/>
  </r>
  <r>
    <s v="Rural"/>
    <n v="2023"/>
    <s v="May"/>
    <x v="124"/>
    <s v="Oils and fats"/>
    <n v="173.3"/>
    <x v="0"/>
  </r>
  <r>
    <s v="Rural"/>
    <n v="2023"/>
    <s v="May"/>
    <x v="124"/>
    <s v="Fruits"/>
    <n v="169"/>
    <x v="0"/>
  </r>
  <r>
    <s v="Rural"/>
    <n v="2023"/>
    <s v="May"/>
    <x v="124"/>
    <s v="Vegetables"/>
    <n v="148.69999999999999"/>
    <x v="0"/>
  </r>
  <r>
    <s v="Rural"/>
    <n v="2023"/>
    <s v="May"/>
    <x v="124"/>
    <s v="Pulses and products"/>
    <n v="174.9"/>
    <x v="0"/>
  </r>
  <r>
    <s v="Rural"/>
    <n v="2023"/>
    <s v="May"/>
    <x v="124"/>
    <s v="Sugar and Confectionery"/>
    <n v="121.9"/>
    <x v="0"/>
  </r>
  <r>
    <s v="Rural"/>
    <n v="2023"/>
    <s v="May"/>
    <x v="124"/>
    <s v="Spices"/>
    <n v="221"/>
    <x v="0"/>
  </r>
  <r>
    <s v="Rural"/>
    <n v="2023"/>
    <s v="May"/>
    <x v="124"/>
    <s v="Non-alcoholic beverages"/>
    <n v="178.7"/>
    <x v="0"/>
  </r>
  <r>
    <s v="Rural"/>
    <n v="2023"/>
    <s v="May"/>
    <x v="124"/>
    <s v="Prepared meals, snacks, sweets etc."/>
    <n v="191.1"/>
    <x v="0"/>
  </r>
  <r>
    <s v="Rural"/>
    <n v="2023"/>
    <s v="May"/>
    <x v="124"/>
    <s v="Food and beverages"/>
    <n v="176.8"/>
    <x v="0"/>
  </r>
  <r>
    <s v="Rural"/>
    <n v="2023"/>
    <s v="May"/>
    <x v="124"/>
    <s v="Pan, tobacco and intoxicants"/>
    <n v="199.9"/>
    <x v="1"/>
  </r>
  <r>
    <s v="Rural"/>
    <n v="2023"/>
    <s v="May"/>
    <x v="124"/>
    <s v="Clothing"/>
    <n v="191.2"/>
    <x v="2"/>
  </r>
  <r>
    <s v="Rural"/>
    <n v="2023"/>
    <s v="May"/>
    <x v="124"/>
    <s v="Footwear"/>
    <n v="187.9"/>
    <x v="2"/>
  </r>
  <r>
    <s v="Rural"/>
    <n v="2023"/>
    <s v="May"/>
    <x v="124"/>
    <s v="Clothing and footwear"/>
    <n v="190.8"/>
    <x v="2"/>
  </r>
  <r>
    <s v="Rural"/>
    <n v="2023"/>
    <s v="May"/>
    <x v="124"/>
    <s v="Fuel and light"/>
    <n v="182.5"/>
    <x v="3"/>
  </r>
  <r>
    <s v="Rural"/>
    <n v="2023"/>
    <s v="May"/>
    <x v="124"/>
    <s v="Household goods and services"/>
    <n v="179.8"/>
    <x v="4"/>
  </r>
  <r>
    <s v="Rural"/>
    <n v="2023"/>
    <s v="May"/>
    <x v="124"/>
    <s v="Health"/>
    <n v="187.8"/>
    <x v="5"/>
  </r>
  <r>
    <s v="Rural"/>
    <n v="2023"/>
    <s v="May"/>
    <x v="124"/>
    <s v="Transport and communication"/>
    <n v="169.7"/>
    <x v="6"/>
  </r>
  <r>
    <s v="Rural"/>
    <n v="2023"/>
    <s v="May"/>
    <x v="124"/>
    <s v="Recreation and amusement"/>
    <n v="173.8"/>
    <x v="1"/>
  </r>
  <r>
    <s v="Rural"/>
    <n v="2023"/>
    <s v="May"/>
    <x v="124"/>
    <s v="Education"/>
    <n v="180.3"/>
    <x v="7"/>
  </r>
  <r>
    <s v="Rural"/>
    <n v="2023"/>
    <s v="May"/>
    <x v="124"/>
    <s v="Personal care and effects"/>
    <n v="184.9"/>
    <x v="4"/>
  </r>
  <r>
    <s v="Rural"/>
    <n v="2023"/>
    <s v="May"/>
    <x v="124"/>
    <s v="Miscellaneous"/>
    <n v="179.5"/>
    <x v="8"/>
  </r>
  <r>
    <s v="Rural"/>
    <n v="2023"/>
    <s v="May"/>
    <x v="124"/>
    <s v="General index"/>
    <n v="179.8"/>
    <x v="9"/>
  </r>
  <r>
    <s v="Urban"/>
    <n v="2023"/>
    <s v="May"/>
    <x v="124"/>
    <s v="Cereals and products"/>
    <n v="174.7"/>
    <x v="0"/>
  </r>
  <r>
    <s v="Urban"/>
    <n v="2023"/>
    <s v="May"/>
    <x v="124"/>
    <s v="Meat and fish"/>
    <n v="219.4"/>
    <x v="0"/>
  </r>
  <r>
    <s v="Urban"/>
    <n v="2023"/>
    <s v="May"/>
    <x v="124"/>
    <s v="Egg"/>
    <n v="176.7"/>
    <x v="0"/>
  </r>
  <r>
    <s v="Urban"/>
    <n v="2023"/>
    <s v="May"/>
    <x v="124"/>
    <s v="Milk and products"/>
    <n v="179.4"/>
    <x v="0"/>
  </r>
  <r>
    <s v="Urban"/>
    <n v="2023"/>
    <s v="May"/>
    <x v="124"/>
    <s v="Oils and fats"/>
    <n v="164.4"/>
    <x v="0"/>
  </r>
  <r>
    <s v="Urban"/>
    <n v="2023"/>
    <s v="May"/>
    <x v="124"/>
    <s v="Fruits"/>
    <n v="175.8"/>
    <x v="0"/>
  </r>
  <r>
    <s v="Urban"/>
    <n v="2023"/>
    <s v="May"/>
    <x v="124"/>
    <s v="Vegetables"/>
    <n v="185"/>
    <x v="0"/>
  </r>
  <r>
    <s v="Urban"/>
    <n v="2023"/>
    <s v="May"/>
    <x v="124"/>
    <s v="Pulses and products"/>
    <n v="176.9"/>
    <x v="0"/>
  </r>
  <r>
    <s v="Urban"/>
    <n v="2023"/>
    <s v="May"/>
    <x v="124"/>
    <s v="Sugar and Confectionery"/>
    <n v="124.2"/>
    <x v="0"/>
  </r>
  <r>
    <s v="Urban"/>
    <n v="2023"/>
    <s v="May"/>
    <x v="124"/>
    <s v="Spices"/>
    <n v="211.9"/>
    <x v="0"/>
  </r>
  <r>
    <s v="Urban"/>
    <n v="2023"/>
    <s v="May"/>
    <x v="124"/>
    <s v="Non-alcoholic beverages"/>
    <n v="165.9"/>
    <x v="0"/>
  </r>
  <r>
    <s v="Urban"/>
    <n v="2023"/>
    <s v="May"/>
    <x v="124"/>
    <s v="Prepared meals, snacks, sweets etc."/>
    <n v="197.7"/>
    <x v="0"/>
  </r>
  <r>
    <s v="Urban"/>
    <n v="2023"/>
    <s v="May"/>
    <x v="124"/>
    <s v="Food and beverages"/>
    <n v="183.1"/>
    <x v="0"/>
  </r>
  <r>
    <s v="Urban"/>
    <n v="2023"/>
    <s v="May"/>
    <x v="124"/>
    <s v="Pan, tobacco and intoxicants"/>
    <n v="204.2"/>
    <x v="1"/>
  </r>
  <r>
    <s v="Urban"/>
    <n v="2023"/>
    <s v="May"/>
    <x v="124"/>
    <s v="Clothing"/>
    <n v="181.3"/>
    <x v="2"/>
  </r>
  <r>
    <s v="Urban"/>
    <n v="2023"/>
    <s v="May"/>
    <x v="124"/>
    <s v="Footwear"/>
    <n v="168.1"/>
    <x v="2"/>
  </r>
  <r>
    <s v="Urban"/>
    <n v="2023"/>
    <s v="May"/>
    <x v="124"/>
    <s v="Clothing and footwear"/>
    <n v="179.3"/>
    <x v="2"/>
  </r>
  <r>
    <s v="Urban"/>
    <n v="2023"/>
    <s v="May"/>
    <x v="124"/>
    <s v="Housing"/>
    <n v="175.6"/>
    <x v="10"/>
  </r>
  <r>
    <s v="Urban"/>
    <n v="2023"/>
    <s v="May"/>
    <x v="124"/>
    <s v="Fuel and light"/>
    <n v="183.4"/>
    <x v="3"/>
  </r>
  <r>
    <s v="Urban"/>
    <n v="2023"/>
    <s v="May"/>
    <x v="124"/>
    <s v="Household goods and services"/>
    <n v="170.1"/>
    <x v="4"/>
  </r>
  <r>
    <s v="Urban"/>
    <n v="2023"/>
    <s v="May"/>
    <x v="124"/>
    <s v="Health"/>
    <n v="182.2"/>
    <x v="5"/>
  </r>
  <r>
    <s v="Urban"/>
    <n v="2023"/>
    <s v="May"/>
    <x v="124"/>
    <s v="Transport and communication"/>
    <n v="160.4"/>
    <x v="6"/>
  </r>
  <r>
    <s v="Urban"/>
    <n v="2023"/>
    <s v="May"/>
    <x v="124"/>
    <s v="Recreation and amusement"/>
    <n v="169.2"/>
    <x v="1"/>
  </r>
  <r>
    <s v="Urban"/>
    <n v="2023"/>
    <s v="May"/>
    <x v="124"/>
    <s v="Education"/>
    <n v="174.8"/>
    <x v="7"/>
  </r>
  <r>
    <s v="Urban"/>
    <n v="2023"/>
    <s v="May"/>
    <x v="124"/>
    <s v="Personal care and effects"/>
    <n v="185.6"/>
    <x v="4"/>
  </r>
  <r>
    <s v="Urban"/>
    <n v="2023"/>
    <s v="May"/>
    <x v="124"/>
    <s v="Miscellaneous"/>
    <n v="171.6"/>
    <x v="8"/>
  </r>
  <r>
    <s v="Urban"/>
    <n v="2023"/>
    <s v="May"/>
    <x v="124"/>
    <s v="General index"/>
    <n v="178.2"/>
    <x v="9"/>
  </r>
  <r>
    <s v="Rural+Urban"/>
    <n v="2023"/>
    <s v="May"/>
    <x v="124"/>
    <s v="Cereals and products"/>
    <n v="173.7"/>
    <x v="0"/>
  </r>
  <r>
    <s v="Rural+Urban"/>
    <n v="2023"/>
    <s v="May"/>
    <x v="124"/>
    <s v="Meat and fish"/>
    <n v="214.3"/>
    <x v="0"/>
  </r>
  <r>
    <s v="Rural+Urban"/>
    <n v="2023"/>
    <s v="May"/>
    <x v="124"/>
    <s v="Egg"/>
    <n v="173.2"/>
    <x v="0"/>
  </r>
  <r>
    <s v="Rural+Urban"/>
    <n v="2023"/>
    <s v="May"/>
    <x v="124"/>
    <s v="Milk and products"/>
    <n v="179.5"/>
    <x v="0"/>
  </r>
  <r>
    <s v="Rural+Urban"/>
    <n v="2023"/>
    <s v="May"/>
    <x v="124"/>
    <s v="Oils and fats"/>
    <n v="170"/>
    <x v="0"/>
  </r>
  <r>
    <s v="Rural+Urban"/>
    <n v="2023"/>
    <s v="May"/>
    <x v="124"/>
    <s v="Fruits"/>
    <n v="172.2"/>
    <x v="0"/>
  </r>
  <r>
    <s v="Rural+Urban"/>
    <n v="2023"/>
    <s v="May"/>
    <x v="124"/>
    <s v="Vegetables"/>
    <n v="161"/>
    <x v="0"/>
  </r>
  <r>
    <s v="Rural+Urban"/>
    <n v="2023"/>
    <s v="May"/>
    <x v="124"/>
    <s v="Pulses and products"/>
    <n v="175.6"/>
    <x v="0"/>
  </r>
  <r>
    <s v="Rural+Urban"/>
    <n v="2023"/>
    <s v="May"/>
    <x v="124"/>
    <s v="Sugar and Confectionery"/>
    <n v="122.7"/>
    <x v="0"/>
  </r>
  <r>
    <s v="Rural+Urban"/>
    <n v="2023"/>
    <s v="May"/>
    <x v="124"/>
    <s v="Spices"/>
    <n v="218"/>
    <x v="0"/>
  </r>
  <r>
    <s v="Rural+Urban"/>
    <n v="2023"/>
    <s v="May"/>
    <x v="124"/>
    <s v="Non-alcoholic beverages"/>
    <n v="173.4"/>
    <x v="0"/>
  </r>
  <r>
    <s v="Rural+Urban"/>
    <n v="2023"/>
    <s v="May"/>
    <x v="124"/>
    <s v="Prepared meals, snacks, sweets etc."/>
    <n v="194.2"/>
    <x v="0"/>
  </r>
  <r>
    <s v="Rural+Urban"/>
    <n v="2023"/>
    <s v="May"/>
    <x v="124"/>
    <s v="Food and beverages"/>
    <n v="179.1"/>
    <x v="0"/>
  </r>
  <r>
    <s v="Rural+Urban"/>
    <n v="2023"/>
    <s v="May"/>
    <x v="124"/>
    <s v="Pan, tobacco and intoxicants"/>
    <n v="201"/>
    <x v="1"/>
  </r>
  <r>
    <s v="Rural+Urban"/>
    <n v="2023"/>
    <s v="May"/>
    <x v="124"/>
    <s v="Clothing"/>
    <n v="187.3"/>
    <x v="2"/>
  </r>
  <r>
    <s v="Rural+Urban"/>
    <n v="2023"/>
    <s v="May"/>
    <x v="124"/>
    <s v="Footwear"/>
    <n v="179.7"/>
    <x v="2"/>
  </r>
  <r>
    <s v="Rural+Urban"/>
    <n v="2023"/>
    <s v="May"/>
    <x v="124"/>
    <s v="Clothing and footwear"/>
    <n v="186.2"/>
    <x v="2"/>
  </r>
  <r>
    <s v="Rural+Urban"/>
    <n v="2023"/>
    <s v="May"/>
    <x v="124"/>
    <s v="Housing"/>
    <n v="175.6"/>
    <x v="10"/>
  </r>
  <r>
    <s v="Rural+Urban"/>
    <n v="2023"/>
    <s v="May"/>
    <x v="124"/>
    <s v="Fuel and light"/>
    <n v="182.8"/>
    <x v="3"/>
  </r>
  <r>
    <s v="Rural+Urban"/>
    <n v="2023"/>
    <s v="May"/>
    <x v="124"/>
    <s v="Household goods and services"/>
    <n v="175.2"/>
    <x v="4"/>
  </r>
  <r>
    <s v="Rural+Urban"/>
    <n v="2023"/>
    <s v="May"/>
    <x v="124"/>
    <s v="Health"/>
    <n v="185.7"/>
    <x v="5"/>
  </r>
  <r>
    <s v="Rural+Urban"/>
    <n v="2023"/>
    <s v="May"/>
    <x v="124"/>
    <s v="Transport and communication"/>
    <n v="164.8"/>
    <x v="6"/>
  </r>
  <r>
    <s v="Rural+Urban"/>
    <n v="2023"/>
    <s v="May"/>
    <x v="124"/>
    <s v="Recreation and amusement"/>
    <n v="171.2"/>
    <x v="1"/>
  </r>
  <r>
    <s v="Rural+Urban"/>
    <n v="2023"/>
    <s v="May"/>
    <x v="124"/>
    <s v="Education"/>
    <n v="177.1"/>
    <x v="7"/>
  </r>
  <r>
    <s v="Rural+Urban"/>
    <n v="2023"/>
    <s v="May"/>
    <x v="124"/>
    <s v="Personal care and effects"/>
    <n v="185.2"/>
    <x v="4"/>
  </r>
  <r>
    <s v="Rural+Urban"/>
    <n v="2023"/>
    <s v="May"/>
    <x v="124"/>
    <s v="Miscellaneous"/>
    <n v="175.7"/>
    <x v="8"/>
  </r>
  <r>
    <s v="Rural+Urban"/>
    <n v="2023"/>
    <s v="May"/>
    <x v="124"/>
    <s v="General index"/>
    <n v="179.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BAB6D4-8D3D-4357-A58F-4AD4CA9B30F1}" name="PivotTable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5" firstHeaderRow="0" firstDataRow="1" firstDataCol="1" rowPageCount="1" colPageCount="1"/>
  <pivotFields count="7">
    <pivotField showAll="0"/>
    <pivotField showAll="0"/>
    <pivotField showAll="0"/>
    <pivotField axis="axisPage" multipleItemSelectionAllowed="1" showAll="0">
      <items count="126">
        <item h="1" x="0"/>
        <item h="1" x="1"/>
        <item h="1" x="2"/>
        <item h="1" x="3"/>
        <item h="1" x="4"/>
        <item h="1" x="5"/>
        <item h="1" x="6"/>
        <item h="1" x="7"/>
        <item h="1" x="8"/>
        <item h="1" x="9"/>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x="124"/>
        <item h="1" x="10"/>
        <item t="default"/>
      </items>
    </pivotField>
    <pivotField showAll="0"/>
    <pivotField dataField="1" showAll="0"/>
    <pivotField axis="axisRow" showAll="0" sortType="descending">
      <items count="13">
        <item x="2"/>
        <item x="7"/>
        <item x="0"/>
        <item x="3"/>
        <item x="9"/>
        <item x="5"/>
        <item x="4"/>
        <item x="10"/>
        <item x="8"/>
        <item x="1"/>
        <item x="6"/>
        <item x="11"/>
        <item t="default"/>
      </items>
      <autoSortScope>
        <pivotArea dataOnly="0" outline="0" fieldPosition="0">
          <references count="1">
            <reference field="4294967294" count="1" selected="0">
              <x v="0"/>
            </reference>
          </references>
        </pivotArea>
      </autoSortScope>
    </pivotField>
  </pivotFields>
  <rowFields count="1">
    <field x="6"/>
  </rowFields>
  <rowItems count="12">
    <i>
      <x v="9"/>
    </i>
    <i>
      <x v="5"/>
    </i>
    <i>
      <x/>
    </i>
    <i>
      <x v="3"/>
    </i>
    <i>
      <x v="6"/>
    </i>
    <i>
      <x v="4"/>
    </i>
    <i>
      <x v="2"/>
    </i>
    <i>
      <x v="1"/>
    </i>
    <i>
      <x v="8"/>
    </i>
    <i>
      <x v="7"/>
    </i>
    <i>
      <x v="10"/>
    </i>
    <i t="grand">
      <x/>
    </i>
  </rowItems>
  <colFields count="1">
    <field x="-2"/>
  </colFields>
  <colItems count="2">
    <i>
      <x/>
    </i>
    <i i="1">
      <x v="1"/>
    </i>
  </colItems>
  <pageFields count="1">
    <pageField fld="3" hier="-1"/>
  </pageFields>
  <dataFields count="2">
    <dataField name="Average of CPI Value" fld="5" subtotal="average" showDataAs="percentOfTotal" baseField="6" baseItem="2" numFmtId="10"/>
    <dataField name="Average of CPI Value2" fld="5" subtotal="average" baseField="6" baseItem="9"/>
  </dataFields>
  <formats count="2">
    <format dxfId="20">
      <pivotArea collapsedLevelsAreSubtotals="1" fieldPosition="0">
        <references count="1">
          <reference field="6" count="11">
            <x v="0"/>
            <x v="1"/>
            <x v="2"/>
            <x v="3"/>
            <x v="4"/>
            <x v="5"/>
            <x v="6"/>
            <x v="7"/>
            <x v="8"/>
            <x v="9"/>
            <x v="10"/>
          </reference>
        </references>
      </pivotArea>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9846F-B200-448C-9104-E6B28AE34309}" name="PivotTable1" cacheId="13"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2:C39" firstHeaderRow="1" firstDataRow="2" firstDataCol="1" rowPageCount="1" colPageCount="1"/>
  <pivotFields count="8">
    <pivotField axis="axisCol" allDrilled="1" subtotalTop="0" showAll="0" dataSourceSort="1" defaultSubtotal="0" defaultAttributeDrillState="1">
      <items count="1">
        <item s="1" x="0"/>
      </items>
    </pivotField>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6">
    <i>
      <x/>
    </i>
    <i i="1">
      <x v="1"/>
    </i>
    <i i="2">
      <x v="2"/>
    </i>
    <i i="3">
      <x v="3"/>
    </i>
    <i i="4">
      <x v="4"/>
    </i>
    <i i="5">
      <x v="5"/>
    </i>
  </rowItems>
  <colFields count="1">
    <field x="0"/>
  </colFields>
  <colItems count="2">
    <i>
      <x/>
    </i>
    <i t="grand">
      <x/>
    </i>
  </colItems>
  <pageFields count="1">
    <pageField fld="1" hier="0" name="[Range].[Sector].&amp;[Rural+Urban]" cap="Rural+Urban"/>
  </pageFields>
  <dataFields count="6">
    <dataField name="Sum of Food and beverages" fld="2" baseField="0" baseItem="0"/>
    <dataField name="Sum of Pan, tobacco and intoxicants" fld="3" baseField="0" baseItem="0"/>
    <dataField name="Sum of Clothing and footwear" fld="4" baseField="0" baseItem="0"/>
    <dataField name="Sum of Housing" fld="5" baseField="0" baseItem="0"/>
    <dataField name="Sum of Fuel and light" fld="6" baseField="0" baseItem="0"/>
    <dataField name="Sum of Miscellaneous" fld="7" baseField="0" baseItem="0"/>
  </dataFields>
  <chartFormats count="7">
    <chartFormat chart="2" format="0" series="1">
      <pivotArea type="data" outline="0" fieldPosition="0">
        <references count="2">
          <reference field="4294967294" count="1" selected="0">
            <x v="0"/>
          </reference>
          <reference field="0"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1"/>
          </reference>
          <reference field="0" count="1" selected="0">
            <x v="0"/>
          </reference>
        </references>
      </pivotArea>
    </chartFormat>
    <chartFormat chart="2" format="3">
      <pivotArea type="data" outline="0" fieldPosition="0">
        <references count="2">
          <reference field="4294967294" count="1" selected="0">
            <x v="2"/>
          </reference>
          <reference field="0" count="1" selected="0">
            <x v="0"/>
          </reference>
        </references>
      </pivotArea>
    </chartFormat>
    <chartFormat chart="2" format="4">
      <pivotArea type="data" outline="0" fieldPosition="0">
        <references count="2">
          <reference field="4294967294" count="1" selected="0">
            <x v="3"/>
          </reference>
          <reference field="0" count="1" selected="0">
            <x v="0"/>
          </reference>
        </references>
      </pivotArea>
    </chartFormat>
    <chartFormat chart="2" format="5">
      <pivotArea type="data" outline="0" fieldPosition="0">
        <references count="2">
          <reference field="4294967294" count="1" selected="0">
            <x v="4"/>
          </reference>
          <reference field="0" count="1" selected="0">
            <x v="0"/>
          </reference>
        </references>
      </pivotArea>
    </chartFormat>
    <chartFormat chart="2" format="6">
      <pivotArea type="data" outline="0" fieldPosition="0">
        <references count="2">
          <reference field="4294967294" count="1" selected="0">
            <x v="5"/>
          </reference>
          <reference field="0"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oad Categories!$A$1:$K$37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A4DC73-00D0-44E7-B1F7-57D8504105FB}"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G50" firstHeaderRow="0" firstDataRow="1" firstDataCol="1" rowPageCount="1" colPageCount="1"/>
  <pivotFields count="11">
    <pivotField axis="axisPage" showAll="0">
      <items count="4">
        <item x="0"/>
        <item x="2"/>
        <item x="1"/>
        <item t="default"/>
      </items>
    </pivotField>
    <pivotField showAll="0"/>
    <pivotField showAll="0"/>
    <pivotField axis="axisRow" showAll="0">
      <items count="126">
        <item h="1" x="10"/>
        <item h="1" x="0"/>
        <item h="1" x="1"/>
        <item h="1" x="2"/>
        <item h="1" x="3"/>
        <item h="1" x="4"/>
        <item h="1" x="5"/>
        <item h="1" x="6"/>
        <item h="1" x="7"/>
        <item h="1" x="8"/>
        <item h="1" x="9"/>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x="49"/>
        <item h="1" x="50"/>
        <item h="1" x="51"/>
        <item h="1" x="52"/>
        <item h="1" x="53"/>
        <item h="1" x="54"/>
        <item h="1" x="55"/>
        <item h="1" x="56"/>
        <item h="1" x="57"/>
        <item h="1" x="58"/>
        <item h="1" x="59"/>
        <item h="1" x="60"/>
        <item x="61"/>
        <item h="1" x="62"/>
        <item h="1" x="63"/>
        <item h="1" x="64"/>
        <item h="1" x="65"/>
        <item h="1" x="66"/>
        <item h="1" x="67"/>
        <item h="1" x="68"/>
        <item h="1" x="69"/>
        <item h="1" x="70"/>
        <item h="1" x="71"/>
        <item h="1" x="72"/>
        <item x="73"/>
        <item h="1" x="74"/>
        <item h="1" x="75"/>
        <item h="1" x="76"/>
        <item h="1" x="77"/>
        <item h="1" x="78"/>
        <item h="1" x="79"/>
        <item h="1" x="80"/>
        <item h="1" x="81"/>
        <item h="1" x="82"/>
        <item h="1" x="83"/>
        <item x="84"/>
        <item h="1" x="85"/>
        <item h="1" x="86"/>
        <item h="1" x="87"/>
        <item h="1" x="88"/>
        <item h="1" x="89"/>
        <item h="1" x="90"/>
        <item h="1" x="91"/>
        <item h="1" x="92"/>
        <item h="1" x="93"/>
        <item h="1" x="94"/>
        <item h="1" x="95"/>
        <item x="96"/>
        <item h="1" x="97"/>
        <item h="1" x="98"/>
        <item h="1" x="99"/>
        <item h="1" x="100"/>
        <item h="1" x="101"/>
        <item h="1" x="102"/>
        <item h="1" x="103"/>
        <item h="1" x="104"/>
        <item h="1" x="105"/>
        <item h="1" x="106"/>
        <item h="1" x="107"/>
        <item x="108"/>
        <item h="1" x="109"/>
        <item h="1" x="110"/>
        <item h="1" x="111"/>
        <item h="1" x="112"/>
        <item h="1" x="113"/>
        <item h="1" x="114"/>
        <item h="1" x="115"/>
        <item h="1" x="116"/>
        <item h="1" x="117"/>
        <item h="1" x="118"/>
        <item h="1" x="119"/>
        <item x="120"/>
        <item h="1" x="121"/>
        <item h="1" x="122"/>
        <item h="1" x="123"/>
        <item h="1" x="124"/>
        <item t="default"/>
      </items>
    </pivotField>
    <pivotField dataField="1" showAll="0"/>
    <pivotField dataField="1" showAll="0"/>
    <pivotField dataField="1" showAll="0"/>
    <pivotField dataField="1" showAll="0"/>
    <pivotField dataField="1" showAll="0"/>
    <pivotField dataField="1" showAll="0"/>
    <pivotField showAll="0"/>
  </pivotFields>
  <rowFields count="1">
    <field x="3"/>
  </rowFields>
  <rowItems count="8">
    <i>
      <x v="49"/>
    </i>
    <i>
      <x v="61"/>
    </i>
    <i>
      <x v="73"/>
    </i>
    <i>
      <x v="84"/>
    </i>
    <i>
      <x v="96"/>
    </i>
    <i>
      <x v="108"/>
    </i>
    <i>
      <x v="120"/>
    </i>
    <i t="grand">
      <x/>
    </i>
  </rowItems>
  <colFields count="1">
    <field x="-2"/>
  </colFields>
  <colItems count="6">
    <i>
      <x/>
    </i>
    <i i="1">
      <x v="1"/>
    </i>
    <i i="2">
      <x v="2"/>
    </i>
    <i i="3">
      <x v="3"/>
    </i>
    <i i="4">
      <x v="4"/>
    </i>
    <i i="5">
      <x v="5"/>
    </i>
  </colItems>
  <pageFields count="1">
    <pageField fld="0" item="1" hier="-1"/>
  </pageFields>
  <dataFields count="6">
    <dataField name="Sum of Food and beverages" fld="4" baseField="0" baseItem="0"/>
    <dataField name="Sum of Pan, tobacco and intoxicants" fld="5" baseField="0" baseItem="0"/>
    <dataField name="Sum of Clothing and footwear" fld="6" baseField="0" baseItem="0"/>
    <dataField name="Sum of Housing" fld="7" baseField="0" baseItem="0"/>
    <dataField name="Sum of Fuel and light" fld="8" baseField="0" baseItem="0"/>
    <dataField name="Sum of Miscellaneou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C15581-221C-4969-8F47-DC11A1082E48}"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6" firstHeaderRow="1" firstDataRow="1" firstDataCol="1" rowPageCount="1" colPageCount="1"/>
  <pivotFields count="11">
    <pivotField axis="axisPage" showAll="0">
      <items count="4">
        <item x="0"/>
        <item x="2"/>
        <item x="1"/>
        <item t="default"/>
      </items>
    </pivotField>
    <pivotField showAll="0"/>
    <pivotField showAll="0"/>
    <pivotField axis="axisRow" showAll="0">
      <items count="126">
        <item h="1" x="10"/>
        <item h="1" x="0"/>
        <item h="1" x="1"/>
        <item h="1" x="2"/>
        <item h="1" x="3"/>
        <item h="1" x="4"/>
        <item h="1" x="5"/>
        <item h="1" x="6"/>
        <item h="1" x="7"/>
        <item h="1" x="8"/>
        <item h="1" x="9"/>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x="49"/>
        <item h="1" x="50"/>
        <item h="1" x="51"/>
        <item h="1" x="52"/>
        <item h="1" x="53"/>
        <item h="1" x="54"/>
        <item h="1" x="55"/>
        <item h="1" x="56"/>
        <item h="1" x="57"/>
        <item h="1" x="58"/>
        <item h="1" x="59"/>
        <item h="1" x="60"/>
        <item x="61"/>
        <item h="1" x="62"/>
        <item h="1" x="63"/>
        <item h="1" x="64"/>
        <item h="1" x="65"/>
        <item h="1" x="66"/>
        <item h="1" x="67"/>
        <item h="1" x="68"/>
        <item h="1" x="69"/>
        <item h="1" x="70"/>
        <item h="1" x="71"/>
        <item h="1" x="72"/>
        <item x="73"/>
        <item h="1" x="74"/>
        <item h="1" x="75"/>
        <item h="1" x="76"/>
        <item h="1" x="77"/>
        <item h="1" x="78"/>
        <item h="1" x="79"/>
        <item h="1" x="80"/>
        <item h="1" x="81"/>
        <item h="1" x="82"/>
        <item h="1" x="83"/>
        <item x="84"/>
        <item h="1" x="85"/>
        <item h="1" x="86"/>
        <item h="1" x="87"/>
        <item h="1" x="88"/>
        <item h="1" x="89"/>
        <item h="1" x="90"/>
        <item h="1" x="91"/>
        <item h="1" x="92"/>
        <item h="1" x="93"/>
        <item h="1" x="94"/>
        <item h="1" x="95"/>
        <item x="96"/>
        <item h="1" x="97"/>
        <item h="1" x="98"/>
        <item h="1" x="99"/>
        <item h="1" x="100"/>
        <item h="1" x="101"/>
        <item h="1" x="102"/>
        <item h="1" x="103"/>
        <item h="1" x="104"/>
        <item h="1" x="105"/>
        <item h="1" x="106"/>
        <item h="1" x="107"/>
        <item x="108"/>
        <item h="1" x="109"/>
        <item h="1" x="110"/>
        <item h="1" x="111"/>
        <item h="1" x="112"/>
        <item h="1" x="113"/>
        <item h="1" x="114"/>
        <item h="1" x="115"/>
        <item h="1" x="116"/>
        <item h="1" x="117"/>
        <item h="1" x="118"/>
        <item h="1" x="119"/>
        <item x="120"/>
        <item h="1" x="121"/>
        <item h="1" x="122"/>
        <item h="1" x="123"/>
        <item h="1" x="124"/>
        <item t="default"/>
      </items>
    </pivotField>
    <pivotField showAll="0"/>
    <pivotField showAll="0"/>
    <pivotField showAll="0"/>
    <pivotField showAll="0"/>
    <pivotField showAll="0"/>
    <pivotField showAll="0"/>
    <pivotField dataField="1" showAll="0"/>
  </pivotFields>
  <rowFields count="1">
    <field x="3"/>
  </rowFields>
  <rowItems count="8">
    <i>
      <x v="49"/>
    </i>
    <i>
      <x v="61"/>
    </i>
    <i>
      <x v="73"/>
    </i>
    <i>
      <x v="84"/>
    </i>
    <i>
      <x v="96"/>
    </i>
    <i>
      <x v="108"/>
    </i>
    <i>
      <x v="120"/>
    </i>
    <i t="grand">
      <x/>
    </i>
  </rowItems>
  <colItems count="1">
    <i/>
  </colItems>
  <pageFields count="1">
    <pageField fld="0" item="1" hier="-1"/>
  </pageFields>
  <dataFields count="1">
    <dataField name="Sum of General index" fld="10"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10F8D8-27F1-4C77-A3A0-2664B74CAE30}"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3:M66" firstHeaderRow="0" firstDataRow="1" firstDataCol="1" rowPageCount="1" colPageCount="1"/>
  <pivotFields count="31">
    <pivotField axis="axisPage" showAll="0">
      <items count="4">
        <item x="0"/>
        <item x="2"/>
        <item x="1"/>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6">
        <item h="1" x="10"/>
        <item h="1" x="0"/>
        <item h="1" x="1"/>
        <item h="1" x="2"/>
        <item h="1" x="3"/>
        <item h="1" x="4"/>
        <item h="1" x="5"/>
        <item h="1" x="6"/>
        <item h="1" x="7"/>
        <item h="1" x="8"/>
        <item h="1" x="9"/>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x="113"/>
        <item x="114"/>
        <item x="115"/>
        <item x="116"/>
        <item x="117"/>
        <item x="118"/>
        <item x="119"/>
        <item x="120"/>
        <item x="121"/>
        <item x="122"/>
        <item x="123"/>
        <item x="124"/>
        <item t="default"/>
      </items>
    </pivotField>
  </pivotFields>
  <rowFields count="1">
    <field x="30"/>
  </rowFields>
  <rowItems count="13">
    <i>
      <x v="113"/>
    </i>
    <i>
      <x v="114"/>
    </i>
    <i>
      <x v="115"/>
    </i>
    <i>
      <x v="116"/>
    </i>
    <i>
      <x v="117"/>
    </i>
    <i>
      <x v="118"/>
    </i>
    <i>
      <x v="119"/>
    </i>
    <i>
      <x v="120"/>
    </i>
    <i>
      <x v="121"/>
    </i>
    <i>
      <x v="122"/>
    </i>
    <i>
      <x v="123"/>
    </i>
    <i>
      <x v="124"/>
    </i>
    <i t="grand">
      <x/>
    </i>
  </rowItems>
  <colFields count="1">
    <field x="-2"/>
  </colFields>
  <colItems count="12">
    <i>
      <x/>
    </i>
    <i i="1">
      <x v="1"/>
    </i>
    <i i="2">
      <x v="2"/>
    </i>
    <i i="3">
      <x v="3"/>
    </i>
    <i i="4">
      <x v="4"/>
    </i>
    <i i="5">
      <x v="5"/>
    </i>
    <i i="6">
      <x v="6"/>
    </i>
    <i i="7">
      <x v="7"/>
    </i>
    <i i="8">
      <x v="8"/>
    </i>
    <i i="9">
      <x v="9"/>
    </i>
    <i i="10">
      <x v="10"/>
    </i>
    <i i="11">
      <x v="11"/>
    </i>
  </colItems>
  <pageFields count="1">
    <pageField fld="0" item="1" hier="-1"/>
  </pageFields>
  <dataFields count="12">
    <dataField name="Sum of Cereals and products" fld="3" baseField="0" baseItem="0"/>
    <dataField name="Sum of Meat and fish" fld="4" baseField="0" baseItem="0"/>
    <dataField name="Sum of Egg" fld="5" baseField="0" baseItem="0"/>
    <dataField name="Sum of Milk and products" fld="6" baseField="0" baseItem="0"/>
    <dataField name="Sum of Oils and fats" fld="7" baseField="0" baseItem="0"/>
    <dataField name="Sum of Fruits" fld="8" baseField="0" baseItem="0"/>
    <dataField name="Sum of Vegetables" fld="9" baseField="0" baseItem="0"/>
    <dataField name="Sum of Pulses and products" fld="10" baseField="0" baseItem="0"/>
    <dataField name="Sum of Sugar and Confectionery" fld="11" baseField="0" baseItem="0"/>
    <dataField name="Sum of Spices" fld="12" baseField="0" baseItem="0"/>
    <dataField name="Sum of Non-alcoholic beverages" fld="13" baseField="0" baseItem="0"/>
    <dataField name="Sum of Prepared meals, snacks, sweets etc."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A6CF0F-3CB6-4D55-8B31-5B631718439E}"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B47" firstHeaderRow="1" firstDataRow="1" firstDataCol="1" rowPageCount="1" colPageCount="1"/>
  <pivotFields count="11">
    <pivotField axis="axisPage" showAll="0">
      <items count="4">
        <item x="0"/>
        <item x="2"/>
        <item x="1"/>
        <item t="default"/>
      </items>
    </pivotField>
    <pivotField showAll="0"/>
    <pivotField showAll="0"/>
    <pivotField axis="axisRow" showAll="0">
      <items count="126">
        <item h="1" x="10"/>
        <item h="1" x="0"/>
        <item h="1" x="1"/>
        <item h="1" x="2"/>
        <item h="1" x="3"/>
        <item h="1" x="4"/>
        <item h="1" x="5"/>
        <item h="1" x="6"/>
        <item h="1" x="7"/>
        <item h="1" x="8"/>
        <item h="1" x="9"/>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x="113"/>
        <item x="114"/>
        <item x="115"/>
        <item x="116"/>
        <item x="117"/>
        <item x="118"/>
        <item x="119"/>
        <item x="120"/>
        <item x="121"/>
        <item x="122"/>
        <item x="123"/>
        <item x="124"/>
        <item t="default"/>
      </items>
    </pivotField>
    <pivotField dataField="1" showAll="0"/>
    <pivotField showAll="0"/>
    <pivotField showAll="0"/>
    <pivotField showAll="0"/>
    <pivotField showAll="0"/>
    <pivotField showAll="0"/>
    <pivotField showAll="0"/>
  </pivotFields>
  <rowFields count="1">
    <field x="3"/>
  </rowFields>
  <rowItems count="13">
    <i>
      <x v="113"/>
    </i>
    <i>
      <x v="114"/>
    </i>
    <i>
      <x v="115"/>
    </i>
    <i>
      <x v="116"/>
    </i>
    <i>
      <x v="117"/>
    </i>
    <i>
      <x v="118"/>
    </i>
    <i>
      <x v="119"/>
    </i>
    <i>
      <x v="120"/>
    </i>
    <i>
      <x v="121"/>
    </i>
    <i>
      <x v="122"/>
    </i>
    <i>
      <x v="123"/>
    </i>
    <i>
      <x v="124"/>
    </i>
    <i t="grand">
      <x/>
    </i>
  </rowItems>
  <colItems count="1">
    <i/>
  </colItems>
  <pageFields count="1">
    <pageField fld="0" item="1" hier="-1"/>
  </pageFields>
  <dataFields count="1">
    <dataField name="Sum of Food and beverag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E0247B-D7FD-43C3-9BC9-2781BB15725F}"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E64" firstHeaderRow="0" firstDataRow="1" firstDataCol="1" rowPageCount="1" colPageCount="1"/>
  <pivotFields count="31">
    <pivotField axis="axisPage"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axis="axisRow" showAll="0">
      <items count="126">
        <item h="1" x="10"/>
        <item h="1" x="0"/>
        <item h="1" x="1"/>
        <item h="1" x="2"/>
        <item h="1" x="3"/>
        <item h="1" x="4"/>
        <item h="1" x="5"/>
        <item h="1" x="6"/>
        <item h="1" x="7"/>
        <item h="1" x="8"/>
        <item h="1" x="9"/>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x="80"/>
        <item x="81"/>
        <item x="82"/>
        <item x="83"/>
        <item x="84"/>
        <item x="85"/>
        <item x="86"/>
        <item x="87"/>
        <item x="88"/>
        <item x="89"/>
        <item x="90"/>
        <item x="91"/>
        <item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t="default"/>
      </items>
    </pivotField>
  </pivotFields>
  <rowFields count="1">
    <field x="30"/>
  </rowFields>
  <rowItems count="14">
    <i>
      <x v="80"/>
    </i>
    <i>
      <x v="81"/>
    </i>
    <i>
      <x v="82"/>
    </i>
    <i>
      <x v="83"/>
    </i>
    <i>
      <x v="84"/>
    </i>
    <i>
      <x v="85"/>
    </i>
    <i>
      <x v="86"/>
    </i>
    <i>
      <x v="87"/>
    </i>
    <i>
      <x v="88"/>
    </i>
    <i>
      <x v="89"/>
    </i>
    <i>
      <x v="90"/>
    </i>
    <i>
      <x v="91"/>
    </i>
    <i>
      <x v="92"/>
    </i>
    <i t="grand">
      <x/>
    </i>
  </rowItems>
  <colFields count="1">
    <field x="-2"/>
  </colFields>
  <colItems count="4">
    <i>
      <x/>
    </i>
    <i i="1">
      <x v="1"/>
    </i>
    <i i="2">
      <x v="2"/>
    </i>
    <i i="3">
      <x v="3"/>
    </i>
  </colItems>
  <pageFields count="1">
    <pageField fld="0" item="1" hier="-1"/>
  </pageFields>
  <dataFields count="4">
    <dataField name="Food" fld="15" baseField="30" baseItem="84"/>
    <dataField name="Fuel" fld="21" baseField="30" baseItem="84"/>
    <dataField name="Healthcare" fld="23" baseField="30" baseItem="84"/>
    <dataField name="Transport &amp; Comms" fld="24" baseField="30" baseItem="84"/>
  </dataFields>
  <formats count="14">
    <format dxfId="13">
      <pivotArea outline="0" collapsedLevelsAreSubtotals="1" fieldPosition="0"/>
    </format>
    <format dxfId="12">
      <pivotArea dataOnly="0" labelOnly="1" outline="0" fieldPosition="0">
        <references count="1">
          <reference field="4294967294" count="4">
            <x v="0"/>
            <x v="1"/>
            <x v="2"/>
            <x v="3"/>
          </reference>
        </references>
      </pivotArea>
    </format>
    <format dxfId="11">
      <pivotArea type="all" dataOnly="0" outline="0" fieldPosition="0"/>
    </format>
    <format dxfId="10">
      <pivotArea outline="0" collapsedLevelsAreSubtotals="1" fieldPosition="0"/>
    </format>
    <format dxfId="9">
      <pivotArea field="30" type="button" dataOnly="0" labelOnly="1" outline="0" axis="axisRow" fieldPosition="0"/>
    </format>
    <format dxfId="8">
      <pivotArea dataOnly="0" labelOnly="1" fieldPosition="0">
        <references count="1">
          <reference field="30" count="0"/>
        </references>
      </pivotArea>
    </format>
    <format dxfId="7">
      <pivotArea dataOnly="0" labelOnly="1" grandRow="1" outline="0" fieldPosition="0"/>
    </format>
    <format dxfId="6">
      <pivotArea dataOnly="0" labelOnly="1" outline="0" fieldPosition="0">
        <references count="1">
          <reference field="4294967294" count="4">
            <x v="0"/>
            <x v="1"/>
            <x v="2"/>
            <x v="3"/>
          </reference>
        </references>
      </pivotArea>
    </format>
    <format dxfId="5">
      <pivotArea type="all" dataOnly="0" outline="0" fieldPosition="0"/>
    </format>
    <format dxfId="4">
      <pivotArea outline="0" collapsedLevelsAreSubtotals="1" fieldPosition="0"/>
    </format>
    <format dxfId="3">
      <pivotArea dataOnly="0" labelOnly="1" fieldPosition="0">
        <references count="1">
          <reference field="30" count="0"/>
        </references>
      </pivotArea>
    </format>
    <format dxfId="2">
      <pivotArea dataOnly="0" labelOnly="1" grandRow="1" outline="0" fieldPosition="0"/>
    </format>
    <format dxfId="1">
      <pivotArea field="30" type="button" dataOnly="0" labelOnly="1" outline="0" axis="axisRow" fieldPosition="0"/>
    </format>
    <format dxfId="0">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FD4C31-E646-4FEA-8D41-18C76A84502F}"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H58" firstHeaderRow="0" firstDataRow="1" firstDataCol="1" rowPageCount="1" colPageCount="1"/>
  <pivotFields count="11">
    <pivotField axis="axisPage" showAll="0">
      <items count="4">
        <item x="0"/>
        <item x="2"/>
        <item x="1"/>
        <item t="default"/>
      </items>
    </pivotField>
    <pivotField showAll="0"/>
    <pivotField showAll="0"/>
    <pivotField axis="axisRow" showAll="0">
      <items count="126">
        <item h="1" x="10"/>
        <item h="1" x="0"/>
        <item h="1" x="1"/>
        <item h="1" x="2"/>
        <item h="1" x="3"/>
        <item h="1" x="4"/>
        <item h="1" x="5"/>
        <item h="1" x="6"/>
        <item h="1" x="7"/>
        <item h="1" x="8"/>
        <item h="1" x="9"/>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3"/>
  </rowFields>
  <rowItems count="30">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t="grand">
      <x/>
    </i>
  </rowItems>
  <colFields count="1">
    <field x="-2"/>
  </colFields>
  <colItems count="7">
    <i>
      <x/>
    </i>
    <i i="1">
      <x v="1"/>
    </i>
    <i i="2">
      <x v="2"/>
    </i>
    <i i="3">
      <x v="3"/>
    </i>
    <i i="4">
      <x v="4"/>
    </i>
    <i i="5">
      <x v="5"/>
    </i>
    <i i="6">
      <x v="6"/>
    </i>
  </colItems>
  <pageFields count="1">
    <pageField fld="0" item="1" hier="-1"/>
  </pageFields>
  <dataFields count="7">
    <dataField name="Sum of Fuel and light" fld="8" baseField="0" baseItem="0"/>
    <dataField name="Sum of Food and beverages" fld="4" baseField="0" baseItem="0"/>
    <dataField name="Sum of Pan, tobacco and intoxicants" fld="5" baseField="0" baseItem="0"/>
    <dataField name="Sum of Clothing and footwear" fld="6" baseField="0" baseItem="0"/>
    <dataField name="Sum of Housing" fld="7" baseField="0" baseItem="0"/>
    <dataField name="Sum of Miscellaneous" fld="9" baseField="0" baseItem="0"/>
    <dataField name="Sum of General index"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FD64D0-85CE-4883-89A4-92EBF5B65A31}" autoFormatId="16" applyNumberFormats="0" applyBorderFormats="0" applyFontFormats="0" applyPatternFormats="0" applyAlignmentFormats="0" applyWidthHeightFormats="0">
  <queryTableRefresh nextId="9" unboundColumnsRight="1">
    <queryTableFields count="7">
      <queryTableField id="1" name="Sector" tableColumnId="1"/>
      <queryTableField id="2" name="Year" tableColumnId="2"/>
      <queryTableField id="3" name="Month" tableColumnId="3"/>
      <queryTableField id="4" name="Month Year" tableColumnId="4"/>
      <queryTableField id="5" name="Categories" tableColumnId="5"/>
      <queryTableField id="6" name="CPI Value"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1FAF91-08BB-4F1F-ADEC-791B5776BA96}" name="Table1_2" displayName="Table1_2" ref="A1:G9817" tableType="queryTable" totalsRowShown="0">
  <sortState xmlns:xlrd2="http://schemas.microsoft.com/office/spreadsheetml/2017/richdata2" ref="A9738:G9817">
    <sortCondition ref="G9738"/>
  </sortState>
  <tableColumns count="7">
    <tableColumn id="1" xr3:uid="{6EB7978E-A7F6-4E97-A0F4-14F9D3C68E18}" uniqueName="1" name="Sector" queryTableFieldId="1" dataDxfId="18"/>
    <tableColumn id="2" xr3:uid="{A3D36BDE-9B52-458A-B2ED-52BB627E6727}" uniqueName="2" name="Year" queryTableFieldId="2"/>
    <tableColumn id="3" xr3:uid="{79C88681-6E57-4A1C-B147-291A653AC08D}" uniqueName="3" name="Month" queryTableFieldId="3" dataDxfId="17"/>
    <tableColumn id="4" xr3:uid="{A1C983A8-9C96-4788-87EC-0D4350DE0ED6}" uniqueName="4" name="Month Year" queryTableFieldId="4" dataDxfId="16"/>
    <tableColumn id="5" xr3:uid="{7B6F6296-F6C8-4875-A64C-B4A6427DFFDC}" uniqueName="5" name="Categories" queryTableFieldId="5" dataDxfId="15"/>
    <tableColumn id="6" xr3:uid="{9945A1B6-C9AC-4752-8D10-4FAB32367D3C}" uniqueName="6" name="CPI Value" queryTableFieldId="6"/>
    <tableColumn id="7" xr3:uid="{7F1D3D01-3C3A-4EA8-AD2A-BFB3C4A232CB}" uniqueName="7" name="New Clubbed Category" queryTableFieldId="7" dataDxfId="14">
      <calculatedColumnFormula>VLOOKUP(Table1_2[[#This Row],[Categories]],Sheet3!$A$1:$B$27,2,FALSE)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C53613-C8FE-4B51-9A46-C2A36661C30E}" name="Table1" displayName="Table1" ref="A1:AE373" totalsRowShown="0" headerRowDxfId="22">
  <autoFilter ref="A1:AE373" xr:uid="{83801A11-9731-4885-9043-995EC9B4A797}"/>
  <tableColumns count="31">
    <tableColumn id="1" xr3:uid="{BA8CA302-CF04-4BC7-BA33-19DE510C7E09}" name="Sector"/>
    <tableColumn id="2" xr3:uid="{567920DE-08E0-412C-9442-D0DA9115FC5D}" name="Year"/>
    <tableColumn id="3" xr3:uid="{9B0F508B-C15A-4A4D-87E3-7D8100C625AD}" name="Month"/>
    <tableColumn id="4" xr3:uid="{CA283D16-9F2D-4DB1-86BB-30F6FEC91943}" name="Cereals and products"/>
    <tableColumn id="5" xr3:uid="{E8232AE2-6C3E-42E6-A306-2404865BFA32}" name="Meat and fish"/>
    <tableColumn id="6" xr3:uid="{4DCA614D-6DAC-4FEE-A49F-9831104A0D7D}" name="Egg"/>
    <tableColumn id="7" xr3:uid="{A7E065BC-8367-430B-B877-ED2C400B19C7}" name="Milk and products"/>
    <tableColumn id="8" xr3:uid="{69AB4F31-EEDE-4D5A-908B-838307E88EA6}" name="Oils and fats"/>
    <tableColumn id="9" xr3:uid="{009E98D4-DD76-4326-830F-9192FF62AA18}" name="Fruits"/>
    <tableColumn id="10" xr3:uid="{457331CA-7867-4ACB-8019-5CF11F426EAC}" name="Vegetables"/>
    <tableColumn id="11" xr3:uid="{9E5EC0E5-D47A-4759-8BFC-FFDBA233CD6A}" name="Pulses and products"/>
    <tableColumn id="12" xr3:uid="{CF2BA896-4872-4B39-9278-1D0958F4EAE1}" name="Sugar and Confectionery"/>
    <tableColumn id="13" xr3:uid="{DA96E38C-1025-4564-9964-EDE0397C7787}" name="Spices"/>
    <tableColumn id="14" xr3:uid="{4780C874-937A-4D16-9F9C-5370CCB0DB07}" name="Non-alcoholic beverages"/>
    <tableColumn id="15" xr3:uid="{10824B15-0280-47AB-AAF7-449D634C4935}" name="Prepared meals, snacks, sweets etc."/>
    <tableColumn id="16" xr3:uid="{DB3F4BA7-6672-4E60-B1D1-C0766283FDE6}" name="Food and beverages"/>
    <tableColumn id="17" xr3:uid="{37A81483-D7CB-49A2-A05F-C310FC73E9CC}" name="Pan, tobacco and intoxicants"/>
    <tableColumn id="18" xr3:uid="{CAB92583-2DA2-4961-9E6E-F1F107014A27}" name="Clothing"/>
    <tableColumn id="19" xr3:uid="{7ACE9C03-4546-4E82-AA92-1F3285745564}" name="Footwear"/>
    <tableColumn id="20" xr3:uid="{F647A0BC-B088-4E18-A5A4-81CCD33408DD}" name="Clothing and footwear"/>
    <tableColumn id="21" xr3:uid="{E4E0D83C-77F5-4786-9033-6AD908D10B0E}" name="Housing"/>
    <tableColumn id="22" xr3:uid="{110D288E-99A4-48BE-845F-19AD679663F2}" name="Fuel and light"/>
    <tableColumn id="23" xr3:uid="{B9FFF792-3E2B-4E24-9E98-B2CCA5BF3DD0}" name="Household goods and services"/>
    <tableColumn id="24" xr3:uid="{8868C026-368C-4A90-AD3F-4BCE0A73E3C0}" name="Health"/>
    <tableColumn id="25" xr3:uid="{5F91F4BD-43BA-4F56-B3D7-B67021AD78C6}" name="Transport and communication"/>
    <tableColumn id="26" xr3:uid="{206E89ED-6ACA-40C7-B12A-0675DD4819CA}" name="Recreation and amusement"/>
    <tableColumn id="27" xr3:uid="{A57A49C1-F6A7-4CBE-804B-C8C9C2C1956E}" name="Education"/>
    <tableColumn id="28" xr3:uid="{2F7D5ED6-D98F-4485-8174-E9EA7134003A}" name="Personal care and effects"/>
    <tableColumn id="29" xr3:uid="{61F76228-ECFD-40BF-B9DA-0955B4B20450}" name="Miscellaneous"/>
    <tableColumn id="30" xr3:uid="{B7C8B5AD-1F6C-41F1-887C-E85B1F69E300}" name="General index"/>
    <tableColumn id="31" xr3:uid="{10ECD130-989E-4319-A4C7-0087EACB51BB}" name="Month Year" dataDxfId="21">
      <calculatedColumnFormula>DATE(B2, MATCH(C2,{"January","February","March","April","May","June","July","August","September","October","November","December"}, 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EB0A2-E46B-4046-AFE7-E19B02B45B17}">
  <dimension ref="A1:AD373"/>
  <sheetViews>
    <sheetView topLeftCell="D1" workbookViewId="0">
      <selection activeCell="D1" sqref="D1"/>
    </sheetView>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4BA1-E8B7-4109-8C20-38B3DDD6F4BD}">
  <dimension ref="A1:C15"/>
  <sheetViews>
    <sheetView workbookViewId="0">
      <selection activeCell="A4" sqref="A4:C4"/>
      <pivotSelection pane="bottomRight" showHeader="1" extendable="1" max="12" activeRow="3" click="1" r:id="rId1">
        <pivotArea dataOnly="0" fieldPosition="0">
          <references count="1">
            <reference field="6" count="1">
              <x v="9"/>
            </reference>
          </references>
        </pivotArea>
      </pivotSelection>
    </sheetView>
  </sheetViews>
  <sheetFormatPr defaultRowHeight="14.4" x14ac:dyDescent="0.3"/>
  <cols>
    <col min="1" max="1" width="27.88671875" bestFit="1" customWidth="1"/>
    <col min="2" max="2" width="19.6640625" bestFit="1" customWidth="1"/>
    <col min="3" max="3" width="20.6640625" bestFit="1" customWidth="1"/>
  </cols>
  <sheetData>
    <row r="1" spans="1:3" x14ac:dyDescent="0.3">
      <c r="A1" s="7" t="s">
        <v>49</v>
      </c>
      <c r="B1" s="26">
        <v>45047</v>
      </c>
    </row>
    <row r="3" spans="1:3" x14ac:dyDescent="0.3">
      <c r="A3" s="7" t="s">
        <v>50</v>
      </c>
      <c r="B3" t="s">
        <v>108</v>
      </c>
      <c r="C3" t="s">
        <v>109</v>
      </c>
    </row>
    <row r="4" spans="1:3" x14ac:dyDescent="0.3">
      <c r="A4" s="8" t="s">
        <v>25</v>
      </c>
      <c r="B4" s="32">
        <v>1.041364296081277</v>
      </c>
      <c r="C4" s="85">
        <v>186.54999999999998</v>
      </c>
    </row>
    <row r="5" spans="1:3" x14ac:dyDescent="0.3">
      <c r="A5" s="8" t="s">
        <v>23</v>
      </c>
      <c r="B5" s="32">
        <v>1.0340143649287337</v>
      </c>
      <c r="C5" s="85">
        <v>185.23333333333335</v>
      </c>
    </row>
    <row r="6" spans="1:3" x14ac:dyDescent="0.3">
      <c r="A6" s="8" t="s">
        <v>19</v>
      </c>
      <c r="B6" s="32">
        <v>1.0245245804026646</v>
      </c>
      <c r="C6" s="85">
        <v>183.53333333333336</v>
      </c>
    </row>
    <row r="7" spans="1:3" x14ac:dyDescent="0.3">
      <c r="A7" s="8" t="s">
        <v>21</v>
      </c>
      <c r="B7" s="32">
        <v>1.0209891704811878</v>
      </c>
      <c r="C7" s="85">
        <v>182.9</v>
      </c>
    </row>
    <row r="8" spans="1:3" x14ac:dyDescent="0.3">
      <c r="A8" s="8" t="s">
        <v>106</v>
      </c>
      <c r="B8" s="32">
        <v>1.0055450113505264</v>
      </c>
      <c r="C8" s="85">
        <v>180.13333333333333</v>
      </c>
    </row>
    <row r="9" spans="1:3" x14ac:dyDescent="0.3">
      <c r="A9" s="8" t="s">
        <v>29</v>
      </c>
      <c r="B9" s="32">
        <v>0.99940456253954046</v>
      </c>
      <c r="C9" s="85">
        <v>179.0333333333333</v>
      </c>
    </row>
    <row r="10" spans="1:3" x14ac:dyDescent="0.3">
      <c r="A10" s="8" t="s">
        <v>105</v>
      </c>
      <c r="B10" s="32">
        <v>0.99230511589560366</v>
      </c>
      <c r="C10" s="85">
        <v>177.76153846153846</v>
      </c>
    </row>
    <row r="11" spans="1:3" x14ac:dyDescent="0.3">
      <c r="A11" s="8" t="s">
        <v>26</v>
      </c>
      <c r="B11" s="32">
        <v>0.99028692642625871</v>
      </c>
      <c r="C11" s="85">
        <v>177.4</v>
      </c>
    </row>
    <row r="12" spans="1:3" x14ac:dyDescent="0.3">
      <c r="A12" s="8" t="s">
        <v>28</v>
      </c>
      <c r="B12" s="32">
        <v>0.98023891928100915</v>
      </c>
      <c r="C12" s="85">
        <v>175.6</v>
      </c>
    </row>
    <row r="13" spans="1:3" x14ac:dyDescent="0.3">
      <c r="A13" s="8" t="s">
        <v>20</v>
      </c>
      <c r="B13" s="32">
        <v>0.98023891928100915</v>
      </c>
      <c r="C13" s="85">
        <v>175.6</v>
      </c>
    </row>
    <row r="14" spans="1:3" x14ac:dyDescent="0.3">
      <c r="A14" s="8" t="s">
        <v>24</v>
      </c>
      <c r="B14" s="32">
        <v>0.92088124744147959</v>
      </c>
      <c r="C14" s="85">
        <v>164.96666666666667</v>
      </c>
    </row>
    <row r="15" spans="1:3" x14ac:dyDescent="0.3">
      <c r="A15" s="8" t="s">
        <v>51</v>
      </c>
      <c r="B15" s="32">
        <v>1</v>
      </c>
      <c r="C15">
        <v>179.14000000000001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3F6C-6AA6-4874-807E-F74757F3E01E}">
  <dimension ref="A1:G9817"/>
  <sheetViews>
    <sheetView workbookViewId="0">
      <selection activeCell="E2" sqref="E2"/>
    </sheetView>
  </sheetViews>
  <sheetFormatPr defaultRowHeight="14.4" x14ac:dyDescent="0.3"/>
  <cols>
    <col min="1" max="1" width="11.88671875" bestFit="1" customWidth="1"/>
    <col min="2" max="2" width="7.33203125" bestFit="1" customWidth="1"/>
    <col min="3" max="3" width="10.88671875" bestFit="1" customWidth="1"/>
    <col min="4" max="4" width="13.6640625" bestFit="1" customWidth="1"/>
    <col min="5" max="5" width="33.33203125" bestFit="1" customWidth="1"/>
    <col min="6" max="6" width="12" bestFit="1" customWidth="1"/>
    <col min="7" max="7" width="26.88671875" customWidth="1"/>
  </cols>
  <sheetData>
    <row r="1" spans="1:7" x14ac:dyDescent="0.3">
      <c r="A1" t="s">
        <v>0</v>
      </c>
      <c r="B1" t="s">
        <v>1</v>
      </c>
      <c r="C1" t="s">
        <v>2</v>
      </c>
      <c r="D1" t="s">
        <v>49</v>
      </c>
      <c r="E1" t="s">
        <v>103</v>
      </c>
      <c r="F1" t="s">
        <v>104</v>
      </c>
      <c r="G1" t="s">
        <v>107</v>
      </c>
    </row>
    <row r="2" spans="1:7" x14ac:dyDescent="0.3">
      <c r="A2" t="s">
        <v>30</v>
      </c>
      <c r="B2">
        <v>2013</v>
      </c>
      <c r="C2" t="s">
        <v>31</v>
      </c>
      <c r="D2" s="2">
        <v>41275</v>
      </c>
      <c r="E2" t="s">
        <v>3</v>
      </c>
      <c r="F2">
        <v>107.5</v>
      </c>
      <c r="G2" t="str">
        <f>VLOOKUP(Table1_2[[#This Row],[Categories]],Sheet3!$A$1:$B$27,2,FALSE)</f>
        <v>Food &amp;Beverage</v>
      </c>
    </row>
    <row r="3" spans="1:7" x14ac:dyDescent="0.3">
      <c r="A3" t="s">
        <v>30</v>
      </c>
      <c r="B3">
        <v>2013</v>
      </c>
      <c r="C3" t="s">
        <v>31</v>
      </c>
      <c r="D3" s="2">
        <v>41275</v>
      </c>
      <c r="E3" t="s">
        <v>4</v>
      </c>
      <c r="F3">
        <v>106.3</v>
      </c>
      <c r="G3" t="str">
        <f>VLOOKUP(Table1_2[[#This Row],[Categories]],Sheet3!$A$1:$B$27,2,FALSE)</f>
        <v>Food &amp;Beverage</v>
      </c>
    </row>
    <row r="4" spans="1:7" x14ac:dyDescent="0.3">
      <c r="A4" t="s">
        <v>30</v>
      </c>
      <c r="B4">
        <v>2013</v>
      </c>
      <c r="C4" t="s">
        <v>31</v>
      </c>
      <c r="D4" s="2">
        <v>41275</v>
      </c>
      <c r="E4" t="s">
        <v>5</v>
      </c>
      <c r="F4">
        <v>108.1</v>
      </c>
      <c r="G4" t="str">
        <f>VLOOKUP(Table1_2[[#This Row],[Categories]],Sheet3!$A$1:$B$27,2,FALSE)</f>
        <v>Food &amp;Beverage</v>
      </c>
    </row>
    <row r="5" spans="1:7" x14ac:dyDescent="0.3">
      <c r="A5" t="s">
        <v>30</v>
      </c>
      <c r="B5">
        <v>2013</v>
      </c>
      <c r="C5" t="s">
        <v>31</v>
      </c>
      <c r="D5" s="2">
        <v>41275</v>
      </c>
      <c r="E5" t="s">
        <v>6</v>
      </c>
      <c r="F5">
        <v>104.9</v>
      </c>
      <c r="G5" t="str">
        <f>VLOOKUP(Table1_2[[#This Row],[Categories]],Sheet3!$A$1:$B$27,2,FALSE)</f>
        <v>Food &amp;Beverage</v>
      </c>
    </row>
    <row r="6" spans="1:7" x14ac:dyDescent="0.3">
      <c r="A6" t="s">
        <v>30</v>
      </c>
      <c r="B6">
        <v>2013</v>
      </c>
      <c r="C6" t="s">
        <v>31</v>
      </c>
      <c r="D6" s="2">
        <v>41275</v>
      </c>
      <c r="E6" t="s">
        <v>7</v>
      </c>
      <c r="F6">
        <v>106.1</v>
      </c>
      <c r="G6" t="str">
        <f>VLOOKUP(Table1_2[[#This Row],[Categories]],Sheet3!$A$1:$B$27,2,FALSE)</f>
        <v>Food &amp;Beverage</v>
      </c>
    </row>
    <row r="7" spans="1:7" x14ac:dyDescent="0.3">
      <c r="A7" t="s">
        <v>30</v>
      </c>
      <c r="B7">
        <v>2013</v>
      </c>
      <c r="C7" t="s">
        <v>31</v>
      </c>
      <c r="D7" s="2">
        <v>41275</v>
      </c>
      <c r="E7" t="s">
        <v>8</v>
      </c>
      <c r="F7">
        <v>103.9</v>
      </c>
      <c r="G7" t="str">
        <f>VLOOKUP(Table1_2[[#This Row],[Categories]],Sheet3!$A$1:$B$27,2,FALSE)</f>
        <v>Food &amp;Beverage</v>
      </c>
    </row>
    <row r="8" spans="1:7" x14ac:dyDescent="0.3">
      <c r="A8" t="s">
        <v>30</v>
      </c>
      <c r="B8">
        <v>2013</v>
      </c>
      <c r="C8" t="s">
        <v>31</v>
      </c>
      <c r="D8" s="2">
        <v>41275</v>
      </c>
      <c r="E8" t="s">
        <v>9</v>
      </c>
      <c r="F8">
        <v>101.9</v>
      </c>
      <c r="G8" t="str">
        <f>VLOOKUP(Table1_2[[#This Row],[Categories]],Sheet3!$A$1:$B$27,2,FALSE)</f>
        <v>Food &amp;Beverage</v>
      </c>
    </row>
    <row r="9" spans="1:7" x14ac:dyDescent="0.3">
      <c r="A9" t="s">
        <v>30</v>
      </c>
      <c r="B9">
        <v>2013</v>
      </c>
      <c r="C9" t="s">
        <v>31</v>
      </c>
      <c r="D9" s="2">
        <v>41275</v>
      </c>
      <c r="E9" t="s">
        <v>10</v>
      </c>
      <c r="F9">
        <v>106.1</v>
      </c>
      <c r="G9" t="str">
        <f>VLOOKUP(Table1_2[[#This Row],[Categories]],Sheet3!$A$1:$B$27,2,FALSE)</f>
        <v>Food &amp;Beverage</v>
      </c>
    </row>
    <row r="10" spans="1:7" x14ac:dyDescent="0.3">
      <c r="A10" t="s">
        <v>30</v>
      </c>
      <c r="B10">
        <v>2013</v>
      </c>
      <c r="C10" t="s">
        <v>31</v>
      </c>
      <c r="D10" s="2">
        <v>41275</v>
      </c>
      <c r="E10" t="s">
        <v>11</v>
      </c>
      <c r="F10">
        <v>106.8</v>
      </c>
      <c r="G10" t="str">
        <f>VLOOKUP(Table1_2[[#This Row],[Categories]],Sheet3!$A$1:$B$27,2,FALSE)</f>
        <v>Food &amp;Beverage</v>
      </c>
    </row>
    <row r="11" spans="1:7" x14ac:dyDescent="0.3">
      <c r="A11" t="s">
        <v>30</v>
      </c>
      <c r="B11">
        <v>2013</v>
      </c>
      <c r="C11" t="s">
        <v>31</v>
      </c>
      <c r="D11" s="2">
        <v>41275</v>
      </c>
      <c r="E11" t="s">
        <v>12</v>
      </c>
      <c r="F11">
        <v>103.1</v>
      </c>
      <c r="G11" t="str">
        <f>VLOOKUP(Table1_2[[#This Row],[Categories]],Sheet3!$A$1:$B$27,2,FALSE)</f>
        <v>Food &amp;Beverage</v>
      </c>
    </row>
    <row r="12" spans="1:7" x14ac:dyDescent="0.3">
      <c r="A12" t="s">
        <v>30</v>
      </c>
      <c r="B12">
        <v>2013</v>
      </c>
      <c r="C12" t="s">
        <v>31</v>
      </c>
      <c r="D12" s="2">
        <v>41275</v>
      </c>
      <c r="E12" t="s">
        <v>13</v>
      </c>
      <c r="F12">
        <v>104.8</v>
      </c>
      <c r="G12" t="str">
        <f>VLOOKUP(Table1_2[[#This Row],[Categories]],Sheet3!$A$1:$B$27,2,FALSE)</f>
        <v>Food &amp;Beverage</v>
      </c>
    </row>
    <row r="13" spans="1:7" x14ac:dyDescent="0.3">
      <c r="A13" t="s">
        <v>30</v>
      </c>
      <c r="B13">
        <v>2013</v>
      </c>
      <c r="C13" t="s">
        <v>31</v>
      </c>
      <c r="D13" s="2">
        <v>41275</v>
      </c>
      <c r="E13" t="s">
        <v>14</v>
      </c>
      <c r="F13">
        <v>106.7</v>
      </c>
      <c r="G13" t="str">
        <f>VLOOKUP(Table1_2[[#This Row],[Categories]],Sheet3!$A$1:$B$27,2,FALSE)</f>
        <v>Food &amp;Beverage</v>
      </c>
    </row>
    <row r="14" spans="1:7" x14ac:dyDescent="0.3">
      <c r="A14" t="s">
        <v>30</v>
      </c>
      <c r="B14">
        <v>2013</v>
      </c>
      <c r="C14" t="s">
        <v>31</v>
      </c>
      <c r="D14" s="2">
        <v>41275</v>
      </c>
      <c r="E14" t="s">
        <v>15</v>
      </c>
      <c r="F14">
        <v>105.5</v>
      </c>
      <c r="G14" t="str">
        <f>VLOOKUP(Table1_2[[#This Row],[Categories]],Sheet3!$A$1:$B$27,2,FALSE)</f>
        <v>Food &amp;Beverage</v>
      </c>
    </row>
    <row r="15" spans="1:7" x14ac:dyDescent="0.3">
      <c r="A15" t="s">
        <v>30</v>
      </c>
      <c r="B15">
        <v>2013</v>
      </c>
      <c r="C15" t="s">
        <v>31</v>
      </c>
      <c r="D15" s="2">
        <v>41275</v>
      </c>
      <c r="E15" t="s">
        <v>16</v>
      </c>
      <c r="F15">
        <v>105.1</v>
      </c>
      <c r="G15" t="str">
        <f>VLOOKUP(Table1_2[[#This Row],[Categories]],Sheet3!$A$1:$B$27,2,FALSE)</f>
        <v>Recreation and amusement</v>
      </c>
    </row>
    <row r="16" spans="1:7" x14ac:dyDescent="0.3">
      <c r="A16" t="s">
        <v>30</v>
      </c>
      <c r="B16">
        <v>2013</v>
      </c>
      <c r="C16" t="s">
        <v>31</v>
      </c>
      <c r="D16" s="2">
        <v>41275</v>
      </c>
      <c r="E16" t="s">
        <v>17</v>
      </c>
      <c r="F16">
        <v>106.5</v>
      </c>
      <c r="G16" t="str">
        <f>VLOOKUP(Table1_2[[#This Row],[Categories]],Sheet3!$A$1:$B$27,2,FALSE)</f>
        <v>Clothing and footwear</v>
      </c>
    </row>
    <row r="17" spans="1:7" x14ac:dyDescent="0.3">
      <c r="A17" t="s">
        <v>30</v>
      </c>
      <c r="B17">
        <v>2013</v>
      </c>
      <c r="C17" t="s">
        <v>31</v>
      </c>
      <c r="D17" s="2">
        <v>41275</v>
      </c>
      <c r="E17" t="s">
        <v>18</v>
      </c>
      <c r="F17">
        <v>105.8</v>
      </c>
      <c r="G17" t="str">
        <f>VLOOKUP(Table1_2[[#This Row],[Categories]],Sheet3!$A$1:$B$27,2,FALSE)</f>
        <v>Clothing and footwear</v>
      </c>
    </row>
    <row r="18" spans="1:7" x14ac:dyDescent="0.3">
      <c r="A18" t="s">
        <v>30</v>
      </c>
      <c r="B18">
        <v>2013</v>
      </c>
      <c r="C18" t="s">
        <v>31</v>
      </c>
      <c r="D18" s="2">
        <v>41275</v>
      </c>
      <c r="E18" t="s">
        <v>19</v>
      </c>
      <c r="F18">
        <v>106.4</v>
      </c>
      <c r="G18" t="str">
        <f>VLOOKUP(Table1_2[[#This Row],[Categories]],Sheet3!$A$1:$B$27,2,FALSE)</f>
        <v>Clothing and footwear</v>
      </c>
    </row>
    <row r="19" spans="1:7" x14ac:dyDescent="0.3">
      <c r="A19" t="s">
        <v>30</v>
      </c>
      <c r="B19">
        <v>2013</v>
      </c>
      <c r="C19" t="s">
        <v>31</v>
      </c>
      <c r="D19" s="2">
        <v>41275</v>
      </c>
      <c r="E19" t="s">
        <v>21</v>
      </c>
      <c r="F19">
        <v>105.5</v>
      </c>
      <c r="G19" t="str">
        <f>VLOOKUP(Table1_2[[#This Row],[Categories]],Sheet3!$A$1:$B$27,2,FALSE)</f>
        <v>Fuel and light</v>
      </c>
    </row>
    <row r="20" spans="1:7" x14ac:dyDescent="0.3">
      <c r="A20" t="s">
        <v>30</v>
      </c>
      <c r="B20">
        <v>2013</v>
      </c>
      <c r="C20" t="s">
        <v>31</v>
      </c>
      <c r="D20" s="2">
        <v>41275</v>
      </c>
      <c r="E20" t="s">
        <v>22</v>
      </c>
      <c r="F20">
        <v>104.8</v>
      </c>
      <c r="G20" t="str">
        <f>VLOOKUP(Table1_2[[#This Row],[Categories]],Sheet3!$A$1:$B$27,2,FALSE)</f>
        <v>Household Items</v>
      </c>
    </row>
    <row r="21" spans="1:7" x14ac:dyDescent="0.3">
      <c r="A21" t="s">
        <v>30</v>
      </c>
      <c r="B21">
        <v>2013</v>
      </c>
      <c r="C21" t="s">
        <v>31</v>
      </c>
      <c r="D21" s="2">
        <v>41275</v>
      </c>
      <c r="E21" t="s">
        <v>23</v>
      </c>
      <c r="F21">
        <v>104</v>
      </c>
      <c r="G21" t="str">
        <f>VLOOKUP(Table1_2[[#This Row],[Categories]],Sheet3!$A$1:$B$27,2,FALSE)</f>
        <v>Health</v>
      </c>
    </row>
    <row r="22" spans="1:7" x14ac:dyDescent="0.3">
      <c r="A22" t="s">
        <v>30</v>
      </c>
      <c r="B22">
        <v>2013</v>
      </c>
      <c r="C22" t="s">
        <v>31</v>
      </c>
      <c r="D22" s="2">
        <v>41275</v>
      </c>
      <c r="E22" t="s">
        <v>24</v>
      </c>
      <c r="F22">
        <v>103.3</v>
      </c>
      <c r="G22" t="str">
        <f>VLOOKUP(Table1_2[[#This Row],[Categories]],Sheet3!$A$1:$B$27,2,FALSE)</f>
        <v>Transport and communication</v>
      </c>
    </row>
    <row r="23" spans="1:7" x14ac:dyDescent="0.3">
      <c r="A23" t="s">
        <v>30</v>
      </c>
      <c r="B23">
        <v>2013</v>
      </c>
      <c r="C23" t="s">
        <v>31</v>
      </c>
      <c r="D23" s="2">
        <v>41275</v>
      </c>
      <c r="E23" t="s">
        <v>25</v>
      </c>
      <c r="F23">
        <v>103.4</v>
      </c>
      <c r="G23" t="str">
        <f>VLOOKUP(Table1_2[[#This Row],[Categories]],Sheet3!$A$1:$B$27,2,FALSE)</f>
        <v>Recreation and amusement</v>
      </c>
    </row>
    <row r="24" spans="1:7" x14ac:dyDescent="0.3">
      <c r="A24" t="s">
        <v>30</v>
      </c>
      <c r="B24">
        <v>2013</v>
      </c>
      <c r="C24" t="s">
        <v>31</v>
      </c>
      <c r="D24" s="2">
        <v>41275</v>
      </c>
      <c r="E24" t="s">
        <v>26</v>
      </c>
      <c r="F24">
        <v>103.8</v>
      </c>
      <c r="G24" t="str">
        <f>VLOOKUP(Table1_2[[#This Row],[Categories]],Sheet3!$A$1:$B$27,2,FALSE)</f>
        <v>Education</v>
      </c>
    </row>
    <row r="25" spans="1:7" x14ac:dyDescent="0.3">
      <c r="A25" t="s">
        <v>30</v>
      </c>
      <c r="B25">
        <v>2013</v>
      </c>
      <c r="C25" t="s">
        <v>31</v>
      </c>
      <c r="D25" s="2">
        <v>41275</v>
      </c>
      <c r="E25" t="s">
        <v>27</v>
      </c>
      <c r="F25">
        <v>104.7</v>
      </c>
      <c r="G25" t="str">
        <f>VLOOKUP(Table1_2[[#This Row],[Categories]],Sheet3!$A$1:$B$27,2,FALSE)</f>
        <v>Household Items</v>
      </c>
    </row>
    <row r="26" spans="1:7" x14ac:dyDescent="0.3">
      <c r="A26" t="s">
        <v>30</v>
      </c>
      <c r="B26">
        <v>2013</v>
      </c>
      <c r="C26" t="s">
        <v>31</v>
      </c>
      <c r="D26" s="2">
        <v>41275</v>
      </c>
      <c r="E26" t="s">
        <v>28</v>
      </c>
      <c r="F26">
        <v>104</v>
      </c>
      <c r="G26" t="str">
        <f>VLOOKUP(Table1_2[[#This Row],[Categories]],Sheet3!$A$1:$B$27,2,FALSE)</f>
        <v>Miscellaneous</v>
      </c>
    </row>
    <row r="27" spans="1:7" x14ac:dyDescent="0.3">
      <c r="A27" t="s">
        <v>30</v>
      </c>
      <c r="B27">
        <v>2013</v>
      </c>
      <c r="C27" t="s">
        <v>31</v>
      </c>
      <c r="D27" s="2">
        <v>41275</v>
      </c>
      <c r="E27" t="s">
        <v>29</v>
      </c>
      <c r="F27">
        <v>105.1</v>
      </c>
      <c r="G27" t="str">
        <f>VLOOKUP(Table1_2[[#This Row],[Categories]],Sheet3!$A$1:$B$27,2,FALSE)</f>
        <v>General index</v>
      </c>
    </row>
    <row r="28" spans="1:7" x14ac:dyDescent="0.3">
      <c r="A28" t="s">
        <v>33</v>
      </c>
      <c r="B28">
        <v>2013</v>
      </c>
      <c r="C28" t="s">
        <v>31</v>
      </c>
      <c r="D28" s="2">
        <v>41275</v>
      </c>
      <c r="E28" t="s">
        <v>3</v>
      </c>
      <c r="F28">
        <v>110.5</v>
      </c>
      <c r="G28" t="str">
        <f>VLOOKUP(Table1_2[[#This Row],[Categories]],Sheet3!$A$1:$B$27,2,FALSE)</f>
        <v>Food &amp;Beverage</v>
      </c>
    </row>
    <row r="29" spans="1:7" x14ac:dyDescent="0.3">
      <c r="A29" t="s">
        <v>33</v>
      </c>
      <c r="B29">
        <v>2013</v>
      </c>
      <c r="C29" t="s">
        <v>31</v>
      </c>
      <c r="D29" s="2">
        <v>41275</v>
      </c>
      <c r="E29" t="s">
        <v>4</v>
      </c>
      <c r="F29">
        <v>109.1</v>
      </c>
      <c r="G29" t="str">
        <f>VLOOKUP(Table1_2[[#This Row],[Categories]],Sheet3!$A$1:$B$27,2,FALSE)</f>
        <v>Food &amp;Beverage</v>
      </c>
    </row>
    <row r="30" spans="1:7" x14ac:dyDescent="0.3">
      <c r="A30" t="s">
        <v>33</v>
      </c>
      <c r="B30">
        <v>2013</v>
      </c>
      <c r="C30" t="s">
        <v>31</v>
      </c>
      <c r="D30" s="2">
        <v>41275</v>
      </c>
      <c r="E30" t="s">
        <v>5</v>
      </c>
      <c r="F30">
        <v>113</v>
      </c>
      <c r="G30" t="str">
        <f>VLOOKUP(Table1_2[[#This Row],[Categories]],Sheet3!$A$1:$B$27,2,FALSE)</f>
        <v>Food &amp;Beverage</v>
      </c>
    </row>
    <row r="31" spans="1:7" x14ac:dyDescent="0.3">
      <c r="A31" t="s">
        <v>33</v>
      </c>
      <c r="B31">
        <v>2013</v>
      </c>
      <c r="C31" t="s">
        <v>31</v>
      </c>
      <c r="D31" s="2">
        <v>41275</v>
      </c>
      <c r="E31" t="s">
        <v>6</v>
      </c>
      <c r="F31">
        <v>103.6</v>
      </c>
      <c r="G31" t="str">
        <f>VLOOKUP(Table1_2[[#This Row],[Categories]],Sheet3!$A$1:$B$27,2,FALSE)</f>
        <v>Food &amp;Beverage</v>
      </c>
    </row>
    <row r="32" spans="1:7" x14ac:dyDescent="0.3">
      <c r="A32" t="s">
        <v>33</v>
      </c>
      <c r="B32">
        <v>2013</v>
      </c>
      <c r="C32" t="s">
        <v>31</v>
      </c>
      <c r="D32" s="2">
        <v>41275</v>
      </c>
      <c r="E32" t="s">
        <v>7</v>
      </c>
      <c r="F32">
        <v>103.4</v>
      </c>
      <c r="G32" t="str">
        <f>VLOOKUP(Table1_2[[#This Row],[Categories]],Sheet3!$A$1:$B$27,2,FALSE)</f>
        <v>Food &amp;Beverage</v>
      </c>
    </row>
    <row r="33" spans="1:7" x14ac:dyDescent="0.3">
      <c r="A33" t="s">
        <v>33</v>
      </c>
      <c r="B33">
        <v>2013</v>
      </c>
      <c r="C33" t="s">
        <v>31</v>
      </c>
      <c r="D33" s="2">
        <v>41275</v>
      </c>
      <c r="E33" t="s">
        <v>8</v>
      </c>
      <c r="F33">
        <v>102.3</v>
      </c>
      <c r="G33" t="str">
        <f>VLOOKUP(Table1_2[[#This Row],[Categories]],Sheet3!$A$1:$B$27,2,FALSE)</f>
        <v>Food &amp;Beverage</v>
      </c>
    </row>
    <row r="34" spans="1:7" x14ac:dyDescent="0.3">
      <c r="A34" t="s">
        <v>33</v>
      </c>
      <c r="B34">
        <v>2013</v>
      </c>
      <c r="C34" t="s">
        <v>31</v>
      </c>
      <c r="D34" s="2">
        <v>41275</v>
      </c>
      <c r="E34" t="s">
        <v>9</v>
      </c>
      <c r="F34">
        <v>102.9</v>
      </c>
      <c r="G34" t="str">
        <f>VLOOKUP(Table1_2[[#This Row],[Categories]],Sheet3!$A$1:$B$27,2,FALSE)</f>
        <v>Food &amp;Beverage</v>
      </c>
    </row>
    <row r="35" spans="1:7" x14ac:dyDescent="0.3">
      <c r="A35" t="s">
        <v>33</v>
      </c>
      <c r="B35">
        <v>2013</v>
      </c>
      <c r="C35" t="s">
        <v>31</v>
      </c>
      <c r="D35" s="2">
        <v>41275</v>
      </c>
      <c r="E35" t="s">
        <v>10</v>
      </c>
      <c r="F35">
        <v>105.8</v>
      </c>
      <c r="G35" t="str">
        <f>VLOOKUP(Table1_2[[#This Row],[Categories]],Sheet3!$A$1:$B$27,2,FALSE)</f>
        <v>Food &amp;Beverage</v>
      </c>
    </row>
    <row r="36" spans="1:7" x14ac:dyDescent="0.3">
      <c r="A36" t="s">
        <v>33</v>
      </c>
      <c r="B36">
        <v>2013</v>
      </c>
      <c r="C36" t="s">
        <v>31</v>
      </c>
      <c r="D36" s="2">
        <v>41275</v>
      </c>
      <c r="E36" t="s">
        <v>11</v>
      </c>
      <c r="F36">
        <v>105.1</v>
      </c>
      <c r="G36" t="str">
        <f>VLOOKUP(Table1_2[[#This Row],[Categories]],Sheet3!$A$1:$B$27,2,FALSE)</f>
        <v>Food &amp;Beverage</v>
      </c>
    </row>
    <row r="37" spans="1:7" x14ac:dyDescent="0.3">
      <c r="A37" t="s">
        <v>33</v>
      </c>
      <c r="B37">
        <v>2013</v>
      </c>
      <c r="C37" t="s">
        <v>31</v>
      </c>
      <c r="D37" s="2">
        <v>41275</v>
      </c>
      <c r="E37" t="s">
        <v>12</v>
      </c>
      <c r="F37">
        <v>101.8</v>
      </c>
      <c r="G37" t="str">
        <f>VLOOKUP(Table1_2[[#This Row],[Categories]],Sheet3!$A$1:$B$27,2,FALSE)</f>
        <v>Food &amp;Beverage</v>
      </c>
    </row>
    <row r="38" spans="1:7" x14ac:dyDescent="0.3">
      <c r="A38" t="s">
        <v>33</v>
      </c>
      <c r="B38">
        <v>2013</v>
      </c>
      <c r="C38" t="s">
        <v>31</v>
      </c>
      <c r="D38" s="2">
        <v>41275</v>
      </c>
      <c r="E38" t="s">
        <v>13</v>
      </c>
      <c r="F38">
        <v>105.1</v>
      </c>
      <c r="G38" t="str">
        <f>VLOOKUP(Table1_2[[#This Row],[Categories]],Sheet3!$A$1:$B$27,2,FALSE)</f>
        <v>Food &amp;Beverage</v>
      </c>
    </row>
    <row r="39" spans="1:7" x14ac:dyDescent="0.3">
      <c r="A39" t="s">
        <v>33</v>
      </c>
      <c r="B39">
        <v>2013</v>
      </c>
      <c r="C39" t="s">
        <v>31</v>
      </c>
      <c r="D39" s="2">
        <v>41275</v>
      </c>
      <c r="E39" t="s">
        <v>14</v>
      </c>
      <c r="F39">
        <v>107.9</v>
      </c>
      <c r="G39" t="str">
        <f>VLOOKUP(Table1_2[[#This Row],[Categories]],Sheet3!$A$1:$B$27,2,FALSE)</f>
        <v>Food &amp;Beverage</v>
      </c>
    </row>
    <row r="40" spans="1:7" x14ac:dyDescent="0.3">
      <c r="A40" t="s">
        <v>33</v>
      </c>
      <c r="B40">
        <v>2013</v>
      </c>
      <c r="C40" t="s">
        <v>31</v>
      </c>
      <c r="D40" s="2">
        <v>41275</v>
      </c>
      <c r="E40" t="s">
        <v>15</v>
      </c>
      <c r="F40">
        <v>105.9</v>
      </c>
      <c r="G40" t="str">
        <f>VLOOKUP(Table1_2[[#This Row],[Categories]],Sheet3!$A$1:$B$27,2,FALSE)</f>
        <v>Food &amp;Beverage</v>
      </c>
    </row>
    <row r="41" spans="1:7" x14ac:dyDescent="0.3">
      <c r="A41" t="s">
        <v>33</v>
      </c>
      <c r="B41">
        <v>2013</v>
      </c>
      <c r="C41" t="s">
        <v>31</v>
      </c>
      <c r="D41" s="2">
        <v>41275</v>
      </c>
      <c r="E41" t="s">
        <v>16</v>
      </c>
      <c r="F41">
        <v>105.2</v>
      </c>
      <c r="G41" t="str">
        <f>VLOOKUP(Table1_2[[#This Row],[Categories]],Sheet3!$A$1:$B$27,2,FALSE)</f>
        <v>Recreation and amusement</v>
      </c>
    </row>
    <row r="42" spans="1:7" x14ac:dyDescent="0.3">
      <c r="A42" t="s">
        <v>33</v>
      </c>
      <c r="B42">
        <v>2013</v>
      </c>
      <c r="C42" t="s">
        <v>31</v>
      </c>
      <c r="D42" s="2">
        <v>41275</v>
      </c>
      <c r="E42" t="s">
        <v>17</v>
      </c>
      <c r="F42">
        <v>105.9</v>
      </c>
      <c r="G42" t="str">
        <f>VLOOKUP(Table1_2[[#This Row],[Categories]],Sheet3!$A$1:$B$27,2,FALSE)</f>
        <v>Clothing and footwear</v>
      </c>
    </row>
    <row r="43" spans="1:7" x14ac:dyDescent="0.3">
      <c r="A43" t="s">
        <v>33</v>
      </c>
      <c r="B43">
        <v>2013</v>
      </c>
      <c r="C43" t="s">
        <v>31</v>
      </c>
      <c r="D43" s="2">
        <v>41275</v>
      </c>
      <c r="E43" t="s">
        <v>18</v>
      </c>
      <c r="F43">
        <v>105</v>
      </c>
      <c r="G43" t="str">
        <f>VLOOKUP(Table1_2[[#This Row],[Categories]],Sheet3!$A$1:$B$27,2,FALSE)</f>
        <v>Clothing and footwear</v>
      </c>
    </row>
    <row r="44" spans="1:7" x14ac:dyDescent="0.3">
      <c r="A44" t="s">
        <v>33</v>
      </c>
      <c r="B44">
        <v>2013</v>
      </c>
      <c r="C44" t="s">
        <v>31</v>
      </c>
      <c r="D44" s="2">
        <v>41275</v>
      </c>
      <c r="E44" t="s">
        <v>19</v>
      </c>
      <c r="F44">
        <v>105.8</v>
      </c>
      <c r="G44" t="str">
        <f>VLOOKUP(Table1_2[[#This Row],[Categories]],Sheet3!$A$1:$B$27,2,FALSE)</f>
        <v>Clothing and footwear</v>
      </c>
    </row>
    <row r="45" spans="1:7" x14ac:dyDescent="0.3">
      <c r="A45" t="s">
        <v>33</v>
      </c>
      <c r="B45">
        <v>2013</v>
      </c>
      <c r="C45" t="s">
        <v>31</v>
      </c>
      <c r="D45" s="2">
        <v>41275</v>
      </c>
      <c r="E45" t="s">
        <v>20</v>
      </c>
      <c r="F45">
        <v>100.3</v>
      </c>
      <c r="G45" t="str">
        <f>VLOOKUP(Table1_2[[#This Row],[Categories]],Sheet3!$A$1:$B$27,2,FALSE)</f>
        <v>Housing</v>
      </c>
    </row>
    <row r="46" spans="1:7" x14ac:dyDescent="0.3">
      <c r="A46" t="s">
        <v>33</v>
      </c>
      <c r="B46">
        <v>2013</v>
      </c>
      <c r="C46" t="s">
        <v>31</v>
      </c>
      <c r="D46" s="2">
        <v>41275</v>
      </c>
      <c r="E46" t="s">
        <v>21</v>
      </c>
      <c r="F46">
        <v>105.4</v>
      </c>
      <c r="G46" t="str">
        <f>VLOOKUP(Table1_2[[#This Row],[Categories]],Sheet3!$A$1:$B$27,2,FALSE)</f>
        <v>Fuel and light</v>
      </c>
    </row>
    <row r="47" spans="1:7" x14ac:dyDescent="0.3">
      <c r="A47" t="s">
        <v>33</v>
      </c>
      <c r="B47">
        <v>2013</v>
      </c>
      <c r="C47" t="s">
        <v>31</v>
      </c>
      <c r="D47" s="2">
        <v>41275</v>
      </c>
      <c r="E47" t="s">
        <v>22</v>
      </c>
      <c r="F47">
        <v>104.8</v>
      </c>
      <c r="G47" t="str">
        <f>VLOOKUP(Table1_2[[#This Row],[Categories]],Sheet3!$A$1:$B$27,2,FALSE)</f>
        <v>Household Items</v>
      </c>
    </row>
    <row r="48" spans="1:7" x14ac:dyDescent="0.3">
      <c r="A48" t="s">
        <v>33</v>
      </c>
      <c r="B48">
        <v>2013</v>
      </c>
      <c r="C48" t="s">
        <v>31</v>
      </c>
      <c r="D48" s="2">
        <v>41275</v>
      </c>
      <c r="E48" t="s">
        <v>23</v>
      </c>
      <c r="F48">
        <v>104.1</v>
      </c>
      <c r="G48" t="str">
        <f>VLOOKUP(Table1_2[[#This Row],[Categories]],Sheet3!$A$1:$B$27,2,FALSE)</f>
        <v>Health</v>
      </c>
    </row>
    <row r="49" spans="1:7" x14ac:dyDescent="0.3">
      <c r="A49" t="s">
        <v>33</v>
      </c>
      <c r="B49">
        <v>2013</v>
      </c>
      <c r="C49" t="s">
        <v>31</v>
      </c>
      <c r="D49" s="2">
        <v>41275</v>
      </c>
      <c r="E49" t="s">
        <v>24</v>
      </c>
      <c r="F49">
        <v>103.2</v>
      </c>
      <c r="G49" t="str">
        <f>VLOOKUP(Table1_2[[#This Row],[Categories]],Sheet3!$A$1:$B$27,2,FALSE)</f>
        <v>Transport and communication</v>
      </c>
    </row>
    <row r="50" spans="1:7" x14ac:dyDescent="0.3">
      <c r="A50" t="s">
        <v>33</v>
      </c>
      <c r="B50">
        <v>2013</v>
      </c>
      <c r="C50" t="s">
        <v>31</v>
      </c>
      <c r="D50" s="2">
        <v>41275</v>
      </c>
      <c r="E50" t="s">
        <v>25</v>
      </c>
      <c r="F50">
        <v>102.9</v>
      </c>
      <c r="G50" t="str">
        <f>VLOOKUP(Table1_2[[#This Row],[Categories]],Sheet3!$A$1:$B$27,2,FALSE)</f>
        <v>Recreation and amusement</v>
      </c>
    </row>
    <row r="51" spans="1:7" x14ac:dyDescent="0.3">
      <c r="A51" t="s">
        <v>33</v>
      </c>
      <c r="B51">
        <v>2013</v>
      </c>
      <c r="C51" t="s">
        <v>31</v>
      </c>
      <c r="D51" s="2">
        <v>41275</v>
      </c>
      <c r="E51" t="s">
        <v>26</v>
      </c>
      <c r="F51">
        <v>103.5</v>
      </c>
      <c r="G51" t="str">
        <f>VLOOKUP(Table1_2[[#This Row],[Categories]],Sheet3!$A$1:$B$27,2,FALSE)</f>
        <v>Education</v>
      </c>
    </row>
    <row r="52" spans="1:7" x14ac:dyDescent="0.3">
      <c r="A52" t="s">
        <v>33</v>
      </c>
      <c r="B52">
        <v>2013</v>
      </c>
      <c r="C52" t="s">
        <v>31</v>
      </c>
      <c r="D52" s="2">
        <v>41275</v>
      </c>
      <c r="E52" t="s">
        <v>27</v>
      </c>
      <c r="F52">
        <v>104.3</v>
      </c>
      <c r="G52" t="str">
        <f>VLOOKUP(Table1_2[[#This Row],[Categories]],Sheet3!$A$1:$B$27,2,FALSE)</f>
        <v>Household Items</v>
      </c>
    </row>
    <row r="53" spans="1:7" x14ac:dyDescent="0.3">
      <c r="A53" t="s">
        <v>33</v>
      </c>
      <c r="B53">
        <v>2013</v>
      </c>
      <c r="C53" t="s">
        <v>31</v>
      </c>
      <c r="D53" s="2">
        <v>41275</v>
      </c>
      <c r="E53" t="s">
        <v>28</v>
      </c>
      <c r="F53">
        <v>103.7</v>
      </c>
      <c r="G53" t="str">
        <f>VLOOKUP(Table1_2[[#This Row],[Categories]],Sheet3!$A$1:$B$27,2,FALSE)</f>
        <v>Miscellaneous</v>
      </c>
    </row>
    <row r="54" spans="1:7" x14ac:dyDescent="0.3">
      <c r="A54" t="s">
        <v>33</v>
      </c>
      <c r="B54">
        <v>2013</v>
      </c>
      <c r="C54" t="s">
        <v>31</v>
      </c>
      <c r="D54" s="2">
        <v>41275</v>
      </c>
      <c r="E54" t="s">
        <v>29</v>
      </c>
      <c r="F54">
        <v>104</v>
      </c>
      <c r="G54" t="str">
        <f>VLOOKUP(Table1_2[[#This Row],[Categories]],Sheet3!$A$1:$B$27,2,FALSE)</f>
        <v>General index</v>
      </c>
    </row>
    <row r="55" spans="1:7" x14ac:dyDescent="0.3">
      <c r="A55" t="s">
        <v>34</v>
      </c>
      <c r="B55">
        <v>2013</v>
      </c>
      <c r="C55" t="s">
        <v>31</v>
      </c>
      <c r="D55" s="2">
        <v>41275</v>
      </c>
      <c r="E55" t="s">
        <v>3</v>
      </c>
      <c r="F55">
        <v>108.4</v>
      </c>
      <c r="G55" t="str">
        <f>VLOOKUP(Table1_2[[#This Row],[Categories]],Sheet3!$A$1:$B$27,2,FALSE)</f>
        <v>Food &amp;Beverage</v>
      </c>
    </row>
    <row r="56" spans="1:7" x14ac:dyDescent="0.3">
      <c r="A56" t="s">
        <v>34</v>
      </c>
      <c r="B56">
        <v>2013</v>
      </c>
      <c r="C56" t="s">
        <v>31</v>
      </c>
      <c r="D56" s="2">
        <v>41275</v>
      </c>
      <c r="E56" t="s">
        <v>4</v>
      </c>
      <c r="F56">
        <v>107.3</v>
      </c>
      <c r="G56" t="str">
        <f>VLOOKUP(Table1_2[[#This Row],[Categories]],Sheet3!$A$1:$B$27,2,FALSE)</f>
        <v>Food &amp;Beverage</v>
      </c>
    </row>
    <row r="57" spans="1:7" x14ac:dyDescent="0.3">
      <c r="A57" t="s">
        <v>34</v>
      </c>
      <c r="B57">
        <v>2013</v>
      </c>
      <c r="C57" t="s">
        <v>31</v>
      </c>
      <c r="D57" s="2">
        <v>41275</v>
      </c>
      <c r="E57" t="s">
        <v>5</v>
      </c>
      <c r="F57">
        <v>110</v>
      </c>
      <c r="G57" t="str">
        <f>VLOOKUP(Table1_2[[#This Row],[Categories]],Sheet3!$A$1:$B$27,2,FALSE)</f>
        <v>Food &amp;Beverage</v>
      </c>
    </row>
    <row r="58" spans="1:7" x14ac:dyDescent="0.3">
      <c r="A58" t="s">
        <v>34</v>
      </c>
      <c r="B58">
        <v>2013</v>
      </c>
      <c r="C58" t="s">
        <v>31</v>
      </c>
      <c r="D58" s="2">
        <v>41275</v>
      </c>
      <c r="E58" t="s">
        <v>6</v>
      </c>
      <c r="F58">
        <v>104.4</v>
      </c>
      <c r="G58" t="str">
        <f>VLOOKUP(Table1_2[[#This Row],[Categories]],Sheet3!$A$1:$B$27,2,FALSE)</f>
        <v>Food &amp;Beverage</v>
      </c>
    </row>
    <row r="59" spans="1:7" x14ac:dyDescent="0.3">
      <c r="A59" t="s">
        <v>34</v>
      </c>
      <c r="B59">
        <v>2013</v>
      </c>
      <c r="C59" t="s">
        <v>31</v>
      </c>
      <c r="D59" s="2">
        <v>41275</v>
      </c>
      <c r="E59" t="s">
        <v>7</v>
      </c>
      <c r="F59">
        <v>105.1</v>
      </c>
      <c r="G59" t="str">
        <f>VLOOKUP(Table1_2[[#This Row],[Categories]],Sheet3!$A$1:$B$27,2,FALSE)</f>
        <v>Food &amp;Beverage</v>
      </c>
    </row>
    <row r="60" spans="1:7" x14ac:dyDescent="0.3">
      <c r="A60" t="s">
        <v>34</v>
      </c>
      <c r="B60">
        <v>2013</v>
      </c>
      <c r="C60" t="s">
        <v>31</v>
      </c>
      <c r="D60" s="2">
        <v>41275</v>
      </c>
      <c r="E60" t="s">
        <v>8</v>
      </c>
      <c r="F60">
        <v>103.2</v>
      </c>
      <c r="G60" t="str">
        <f>VLOOKUP(Table1_2[[#This Row],[Categories]],Sheet3!$A$1:$B$27,2,FALSE)</f>
        <v>Food &amp;Beverage</v>
      </c>
    </row>
    <row r="61" spans="1:7" x14ac:dyDescent="0.3">
      <c r="A61" t="s">
        <v>34</v>
      </c>
      <c r="B61">
        <v>2013</v>
      </c>
      <c r="C61" t="s">
        <v>31</v>
      </c>
      <c r="D61" s="2">
        <v>41275</v>
      </c>
      <c r="E61" t="s">
        <v>9</v>
      </c>
      <c r="F61">
        <v>102.2</v>
      </c>
      <c r="G61" t="str">
        <f>VLOOKUP(Table1_2[[#This Row],[Categories]],Sheet3!$A$1:$B$27,2,FALSE)</f>
        <v>Food &amp;Beverage</v>
      </c>
    </row>
    <row r="62" spans="1:7" x14ac:dyDescent="0.3">
      <c r="A62" t="s">
        <v>34</v>
      </c>
      <c r="B62">
        <v>2013</v>
      </c>
      <c r="C62" t="s">
        <v>31</v>
      </c>
      <c r="D62" s="2">
        <v>41275</v>
      </c>
      <c r="E62" t="s">
        <v>10</v>
      </c>
      <c r="F62">
        <v>106</v>
      </c>
      <c r="G62" t="str">
        <f>VLOOKUP(Table1_2[[#This Row],[Categories]],Sheet3!$A$1:$B$27,2,FALSE)</f>
        <v>Food &amp;Beverage</v>
      </c>
    </row>
    <row r="63" spans="1:7" x14ac:dyDescent="0.3">
      <c r="A63" t="s">
        <v>34</v>
      </c>
      <c r="B63">
        <v>2013</v>
      </c>
      <c r="C63" t="s">
        <v>31</v>
      </c>
      <c r="D63" s="2">
        <v>41275</v>
      </c>
      <c r="E63" t="s">
        <v>11</v>
      </c>
      <c r="F63">
        <v>106.2</v>
      </c>
      <c r="G63" t="str">
        <f>VLOOKUP(Table1_2[[#This Row],[Categories]],Sheet3!$A$1:$B$27,2,FALSE)</f>
        <v>Food &amp;Beverage</v>
      </c>
    </row>
    <row r="64" spans="1:7" x14ac:dyDescent="0.3">
      <c r="A64" t="s">
        <v>34</v>
      </c>
      <c r="B64">
        <v>2013</v>
      </c>
      <c r="C64" t="s">
        <v>31</v>
      </c>
      <c r="D64" s="2">
        <v>41275</v>
      </c>
      <c r="E64" t="s">
        <v>12</v>
      </c>
      <c r="F64">
        <v>102.7</v>
      </c>
      <c r="G64" t="str">
        <f>VLOOKUP(Table1_2[[#This Row],[Categories]],Sheet3!$A$1:$B$27,2,FALSE)</f>
        <v>Food &amp;Beverage</v>
      </c>
    </row>
    <row r="65" spans="1:7" x14ac:dyDescent="0.3">
      <c r="A65" t="s">
        <v>34</v>
      </c>
      <c r="B65">
        <v>2013</v>
      </c>
      <c r="C65" t="s">
        <v>31</v>
      </c>
      <c r="D65" s="2">
        <v>41275</v>
      </c>
      <c r="E65" t="s">
        <v>13</v>
      </c>
      <c r="F65">
        <v>104.9</v>
      </c>
      <c r="G65" t="str">
        <f>VLOOKUP(Table1_2[[#This Row],[Categories]],Sheet3!$A$1:$B$27,2,FALSE)</f>
        <v>Food &amp;Beverage</v>
      </c>
    </row>
    <row r="66" spans="1:7" x14ac:dyDescent="0.3">
      <c r="A66" t="s">
        <v>34</v>
      </c>
      <c r="B66">
        <v>2013</v>
      </c>
      <c r="C66" t="s">
        <v>31</v>
      </c>
      <c r="D66" s="2">
        <v>41275</v>
      </c>
      <c r="E66" t="s">
        <v>14</v>
      </c>
      <c r="F66">
        <v>107.3</v>
      </c>
      <c r="G66" t="str">
        <f>VLOOKUP(Table1_2[[#This Row],[Categories]],Sheet3!$A$1:$B$27,2,FALSE)</f>
        <v>Food &amp;Beverage</v>
      </c>
    </row>
    <row r="67" spans="1:7" x14ac:dyDescent="0.3">
      <c r="A67" t="s">
        <v>34</v>
      </c>
      <c r="B67">
        <v>2013</v>
      </c>
      <c r="C67" t="s">
        <v>31</v>
      </c>
      <c r="D67" s="2">
        <v>41275</v>
      </c>
      <c r="E67" t="s">
        <v>15</v>
      </c>
      <c r="F67">
        <v>105.6</v>
      </c>
      <c r="G67" t="str">
        <f>VLOOKUP(Table1_2[[#This Row],[Categories]],Sheet3!$A$1:$B$27,2,FALSE)</f>
        <v>Food &amp;Beverage</v>
      </c>
    </row>
    <row r="68" spans="1:7" x14ac:dyDescent="0.3">
      <c r="A68" t="s">
        <v>34</v>
      </c>
      <c r="B68">
        <v>2013</v>
      </c>
      <c r="C68" t="s">
        <v>31</v>
      </c>
      <c r="D68" s="2">
        <v>41275</v>
      </c>
      <c r="E68" t="s">
        <v>16</v>
      </c>
      <c r="F68">
        <v>105.1</v>
      </c>
      <c r="G68" t="str">
        <f>VLOOKUP(Table1_2[[#This Row],[Categories]],Sheet3!$A$1:$B$27,2,FALSE)</f>
        <v>Recreation and amusement</v>
      </c>
    </row>
    <row r="69" spans="1:7" x14ac:dyDescent="0.3">
      <c r="A69" t="s">
        <v>34</v>
      </c>
      <c r="B69">
        <v>2013</v>
      </c>
      <c r="C69" t="s">
        <v>31</v>
      </c>
      <c r="D69" s="2">
        <v>41275</v>
      </c>
      <c r="E69" t="s">
        <v>17</v>
      </c>
      <c r="F69">
        <v>106.3</v>
      </c>
      <c r="G69" t="str">
        <f>VLOOKUP(Table1_2[[#This Row],[Categories]],Sheet3!$A$1:$B$27,2,FALSE)</f>
        <v>Clothing and footwear</v>
      </c>
    </row>
    <row r="70" spans="1:7" x14ac:dyDescent="0.3">
      <c r="A70" t="s">
        <v>34</v>
      </c>
      <c r="B70">
        <v>2013</v>
      </c>
      <c r="C70" t="s">
        <v>31</v>
      </c>
      <c r="D70" s="2">
        <v>41275</v>
      </c>
      <c r="E70" t="s">
        <v>18</v>
      </c>
      <c r="F70">
        <v>105.5</v>
      </c>
      <c r="G70" t="str">
        <f>VLOOKUP(Table1_2[[#This Row],[Categories]],Sheet3!$A$1:$B$27,2,FALSE)</f>
        <v>Clothing and footwear</v>
      </c>
    </row>
    <row r="71" spans="1:7" x14ac:dyDescent="0.3">
      <c r="A71" t="s">
        <v>34</v>
      </c>
      <c r="B71">
        <v>2013</v>
      </c>
      <c r="C71" t="s">
        <v>31</v>
      </c>
      <c r="D71" s="2">
        <v>41275</v>
      </c>
      <c r="E71" t="s">
        <v>19</v>
      </c>
      <c r="F71">
        <v>106.2</v>
      </c>
      <c r="G71" t="str">
        <f>VLOOKUP(Table1_2[[#This Row],[Categories]],Sheet3!$A$1:$B$27,2,FALSE)</f>
        <v>Clothing and footwear</v>
      </c>
    </row>
    <row r="72" spans="1:7" x14ac:dyDescent="0.3">
      <c r="A72" t="s">
        <v>34</v>
      </c>
      <c r="B72">
        <v>2013</v>
      </c>
      <c r="C72" t="s">
        <v>31</v>
      </c>
      <c r="D72" s="2">
        <v>41275</v>
      </c>
      <c r="E72" t="s">
        <v>20</v>
      </c>
      <c r="F72">
        <v>100.3</v>
      </c>
      <c r="G72" t="str">
        <f>VLOOKUP(Table1_2[[#This Row],[Categories]],Sheet3!$A$1:$B$27,2,FALSE)</f>
        <v>Housing</v>
      </c>
    </row>
    <row r="73" spans="1:7" x14ac:dyDescent="0.3">
      <c r="A73" t="s">
        <v>34</v>
      </c>
      <c r="B73">
        <v>2013</v>
      </c>
      <c r="C73" t="s">
        <v>31</v>
      </c>
      <c r="D73" s="2">
        <v>41275</v>
      </c>
      <c r="E73" t="s">
        <v>21</v>
      </c>
      <c r="F73">
        <v>105.5</v>
      </c>
      <c r="G73" t="str">
        <f>VLOOKUP(Table1_2[[#This Row],[Categories]],Sheet3!$A$1:$B$27,2,FALSE)</f>
        <v>Fuel and light</v>
      </c>
    </row>
    <row r="74" spans="1:7" x14ac:dyDescent="0.3">
      <c r="A74" t="s">
        <v>34</v>
      </c>
      <c r="B74">
        <v>2013</v>
      </c>
      <c r="C74" t="s">
        <v>31</v>
      </c>
      <c r="D74" s="2">
        <v>41275</v>
      </c>
      <c r="E74" t="s">
        <v>22</v>
      </c>
      <c r="F74">
        <v>104.8</v>
      </c>
      <c r="G74" t="str">
        <f>VLOOKUP(Table1_2[[#This Row],[Categories]],Sheet3!$A$1:$B$27,2,FALSE)</f>
        <v>Household Items</v>
      </c>
    </row>
    <row r="75" spans="1:7" x14ac:dyDescent="0.3">
      <c r="A75" t="s">
        <v>34</v>
      </c>
      <c r="B75">
        <v>2013</v>
      </c>
      <c r="C75" t="s">
        <v>31</v>
      </c>
      <c r="D75" s="2">
        <v>41275</v>
      </c>
      <c r="E75" t="s">
        <v>23</v>
      </c>
      <c r="F75">
        <v>104</v>
      </c>
      <c r="G75" t="str">
        <f>VLOOKUP(Table1_2[[#This Row],[Categories]],Sheet3!$A$1:$B$27,2,FALSE)</f>
        <v>Health</v>
      </c>
    </row>
    <row r="76" spans="1:7" x14ac:dyDescent="0.3">
      <c r="A76" t="s">
        <v>34</v>
      </c>
      <c r="B76">
        <v>2013</v>
      </c>
      <c r="C76" t="s">
        <v>31</v>
      </c>
      <c r="D76" s="2">
        <v>41275</v>
      </c>
      <c r="E76" t="s">
        <v>24</v>
      </c>
      <c r="F76">
        <v>103.2</v>
      </c>
      <c r="G76" t="str">
        <f>VLOOKUP(Table1_2[[#This Row],[Categories]],Sheet3!$A$1:$B$27,2,FALSE)</f>
        <v>Transport and communication</v>
      </c>
    </row>
    <row r="77" spans="1:7" x14ac:dyDescent="0.3">
      <c r="A77" t="s">
        <v>34</v>
      </c>
      <c r="B77">
        <v>2013</v>
      </c>
      <c r="C77" t="s">
        <v>31</v>
      </c>
      <c r="D77" s="2">
        <v>41275</v>
      </c>
      <c r="E77" t="s">
        <v>25</v>
      </c>
      <c r="F77">
        <v>103.1</v>
      </c>
      <c r="G77" t="str">
        <f>VLOOKUP(Table1_2[[#This Row],[Categories]],Sheet3!$A$1:$B$27,2,FALSE)</f>
        <v>Recreation and amusement</v>
      </c>
    </row>
    <row r="78" spans="1:7" x14ac:dyDescent="0.3">
      <c r="A78" t="s">
        <v>34</v>
      </c>
      <c r="B78">
        <v>2013</v>
      </c>
      <c r="C78" t="s">
        <v>31</v>
      </c>
      <c r="D78" s="2">
        <v>41275</v>
      </c>
      <c r="E78" t="s">
        <v>26</v>
      </c>
      <c r="F78">
        <v>103.6</v>
      </c>
      <c r="G78" t="str">
        <f>VLOOKUP(Table1_2[[#This Row],[Categories]],Sheet3!$A$1:$B$27,2,FALSE)</f>
        <v>Education</v>
      </c>
    </row>
    <row r="79" spans="1:7" x14ac:dyDescent="0.3">
      <c r="A79" t="s">
        <v>34</v>
      </c>
      <c r="B79">
        <v>2013</v>
      </c>
      <c r="C79" t="s">
        <v>31</v>
      </c>
      <c r="D79" s="2">
        <v>41275</v>
      </c>
      <c r="E79" t="s">
        <v>27</v>
      </c>
      <c r="F79">
        <v>104.5</v>
      </c>
      <c r="G79" t="str">
        <f>VLOOKUP(Table1_2[[#This Row],[Categories]],Sheet3!$A$1:$B$27,2,FALSE)</f>
        <v>Household Items</v>
      </c>
    </row>
    <row r="80" spans="1:7" x14ac:dyDescent="0.3">
      <c r="A80" t="s">
        <v>34</v>
      </c>
      <c r="B80">
        <v>2013</v>
      </c>
      <c r="C80" t="s">
        <v>31</v>
      </c>
      <c r="D80" s="2">
        <v>41275</v>
      </c>
      <c r="E80" t="s">
        <v>28</v>
      </c>
      <c r="F80">
        <v>103.9</v>
      </c>
      <c r="G80" t="str">
        <f>VLOOKUP(Table1_2[[#This Row],[Categories]],Sheet3!$A$1:$B$27,2,FALSE)</f>
        <v>Miscellaneous</v>
      </c>
    </row>
    <row r="81" spans="1:7" x14ac:dyDescent="0.3">
      <c r="A81" t="s">
        <v>34</v>
      </c>
      <c r="B81">
        <v>2013</v>
      </c>
      <c r="C81" t="s">
        <v>31</v>
      </c>
      <c r="D81" s="2">
        <v>41275</v>
      </c>
      <c r="E81" t="s">
        <v>29</v>
      </c>
      <c r="F81">
        <v>104.6</v>
      </c>
      <c r="G81" t="str">
        <f>VLOOKUP(Table1_2[[#This Row],[Categories]],Sheet3!$A$1:$B$27,2,FALSE)</f>
        <v>General index</v>
      </c>
    </row>
    <row r="82" spans="1:7" x14ac:dyDescent="0.3">
      <c r="A82" t="s">
        <v>30</v>
      </c>
      <c r="B82">
        <v>2013</v>
      </c>
      <c r="C82" t="s">
        <v>35</v>
      </c>
      <c r="D82" s="2">
        <v>41306</v>
      </c>
      <c r="E82" t="s">
        <v>3</v>
      </c>
      <c r="F82">
        <v>109.2</v>
      </c>
      <c r="G82" t="str">
        <f>VLOOKUP(Table1_2[[#This Row],[Categories]],Sheet3!$A$1:$B$27,2,FALSE)</f>
        <v>Food &amp;Beverage</v>
      </c>
    </row>
    <row r="83" spans="1:7" x14ac:dyDescent="0.3">
      <c r="A83" t="s">
        <v>30</v>
      </c>
      <c r="B83">
        <v>2013</v>
      </c>
      <c r="C83" t="s">
        <v>35</v>
      </c>
      <c r="D83" s="2">
        <v>41306</v>
      </c>
      <c r="E83" t="s">
        <v>4</v>
      </c>
      <c r="F83">
        <v>108.7</v>
      </c>
      <c r="G83" t="str">
        <f>VLOOKUP(Table1_2[[#This Row],[Categories]],Sheet3!$A$1:$B$27,2,FALSE)</f>
        <v>Food &amp;Beverage</v>
      </c>
    </row>
    <row r="84" spans="1:7" x14ac:dyDescent="0.3">
      <c r="A84" t="s">
        <v>30</v>
      </c>
      <c r="B84">
        <v>2013</v>
      </c>
      <c r="C84" t="s">
        <v>35</v>
      </c>
      <c r="D84" s="2">
        <v>41306</v>
      </c>
      <c r="E84" t="s">
        <v>5</v>
      </c>
      <c r="F84">
        <v>110.2</v>
      </c>
      <c r="G84" t="str">
        <f>VLOOKUP(Table1_2[[#This Row],[Categories]],Sheet3!$A$1:$B$27,2,FALSE)</f>
        <v>Food &amp;Beverage</v>
      </c>
    </row>
    <row r="85" spans="1:7" x14ac:dyDescent="0.3">
      <c r="A85" t="s">
        <v>30</v>
      </c>
      <c r="B85">
        <v>2013</v>
      </c>
      <c r="C85" t="s">
        <v>35</v>
      </c>
      <c r="D85" s="2">
        <v>41306</v>
      </c>
      <c r="E85" t="s">
        <v>6</v>
      </c>
      <c r="F85">
        <v>105.4</v>
      </c>
      <c r="G85" t="str">
        <f>VLOOKUP(Table1_2[[#This Row],[Categories]],Sheet3!$A$1:$B$27,2,FALSE)</f>
        <v>Food &amp;Beverage</v>
      </c>
    </row>
    <row r="86" spans="1:7" x14ac:dyDescent="0.3">
      <c r="A86" t="s">
        <v>30</v>
      </c>
      <c r="B86">
        <v>2013</v>
      </c>
      <c r="C86" t="s">
        <v>35</v>
      </c>
      <c r="D86" s="2">
        <v>41306</v>
      </c>
      <c r="E86" t="s">
        <v>7</v>
      </c>
      <c r="F86">
        <v>106.7</v>
      </c>
      <c r="G86" t="str">
        <f>VLOOKUP(Table1_2[[#This Row],[Categories]],Sheet3!$A$1:$B$27,2,FALSE)</f>
        <v>Food &amp;Beverage</v>
      </c>
    </row>
    <row r="87" spans="1:7" x14ac:dyDescent="0.3">
      <c r="A87" t="s">
        <v>30</v>
      </c>
      <c r="B87">
        <v>2013</v>
      </c>
      <c r="C87" t="s">
        <v>35</v>
      </c>
      <c r="D87" s="2">
        <v>41306</v>
      </c>
      <c r="E87" t="s">
        <v>8</v>
      </c>
      <c r="F87">
        <v>104</v>
      </c>
      <c r="G87" t="str">
        <f>VLOOKUP(Table1_2[[#This Row],[Categories]],Sheet3!$A$1:$B$27,2,FALSE)</f>
        <v>Food &amp;Beverage</v>
      </c>
    </row>
    <row r="88" spans="1:7" x14ac:dyDescent="0.3">
      <c r="A88" t="s">
        <v>30</v>
      </c>
      <c r="B88">
        <v>2013</v>
      </c>
      <c r="C88" t="s">
        <v>35</v>
      </c>
      <c r="D88" s="2">
        <v>41306</v>
      </c>
      <c r="E88" t="s">
        <v>9</v>
      </c>
      <c r="F88">
        <v>102.4</v>
      </c>
      <c r="G88" t="str">
        <f>VLOOKUP(Table1_2[[#This Row],[Categories]],Sheet3!$A$1:$B$27,2,FALSE)</f>
        <v>Food &amp;Beverage</v>
      </c>
    </row>
    <row r="89" spans="1:7" x14ac:dyDescent="0.3">
      <c r="A89" t="s">
        <v>30</v>
      </c>
      <c r="B89">
        <v>2013</v>
      </c>
      <c r="C89" t="s">
        <v>35</v>
      </c>
      <c r="D89" s="2">
        <v>41306</v>
      </c>
      <c r="E89" t="s">
        <v>10</v>
      </c>
      <c r="F89">
        <v>105.9</v>
      </c>
      <c r="G89" t="str">
        <f>VLOOKUP(Table1_2[[#This Row],[Categories]],Sheet3!$A$1:$B$27,2,FALSE)</f>
        <v>Food &amp;Beverage</v>
      </c>
    </row>
    <row r="90" spans="1:7" x14ac:dyDescent="0.3">
      <c r="A90" t="s">
        <v>30</v>
      </c>
      <c r="B90">
        <v>2013</v>
      </c>
      <c r="C90" t="s">
        <v>35</v>
      </c>
      <c r="D90" s="2">
        <v>41306</v>
      </c>
      <c r="E90" t="s">
        <v>11</v>
      </c>
      <c r="F90">
        <v>105.7</v>
      </c>
      <c r="G90" t="str">
        <f>VLOOKUP(Table1_2[[#This Row],[Categories]],Sheet3!$A$1:$B$27,2,FALSE)</f>
        <v>Food &amp;Beverage</v>
      </c>
    </row>
    <row r="91" spans="1:7" x14ac:dyDescent="0.3">
      <c r="A91" t="s">
        <v>30</v>
      </c>
      <c r="B91">
        <v>2013</v>
      </c>
      <c r="C91" t="s">
        <v>35</v>
      </c>
      <c r="D91" s="2">
        <v>41306</v>
      </c>
      <c r="E91" t="s">
        <v>12</v>
      </c>
      <c r="F91">
        <v>103.1</v>
      </c>
      <c r="G91" t="str">
        <f>VLOOKUP(Table1_2[[#This Row],[Categories]],Sheet3!$A$1:$B$27,2,FALSE)</f>
        <v>Food &amp;Beverage</v>
      </c>
    </row>
    <row r="92" spans="1:7" x14ac:dyDescent="0.3">
      <c r="A92" t="s">
        <v>30</v>
      </c>
      <c r="B92">
        <v>2013</v>
      </c>
      <c r="C92" t="s">
        <v>35</v>
      </c>
      <c r="D92" s="2">
        <v>41306</v>
      </c>
      <c r="E92" t="s">
        <v>13</v>
      </c>
      <c r="F92">
        <v>105.1</v>
      </c>
      <c r="G92" t="str">
        <f>VLOOKUP(Table1_2[[#This Row],[Categories]],Sheet3!$A$1:$B$27,2,FALSE)</f>
        <v>Food &amp;Beverage</v>
      </c>
    </row>
    <row r="93" spans="1:7" x14ac:dyDescent="0.3">
      <c r="A93" t="s">
        <v>30</v>
      </c>
      <c r="B93">
        <v>2013</v>
      </c>
      <c r="C93" t="s">
        <v>35</v>
      </c>
      <c r="D93" s="2">
        <v>41306</v>
      </c>
      <c r="E93" t="s">
        <v>14</v>
      </c>
      <c r="F93">
        <v>107.7</v>
      </c>
      <c r="G93" t="str">
        <f>VLOOKUP(Table1_2[[#This Row],[Categories]],Sheet3!$A$1:$B$27,2,FALSE)</f>
        <v>Food &amp;Beverage</v>
      </c>
    </row>
    <row r="94" spans="1:7" x14ac:dyDescent="0.3">
      <c r="A94" t="s">
        <v>30</v>
      </c>
      <c r="B94">
        <v>2013</v>
      </c>
      <c r="C94" t="s">
        <v>35</v>
      </c>
      <c r="D94" s="2">
        <v>41306</v>
      </c>
      <c r="E94" t="s">
        <v>15</v>
      </c>
      <c r="F94">
        <v>106.3</v>
      </c>
      <c r="G94" t="str">
        <f>VLOOKUP(Table1_2[[#This Row],[Categories]],Sheet3!$A$1:$B$27,2,FALSE)</f>
        <v>Food &amp;Beverage</v>
      </c>
    </row>
    <row r="95" spans="1:7" x14ac:dyDescent="0.3">
      <c r="A95" t="s">
        <v>30</v>
      </c>
      <c r="B95">
        <v>2013</v>
      </c>
      <c r="C95" t="s">
        <v>35</v>
      </c>
      <c r="D95" s="2">
        <v>41306</v>
      </c>
      <c r="E95" t="s">
        <v>16</v>
      </c>
      <c r="F95">
        <v>105.6</v>
      </c>
      <c r="G95" t="str">
        <f>VLOOKUP(Table1_2[[#This Row],[Categories]],Sheet3!$A$1:$B$27,2,FALSE)</f>
        <v>Recreation and amusement</v>
      </c>
    </row>
    <row r="96" spans="1:7" x14ac:dyDescent="0.3">
      <c r="A96" t="s">
        <v>30</v>
      </c>
      <c r="B96">
        <v>2013</v>
      </c>
      <c r="C96" t="s">
        <v>35</v>
      </c>
      <c r="D96" s="2">
        <v>41306</v>
      </c>
      <c r="E96" t="s">
        <v>17</v>
      </c>
      <c r="F96">
        <v>107.1</v>
      </c>
      <c r="G96" t="str">
        <f>VLOOKUP(Table1_2[[#This Row],[Categories]],Sheet3!$A$1:$B$27,2,FALSE)</f>
        <v>Clothing and footwear</v>
      </c>
    </row>
    <row r="97" spans="1:7" x14ac:dyDescent="0.3">
      <c r="A97" t="s">
        <v>30</v>
      </c>
      <c r="B97">
        <v>2013</v>
      </c>
      <c r="C97" t="s">
        <v>35</v>
      </c>
      <c r="D97" s="2">
        <v>41306</v>
      </c>
      <c r="E97" t="s">
        <v>18</v>
      </c>
      <c r="F97">
        <v>106.3</v>
      </c>
      <c r="G97" t="str">
        <f>VLOOKUP(Table1_2[[#This Row],[Categories]],Sheet3!$A$1:$B$27,2,FALSE)</f>
        <v>Clothing and footwear</v>
      </c>
    </row>
    <row r="98" spans="1:7" x14ac:dyDescent="0.3">
      <c r="A98" t="s">
        <v>30</v>
      </c>
      <c r="B98">
        <v>2013</v>
      </c>
      <c r="C98" t="s">
        <v>35</v>
      </c>
      <c r="D98" s="2">
        <v>41306</v>
      </c>
      <c r="E98" t="s">
        <v>19</v>
      </c>
      <c r="F98">
        <v>107</v>
      </c>
      <c r="G98" t="str">
        <f>VLOOKUP(Table1_2[[#This Row],[Categories]],Sheet3!$A$1:$B$27,2,FALSE)</f>
        <v>Clothing and footwear</v>
      </c>
    </row>
    <row r="99" spans="1:7" x14ac:dyDescent="0.3">
      <c r="A99" t="s">
        <v>30</v>
      </c>
      <c r="B99">
        <v>2013</v>
      </c>
      <c r="C99" t="s">
        <v>35</v>
      </c>
      <c r="D99" s="2">
        <v>41306</v>
      </c>
      <c r="E99" t="s">
        <v>21</v>
      </c>
      <c r="F99">
        <v>106.2</v>
      </c>
      <c r="G99" t="str">
        <f>VLOOKUP(Table1_2[[#This Row],[Categories]],Sheet3!$A$1:$B$27,2,FALSE)</f>
        <v>Fuel and light</v>
      </c>
    </row>
    <row r="100" spans="1:7" x14ac:dyDescent="0.3">
      <c r="A100" t="s">
        <v>30</v>
      </c>
      <c r="B100">
        <v>2013</v>
      </c>
      <c r="C100" t="s">
        <v>35</v>
      </c>
      <c r="D100" s="2">
        <v>41306</v>
      </c>
      <c r="E100" t="s">
        <v>22</v>
      </c>
      <c r="F100">
        <v>105.2</v>
      </c>
      <c r="G100" t="str">
        <f>VLOOKUP(Table1_2[[#This Row],[Categories]],Sheet3!$A$1:$B$27,2,FALSE)</f>
        <v>Household Items</v>
      </c>
    </row>
    <row r="101" spans="1:7" x14ac:dyDescent="0.3">
      <c r="A101" t="s">
        <v>30</v>
      </c>
      <c r="B101">
        <v>2013</v>
      </c>
      <c r="C101" t="s">
        <v>35</v>
      </c>
      <c r="D101" s="2">
        <v>41306</v>
      </c>
      <c r="E101" t="s">
        <v>23</v>
      </c>
      <c r="F101">
        <v>104.4</v>
      </c>
      <c r="G101" t="str">
        <f>VLOOKUP(Table1_2[[#This Row],[Categories]],Sheet3!$A$1:$B$27,2,FALSE)</f>
        <v>Health</v>
      </c>
    </row>
    <row r="102" spans="1:7" x14ac:dyDescent="0.3">
      <c r="A102" t="s">
        <v>30</v>
      </c>
      <c r="B102">
        <v>2013</v>
      </c>
      <c r="C102" t="s">
        <v>35</v>
      </c>
      <c r="D102" s="2">
        <v>41306</v>
      </c>
      <c r="E102" t="s">
        <v>24</v>
      </c>
      <c r="F102">
        <v>103.9</v>
      </c>
      <c r="G102" t="str">
        <f>VLOOKUP(Table1_2[[#This Row],[Categories]],Sheet3!$A$1:$B$27,2,FALSE)</f>
        <v>Transport and communication</v>
      </c>
    </row>
    <row r="103" spans="1:7" x14ac:dyDescent="0.3">
      <c r="A103" t="s">
        <v>30</v>
      </c>
      <c r="B103">
        <v>2013</v>
      </c>
      <c r="C103" t="s">
        <v>35</v>
      </c>
      <c r="D103" s="2">
        <v>41306</v>
      </c>
      <c r="E103" t="s">
        <v>25</v>
      </c>
      <c r="F103">
        <v>104</v>
      </c>
      <c r="G103" t="str">
        <f>VLOOKUP(Table1_2[[#This Row],[Categories]],Sheet3!$A$1:$B$27,2,FALSE)</f>
        <v>Recreation and amusement</v>
      </c>
    </row>
    <row r="104" spans="1:7" x14ac:dyDescent="0.3">
      <c r="A104" t="s">
        <v>30</v>
      </c>
      <c r="B104">
        <v>2013</v>
      </c>
      <c r="C104" t="s">
        <v>35</v>
      </c>
      <c r="D104" s="2">
        <v>41306</v>
      </c>
      <c r="E104" t="s">
        <v>26</v>
      </c>
      <c r="F104">
        <v>104.1</v>
      </c>
      <c r="G104" t="str">
        <f>VLOOKUP(Table1_2[[#This Row],[Categories]],Sheet3!$A$1:$B$27,2,FALSE)</f>
        <v>Education</v>
      </c>
    </row>
    <row r="105" spans="1:7" x14ac:dyDescent="0.3">
      <c r="A105" t="s">
        <v>30</v>
      </c>
      <c r="B105">
        <v>2013</v>
      </c>
      <c r="C105" t="s">
        <v>35</v>
      </c>
      <c r="D105" s="2">
        <v>41306</v>
      </c>
      <c r="E105" t="s">
        <v>27</v>
      </c>
      <c r="F105">
        <v>104.6</v>
      </c>
      <c r="G105" t="str">
        <f>VLOOKUP(Table1_2[[#This Row],[Categories]],Sheet3!$A$1:$B$27,2,FALSE)</f>
        <v>Household Items</v>
      </c>
    </row>
    <row r="106" spans="1:7" x14ac:dyDescent="0.3">
      <c r="A106" t="s">
        <v>30</v>
      </c>
      <c r="B106">
        <v>2013</v>
      </c>
      <c r="C106" t="s">
        <v>35</v>
      </c>
      <c r="D106" s="2">
        <v>41306</v>
      </c>
      <c r="E106" t="s">
        <v>28</v>
      </c>
      <c r="F106">
        <v>104.4</v>
      </c>
      <c r="G106" t="str">
        <f>VLOOKUP(Table1_2[[#This Row],[Categories]],Sheet3!$A$1:$B$27,2,FALSE)</f>
        <v>Miscellaneous</v>
      </c>
    </row>
    <row r="107" spans="1:7" x14ac:dyDescent="0.3">
      <c r="A107" t="s">
        <v>30</v>
      </c>
      <c r="B107">
        <v>2013</v>
      </c>
      <c r="C107" t="s">
        <v>35</v>
      </c>
      <c r="D107" s="2">
        <v>41306</v>
      </c>
      <c r="E107" t="s">
        <v>29</v>
      </c>
      <c r="F107">
        <v>105.8</v>
      </c>
      <c r="G107" t="str">
        <f>VLOOKUP(Table1_2[[#This Row],[Categories]],Sheet3!$A$1:$B$27,2,FALSE)</f>
        <v>General index</v>
      </c>
    </row>
    <row r="108" spans="1:7" x14ac:dyDescent="0.3">
      <c r="A108" t="s">
        <v>33</v>
      </c>
      <c r="B108">
        <v>2013</v>
      </c>
      <c r="C108" t="s">
        <v>35</v>
      </c>
      <c r="D108" s="2">
        <v>41306</v>
      </c>
      <c r="E108" t="s">
        <v>3</v>
      </c>
      <c r="F108">
        <v>112.9</v>
      </c>
      <c r="G108" t="str">
        <f>VLOOKUP(Table1_2[[#This Row],[Categories]],Sheet3!$A$1:$B$27,2,FALSE)</f>
        <v>Food &amp;Beverage</v>
      </c>
    </row>
    <row r="109" spans="1:7" x14ac:dyDescent="0.3">
      <c r="A109" t="s">
        <v>33</v>
      </c>
      <c r="B109">
        <v>2013</v>
      </c>
      <c r="C109" t="s">
        <v>35</v>
      </c>
      <c r="D109" s="2">
        <v>41306</v>
      </c>
      <c r="E109" t="s">
        <v>4</v>
      </c>
      <c r="F109">
        <v>112.9</v>
      </c>
      <c r="G109" t="str">
        <f>VLOOKUP(Table1_2[[#This Row],[Categories]],Sheet3!$A$1:$B$27,2,FALSE)</f>
        <v>Food &amp;Beverage</v>
      </c>
    </row>
    <row r="110" spans="1:7" x14ac:dyDescent="0.3">
      <c r="A110" t="s">
        <v>33</v>
      </c>
      <c r="B110">
        <v>2013</v>
      </c>
      <c r="C110" t="s">
        <v>35</v>
      </c>
      <c r="D110" s="2">
        <v>41306</v>
      </c>
      <c r="E110" t="s">
        <v>5</v>
      </c>
      <c r="F110">
        <v>116.9</v>
      </c>
      <c r="G110" t="str">
        <f>VLOOKUP(Table1_2[[#This Row],[Categories]],Sheet3!$A$1:$B$27,2,FALSE)</f>
        <v>Food &amp;Beverage</v>
      </c>
    </row>
    <row r="111" spans="1:7" x14ac:dyDescent="0.3">
      <c r="A111" t="s">
        <v>33</v>
      </c>
      <c r="B111">
        <v>2013</v>
      </c>
      <c r="C111" t="s">
        <v>35</v>
      </c>
      <c r="D111" s="2">
        <v>41306</v>
      </c>
      <c r="E111" t="s">
        <v>6</v>
      </c>
      <c r="F111">
        <v>104</v>
      </c>
      <c r="G111" t="str">
        <f>VLOOKUP(Table1_2[[#This Row],[Categories]],Sheet3!$A$1:$B$27,2,FALSE)</f>
        <v>Food &amp;Beverage</v>
      </c>
    </row>
    <row r="112" spans="1:7" x14ac:dyDescent="0.3">
      <c r="A112" t="s">
        <v>33</v>
      </c>
      <c r="B112">
        <v>2013</v>
      </c>
      <c r="C112" t="s">
        <v>35</v>
      </c>
      <c r="D112" s="2">
        <v>41306</v>
      </c>
      <c r="E112" t="s">
        <v>7</v>
      </c>
      <c r="F112">
        <v>103.5</v>
      </c>
      <c r="G112" t="str">
        <f>VLOOKUP(Table1_2[[#This Row],[Categories]],Sheet3!$A$1:$B$27,2,FALSE)</f>
        <v>Food &amp;Beverage</v>
      </c>
    </row>
    <row r="113" spans="1:7" x14ac:dyDescent="0.3">
      <c r="A113" t="s">
        <v>33</v>
      </c>
      <c r="B113">
        <v>2013</v>
      </c>
      <c r="C113" t="s">
        <v>35</v>
      </c>
      <c r="D113" s="2">
        <v>41306</v>
      </c>
      <c r="E113" t="s">
        <v>8</v>
      </c>
      <c r="F113">
        <v>103.1</v>
      </c>
      <c r="G113" t="str">
        <f>VLOOKUP(Table1_2[[#This Row],[Categories]],Sheet3!$A$1:$B$27,2,FALSE)</f>
        <v>Food &amp;Beverage</v>
      </c>
    </row>
    <row r="114" spans="1:7" x14ac:dyDescent="0.3">
      <c r="A114" t="s">
        <v>33</v>
      </c>
      <c r="B114">
        <v>2013</v>
      </c>
      <c r="C114" t="s">
        <v>35</v>
      </c>
      <c r="D114" s="2">
        <v>41306</v>
      </c>
      <c r="E114" t="s">
        <v>9</v>
      </c>
      <c r="F114">
        <v>104.9</v>
      </c>
      <c r="G114" t="str">
        <f>VLOOKUP(Table1_2[[#This Row],[Categories]],Sheet3!$A$1:$B$27,2,FALSE)</f>
        <v>Food &amp;Beverage</v>
      </c>
    </row>
    <row r="115" spans="1:7" x14ac:dyDescent="0.3">
      <c r="A115" t="s">
        <v>33</v>
      </c>
      <c r="B115">
        <v>2013</v>
      </c>
      <c r="C115" t="s">
        <v>35</v>
      </c>
      <c r="D115" s="2">
        <v>41306</v>
      </c>
      <c r="E115" t="s">
        <v>10</v>
      </c>
      <c r="F115">
        <v>104.1</v>
      </c>
      <c r="G115" t="str">
        <f>VLOOKUP(Table1_2[[#This Row],[Categories]],Sheet3!$A$1:$B$27,2,FALSE)</f>
        <v>Food &amp;Beverage</v>
      </c>
    </row>
    <row r="116" spans="1:7" x14ac:dyDescent="0.3">
      <c r="A116" t="s">
        <v>33</v>
      </c>
      <c r="B116">
        <v>2013</v>
      </c>
      <c r="C116" t="s">
        <v>35</v>
      </c>
      <c r="D116" s="2">
        <v>41306</v>
      </c>
      <c r="E116" t="s">
        <v>11</v>
      </c>
      <c r="F116">
        <v>103.8</v>
      </c>
      <c r="G116" t="str">
        <f>VLOOKUP(Table1_2[[#This Row],[Categories]],Sheet3!$A$1:$B$27,2,FALSE)</f>
        <v>Food &amp;Beverage</v>
      </c>
    </row>
    <row r="117" spans="1:7" x14ac:dyDescent="0.3">
      <c r="A117" t="s">
        <v>33</v>
      </c>
      <c r="B117">
        <v>2013</v>
      </c>
      <c r="C117" t="s">
        <v>35</v>
      </c>
      <c r="D117" s="2">
        <v>41306</v>
      </c>
      <c r="E117" t="s">
        <v>12</v>
      </c>
      <c r="F117">
        <v>102.3</v>
      </c>
      <c r="G117" t="str">
        <f>VLOOKUP(Table1_2[[#This Row],[Categories]],Sheet3!$A$1:$B$27,2,FALSE)</f>
        <v>Food &amp;Beverage</v>
      </c>
    </row>
    <row r="118" spans="1:7" x14ac:dyDescent="0.3">
      <c r="A118" t="s">
        <v>33</v>
      </c>
      <c r="B118">
        <v>2013</v>
      </c>
      <c r="C118" t="s">
        <v>35</v>
      </c>
      <c r="D118" s="2">
        <v>41306</v>
      </c>
      <c r="E118" t="s">
        <v>13</v>
      </c>
      <c r="F118">
        <v>106</v>
      </c>
      <c r="G118" t="str">
        <f>VLOOKUP(Table1_2[[#This Row],[Categories]],Sheet3!$A$1:$B$27,2,FALSE)</f>
        <v>Food &amp;Beverage</v>
      </c>
    </row>
    <row r="119" spans="1:7" x14ac:dyDescent="0.3">
      <c r="A119" t="s">
        <v>33</v>
      </c>
      <c r="B119">
        <v>2013</v>
      </c>
      <c r="C119" t="s">
        <v>35</v>
      </c>
      <c r="D119" s="2">
        <v>41306</v>
      </c>
      <c r="E119" t="s">
        <v>14</v>
      </c>
      <c r="F119">
        <v>109</v>
      </c>
      <c r="G119" t="str">
        <f>VLOOKUP(Table1_2[[#This Row],[Categories]],Sheet3!$A$1:$B$27,2,FALSE)</f>
        <v>Food &amp;Beverage</v>
      </c>
    </row>
    <row r="120" spans="1:7" x14ac:dyDescent="0.3">
      <c r="A120" t="s">
        <v>33</v>
      </c>
      <c r="B120">
        <v>2013</v>
      </c>
      <c r="C120" t="s">
        <v>35</v>
      </c>
      <c r="D120" s="2">
        <v>41306</v>
      </c>
      <c r="E120" t="s">
        <v>15</v>
      </c>
      <c r="F120">
        <v>107.2</v>
      </c>
      <c r="G120" t="str">
        <f>VLOOKUP(Table1_2[[#This Row],[Categories]],Sheet3!$A$1:$B$27,2,FALSE)</f>
        <v>Food &amp;Beverage</v>
      </c>
    </row>
    <row r="121" spans="1:7" x14ac:dyDescent="0.3">
      <c r="A121" t="s">
        <v>33</v>
      </c>
      <c r="B121">
        <v>2013</v>
      </c>
      <c r="C121" t="s">
        <v>35</v>
      </c>
      <c r="D121" s="2">
        <v>41306</v>
      </c>
      <c r="E121" t="s">
        <v>16</v>
      </c>
      <c r="F121">
        <v>106</v>
      </c>
      <c r="G121" t="str">
        <f>VLOOKUP(Table1_2[[#This Row],[Categories]],Sheet3!$A$1:$B$27,2,FALSE)</f>
        <v>Recreation and amusement</v>
      </c>
    </row>
    <row r="122" spans="1:7" x14ac:dyDescent="0.3">
      <c r="A122" t="s">
        <v>33</v>
      </c>
      <c r="B122">
        <v>2013</v>
      </c>
      <c r="C122" t="s">
        <v>35</v>
      </c>
      <c r="D122" s="2">
        <v>41306</v>
      </c>
      <c r="E122" t="s">
        <v>17</v>
      </c>
      <c r="F122">
        <v>106.6</v>
      </c>
      <c r="G122" t="str">
        <f>VLOOKUP(Table1_2[[#This Row],[Categories]],Sheet3!$A$1:$B$27,2,FALSE)</f>
        <v>Clothing and footwear</v>
      </c>
    </row>
    <row r="123" spans="1:7" x14ac:dyDescent="0.3">
      <c r="A123" t="s">
        <v>33</v>
      </c>
      <c r="B123">
        <v>2013</v>
      </c>
      <c r="C123" t="s">
        <v>35</v>
      </c>
      <c r="D123" s="2">
        <v>41306</v>
      </c>
      <c r="E123" t="s">
        <v>18</v>
      </c>
      <c r="F123">
        <v>105.5</v>
      </c>
      <c r="G123" t="str">
        <f>VLOOKUP(Table1_2[[#This Row],[Categories]],Sheet3!$A$1:$B$27,2,FALSE)</f>
        <v>Clothing and footwear</v>
      </c>
    </row>
    <row r="124" spans="1:7" x14ac:dyDescent="0.3">
      <c r="A124" t="s">
        <v>33</v>
      </c>
      <c r="B124">
        <v>2013</v>
      </c>
      <c r="C124" t="s">
        <v>35</v>
      </c>
      <c r="D124" s="2">
        <v>41306</v>
      </c>
      <c r="E124" t="s">
        <v>19</v>
      </c>
      <c r="F124">
        <v>106.4</v>
      </c>
      <c r="G124" t="str">
        <f>VLOOKUP(Table1_2[[#This Row],[Categories]],Sheet3!$A$1:$B$27,2,FALSE)</f>
        <v>Clothing and footwear</v>
      </c>
    </row>
    <row r="125" spans="1:7" x14ac:dyDescent="0.3">
      <c r="A125" t="s">
        <v>33</v>
      </c>
      <c r="B125">
        <v>2013</v>
      </c>
      <c r="C125" t="s">
        <v>35</v>
      </c>
      <c r="D125" s="2">
        <v>41306</v>
      </c>
      <c r="E125" t="s">
        <v>20</v>
      </c>
      <c r="F125">
        <v>100.4</v>
      </c>
      <c r="G125" t="str">
        <f>VLOOKUP(Table1_2[[#This Row],[Categories]],Sheet3!$A$1:$B$27,2,FALSE)</f>
        <v>Housing</v>
      </c>
    </row>
    <row r="126" spans="1:7" x14ac:dyDescent="0.3">
      <c r="A126" t="s">
        <v>33</v>
      </c>
      <c r="B126">
        <v>2013</v>
      </c>
      <c r="C126" t="s">
        <v>35</v>
      </c>
      <c r="D126" s="2">
        <v>41306</v>
      </c>
      <c r="E126" t="s">
        <v>21</v>
      </c>
      <c r="F126">
        <v>105.7</v>
      </c>
      <c r="G126" t="str">
        <f>VLOOKUP(Table1_2[[#This Row],[Categories]],Sheet3!$A$1:$B$27,2,FALSE)</f>
        <v>Fuel and light</v>
      </c>
    </row>
    <row r="127" spans="1:7" x14ac:dyDescent="0.3">
      <c r="A127" t="s">
        <v>33</v>
      </c>
      <c r="B127">
        <v>2013</v>
      </c>
      <c r="C127" t="s">
        <v>35</v>
      </c>
      <c r="D127" s="2">
        <v>41306</v>
      </c>
      <c r="E127" t="s">
        <v>22</v>
      </c>
      <c r="F127">
        <v>105.2</v>
      </c>
      <c r="G127" t="str">
        <f>VLOOKUP(Table1_2[[#This Row],[Categories]],Sheet3!$A$1:$B$27,2,FALSE)</f>
        <v>Household Items</v>
      </c>
    </row>
    <row r="128" spans="1:7" x14ac:dyDescent="0.3">
      <c r="A128" t="s">
        <v>33</v>
      </c>
      <c r="B128">
        <v>2013</v>
      </c>
      <c r="C128" t="s">
        <v>35</v>
      </c>
      <c r="D128" s="2">
        <v>41306</v>
      </c>
      <c r="E128" t="s">
        <v>23</v>
      </c>
      <c r="F128">
        <v>104.7</v>
      </c>
      <c r="G128" t="str">
        <f>VLOOKUP(Table1_2[[#This Row],[Categories]],Sheet3!$A$1:$B$27,2,FALSE)</f>
        <v>Health</v>
      </c>
    </row>
    <row r="129" spans="1:7" x14ac:dyDescent="0.3">
      <c r="A129" t="s">
        <v>33</v>
      </c>
      <c r="B129">
        <v>2013</v>
      </c>
      <c r="C129" t="s">
        <v>35</v>
      </c>
      <c r="D129" s="2">
        <v>41306</v>
      </c>
      <c r="E129" t="s">
        <v>24</v>
      </c>
      <c r="F129">
        <v>104.4</v>
      </c>
      <c r="G129" t="str">
        <f>VLOOKUP(Table1_2[[#This Row],[Categories]],Sheet3!$A$1:$B$27,2,FALSE)</f>
        <v>Transport and communication</v>
      </c>
    </row>
    <row r="130" spans="1:7" x14ac:dyDescent="0.3">
      <c r="A130" t="s">
        <v>33</v>
      </c>
      <c r="B130">
        <v>2013</v>
      </c>
      <c r="C130" t="s">
        <v>35</v>
      </c>
      <c r="D130" s="2">
        <v>41306</v>
      </c>
      <c r="E130" t="s">
        <v>25</v>
      </c>
      <c r="F130">
        <v>103.3</v>
      </c>
      <c r="G130" t="str">
        <f>VLOOKUP(Table1_2[[#This Row],[Categories]],Sheet3!$A$1:$B$27,2,FALSE)</f>
        <v>Recreation and amusement</v>
      </c>
    </row>
    <row r="131" spans="1:7" x14ac:dyDescent="0.3">
      <c r="A131" t="s">
        <v>33</v>
      </c>
      <c r="B131">
        <v>2013</v>
      </c>
      <c r="C131" t="s">
        <v>35</v>
      </c>
      <c r="D131" s="2">
        <v>41306</v>
      </c>
      <c r="E131" t="s">
        <v>26</v>
      </c>
      <c r="F131">
        <v>103.7</v>
      </c>
      <c r="G131" t="str">
        <f>VLOOKUP(Table1_2[[#This Row],[Categories]],Sheet3!$A$1:$B$27,2,FALSE)</f>
        <v>Education</v>
      </c>
    </row>
    <row r="132" spans="1:7" x14ac:dyDescent="0.3">
      <c r="A132" t="s">
        <v>33</v>
      </c>
      <c r="B132">
        <v>2013</v>
      </c>
      <c r="C132" t="s">
        <v>35</v>
      </c>
      <c r="D132" s="2">
        <v>41306</v>
      </c>
      <c r="E132" t="s">
        <v>27</v>
      </c>
      <c r="F132">
        <v>104.3</v>
      </c>
      <c r="G132" t="str">
        <f>VLOOKUP(Table1_2[[#This Row],[Categories]],Sheet3!$A$1:$B$27,2,FALSE)</f>
        <v>Household Items</v>
      </c>
    </row>
    <row r="133" spans="1:7" x14ac:dyDescent="0.3">
      <c r="A133" t="s">
        <v>33</v>
      </c>
      <c r="B133">
        <v>2013</v>
      </c>
      <c r="C133" t="s">
        <v>35</v>
      </c>
      <c r="D133" s="2">
        <v>41306</v>
      </c>
      <c r="E133" t="s">
        <v>28</v>
      </c>
      <c r="F133">
        <v>104.3</v>
      </c>
      <c r="G133" t="str">
        <f>VLOOKUP(Table1_2[[#This Row],[Categories]],Sheet3!$A$1:$B$27,2,FALSE)</f>
        <v>Miscellaneous</v>
      </c>
    </row>
    <row r="134" spans="1:7" x14ac:dyDescent="0.3">
      <c r="A134" t="s">
        <v>33</v>
      </c>
      <c r="B134">
        <v>2013</v>
      </c>
      <c r="C134" t="s">
        <v>35</v>
      </c>
      <c r="D134" s="2">
        <v>41306</v>
      </c>
      <c r="E134" t="s">
        <v>29</v>
      </c>
      <c r="F134">
        <v>104.7</v>
      </c>
      <c r="G134" t="str">
        <f>VLOOKUP(Table1_2[[#This Row],[Categories]],Sheet3!$A$1:$B$27,2,FALSE)</f>
        <v>General index</v>
      </c>
    </row>
    <row r="135" spans="1:7" x14ac:dyDescent="0.3">
      <c r="A135" t="s">
        <v>34</v>
      </c>
      <c r="B135">
        <v>2013</v>
      </c>
      <c r="C135" t="s">
        <v>35</v>
      </c>
      <c r="D135" s="2">
        <v>41306</v>
      </c>
      <c r="E135" t="s">
        <v>3</v>
      </c>
      <c r="F135">
        <v>110.4</v>
      </c>
      <c r="G135" t="str">
        <f>VLOOKUP(Table1_2[[#This Row],[Categories]],Sheet3!$A$1:$B$27,2,FALSE)</f>
        <v>Food &amp;Beverage</v>
      </c>
    </row>
    <row r="136" spans="1:7" x14ac:dyDescent="0.3">
      <c r="A136" t="s">
        <v>34</v>
      </c>
      <c r="B136">
        <v>2013</v>
      </c>
      <c r="C136" t="s">
        <v>35</v>
      </c>
      <c r="D136" s="2">
        <v>41306</v>
      </c>
      <c r="E136" t="s">
        <v>4</v>
      </c>
      <c r="F136">
        <v>110.2</v>
      </c>
      <c r="G136" t="str">
        <f>VLOOKUP(Table1_2[[#This Row],[Categories]],Sheet3!$A$1:$B$27,2,FALSE)</f>
        <v>Food &amp;Beverage</v>
      </c>
    </row>
    <row r="137" spans="1:7" x14ac:dyDescent="0.3">
      <c r="A137" t="s">
        <v>34</v>
      </c>
      <c r="B137">
        <v>2013</v>
      </c>
      <c r="C137" t="s">
        <v>35</v>
      </c>
      <c r="D137" s="2">
        <v>41306</v>
      </c>
      <c r="E137" t="s">
        <v>5</v>
      </c>
      <c r="F137">
        <v>112.8</v>
      </c>
      <c r="G137" t="str">
        <f>VLOOKUP(Table1_2[[#This Row],[Categories]],Sheet3!$A$1:$B$27,2,FALSE)</f>
        <v>Food &amp;Beverage</v>
      </c>
    </row>
    <row r="138" spans="1:7" x14ac:dyDescent="0.3">
      <c r="A138" t="s">
        <v>34</v>
      </c>
      <c r="B138">
        <v>2013</v>
      </c>
      <c r="C138" t="s">
        <v>35</v>
      </c>
      <c r="D138" s="2">
        <v>41306</v>
      </c>
      <c r="E138" t="s">
        <v>6</v>
      </c>
      <c r="F138">
        <v>104.9</v>
      </c>
      <c r="G138" t="str">
        <f>VLOOKUP(Table1_2[[#This Row],[Categories]],Sheet3!$A$1:$B$27,2,FALSE)</f>
        <v>Food &amp;Beverage</v>
      </c>
    </row>
    <row r="139" spans="1:7" x14ac:dyDescent="0.3">
      <c r="A139" t="s">
        <v>34</v>
      </c>
      <c r="B139">
        <v>2013</v>
      </c>
      <c r="C139" t="s">
        <v>35</v>
      </c>
      <c r="D139" s="2">
        <v>41306</v>
      </c>
      <c r="E139" t="s">
        <v>7</v>
      </c>
      <c r="F139">
        <v>105.5</v>
      </c>
      <c r="G139" t="str">
        <f>VLOOKUP(Table1_2[[#This Row],[Categories]],Sheet3!$A$1:$B$27,2,FALSE)</f>
        <v>Food &amp;Beverage</v>
      </c>
    </row>
    <row r="140" spans="1:7" x14ac:dyDescent="0.3">
      <c r="A140" t="s">
        <v>34</v>
      </c>
      <c r="B140">
        <v>2013</v>
      </c>
      <c r="C140" t="s">
        <v>35</v>
      </c>
      <c r="D140" s="2">
        <v>41306</v>
      </c>
      <c r="E140" t="s">
        <v>8</v>
      </c>
      <c r="F140">
        <v>103.6</v>
      </c>
      <c r="G140" t="str">
        <f>VLOOKUP(Table1_2[[#This Row],[Categories]],Sheet3!$A$1:$B$27,2,FALSE)</f>
        <v>Food &amp;Beverage</v>
      </c>
    </row>
    <row r="141" spans="1:7" x14ac:dyDescent="0.3">
      <c r="A141" t="s">
        <v>34</v>
      </c>
      <c r="B141">
        <v>2013</v>
      </c>
      <c r="C141" t="s">
        <v>35</v>
      </c>
      <c r="D141" s="2">
        <v>41306</v>
      </c>
      <c r="E141" t="s">
        <v>9</v>
      </c>
      <c r="F141">
        <v>103.2</v>
      </c>
      <c r="G141" t="str">
        <f>VLOOKUP(Table1_2[[#This Row],[Categories]],Sheet3!$A$1:$B$27,2,FALSE)</f>
        <v>Food &amp;Beverage</v>
      </c>
    </row>
    <row r="142" spans="1:7" x14ac:dyDescent="0.3">
      <c r="A142" t="s">
        <v>34</v>
      </c>
      <c r="B142">
        <v>2013</v>
      </c>
      <c r="C142" t="s">
        <v>35</v>
      </c>
      <c r="D142" s="2">
        <v>41306</v>
      </c>
      <c r="E142" t="s">
        <v>10</v>
      </c>
      <c r="F142">
        <v>105.3</v>
      </c>
      <c r="G142" t="str">
        <f>VLOOKUP(Table1_2[[#This Row],[Categories]],Sheet3!$A$1:$B$27,2,FALSE)</f>
        <v>Food &amp;Beverage</v>
      </c>
    </row>
    <row r="143" spans="1:7" x14ac:dyDescent="0.3">
      <c r="A143" t="s">
        <v>34</v>
      </c>
      <c r="B143">
        <v>2013</v>
      </c>
      <c r="C143" t="s">
        <v>35</v>
      </c>
      <c r="D143" s="2">
        <v>41306</v>
      </c>
      <c r="E143" t="s">
        <v>11</v>
      </c>
      <c r="F143">
        <v>105.1</v>
      </c>
      <c r="G143" t="str">
        <f>VLOOKUP(Table1_2[[#This Row],[Categories]],Sheet3!$A$1:$B$27,2,FALSE)</f>
        <v>Food &amp;Beverage</v>
      </c>
    </row>
    <row r="144" spans="1:7" x14ac:dyDescent="0.3">
      <c r="A144" t="s">
        <v>34</v>
      </c>
      <c r="B144">
        <v>2013</v>
      </c>
      <c r="C144" t="s">
        <v>35</v>
      </c>
      <c r="D144" s="2">
        <v>41306</v>
      </c>
      <c r="E144" t="s">
        <v>12</v>
      </c>
      <c r="F144">
        <v>102.8</v>
      </c>
      <c r="G144" t="str">
        <f>VLOOKUP(Table1_2[[#This Row],[Categories]],Sheet3!$A$1:$B$27,2,FALSE)</f>
        <v>Food &amp;Beverage</v>
      </c>
    </row>
    <row r="145" spans="1:7" x14ac:dyDescent="0.3">
      <c r="A145" t="s">
        <v>34</v>
      </c>
      <c r="B145">
        <v>2013</v>
      </c>
      <c r="C145" t="s">
        <v>35</v>
      </c>
      <c r="D145" s="2">
        <v>41306</v>
      </c>
      <c r="E145" t="s">
        <v>13</v>
      </c>
      <c r="F145">
        <v>105.5</v>
      </c>
      <c r="G145" t="str">
        <f>VLOOKUP(Table1_2[[#This Row],[Categories]],Sheet3!$A$1:$B$27,2,FALSE)</f>
        <v>Food &amp;Beverage</v>
      </c>
    </row>
    <row r="146" spans="1:7" x14ac:dyDescent="0.3">
      <c r="A146" t="s">
        <v>34</v>
      </c>
      <c r="B146">
        <v>2013</v>
      </c>
      <c r="C146" t="s">
        <v>35</v>
      </c>
      <c r="D146" s="2">
        <v>41306</v>
      </c>
      <c r="E146" t="s">
        <v>14</v>
      </c>
      <c r="F146">
        <v>108.3</v>
      </c>
      <c r="G146" t="str">
        <f>VLOOKUP(Table1_2[[#This Row],[Categories]],Sheet3!$A$1:$B$27,2,FALSE)</f>
        <v>Food &amp;Beverage</v>
      </c>
    </row>
    <row r="147" spans="1:7" x14ac:dyDescent="0.3">
      <c r="A147" t="s">
        <v>34</v>
      </c>
      <c r="B147">
        <v>2013</v>
      </c>
      <c r="C147" t="s">
        <v>35</v>
      </c>
      <c r="D147" s="2">
        <v>41306</v>
      </c>
      <c r="E147" t="s">
        <v>15</v>
      </c>
      <c r="F147">
        <v>106.6</v>
      </c>
      <c r="G147" t="str">
        <f>VLOOKUP(Table1_2[[#This Row],[Categories]],Sheet3!$A$1:$B$27,2,FALSE)</f>
        <v>Food &amp;Beverage</v>
      </c>
    </row>
    <row r="148" spans="1:7" x14ac:dyDescent="0.3">
      <c r="A148" t="s">
        <v>34</v>
      </c>
      <c r="B148">
        <v>2013</v>
      </c>
      <c r="C148" t="s">
        <v>35</v>
      </c>
      <c r="D148" s="2">
        <v>41306</v>
      </c>
      <c r="E148" t="s">
        <v>16</v>
      </c>
      <c r="F148">
        <v>105.7</v>
      </c>
      <c r="G148" t="str">
        <f>VLOOKUP(Table1_2[[#This Row],[Categories]],Sheet3!$A$1:$B$27,2,FALSE)</f>
        <v>Recreation and amusement</v>
      </c>
    </row>
    <row r="149" spans="1:7" x14ac:dyDescent="0.3">
      <c r="A149" t="s">
        <v>34</v>
      </c>
      <c r="B149">
        <v>2013</v>
      </c>
      <c r="C149" t="s">
        <v>35</v>
      </c>
      <c r="D149" s="2">
        <v>41306</v>
      </c>
      <c r="E149" t="s">
        <v>17</v>
      </c>
      <c r="F149">
        <v>106.9</v>
      </c>
      <c r="G149" t="str">
        <f>VLOOKUP(Table1_2[[#This Row],[Categories]],Sheet3!$A$1:$B$27,2,FALSE)</f>
        <v>Clothing and footwear</v>
      </c>
    </row>
    <row r="150" spans="1:7" x14ac:dyDescent="0.3">
      <c r="A150" t="s">
        <v>34</v>
      </c>
      <c r="B150">
        <v>2013</v>
      </c>
      <c r="C150" t="s">
        <v>35</v>
      </c>
      <c r="D150" s="2">
        <v>41306</v>
      </c>
      <c r="E150" t="s">
        <v>18</v>
      </c>
      <c r="F150">
        <v>106</v>
      </c>
      <c r="G150" t="str">
        <f>VLOOKUP(Table1_2[[#This Row],[Categories]],Sheet3!$A$1:$B$27,2,FALSE)</f>
        <v>Clothing and footwear</v>
      </c>
    </row>
    <row r="151" spans="1:7" x14ac:dyDescent="0.3">
      <c r="A151" t="s">
        <v>34</v>
      </c>
      <c r="B151">
        <v>2013</v>
      </c>
      <c r="C151" t="s">
        <v>35</v>
      </c>
      <c r="D151" s="2">
        <v>41306</v>
      </c>
      <c r="E151" t="s">
        <v>19</v>
      </c>
      <c r="F151">
        <v>106.8</v>
      </c>
      <c r="G151" t="str">
        <f>VLOOKUP(Table1_2[[#This Row],[Categories]],Sheet3!$A$1:$B$27,2,FALSE)</f>
        <v>Clothing and footwear</v>
      </c>
    </row>
    <row r="152" spans="1:7" x14ac:dyDescent="0.3">
      <c r="A152" t="s">
        <v>34</v>
      </c>
      <c r="B152">
        <v>2013</v>
      </c>
      <c r="C152" t="s">
        <v>35</v>
      </c>
      <c r="D152" s="2">
        <v>41306</v>
      </c>
      <c r="E152" t="s">
        <v>20</v>
      </c>
      <c r="F152">
        <v>100.4</v>
      </c>
      <c r="G152" t="str">
        <f>VLOOKUP(Table1_2[[#This Row],[Categories]],Sheet3!$A$1:$B$27,2,FALSE)</f>
        <v>Housing</v>
      </c>
    </row>
    <row r="153" spans="1:7" x14ac:dyDescent="0.3">
      <c r="A153" t="s">
        <v>34</v>
      </c>
      <c r="B153">
        <v>2013</v>
      </c>
      <c r="C153" t="s">
        <v>35</v>
      </c>
      <c r="D153" s="2">
        <v>41306</v>
      </c>
      <c r="E153" t="s">
        <v>21</v>
      </c>
      <c r="F153">
        <v>106</v>
      </c>
      <c r="G153" t="str">
        <f>VLOOKUP(Table1_2[[#This Row],[Categories]],Sheet3!$A$1:$B$27,2,FALSE)</f>
        <v>Fuel and light</v>
      </c>
    </row>
    <row r="154" spans="1:7" x14ac:dyDescent="0.3">
      <c r="A154" t="s">
        <v>34</v>
      </c>
      <c r="B154">
        <v>2013</v>
      </c>
      <c r="C154" t="s">
        <v>35</v>
      </c>
      <c r="D154" s="2">
        <v>41306</v>
      </c>
      <c r="E154" t="s">
        <v>22</v>
      </c>
      <c r="F154">
        <v>105.2</v>
      </c>
      <c r="G154" t="str">
        <f>VLOOKUP(Table1_2[[#This Row],[Categories]],Sheet3!$A$1:$B$27,2,FALSE)</f>
        <v>Household Items</v>
      </c>
    </row>
    <row r="155" spans="1:7" x14ac:dyDescent="0.3">
      <c r="A155" t="s">
        <v>34</v>
      </c>
      <c r="B155">
        <v>2013</v>
      </c>
      <c r="C155" t="s">
        <v>35</v>
      </c>
      <c r="D155" s="2">
        <v>41306</v>
      </c>
      <c r="E155" t="s">
        <v>23</v>
      </c>
      <c r="F155">
        <v>104.5</v>
      </c>
      <c r="G155" t="str">
        <f>VLOOKUP(Table1_2[[#This Row],[Categories]],Sheet3!$A$1:$B$27,2,FALSE)</f>
        <v>Health</v>
      </c>
    </row>
    <row r="156" spans="1:7" x14ac:dyDescent="0.3">
      <c r="A156" t="s">
        <v>34</v>
      </c>
      <c r="B156">
        <v>2013</v>
      </c>
      <c r="C156" t="s">
        <v>35</v>
      </c>
      <c r="D156" s="2">
        <v>41306</v>
      </c>
      <c r="E156" t="s">
        <v>24</v>
      </c>
      <c r="F156">
        <v>104.2</v>
      </c>
      <c r="G156" t="str">
        <f>VLOOKUP(Table1_2[[#This Row],[Categories]],Sheet3!$A$1:$B$27,2,FALSE)</f>
        <v>Transport and communication</v>
      </c>
    </row>
    <row r="157" spans="1:7" x14ac:dyDescent="0.3">
      <c r="A157" t="s">
        <v>34</v>
      </c>
      <c r="B157">
        <v>2013</v>
      </c>
      <c r="C157" t="s">
        <v>35</v>
      </c>
      <c r="D157" s="2">
        <v>41306</v>
      </c>
      <c r="E157" t="s">
        <v>25</v>
      </c>
      <c r="F157">
        <v>103.6</v>
      </c>
      <c r="G157" t="str">
        <f>VLOOKUP(Table1_2[[#This Row],[Categories]],Sheet3!$A$1:$B$27,2,FALSE)</f>
        <v>Recreation and amusement</v>
      </c>
    </row>
    <row r="158" spans="1:7" x14ac:dyDescent="0.3">
      <c r="A158" t="s">
        <v>34</v>
      </c>
      <c r="B158">
        <v>2013</v>
      </c>
      <c r="C158" t="s">
        <v>35</v>
      </c>
      <c r="D158" s="2">
        <v>41306</v>
      </c>
      <c r="E158" t="s">
        <v>26</v>
      </c>
      <c r="F158">
        <v>103.9</v>
      </c>
      <c r="G158" t="str">
        <f>VLOOKUP(Table1_2[[#This Row],[Categories]],Sheet3!$A$1:$B$27,2,FALSE)</f>
        <v>Education</v>
      </c>
    </row>
    <row r="159" spans="1:7" x14ac:dyDescent="0.3">
      <c r="A159" t="s">
        <v>34</v>
      </c>
      <c r="B159">
        <v>2013</v>
      </c>
      <c r="C159" t="s">
        <v>35</v>
      </c>
      <c r="D159" s="2">
        <v>41306</v>
      </c>
      <c r="E159" t="s">
        <v>27</v>
      </c>
      <c r="F159">
        <v>104.5</v>
      </c>
      <c r="G159" t="str">
        <f>VLOOKUP(Table1_2[[#This Row],[Categories]],Sheet3!$A$1:$B$27,2,FALSE)</f>
        <v>Household Items</v>
      </c>
    </row>
    <row r="160" spans="1:7" x14ac:dyDescent="0.3">
      <c r="A160" t="s">
        <v>34</v>
      </c>
      <c r="B160">
        <v>2013</v>
      </c>
      <c r="C160" t="s">
        <v>35</v>
      </c>
      <c r="D160" s="2">
        <v>41306</v>
      </c>
      <c r="E160" t="s">
        <v>28</v>
      </c>
      <c r="F160">
        <v>104.4</v>
      </c>
      <c r="G160" t="str">
        <f>VLOOKUP(Table1_2[[#This Row],[Categories]],Sheet3!$A$1:$B$27,2,FALSE)</f>
        <v>Miscellaneous</v>
      </c>
    </row>
    <row r="161" spans="1:7" x14ac:dyDescent="0.3">
      <c r="A161" t="s">
        <v>34</v>
      </c>
      <c r="B161">
        <v>2013</v>
      </c>
      <c r="C161" t="s">
        <v>35</v>
      </c>
      <c r="D161" s="2">
        <v>41306</v>
      </c>
      <c r="E161" t="s">
        <v>29</v>
      </c>
      <c r="F161">
        <v>105.3</v>
      </c>
      <c r="G161" t="str">
        <f>VLOOKUP(Table1_2[[#This Row],[Categories]],Sheet3!$A$1:$B$27,2,FALSE)</f>
        <v>General index</v>
      </c>
    </row>
    <row r="162" spans="1:7" x14ac:dyDescent="0.3">
      <c r="A162" t="s">
        <v>30</v>
      </c>
      <c r="B162">
        <v>2013</v>
      </c>
      <c r="C162" t="s">
        <v>36</v>
      </c>
      <c r="D162" s="2">
        <v>41334</v>
      </c>
      <c r="E162" t="s">
        <v>3</v>
      </c>
      <c r="F162">
        <v>110.2</v>
      </c>
      <c r="G162" t="str">
        <f>VLOOKUP(Table1_2[[#This Row],[Categories]],Sheet3!$A$1:$B$27,2,FALSE)</f>
        <v>Food &amp;Beverage</v>
      </c>
    </row>
    <row r="163" spans="1:7" x14ac:dyDescent="0.3">
      <c r="A163" t="s">
        <v>30</v>
      </c>
      <c r="B163">
        <v>2013</v>
      </c>
      <c r="C163" t="s">
        <v>36</v>
      </c>
      <c r="D163" s="2">
        <v>41334</v>
      </c>
      <c r="E163" t="s">
        <v>4</v>
      </c>
      <c r="F163">
        <v>108.8</v>
      </c>
      <c r="G163" t="str">
        <f>VLOOKUP(Table1_2[[#This Row],[Categories]],Sheet3!$A$1:$B$27,2,FALSE)</f>
        <v>Food &amp;Beverage</v>
      </c>
    </row>
    <row r="164" spans="1:7" x14ac:dyDescent="0.3">
      <c r="A164" t="s">
        <v>30</v>
      </c>
      <c r="B164">
        <v>2013</v>
      </c>
      <c r="C164" t="s">
        <v>36</v>
      </c>
      <c r="D164" s="2">
        <v>41334</v>
      </c>
      <c r="E164" t="s">
        <v>5</v>
      </c>
      <c r="F164">
        <v>109.9</v>
      </c>
      <c r="G164" t="str">
        <f>VLOOKUP(Table1_2[[#This Row],[Categories]],Sheet3!$A$1:$B$27,2,FALSE)</f>
        <v>Food &amp;Beverage</v>
      </c>
    </row>
    <row r="165" spans="1:7" x14ac:dyDescent="0.3">
      <c r="A165" t="s">
        <v>30</v>
      </c>
      <c r="B165">
        <v>2013</v>
      </c>
      <c r="C165" t="s">
        <v>36</v>
      </c>
      <c r="D165" s="2">
        <v>41334</v>
      </c>
      <c r="E165" t="s">
        <v>6</v>
      </c>
      <c r="F165">
        <v>105.6</v>
      </c>
      <c r="G165" t="str">
        <f>VLOOKUP(Table1_2[[#This Row],[Categories]],Sheet3!$A$1:$B$27,2,FALSE)</f>
        <v>Food &amp;Beverage</v>
      </c>
    </row>
    <row r="166" spans="1:7" x14ac:dyDescent="0.3">
      <c r="A166" t="s">
        <v>30</v>
      </c>
      <c r="B166">
        <v>2013</v>
      </c>
      <c r="C166" t="s">
        <v>36</v>
      </c>
      <c r="D166" s="2">
        <v>41334</v>
      </c>
      <c r="E166" t="s">
        <v>7</v>
      </c>
      <c r="F166">
        <v>106.2</v>
      </c>
      <c r="G166" t="str">
        <f>VLOOKUP(Table1_2[[#This Row],[Categories]],Sheet3!$A$1:$B$27,2,FALSE)</f>
        <v>Food &amp;Beverage</v>
      </c>
    </row>
    <row r="167" spans="1:7" x14ac:dyDescent="0.3">
      <c r="A167" t="s">
        <v>30</v>
      </c>
      <c r="B167">
        <v>2013</v>
      </c>
      <c r="C167" t="s">
        <v>36</v>
      </c>
      <c r="D167" s="2">
        <v>41334</v>
      </c>
      <c r="E167" t="s">
        <v>8</v>
      </c>
      <c r="F167">
        <v>105.7</v>
      </c>
      <c r="G167" t="str">
        <f>VLOOKUP(Table1_2[[#This Row],[Categories]],Sheet3!$A$1:$B$27,2,FALSE)</f>
        <v>Food &amp;Beverage</v>
      </c>
    </row>
    <row r="168" spans="1:7" x14ac:dyDescent="0.3">
      <c r="A168" t="s">
        <v>30</v>
      </c>
      <c r="B168">
        <v>2013</v>
      </c>
      <c r="C168" t="s">
        <v>36</v>
      </c>
      <c r="D168" s="2">
        <v>41334</v>
      </c>
      <c r="E168" t="s">
        <v>9</v>
      </c>
      <c r="F168">
        <v>101.4</v>
      </c>
      <c r="G168" t="str">
        <f>VLOOKUP(Table1_2[[#This Row],[Categories]],Sheet3!$A$1:$B$27,2,FALSE)</f>
        <v>Food &amp;Beverage</v>
      </c>
    </row>
    <row r="169" spans="1:7" x14ac:dyDescent="0.3">
      <c r="A169" t="s">
        <v>30</v>
      </c>
      <c r="B169">
        <v>2013</v>
      </c>
      <c r="C169" t="s">
        <v>36</v>
      </c>
      <c r="D169" s="2">
        <v>41334</v>
      </c>
      <c r="E169" t="s">
        <v>10</v>
      </c>
      <c r="F169">
        <v>105.7</v>
      </c>
      <c r="G169" t="str">
        <f>VLOOKUP(Table1_2[[#This Row],[Categories]],Sheet3!$A$1:$B$27,2,FALSE)</f>
        <v>Food &amp;Beverage</v>
      </c>
    </row>
    <row r="170" spans="1:7" x14ac:dyDescent="0.3">
      <c r="A170" t="s">
        <v>30</v>
      </c>
      <c r="B170">
        <v>2013</v>
      </c>
      <c r="C170" t="s">
        <v>36</v>
      </c>
      <c r="D170" s="2">
        <v>41334</v>
      </c>
      <c r="E170" t="s">
        <v>11</v>
      </c>
      <c r="F170">
        <v>105</v>
      </c>
      <c r="G170" t="str">
        <f>VLOOKUP(Table1_2[[#This Row],[Categories]],Sheet3!$A$1:$B$27,2,FALSE)</f>
        <v>Food &amp;Beverage</v>
      </c>
    </row>
    <row r="171" spans="1:7" x14ac:dyDescent="0.3">
      <c r="A171" t="s">
        <v>30</v>
      </c>
      <c r="B171">
        <v>2013</v>
      </c>
      <c r="C171" t="s">
        <v>36</v>
      </c>
      <c r="D171" s="2">
        <v>41334</v>
      </c>
      <c r="E171" t="s">
        <v>12</v>
      </c>
      <c r="F171">
        <v>103.3</v>
      </c>
      <c r="G171" t="str">
        <f>VLOOKUP(Table1_2[[#This Row],[Categories]],Sheet3!$A$1:$B$27,2,FALSE)</f>
        <v>Food &amp;Beverage</v>
      </c>
    </row>
    <row r="172" spans="1:7" x14ac:dyDescent="0.3">
      <c r="A172" t="s">
        <v>30</v>
      </c>
      <c r="B172">
        <v>2013</v>
      </c>
      <c r="C172" t="s">
        <v>36</v>
      </c>
      <c r="D172" s="2">
        <v>41334</v>
      </c>
      <c r="E172" t="s">
        <v>13</v>
      </c>
      <c r="F172">
        <v>105.6</v>
      </c>
      <c r="G172" t="str">
        <f>VLOOKUP(Table1_2[[#This Row],[Categories]],Sheet3!$A$1:$B$27,2,FALSE)</f>
        <v>Food &amp;Beverage</v>
      </c>
    </row>
    <row r="173" spans="1:7" x14ac:dyDescent="0.3">
      <c r="A173" t="s">
        <v>30</v>
      </c>
      <c r="B173">
        <v>2013</v>
      </c>
      <c r="C173" t="s">
        <v>36</v>
      </c>
      <c r="D173" s="2">
        <v>41334</v>
      </c>
      <c r="E173" t="s">
        <v>14</v>
      </c>
      <c r="F173">
        <v>108.2</v>
      </c>
      <c r="G173" t="str">
        <f>VLOOKUP(Table1_2[[#This Row],[Categories]],Sheet3!$A$1:$B$27,2,FALSE)</f>
        <v>Food &amp;Beverage</v>
      </c>
    </row>
    <row r="174" spans="1:7" x14ac:dyDescent="0.3">
      <c r="A174" t="s">
        <v>30</v>
      </c>
      <c r="B174">
        <v>2013</v>
      </c>
      <c r="C174" t="s">
        <v>36</v>
      </c>
      <c r="D174" s="2">
        <v>41334</v>
      </c>
      <c r="E174" t="s">
        <v>15</v>
      </c>
      <c r="F174">
        <v>106.6</v>
      </c>
      <c r="G174" t="str">
        <f>VLOOKUP(Table1_2[[#This Row],[Categories]],Sheet3!$A$1:$B$27,2,FALSE)</f>
        <v>Food &amp;Beverage</v>
      </c>
    </row>
    <row r="175" spans="1:7" x14ac:dyDescent="0.3">
      <c r="A175" t="s">
        <v>30</v>
      </c>
      <c r="B175">
        <v>2013</v>
      </c>
      <c r="C175" t="s">
        <v>36</v>
      </c>
      <c r="D175" s="2">
        <v>41334</v>
      </c>
      <c r="E175" t="s">
        <v>16</v>
      </c>
      <c r="F175">
        <v>106.5</v>
      </c>
      <c r="G175" t="str">
        <f>VLOOKUP(Table1_2[[#This Row],[Categories]],Sheet3!$A$1:$B$27,2,FALSE)</f>
        <v>Recreation and amusement</v>
      </c>
    </row>
    <row r="176" spans="1:7" x14ac:dyDescent="0.3">
      <c r="A176" t="s">
        <v>30</v>
      </c>
      <c r="B176">
        <v>2013</v>
      </c>
      <c r="C176" t="s">
        <v>36</v>
      </c>
      <c r="D176" s="2">
        <v>41334</v>
      </c>
      <c r="E176" t="s">
        <v>17</v>
      </c>
      <c r="F176">
        <v>107.6</v>
      </c>
      <c r="G176" t="str">
        <f>VLOOKUP(Table1_2[[#This Row],[Categories]],Sheet3!$A$1:$B$27,2,FALSE)</f>
        <v>Clothing and footwear</v>
      </c>
    </row>
    <row r="177" spans="1:7" x14ac:dyDescent="0.3">
      <c r="A177" t="s">
        <v>30</v>
      </c>
      <c r="B177">
        <v>2013</v>
      </c>
      <c r="C177" t="s">
        <v>36</v>
      </c>
      <c r="D177" s="2">
        <v>41334</v>
      </c>
      <c r="E177" t="s">
        <v>18</v>
      </c>
      <c r="F177">
        <v>106.8</v>
      </c>
      <c r="G177" t="str">
        <f>VLOOKUP(Table1_2[[#This Row],[Categories]],Sheet3!$A$1:$B$27,2,FALSE)</f>
        <v>Clothing and footwear</v>
      </c>
    </row>
    <row r="178" spans="1:7" x14ac:dyDescent="0.3">
      <c r="A178" t="s">
        <v>30</v>
      </c>
      <c r="B178">
        <v>2013</v>
      </c>
      <c r="C178" t="s">
        <v>36</v>
      </c>
      <c r="D178" s="2">
        <v>41334</v>
      </c>
      <c r="E178" t="s">
        <v>19</v>
      </c>
      <c r="F178">
        <v>107.5</v>
      </c>
      <c r="G178" t="str">
        <f>VLOOKUP(Table1_2[[#This Row],[Categories]],Sheet3!$A$1:$B$27,2,FALSE)</f>
        <v>Clothing and footwear</v>
      </c>
    </row>
    <row r="179" spans="1:7" x14ac:dyDescent="0.3">
      <c r="A179" t="s">
        <v>30</v>
      </c>
      <c r="B179">
        <v>2013</v>
      </c>
      <c r="C179" t="s">
        <v>36</v>
      </c>
      <c r="D179" s="2">
        <v>41334</v>
      </c>
      <c r="E179" t="s">
        <v>21</v>
      </c>
      <c r="F179">
        <v>106.1</v>
      </c>
      <c r="G179" t="str">
        <f>VLOOKUP(Table1_2[[#This Row],[Categories]],Sheet3!$A$1:$B$27,2,FALSE)</f>
        <v>Fuel and light</v>
      </c>
    </row>
    <row r="180" spans="1:7" x14ac:dyDescent="0.3">
      <c r="A180" t="s">
        <v>30</v>
      </c>
      <c r="B180">
        <v>2013</v>
      </c>
      <c r="C180" t="s">
        <v>36</v>
      </c>
      <c r="D180" s="2">
        <v>41334</v>
      </c>
      <c r="E180" t="s">
        <v>22</v>
      </c>
      <c r="F180">
        <v>105.6</v>
      </c>
      <c r="G180" t="str">
        <f>VLOOKUP(Table1_2[[#This Row],[Categories]],Sheet3!$A$1:$B$27,2,FALSE)</f>
        <v>Household Items</v>
      </c>
    </row>
    <row r="181" spans="1:7" x14ac:dyDescent="0.3">
      <c r="A181" t="s">
        <v>30</v>
      </c>
      <c r="B181">
        <v>2013</v>
      </c>
      <c r="C181" t="s">
        <v>36</v>
      </c>
      <c r="D181" s="2">
        <v>41334</v>
      </c>
      <c r="E181" t="s">
        <v>23</v>
      </c>
      <c r="F181">
        <v>104.7</v>
      </c>
      <c r="G181" t="str">
        <f>VLOOKUP(Table1_2[[#This Row],[Categories]],Sheet3!$A$1:$B$27,2,FALSE)</f>
        <v>Health</v>
      </c>
    </row>
    <row r="182" spans="1:7" x14ac:dyDescent="0.3">
      <c r="A182" t="s">
        <v>30</v>
      </c>
      <c r="B182">
        <v>2013</v>
      </c>
      <c r="C182" t="s">
        <v>36</v>
      </c>
      <c r="D182" s="2">
        <v>41334</v>
      </c>
      <c r="E182" t="s">
        <v>24</v>
      </c>
      <c r="F182">
        <v>104.6</v>
      </c>
      <c r="G182" t="str">
        <f>VLOOKUP(Table1_2[[#This Row],[Categories]],Sheet3!$A$1:$B$27,2,FALSE)</f>
        <v>Transport and communication</v>
      </c>
    </row>
    <row r="183" spans="1:7" x14ac:dyDescent="0.3">
      <c r="A183" t="s">
        <v>30</v>
      </c>
      <c r="B183">
        <v>2013</v>
      </c>
      <c r="C183" t="s">
        <v>36</v>
      </c>
      <c r="D183" s="2">
        <v>41334</v>
      </c>
      <c r="E183" t="s">
        <v>25</v>
      </c>
      <c r="F183">
        <v>104</v>
      </c>
      <c r="G183" t="str">
        <f>VLOOKUP(Table1_2[[#This Row],[Categories]],Sheet3!$A$1:$B$27,2,FALSE)</f>
        <v>Recreation and amusement</v>
      </c>
    </row>
    <row r="184" spans="1:7" x14ac:dyDescent="0.3">
      <c r="A184" t="s">
        <v>30</v>
      </c>
      <c r="B184">
        <v>2013</v>
      </c>
      <c r="C184" t="s">
        <v>36</v>
      </c>
      <c r="D184" s="2">
        <v>41334</v>
      </c>
      <c r="E184" t="s">
        <v>26</v>
      </c>
      <c r="F184">
        <v>104.3</v>
      </c>
      <c r="G184" t="str">
        <f>VLOOKUP(Table1_2[[#This Row],[Categories]],Sheet3!$A$1:$B$27,2,FALSE)</f>
        <v>Education</v>
      </c>
    </row>
    <row r="185" spans="1:7" x14ac:dyDescent="0.3">
      <c r="A185" t="s">
        <v>30</v>
      </c>
      <c r="B185">
        <v>2013</v>
      </c>
      <c r="C185" t="s">
        <v>36</v>
      </c>
      <c r="D185" s="2">
        <v>41334</v>
      </c>
      <c r="E185" t="s">
        <v>27</v>
      </c>
      <c r="F185">
        <v>104.3</v>
      </c>
      <c r="G185" t="str">
        <f>VLOOKUP(Table1_2[[#This Row],[Categories]],Sheet3!$A$1:$B$27,2,FALSE)</f>
        <v>Household Items</v>
      </c>
    </row>
    <row r="186" spans="1:7" x14ac:dyDescent="0.3">
      <c r="A186" t="s">
        <v>30</v>
      </c>
      <c r="B186">
        <v>2013</v>
      </c>
      <c r="C186" t="s">
        <v>36</v>
      </c>
      <c r="D186" s="2">
        <v>41334</v>
      </c>
      <c r="E186" t="s">
        <v>28</v>
      </c>
      <c r="F186">
        <v>104.6</v>
      </c>
      <c r="G186" t="str">
        <f>VLOOKUP(Table1_2[[#This Row],[Categories]],Sheet3!$A$1:$B$27,2,FALSE)</f>
        <v>Miscellaneous</v>
      </c>
    </row>
    <row r="187" spans="1:7" x14ac:dyDescent="0.3">
      <c r="A187" t="s">
        <v>30</v>
      </c>
      <c r="B187">
        <v>2013</v>
      </c>
      <c r="C187" t="s">
        <v>36</v>
      </c>
      <c r="D187" s="2">
        <v>41334</v>
      </c>
      <c r="E187" t="s">
        <v>29</v>
      </c>
      <c r="F187">
        <v>106</v>
      </c>
      <c r="G187" t="str">
        <f>VLOOKUP(Table1_2[[#This Row],[Categories]],Sheet3!$A$1:$B$27,2,FALSE)</f>
        <v>General index</v>
      </c>
    </row>
    <row r="188" spans="1:7" x14ac:dyDescent="0.3">
      <c r="A188" t="s">
        <v>33</v>
      </c>
      <c r="B188">
        <v>2013</v>
      </c>
      <c r="C188" t="s">
        <v>36</v>
      </c>
      <c r="D188" s="2">
        <v>41334</v>
      </c>
      <c r="E188" t="s">
        <v>3</v>
      </c>
      <c r="F188">
        <v>113.9</v>
      </c>
      <c r="G188" t="str">
        <f>VLOOKUP(Table1_2[[#This Row],[Categories]],Sheet3!$A$1:$B$27,2,FALSE)</f>
        <v>Food &amp;Beverage</v>
      </c>
    </row>
    <row r="189" spans="1:7" x14ac:dyDescent="0.3">
      <c r="A189" t="s">
        <v>33</v>
      </c>
      <c r="B189">
        <v>2013</v>
      </c>
      <c r="C189" t="s">
        <v>36</v>
      </c>
      <c r="D189" s="2">
        <v>41334</v>
      </c>
      <c r="E189" t="s">
        <v>4</v>
      </c>
      <c r="F189">
        <v>111.4</v>
      </c>
      <c r="G189" t="str">
        <f>VLOOKUP(Table1_2[[#This Row],[Categories]],Sheet3!$A$1:$B$27,2,FALSE)</f>
        <v>Food &amp;Beverage</v>
      </c>
    </row>
    <row r="190" spans="1:7" x14ac:dyDescent="0.3">
      <c r="A190" t="s">
        <v>33</v>
      </c>
      <c r="B190">
        <v>2013</v>
      </c>
      <c r="C190" t="s">
        <v>36</v>
      </c>
      <c r="D190" s="2">
        <v>41334</v>
      </c>
      <c r="E190" t="s">
        <v>5</v>
      </c>
      <c r="F190">
        <v>113.2</v>
      </c>
      <c r="G190" t="str">
        <f>VLOOKUP(Table1_2[[#This Row],[Categories]],Sheet3!$A$1:$B$27,2,FALSE)</f>
        <v>Food &amp;Beverage</v>
      </c>
    </row>
    <row r="191" spans="1:7" x14ac:dyDescent="0.3">
      <c r="A191" t="s">
        <v>33</v>
      </c>
      <c r="B191">
        <v>2013</v>
      </c>
      <c r="C191" t="s">
        <v>36</v>
      </c>
      <c r="D191" s="2">
        <v>41334</v>
      </c>
      <c r="E191" t="s">
        <v>6</v>
      </c>
      <c r="F191">
        <v>104.3</v>
      </c>
      <c r="G191" t="str">
        <f>VLOOKUP(Table1_2[[#This Row],[Categories]],Sheet3!$A$1:$B$27,2,FALSE)</f>
        <v>Food &amp;Beverage</v>
      </c>
    </row>
    <row r="192" spans="1:7" x14ac:dyDescent="0.3">
      <c r="A192" t="s">
        <v>33</v>
      </c>
      <c r="B192">
        <v>2013</v>
      </c>
      <c r="C192" t="s">
        <v>36</v>
      </c>
      <c r="D192" s="2">
        <v>41334</v>
      </c>
      <c r="E192" t="s">
        <v>7</v>
      </c>
      <c r="F192">
        <v>102.7</v>
      </c>
      <c r="G192" t="str">
        <f>VLOOKUP(Table1_2[[#This Row],[Categories]],Sheet3!$A$1:$B$27,2,FALSE)</f>
        <v>Food &amp;Beverage</v>
      </c>
    </row>
    <row r="193" spans="1:7" x14ac:dyDescent="0.3">
      <c r="A193" t="s">
        <v>33</v>
      </c>
      <c r="B193">
        <v>2013</v>
      </c>
      <c r="C193" t="s">
        <v>36</v>
      </c>
      <c r="D193" s="2">
        <v>41334</v>
      </c>
      <c r="E193" t="s">
        <v>8</v>
      </c>
      <c r="F193">
        <v>104.9</v>
      </c>
      <c r="G193" t="str">
        <f>VLOOKUP(Table1_2[[#This Row],[Categories]],Sheet3!$A$1:$B$27,2,FALSE)</f>
        <v>Food &amp;Beverage</v>
      </c>
    </row>
    <row r="194" spans="1:7" x14ac:dyDescent="0.3">
      <c r="A194" t="s">
        <v>33</v>
      </c>
      <c r="B194">
        <v>2013</v>
      </c>
      <c r="C194" t="s">
        <v>36</v>
      </c>
      <c r="D194" s="2">
        <v>41334</v>
      </c>
      <c r="E194" t="s">
        <v>9</v>
      </c>
      <c r="F194">
        <v>103.8</v>
      </c>
      <c r="G194" t="str">
        <f>VLOOKUP(Table1_2[[#This Row],[Categories]],Sheet3!$A$1:$B$27,2,FALSE)</f>
        <v>Food &amp;Beverage</v>
      </c>
    </row>
    <row r="195" spans="1:7" x14ac:dyDescent="0.3">
      <c r="A195" t="s">
        <v>33</v>
      </c>
      <c r="B195">
        <v>2013</v>
      </c>
      <c r="C195" t="s">
        <v>36</v>
      </c>
      <c r="D195" s="2">
        <v>41334</v>
      </c>
      <c r="E195" t="s">
        <v>10</v>
      </c>
      <c r="F195">
        <v>103.5</v>
      </c>
      <c r="G195" t="str">
        <f>VLOOKUP(Table1_2[[#This Row],[Categories]],Sheet3!$A$1:$B$27,2,FALSE)</f>
        <v>Food &amp;Beverage</v>
      </c>
    </row>
    <row r="196" spans="1:7" x14ac:dyDescent="0.3">
      <c r="A196" t="s">
        <v>33</v>
      </c>
      <c r="B196">
        <v>2013</v>
      </c>
      <c r="C196" t="s">
        <v>36</v>
      </c>
      <c r="D196" s="2">
        <v>41334</v>
      </c>
      <c r="E196" t="s">
        <v>11</v>
      </c>
      <c r="F196">
        <v>102.6</v>
      </c>
      <c r="G196" t="str">
        <f>VLOOKUP(Table1_2[[#This Row],[Categories]],Sheet3!$A$1:$B$27,2,FALSE)</f>
        <v>Food &amp;Beverage</v>
      </c>
    </row>
    <row r="197" spans="1:7" x14ac:dyDescent="0.3">
      <c r="A197" t="s">
        <v>33</v>
      </c>
      <c r="B197">
        <v>2013</v>
      </c>
      <c r="C197" t="s">
        <v>36</v>
      </c>
      <c r="D197" s="2">
        <v>41334</v>
      </c>
      <c r="E197" t="s">
        <v>12</v>
      </c>
      <c r="F197">
        <v>102.4</v>
      </c>
      <c r="G197" t="str">
        <f>VLOOKUP(Table1_2[[#This Row],[Categories]],Sheet3!$A$1:$B$27,2,FALSE)</f>
        <v>Food &amp;Beverage</v>
      </c>
    </row>
    <row r="198" spans="1:7" x14ac:dyDescent="0.3">
      <c r="A198" t="s">
        <v>33</v>
      </c>
      <c r="B198">
        <v>2013</v>
      </c>
      <c r="C198" t="s">
        <v>36</v>
      </c>
      <c r="D198" s="2">
        <v>41334</v>
      </c>
      <c r="E198" t="s">
        <v>13</v>
      </c>
      <c r="F198">
        <v>107</v>
      </c>
      <c r="G198" t="str">
        <f>VLOOKUP(Table1_2[[#This Row],[Categories]],Sheet3!$A$1:$B$27,2,FALSE)</f>
        <v>Food &amp;Beverage</v>
      </c>
    </row>
    <row r="199" spans="1:7" x14ac:dyDescent="0.3">
      <c r="A199" t="s">
        <v>33</v>
      </c>
      <c r="B199">
        <v>2013</v>
      </c>
      <c r="C199" t="s">
        <v>36</v>
      </c>
      <c r="D199" s="2">
        <v>41334</v>
      </c>
      <c r="E199" t="s">
        <v>14</v>
      </c>
      <c r="F199">
        <v>109.8</v>
      </c>
      <c r="G199" t="str">
        <f>VLOOKUP(Table1_2[[#This Row],[Categories]],Sheet3!$A$1:$B$27,2,FALSE)</f>
        <v>Food &amp;Beverage</v>
      </c>
    </row>
    <row r="200" spans="1:7" x14ac:dyDescent="0.3">
      <c r="A200" t="s">
        <v>33</v>
      </c>
      <c r="B200">
        <v>2013</v>
      </c>
      <c r="C200" t="s">
        <v>36</v>
      </c>
      <c r="D200" s="2">
        <v>41334</v>
      </c>
      <c r="E200" t="s">
        <v>15</v>
      </c>
      <c r="F200">
        <v>107.3</v>
      </c>
      <c r="G200" t="str">
        <f>VLOOKUP(Table1_2[[#This Row],[Categories]],Sheet3!$A$1:$B$27,2,FALSE)</f>
        <v>Food &amp;Beverage</v>
      </c>
    </row>
    <row r="201" spans="1:7" x14ac:dyDescent="0.3">
      <c r="A201" t="s">
        <v>33</v>
      </c>
      <c r="B201">
        <v>2013</v>
      </c>
      <c r="C201" t="s">
        <v>36</v>
      </c>
      <c r="D201" s="2">
        <v>41334</v>
      </c>
      <c r="E201" t="s">
        <v>16</v>
      </c>
      <c r="F201">
        <v>106.8</v>
      </c>
      <c r="G201" t="str">
        <f>VLOOKUP(Table1_2[[#This Row],[Categories]],Sheet3!$A$1:$B$27,2,FALSE)</f>
        <v>Recreation and amusement</v>
      </c>
    </row>
    <row r="202" spans="1:7" x14ac:dyDescent="0.3">
      <c r="A202" t="s">
        <v>33</v>
      </c>
      <c r="B202">
        <v>2013</v>
      </c>
      <c r="C202" t="s">
        <v>36</v>
      </c>
      <c r="D202" s="2">
        <v>41334</v>
      </c>
      <c r="E202" t="s">
        <v>17</v>
      </c>
      <c r="F202">
        <v>107.2</v>
      </c>
      <c r="G202" t="str">
        <f>VLOOKUP(Table1_2[[#This Row],[Categories]],Sheet3!$A$1:$B$27,2,FALSE)</f>
        <v>Clothing and footwear</v>
      </c>
    </row>
    <row r="203" spans="1:7" x14ac:dyDescent="0.3">
      <c r="A203" t="s">
        <v>33</v>
      </c>
      <c r="B203">
        <v>2013</v>
      </c>
      <c r="C203" t="s">
        <v>36</v>
      </c>
      <c r="D203" s="2">
        <v>41334</v>
      </c>
      <c r="E203" t="s">
        <v>18</v>
      </c>
      <c r="F203">
        <v>106</v>
      </c>
      <c r="G203" t="str">
        <f>VLOOKUP(Table1_2[[#This Row],[Categories]],Sheet3!$A$1:$B$27,2,FALSE)</f>
        <v>Clothing and footwear</v>
      </c>
    </row>
    <row r="204" spans="1:7" x14ac:dyDescent="0.3">
      <c r="A204" t="s">
        <v>33</v>
      </c>
      <c r="B204">
        <v>2013</v>
      </c>
      <c r="C204" t="s">
        <v>36</v>
      </c>
      <c r="D204" s="2">
        <v>41334</v>
      </c>
      <c r="E204" t="s">
        <v>19</v>
      </c>
      <c r="F204">
        <v>107</v>
      </c>
      <c r="G204" t="str">
        <f>VLOOKUP(Table1_2[[#This Row],[Categories]],Sheet3!$A$1:$B$27,2,FALSE)</f>
        <v>Clothing and footwear</v>
      </c>
    </row>
    <row r="205" spans="1:7" x14ac:dyDescent="0.3">
      <c r="A205" t="s">
        <v>33</v>
      </c>
      <c r="B205">
        <v>2013</v>
      </c>
      <c r="C205" t="s">
        <v>36</v>
      </c>
      <c r="D205" s="2">
        <v>41334</v>
      </c>
      <c r="E205" t="s">
        <v>20</v>
      </c>
      <c r="F205">
        <v>100.4</v>
      </c>
      <c r="G205" t="str">
        <f>VLOOKUP(Table1_2[[#This Row],[Categories]],Sheet3!$A$1:$B$27,2,FALSE)</f>
        <v>Housing</v>
      </c>
    </row>
    <row r="206" spans="1:7" x14ac:dyDescent="0.3">
      <c r="A206" t="s">
        <v>33</v>
      </c>
      <c r="B206">
        <v>2013</v>
      </c>
      <c r="C206" t="s">
        <v>36</v>
      </c>
      <c r="D206" s="2">
        <v>41334</v>
      </c>
      <c r="E206" t="s">
        <v>21</v>
      </c>
      <c r="F206">
        <v>106</v>
      </c>
      <c r="G206" t="str">
        <f>VLOOKUP(Table1_2[[#This Row],[Categories]],Sheet3!$A$1:$B$27,2,FALSE)</f>
        <v>Fuel and light</v>
      </c>
    </row>
    <row r="207" spans="1:7" x14ac:dyDescent="0.3">
      <c r="A207" t="s">
        <v>33</v>
      </c>
      <c r="B207">
        <v>2013</v>
      </c>
      <c r="C207" t="s">
        <v>36</v>
      </c>
      <c r="D207" s="2">
        <v>41334</v>
      </c>
      <c r="E207" t="s">
        <v>22</v>
      </c>
      <c r="F207">
        <v>105.7</v>
      </c>
      <c r="G207" t="str">
        <f>VLOOKUP(Table1_2[[#This Row],[Categories]],Sheet3!$A$1:$B$27,2,FALSE)</f>
        <v>Household Items</v>
      </c>
    </row>
    <row r="208" spans="1:7" x14ac:dyDescent="0.3">
      <c r="A208" t="s">
        <v>33</v>
      </c>
      <c r="B208">
        <v>2013</v>
      </c>
      <c r="C208" t="s">
        <v>36</v>
      </c>
      <c r="D208" s="2">
        <v>41334</v>
      </c>
      <c r="E208" t="s">
        <v>23</v>
      </c>
      <c r="F208">
        <v>105.2</v>
      </c>
      <c r="G208" t="str">
        <f>VLOOKUP(Table1_2[[#This Row],[Categories]],Sheet3!$A$1:$B$27,2,FALSE)</f>
        <v>Health</v>
      </c>
    </row>
    <row r="209" spans="1:7" x14ac:dyDescent="0.3">
      <c r="A209" t="s">
        <v>33</v>
      </c>
      <c r="B209">
        <v>2013</v>
      </c>
      <c r="C209" t="s">
        <v>36</v>
      </c>
      <c r="D209" s="2">
        <v>41334</v>
      </c>
      <c r="E209" t="s">
        <v>24</v>
      </c>
      <c r="F209">
        <v>105.5</v>
      </c>
      <c r="G209" t="str">
        <f>VLOOKUP(Table1_2[[#This Row],[Categories]],Sheet3!$A$1:$B$27,2,FALSE)</f>
        <v>Transport and communication</v>
      </c>
    </row>
    <row r="210" spans="1:7" x14ac:dyDescent="0.3">
      <c r="A210" t="s">
        <v>33</v>
      </c>
      <c r="B210">
        <v>2013</v>
      </c>
      <c r="C210" t="s">
        <v>36</v>
      </c>
      <c r="D210" s="2">
        <v>41334</v>
      </c>
      <c r="E210" t="s">
        <v>25</v>
      </c>
      <c r="F210">
        <v>103.5</v>
      </c>
      <c r="G210" t="str">
        <f>VLOOKUP(Table1_2[[#This Row],[Categories]],Sheet3!$A$1:$B$27,2,FALSE)</f>
        <v>Recreation and amusement</v>
      </c>
    </row>
    <row r="211" spans="1:7" x14ac:dyDescent="0.3">
      <c r="A211" t="s">
        <v>33</v>
      </c>
      <c r="B211">
        <v>2013</v>
      </c>
      <c r="C211" t="s">
        <v>36</v>
      </c>
      <c r="D211" s="2">
        <v>41334</v>
      </c>
      <c r="E211" t="s">
        <v>26</v>
      </c>
      <c r="F211">
        <v>103.8</v>
      </c>
      <c r="G211" t="str">
        <f>VLOOKUP(Table1_2[[#This Row],[Categories]],Sheet3!$A$1:$B$27,2,FALSE)</f>
        <v>Education</v>
      </c>
    </row>
    <row r="212" spans="1:7" x14ac:dyDescent="0.3">
      <c r="A212" t="s">
        <v>33</v>
      </c>
      <c r="B212">
        <v>2013</v>
      </c>
      <c r="C212" t="s">
        <v>36</v>
      </c>
      <c r="D212" s="2">
        <v>41334</v>
      </c>
      <c r="E212" t="s">
        <v>27</v>
      </c>
      <c r="F212">
        <v>104.2</v>
      </c>
      <c r="G212" t="str">
        <f>VLOOKUP(Table1_2[[#This Row],[Categories]],Sheet3!$A$1:$B$27,2,FALSE)</f>
        <v>Household Items</v>
      </c>
    </row>
    <row r="213" spans="1:7" x14ac:dyDescent="0.3">
      <c r="A213" t="s">
        <v>33</v>
      </c>
      <c r="B213">
        <v>2013</v>
      </c>
      <c r="C213" t="s">
        <v>36</v>
      </c>
      <c r="D213" s="2">
        <v>41334</v>
      </c>
      <c r="E213" t="s">
        <v>28</v>
      </c>
      <c r="F213">
        <v>104.9</v>
      </c>
      <c r="G213" t="str">
        <f>VLOOKUP(Table1_2[[#This Row],[Categories]],Sheet3!$A$1:$B$27,2,FALSE)</f>
        <v>Miscellaneous</v>
      </c>
    </row>
    <row r="214" spans="1:7" x14ac:dyDescent="0.3">
      <c r="A214" t="s">
        <v>33</v>
      </c>
      <c r="B214">
        <v>2013</v>
      </c>
      <c r="C214" t="s">
        <v>36</v>
      </c>
      <c r="D214" s="2">
        <v>41334</v>
      </c>
      <c r="E214" t="s">
        <v>29</v>
      </c>
      <c r="F214">
        <v>105</v>
      </c>
      <c r="G214" t="str">
        <f>VLOOKUP(Table1_2[[#This Row],[Categories]],Sheet3!$A$1:$B$27,2,FALSE)</f>
        <v>General index</v>
      </c>
    </row>
    <row r="215" spans="1:7" x14ac:dyDescent="0.3">
      <c r="A215" t="s">
        <v>34</v>
      </c>
      <c r="B215">
        <v>2013</v>
      </c>
      <c r="C215" t="s">
        <v>36</v>
      </c>
      <c r="D215" s="2">
        <v>41334</v>
      </c>
      <c r="E215" t="s">
        <v>3</v>
      </c>
      <c r="F215">
        <v>111.4</v>
      </c>
      <c r="G215" t="str">
        <f>VLOOKUP(Table1_2[[#This Row],[Categories]],Sheet3!$A$1:$B$27,2,FALSE)</f>
        <v>Food &amp;Beverage</v>
      </c>
    </row>
    <row r="216" spans="1:7" x14ac:dyDescent="0.3">
      <c r="A216" t="s">
        <v>34</v>
      </c>
      <c r="B216">
        <v>2013</v>
      </c>
      <c r="C216" t="s">
        <v>36</v>
      </c>
      <c r="D216" s="2">
        <v>41334</v>
      </c>
      <c r="E216" t="s">
        <v>4</v>
      </c>
      <c r="F216">
        <v>109.7</v>
      </c>
      <c r="G216" t="str">
        <f>VLOOKUP(Table1_2[[#This Row],[Categories]],Sheet3!$A$1:$B$27,2,FALSE)</f>
        <v>Food &amp;Beverage</v>
      </c>
    </row>
    <row r="217" spans="1:7" x14ac:dyDescent="0.3">
      <c r="A217" t="s">
        <v>34</v>
      </c>
      <c r="B217">
        <v>2013</v>
      </c>
      <c r="C217" t="s">
        <v>36</v>
      </c>
      <c r="D217" s="2">
        <v>41334</v>
      </c>
      <c r="E217" t="s">
        <v>5</v>
      </c>
      <c r="F217">
        <v>111.2</v>
      </c>
      <c r="G217" t="str">
        <f>VLOOKUP(Table1_2[[#This Row],[Categories]],Sheet3!$A$1:$B$27,2,FALSE)</f>
        <v>Food &amp;Beverage</v>
      </c>
    </row>
    <row r="218" spans="1:7" x14ac:dyDescent="0.3">
      <c r="A218" t="s">
        <v>34</v>
      </c>
      <c r="B218">
        <v>2013</v>
      </c>
      <c r="C218" t="s">
        <v>36</v>
      </c>
      <c r="D218" s="2">
        <v>41334</v>
      </c>
      <c r="E218" t="s">
        <v>6</v>
      </c>
      <c r="F218">
        <v>105.1</v>
      </c>
      <c r="G218" t="str">
        <f>VLOOKUP(Table1_2[[#This Row],[Categories]],Sheet3!$A$1:$B$27,2,FALSE)</f>
        <v>Food &amp;Beverage</v>
      </c>
    </row>
    <row r="219" spans="1:7" x14ac:dyDescent="0.3">
      <c r="A219" t="s">
        <v>34</v>
      </c>
      <c r="B219">
        <v>2013</v>
      </c>
      <c r="C219" t="s">
        <v>36</v>
      </c>
      <c r="D219" s="2">
        <v>41334</v>
      </c>
      <c r="E219" t="s">
        <v>7</v>
      </c>
      <c r="F219">
        <v>104.9</v>
      </c>
      <c r="G219" t="str">
        <f>VLOOKUP(Table1_2[[#This Row],[Categories]],Sheet3!$A$1:$B$27,2,FALSE)</f>
        <v>Food &amp;Beverage</v>
      </c>
    </row>
    <row r="220" spans="1:7" x14ac:dyDescent="0.3">
      <c r="A220" t="s">
        <v>34</v>
      </c>
      <c r="B220">
        <v>2013</v>
      </c>
      <c r="C220" t="s">
        <v>36</v>
      </c>
      <c r="D220" s="2">
        <v>41334</v>
      </c>
      <c r="E220" t="s">
        <v>8</v>
      </c>
      <c r="F220">
        <v>105.3</v>
      </c>
      <c r="G220" t="str">
        <f>VLOOKUP(Table1_2[[#This Row],[Categories]],Sheet3!$A$1:$B$27,2,FALSE)</f>
        <v>Food &amp;Beverage</v>
      </c>
    </row>
    <row r="221" spans="1:7" x14ac:dyDescent="0.3">
      <c r="A221" t="s">
        <v>34</v>
      </c>
      <c r="B221">
        <v>2013</v>
      </c>
      <c r="C221" t="s">
        <v>36</v>
      </c>
      <c r="D221" s="2">
        <v>41334</v>
      </c>
      <c r="E221" t="s">
        <v>9</v>
      </c>
      <c r="F221">
        <v>102.2</v>
      </c>
      <c r="G221" t="str">
        <f>VLOOKUP(Table1_2[[#This Row],[Categories]],Sheet3!$A$1:$B$27,2,FALSE)</f>
        <v>Food &amp;Beverage</v>
      </c>
    </row>
    <row r="222" spans="1:7" x14ac:dyDescent="0.3">
      <c r="A222" t="s">
        <v>34</v>
      </c>
      <c r="B222">
        <v>2013</v>
      </c>
      <c r="C222" t="s">
        <v>36</v>
      </c>
      <c r="D222" s="2">
        <v>41334</v>
      </c>
      <c r="E222" t="s">
        <v>10</v>
      </c>
      <c r="F222">
        <v>105</v>
      </c>
      <c r="G222" t="str">
        <f>VLOOKUP(Table1_2[[#This Row],[Categories]],Sheet3!$A$1:$B$27,2,FALSE)</f>
        <v>Food &amp;Beverage</v>
      </c>
    </row>
    <row r="223" spans="1:7" x14ac:dyDescent="0.3">
      <c r="A223" t="s">
        <v>34</v>
      </c>
      <c r="B223">
        <v>2013</v>
      </c>
      <c r="C223" t="s">
        <v>36</v>
      </c>
      <c r="D223" s="2">
        <v>41334</v>
      </c>
      <c r="E223" t="s">
        <v>11</v>
      </c>
      <c r="F223">
        <v>104.2</v>
      </c>
      <c r="G223" t="str">
        <f>VLOOKUP(Table1_2[[#This Row],[Categories]],Sheet3!$A$1:$B$27,2,FALSE)</f>
        <v>Food &amp;Beverage</v>
      </c>
    </row>
    <row r="224" spans="1:7" x14ac:dyDescent="0.3">
      <c r="A224" t="s">
        <v>34</v>
      </c>
      <c r="B224">
        <v>2013</v>
      </c>
      <c r="C224" t="s">
        <v>36</v>
      </c>
      <c r="D224" s="2">
        <v>41334</v>
      </c>
      <c r="E224" t="s">
        <v>12</v>
      </c>
      <c r="F224">
        <v>103</v>
      </c>
      <c r="G224" t="str">
        <f>VLOOKUP(Table1_2[[#This Row],[Categories]],Sheet3!$A$1:$B$27,2,FALSE)</f>
        <v>Food &amp;Beverage</v>
      </c>
    </row>
    <row r="225" spans="1:7" x14ac:dyDescent="0.3">
      <c r="A225" t="s">
        <v>34</v>
      </c>
      <c r="B225">
        <v>2013</v>
      </c>
      <c r="C225" t="s">
        <v>36</v>
      </c>
      <c r="D225" s="2">
        <v>41334</v>
      </c>
      <c r="E225" t="s">
        <v>13</v>
      </c>
      <c r="F225">
        <v>106.2</v>
      </c>
      <c r="G225" t="str">
        <f>VLOOKUP(Table1_2[[#This Row],[Categories]],Sheet3!$A$1:$B$27,2,FALSE)</f>
        <v>Food &amp;Beverage</v>
      </c>
    </row>
    <row r="226" spans="1:7" x14ac:dyDescent="0.3">
      <c r="A226" t="s">
        <v>34</v>
      </c>
      <c r="B226">
        <v>2013</v>
      </c>
      <c r="C226" t="s">
        <v>36</v>
      </c>
      <c r="D226" s="2">
        <v>41334</v>
      </c>
      <c r="E226" t="s">
        <v>14</v>
      </c>
      <c r="F226">
        <v>108.9</v>
      </c>
      <c r="G226" t="str">
        <f>VLOOKUP(Table1_2[[#This Row],[Categories]],Sheet3!$A$1:$B$27,2,FALSE)</f>
        <v>Food &amp;Beverage</v>
      </c>
    </row>
    <row r="227" spans="1:7" x14ac:dyDescent="0.3">
      <c r="A227" t="s">
        <v>34</v>
      </c>
      <c r="B227">
        <v>2013</v>
      </c>
      <c r="C227" t="s">
        <v>36</v>
      </c>
      <c r="D227" s="2">
        <v>41334</v>
      </c>
      <c r="E227" t="s">
        <v>15</v>
      </c>
      <c r="F227">
        <v>106.9</v>
      </c>
      <c r="G227" t="str">
        <f>VLOOKUP(Table1_2[[#This Row],[Categories]],Sheet3!$A$1:$B$27,2,FALSE)</f>
        <v>Food &amp;Beverage</v>
      </c>
    </row>
    <row r="228" spans="1:7" x14ac:dyDescent="0.3">
      <c r="A228" t="s">
        <v>34</v>
      </c>
      <c r="B228">
        <v>2013</v>
      </c>
      <c r="C228" t="s">
        <v>36</v>
      </c>
      <c r="D228" s="2">
        <v>41334</v>
      </c>
      <c r="E228" t="s">
        <v>16</v>
      </c>
      <c r="F228">
        <v>106.6</v>
      </c>
      <c r="G228" t="str">
        <f>VLOOKUP(Table1_2[[#This Row],[Categories]],Sheet3!$A$1:$B$27,2,FALSE)</f>
        <v>Recreation and amusement</v>
      </c>
    </row>
    <row r="229" spans="1:7" x14ac:dyDescent="0.3">
      <c r="A229" t="s">
        <v>34</v>
      </c>
      <c r="B229">
        <v>2013</v>
      </c>
      <c r="C229" t="s">
        <v>36</v>
      </c>
      <c r="D229" s="2">
        <v>41334</v>
      </c>
      <c r="E229" t="s">
        <v>17</v>
      </c>
      <c r="F229">
        <v>107.4</v>
      </c>
      <c r="G229" t="str">
        <f>VLOOKUP(Table1_2[[#This Row],[Categories]],Sheet3!$A$1:$B$27,2,FALSE)</f>
        <v>Clothing and footwear</v>
      </c>
    </row>
    <row r="230" spans="1:7" x14ac:dyDescent="0.3">
      <c r="A230" t="s">
        <v>34</v>
      </c>
      <c r="B230">
        <v>2013</v>
      </c>
      <c r="C230" t="s">
        <v>36</v>
      </c>
      <c r="D230" s="2">
        <v>41334</v>
      </c>
      <c r="E230" t="s">
        <v>18</v>
      </c>
      <c r="F230">
        <v>106.5</v>
      </c>
      <c r="G230" t="str">
        <f>VLOOKUP(Table1_2[[#This Row],[Categories]],Sheet3!$A$1:$B$27,2,FALSE)</f>
        <v>Clothing and footwear</v>
      </c>
    </row>
    <row r="231" spans="1:7" x14ac:dyDescent="0.3">
      <c r="A231" t="s">
        <v>34</v>
      </c>
      <c r="B231">
        <v>2013</v>
      </c>
      <c r="C231" t="s">
        <v>36</v>
      </c>
      <c r="D231" s="2">
        <v>41334</v>
      </c>
      <c r="E231" t="s">
        <v>19</v>
      </c>
      <c r="F231">
        <v>107.3</v>
      </c>
      <c r="G231" t="str">
        <f>VLOOKUP(Table1_2[[#This Row],[Categories]],Sheet3!$A$1:$B$27,2,FALSE)</f>
        <v>Clothing and footwear</v>
      </c>
    </row>
    <row r="232" spans="1:7" x14ac:dyDescent="0.3">
      <c r="A232" t="s">
        <v>34</v>
      </c>
      <c r="B232">
        <v>2013</v>
      </c>
      <c r="C232" t="s">
        <v>36</v>
      </c>
      <c r="D232" s="2">
        <v>41334</v>
      </c>
      <c r="E232" t="s">
        <v>20</v>
      </c>
      <c r="F232">
        <v>100.4</v>
      </c>
      <c r="G232" t="str">
        <f>VLOOKUP(Table1_2[[#This Row],[Categories]],Sheet3!$A$1:$B$27,2,FALSE)</f>
        <v>Housing</v>
      </c>
    </row>
    <row r="233" spans="1:7" x14ac:dyDescent="0.3">
      <c r="A233" t="s">
        <v>34</v>
      </c>
      <c r="B233">
        <v>2013</v>
      </c>
      <c r="C233" t="s">
        <v>36</v>
      </c>
      <c r="D233" s="2">
        <v>41334</v>
      </c>
      <c r="E233" t="s">
        <v>21</v>
      </c>
      <c r="F233">
        <v>106.1</v>
      </c>
      <c r="G233" t="str">
        <f>VLOOKUP(Table1_2[[#This Row],[Categories]],Sheet3!$A$1:$B$27,2,FALSE)</f>
        <v>Fuel and light</v>
      </c>
    </row>
    <row r="234" spans="1:7" x14ac:dyDescent="0.3">
      <c r="A234" t="s">
        <v>34</v>
      </c>
      <c r="B234">
        <v>2013</v>
      </c>
      <c r="C234" t="s">
        <v>36</v>
      </c>
      <c r="D234" s="2">
        <v>41334</v>
      </c>
      <c r="E234" t="s">
        <v>22</v>
      </c>
      <c r="F234">
        <v>105.6</v>
      </c>
      <c r="G234" t="str">
        <f>VLOOKUP(Table1_2[[#This Row],[Categories]],Sheet3!$A$1:$B$27,2,FALSE)</f>
        <v>Household Items</v>
      </c>
    </row>
    <row r="235" spans="1:7" x14ac:dyDescent="0.3">
      <c r="A235" t="s">
        <v>34</v>
      </c>
      <c r="B235">
        <v>2013</v>
      </c>
      <c r="C235" t="s">
        <v>36</v>
      </c>
      <c r="D235" s="2">
        <v>41334</v>
      </c>
      <c r="E235" t="s">
        <v>23</v>
      </c>
      <c r="F235">
        <v>104.9</v>
      </c>
      <c r="G235" t="str">
        <f>VLOOKUP(Table1_2[[#This Row],[Categories]],Sheet3!$A$1:$B$27,2,FALSE)</f>
        <v>Health</v>
      </c>
    </row>
    <row r="236" spans="1:7" x14ac:dyDescent="0.3">
      <c r="A236" t="s">
        <v>34</v>
      </c>
      <c r="B236">
        <v>2013</v>
      </c>
      <c r="C236" t="s">
        <v>36</v>
      </c>
      <c r="D236" s="2">
        <v>41334</v>
      </c>
      <c r="E236" t="s">
        <v>24</v>
      </c>
      <c r="F236">
        <v>105.1</v>
      </c>
      <c r="G236" t="str">
        <f>VLOOKUP(Table1_2[[#This Row],[Categories]],Sheet3!$A$1:$B$27,2,FALSE)</f>
        <v>Transport and communication</v>
      </c>
    </row>
    <row r="237" spans="1:7" x14ac:dyDescent="0.3">
      <c r="A237" t="s">
        <v>34</v>
      </c>
      <c r="B237">
        <v>2013</v>
      </c>
      <c r="C237" t="s">
        <v>36</v>
      </c>
      <c r="D237" s="2">
        <v>41334</v>
      </c>
      <c r="E237" t="s">
        <v>25</v>
      </c>
      <c r="F237">
        <v>103.7</v>
      </c>
      <c r="G237" t="str">
        <f>VLOOKUP(Table1_2[[#This Row],[Categories]],Sheet3!$A$1:$B$27,2,FALSE)</f>
        <v>Recreation and amusement</v>
      </c>
    </row>
    <row r="238" spans="1:7" x14ac:dyDescent="0.3">
      <c r="A238" t="s">
        <v>34</v>
      </c>
      <c r="B238">
        <v>2013</v>
      </c>
      <c r="C238" t="s">
        <v>36</v>
      </c>
      <c r="D238" s="2">
        <v>41334</v>
      </c>
      <c r="E238" t="s">
        <v>26</v>
      </c>
      <c r="F238">
        <v>104</v>
      </c>
      <c r="G238" t="str">
        <f>VLOOKUP(Table1_2[[#This Row],[Categories]],Sheet3!$A$1:$B$27,2,FALSE)</f>
        <v>Education</v>
      </c>
    </row>
    <row r="239" spans="1:7" x14ac:dyDescent="0.3">
      <c r="A239" t="s">
        <v>34</v>
      </c>
      <c r="B239">
        <v>2013</v>
      </c>
      <c r="C239" t="s">
        <v>36</v>
      </c>
      <c r="D239" s="2">
        <v>41334</v>
      </c>
      <c r="E239" t="s">
        <v>27</v>
      </c>
      <c r="F239">
        <v>104.3</v>
      </c>
      <c r="G239" t="str">
        <f>VLOOKUP(Table1_2[[#This Row],[Categories]],Sheet3!$A$1:$B$27,2,FALSE)</f>
        <v>Household Items</v>
      </c>
    </row>
    <row r="240" spans="1:7" x14ac:dyDescent="0.3">
      <c r="A240" t="s">
        <v>34</v>
      </c>
      <c r="B240">
        <v>2013</v>
      </c>
      <c r="C240" t="s">
        <v>36</v>
      </c>
      <c r="D240" s="2">
        <v>41334</v>
      </c>
      <c r="E240" t="s">
        <v>28</v>
      </c>
      <c r="F240">
        <v>104.7</v>
      </c>
      <c r="G240" t="str">
        <f>VLOOKUP(Table1_2[[#This Row],[Categories]],Sheet3!$A$1:$B$27,2,FALSE)</f>
        <v>Miscellaneous</v>
      </c>
    </row>
    <row r="241" spans="1:7" x14ac:dyDescent="0.3">
      <c r="A241" t="s">
        <v>34</v>
      </c>
      <c r="B241">
        <v>2013</v>
      </c>
      <c r="C241" t="s">
        <v>36</v>
      </c>
      <c r="D241" s="2">
        <v>41334</v>
      </c>
      <c r="E241" t="s">
        <v>29</v>
      </c>
      <c r="F241">
        <v>105.5</v>
      </c>
      <c r="G241" t="str">
        <f>VLOOKUP(Table1_2[[#This Row],[Categories]],Sheet3!$A$1:$B$27,2,FALSE)</f>
        <v>General index</v>
      </c>
    </row>
    <row r="242" spans="1:7" x14ac:dyDescent="0.3">
      <c r="A242" t="s">
        <v>30</v>
      </c>
      <c r="B242">
        <v>2013</v>
      </c>
      <c r="C242" t="s">
        <v>37</v>
      </c>
      <c r="D242" s="2">
        <v>41365</v>
      </c>
      <c r="E242" t="s">
        <v>3</v>
      </c>
      <c r="F242">
        <v>110.2</v>
      </c>
      <c r="G242" t="str">
        <f>VLOOKUP(Table1_2[[#This Row],[Categories]],Sheet3!$A$1:$B$27,2,FALSE)</f>
        <v>Food &amp;Beverage</v>
      </c>
    </row>
    <row r="243" spans="1:7" x14ac:dyDescent="0.3">
      <c r="A243" t="s">
        <v>30</v>
      </c>
      <c r="B243">
        <v>2013</v>
      </c>
      <c r="C243" t="s">
        <v>37</v>
      </c>
      <c r="D243" s="2">
        <v>41365</v>
      </c>
      <c r="E243" t="s">
        <v>4</v>
      </c>
      <c r="F243">
        <v>109.5</v>
      </c>
      <c r="G243" t="str">
        <f>VLOOKUP(Table1_2[[#This Row],[Categories]],Sheet3!$A$1:$B$27,2,FALSE)</f>
        <v>Food &amp;Beverage</v>
      </c>
    </row>
    <row r="244" spans="1:7" x14ac:dyDescent="0.3">
      <c r="A244" t="s">
        <v>30</v>
      </c>
      <c r="B244">
        <v>2013</v>
      </c>
      <c r="C244" t="s">
        <v>37</v>
      </c>
      <c r="D244" s="2">
        <v>41365</v>
      </c>
      <c r="E244" t="s">
        <v>5</v>
      </c>
      <c r="F244">
        <v>106.9</v>
      </c>
      <c r="G244" t="str">
        <f>VLOOKUP(Table1_2[[#This Row],[Categories]],Sheet3!$A$1:$B$27,2,FALSE)</f>
        <v>Food &amp;Beverage</v>
      </c>
    </row>
    <row r="245" spans="1:7" x14ac:dyDescent="0.3">
      <c r="A245" t="s">
        <v>30</v>
      </c>
      <c r="B245">
        <v>2013</v>
      </c>
      <c r="C245" t="s">
        <v>37</v>
      </c>
      <c r="D245" s="2">
        <v>41365</v>
      </c>
      <c r="E245" t="s">
        <v>6</v>
      </c>
      <c r="F245">
        <v>106.3</v>
      </c>
      <c r="G245" t="str">
        <f>VLOOKUP(Table1_2[[#This Row],[Categories]],Sheet3!$A$1:$B$27,2,FALSE)</f>
        <v>Food &amp;Beverage</v>
      </c>
    </row>
    <row r="246" spans="1:7" x14ac:dyDescent="0.3">
      <c r="A246" t="s">
        <v>30</v>
      </c>
      <c r="B246">
        <v>2013</v>
      </c>
      <c r="C246" t="s">
        <v>37</v>
      </c>
      <c r="D246" s="2">
        <v>41365</v>
      </c>
      <c r="E246" t="s">
        <v>7</v>
      </c>
      <c r="F246">
        <v>105.7</v>
      </c>
      <c r="G246" t="str">
        <f>VLOOKUP(Table1_2[[#This Row],[Categories]],Sheet3!$A$1:$B$27,2,FALSE)</f>
        <v>Food &amp;Beverage</v>
      </c>
    </row>
    <row r="247" spans="1:7" x14ac:dyDescent="0.3">
      <c r="A247" t="s">
        <v>30</v>
      </c>
      <c r="B247">
        <v>2013</v>
      </c>
      <c r="C247" t="s">
        <v>37</v>
      </c>
      <c r="D247" s="2">
        <v>41365</v>
      </c>
      <c r="E247" t="s">
        <v>8</v>
      </c>
      <c r="F247">
        <v>108.3</v>
      </c>
      <c r="G247" t="str">
        <f>VLOOKUP(Table1_2[[#This Row],[Categories]],Sheet3!$A$1:$B$27,2,FALSE)</f>
        <v>Food &amp;Beverage</v>
      </c>
    </row>
    <row r="248" spans="1:7" x14ac:dyDescent="0.3">
      <c r="A248" t="s">
        <v>30</v>
      </c>
      <c r="B248">
        <v>2013</v>
      </c>
      <c r="C248" t="s">
        <v>37</v>
      </c>
      <c r="D248" s="2">
        <v>41365</v>
      </c>
      <c r="E248" t="s">
        <v>9</v>
      </c>
      <c r="F248">
        <v>103.4</v>
      </c>
      <c r="G248" t="str">
        <f>VLOOKUP(Table1_2[[#This Row],[Categories]],Sheet3!$A$1:$B$27,2,FALSE)</f>
        <v>Food &amp;Beverage</v>
      </c>
    </row>
    <row r="249" spans="1:7" x14ac:dyDescent="0.3">
      <c r="A249" t="s">
        <v>30</v>
      </c>
      <c r="B249">
        <v>2013</v>
      </c>
      <c r="C249" t="s">
        <v>37</v>
      </c>
      <c r="D249" s="2">
        <v>41365</v>
      </c>
      <c r="E249" t="s">
        <v>10</v>
      </c>
      <c r="F249">
        <v>105.7</v>
      </c>
      <c r="G249" t="str">
        <f>VLOOKUP(Table1_2[[#This Row],[Categories]],Sheet3!$A$1:$B$27,2,FALSE)</f>
        <v>Food &amp;Beverage</v>
      </c>
    </row>
    <row r="250" spans="1:7" x14ac:dyDescent="0.3">
      <c r="A250" t="s">
        <v>30</v>
      </c>
      <c r="B250">
        <v>2013</v>
      </c>
      <c r="C250" t="s">
        <v>37</v>
      </c>
      <c r="D250" s="2">
        <v>41365</v>
      </c>
      <c r="E250" t="s">
        <v>11</v>
      </c>
      <c r="F250">
        <v>104.2</v>
      </c>
      <c r="G250" t="str">
        <f>VLOOKUP(Table1_2[[#This Row],[Categories]],Sheet3!$A$1:$B$27,2,FALSE)</f>
        <v>Food &amp;Beverage</v>
      </c>
    </row>
    <row r="251" spans="1:7" x14ac:dyDescent="0.3">
      <c r="A251" t="s">
        <v>30</v>
      </c>
      <c r="B251">
        <v>2013</v>
      </c>
      <c r="C251" t="s">
        <v>37</v>
      </c>
      <c r="D251" s="2">
        <v>41365</v>
      </c>
      <c r="E251" t="s">
        <v>12</v>
      </c>
      <c r="F251">
        <v>103.2</v>
      </c>
      <c r="G251" t="str">
        <f>VLOOKUP(Table1_2[[#This Row],[Categories]],Sheet3!$A$1:$B$27,2,FALSE)</f>
        <v>Food &amp;Beverage</v>
      </c>
    </row>
    <row r="252" spans="1:7" x14ac:dyDescent="0.3">
      <c r="A252" t="s">
        <v>30</v>
      </c>
      <c r="B252">
        <v>2013</v>
      </c>
      <c r="C252" t="s">
        <v>37</v>
      </c>
      <c r="D252" s="2">
        <v>41365</v>
      </c>
      <c r="E252" t="s">
        <v>13</v>
      </c>
      <c r="F252">
        <v>106.5</v>
      </c>
      <c r="G252" t="str">
        <f>VLOOKUP(Table1_2[[#This Row],[Categories]],Sheet3!$A$1:$B$27,2,FALSE)</f>
        <v>Food &amp;Beverage</v>
      </c>
    </row>
    <row r="253" spans="1:7" x14ac:dyDescent="0.3">
      <c r="A253" t="s">
        <v>30</v>
      </c>
      <c r="B253">
        <v>2013</v>
      </c>
      <c r="C253" t="s">
        <v>37</v>
      </c>
      <c r="D253" s="2">
        <v>41365</v>
      </c>
      <c r="E253" t="s">
        <v>14</v>
      </c>
      <c r="F253">
        <v>108.8</v>
      </c>
      <c r="G253" t="str">
        <f>VLOOKUP(Table1_2[[#This Row],[Categories]],Sheet3!$A$1:$B$27,2,FALSE)</f>
        <v>Food &amp;Beverage</v>
      </c>
    </row>
    <row r="254" spans="1:7" x14ac:dyDescent="0.3">
      <c r="A254" t="s">
        <v>30</v>
      </c>
      <c r="B254">
        <v>2013</v>
      </c>
      <c r="C254" t="s">
        <v>37</v>
      </c>
      <c r="D254" s="2">
        <v>41365</v>
      </c>
      <c r="E254" t="s">
        <v>15</v>
      </c>
      <c r="F254">
        <v>107.1</v>
      </c>
      <c r="G254" t="str">
        <f>VLOOKUP(Table1_2[[#This Row],[Categories]],Sheet3!$A$1:$B$27,2,FALSE)</f>
        <v>Food &amp;Beverage</v>
      </c>
    </row>
    <row r="255" spans="1:7" x14ac:dyDescent="0.3">
      <c r="A255" t="s">
        <v>30</v>
      </c>
      <c r="B255">
        <v>2013</v>
      </c>
      <c r="C255" t="s">
        <v>37</v>
      </c>
      <c r="D255" s="2">
        <v>41365</v>
      </c>
      <c r="E255" t="s">
        <v>16</v>
      </c>
      <c r="F255">
        <v>107.1</v>
      </c>
      <c r="G255" t="str">
        <f>VLOOKUP(Table1_2[[#This Row],[Categories]],Sheet3!$A$1:$B$27,2,FALSE)</f>
        <v>Recreation and amusement</v>
      </c>
    </row>
    <row r="256" spans="1:7" x14ac:dyDescent="0.3">
      <c r="A256" t="s">
        <v>30</v>
      </c>
      <c r="B256">
        <v>2013</v>
      </c>
      <c r="C256" t="s">
        <v>37</v>
      </c>
      <c r="D256" s="2">
        <v>41365</v>
      </c>
      <c r="E256" t="s">
        <v>17</v>
      </c>
      <c r="F256">
        <v>108.1</v>
      </c>
      <c r="G256" t="str">
        <f>VLOOKUP(Table1_2[[#This Row],[Categories]],Sheet3!$A$1:$B$27,2,FALSE)</f>
        <v>Clothing and footwear</v>
      </c>
    </row>
    <row r="257" spans="1:7" x14ac:dyDescent="0.3">
      <c r="A257" t="s">
        <v>30</v>
      </c>
      <c r="B257">
        <v>2013</v>
      </c>
      <c r="C257" t="s">
        <v>37</v>
      </c>
      <c r="D257" s="2">
        <v>41365</v>
      </c>
      <c r="E257" t="s">
        <v>18</v>
      </c>
      <c r="F257">
        <v>107.4</v>
      </c>
      <c r="G257" t="str">
        <f>VLOOKUP(Table1_2[[#This Row],[Categories]],Sheet3!$A$1:$B$27,2,FALSE)</f>
        <v>Clothing and footwear</v>
      </c>
    </row>
    <row r="258" spans="1:7" x14ac:dyDescent="0.3">
      <c r="A258" t="s">
        <v>30</v>
      </c>
      <c r="B258">
        <v>2013</v>
      </c>
      <c r="C258" t="s">
        <v>37</v>
      </c>
      <c r="D258" s="2">
        <v>41365</v>
      </c>
      <c r="E258" t="s">
        <v>19</v>
      </c>
      <c r="F258">
        <v>108</v>
      </c>
      <c r="G258" t="str">
        <f>VLOOKUP(Table1_2[[#This Row],[Categories]],Sheet3!$A$1:$B$27,2,FALSE)</f>
        <v>Clothing and footwear</v>
      </c>
    </row>
    <row r="259" spans="1:7" x14ac:dyDescent="0.3">
      <c r="A259" t="s">
        <v>30</v>
      </c>
      <c r="B259">
        <v>2013</v>
      </c>
      <c r="C259" t="s">
        <v>37</v>
      </c>
      <c r="D259" s="2">
        <v>41365</v>
      </c>
      <c r="E259" t="s">
        <v>21</v>
      </c>
      <c r="F259">
        <v>106.5</v>
      </c>
      <c r="G259" t="str">
        <f>VLOOKUP(Table1_2[[#This Row],[Categories]],Sheet3!$A$1:$B$27,2,FALSE)</f>
        <v>Fuel and light</v>
      </c>
    </row>
    <row r="260" spans="1:7" x14ac:dyDescent="0.3">
      <c r="A260" t="s">
        <v>30</v>
      </c>
      <c r="B260">
        <v>2013</v>
      </c>
      <c r="C260" t="s">
        <v>37</v>
      </c>
      <c r="D260" s="2">
        <v>41365</v>
      </c>
      <c r="E260" t="s">
        <v>22</v>
      </c>
      <c r="F260">
        <v>106.1</v>
      </c>
      <c r="G260" t="str">
        <f>VLOOKUP(Table1_2[[#This Row],[Categories]],Sheet3!$A$1:$B$27,2,FALSE)</f>
        <v>Household Items</v>
      </c>
    </row>
    <row r="261" spans="1:7" x14ac:dyDescent="0.3">
      <c r="A261" t="s">
        <v>30</v>
      </c>
      <c r="B261">
        <v>2013</v>
      </c>
      <c r="C261" t="s">
        <v>37</v>
      </c>
      <c r="D261" s="2">
        <v>41365</v>
      </c>
      <c r="E261" t="s">
        <v>23</v>
      </c>
      <c r="F261">
        <v>105.1</v>
      </c>
      <c r="G261" t="str">
        <f>VLOOKUP(Table1_2[[#This Row],[Categories]],Sheet3!$A$1:$B$27,2,FALSE)</f>
        <v>Health</v>
      </c>
    </row>
    <row r="262" spans="1:7" x14ac:dyDescent="0.3">
      <c r="A262" t="s">
        <v>30</v>
      </c>
      <c r="B262">
        <v>2013</v>
      </c>
      <c r="C262" t="s">
        <v>37</v>
      </c>
      <c r="D262" s="2">
        <v>41365</v>
      </c>
      <c r="E262" t="s">
        <v>24</v>
      </c>
      <c r="F262">
        <v>104.4</v>
      </c>
      <c r="G262" t="str">
        <f>VLOOKUP(Table1_2[[#This Row],[Categories]],Sheet3!$A$1:$B$27,2,FALSE)</f>
        <v>Transport and communication</v>
      </c>
    </row>
    <row r="263" spans="1:7" x14ac:dyDescent="0.3">
      <c r="A263" t="s">
        <v>30</v>
      </c>
      <c r="B263">
        <v>2013</v>
      </c>
      <c r="C263" t="s">
        <v>37</v>
      </c>
      <c r="D263" s="2">
        <v>41365</v>
      </c>
      <c r="E263" t="s">
        <v>25</v>
      </c>
      <c r="F263">
        <v>104.5</v>
      </c>
      <c r="G263" t="str">
        <f>VLOOKUP(Table1_2[[#This Row],[Categories]],Sheet3!$A$1:$B$27,2,FALSE)</f>
        <v>Recreation and amusement</v>
      </c>
    </row>
    <row r="264" spans="1:7" x14ac:dyDescent="0.3">
      <c r="A264" t="s">
        <v>30</v>
      </c>
      <c r="B264">
        <v>2013</v>
      </c>
      <c r="C264" t="s">
        <v>37</v>
      </c>
      <c r="D264" s="2">
        <v>41365</v>
      </c>
      <c r="E264" t="s">
        <v>26</v>
      </c>
      <c r="F264">
        <v>104.8</v>
      </c>
      <c r="G264" t="str">
        <f>VLOOKUP(Table1_2[[#This Row],[Categories]],Sheet3!$A$1:$B$27,2,FALSE)</f>
        <v>Education</v>
      </c>
    </row>
    <row r="265" spans="1:7" x14ac:dyDescent="0.3">
      <c r="A265" t="s">
        <v>30</v>
      </c>
      <c r="B265">
        <v>2013</v>
      </c>
      <c r="C265" t="s">
        <v>37</v>
      </c>
      <c r="D265" s="2">
        <v>41365</v>
      </c>
      <c r="E265" t="s">
        <v>27</v>
      </c>
      <c r="F265">
        <v>102.7</v>
      </c>
      <c r="G265" t="str">
        <f>VLOOKUP(Table1_2[[#This Row],[Categories]],Sheet3!$A$1:$B$27,2,FALSE)</f>
        <v>Household Items</v>
      </c>
    </row>
    <row r="266" spans="1:7" x14ac:dyDescent="0.3">
      <c r="A266" t="s">
        <v>30</v>
      </c>
      <c r="B266">
        <v>2013</v>
      </c>
      <c r="C266" t="s">
        <v>37</v>
      </c>
      <c r="D266" s="2">
        <v>41365</v>
      </c>
      <c r="E266" t="s">
        <v>28</v>
      </c>
      <c r="F266">
        <v>104.6</v>
      </c>
      <c r="G266" t="str">
        <f>VLOOKUP(Table1_2[[#This Row],[Categories]],Sheet3!$A$1:$B$27,2,FALSE)</f>
        <v>Miscellaneous</v>
      </c>
    </row>
    <row r="267" spans="1:7" x14ac:dyDescent="0.3">
      <c r="A267" t="s">
        <v>30</v>
      </c>
      <c r="B267">
        <v>2013</v>
      </c>
      <c r="C267" t="s">
        <v>37</v>
      </c>
      <c r="D267" s="2">
        <v>41365</v>
      </c>
      <c r="E267" t="s">
        <v>29</v>
      </c>
      <c r="F267">
        <v>106.4</v>
      </c>
      <c r="G267" t="str">
        <f>VLOOKUP(Table1_2[[#This Row],[Categories]],Sheet3!$A$1:$B$27,2,FALSE)</f>
        <v>General index</v>
      </c>
    </row>
    <row r="268" spans="1:7" x14ac:dyDescent="0.3">
      <c r="A268" t="s">
        <v>33</v>
      </c>
      <c r="B268">
        <v>2013</v>
      </c>
      <c r="C268" t="s">
        <v>37</v>
      </c>
      <c r="D268" s="2">
        <v>41365</v>
      </c>
      <c r="E268" t="s">
        <v>3</v>
      </c>
      <c r="F268">
        <v>114.6</v>
      </c>
      <c r="G268" t="str">
        <f>VLOOKUP(Table1_2[[#This Row],[Categories]],Sheet3!$A$1:$B$27,2,FALSE)</f>
        <v>Food &amp;Beverage</v>
      </c>
    </row>
    <row r="269" spans="1:7" x14ac:dyDescent="0.3">
      <c r="A269" t="s">
        <v>33</v>
      </c>
      <c r="B269">
        <v>2013</v>
      </c>
      <c r="C269" t="s">
        <v>37</v>
      </c>
      <c r="D269" s="2">
        <v>41365</v>
      </c>
      <c r="E269" t="s">
        <v>4</v>
      </c>
      <c r="F269">
        <v>113.4</v>
      </c>
      <c r="G269" t="str">
        <f>VLOOKUP(Table1_2[[#This Row],[Categories]],Sheet3!$A$1:$B$27,2,FALSE)</f>
        <v>Food &amp;Beverage</v>
      </c>
    </row>
    <row r="270" spans="1:7" x14ac:dyDescent="0.3">
      <c r="A270" t="s">
        <v>33</v>
      </c>
      <c r="B270">
        <v>2013</v>
      </c>
      <c r="C270" t="s">
        <v>37</v>
      </c>
      <c r="D270" s="2">
        <v>41365</v>
      </c>
      <c r="E270" t="s">
        <v>5</v>
      </c>
      <c r="F270">
        <v>106</v>
      </c>
      <c r="G270" t="str">
        <f>VLOOKUP(Table1_2[[#This Row],[Categories]],Sheet3!$A$1:$B$27,2,FALSE)</f>
        <v>Food &amp;Beverage</v>
      </c>
    </row>
    <row r="271" spans="1:7" x14ac:dyDescent="0.3">
      <c r="A271" t="s">
        <v>33</v>
      </c>
      <c r="B271">
        <v>2013</v>
      </c>
      <c r="C271" t="s">
        <v>37</v>
      </c>
      <c r="D271" s="2">
        <v>41365</v>
      </c>
      <c r="E271" t="s">
        <v>6</v>
      </c>
      <c r="F271">
        <v>104.7</v>
      </c>
      <c r="G271" t="str">
        <f>VLOOKUP(Table1_2[[#This Row],[Categories]],Sheet3!$A$1:$B$27,2,FALSE)</f>
        <v>Food &amp;Beverage</v>
      </c>
    </row>
    <row r="272" spans="1:7" x14ac:dyDescent="0.3">
      <c r="A272" t="s">
        <v>33</v>
      </c>
      <c r="B272">
        <v>2013</v>
      </c>
      <c r="C272" t="s">
        <v>37</v>
      </c>
      <c r="D272" s="2">
        <v>41365</v>
      </c>
      <c r="E272" t="s">
        <v>7</v>
      </c>
      <c r="F272">
        <v>102.1</v>
      </c>
      <c r="G272" t="str">
        <f>VLOOKUP(Table1_2[[#This Row],[Categories]],Sheet3!$A$1:$B$27,2,FALSE)</f>
        <v>Food &amp;Beverage</v>
      </c>
    </row>
    <row r="273" spans="1:7" x14ac:dyDescent="0.3">
      <c r="A273" t="s">
        <v>33</v>
      </c>
      <c r="B273">
        <v>2013</v>
      </c>
      <c r="C273" t="s">
        <v>37</v>
      </c>
      <c r="D273" s="2">
        <v>41365</v>
      </c>
      <c r="E273" t="s">
        <v>8</v>
      </c>
      <c r="F273">
        <v>109.5</v>
      </c>
      <c r="G273" t="str">
        <f>VLOOKUP(Table1_2[[#This Row],[Categories]],Sheet3!$A$1:$B$27,2,FALSE)</f>
        <v>Food &amp;Beverage</v>
      </c>
    </row>
    <row r="274" spans="1:7" x14ac:dyDescent="0.3">
      <c r="A274" t="s">
        <v>33</v>
      </c>
      <c r="B274">
        <v>2013</v>
      </c>
      <c r="C274" t="s">
        <v>37</v>
      </c>
      <c r="D274" s="2">
        <v>41365</v>
      </c>
      <c r="E274" t="s">
        <v>9</v>
      </c>
      <c r="F274">
        <v>109.7</v>
      </c>
      <c r="G274" t="str">
        <f>VLOOKUP(Table1_2[[#This Row],[Categories]],Sheet3!$A$1:$B$27,2,FALSE)</f>
        <v>Food &amp;Beverage</v>
      </c>
    </row>
    <row r="275" spans="1:7" x14ac:dyDescent="0.3">
      <c r="A275" t="s">
        <v>33</v>
      </c>
      <c r="B275">
        <v>2013</v>
      </c>
      <c r="C275" t="s">
        <v>37</v>
      </c>
      <c r="D275" s="2">
        <v>41365</v>
      </c>
      <c r="E275" t="s">
        <v>10</v>
      </c>
      <c r="F275">
        <v>104.6</v>
      </c>
      <c r="G275" t="str">
        <f>VLOOKUP(Table1_2[[#This Row],[Categories]],Sheet3!$A$1:$B$27,2,FALSE)</f>
        <v>Food &amp;Beverage</v>
      </c>
    </row>
    <row r="276" spans="1:7" x14ac:dyDescent="0.3">
      <c r="A276" t="s">
        <v>33</v>
      </c>
      <c r="B276">
        <v>2013</v>
      </c>
      <c r="C276" t="s">
        <v>37</v>
      </c>
      <c r="D276" s="2">
        <v>41365</v>
      </c>
      <c r="E276" t="s">
        <v>11</v>
      </c>
      <c r="F276">
        <v>102</v>
      </c>
      <c r="G276" t="str">
        <f>VLOOKUP(Table1_2[[#This Row],[Categories]],Sheet3!$A$1:$B$27,2,FALSE)</f>
        <v>Food &amp;Beverage</v>
      </c>
    </row>
    <row r="277" spans="1:7" x14ac:dyDescent="0.3">
      <c r="A277" t="s">
        <v>33</v>
      </c>
      <c r="B277">
        <v>2013</v>
      </c>
      <c r="C277" t="s">
        <v>37</v>
      </c>
      <c r="D277" s="2">
        <v>41365</v>
      </c>
      <c r="E277" t="s">
        <v>12</v>
      </c>
      <c r="F277">
        <v>103.5</v>
      </c>
      <c r="G277" t="str">
        <f>VLOOKUP(Table1_2[[#This Row],[Categories]],Sheet3!$A$1:$B$27,2,FALSE)</f>
        <v>Food &amp;Beverage</v>
      </c>
    </row>
    <row r="278" spans="1:7" x14ac:dyDescent="0.3">
      <c r="A278" t="s">
        <v>33</v>
      </c>
      <c r="B278">
        <v>2013</v>
      </c>
      <c r="C278" t="s">
        <v>37</v>
      </c>
      <c r="D278" s="2">
        <v>41365</v>
      </c>
      <c r="E278" t="s">
        <v>13</v>
      </c>
      <c r="F278">
        <v>108.2</v>
      </c>
      <c r="G278" t="str">
        <f>VLOOKUP(Table1_2[[#This Row],[Categories]],Sheet3!$A$1:$B$27,2,FALSE)</f>
        <v>Food &amp;Beverage</v>
      </c>
    </row>
    <row r="279" spans="1:7" x14ac:dyDescent="0.3">
      <c r="A279" t="s">
        <v>33</v>
      </c>
      <c r="B279">
        <v>2013</v>
      </c>
      <c r="C279" t="s">
        <v>37</v>
      </c>
      <c r="D279" s="2">
        <v>41365</v>
      </c>
      <c r="E279" t="s">
        <v>14</v>
      </c>
      <c r="F279">
        <v>110.6</v>
      </c>
      <c r="G279" t="str">
        <f>VLOOKUP(Table1_2[[#This Row],[Categories]],Sheet3!$A$1:$B$27,2,FALSE)</f>
        <v>Food &amp;Beverage</v>
      </c>
    </row>
    <row r="280" spans="1:7" x14ac:dyDescent="0.3">
      <c r="A280" t="s">
        <v>33</v>
      </c>
      <c r="B280">
        <v>2013</v>
      </c>
      <c r="C280" t="s">
        <v>37</v>
      </c>
      <c r="D280" s="2">
        <v>41365</v>
      </c>
      <c r="E280" t="s">
        <v>15</v>
      </c>
      <c r="F280">
        <v>108.8</v>
      </c>
      <c r="G280" t="str">
        <f>VLOOKUP(Table1_2[[#This Row],[Categories]],Sheet3!$A$1:$B$27,2,FALSE)</f>
        <v>Food &amp;Beverage</v>
      </c>
    </row>
    <row r="281" spans="1:7" x14ac:dyDescent="0.3">
      <c r="A281" t="s">
        <v>33</v>
      </c>
      <c r="B281">
        <v>2013</v>
      </c>
      <c r="C281" t="s">
        <v>37</v>
      </c>
      <c r="D281" s="2">
        <v>41365</v>
      </c>
      <c r="E281" t="s">
        <v>16</v>
      </c>
      <c r="F281">
        <v>108.5</v>
      </c>
      <c r="G281" t="str">
        <f>VLOOKUP(Table1_2[[#This Row],[Categories]],Sheet3!$A$1:$B$27,2,FALSE)</f>
        <v>Recreation and amusement</v>
      </c>
    </row>
    <row r="282" spans="1:7" x14ac:dyDescent="0.3">
      <c r="A282" t="s">
        <v>33</v>
      </c>
      <c r="B282">
        <v>2013</v>
      </c>
      <c r="C282" t="s">
        <v>37</v>
      </c>
      <c r="D282" s="2">
        <v>41365</v>
      </c>
      <c r="E282" t="s">
        <v>17</v>
      </c>
      <c r="F282">
        <v>107.9</v>
      </c>
      <c r="G282" t="str">
        <f>VLOOKUP(Table1_2[[#This Row],[Categories]],Sheet3!$A$1:$B$27,2,FALSE)</f>
        <v>Clothing and footwear</v>
      </c>
    </row>
    <row r="283" spans="1:7" x14ac:dyDescent="0.3">
      <c r="A283" t="s">
        <v>33</v>
      </c>
      <c r="B283">
        <v>2013</v>
      </c>
      <c r="C283" t="s">
        <v>37</v>
      </c>
      <c r="D283" s="2">
        <v>41365</v>
      </c>
      <c r="E283" t="s">
        <v>18</v>
      </c>
      <c r="F283">
        <v>106.4</v>
      </c>
      <c r="G283" t="str">
        <f>VLOOKUP(Table1_2[[#This Row],[Categories]],Sheet3!$A$1:$B$27,2,FALSE)</f>
        <v>Clothing and footwear</v>
      </c>
    </row>
    <row r="284" spans="1:7" x14ac:dyDescent="0.3">
      <c r="A284" t="s">
        <v>33</v>
      </c>
      <c r="B284">
        <v>2013</v>
      </c>
      <c r="C284" t="s">
        <v>37</v>
      </c>
      <c r="D284" s="2">
        <v>41365</v>
      </c>
      <c r="E284" t="s">
        <v>19</v>
      </c>
      <c r="F284">
        <v>107.7</v>
      </c>
      <c r="G284" t="str">
        <f>VLOOKUP(Table1_2[[#This Row],[Categories]],Sheet3!$A$1:$B$27,2,FALSE)</f>
        <v>Clothing and footwear</v>
      </c>
    </row>
    <row r="285" spans="1:7" x14ac:dyDescent="0.3">
      <c r="A285" t="s">
        <v>33</v>
      </c>
      <c r="B285">
        <v>2013</v>
      </c>
      <c r="C285" t="s">
        <v>37</v>
      </c>
      <c r="D285" s="2">
        <v>41365</v>
      </c>
      <c r="E285" t="s">
        <v>20</v>
      </c>
      <c r="F285">
        <v>100.5</v>
      </c>
      <c r="G285" t="str">
        <f>VLOOKUP(Table1_2[[#This Row],[Categories]],Sheet3!$A$1:$B$27,2,FALSE)</f>
        <v>Housing</v>
      </c>
    </row>
    <row r="286" spans="1:7" x14ac:dyDescent="0.3">
      <c r="A286" t="s">
        <v>33</v>
      </c>
      <c r="B286">
        <v>2013</v>
      </c>
      <c r="C286" t="s">
        <v>37</v>
      </c>
      <c r="D286" s="2">
        <v>41365</v>
      </c>
      <c r="E286" t="s">
        <v>21</v>
      </c>
      <c r="F286">
        <v>106.4</v>
      </c>
      <c r="G286" t="str">
        <f>VLOOKUP(Table1_2[[#This Row],[Categories]],Sheet3!$A$1:$B$27,2,FALSE)</f>
        <v>Fuel and light</v>
      </c>
    </row>
    <row r="287" spans="1:7" x14ac:dyDescent="0.3">
      <c r="A287" t="s">
        <v>33</v>
      </c>
      <c r="B287">
        <v>2013</v>
      </c>
      <c r="C287" t="s">
        <v>37</v>
      </c>
      <c r="D287" s="2">
        <v>41365</v>
      </c>
      <c r="E287" t="s">
        <v>22</v>
      </c>
      <c r="F287">
        <v>106.5</v>
      </c>
      <c r="G287" t="str">
        <f>VLOOKUP(Table1_2[[#This Row],[Categories]],Sheet3!$A$1:$B$27,2,FALSE)</f>
        <v>Household Items</v>
      </c>
    </row>
    <row r="288" spans="1:7" x14ac:dyDescent="0.3">
      <c r="A288" t="s">
        <v>33</v>
      </c>
      <c r="B288">
        <v>2013</v>
      </c>
      <c r="C288" t="s">
        <v>37</v>
      </c>
      <c r="D288" s="2">
        <v>41365</v>
      </c>
      <c r="E288" t="s">
        <v>23</v>
      </c>
      <c r="F288">
        <v>105.7</v>
      </c>
      <c r="G288" t="str">
        <f>VLOOKUP(Table1_2[[#This Row],[Categories]],Sheet3!$A$1:$B$27,2,FALSE)</f>
        <v>Health</v>
      </c>
    </row>
    <row r="289" spans="1:7" x14ac:dyDescent="0.3">
      <c r="A289" t="s">
        <v>33</v>
      </c>
      <c r="B289">
        <v>2013</v>
      </c>
      <c r="C289" t="s">
        <v>37</v>
      </c>
      <c r="D289" s="2">
        <v>41365</v>
      </c>
      <c r="E289" t="s">
        <v>24</v>
      </c>
      <c r="F289">
        <v>105</v>
      </c>
      <c r="G289" t="str">
        <f>VLOOKUP(Table1_2[[#This Row],[Categories]],Sheet3!$A$1:$B$27,2,FALSE)</f>
        <v>Transport and communication</v>
      </c>
    </row>
    <row r="290" spans="1:7" x14ac:dyDescent="0.3">
      <c r="A290" t="s">
        <v>33</v>
      </c>
      <c r="B290">
        <v>2013</v>
      </c>
      <c r="C290" t="s">
        <v>37</v>
      </c>
      <c r="D290" s="2">
        <v>41365</v>
      </c>
      <c r="E290" t="s">
        <v>25</v>
      </c>
      <c r="F290">
        <v>104</v>
      </c>
      <c r="G290" t="str">
        <f>VLOOKUP(Table1_2[[#This Row],[Categories]],Sheet3!$A$1:$B$27,2,FALSE)</f>
        <v>Recreation and amusement</v>
      </c>
    </row>
    <row r="291" spans="1:7" x14ac:dyDescent="0.3">
      <c r="A291" t="s">
        <v>33</v>
      </c>
      <c r="B291">
        <v>2013</v>
      </c>
      <c r="C291" t="s">
        <v>37</v>
      </c>
      <c r="D291" s="2">
        <v>41365</v>
      </c>
      <c r="E291" t="s">
        <v>26</v>
      </c>
      <c r="F291">
        <v>105.2</v>
      </c>
      <c r="G291" t="str">
        <f>VLOOKUP(Table1_2[[#This Row],[Categories]],Sheet3!$A$1:$B$27,2,FALSE)</f>
        <v>Education</v>
      </c>
    </row>
    <row r="292" spans="1:7" x14ac:dyDescent="0.3">
      <c r="A292" t="s">
        <v>33</v>
      </c>
      <c r="B292">
        <v>2013</v>
      </c>
      <c r="C292" t="s">
        <v>37</v>
      </c>
      <c r="D292" s="2">
        <v>41365</v>
      </c>
      <c r="E292" t="s">
        <v>27</v>
      </c>
      <c r="F292">
        <v>103.2</v>
      </c>
      <c r="G292" t="str">
        <f>VLOOKUP(Table1_2[[#This Row],[Categories]],Sheet3!$A$1:$B$27,2,FALSE)</f>
        <v>Household Items</v>
      </c>
    </row>
    <row r="293" spans="1:7" x14ac:dyDescent="0.3">
      <c r="A293" t="s">
        <v>33</v>
      </c>
      <c r="B293">
        <v>2013</v>
      </c>
      <c r="C293" t="s">
        <v>37</v>
      </c>
      <c r="D293" s="2">
        <v>41365</v>
      </c>
      <c r="E293" t="s">
        <v>28</v>
      </c>
      <c r="F293">
        <v>105.1</v>
      </c>
      <c r="G293" t="str">
        <f>VLOOKUP(Table1_2[[#This Row],[Categories]],Sheet3!$A$1:$B$27,2,FALSE)</f>
        <v>Miscellaneous</v>
      </c>
    </row>
    <row r="294" spans="1:7" x14ac:dyDescent="0.3">
      <c r="A294" t="s">
        <v>33</v>
      </c>
      <c r="B294">
        <v>2013</v>
      </c>
      <c r="C294" t="s">
        <v>37</v>
      </c>
      <c r="D294" s="2">
        <v>41365</v>
      </c>
      <c r="E294" t="s">
        <v>29</v>
      </c>
      <c r="F294">
        <v>105.7</v>
      </c>
      <c r="G294" t="str">
        <f>VLOOKUP(Table1_2[[#This Row],[Categories]],Sheet3!$A$1:$B$27,2,FALSE)</f>
        <v>General index</v>
      </c>
    </row>
    <row r="295" spans="1:7" x14ac:dyDescent="0.3">
      <c r="A295" t="s">
        <v>34</v>
      </c>
      <c r="B295">
        <v>2013</v>
      </c>
      <c r="C295" t="s">
        <v>37</v>
      </c>
      <c r="D295" s="2">
        <v>41365</v>
      </c>
      <c r="E295" t="s">
        <v>3</v>
      </c>
      <c r="F295">
        <v>111.6</v>
      </c>
      <c r="G295" t="str">
        <f>VLOOKUP(Table1_2[[#This Row],[Categories]],Sheet3!$A$1:$B$27,2,FALSE)</f>
        <v>Food &amp;Beverage</v>
      </c>
    </row>
    <row r="296" spans="1:7" x14ac:dyDescent="0.3">
      <c r="A296" t="s">
        <v>34</v>
      </c>
      <c r="B296">
        <v>2013</v>
      </c>
      <c r="C296" t="s">
        <v>37</v>
      </c>
      <c r="D296" s="2">
        <v>41365</v>
      </c>
      <c r="E296" t="s">
        <v>4</v>
      </c>
      <c r="F296">
        <v>110.9</v>
      </c>
      <c r="G296" t="str">
        <f>VLOOKUP(Table1_2[[#This Row],[Categories]],Sheet3!$A$1:$B$27,2,FALSE)</f>
        <v>Food &amp;Beverage</v>
      </c>
    </row>
    <row r="297" spans="1:7" x14ac:dyDescent="0.3">
      <c r="A297" t="s">
        <v>34</v>
      </c>
      <c r="B297">
        <v>2013</v>
      </c>
      <c r="C297" t="s">
        <v>37</v>
      </c>
      <c r="D297" s="2">
        <v>41365</v>
      </c>
      <c r="E297" t="s">
        <v>5</v>
      </c>
      <c r="F297">
        <v>106.6</v>
      </c>
      <c r="G297" t="str">
        <f>VLOOKUP(Table1_2[[#This Row],[Categories]],Sheet3!$A$1:$B$27,2,FALSE)</f>
        <v>Food &amp;Beverage</v>
      </c>
    </row>
    <row r="298" spans="1:7" x14ac:dyDescent="0.3">
      <c r="A298" t="s">
        <v>34</v>
      </c>
      <c r="B298">
        <v>2013</v>
      </c>
      <c r="C298" t="s">
        <v>37</v>
      </c>
      <c r="D298" s="2">
        <v>41365</v>
      </c>
      <c r="E298" t="s">
        <v>6</v>
      </c>
      <c r="F298">
        <v>105.7</v>
      </c>
      <c r="G298" t="str">
        <f>VLOOKUP(Table1_2[[#This Row],[Categories]],Sheet3!$A$1:$B$27,2,FALSE)</f>
        <v>Food &amp;Beverage</v>
      </c>
    </row>
    <row r="299" spans="1:7" x14ac:dyDescent="0.3">
      <c r="A299" t="s">
        <v>34</v>
      </c>
      <c r="B299">
        <v>2013</v>
      </c>
      <c r="C299" t="s">
        <v>37</v>
      </c>
      <c r="D299" s="2">
        <v>41365</v>
      </c>
      <c r="E299" t="s">
        <v>7</v>
      </c>
      <c r="F299">
        <v>104.4</v>
      </c>
      <c r="G299" t="str">
        <f>VLOOKUP(Table1_2[[#This Row],[Categories]],Sheet3!$A$1:$B$27,2,FALSE)</f>
        <v>Food &amp;Beverage</v>
      </c>
    </row>
    <row r="300" spans="1:7" x14ac:dyDescent="0.3">
      <c r="A300" t="s">
        <v>34</v>
      </c>
      <c r="B300">
        <v>2013</v>
      </c>
      <c r="C300" t="s">
        <v>37</v>
      </c>
      <c r="D300" s="2">
        <v>41365</v>
      </c>
      <c r="E300" t="s">
        <v>8</v>
      </c>
      <c r="F300">
        <v>108.9</v>
      </c>
      <c r="G300" t="str">
        <f>VLOOKUP(Table1_2[[#This Row],[Categories]],Sheet3!$A$1:$B$27,2,FALSE)</f>
        <v>Food &amp;Beverage</v>
      </c>
    </row>
    <row r="301" spans="1:7" x14ac:dyDescent="0.3">
      <c r="A301" t="s">
        <v>34</v>
      </c>
      <c r="B301">
        <v>2013</v>
      </c>
      <c r="C301" t="s">
        <v>37</v>
      </c>
      <c r="D301" s="2">
        <v>41365</v>
      </c>
      <c r="E301" t="s">
        <v>9</v>
      </c>
      <c r="F301">
        <v>105.5</v>
      </c>
      <c r="G301" t="str">
        <f>VLOOKUP(Table1_2[[#This Row],[Categories]],Sheet3!$A$1:$B$27,2,FALSE)</f>
        <v>Food &amp;Beverage</v>
      </c>
    </row>
    <row r="302" spans="1:7" x14ac:dyDescent="0.3">
      <c r="A302" t="s">
        <v>34</v>
      </c>
      <c r="B302">
        <v>2013</v>
      </c>
      <c r="C302" t="s">
        <v>37</v>
      </c>
      <c r="D302" s="2">
        <v>41365</v>
      </c>
      <c r="E302" t="s">
        <v>10</v>
      </c>
      <c r="F302">
        <v>105.3</v>
      </c>
      <c r="G302" t="str">
        <f>VLOOKUP(Table1_2[[#This Row],[Categories]],Sheet3!$A$1:$B$27,2,FALSE)</f>
        <v>Food &amp;Beverage</v>
      </c>
    </row>
    <row r="303" spans="1:7" x14ac:dyDescent="0.3">
      <c r="A303" t="s">
        <v>34</v>
      </c>
      <c r="B303">
        <v>2013</v>
      </c>
      <c r="C303" t="s">
        <v>37</v>
      </c>
      <c r="D303" s="2">
        <v>41365</v>
      </c>
      <c r="E303" t="s">
        <v>11</v>
      </c>
      <c r="F303">
        <v>103.5</v>
      </c>
      <c r="G303" t="str">
        <f>VLOOKUP(Table1_2[[#This Row],[Categories]],Sheet3!$A$1:$B$27,2,FALSE)</f>
        <v>Food &amp;Beverage</v>
      </c>
    </row>
    <row r="304" spans="1:7" x14ac:dyDescent="0.3">
      <c r="A304" t="s">
        <v>34</v>
      </c>
      <c r="B304">
        <v>2013</v>
      </c>
      <c r="C304" t="s">
        <v>37</v>
      </c>
      <c r="D304" s="2">
        <v>41365</v>
      </c>
      <c r="E304" t="s">
        <v>12</v>
      </c>
      <c r="F304">
        <v>103.3</v>
      </c>
      <c r="G304" t="str">
        <f>VLOOKUP(Table1_2[[#This Row],[Categories]],Sheet3!$A$1:$B$27,2,FALSE)</f>
        <v>Food &amp;Beverage</v>
      </c>
    </row>
    <row r="305" spans="1:7" x14ac:dyDescent="0.3">
      <c r="A305" t="s">
        <v>34</v>
      </c>
      <c r="B305">
        <v>2013</v>
      </c>
      <c r="C305" t="s">
        <v>37</v>
      </c>
      <c r="D305" s="2">
        <v>41365</v>
      </c>
      <c r="E305" t="s">
        <v>13</v>
      </c>
      <c r="F305">
        <v>107.2</v>
      </c>
      <c r="G305" t="str">
        <f>VLOOKUP(Table1_2[[#This Row],[Categories]],Sheet3!$A$1:$B$27,2,FALSE)</f>
        <v>Food &amp;Beverage</v>
      </c>
    </row>
    <row r="306" spans="1:7" x14ac:dyDescent="0.3">
      <c r="A306" t="s">
        <v>34</v>
      </c>
      <c r="B306">
        <v>2013</v>
      </c>
      <c r="C306" t="s">
        <v>37</v>
      </c>
      <c r="D306" s="2">
        <v>41365</v>
      </c>
      <c r="E306" t="s">
        <v>14</v>
      </c>
      <c r="F306">
        <v>109.6</v>
      </c>
      <c r="G306" t="str">
        <f>VLOOKUP(Table1_2[[#This Row],[Categories]],Sheet3!$A$1:$B$27,2,FALSE)</f>
        <v>Food &amp;Beverage</v>
      </c>
    </row>
    <row r="307" spans="1:7" x14ac:dyDescent="0.3">
      <c r="A307" t="s">
        <v>34</v>
      </c>
      <c r="B307">
        <v>2013</v>
      </c>
      <c r="C307" t="s">
        <v>37</v>
      </c>
      <c r="D307" s="2">
        <v>41365</v>
      </c>
      <c r="E307" t="s">
        <v>15</v>
      </c>
      <c r="F307">
        <v>107.7</v>
      </c>
      <c r="G307" t="str">
        <f>VLOOKUP(Table1_2[[#This Row],[Categories]],Sheet3!$A$1:$B$27,2,FALSE)</f>
        <v>Food &amp;Beverage</v>
      </c>
    </row>
    <row r="308" spans="1:7" x14ac:dyDescent="0.3">
      <c r="A308" t="s">
        <v>34</v>
      </c>
      <c r="B308">
        <v>2013</v>
      </c>
      <c r="C308" t="s">
        <v>37</v>
      </c>
      <c r="D308" s="2">
        <v>41365</v>
      </c>
      <c r="E308" t="s">
        <v>16</v>
      </c>
      <c r="F308">
        <v>107.5</v>
      </c>
      <c r="G308" t="str">
        <f>VLOOKUP(Table1_2[[#This Row],[Categories]],Sheet3!$A$1:$B$27,2,FALSE)</f>
        <v>Recreation and amusement</v>
      </c>
    </row>
    <row r="309" spans="1:7" x14ac:dyDescent="0.3">
      <c r="A309" t="s">
        <v>34</v>
      </c>
      <c r="B309">
        <v>2013</v>
      </c>
      <c r="C309" t="s">
        <v>37</v>
      </c>
      <c r="D309" s="2">
        <v>41365</v>
      </c>
      <c r="E309" t="s">
        <v>17</v>
      </c>
      <c r="F309">
        <v>108</v>
      </c>
      <c r="G309" t="str">
        <f>VLOOKUP(Table1_2[[#This Row],[Categories]],Sheet3!$A$1:$B$27,2,FALSE)</f>
        <v>Clothing and footwear</v>
      </c>
    </row>
    <row r="310" spans="1:7" x14ac:dyDescent="0.3">
      <c r="A310" t="s">
        <v>34</v>
      </c>
      <c r="B310">
        <v>2013</v>
      </c>
      <c r="C310" t="s">
        <v>37</v>
      </c>
      <c r="D310" s="2">
        <v>41365</v>
      </c>
      <c r="E310" t="s">
        <v>18</v>
      </c>
      <c r="F310">
        <v>107</v>
      </c>
      <c r="G310" t="str">
        <f>VLOOKUP(Table1_2[[#This Row],[Categories]],Sheet3!$A$1:$B$27,2,FALSE)</f>
        <v>Clothing and footwear</v>
      </c>
    </row>
    <row r="311" spans="1:7" x14ac:dyDescent="0.3">
      <c r="A311" t="s">
        <v>34</v>
      </c>
      <c r="B311">
        <v>2013</v>
      </c>
      <c r="C311" t="s">
        <v>37</v>
      </c>
      <c r="D311" s="2">
        <v>41365</v>
      </c>
      <c r="E311" t="s">
        <v>19</v>
      </c>
      <c r="F311">
        <v>107.9</v>
      </c>
      <c r="G311" t="str">
        <f>VLOOKUP(Table1_2[[#This Row],[Categories]],Sheet3!$A$1:$B$27,2,FALSE)</f>
        <v>Clothing and footwear</v>
      </c>
    </row>
    <row r="312" spans="1:7" x14ac:dyDescent="0.3">
      <c r="A312" t="s">
        <v>34</v>
      </c>
      <c r="B312">
        <v>2013</v>
      </c>
      <c r="C312" t="s">
        <v>37</v>
      </c>
      <c r="D312" s="2">
        <v>41365</v>
      </c>
      <c r="E312" t="s">
        <v>20</v>
      </c>
      <c r="F312">
        <v>100.5</v>
      </c>
      <c r="G312" t="str">
        <f>VLOOKUP(Table1_2[[#This Row],[Categories]],Sheet3!$A$1:$B$27,2,FALSE)</f>
        <v>Housing</v>
      </c>
    </row>
    <row r="313" spans="1:7" x14ac:dyDescent="0.3">
      <c r="A313" t="s">
        <v>34</v>
      </c>
      <c r="B313">
        <v>2013</v>
      </c>
      <c r="C313" t="s">
        <v>37</v>
      </c>
      <c r="D313" s="2">
        <v>41365</v>
      </c>
      <c r="E313" t="s">
        <v>21</v>
      </c>
      <c r="F313">
        <v>106.5</v>
      </c>
      <c r="G313" t="str">
        <f>VLOOKUP(Table1_2[[#This Row],[Categories]],Sheet3!$A$1:$B$27,2,FALSE)</f>
        <v>Fuel and light</v>
      </c>
    </row>
    <row r="314" spans="1:7" x14ac:dyDescent="0.3">
      <c r="A314" t="s">
        <v>34</v>
      </c>
      <c r="B314">
        <v>2013</v>
      </c>
      <c r="C314" t="s">
        <v>37</v>
      </c>
      <c r="D314" s="2">
        <v>41365</v>
      </c>
      <c r="E314" t="s">
        <v>22</v>
      </c>
      <c r="F314">
        <v>106.3</v>
      </c>
      <c r="G314" t="str">
        <f>VLOOKUP(Table1_2[[#This Row],[Categories]],Sheet3!$A$1:$B$27,2,FALSE)</f>
        <v>Household Items</v>
      </c>
    </row>
    <row r="315" spans="1:7" x14ac:dyDescent="0.3">
      <c r="A315" t="s">
        <v>34</v>
      </c>
      <c r="B315">
        <v>2013</v>
      </c>
      <c r="C315" t="s">
        <v>37</v>
      </c>
      <c r="D315" s="2">
        <v>41365</v>
      </c>
      <c r="E315" t="s">
        <v>23</v>
      </c>
      <c r="F315">
        <v>105.3</v>
      </c>
      <c r="G315" t="str">
        <f>VLOOKUP(Table1_2[[#This Row],[Categories]],Sheet3!$A$1:$B$27,2,FALSE)</f>
        <v>Health</v>
      </c>
    </row>
    <row r="316" spans="1:7" x14ac:dyDescent="0.3">
      <c r="A316" t="s">
        <v>34</v>
      </c>
      <c r="B316">
        <v>2013</v>
      </c>
      <c r="C316" t="s">
        <v>37</v>
      </c>
      <c r="D316" s="2">
        <v>41365</v>
      </c>
      <c r="E316" t="s">
        <v>24</v>
      </c>
      <c r="F316">
        <v>104.7</v>
      </c>
      <c r="G316" t="str">
        <f>VLOOKUP(Table1_2[[#This Row],[Categories]],Sheet3!$A$1:$B$27,2,FALSE)</f>
        <v>Transport and communication</v>
      </c>
    </row>
    <row r="317" spans="1:7" x14ac:dyDescent="0.3">
      <c r="A317" t="s">
        <v>34</v>
      </c>
      <c r="B317">
        <v>2013</v>
      </c>
      <c r="C317" t="s">
        <v>37</v>
      </c>
      <c r="D317" s="2">
        <v>41365</v>
      </c>
      <c r="E317" t="s">
        <v>25</v>
      </c>
      <c r="F317">
        <v>104.2</v>
      </c>
      <c r="G317" t="str">
        <f>VLOOKUP(Table1_2[[#This Row],[Categories]],Sheet3!$A$1:$B$27,2,FALSE)</f>
        <v>Recreation and amusement</v>
      </c>
    </row>
    <row r="318" spans="1:7" x14ac:dyDescent="0.3">
      <c r="A318" t="s">
        <v>34</v>
      </c>
      <c r="B318">
        <v>2013</v>
      </c>
      <c r="C318" t="s">
        <v>37</v>
      </c>
      <c r="D318" s="2">
        <v>41365</v>
      </c>
      <c r="E318" t="s">
        <v>26</v>
      </c>
      <c r="F318">
        <v>105</v>
      </c>
      <c r="G318" t="str">
        <f>VLOOKUP(Table1_2[[#This Row],[Categories]],Sheet3!$A$1:$B$27,2,FALSE)</f>
        <v>Education</v>
      </c>
    </row>
    <row r="319" spans="1:7" x14ac:dyDescent="0.3">
      <c r="A319" t="s">
        <v>34</v>
      </c>
      <c r="B319">
        <v>2013</v>
      </c>
      <c r="C319" t="s">
        <v>37</v>
      </c>
      <c r="D319" s="2">
        <v>41365</v>
      </c>
      <c r="E319" t="s">
        <v>27</v>
      </c>
      <c r="F319">
        <v>102.9</v>
      </c>
      <c r="G319" t="str">
        <f>VLOOKUP(Table1_2[[#This Row],[Categories]],Sheet3!$A$1:$B$27,2,FALSE)</f>
        <v>Household Items</v>
      </c>
    </row>
    <row r="320" spans="1:7" x14ac:dyDescent="0.3">
      <c r="A320" t="s">
        <v>34</v>
      </c>
      <c r="B320">
        <v>2013</v>
      </c>
      <c r="C320" t="s">
        <v>37</v>
      </c>
      <c r="D320" s="2">
        <v>41365</v>
      </c>
      <c r="E320" t="s">
        <v>28</v>
      </c>
      <c r="F320">
        <v>104.8</v>
      </c>
      <c r="G320" t="str">
        <f>VLOOKUP(Table1_2[[#This Row],[Categories]],Sheet3!$A$1:$B$27,2,FALSE)</f>
        <v>Miscellaneous</v>
      </c>
    </row>
    <row r="321" spans="1:7" x14ac:dyDescent="0.3">
      <c r="A321" t="s">
        <v>34</v>
      </c>
      <c r="B321">
        <v>2013</v>
      </c>
      <c r="C321" t="s">
        <v>37</v>
      </c>
      <c r="D321" s="2">
        <v>41365</v>
      </c>
      <c r="E321" t="s">
        <v>29</v>
      </c>
      <c r="F321">
        <v>106.1</v>
      </c>
      <c r="G321" t="str">
        <f>VLOOKUP(Table1_2[[#This Row],[Categories]],Sheet3!$A$1:$B$27,2,FALSE)</f>
        <v>General index</v>
      </c>
    </row>
    <row r="322" spans="1:7" x14ac:dyDescent="0.3">
      <c r="A322" t="s">
        <v>30</v>
      </c>
      <c r="B322">
        <v>2013</v>
      </c>
      <c r="C322" t="s">
        <v>38</v>
      </c>
      <c r="D322" s="2">
        <v>41395</v>
      </c>
      <c r="E322" t="s">
        <v>3</v>
      </c>
      <c r="F322">
        <v>110.9</v>
      </c>
      <c r="G322" t="str">
        <f>VLOOKUP(Table1_2[[#This Row],[Categories]],Sheet3!$A$1:$B$27,2,FALSE)</f>
        <v>Food &amp;Beverage</v>
      </c>
    </row>
    <row r="323" spans="1:7" x14ac:dyDescent="0.3">
      <c r="A323" t="s">
        <v>30</v>
      </c>
      <c r="B323">
        <v>2013</v>
      </c>
      <c r="C323" t="s">
        <v>38</v>
      </c>
      <c r="D323" s="2">
        <v>41395</v>
      </c>
      <c r="E323" t="s">
        <v>4</v>
      </c>
      <c r="F323">
        <v>109.8</v>
      </c>
      <c r="G323" t="str">
        <f>VLOOKUP(Table1_2[[#This Row],[Categories]],Sheet3!$A$1:$B$27,2,FALSE)</f>
        <v>Food &amp;Beverage</v>
      </c>
    </row>
    <row r="324" spans="1:7" x14ac:dyDescent="0.3">
      <c r="A324" t="s">
        <v>30</v>
      </c>
      <c r="B324">
        <v>2013</v>
      </c>
      <c r="C324" t="s">
        <v>38</v>
      </c>
      <c r="D324" s="2">
        <v>41395</v>
      </c>
      <c r="E324" t="s">
        <v>5</v>
      </c>
      <c r="F324">
        <v>105.9</v>
      </c>
      <c r="G324" t="str">
        <f>VLOOKUP(Table1_2[[#This Row],[Categories]],Sheet3!$A$1:$B$27,2,FALSE)</f>
        <v>Food &amp;Beverage</v>
      </c>
    </row>
    <row r="325" spans="1:7" x14ac:dyDescent="0.3">
      <c r="A325" t="s">
        <v>30</v>
      </c>
      <c r="B325">
        <v>2013</v>
      </c>
      <c r="C325" t="s">
        <v>38</v>
      </c>
      <c r="D325" s="2">
        <v>41395</v>
      </c>
      <c r="E325" t="s">
        <v>6</v>
      </c>
      <c r="F325">
        <v>107.5</v>
      </c>
      <c r="G325" t="str">
        <f>VLOOKUP(Table1_2[[#This Row],[Categories]],Sheet3!$A$1:$B$27,2,FALSE)</f>
        <v>Food &amp;Beverage</v>
      </c>
    </row>
    <row r="326" spans="1:7" x14ac:dyDescent="0.3">
      <c r="A326" t="s">
        <v>30</v>
      </c>
      <c r="B326">
        <v>2013</v>
      </c>
      <c r="C326" t="s">
        <v>38</v>
      </c>
      <c r="D326" s="2">
        <v>41395</v>
      </c>
      <c r="E326" t="s">
        <v>7</v>
      </c>
      <c r="F326">
        <v>105.3</v>
      </c>
      <c r="G326" t="str">
        <f>VLOOKUP(Table1_2[[#This Row],[Categories]],Sheet3!$A$1:$B$27,2,FALSE)</f>
        <v>Food &amp;Beverage</v>
      </c>
    </row>
    <row r="327" spans="1:7" x14ac:dyDescent="0.3">
      <c r="A327" t="s">
        <v>30</v>
      </c>
      <c r="B327">
        <v>2013</v>
      </c>
      <c r="C327" t="s">
        <v>38</v>
      </c>
      <c r="D327" s="2">
        <v>41395</v>
      </c>
      <c r="E327" t="s">
        <v>8</v>
      </c>
      <c r="F327">
        <v>108.1</v>
      </c>
      <c r="G327" t="str">
        <f>VLOOKUP(Table1_2[[#This Row],[Categories]],Sheet3!$A$1:$B$27,2,FALSE)</f>
        <v>Food &amp;Beverage</v>
      </c>
    </row>
    <row r="328" spans="1:7" x14ac:dyDescent="0.3">
      <c r="A328" t="s">
        <v>30</v>
      </c>
      <c r="B328">
        <v>2013</v>
      </c>
      <c r="C328" t="s">
        <v>38</v>
      </c>
      <c r="D328" s="2">
        <v>41395</v>
      </c>
      <c r="E328" t="s">
        <v>9</v>
      </c>
      <c r="F328">
        <v>107.3</v>
      </c>
      <c r="G328" t="str">
        <f>VLOOKUP(Table1_2[[#This Row],[Categories]],Sheet3!$A$1:$B$27,2,FALSE)</f>
        <v>Food &amp;Beverage</v>
      </c>
    </row>
    <row r="329" spans="1:7" x14ac:dyDescent="0.3">
      <c r="A329" t="s">
        <v>30</v>
      </c>
      <c r="B329">
        <v>2013</v>
      </c>
      <c r="C329" t="s">
        <v>38</v>
      </c>
      <c r="D329" s="2">
        <v>41395</v>
      </c>
      <c r="E329" t="s">
        <v>10</v>
      </c>
      <c r="F329">
        <v>106.1</v>
      </c>
      <c r="G329" t="str">
        <f>VLOOKUP(Table1_2[[#This Row],[Categories]],Sheet3!$A$1:$B$27,2,FALSE)</f>
        <v>Food &amp;Beverage</v>
      </c>
    </row>
    <row r="330" spans="1:7" x14ac:dyDescent="0.3">
      <c r="A330" t="s">
        <v>30</v>
      </c>
      <c r="B330">
        <v>2013</v>
      </c>
      <c r="C330" t="s">
        <v>38</v>
      </c>
      <c r="D330" s="2">
        <v>41395</v>
      </c>
      <c r="E330" t="s">
        <v>11</v>
      </c>
      <c r="F330">
        <v>103.7</v>
      </c>
      <c r="G330" t="str">
        <f>VLOOKUP(Table1_2[[#This Row],[Categories]],Sheet3!$A$1:$B$27,2,FALSE)</f>
        <v>Food &amp;Beverage</v>
      </c>
    </row>
    <row r="331" spans="1:7" x14ac:dyDescent="0.3">
      <c r="A331" t="s">
        <v>30</v>
      </c>
      <c r="B331">
        <v>2013</v>
      </c>
      <c r="C331" t="s">
        <v>38</v>
      </c>
      <c r="D331" s="2">
        <v>41395</v>
      </c>
      <c r="E331" t="s">
        <v>12</v>
      </c>
      <c r="F331">
        <v>104</v>
      </c>
      <c r="G331" t="str">
        <f>VLOOKUP(Table1_2[[#This Row],[Categories]],Sheet3!$A$1:$B$27,2,FALSE)</f>
        <v>Food &amp;Beverage</v>
      </c>
    </row>
    <row r="332" spans="1:7" x14ac:dyDescent="0.3">
      <c r="A332" t="s">
        <v>30</v>
      </c>
      <c r="B332">
        <v>2013</v>
      </c>
      <c r="C332" t="s">
        <v>38</v>
      </c>
      <c r="D332" s="2">
        <v>41395</v>
      </c>
      <c r="E332" t="s">
        <v>13</v>
      </c>
      <c r="F332">
        <v>107.4</v>
      </c>
      <c r="G332" t="str">
        <f>VLOOKUP(Table1_2[[#This Row],[Categories]],Sheet3!$A$1:$B$27,2,FALSE)</f>
        <v>Food &amp;Beverage</v>
      </c>
    </row>
    <row r="333" spans="1:7" x14ac:dyDescent="0.3">
      <c r="A333" t="s">
        <v>30</v>
      </c>
      <c r="B333">
        <v>2013</v>
      </c>
      <c r="C333" t="s">
        <v>38</v>
      </c>
      <c r="D333" s="2">
        <v>41395</v>
      </c>
      <c r="E333" t="s">
        <v>14</v>
      </c>
      <c r="F333">
        <v>109.9</v>
      </c>
      <c r="G333" t="str">
        <f>VLOOKUP(Table1_2[[#This Row],[Categories]],Sheet3!$A$1:$B$27,2,FALSE)</f>
        <v>Food &amp;Beverage</v>
      </c>
    </row>
    <row r="334" spans="1:7" x14ac:dyDescent="0.3">
      <c r="A334" t="s">
        <v>30</v>
      </c>
      <c r="B334">
        <v>2013</v>
      </c>
      <c r="C334" t="s">
        <v>38</v>
      </c>
      <c r="D334" s="2">
        <v>41395</v>
      </c>
      <c r="E334" t="s">
        <v>15</v>
      </c>
      <c r="F334">
        <v>108.1</v>
      </c>
      <c r="G334" t="str">
        <f>VLOOKUP(Table1_2[[#This Row],[Categories]],Sheet3!$A$1:$B$27,2,FALSE)</f>
        <v>Food &amp;Beverage</v>
      </c>
    </row>
    <row r="335" spans="1:7" x14ac:dyDescent="0.3">
      <c r="A335" t="s">
        <v>30</v>
      </c>
      <c r="B335">
        <v>2013</v>
      </c>
      <c r="C335" t="s">
        <v>38</v>
      </c>
      <c r="D335" s="2">
        <v>41395</v>
      </c>
      <c r="E335" t="s">
        <v>16</v>
      </c>
      <c r="F335">
        <v>108.1</v>
      </c>
      <c r="G335" t="str">
        <f>VLOOKUP(Table1_2[[#This Row],[Categories]],Sheet3!$A$1:$B$27,2,FALSE)</f>
        <v>Recreation and amusement</v>
      </c>
    </row>
    <row r="336" spans="1:7" x14ac:dyDescent="0.3">
      <c r="A336" t="s">
        <v>30</v>
      </c>
      <c r="B336">
        <v>2013</v>
      </c>
      <c r="C336" t="s">
        <v>38</v>
      </c>
      <c r="D336" s="2">
        <v>41395</v>
      </c>
      <c r="E336" t="s">
        <v>17</v>
      </c>
      <c r="F336">
        <v>108.8</v>
      </c>
      <c r="G336" t="str">
        <f>VLOOKUP(Table1_2[[#This Row],[Categories]],Sheet3!$A$1:$B$27,2,FALSE)</f>
        <v>Clothing and footwear</v>
      </c>
    </row>
    <row r="337" spans="1:7" x14ac:dyDescent="0.3">
      <c r="A337" t="s">
        <v>30</v>
      </c>
      <c r="B337">
        <v>2013</v>
      </c>
      <c r="C337" t="s">
        <v>38</v>
      </c>
      <c r="D337" s="2">
        <v>41395</v>
      </c>
      <c r="E337" t="s">
        <v>18</v>
      </c>
      <c r="F337">
        <v>107.9</v>
      </c>
      <c r="G337" t="str">
        <f>VLOOKUP(Table1_2[[#This Row],[Categories]],Sheet3!$A$1:$B$27,2,FALSE)</f>
        <v>Clothing and footwear</v>
      </c>
    </row>
    <row r="338" spans="1:7" x14ac:dyDescent="0.3">
      <c r="A338" t="s">
        <v>30</v>
      </c>
      <c r="B338">
        <v>2013</v>
      </c>
      <c r="C338" t="s">
        <v>38</v>
      </c>
      <c r="D338" s="2">
        <v>41395</v>
      </c>
      <c r="E338" t="s">
        <v>19</v>
      </c>
      <c r="F338">
        <v>108.6</v>
      </c>
      <c r="G338" t="str">
        <f>VLOOKUP(Table1_2[[#This Row],[Categories]],Sheet3!$A$1:$B$27,2,FALSE)</f>
        <v>Clothing and footwear</v>
      </c>
    </row>
    <row r="339" spans="1:7" x14ac:dyDescent="0.3">
      <c r="A339" t="s">
        <v>30</v>
      </c>
      <c r="B339">
        <v>2013</v>
      </c>
      <c r="C339" t="s">
        <v>38</v>
      </c>
      <c r="D339" s="2">
        <v>41395</v>
      </c>
      <c r="E339" t="s">
        <v>21</v>
      </c>
      <c r="F339">
        <v>107.5</v>
      </c>
      <c r="G339" t="str">
        <f>VLOOKUP(Table1_2[[#This Row],[Categories]],Sheet3!$A$1:$B$27,2,FALSE)</f>
        <v>Fuel and light</v>
      </c>
    </row>
    <row r="340" spans="1:7" x14ac:dyDescent="0.3">
      <c r="A340" t="s">
        <v>30</v>
      </c>
      <c r="B340">
        <v>2013</v>
      </c>
      <c r="C340" t="s">
        <v>38</v>
      </c>
      <c r="D340" s="2">
        <v>41395</v>
      </c>
      <c r="E340" t="s">
        <v>22</v>
      </c>
      <c r="F340">
        <v>106.8</v>
      </c>
      <c r="G340" t="str">
        <f>VLOOKUP(Table1_2[[#This Row],[Categories]],Sheet3!$A$1:$B$27,2,FALSE)</f>
        <v>Household Items</v>
      </c>
    </row>
    <row r="341" spans="1:7" x14ac:dyDescent="0.3">
      <c r="A341" t="s">
        <v>30</v>
      </c>
      <c r="B341">
        <v>2013</v>
      </c>
      <c r="C341" t="s">
        <v>38</v>
      </c>
      <c r="D341" s="2">
        <v>41395</v>
      </c>
      <c r="E341" t="s">
        <v>23</v>
      </c>
      <c r="F341">
        <v>105.7</v>
      </c>
      <c r="G341" t="str">
        <f>VLOOKUP(Table1_2[[#This Row],[Categories]],Sheet3!$A$1:$B$27,2,FALSE)</f>
        <v>Health</v>
      </c>
    </row>
    <row r="342" spans="1:7" x14ac:dyDescent="0.3">
      <c r="A342" t="s">
        <v>30</v>
      </c>
      <c r="B342">
        <v>2013</v>
      </c>
      <c r="C342" t="s">
        <v>38</v>
      </c>
      <c r="D342" s="2">
        <v>41395</v>
      </c>
      <c r="E342" t="s">
        <v>24</v>
      </c>
      <c r="F342">
        <v>104.1</v>
      </c>
      <c r="G342" t="str">
        <f>VLOOKUP(Table1_2[[#This Row],[Categories]],Sheet3!$A$1:$B$27,2,FALSE)</f>
        <v>Transport and communication</v>
      </c>
    </row>
    <row r="343" spans="1:7" x14ac:dyDescent="0.3">
      <c r="A343" t="s">
        <v>30</v>
      </c>
      <c r="B343">
        <v>2013</v>
      </c>
      <c r="C343" t="s">
        <v>38</v>
      </c>
      <c r="D343" s="2">
        <v>41395</v>
      </c>
      <c r="E343" t="s">
        <v>25</v>
      </c>
      <c r="F343">
        <v>105</v>
      </c>
      <c r="G343" t="str">
        <f>VLOOKUP(Table1_2[[#This Row],[Categories]],Sheet3!$A$1:$B$27,2,FALSE)</f>
        <v>Recreation and amusement</v>
      </c>
    </row>
    <row r="344" spans="1:7" x14ac:dyDescent="0.3">
      <c r="A344" t="s">
        <v>30</v>
      </c>
      <c r="B344">
        <v>2013</v>
      </c>
      <c r="C344" t="s">
        <v>38</v>
      </c>
      <c r="D344" s="2">
        <v>41395</v>
      </c>
      <c r="E344" t="s">
        <v>26</v>
      </c>
      <c r="F344">
        <v>105.5</v>
      </c>
      <c r="G344" t="str">
        <f>VLOOKUP(Table1_2[[#This Row],[Categories]],Sheet3!$A$1:$B$27,2,FALSE)</f>
        <v>Education</v>
      </c>
    </row>
    <row r="345" spans="1:7" x14ac:dyDescent="0.3">
      <c r="A345" t="s">
        <v>30</v>
      </c>
      <c r="B345">
        <v>2013</v>
      </c>
      <c r="C345" t="s">
        <v>38</v>
      </c>
      <c r="D345" s="2">
        <v>41395</v>
      </c>
      <c r="E345" t="s">
        <v>27</v>
      </c>
      <c r="F345">
        <v>102.1</v>
      </c>
      <c r="G345" t="str">
        <f>VLOOKUP(Table1_2[[#This Row],[Categories]],Sheet3!$A$1:$B$27,2,FALSE)</f>
        <v>Household Items</v>
      </c>
    </row>
    <row r="346" spans="1:7" x14ac:dyDescent="0.3">
      <c r="A346" t="s">
        <v>30</v>
      </c>
      <c r="B346">
        <v>2013</v>
      </c>
      <c r="C346" t="s">
        <v>38</v>
      </c>
      <c r="D346" s="2">
        <v>41395</v>
      </c>
      <c r="E346" t="s">
        <v>28</v>
      </c>
      <c r="F346">
        <v>104.8</v>
      </c>
      <c r="G346" t="str">
        <f>VLOOKUP(Table1_2[[#This Row],[Categories]],Sheet3!$A$1:$B$27,2,FALSE)</f>
        <v>Miscellaneous</v>
      </c>
    </row>
    <row r="347" spans="1:7" x14ac:dyDescent="0.3">
      <c r="A347" t="s">
        <v>30</v>
      </c>
      <c r="B347">
        <v>2013</v>
      </c>
      <c r="C347" t="s">
        <v>38</v>
      </c>
      <c r="D347" s="2">
        <v>41395</v>
      </c>
      <c r="E347" t="s">
        <v>29</v>
      </c>
      <c r="F347">
        <v>107.2</v>
      </c>
      <c r="G347" t="str">
        <f>VLOOKUP(Table1_2[[#This Row],[Categories]],Sheet3!$A$1:$B$27,2,FALSE)</f>
        <v>General index</v>
      </c>
    </row>
    <row r="348" spans="1:7" x14ac:dyDescent="0.3">
      <c r="A348" t="s">
        <v>33</v>
      </c>
      <c r="B348">
        <v>2013</v>
      </c>
      <c r="C348" t="s">
        <v>38</v>
      </c>
      <c r="D348" s="2">
        <v>41395</v>
      </c>
      <c r="E348" t="s">
        <v>3</v>
      </c>
      <c r="F348">
        <v>115.4</v>
      </c>
      <c r="G348" t="str">
        <f>VLOOKUP(Table1_2[[#This Row],[Categories]],Sheet3!$A$1:$B$27,2,FALSE)</f>
        <v>Food &amp;Beverage</v>
      </c>
    </row>
    <row r="349" spans="1:7" x14ac:dyDescent="0.3">
      <c r="A349" t="s">
        <v>33</v>
      </c>
      <c r="B349">
        <v>2013</v>
      </c>
      <c r="C349" t="s">
        <v>38</v>
      </c>
      <c r="D349" s="2">
        <v>41395</v>
      </c>
      <c r="E349" t="s">
        <v>4</v>
      </c>
      <c r="F349">
        <v>114.2</v>
      </c>
      <c r="G349" t="str">
        <f>VLOOKUP(Table1_2[[#This Row],[Categories]],Sheet3!$A$1:$B$27,2,FALSE)</f>
        <v>Food &amp;Beverage</v>
      </c>
    </row>
    <row r="350" spans="1:7" x14ac:dyDescent="0.3">
      <c r="A350" t="s">
        <v>33</v>
      </c>
      <c r="B350">
        <v>2013</v>
      </c>
      <c r="C350" t="s">
        <v>38</v>
      </c>
      <c r="D350" s="2">
        <v>41395</v>
      </c>
      <c r="E350" t="s">
        <v>5</v>
      </c>
      <c r="F350">
        <v>102.7</v>
      </c>
      <c r="G350" t="str">
        <f>VLOOKUP(Table1_2[[#This Row],[Categories]],Sheet3!$A$1:$B$27,2,FALSE)</f>
        <v>Food &amp;Beverage</v>
      </c>
    </row>
    <row r="351" spans="1:7" x14ac:dyDescent="0.3">
      <c r="A351" t="s">
        <v>33</v>
      </c>
      <c r="B351">
        <v>2013</v>
      </c>
      <c r="C351" t="s">
        <v>38</v>
      </c>
      <c r="D351" s="2">
        <v>41395</v>
      </c>
      <c r="E351" t="s">
        <v>6</v>
      </c>
      <c r="F351">
        <v>105.5</v>
      </c>
      <c r="G351" t="str">
        <f>VLOOKUP(Table1_2[[#This Row],[Categories]],Sheet3!$A$1:$B$27,2,FALSE)</f>
        <v>Food &amp;Beverage</v>
      </c>
    </row>
    <row r="352" spans="1:7" x14ac:dyDescent="0.3">
      <c r="A352" t="s">
        <v>33</v>
      </c>
      <c r="B352">
        <v>2013</v>
      </c>
      <c r="C352" t="s">
        <v>38</v>
      </c>
      <c r="D352" s="2">
        <v>41395</v>
      </c>
      <c r="E352" t="s">
        <v>7</v>
      </c>
      <c r="F352">
        <v>101.5</v>
      </c>
      <c r="G352" t="str">
        <f>VLOOKUP(Table1_2[[#This Row],[Categories]],Sheet3!$A$1:$B$27,2,FALSE)</f>
        <v>Food &amp;Beverage</v>
      </c>
    </row>
    <row r="353" spans="1:7" x14ac:dyDescent="0.3">
      <c r="A353" t="s">
        <v>33</v>
      </c>
      <c r="B353">
        <v>2013</v>
      </c>
      <c r="C353" t="s">
        <v>38</v>
      </c>
      <c r="D353" s="2">
        <v>41395</v>
      </c>
      <c r="E353" t="s">
        <v>8</v>
      </c>
      <c r="F353">
        <v>110.6</v>
      </c>
      <c r="G353" t="str">
        <f>VLOOKUP(Table1_2[[#This Row],[Categories]],Sheet3!$A$1:$B$27,2,FALSE)</f>
        <v>Food &amp;Beverage</v>
      </c>
    </row>
    <row r="354" spans="1:7" x14ac:dyDescent="0.3">
      <c r="A354" t="s">
        <v>33</v>
      </c>
      <c r="B354">
        <v>2013</v>
      </c>
      <c r="C354" t="s">
        <v>38</v>
      </c>
      <c r="D354" s="2">
        <v>41395</v>
      </c>
      <c r="E354" t="s">
        <v>9</v>
      </c>
      <c r="F354">
        <v>123.7</v>
      </c>
      <c r="G354" t="str">
        <f>VLOOKUP(Table1_2[[#This Row],[Categories]],Sheet3!$A$1:$B$27,2,FALSE)</f>
        <v>Food &amp;Beverage</v>
      </c>
    </row>
    <row r="355" spans="1:7" x14ac:dyDescent="0.3">
      <c r="A355" t="s">
        <v>33</v>
      </c>
      <c r="B355">
        <v>2013</v>
      </c>
      <c r="C355" t="s">
        <v>38</v>
      </c>
      <c r="D355" s="2">
        <v>41395</v>
      </c>
      <c r="E355" t="s">
        <v>10</v>
      </c>
      <c r="F355">
        <v>105.2</v>
      </c>
      <c r="G355" t="str">
        <f>VLOOKUP(Table1_2[[#This Row],[Categories]],Sheet3!$A$1:$B$27,2,FALSE)</f>
        <v>Food &amp;Beverage</v>
      </c>
    </row>
    <row r="356" spans="1:7" x14ac:dyDescent="0.3">
      <c r="A356" t="s">
        <v>33</v>
      </c>
      <c r="B356">
        <v>2013</v>
      </c>
      <c r="C356" t="s">
        <v>38</v>
      </c>
      <c r="D356" s="2">
        <v>41395</v>
      </c>
      <c r="E356" t="s">
        <v>11</v>
      </c>
      <c r="F356">
        <v>101.9</v>
      </c>
      <c r="G356" t="str">
        <f>VLOOKUP(Table1_2[[#This Row],[Categories]],Sheet3!$A$1:$B$27,2,FALSE)</f>
        <v>Food &amp;Beverage</v>
      </c>
    </row>
    <row r="357" spans="1:7" x14ac:dyDescent="0.3">
      <c r="A357" t="s">
        <v>33</v>
      </c>
      <c r="B357">
        <v>2013</v>
      </c>
      <c r="C357" t="s">
        <v>38</v>
      </c>
      <c r="D357" s="2">
        <v>41395</v>
      </c>
      <c r="E357" t="s">
        <v>12</v>
      </c>
      <c r="F357">
        <v>105</v>
      </c>
      <c r="G357" t="str">
        <f>VLOOKUP(Table1_2[[#This Row],[Categories]],Sheet3!$A$1:$B$27,2,FALSE)</f>
        <v>Food &amp;Beverage</v>
      </c>
    </row>
    <row r="358" spans="1:7" x14ac:dyDescent="0.3">
      <c r="A358" t="s">
        <v>33</v>
      </c>
      <c r="B358">
        <v>2013</v>
      </c>
      <c r="C358" t="s">
        <v>38</v>
      </c>
      <c r="D358" s="2">
        <v>41395</v>
      </c>
      <c r="E358" t="s">
        <v>13</v>
      </c>
      <c r="F358">
        <v>109.1</v>
      </c>
      <c r="G358" t="str">
        <f>VLOOKUP(Table1_2[[#This Row],[Categories]],Sheet3!$A$1:$B$27,2,FALSE)</f>
        <v>Food &amp;Beverage</v>
      </c>
    </row>
    <row r="359" spans="1:7" x14ac:dyDescent="0.3">
      <c r="A359" t="s">
        <v>33</v>
      </c>
      <c r="B359">
        <v>2013</v>
      </c>
      <c r="C359" t="s">
        <v>38</v>
      </c>
      <c r="D359" s="2">
        <v>41395</v>
      </c>
      <c r="E359" t="s">
        <v>14</v>
      </c>
      <c r="F359">
        <v>111.3</v>
      </c>
      <c r="G359" t="str">
        <f>VLOOKUP(Table1_2[[#This Row],[Categories]],Sheet3!$A$1:$B$27,2,FALSE)</f>
        <v>Food &amp;Beverage</v>
      </c>
    </row>
    <row r="360" spans="1:7" x14ac:dyDescent="0.3">
      <c r="A360" t="s">
        <v>33</v>
      </c>
      <c r="B360">
        <v>2013</v>
      </c>
      <c r="C360" t="s">
        <v>38</v>
      </c>
      <c r="D360" s="2">
        <v>41395</v>
      </c>
      <c r="E360" t="s">
        <v>15</v>
      </c>
      <c r="F360">
        <v>111.1</v>
      </c>
      <c r="G360" t="str">
        <f>VLOOKUP(Table1_2[[#This Row],[Categories]],Sheet3!$A$1:$B$27,2,FALSE)</f>
        <v>Food &amp;Beverage</v>
      </c>
    </row>
    <row r="361" spans="1:7" x14ac:dyDescent="0.3">
      <c r="A361" t="s">
        <v>33</v>
      </c>
      <c r="B361">
        <v>2013</v>
      </c>
      <c r="C361" t="s">
        <v>38</v>
      </c>
      <c r="D361" s="2">
        <v>41395</v>
      </c>
      <c r="E361" t="s">
        <v>16</v>
      </c>
      <c r="F361">
        <v>109.8</v>
      </c>
      <c r="G361" t="str">
        <f>VLOOKUP(Table1_2[[#This Row],[Categories]],Sheet3!$A$1:$B$27,2,FALSE)</f>
        <v>Recreation and amusement</v>
      </c>
    </row>
    <row r="362" spans="1:7" x14ac:dyDescent="0.3">
      <c r="A362" t="s">
        <v>33</v>
      </c>
      <c r="B362">
        <v>2013</v>
      </c>
      <c r="C362" t="s">
        <v>38</v>
      </c>
      <c r="D362" s="2">
        <v>41395</v>
      </c>
      <c r="E362" t="s">
        <v>17</v>
      </c>
      <c r="F362">
        <v>108.5</v>
      </c>
      <c r="G362" t="str">
        <f>VLOOKUP(Table1_2[[#This Row],[Categories]],Sheet3!$A$1:$B$27,2,FALSE)</f>
        <v>Clothing and footwear</v>
      </c>
    </row>
    <row r="363" spans="1:7" x14ac:dyDescent="0.3">
      <c r="A363" t="s">
        <v>33</v>
      </c>
      <c r="B363">
        <v>2013</v>
      </c>
      <c r="C363" t="s">
        <v>38</v>
      </c>
      <c r="D363" s="2">
        <v>41395</v>
      </c>
      <c r="E363" t="s">
        <v>18</v>
      </c>
      <c r="F363">
        <v>106.7</v>
      </c>
      <c r="G363" t="str">
        <f>VLOOKUP(Table1_2[[#This Row],[Categories]],Sheet3!$A$1:$B$27,2,FALSE)</f>
        <v>Clothing and footwear</v>
      </c>
    </row>
    <row r="364" spans="1:7" x14ac:dyDescent="0.3">
      <c r="A364" t="s">
        <v>33</v>
      </c>
      <c r="B364">
        <v>2013</v>
      </c>
      <c r="C364" t="s">
        <v>38</v>
      </c>
      <c r="D364" s="2">
        <v>41395</v>
      </c>
      <c r="E364" t="s">
        <v>19</v>
      </c>
      <c r="F364">
        <v>108.3</v>
      </c>
      <c r="G364" t="str">
        <f>VLOOKUP(Table1_2[[#This Row],[Categories]],Sheet3!$A$1:$B$27,2,FALSE)</f>
        <v>Clothing and footwear</v>
      </c>
    </row>
    <row r="365" spans="1:7" x14ac:dyDescent="0.3">
      <c r="A365" t="s">
        <v>33</v>
      </c>
      <c r="B365">
        <v>2013</v>
      </c>
      <c r="C365" t="s">
        <v>38</v>
      </c>
      <c r="D365" s="2">
        <v>41395</v>
      </c>
      <c r="E365" t="s">
        <v>20</v>
      </c>
      <c r="F365">
        <v>100.5</v>
      </c>
      <c r="G365" t="str">
        <f>VLOOKUP(Table1_2[[#This Row],[Categories]],Sheet3!$A$1:$B$27,2,FALSE)</f>
        <v>Housing</v>
      </c>
    </row>
    <row r="366" spans="1:7" x14ac:dyDescent="0.3">
      <c r="A366" t="s">
        <v>33</v>
      </c>
      <c r="B366">
        <v>2013</v>
      </c>
      <c r="C366" t="s">
        <v>38</v>
      </c>
      <c r="D366" s="2">
        <v>41395</v>
      </c>
      <c r="E366" t="s">
        <v>21</v>
      </c>
      <c r="F366">
        <v>107.2</v>
      </c>
      <c r="G366" t="str">
        <f>VLOOKUP(Table1_2[[#This Row],[Categories]],Sheet3!$A$1:$B$27,2,FALSE)</f>
        <v>Fuel and light</v>
      </c>
    </row>
    <row r="367" spans="1:7" x14ac:dyDescent="0.3">
      <c r="A367" t="s">
        <v>33</v>
      </c>
      <c r="B367">
        <v>2013</v>
      </c>
      <c r="C367" t="s">
        <v>38</v>
      </c>
      <c r="D367" s="2">
        <v>41395</v>
      </c>
      <c r="E367" t="s">
        <v>22</v>
      </c>
      <c r="F367">
        <v>107.1</v>
      </c>
      <c r="G367" t="str">
        <f>VLOOKUP(Table1_2[[#This Row],[Categories]],Sheet3!$A$1:$B$27,2,FALSE)</f>
        <v>Household Items</v>
      </c>
    </row>
    <row r="368" spans="1:7" x14ac:dyDescent="0.3">
      <c r="A368" t="s">
        <v>33</v>
      </c>
      <c r="B368">
        <v>2013</v>
      </c>
      <c r="C368" t="s">
        <v>38</v>
      </c>
      <c r="D368" s="2">
        <v>41395</v>
      </c>
      <c r="E368" t="s">
        <v>23</v>
      </c>
      <c r="F368">
        <v>106.2</v>
      </c>
      <c r="G368" t="str">
        <f>VLOOKUP(Table1_2[[#This Row],[Categories]],Sheet3!$A$1:$B$27,2,FALSE)</f>
        <v>Health</v>
      </c>
    </row>
    <row r="369" spans="1:7" x14ac:dyDescent="0.3">
      <c r="A369" t="s">
        <v>33</v>
      </c>
      <c r="B369">
        <v>2013</v>
      </c>
      <c r="C369" t="s">
        <v>38</v>
      </c>
      <c r="D369" s="2">
        <v>41395</v>
      </c>
      <c r="E369" t="s">
        <v>24</v>
      </c>
      <c r="F369">
        <v>103.9</v>
      </c>
      <c r="G369" t="str">
        <f>VLOOKUP(Table1_2[[#This Row],[Categories]],Sheet3!$A$1:$B$27,2,FALSE)</f>
        <v>Transport and communication</v>
      </c>
    </row>
    <row r="370" spans="1:7" x14ac:dyDescent="0.3">
      <c r="A370" t="s">
        <v>33</v>
      </c>
      <c r="B370">
        <v>2013</v>
      </c>
      <c r="C370" t="s">
        <v>38</v>
      </c>
      <c r="D370" s="2">
        <v>41395</v>
      </c>
      <c r="E370" t="s">
        <v>25</v>
      </c>
      <c r="F370">
        <v>104.6</v>
      </c>
      <c r="G370" t="str">
        <f>VLOOKUP(Table1_2[[#This Row],[Categories]],Sheet3!$A$1:$B$27,2,FALSE)</f>
        <v>Recreation and amusement</v>
      </c>
    </row>
    <row r="371" spans="1:7" x14ac:dyDescent="0.3">
      <c r="A371" t="s">
        <v>33</v>
      </c>
      <c r="B371">
        <v>2013</v>
      </c>
      <c r="C371" t="s">
        <v>38</v>
      </c>
      <c r="D371" s="2">
        <v>41395</v>
      </c>
      <c r="E371" t="s">
        <v>26</v>
      </c>
      <c r="F371">
        <v>105.7</v>
      </c>
      <c r="G371" t="str">
        <f>VLOOKUP(Table1_2[[#This Row],[Categories]],Sheet3!$A$1:$B$27,2,FALSE)</f>
        <v>Education</v>
      </c>
    </row>
    <row r="372" spans="1:7" x14ac:dyDescent="0.3">
      <c r="A372" t="s">
        <v>33</v>
      </c>
      <c r="B372">
        <v>2013</v>
      </c>
      <c r="C372" t="s">
        <v>38</v>
      </c>
      <c r="D372" s="2">
        <v>41395</v>
      </c>
      <c r="E372" t="s">
        <v>27</v>
      </c>
      <c r="F372">
        <v>102.6</v>
      </c>
      <c r="G372" t="str">
        <f>VLOOKUP(Table1_2[[#This Row],[Categories]],Sheet3!$A$1:$B$27,2,FALSE)</f>
        <v>Household Items</v>
      </c>
    </row>
    <row r="373" spans="1:7" x14ac:dyDescent="0.3">
      <c r="A373" t="s">
        <v>33</v>
      </c>
      <c r="B373">
        <v>2013</v>
      </c>
      <c r="C373" t="s">
        <v>38</v>
      </c>
      <c r="D373" s="2">
        <v>41395</v>
      </c>
      <c r="E373" t="s">
        <v>28</v>
      </c>
      <c r="F373">
        <v>104.9</v>
      </c>
      <c r="G373" t="str">
        <f>VLOOKUP(Table1_2[[#This Row],[Categories]],Sheet3!$A$1:$B$27,2,FALSE)</f>
        <v>Miscellaneous</v>
      </c>
    </row>
    <row r="374" spans="1:7" x14ac:dyDescent="0.3">
      <c r="A374" t="s">
        <v>33</v>
      </c>
      <c r="B374">
        <v>2013</v>
      </c>
      <c r="C374" t="s">
        <v>38</v>
      </c>
      <c r="D374" s="2">
        <v>41395</v>
      </c>
      <c r="E374" t="s">
        <v>29</v>
      </c>
      <c r="F374">
        <v>106.6</v>
      </c>
      <c r="G374" t="str">
        <f>VLOOKUP(Table1_2[[#This Row],[Categories]],Sheet3!$A$1:$B$27,2,FALSE)</f>
        <v>General index</v>
      </c>
    </row>
    <row r="375" spans="1:7" x14ac:dyDescent="0.3">
      <c r="A375" t="s">
        <v>34</v>
      </c>
      <c r="B375">
        <v>2013</v>
      </c>
      <c r="C375" t="s">
        <v>38</v>
      </c>
      <c r="D375" s="2">
        <v>41395</v>
      </c>
      <c r="E375" t="s">
        <v>3</v>
      </c>
      <c r="F375">
        <v>112.3</v>
      </c>
      <c r="G375" t="str">
        <f>VLOOKUP(Table1_2[[#This Row],[Categories]],Sheet3!$A$1:$B$27,2,FALSE)</f>
        <v>Food &amp;Beverage</v>
      </c>
    </row>
    <row r="376" spans="1:7" x14ac:dyDescent="0.3">
      <c r="A376" t="s">
        <v>34</v>
      </c>
      <c r="B376">
        <v>2013</v>
      </c>
      <c r="C376" t="s">
        <v>38</v>
      </c>
      <c r="D376" s="2">
        <v>41395</v>
      </c>
      <c r="E376" t="s">
        <v>4</v>
      </c>
      <c r="F376">
        <v>111.3</v>
      </c>
      <c r="G376" t="str">
        <f>VLOOKUP(Table1_2[[#This Row],[Categories]],Sheet3!$A$1:$B$27,2,FALSE)</f>
        <v>Food &amp;Beverage</v>
      </c>
    </row>
    <row r="377" spans="1:7" x14ac:dyDescent="0.3">
      <c r="A377" t="s">
        <v>34</v>
      </c>
      <c r="B377">
        <v>2013</v>
      </c>
      <c r="C377" t="s">
        <v>38</v>
      </c>
      <c r="D377" s="2">
        <v>41395</v>
      </c>
      <c r="E377" t="s">
        <v>5</v>
      </c>
      <c r="F377">
        <v>104.7</v>
      </c>
      <c r="G377" t="str">
        <f>VLOOKUP(Table1_2[[#This Row],[Categories]],Sheet3!$A$1:$B$27,2,FALSE)</f>
        <v>Food &amp;Beverage</v>
      </c>
    </row>
    <row r="378" spans="1:7" x14ac:dyDescent="0.3">
      <c r="A378" t="s">
        <v>34</v>
      </c>
      <c r="B378">
        <v>2013</v>
      </c>
      <c r="C378" t="s">
        <v>38</v>
      </c>
      <c r="D378" s="2">
        <v>41395</v>
      </c>
      <c r="E378" t="s">
        <v>6</v>
      </c>
      <c r="F378">
        <v>106.8</v>
      </c>
      <c r="G378" t="str">
        <f>VLOOKUP(Table1_2[[#This Row],[Categories]],Sheet3!$A$1:$B$27,2,FALSE)</f>
        <v>Food &amp;Beverage</v>
      </c>
    </row>
    <row r="379" spans="1:7" x14ac:dyDescent="0.3">
      <c r="A379" t="s">
        <v>34</v>
      </c>
      <c r="B379">
        <v>2013</v>
      </c>
      <c r="C379" t="s">
        <v>38</v>
      </c>
      <c r="D379" s="2">
        <v>41395</v>
      </c>
      <c r="E379" t="s">
        <v>7</v>
      </c>
      <c r="F379">
        <v>103.9</v>
      </c>
      <c r="G379" t="str">
        <f>VLOOKUP(Table1_2[[#This Row],[Categories]],Sheet3!$A$1:$B$27,2,FALSE)</f>
        <v>Food &amp;Beverage</v>
      </c>
    </row>
    <row r="380" spans="1:7" x14ac:dyDescent="0.3">
      <c r="A380" t="s">
        <v>34</v>
      </c>
      <c r="B380">
        <v>2013</v>
      </c>
      <c r="C380" t="s">
        <v>38</v>
      </c>
      <c r="D380" s="2">
        <v>41395</v>
      </c>
      <c r="E380" t="s">
        <v>8</v>
      </c>
      <c r="F380">
        <v>109.3</v>
      </c>
      <c r="G380" t="str">
        <f>VLOOKUP(Table1_2[[#This Row],[Categories]],Sheet3!$A$1:$B$27,2,FALSE)</f>
        <v>Food &amp;Beverage</v>
      </c>
    </row>
    <row r="381" spans="1:7" x14ac:dyDescent="0.3">
      <c r="A381" t="s">
        <v>34</v>
      </c>
      <c r="B381">
        <v>2013</v>
      </c>
      <c r="C381" t="s">
        <v>38</v>
      </c>
      <c r="D381" s="2">
        <v>41395</v>
      </c>
      <c r="E381" t="s">
        <v>9</v>
      </c>
      <c r="F381">
        <v>112.9</v>
      </c>
      <c r="G381" t="str">
        <f>VLOOKUP(Table1_2[[#This Row],[Categories]],Sheet3!$A$1:$B$27,2,FALSE)</f>
        <v>Food &amp;Beverage</v>
      </c>
    </row>
    <row r="382" spans="1:7" x14ac:dyDescent="0.3">
      <c r="A382" t="s">
        <v>34</v>
      </c>
      <c r="B382">
        <v>2013</v>
      </c>
      <c r="C382" t="s">
        <v>38</v>
      </c>
      <c r="D382" s="2">
        <v>41395</v>
      </c>
      <c r="E382" t="s">
        <v>10</v>
      </c>
      <c r="F382">
        <v>105.8</v>
      </c>
      <c r="G382" t="str">
        <f>VLOOKUP(Table1_2[[#This Row],[Categories]],Sheet3!$A$1:$B$27,2,FALSE)</f>
        <v>Food &amp;Beverage</v>
      </c>
    </row>
    <row r="383" spans="1:7" x14ac:dyDescent="0.3">
      <c r="A383" t="s">
        <v>34</v>
      </c>
      <c r="B383">
        <v>2013</v>
      </c>
      <c r="C383" t="s">
        <v>38</v>
      </c>
      <c r="D383" s="2">
        <v>41395</v>
      </c>
      <c r="E383" t="s">
        <v>11</v>
      </c>
      <c r="F383">
        <v>103.1</v>
      </c>
      <c r="G383" t="str">
        <f>VLOOKUP(Table1_2[[#This Row],[Categories]],Sheet3!$A$1:$B$27,2,FALSE)</f>
        <v>Food &amp;Beverage</v>
      </c>
    </row>
    <row r="384" spans="1:7" x14ac:dyDescent="0.3">
      <c r="A384" t="s">
        <v>34</v>
      </c>
      <c r="B384">
        <v>2013</v>
      </c>
      <c r="C384" t="s">
        <v>38</v>
      </c>
      <c r="D384" s="2">
        <v>41395</v>
      </c>
      <c r="E384" t="s">
        <v>12</v>
      </c>
      <c r="F384">
        <v>104.3</v>
      </c>
      <c r="G384" t="str">
        <f>VLOOKUP(Table1_2[[#This Row],[Categories]],Sheet3!$A$1:$B$27,2,FALSE)</f>
        <v>Food &amp;Beverage</v>
      </c>
    </row>
    <row r="385" spans="1:7" x14ac:dyDescent="0.3">
      <c r="A385" t="s">
        <v>34</v>
      </c>
      <c r="B385">
        <v>2013</v>
      </c>
      <c r="C385" t="s">
        <v>38</v>
      </c>
      <c r="D385" s="2">
        <v>41395</v>
      </c>
      <c r="E385" t="s">
        <v>13</v>
      </c>
      <c r="F385">
        <v>108.1</v>
      </c>
      <c r="G385" t="str">
        <f>VLOOKUP(Table1_2[[#This Row],[Categories]],Sheet3!$A$1:$B$27,2,FALSE)</f>
        <v>Food &amp;Beverage</v>
      </c>
    </row>
    <row r="386" spans="1:7" x14ac:dyDescent="0.3">
      <c r="A386" t="s">
        <v>34</v>
      </c>
      <c r="B386">
        <v>2013</v>
      </c>
      <c r="C386" t="s">
        <v>38</v>
      </c>
      <c r="D386" s="2">
        <v>41395</v>
      </c>
      <c r="E386" t="s">
        <v>14</v>
      </c>
      <c r="F386">
        <v>110.5</v>
      </c>
      <c r="G386" t="str">
        <f>VLOOKUP(Table1_2[[#This Row],[Categories]],Sheet3!$A$1:$B$27,2,FALSE)</f>
        <v>Food &amp;Beverage</v>
      </c>
    </row>
    <row r="387" spans="1:7" x14ac:dyDescent="0.3">
      <c r="A387" t="s">
        <v>34</v>
      </c>
      <c r="B387">
        <v>2013</v>
      </c>
      <c r="C387" t="s">
        <v>38</v>
      </c>
      <c r="D387" s="2">
        <v>41395</v>
      </c>
      <c r="E387" t="s">
        <v>15</v>
      </c>
      <c r="F387">
        <v>109.2</v>
      </c>
      <c r="G387" t="str">
        <f>VLOOKUP(Table1_2[[#This Row],[Categories]],Sheet3!$A$1:$B$27,2,FALSE)</f>
        <v>Food &amp;Beverage</v>
      </c>
    </row>
    <row r="388" spans="1:7" x14ac:dyDescent="0.3">
      <c r="A388" t="s">
        <v>34</v>
      </c>
      <c r="B388">
        <v>2013</v>
      </c>
      <c r="C388" t="s">
        <v>38</v>
      </c>
      <c r="D388" s="2">
        <v>41395</v>
      </c>
      <c r="E388" t="s">
        <v>16</v>
      </c>
      <c r="F388">
        <v>108.6</v>
      </c>
      <c r="G388" t="str">
        <f>VLOOKUP(Table1_2[[#This Row],[Categories]],Sheet3!$A$1:$B$27,2,FALSE)</f>
        <v>Recreation and amusement</v>
      </c>
    </row>
    <row r="389" spans="1:7" x14ac:dyDescent="0.3">
      <c r="A389" t="s">
        <v>34</v>
      </c>
      <c r="B389">
        <v>2013</v>
      </c>
      <c r="C389" t="s">
        <v>38</v>
      </c>
      <c r="D389" s="2">
        <v>41395</v>
      </c>
      <c r="E389" t="s">
        <v>17</v>
      </c>
      <c r="F389">
        <v>108.7</v>
      </c>
      <c r="G389" t="str">
        <f>VLOOKUP(Table1_2[[#This Row],[Categories]],Sheet3!$A$1:$B$27,2,FALSE)</f>
        <v>Clothing and footwear</v>
      </c>
    </row>
    <row r="390" spans="1:7" x14ac:dyDescent="0.3">
      <c r="A390" t="s">
        <v>34</v>
      </c>
      <c r="B390">
        <v>2013</v>
      </c>
      <c r="C390" t="s">
        <v>38</v>
      </c>
      <c r="D390" s="2">
        <v>41395</v>
      </c>
      <c r="E390" t="s">
        <v>18</v>
      </c>
      <c r="F390">
        <v>107.4</v>
      </c>
      <c r="G390" t="str">
        <f>VLOOKUP(Table1_2[[#This Row],[Categories]],Sheet3!$A$1:$B$27,2,FALSE)</f>
        <v>Clothing and footwear</v>
      </c>
    </row>
    <row r="391" spans="1:7" x14ac:dyDescent="0.3">
      <c r="A391" t="s">
        <v>34</v>
      </c>
      <c r="B391">
        <v>2013</v>
      </c>
      <c r="C391" t="s">
        <v>38</v>
      </c>
      <c r="D391" s="2">
        <v>41395</v>
      </c>
      <c r="E391" t="s">
        <v>19</v>
      </c>
      <c r="F391">
        <v>108.5</v>
      </c>
      <c r="G391" t="str">
        <f>VLOOKUP(Table1_2[[#This Row],[Categories]],Sheet3!$A$1:$B$27,2,FALSE)</f>
        <v>Clothing and footwear</v>
      </c>
    </row>
    <row r="392" spans="1:7" x14ac:dyDescent="0.3">
      <c r="A392" t="s">
        <v>34</v>
      </c>
      <c r="B392">
        <v>2013</v>
      </c>
      <c r="C392" t="s">
        <v>38</v>
      </c>
      <c r="D392" s="2">
        <v>41395</v>
      </c>
      <c r="E392" t="s">
        <v>20</v>
      </c>
      <c r="F392">
        <v>100.5</v>
      </c>
      <c r="G392" t="str">
        <f>VLOOKUP(Table1_2[[#This Row],[Categories]],Sheet3!$A$1:$B$27,2,FALSE)</f>
        <v>Housing</v>
      </c>
    </row>
    <row r="393" spans="1:7" x14ac:dyDescent="0.3">
      <c r="A393" t="s">
        <v>34</v>
      </c>
      <c r="B393">
        <v>2013</v>
      </c>
      <c r="C393" t="s">
        <v>38</v>
      </c>
      <c r="D393" s="2">
        <v>41395</v>
      </c>
      <c r="E393" t="s">
        <v>21</v>
      </c>
      <c r="F393">
        <v>107.4</v>
      </c>
      <c r="G393" t="str">
        <f>VLOOKUP(Table1_2[[#This Row],[Categories]],Sheet3!$A$1:$B$27,2,FALSE)</f>
        <v>Fuel and light</v>
      </c>
    </row>
    <row r="394" spans="1:7" x14ac:dyDescent="0.3">
      <c r="A394" t="s">
        <v>34</v>
      </c>
      <c r="B394">
        <v>2013</v>
      </c>
      <c r="C394" t="s">
        <v>38</v>
      </c>
      <c r="D394" s="2">
        <v>41395</v>
      </c>
      <c r="E394" t="s">
        <v>22</v>
      </c>
      <c r="F394">
        <v>106.9</v>
      </c>
      <c r="G394" t="str">
        <f>VLOOKUP(Table1_2[[#This Row],[Categories]],Sheet3!$A$1:$B$27,2,FALSE)</f>
        <v>Household Items</v>
      </c>
    </row>
    <row r="395" spans="1:7" x14ac:dyDescent="0.3">
      <c r="A395" t="s">
        <v>34</v>
      </c>
      <c r="B395">
        <v>2013</v>
      </c>
      <c r="C395" t="s">
        <v>38</v>
      </c>
      <c r="D395" s="2">
        <v>41395</v>
      </c>
      <c r="E395" t="s">
        <v>23</v>
      </c>
      <c r="F395">
        <v>105.9</v>
      </c>
      <c r="G395" t="str">
        <f>VLOOKUP(Table1_2[[#This Row],[Categories]],Sheet3!$A$1:$B$27,2,FALSE)</f>
        <v>Health</v>
      </c>
    </row>
    <row r="396" spans="1:7" x14ac:dyDescent="0.3">
      <c r="A396" t="s">
        <v>34</v>
      </c>
      <c r="B396">
        <v>2013</v>
      </c>
      <c r="C396" t="s">
        <v>38</v>
      </c>
      <c r="D396" s="2">
        <v>41395</v>
      </c>
      <c r="E396" t="s">
        <v>24</v>
      </c>
      <c r="F396">
        <v>104</v>
      </c>
      <c r="G396" t="str">
        <f>VLOOKUP(Table1_2[[#This Row],[Categories]],Sheet3!$A$1:$B$27,2,FALSE)</f>
        <v>Transport and communication</v>
      </c>
    </row>
    <row r="397" spans="1:7" x14ac:dyDescent="0.3">
      <c r="A397" t="s">
        <v>34</v>
      </c>
      <c r="B397">
        <v>2013</v>
      </c>
      <c r="C397" t="s">
        <v>38</v>
      </c>
      <c r="D397" s="2">
        <v>41395</v>
      </c>
      <c r="E397" t="s">
        <v>25</v>
      </c>
      <c r="F397">
        <v>104.8</v>
      </c>
      <c r="G397" t="str">
        <f>VLOOKUP(Table1_2[[#This Row],[Categories]],Sheet3!$A$1:$B$27,2,FALSE)</f>
        <v>Recreation and amusement</v>
      </c>
    </row>
    <row r="398" spans="1:7" x14ac:dyDescent="0.3">
      <c r="A398" t="s">
        <v>34</v>
      </c>
      <c r="B398">
        <v>2013</v>
      </c>
      <c r="C398" t="s">
        <v>38</v>
      </c>
      <c r="D398" s="2">
        <v>41395</v>
      </c>
      <c r="E398" t="s">
        <v>26</v>
      </c>
      <c r="F398">
        <v>105.6</v>
      </c>
      <c r="G398" t="str">
        <f>VLOOKUP(Table1_2[[#This Row],[Categories]],Sheet3!$A$1:$B$27,2,FALSE)</f>
        <v>Education</v>
      </c>
    </row>
    <row r="399" spans="1:7" x14ac:dyDescent="0.3">
      <c r="A399" t="s">
        <v>34</v>
      </c>
      <c r="B399">
        <v>2013</v>
      </c>
      <c r="C399" t="s">
        <v>38</v>
      </c>
      <c r="D399" s="2">
        <v>41395</v>
      </c>
      <c r="E399" t="s">
        <v>27</v>
      </c>
      <c r="F399">
        <v>102.3</v>
      </c>
      <c r="G399" t="str">
        <f>VLOOKUP(Table1_2[[#This Row],[Categories]],Sheet3!$A$1:$B$27,2,FALSE)</f>
        <v>Household Items</v>
      </c>
    </row>
    <row r="400" spans="1:7" x14ac:dyDescent="0.3">
      <c r="A400" t="s">
        <v>34</v>
      </c>
      <c r="B400">
        <v>2013</v>
      </c>
      <c r="C400" t="s">
        <v>38</v>
      </c>
      <c r="D400" s="2">
        <v>41395</v>
      </c>
      <c r="E400" t="s">
        <v>28</v>
      </c>
      <c r="F400">
        <v>104.8</v>
      </c>
      <c r="G400" t="str">
        <f>VLOOKUP(Table1_2[[#This Row],[Categories]],Sheet3!$A$1:$B$27,2,FALSE)</f>
        <v>Miscellaneous</v>
      </c>
    </row>
    <row r="401" spans="1:7" x14ac:dyDescent="0.3">
      <c r="A401" t="s">
        <v>34</v>
      </c>
      <c r="B401">
        <v>2013</v>
      </c>
      <c r="C401" t="s">
        <v>38</v>
      </c>
      <c r="D401" s="2">
        <v>41395</v>
      </c>
      <c r="E401" t="s">
        <v>29</v>
      </c>
      <c r="F401">
        <v>106.9</v>
      </c>
      <c r="G401" t="str">
        <f>VLOOKUP(Table1_2[[#This Row],[Categories]],Sheet3!$A$1:$B$27,2,FALSE)</f>
        <v>General index</v>
      </c>
    </row>
    <row r="402" spans="1:7" x14ac:dyDescent="0.3">
      <c r="A402" t="s">
        <v>30</v>
      </c>
      <c r="B402">
        <v>2013</v>
      </c>
      <c r="C402" t="s">
        <v>39</v>
      </c>
      <c r="D402" s="2">
        <v>41426</v>
      </c>
      <c r="E402" t="s">
        <v>3</v>
      </c>
      <c r="F402">
        <v>112.3</v>
      </c>
      <c r="G402" t="str">
        <f>VLOOKUP(Table1_2[[#This Row],[Categories]],Sheet3!$A$1:$B$27,2,FALSE)</f>
        <v>Food &amp;Beverage</v>
      </c>
    </row>
    <row r="403" spans="1:7" x14ac:dyDescent="0.3">
      <c r="A403" t="s">
        <v>30</v>
      </c>
      <c r="B403">
        <v>2013</v>
      </c>
      <c r="C403" t="s">
        <v>39</v>
      </c>
      <c r="D403" s="2">
        <v>41426</v>
      </c>
      <c r="E403" t="s">
        <v>4</v>
      </c>
      <c r="F403">
        <v>112.1</v>
      </c>
      <c r="G403" t="str">
        <f>VLOOKUP(Table1_2[[#This Row],[Categories]],Sheet3!$A$1:$B$27,2,FALSE)</f>
        <v>Food &amp;Beverage</v>
      </c>
    </row>
    <row r="404" spans="1:7" x14ac:dyDescent="0.3">
      <c r="A404" t="s">
        <v>30</v>
      </c>
      <c r="B404">
        <v>2013</v>
      </c>
      <c r="C404" t="s">
        <v>39</v>
      </c>
      <c r="D404" s="2">
        <v>41426</v>
      </c>
      <c r="E404" t="s">
        <v>5</v>
      </c>
      <c r="F404">
        <v>108.1</v>
      </c>
      <c r="G404" t="str">
        <f>VLOOKUP(Table1_2[[#This Row],[Categories]],Sheet3!$A$1:$B$27,2,FALSE)</f>
        <v>Food &amp;Beverage</v>
      </c>
    </row>
    <row r="405" spans="1:7" x14ac:dyDescent="0.3">
      <c r="A405" t="s">
        <v>30</v>
      </c>
      <c r="B405">
        <v>2013</v>
      </c>
      <c r="C405" t="s">
        <v>39</v>
      </c>
      <c r="D405" s="2">
        <v>41426</v>
      </c>
      <c r="E405" t="s">
        <v>6</v>
      </c>
      <c r="F405">
        <v>108.3</v>
      </c>
      <c r="G405" t="str">
        <f>VLOOKUP(Table1_2[[#This Row],[Categories]],Sheet3!$A$1:$B$27,2,FALSE)</f>
        <v>Food &amp;Beverage</v>
      </c>
    </row>
    <row r="406" spans="1:7" x14ac:dyDescent="0.3">
      <c r="A406" t="s">
        <v>30</v>
      </c>
      <c r="B406">
        <v>2013</v>
      </c>
      <c r="C406" t="s">
        <v>39</v>
      </c>
      <c r="D406" s="2">
        <v>41426</v>
      </c>
      <c r="E406" t="s">
        <v>7</v>
      </c>
      <c r="F406">
        <v>105.9</v>
      </c>
      <c r="G406" t="str">
        <f>VLOOKUP(Table1_2[[#This Row],[Categories]],Sheet3!$A$1:$B$27,2,FALSE)</f>
        <v>Food &amp;Beverage</v>
      </c>
    </row>
    <row r="407" spans="1:7" x14ac:dyDescent="0.3">
      <c r="A407" t="s">
        <v>30</v>
      </c>
      <c r="B407">
        <v>2013</v>
      </c>
      <c r="C407" t="s">
        <v>39</v>
      </c>
      <c r="D407" s="2">
        <v>41426</v>
      </c>
      <c r="E407" t="s">
        <v>8</v>
      </c>
      <c r="F407">
        <v>109.2</v>
      </c>
      <c r="G407" t="str">
        <f>VLOOKUP(Table1_2[[#This Row],[Categories]],Sheet3!$A$1:$B$27,2,FALSE)</f>
        <v>Food &amp;Beverage</v>
      </c>
    </row>
    <row r="408" spans="1:7" x14ac:dyDescent="0.3">
      <c r="A408" t="s">
        <v>30</v>
      </c>
      <c r="B408">
        <v>2013</v>
      </c>
      <c r="C408" t="s">
        <v>39</v>
      </c>
      <c r="D408" s="2">
        <v>41426</v>
      </c>
      <c r="E408" t="s">
        <v>9</v>
      </c>
      <c r="F408">
        <v>118</v>
      </c>
      <c r="G408" t="str">
        <f>VLOOKUP(Table1_2[[#This Row],[Categories]],Sheet3!$A$1:$B$27,2,FALSE)</f>
        <v>Food &amp;Beverage</v>
      </c>
    </row>
    <row r="409" spans="1:7" x14ac:dyDescent="0.3">
      <c r="A409" t="s">
        <v>30</v>
      </c>
      <c r="B409">
        <v>2013</v>
      </c>
      <c r="C409" t="s">
        <v>39</v>
      </c>
      <c r="D409" s="2">
        <v>41426</v>
      </c>
      <c r="E409" t="s">
        <v>10</v>
      </c>
      <c r="F409">
        <v>106.8</v>
      </c>
      <c r="G409" t="str">
        <f>VLOOKUP(Table1_2[[#This Row],[Categories]],Sheet3!$A$1:$B$27,2,FALSE)</f>
        <v>Food &amp;Beverage</v>
      </c>
    </row>
    <row r="410" spans="1:7" x14ac:dyDescent="0.3">
      <c r="A410" t="s">
        <v>30</v>
      </c>
      <c r="B410">
        <v>2013</v>
      </c>
      <c r="C410" t="s">
        <v>39</v>
      </c>
      <c r="D410" s="2">
        <v>41426</v>
      </c>
      <c r="E410" t="s">
        <v>11</v>
      </c>
      <c r="F410">
        <v>104.1</v>
      </c>
      <c r="G410" t="str">
        <f>VLOOKUP(Table1_2[[#This Row],[Categories]],Sheet3!$A$1:$B$27,2,FALSE)</f>
        <v>Food &amp;Beverage</v>
      </c>
    </row>
    <row r="411" spans="1:7" x14ac:dyDescent="0.3">
      <c r="A411" t="s">
        <v>30</v>
      </c>
      <c r="B411">
        <v>2013</v>
      </c>
      <c r="C411" t="s">
        <v>39</v>
      </c>
      <c r="D411" s="2">
        <v>41426</v>
      </c>
      <c r="E411" t="s">
        <v>12</v>
      </c>
      <c r="F411">
        <v>105.4</v>
      </c>
      <c r="G411" t="str">
        <f>VLOOKUP(Table1_2[[#This Row],[Categories]],Sheet3!$A$1:$B$27,2,FALSE)</f>
        <v>Food &amp;Beverage</v>
      </c>
    </row>
    <row r="412" spans="1:7" x14ac:dyDescent="0.3">
      <c r="A412" t="s">
        <v>30</v>
      </c>
      <c r="B412">
        <v>2013</v>
      </c>
      <c r="C412" t="s">
        <v>39</v>
      </c>
      <c r="D412" s="2">
        <v>41426</v>
      </c>
      <c r="E412" t="s">
        <v>13</v>
      </c>
      <c r="F412">
        <v>108.2</v>
      </c>
      <c r="G412" t="str">
        <f>VLOOKUP(Table1_2[[#This Row],[Categories]],Sheet3!$A$1:$B$27,2,FALSE)</f>
        <v>Food &amp;Beverage</v>
      </c>
    </row>
    <row r="413" spans="1:7" x14ac:dyDescent="0.3">
      <c r="A413" t="s">
        <v>30</v>
      </c>
      <c r="B413">
        <v>2013</v>
      </c>
      <c r="C413" t="s">
        <v>39</v>
      </c>
      <c r="D413" s="2">
        <v>41426</v>
      </c>
      <c r="E413" t="s">
        <v>14</v>
      </c>
      <c r="F413">
        <v>111</v>
      </c>
      <c r="G413" t="str">
        <f>VLOOKUP(Table1_2[[#This Row],[Categories]],Sheet3!$A$1:$B$27,2,FALSE)</f>
        <v>Food &amp;Beverage</v>
      </c>
    </row>
    <row r="414" spans="1:7" x14ac:dyDescent="0.3">
      <c r="A414" t="s">
        <v>30</v>
      </c>
      <c r="B414">
        <v>2013</v>
      </c>
      <c r="C414" t="s">
        <v>39</v>
      </c>
      <c r="D414" s="2">
        <v>41426</v>
      </c>
      <c r="E414" t="s">
        <v>15</v>
      </c>
      <c r="F414">
        <v>110.6</v>
      </c>
      <c r="G414" t="str">
        <f>VLOOKUP(Table1_2[[#This Row],[Categories]],Sheet3!$A$1:$B$27,2,FALSE)</f>
        <v>Food &amp;Beverage</v>
      </c>
    </row>
    <row r="415" spans="1:7" x14ac:dyDescent="0.3">
      <c r="A415" t="s">
        <v>30</v>
      </c>
      <c r="B415">
        <v>2013</v>
      </c>
      <c r="C415" t="s">
        <v>39</v>
      </c>
      <c r="D415" s="2">
        <v>41426</v>
      </c>
      <c r="E415" t="s">
        <v>16</v>
      </c>
      <c r="F415">
        <v>109</v>
      </c>
      <c r="G415" t="str">
        <f>VLOOKUP(Table1_2[[#This Row],[Categories]],Sheet3!$A$1:$B$27,2,FALSE)</f>
        <v>Recreation and amusement</v>
      </c>
    </row>
    <row r="416" spans="1:7" x14ac:dyDescent="0.3">
      <c r="A416" t="s">
        <v>30</v>
      </c>
      <c r="B416">
        <v>2013</v>
      </c>
      <c r="C416" t="s">
        <v>39</v>
      </c>
      <c r="D416" s="2">
        <v>41426</v>
      </c>
      <c r="E416" t="s">
        <v>17</v>
      </c>
      <c r="F416">
        <v>109.7</v>
      </c>
      <c r="G416" t="str">
        <f>VLOOKUP(Table1_2[[#This Row],[Categories]],Sheet3!$A$1:$B$27,2,FALSE)</f>
        <v>Clothing and footwear</v>
      </c>
    </row>
    <row r="417" spans="1:7" x14ac:dyDescent="0.3">
      <c r="A417" t="s">
        <v>30</v>
      </c>
      <c r="B417">
        <v>2013</v>
      </c>
      <c r="C417" t="s">
        <v>39</v>
      </c>
      <c r="D417" s="2">
        <v>41426</v>
      </c>
      <c r="E417" t="s">
        <v>18</v>
      </c>
      <c r="F417">
        <v>108.8</v>
      </c>
      <c r="G417" t="str">
        <f>VLOOKUP(Table1_2[[#This Row],[Categories]],Sheet3!$A$1:$B$27,2,FALSE)</f>
        <v>Clothing and footwear</v>
      </c>
    </row>
    <row r="418" spans="1:7" x14ac:dyDescent="0.3">
      <c r="A418" t="s">
        <v>30</v>
      </c>
      <c r="B418">
        <v>2013</v>
      </c>
      <c r="C418" t="s">
        <v>39</v>
      </c>
      <c r="D418" s="2">
        <v>41426</v>
      </c>
      <c r="E418" t="s">
        <v>19</v>
      </c>
      <c r="F418">
        <v>109.5</v>
      </c>
      <c r="G418" t="str">
        <f>VLOOKUP(Table1_2[[#This Row],[Categories]],Sheet3!$A$1:$B$27,2,FALSE)</f>
        <v>Clothing and footwear</v>
      </c>
    </row>
    <row r="419" spans="1:7" x14ac:dyDescent="0.3">
      <c r="A419" t="s">
        <v>30</v>
      </c>
      <c r="B419">
        <v>2013</v>
      </c>
      <c r="C419" t="s">
        <v>39</v>
      </c>
      <c r="D419" s="2">
        <v>41426</v>
      </c>
      <c r="E419" t="s">
        <v>21</v>
      </c>
      <c r="F419">
        <v>108.5</v>
      </c>
      <c r="G419" t="str">
        <f>VLOOKUP(Table1_2[[#This Row],[Categories]],Sheet3!$A$1:$B$27,2,FALSE)</f>
        <v>Fuel and light</v>
      </c>
    </row>
    <row r="420" spans="1:7" x14ac:dyDescent="0.3">
      <c r="A420" t="s">
        <v>30</v>
      </c>
      <c r="B420">
        <v>2013</v>
      </c>
      <c r="C420" t="s">
        <v>39</v>
      </c>
      <c r="D420" s="2">
        <v>41426</v>
      </c>
      <c r="E420" t="s">
        <v>22</v>
      </c>
      <c r="F420">
        <v>107.5</v>
      </c>
      <c r="G420" t="str">
        <f>VLOOKUP(Table1_2[[#This Row],[Categories]],Sheet3!$A$1:$B$27,2,FALSE)</f>
        <v>Household Items</v>
      </c>
    </row>
    <row r="421" spans="1:7" x14ac:dyDescent="0.3">
      <c r="A421" t="s">
        <v>30</v>
      </c>
      <c r="B421">
        <v>2013</v>
      </c>
      <c r="C421" t="s">
        <v>39</v>
      </c>
      <c r="D421" s="2">
        <v>41426</v>
      </c>
      <c r="E421" t="s">
        <v>23</v>
      </c>
      <c r="F421">
        <v>106.3</v>
      </c>
      <c r="G421" t="str">
        <f>VLOOKUP(Table1_2[[#This Row],[Categories]],Sheet3!$A$1:$B$27,2,FALSE)</f>
        <v>Health</v>
      </c>
    </row>
    <row r="422" spans="1:7" x14ac:dyDescent="0.3">
      <c r="A422" t="s">
        <v>30</v>
      </c>
      <c r="B422">
        <v>2013</v>
      </c>
      <c r="C422" t="s">
        <v>39</v>
      </c>
      <c r="D422" s="2">
        <v>41426</v>
      </c>
      <c r="E422" t="s">
        <v>24</v>
      </c>
      <c r="F422">
        <v>105</v>
      </c>
      <c r="G422" t="str">
        <f>VLOOKUP(Table1_2[[#This Row],[Categories]],Sheet3!$A$1:$B$27,2,FALSE)</f>
        <v>Transport and communication</v>
      </c>
    </row>
    <row r="423" spans="1:7" x14ac:dyDescent="0.3">
      <c r="A423" t="s">
        <v>30</v>
      </c>
      <c r="B423">
        <v>2013</v>
      </c>
      <c r="C423" t="s">
        <v>39</v>
      </c>
      <c r="D423" s="2">
        <v>41426</v>
      </c>
      <c r="E423" t="s">
        <v>25</v>
      </c>
      <c r="F423">
        <v>105.6</v>
      </c>
      <c r="G423" t="str">
        <f>VLOOKUP(Table1_2[[#This Row],[Categories]],Sheet3!$A$1:$B$27,2,FALSE)</f>
        <v>Recreation and amusement</v>
      </c>
    </row>
    <row r="424" spans="1:7" x14ac:dyDescent="0.3">
      <c r="A424" t="s">
        <v>30</v>
      </c>
      <c r="B424">
        <v>2013</v>
      </c>
      <c r="C424" t="s">
        <v>39</v>
      </c>
      <c r="D424" s="2">
        <v>41426</v>
      </c>
      <c r="E424" t="s">
        <v>26</v>
      </c>
      <c r="F424">
        <v>106.5</v>
      </c>
      <c r="G424" t="str">
        <f>VLOOKUP(Table1_2[[#This Row],[Categories]],Sheet3!$A$1:$B$27,2,FALSE)</f>
        <v>Education</v>
      </c>
    </row>
    <row r="425" spans="1:7" x14ac:dyDescent="0.3">
      <c r="A425" t="s">
        <v>30</v>
      </c>
      <c r="B425">
        <v>2013</v>
      </c>
      <c r="C425" t="s">
        <v>39</v>
      </c>
      <c r="D425" s="2">
        <v>41426</v>
      </c>
      <c r="E425" t="s">
        <v>27</v>
      </c>
      <c r="F425">
        <v>102.5</v>
      </c>
      <c r="G425" t="str">
        <f>VLOOKUP(Table1_2[[#This Row],[Categories]],Sheet3!$A$1:$B$27,2,FALSE)</f>
        <v>Household Items</v>
      </c>
    </row>
    <row r="426" spans="1:7" x14ac:dyDescent="0.3">
      <c r="A426" t="s">
        <v>30</v>
      </c>
      <c r="B426">
        <v>2013</v>
      </c>
      <c r="C426" t="s">
        <v>39</v>
      </c>
      <c r="D426" s="2">
        <v>41426</v>
      </c>
      <c r="E426" t="s">
        <v>28</v>
      </c>
      <c r="F426">
        <v>105.5</v>
      </c>
      <c r="G426" t="str">
        <f>VLOOKUP(Table1_2[[#This Row],[Categories]],Sheet3!$A$1:$B$27,2,FALSE)</f>
        <v>Miscellaneous</v>
      </c>
    </row>
    <row r="427" spans="1:7" x14ac:dyDescent="0.3">
      <c r="A427" t="s">
        <v>30</v>
      </c>
      <c r="B427">
        <v>2013</v>
      </c>
      <c r="C427" t="s">
        <v>39</v>
      </c>
      <c r="D427" s="2">
        <v>41426</v>
      </c>
      <c r="E427" t="s">
        <v>29</v>
      </c>
      <c r="F427">
        <v>108.9</v>
      </c>
      <c r="G427" t="str">
        <f>VLOOKUP(Table1_2[[#This Row],[Categories]],Sheet3!$A$1:$B$27,2,FALSE)</f>
        <v>General index</v>
      </c>
    </row>
    <row r="428" spans="1:7" x14ac:dyDescent="0.3">
      <c r="A428" t="s">
        <v>33</v>
      </c>
      <c r="B428">
        <v>2013</v>
      </c>
      <c r="C428" t="s">
        <v>39</v>
      </c>
      <c r="D428" s="2">
        <v>41426</v>
      </c>
      <c r="E428" t="s">
        <v>3</v>
      </c>
      <c r="F428">
        <v>117</v>
      </c>
      <c r="G428" t="str">
        <f>VLOOKUP(Table1_2[[#This Row],[Categories]],Sheet3!$A$1:$B$27,2,FALSE)</f>
        <v>Food &amp;Beverage</v>
      </c>
    </row>
    <row r="429" spans="1:7" x14ac:dyDescent="0.3">
      <c r="A429" t="s">
        <v>33</v>
      </c>
      <c r="B429">
        <v>2013</v>
      </c>
      <c r="C429" t="s">
        <v>39</v>
      </c>
      <c r="D429" s="2">
        <v>41426</v>
      </c>
      <c r="E429" t="s">
        <v>4</v>
      </c>
      <c r="F429">
        <v>120.1</v>
      </c>
      <c r="G429" t="str">
        <f>VLOOKUP(Table1_2[[#This Row],[Categories]],Sheet3!$A$1:$B$27,2,FALSE)</f>
        <v>Food &amp;Beverage</v>
      </c>
    </row>
    <row r="430" spans="1:7" x14ac:dyDescent="0.3">
      <c r="A430" t="s">
        <v>33</v>
      </c>
      <c r="B430">
        <v>2013</v>
      </c>
      <c r="C430" t="s">
        <v>39</v>
      </c>
      <c r="D430" s="2">
        <v>41426</v>
      </c>
      <c r="E430" t="s">
        <v>5</v>
      </c>
      <c r="F430">
        <v>112.5</v>
      </c>
      <c r="G430" t="str">
        <f>VLOOKUP(Table1_2[[#This Row],[Categories]],Sheet3!$A$1:$B$27,2,FALSE)</f>
        <v>Food &amp;Beverage</v>
      </c>
    </row>
    <row r="431" spans="1:7" x14ac:dyDescent="0.3">
      <c r="A431" t="s">
        <v>33</v>
      </c>
      <c r="B431">
        <v>2013</v>
      </c>
      <c r="C431" t="s">
        <v>39</v>
      </c>
      <c r="D431" s="2">
        <v>41426</v>
      </c>
      <c r="E431" t="s">
        <v>6</v>
      </c>
      <c r="F431">
        <v>107.3</v>
      </c>
      <c r="G431" t="str">
        <f>VLOOKUP(Table1_2[[#This Row],[Categories]],Sheet3!$A$1:$B$27,2,FALSE)</f>
        <v>Food &amp;Beverage</v>
      </c>
    </row>
    <row r="432" spans="1:7" x14ac:dyDescent="0.3">
      <c r="A432" t="s">
        <v>33</v>
      </c>
      <c r="B432">
        <v>2013</v>
      </c>
      <c r="C432" t="s">
        <v>39</v>
      </c>
      <c r="D432" s="2">
        <v>41426</v>
      </c>
      <c r="E432" t="s">
        <v>7</v>
      </c>
      <c r="F432">
        <v>101.3</v>
      </c>
      <c r="G432" t="str">
        <f>VLOOKUP(Table1_2[[#This Row],[Categories]],Sheet3!$A$1:$B$27,2,FALSE)</f>
        <v>Food &amp;Beverage</v>
      </c>
    </row>
    <row r="433" spans="1:7" x14ac:dyDescent="0.3">
      <c r="A433" t="s">
        <v>33</v>
      </c>
      <c r="B433">
        <v>2013</v>
      </c>
      <c r="C433" t="s">
        <v>39</v>
      </c>
      <c r="D433" s="2">
        <v>41426</v>
      </c>
      <c r="E433" t="s">
        <v>8</v>
      </c>
      <c r="F433">
        <v>112.4</v>
      </c>
      <c r="G433" t="str">
        <f>VLOOKUP(Table1_2[[#This Row],[Categories]],Sheet3!$A$1:$B$27,2,FALSE)</f>
        <v>Food &amp;Beverage</v>
      </c>
    </row>
    <row r="434" spans="1:7" x14ac:dyDescent="0.3">
      <c r="A434" t="s">
        <v>33</v>
      </c>
      <c r="B434">
        <v>2013</v>
      </c>
      <c r="C434" t="s">
        <v>39</v>
      </c>
      <c r="D434" s="2">
        <v>41426</v>
      </c>
      <c r="E434" t="s">
        <v>9</v>
      </c>
      <c r="F434">
        <v>143.6</v>
      </c>
      <c r="G434" t="str">
        <f>VLOOKUP(Table1_2[[#This Row],[Categories]],Sheet3!$A$1:$B$27,2,FALSE)</f>
        <v>Food &amp;Beverage</v>
      </c>
    </row>
    <row r="435" spans="1:7" x14ac:dyDescent="0.3">
      <c r="A435" t="s">
        <v>33</v>
      </c>
      <c r="B435">
        <v>2013</v>
      </c>
      <c r="C435" t="s">
        <v>39</v>
      </c>
      <c r="D435" s="2">
        <v>41426</v>
      </c>
      <c r="E435" t="s">
        <v>10</v>
      </c>
      <c r="F435">
        <v>105.4</v>
      </c>
      <c r="G435" t="str">
        <f>VLOOKUP(Table1_2[[#This Row],[Categories]],Sheet3!$A$1:$B$27,2,FALSE)</f>
        <v>Food &amp;Beverage</v>
      </c>
    </row>
    <row r="436" spans="1:7" x14ac:dyDescent="0.3">
      <c r="A436" t="s">
        <v>33</v>
      </c>
      <c r="B436">
        <v>2013</v>
      </c>
      <c r="C436" t="s">
        <v>39</v>
      </c>
      <c r="D436" s="2">
        <v>41426</v>
      </c>
      <c r="E436" t="s">
        <v>11</v>
      </c>
      <c r="F436">
        <v>101.4</v>
      </c>
      <c r="G436" t="str">
        <f>VLOOKUP(Table1_2[[#This Row],[Categories]],Sheet3!$A$1:$B$27,2,FALSE)</f>
        <v>Food &amp;Beverage</v>
      </c>
    </row>
    <row r="437" spans="1:7" x14ac:dyDescent="0.3">
      <c r="A437" t="s">
        <v>33</v>
      </c>
      <c r="B437">
        <v>2013</v>
      </c>
      <c r="C437" t="s">
        <v>39</v>
      </c>
      <c r="D437" s="2">
        <v>41426</v>
      </c>
      <c r="E437" t="s">
        <v>12</v>
      </c>
      <c r="F437">
        <v>106.4</v>
      </c>
      <c r="G437" t="str">
        <f>VLOOKUP(Table1_2[[#This Row],[Categories]],Sheet3!$A$1:$B$27,2,FALSE)</f>
        <v>Food &amp;Beverage</v>
      </c>
    </row>
    <row r="438" spans="1:7" x14ac:dyDescent="0.3">
      <c r="A438" t="s">
        <v>33</v>
      </c>
      <c r="B438">
        <v>2013</v>
      </c>
      <c r="C438" t="s">
        <v>39</v>
      </c>
      <c r="D438" s="2">
        <v>41426</v>
      </c>
      <c r="E438" t="s">
        <v>13</v>
      </c>
      <c r="F438">
        <v>110</v>
      </c>
      <c r="G438" t="str">
        <f>VLOOKUP(Table1_2[[#This Row],[Categories]],Sheet3!$A$1:$B$27,2,FALSE)</f>
        <v>Food &amp;Beverage</v>
      </c>
    </row>
    <row r="439" spans="1:7" x14ac:dyDescent="0.3">
      <c r="A439" t="s">
        <v>33</v>
      </c>
      <c r="B439">
        <v>2013</v>
      </c>
      <c r="C439" t="s">
        <v>39</v>
      </c>
      <c r="D439" s="2">
        <v>41426</v>
      </c>
      <c r="E439" t="s">
        <v>14</v>
      </c>
      <c r="F439">
        <v>112.2</v>
      </c>
      <c r="G439" t="str">
        <f>VLOOKUP(Table1_2[[#This Row],[Categories]],Sheet3!$A$1:$B$27,2,FALSE)</f>
        <v>Food &amp;Beverage</v>
      </c>
    </row>
    <row r="440" spans="1:7" x14ac:dyDescent="0.3">
      <c r="A440" t="s">
        <v>33</v>
      </c>
      <c r="B440">
        <v>2013</v>
      </c>
      <c r="C440" t="s">
        <v>39</v>
      </c>
      <c r="D440" s="2">
        <v>41426</v>
      </c>
      <c r="E440" t="s">
        <v>15</v>
      </c>
      <c r="F440">
        <v>115</v>
      </c>
      <c r="G440" t="str">
        <f>VLOOKUP(Table1_2[[#This Row],[Categories]],Sheet3!$A$1:$B$27,2,FALSE)</f>
        <v>Food &amp;Beverage</v>
      </c>
    </row>
    <row r="441" spans="1:7" x14ac:dyDescent="0.3">
      <c r="A441" t="s">
        <v>33</v>
      </c>
      <c r="B441">
        <v>2013</v>
      </c>
      <c r="C441" t="s">
        <v>39</v>
      </c>
      <c r="D441" s="2">
        <v>41426</v>
      </c>
      <c r="E441" t="s">
        <v>16</v>
      </c>
      <c r="F441">
        <v>110.9</v>
      </c>
      <c r="G441" t="str">
        <f>VLOOKUP(Table1_2[[#This Row],[Categories]],Sheet3!$A$1:$B$27,2,FALSE)</f>
        <v>Recreation and amusement</v>
      </c>
    </row>
    <row r="442" spans="1:7" x14ac:dyDescent="0.3">
      <c r="A442" t="s">
        <v>33</v>
      </c>
      <c r="B442">
        <v>2013</v>
      </c>
      <c r="C442" t="s">
        <v>39</v>
      </c>
      <c r="D442" s="2">
        <v>41426</v>
      </c>
      <c r="E442" t="s">
        <v>17</v>
      </c>
      <c r="F442">
        <v>109.2</v>
      </c>
      <c r="G442" t="str">
        <f>VLOOKUP(Table1_2[[#This Row],[Categories]],Sheet3!$A$1:$B$27,2,FALSE)</f>
        <v>Clothing and footwear</v>
      </c>
    </row>
    <row r="443" spans="1:7" x14ac:dyDescent="0.3">
      <c r="A443" t="s">
        <v>33</v>
      </c>
      <c r="B443">
        <v>2013</v>
      </c>
      <c r="C443" t="s">
        <v>39</v>
      </c>
      <c r="D443" s="2">
        <v>41426</v>
      </c>
      <c r="E443" t="s">
        <v>18</v>
      </c>
      <c r="F443">
        <v>107.2</v>
      </c>
      <c r="G443" t="str">
        <f>VLOOKUP(Table1_2[[#This Row],[Categories]],Sheet3!$A$1:$B$27,2,FALSE)</f>
        <v>Clothing and footwear</v>
      </c>
    </row>
    <row r="444" spans="1:7" x14ac:dyDescent="0.3">
      <c r="A444" t="s">
        <v>33</v>
      </c>
      <c r="B444">
        <v>2013</v>
      </c>
      <c r="C444" t="s">
        <v>39</v>
      </c>
      <c r="D444" s="2">
        <v>41426</v>
      </c>
      <c r="E444" t="s">
        <v>19</v>
      </c>
      <c r="F444">
        <v>108.9</v>
      </c>
      <c r="G444" t="str">
        <f>VLOOKUP(Table1_2[[#This Row],[Categories]],Sheet3!$A$1:$B$27,2,FALSE)</f>
        <v>Clothing and footwear</v>
      </c>
    </row>
    <row r="445" spans="1:7" x14ac:dyDescent="0.3">
      <c r="A445" t="s">
        <v>33</v>
      </c>
      <c r="B445">
        <v>2013</v>
      </c>
      <c r="C445" t="s">
        <v>39</v>
      </c>
      <c r="D445" s="2">
        <v>41426</v>
      </c>
      <c r="E445" t="s">
        <v>20</v>
      </c>
      <c r="F445">
        <v>106.6</v>
      </c>
      <c r="G445" t="str">
        <f>VLOOKUP(Table1_2[[#This Row],[Categories]],Sheet3!$A$1:$B$27,2,FALSE)</f>
        <v>Housing</v>
      </c>
    </row>
    <row r="446" spans="1:7" x14ac:dyDescent="0.3">
      <c r="A446" t="s">
        <v>33</v>
      </c>
      <c r="B446">
        <v>2013</v>
      </c>
      <c r="C446" t="s">
        <v>39</v>
      </c>
      <c r="D446" s="2">
        <v>41426</v>
      </c>
      <c r="E446" t="s">
        <v>21</v>
      </c>
      <c r="F446">
        <v>108</v>
      </c>
      <c r="G446" t="str">
        <f>VLOOKUP(Table1_2[[#This Row],[Categories]],Sheet3!$A$1:$B$27,2,FALSE)</f>
        <v>Fuel and light</v>
      </c>
    </row>
    <row r="447" spans="1:7" x14ac:dyDescent="0.3">
      <c r="A447" t="s">
        <v>33</v>
      </c>
      <c r="B447">
        <v>2013</v>
      </c>
      <c r="C447" t="s">
        <v>39</v>
      </c>
      <c r="D447" s="2">
        <v>41426</v>
      </c>
      <c r="E447" t="s">
        <v>22</v>
      </c>
      <c r="F447">
        <v>107.7</v>
      </c>
      <c r="G447" t="str">
        <f>VLOOKUP(Table1_2[[#This Row],[Categories]],Sheet3!$A$1:$B$27,2,FALSE)</f>
        <v>Household Items</v>
      </c>
    </row>
    <row r="448" spans="1:7" x14ac:dyDescent="0.3">
      <c r="A448" t="s">
        <v>33</v>
      </c>
      <c r="B448">
        <v>2013</v>
      </c>
      <c r="C448" t="s">
        <v>39</v>
      </c>
      <c r="D448" s="2">
        <v>41426</v>
      </c>
      <c r="E448" t="s">
        <v>23</v>
      </c>
      <c r="F448">
        <v>106.5</v>
      </c>
      <c r="G448" t="str">
        <f>VLOOKUP(Table1_2[[#This Row],[Categories]],Sheet3!$A$1:$B$27,2,FALSE)</f>
        <v>Health</v>
      </c>
    </row>
    <row r="449" spans="1:7" x14ac:dyDescent="0.3">
      <c r="A449" t="s">
        <v>33</v>
      </c>
      <c r="B449">
        <v>2013</v>
      </c>
      <c r="C449" t="s">
        <v>39</v>
      </c>
      <c r="D449" s="2">
        <v>41426</v>
      </c>
      <c r="E449" t="s">
        <v>24</v>
      </c>
      <c r="F449">
        <v>105.2</v>
      </c>
      <c r="G449" t="str">
        <f>VLOOKUP(Table1_2[[#This Row],[Categories]],Sheet3!$A$1:$B$27,2,FALSE)</f>
        <v>Transport and communication</v>
      </c>
    </row>
    <row r="450" spans="1:7" x14ac:dyDescent="0.3">
      <c r="A450" t="s">
        <v>33</v>
      </c>
      <c r="B450">
        <v>2013</v>
      </c>
      <c r="C450" t="s">
        <v>39</v>
      </c>
      <c r="D450" s="2">
        <v>41426</v>
      </c>
      <c r="E450" t="s">
        <v>25</v>
      </c>
      <c r="F450">
        <v>105.2</v>
      </c>
      <c r="G450" t="str">
        <f>VLOOKUP(Table1_2[[#This Row],[Categories]],Sheet3!$A$1:$B$27,2,FALSE)</f>
        <v>Recreation and amusement</v>
      </c>
    </row>
    <row r="451" spans="1:7" x14ac:dyDescent="0.3">
      <c r="A451" t="s">
        <v>33</v>
      </c>
      <c r="B451">
        <v>2013</v>
      </c>
      <c r="C451" t="s">
        <v>39</v>
      </c>
      <c r="D451" s="2">
        <v>41426</v>
      </c>
      <c r="E451" t="s">
        <v>26</v>
      </c>
      <c r="F451">
        <v>108.1</v>
      </c>
      <c r="G451" t="str">
        <f>VLOOKUP(Table1_2[[#This Row],[Categories]],Sheet3!$A$1:$B$27,2,FALSE)</f>
        <v>Education</v>
      </c>
    </row>
    <row r="452" spans="1:7" x14ac:dyDescent="0.3">
      <c r="A452" t="s">
        <v>33</v>
      </c>
      <c r="B452">
        <v>2013</v>
      </c>
      <c r="C452" t="s">
        <v>39</v>
      </c>
      <c r="D452" s="2">
        <v>41426</v>
      </c>
      <c r="E452" t="s">
        <v>27</v>
      </c>
      <c r="F452">
        <v>103.3</v>
      </c>
      <c r="G452" t="str">
        <f>VLOOKUP(Table1_2[[#This Row],[Categories]],Sheet3!$A$1:$B$27,2,FALSE)</f>
        <v>Household Items</v>
      </c>
    </row>
    <row r="453" spans="1:7" x14ac:dyDescent="0.3">
      <c r="A453" t="s">
        <v>33</v>
      </c>
      <c r="B453">
        <v>2013</v>
      </c>
      <c r="C453" t="s">
        <v>39</v>
      </c>
      <c r="D453" s="2">
        <v>41426</v>
      </c>
      <c r="E453" t="s">
        <v>28</v>
      </c>
      <c r="F453">
        <v>106.1</v>
      </c>
      <c r="G453" t="str">
        <f>VLOOKUP(Table1_2[[#This Row],[Categories]],Sheet3!$A$1:$B$27,2,FALSE)</f>
        <v>Miscellaneous</v>
      </c>
    </row>
    <row r="454" spans="1:7" x14ac:dyDescent="0.3">
      <c r="A454" t="s">
        <v>33</v>
      </c>
      <c r="B454">
        <v>2013</v>
      </c>
      <c r="C454" t="s">
        <v>39</v>
      </c>
      <c r="D454" s="2">
        <v>41426</v>
      </c>
      <c r="E454" t="s">
        <v>29</v>
      </c>
      <c r="F454">
        <v>109.7</v>
      </c>
      <c r="G454" t="str">
        <f>VLOOKUP(Table1_2[[#This Row],[Categories]],Sheet3!$A$1:$B$27,2,FALSE)</f>
        <v>General index</v>
      </c>
    </row>
    <row r="455" spans="1:7" x14ac:dyDescent="0.3">
      <c r="A455" t="s">
        <v>34</v>
      </c>
      <c r="B455">
        <v>2013</v>
      </c>
      <c r="C455" t="s">
        <v>39</v>
      </c>
      <c r="D455" s="2">
        <v>41426</v>
      </c>
      <c r="E455" t="s">
        <v>3</v>
      </c>
      <c r="F455">
        <v>113.8</v>
      </c>
      <c r="G455" t="str">
        <f>VLOOKUP(Table1_2[[#This Row],[Categories]],Sheet3!$A$1:$B$27,2,FALSE)</f>
        <v>Food &amp;Beverage</v>
      </c>
    </row>
    <row r="456" spans="1:7" x14ac:dyDescent="0.3">
      <c r="A456" t="s">
        <v>34</v>
      </c>
      <c r="B456">
        <v>2013</v>
      </c>
      <c r="C456" t="s">
        <v>39</v>
      </c>
      <c r="D456" s="2">
        <v>41426</v>
      </c>
      <c r="E456" t="s">
        <v>4</v>
      </c>
      <c r="F456">
        <v>114.9</v>
      </c>
      <c r="G456" t="str">
        <f>VLOOKUP(Table1_2[[#This Row],[Categories]],Sheet3!$A$1:$B$27,2,FALSE)</f>
        <v>Food &amp;Beverage</v>
      </c>
    </row>
    <row r="457" spans="1:7" x14ac:dyDescent="0.3">
      <c r="A457" t="s">
        <v>34</v>
      </c>
      <c r="B457">
        <v>2013</v>
      </c>
      <c r="C457" t="s">
        <v>39</v>
      </c>
      <c r="D457" s="2">
        <v>41426</v>
      </c>
      <c r="E457" t="s">
        <v>5</v>
      </c>
      <c r="F457">
        <v>109.8</v>
      </c>
      <c r="G457" t="str">
        <f>VLOOKUP(Table1_2[[#This Row],[Categories]],Sheet3!$A$1:$B$27,2,FALSE)</f>
        <v>Food &amp;Beverage</v>
      </c>
    </row>
    <row r="458" spans="1:7" x14ac:dyDescent="0.3">
      <c r="A458" t="s">
        <v>34</v>
      </c>
      <c r="B458">
        <v>2013</v>
      </c>
      <c r="C458" t="s">
        <v>39</v>
      </c>
      <c r="D458" s="2">
        <v>41426</v>
      </c>
      <c r="E458" t="s">
        <v>6</v>
      </c>
      <c r="F458">
        <v>107.9</v>
      </c>
      <c r="G458" t="str">
        <f>VLOOKUP(Table1_2[[#This Row],[Categories]],Sheet3!$A$1:$B$27,2,FALSE)</f>
        <v>Food &amp;Beverage</v>
      </c>
    </row>
    <row r="459" spans="1:7" x14ac:dyDescent="0.3">
      <c r="A459" t="s">
        <v>34</v>
      </c>
      <c r="B459">
        <v>2013</v>
      </c>
      <c r="C459" t="s">
        <v>39</v>
      </c>
      <c r="D459" s="2">
        <v>41426</v>
      </c>
      <c r="E459" t="s">
        <v>7</v>
      </c>
      <c r="F459">
        <v>104.2</v>
      </c>
      <c r="G459" t="str">
        <f>VLOOKUP(Table1_2[[#This Row],[Categories]],Sheet3!$A$1:$B$27,2,FALSE)</f>
        <v>Food &amp;Beverage</v>
      </c>
    </row>
    <row r="460" spans="1:7" x14ac:dyDescent="0.3">
      <c r="A460" t="s">
        <v>34</v>
      </c>
      <c r="B460">
        <v>2013</v>
      </c>
      <c r="C460" t="s">
        <v>39</v>
      </c>
      <c r="D460" s="2">
        <v>41426</v>
      </c>
      <c r="E460" t="s">
        <v>8</v>
      </c>
      <c r="F460">
        <v>110.7</v>
      </c>
      <c r="G460" t="str">
        <f>VLOOKUP(Table1_2[[#This Row],[Categories]],Sheet3!$A$1:$B$27,2,FALSE)</f>
        <v>Food &amp;Beverage</v>
      </c>
    </row>
    <row r="461" spans="1:7" x14ac:dyDescent="0.3">
      <c r="A461" t="s">
        <v>34</v>
      </c>
      <c r="B461">
        <v>2013</v>
      </c>
      <c r="C461" t="s">
        <v>39</v>
      </c>
      <c r="D461" s="2">
        <v>41426</v>
      </c>
      <c r="E461" t="s">
        <v>9</v>
      </c>
      <c r="F461">
        <v>126.7</v>
      </c>
      <c r="G461" t="str">
        <f>VLOOKUP(Table1_2[[#This Row],[Categories]],Sheet3!$A$1:$B$27,2,FALSE)</f>
        <v>Food &amp;Beverage</v>
      </c>
    </row>
    <row r="462" spans="1:7" x14ac:dyDescent="0.3">
      <c r="A462" t="s">
        <v>34</v>
      </c>
      <c r="B462">
        <v>2013</v>
      </c>
      <c r="C462" t="s">
        <v>39</v>
      </c>
      <c r="D462" s="2">
        <v>41426</v>
      </c>
      <c r="E462" t="s">
        <v>10</v>
      </c>
      <c r="F462">
        <v>106.3</v>
      </c>
      <c r="G462" t="str">
        <f>VLOOKUP(Table1_2[[#This Row],[Categories]],Sheet3!$A$1:$B$27,2,FALSE)</f>
        <v>Food &amp;Beverage</v>
      </c>
    </row>
    <row r="463" spans="1:7" x14ac:dyDescent="0.3">
      <c r="A463" t="s">
        <v>34</v>
      </c>
      <c r="B463">
        <v>2013</v>
      </c>
      <c r="C463" t="s">
        <v>39</v>
      </c>
      <c r="D463" s="2">
        <v>41426</v>
      </c>
      <c r="E463" t="s">
        <v>11</v>
      </c>
      <c r="F463">
        <v>103.2</v>
      </c>
      <c r="G463" t="str">
        <f>VLOOKUP(Table1_2[[#This Row],[Categories]],Sheet3!$A$1:$B$27,2,FALSE)</f>
        <v>Food &amp;Beverage</v>
      </c>
    </row>
    <row r="464" spans="1:7" x14ac:dyDescent="0.3">
      <c r="A464" t="s">
        <v>34</v>
      </c>
      <c r="B464">
        <v>2013</v>
      </c>
      <c r="C464" t="s">
        <v>39</v>
      </c>
      <c r="D464" s="2">
        <v>41426</v>
      </c>
      <c r="E464" t="s">
        <v>12</v>
      </c>
      <c r="F464">
        <v>105.7</v>
      </c>
      <c r="G464" t="str">
        <f>VLOOKUP(Table1_2[[#This Row],[Categories]],Sheet3!$A$1:$B$27,2,FALSE)</f>
        <v>Food &amp;Beverage</v>
      </c>
    </row>
    <row r="465" spans="1:7" x14ac:dyDescent="0.3">
      <c r="A465" t="s">
        <v>34</v>
      </c>
      <c r="B465">
        <v>2013</v>
      </c>
      <c r="C465" t="s">
        <v>39</v>
      </c>
      <c r="D465" s="2">
        <v>41426</v>
      </c>
      <c r="E465" t="s">
        <v>13</v>
      </c>
      <c r="F465">
        <v>109</v>
      </c>
      <c r="G465" t="str">
        <f>VLOOKUP(Table1_2[[#This Row],[Categories]],Sheet3!$A$1:$B$27,2,FALSE)</f>
        <v>Food &amp;Beverage</v>
      </c>
    </row>
    <row r="466" spans="1:7" x14ac:dyDescent="0.3">
      <c r="A466" t="s">
        <v>34</v>
      </c>
      <c r="B466">
        <v>2013</v>
      </c>
      <c r="C466" t="s">
        <v>39</v>
      </c>
      <c r="D466" s="2">
        <v>41426</v>
      </c>
      <c r="E466" t="s">
        <v>14</v>
      </c>
      <c r="F466">
        <v>111.6</v>
      </c>
      <c r="G466" t="str">
        <f>VLOOKUP(Table1_2[[#This Row],[Categories]],Sheet3!$A$1:$B$27,2,FALSE)</f>
        <v>Food &amp;Beverage</v>
      </c>
    </row>
    <row r="467" spans="1:7" x14ac:dyDescent="0.3">
      <c r="A467" t="s">
        <v>34</v>
      </c>
      <c r="B467">
        <v>2013</v>
      </c>
      <c r="C467" t="s">
        <v>39</v>
      </c>
      <c r="D467" s="2">
        <v>41426</v>
      </c>
      <c r="E467" t="s">
        <v>15</v>
      </c>
      <c r="F467">
        <v>112.2</v>
      </c>
      <c r="G467" t="str">
        <f>VLOOKUP(Table1_2[[#This Row],[Categories]],Sheet3!$A$1:$B$27,2,FALSE)</f>
        <v>Food &amp;Beverage</v>
      </c>
    </row>
    <row r="468" spans="1:7" x14ac:dyDescent="0.3">
      <c r="A468" t="s">
        <v>34</v>
      </c>
      <c r="B468">
        <v>2013</v>
      </c>
      <c r="C468" t="s">
        <v>39</v>
      </c>
      <c r="D468" s="2">
        <v>41426</v>
      </c>
      <c r="E468" t="s">
        <v>16</v>
      </c>
      <c r="F468">
        <v>109.5</v>
      </c>
      <c r="G468" t="str">
        <f>VLOOKUP(Table1_2[[#This Row],[Categories]],Sheet3!$A$1:$B$27,2,FALSE)</f>
        <v>Recreation and amusement</v>
      </c>
    </row>
    <row r="469" spans="1:7" x14ac:dyDescent="0.3">
      <c r="A469" t="s">
        <v>34</v>
      </c>
      <c r="B469">
        <v>2013</v>
      </c>
      <c r="C469" t="s">
        <v>39</v>
      </c>
      <c r="D469" s="2">
        <v>41426</v>
      </c>
      <c r="E469" t="s">
        <v>17</v>
      </c>
      <c r="F469">
        <v>109.5</v>
      </c>
      <c r="G469" t="str">
        <f>VLOOKUP(Table1_2[[#This Row],[Categories]],Sheet3!$A$1:$B$27,2,FALSE)</f>
        <v>Clothing and footwear</v>
      </c>
    </row>
    <row r="470" spans="1:7" x14ac:dyDescent="0.3">
      <c r="A470" t="s">
        <v>34</v>
      </c>
      <c r="B470">
        <v>2013</v>
      </c>
      <c r="C470" t="s">
        <v>39</v>
      </c>
      <c r="D470" s="2">
        <v>41426</v>
      </c>
      <c r="E470" t="s">
        <v>18</v>
      </c>
      <c r="F470">
        <v>108.1</v>
      </c>
      <c r="G470" t="str">
        <f>VLOOKUP(Table1_2[[#This Row],[Categories]],Sheet3!$A$1:$B$27,2,FALSE)</f>
        <v>Clothing and footwear</v>
      </c>
    </row>
    <row r="471" spans="1:7" x14ac:dyDescent="0.3">
      <c r="A471" t="s">
        <v>34</v>
      </c>
      <c r="B471">
        <v>2013</v>
      </c>
      <c r="C471" t="s">
        <v>39</v>
      </c>
      <c r="D471" s="2">
        <v>41426</v>
      </c>
      <c r="E471" t="s">
        <v>19</v>
      </c>
      <c r="F471">
        <v>109.3</v>
      </c>
      <c r="G471" t="str">
        <f>VLOOKUP(Table1_2[[#This Row],[Categories]],Sheet3!$A$1:$B$27,2,FALSE)</f>
        <v>Clothing and footwear</v>
      </c>
    </row>
    <row r="472" spans="1:7" x14ac:dyDescent="0.3">
      <c r="A472" t="s">
        <v>34</v>
      </c>
      <c r="B472">
        <v>2013</v>
      </c>
      <c r="C472" t="s">
        <v>39</v>
      </c>
      <c r="D472" s="2">
        <v>41426</v>
      </c>
      <c r="E472" t="s">
        <v>20</v>
      </c>
      <c r="F472">
        <v>106.6</v>
      </c>
      <c r="G472" t="str">
        <f>VLOOKUP(Table1_2[[#This Row],[Categories]],Sheet3!$A$1:$B$27,2,FALSE)</f>
        <v>Housing</v>
      </c>
    </row>
    <row r="473" spans="1:7" x14ac:dyDescent="0.3">
      <c r="A473" t="s">
        <v>34</v>
      </c>
      <c r="B473">
        <v>2013</v>
      </c>
      <c r="C473" t="s">
        <v>39</v>
      </c>
      <c r="D473" s="2">
        <v>41426</v>
      </c>
      <c r="E473" t="s">
        <v>21</v>
      </c>
      <c r="F473">
        <v>108.3</v>
      </c>
      <c r="G473" t="str">
        <f>VLOOKUP(Table1_2[[#This Row],[Categories]],Sheet3!$A$1:$B$27,2,FALSE)</f>
        <v>Fuel and light</v>
      </c>
    </row>
    <row r="474" spans="1:7" x14ac:dyDescent="0.3">
      <c r="A474" t="s">
        <v>34</v>
      </c>
      <c r="B474">
        <v>2013</v>
      </c>
      <c r="C474" t="s">
        <v>39</v>
      </c>
      <c r="D474" s="2">
        <v>41426</v>
      </c>
      <c r="E474" t="s">
        <v>22</v>
      </c>
      <c r="F474">
        <v>107.6</v>
      </c>
      <c r="G474" t="str">
        <f>VLOOKUP(Table1_2[[#This Row],[Categories]],Sheet3!$A$1:$B$27,2,FALSE)</f>
        <v>Household Items</v>
      </c>
    </row>
    <row r="475" spans="1:7" x14ac:dyDescent="0.3">
      <c r="A475" t="s">
        <v>34</v>
      </c>
      <c r="B475">
        <v>2013</v>
      </c>
      <c r="C475" t="s">
        <v>39</v>
      </c>
      <c r="D475" s="2">
        <v>41426</v>
      </c>
      <c r="E475" t="s">
        <v>23</v>
      </c>
      <c r="F475">
        <v>106.4</v>
      </c>
      <c r="G475" t="str">
        <f>VLOOKUP(Table1_2[[#This Row],[Categories]],Sheet3!$A$1:$B$27,2,FALSE)</f>
        <v>Health</v>
      </c>
    </row>
    <row r="476" spans="1:7" x14ac:dyDescent="0.3">
      <c r="A476" t="s">
        <v>34</v>
      </c>
      <c r="B476">
        <v>2013</v>
      </c>
      <c r="C476" t="s">
        <v>39</v>
      </c>
      <c r="D476" s="2">
        <v>41426</v>
      </c>
      <c r="E476" t="s">
        <v>24</v>
      </c>
      <c r="F476">
        <v>105.1</v>
      </c>
      <c r="G476" t="str">
        <f>VLOOKUP(Table1_2[[#This Row],[Categories]],Sheet3!$A$1:$B$27,2,FALSE)</f>
        <v>Transport and communication</v>
      </c>
    </row>
    <row r="477" spans="1:7" x14ac:dyDescent="0.3">
      <c r="A477" t="s">
        <v>34</v>
      </c>
      <c r="B477">
        <v>2013</v>
      </c>
      <c r="C477" t="s">
        <v>39</v>
      </c>
      <c r="D477" s="2">
        <v>41426</v>
      </c>
      <c r="E477" t="s">
        <v>25</v>
      </c>
      <c r="F477">
        <v>105.4</v>
      </c>
      <c r="G477" t="str">
        <f>VLOOKUP(Table1_2[[#This Row],[Categories]],Sheet3!$A$1:$B$27,2,FALSE)</f>
        <v>Recreation and amusement</v>
      </c>
    </row>
    <row r="478" spans="1:7" x14ac:dyDescent="0.3">
      <c r="A478" t="s">
        <v>34</v>
      </c>
      <c r="B478">
        <v>2013</v>
      </c>
      <c r="C478" t="s">
        <v>39</v>
      </c>
      <c r="D478" s="2">
        <v>41426</v>
      </c>
      <c r="E478" t="s">
        <v>26</v>
      </c>
      <c r="F478">
        <v>107.4</v>
      </c>
      <c r="G478" t="str">
        <f>VLOOKUP(Table1_2[[#This Row],[Categories]],Sheet3!$A$1:$B$27,2,FALSE)</f>
        <v>Education</v>
      </c>
    </row>
    <row r="479" spans="1:7" x14ac:dyDescent="0.3">
      <c r="A479" t="s">
        <v>34</v>
      </c>
      <c r="B479">
        <v>2013</v>
      </c>
      <c r="C479" t="s">
        <v>39</v>
      </c>
      <c r="D479" s="2">
        <v>41426</v>
      </c>
      <c r="E479" t="s">
        <v>27</v>
      </c>
      <c r="F479">
        <v>102.8</v>
      </c>
      <c r="G479" t="str">
        <f>VLOOKUP(Table1_2[[#This Row],[Categories]],Sheet3!$A$1:$B$27,2,FALSE)</f>
        <v>Household Items</v>
      </c>
    </row>
    <row r="480" spans="1:7" x14ac:dyDescent="0.3">
      <c r="A480" t="s">
        <v>34</v>
      </c>
      <c r="B480">
        <v>2013</v>
      </c>
      <c r="C480" t="s">
        <v>39</v>
      </c>
      <c r="D480" s="2">
        <v>41426</v>
      </c>
      <c r="E480" t="s">
        <v>28</v>
      </c>
      <c r="F480">
        <v>105.8</v>
      </c>
      <c r="G480" t="str">
        <f>VLOOKUP(Table1_2[[#This Row],[Categories]],Sheet3!$A$1:$B$27,2,FALSE)</f>
        <v>Miscellaneous</v>
      </c>
    </row>
    <row r="481" spans="1:7" x14ac:dyDescent="0.3">
      <c r="A481" t="s">
        <v>34</v>
      </c>
      <c r="B481">
        <v>2013</v>
      </c>
      <c r="C481" t="s">
        <v>39</v>
      </c>
      <c r="D481" s="2">
        <v>41426</v>
      </c>
      <c r="E481" t="s">
        <v>29</v>
      </c>
      <c r="F481">
        <v>109.3</v>
      </c>
      <c r="G481" t="str">
        <f>VLOOKUP(Table1_2[[#This Row],[Categories]],Sheet3!$A$1:$B$27,2,FALSE)</f>
        <v>General index</v>
      </c>
    </row>
    <row r="482" spans="1:7" x14ac:dyDescent="0.3">
      <c r="A482" t="s">
        <v>30</v>
      </c>
      <c r="B482">
        <v>2013</v>
      </c>
      <c r="C482" t="s">
        <v>40</v>
      </c>
      <c r="D482" s="2">
        <v>41456</v>
      </c>
      <c r="E482" t="s">
        <v>3</v>
      </c>
      <c r="F482">
        <v>113.4</v>
      </c>
      <c r="G482" t="str">
        <f>VLOOKUP(Table1_2[[#This Row],[Categories]],Sheet3!$A$1:$B$27,2,FALSE)</f>
        <v>Food &amp;Beverage</v>
      </c>
    </row>
    <row r="483" spans="1:7" x14ac:dyDescent="0.3">
      <c r="A483" t="s">
        <v>30</v>
      </c>
      <c r="B483">
        <v>2013</v>
      </c>
      <c r="C483" t="s">
        <v>40</v>
      </c>
      <c r="D483" s="2">
        <v>41456</v>
      </c>
      <c r="E483" t="s">
        <v>4</v>
      </c>
      <c r="F483">
        <v>114.9</v>
      </c>
      <c r="G483" t="str">
        <f>VLOOKUP(Table1_2[[#This Row],[Categories]],Sheet3!$A$1:$B$27,2,FALSE)</f>
        <v>Food &amp;Beverage</v>
      </c>
    </row>
    <row r="484" spans="1:7" x14ac:dyDescent="0.3">
      <c r="A484" t="s">
        <v>30</v>
      </c>
      <c r="B484">
        <v>2013</v>
      </c>
      <c r="C484" t="s">
        <v>40</v>
      </c>
      <c r="D484" s="2">
        <v>41456</v>
      </c>
      <c r="E484" t="s">
        <v>5</v>
      </c>
      <c r="F484">
        <v>110.5</v>
      </c>
      <c r="G484" t="str">
        <f>VLOOKUP(Table1_2[[#This Row],[Categories]],Sheet3!$A$1:$B$27,2,FALSE)</f>
        <v>Food &amp;Beverage</v>
      </c>
    </row>
    <row r="485" spans="1:7" x14ac:dyDescent="0.3">
      <c r="A485" t="s">
        <v>30</v>
      </c>
      <c r="B485">
        <v>2013</v>
      </c>
      <c r="C485" t="s">
        <v>40</v>
      </c>
      <c r="D485" s="2">
        <v>41456</v>
      </c>
      <c r="E485" t="s">
        <v>6</v>
      </c>
      <c r="F485">
        <v>109.3</v>
      </c>
      <c r="G485" t="str">
        <f>VLOOKUP(Table1_2[[#This Row],[Categories]],Sheet3!$A$1:$B$27,2,FALSE)</f>
        <v>Food &amp;Beverage</v>
      </c>
    </row>
    <row r="486" spans="1:7" x14ac:dyDescent="0.3">
      <c r="A486" t="s">
        <v>30</v>
      </c>
      <c r="B486">
        <v>2013</v>
      </c>
      <c r="C486" t="s">
        <v>40</v>
      </c>
      <c r="D486" s="2">
        <v>41456</v>
      </c>
      <c r="E486" t="s">
        <v>7</v>
      </c>
      <c r="F486">
        <v>106.2</v>
      </c>
      <c r="G486" t="str">
        <f>VLOOKUP(Table1_2[[#This Row],[Categories]],Sheet3!$A$1:$B$27,2,FALSE)</f>
        <v>Food &amp;Beverage</v>
      </c>
    </row>
    <row r="487" spans="1:7" x14ac:dyDescent="0.3">
      <c r="A487" t="s">
        <v>30</v>
      </c>
      <c r="B487">
        <v>2013</v>
      </c>
      <c r="C487" t="s">
        <v>40</v>
      </c>
      <c r="D487" s="2">
        <v>41456</v>
      </c>
      <c r="E487" t="s">
        <v>8</v>
      </c>
      <c r="F487">
        <v>110.3</v>
      </c>
      <c r="G487" t="str">
        <f>VLOOKUP(Table1_2[[#This Row],[Categories]],Sheet3!$A$1:$B$27,2,FALSE)</f>
        <v>Food &amp;Beverage</v>
      </c>
    </row>
    <row r="488" spans="1:7" x14ac:dyDescent="0.3">
      <c r="A488" t="s">
        <v>30</v>
      </c>
      <c r="B488">
        <v>2013</v>
      </c>
      <c r="C488" t="s">
        <v>40</v>
      </c>
      <c r="D488" s="2">
        <v>41456</v>
      </c>
      <c r="E488" t="s">
        <v>9</v>
      </c>
      <c r="F488">
        <v>129.19999999999999</v>
      </c>
      <c r="G488" t="str">
        <f>VLOOKUP(Table1_2[[#This Row],[Categories]],Sheet3!$A$1:$B$27,2,FALSE)</f>
        <v>Food &amp;Beverage</v>
      </c>
    </row>
    <row r="489" spans="1:7" x14ac:dyDescent="0.3">
      <c r="A489" t="s">
        <v>30</v>
      </c>
      <c r="B489">
        <v>2013</v>
      </c>
      <c r="C489" t="s">
        <v>40</v>
      </c>
      <c r="D489" s="2">
        <v>41456</v>
      </c>
      <c r="E489" t="s">
        <v>10</v>
      </c>
      <c r="F489">
        <v>107.1</v>
      </c>
      <c r="G489" t="str">
        <f>VLOOKUP(Table1_2[[#This Row],[Categories]],Sheet3!$A$1:$B$27,2,FALSE)</f>
        <v>Food &amp;Beverage</v>
      </c>
    </row>
    <row r="490" spans="1:7" x14ac:dyDescent="0.3">
      <c r="A490" t="s">
        <v>30</v>
      </c>
      <c r="B490">
        <v>2013</v>
      </c>
      <c r="C490" t="s">
        <v>40</v>
      </c>
      <c r="D490" s="2">
        <v>41456</v>
      </c>
      <c r="E490" t="s">
        <v>11</v>
      </c>
      <c r="F490">
        <v>104.3</v>
      </c>
      <c r="G490" t="str">
        <f>VLOOKUP(Table1_2[[#This Row],[Categories]],Sheet3!$A$1:$B$27,2,FALSE)</f>
        <v>Food &amp;Beverage</v>
      </c>
    </row>
    <row r="491" spans="1:7" x14ac:dyDescent="0.3">
      <c r="A491" t="s">
        <v>30</v>
      </c>
      <c r="B491">
        <v>2013</v>
      </c>
      <c r="C491" t="s">
        <v>40</v>
      </c>
      <c r="D491" s="2">
        <v>41456</v>
      </c>
      <c r="E491" t="s">
        <v>12</v>
      </c>
      <c r="F491">
        <v>106.4</v>
      </c>
      <c r="G491" t="str">
        <f>VLOOKUP(Table1_2[[#This Row],[Categories]],Sheet3!$A$1:$B$27,2,FALSE)</f>
        <v>Food &amp;Beverage</v>
      </c>
    </row>
    <row r="492" spans="1:7" x14ac:dyDescent="0.3">
      <c r="A492" t="s">
        <v>30</v>
      </c>
      <c r="B492">
        <v>2013</v>
      </c>
      <c r="C492" t="s">
        <v>40</v>
      </c>
      <c r="D492" s="2">
        <v>41456</v>
      </c>
      <c r="E492" t="s">
        <v>13</v>
      </c>
      <c r="F492">
        <v>109.1</v>
      </c>
      <c r="G492" t="str">
        <f>VLOOKUP(Table1_2[[#This Row],[Categories]],Sheet3!$A$1:$B$27,2,FALSE)</f>
        <v>Food &amp;Beverage</v>
      </c>
    </row>
    <row r="493" spans="1:7" x14ac:dyDescent="0.3">
      <c r="A493" t="s">
        <v>30</v>
      </c>
      <c r="B493">
        <v>2013</v>
      </c>
      <c r="C493" t="s">
        <v>40</v>
      </c>
      <c r="D493" s="2">
        <v>41456</v>
      </c>
      <c r="E493" t="s">
        <v>14</v>
      </c>
      <c r="F493">
        <v>112.1</v>
      </c>
      <c r="G493" t="str">
        <f>VLOOKUP(Table1_2[[#This Row],[Categories]],Sheet3!$A$1:$B$27,2,FALSE)</f>
        <v>Food &amp;Beverage</v>
      </c>
    </row>
    <row r="494" spans="1:7" x14ac:dyDescent="0.3">
      <c r="A494" t="s">
        <v>30</v>
      </c>
      <c r="B494">
        <v>2013</v>
      </c>
      <c r="C494" t="s">
        <v>40</v>
      </c>
      <c r="D494" s="2">
        <v>41456</v>
      </c>
      <c r="E494" t="s">
        <v>15</v>
      </c>
      <c r="F494">
        <v>113.1</v>
      </c>
      <c r="G494" t="str">
        <f>VLOOKUP(Table1_2[[#This Row],[Categories]],Sheet3!$A$1:$B$27,2,FALSE)</f>
        <v>Food &amp;Beverage</v>
      </c>
    </row>
    <row r="495" spans="1:7" x14ac:dyDescent="0.3">
      <c r="A495" t="s">
        <v>30</v>
      </c>
      <c r="B495">
        <v>2013</v>
      </c>
      <c r="C495" t="s">
        <v>40</v>
      </c>
      <c r="D495" s="2">
        <v>41456</v>
      </c>
      <c r="E495" t="s">
        <v>16</v>
      </c>
      <c r="F495">
        <v>109.8</v>
      </c>
      <c r="G495" t="str">
        <f>VLOOKUP(Table1_2[[#This Row],[Categories]],Sheet3!$A$1:$B$27,2,FALSE)</f>
        <v>Recreation and amusement</v>
      </c>
    </row>
    <row r="496" spans="1:7" x14ac:dyDescent="0.3">
      <c r="A496" t="s">
        <v>30</v>
      </c>
      <c r="B496">
        <v>2013</v>
      </c>
      <c r="C496" t="s">
        <v>40</v>
      </c>
      <c r="D496" s="2">
        <v>41456</v>
      </c>
      <c r="E496" t="s">
        <v>17</v>
      </c>
      <c r="F496">
        <v>110.5</v>
      </c>
      <c r="G496" t="str">
        <f>VLOOKUP(Table1_2[[#This Row],[Categories]],Sheet3!$A$1:$B$27,2,FALSE)</f>
        <v>Clothing and footwear</v>
      </c>
    </row>
    <row r="497" spans="1:7" x14ac:dyDescent="0.3">
      <c r="A497" t="s">
        <v>30</v>
      </c>
      <c r="B497">
        <v>2013</v>
      </c>
      <c r="C497" t="s">
        <v>40</v>
      </c>
      <c r="D497" s="2">
        <v>41456</v>
      </c>
      <c r="E497" t="s">
        <v>18</v>
      </c>
      <c r="F497">
        <v>109.5</v>
      </c>
      <c r="G497" t="str">
        <f>VLOOKUP(Table1_2[[#This Row],[Categories]],Sheet3!$A$1:$B$27,2,FALSE)</f>
        <v>Clothing and footwear</v>
      </c>
    </row>
    <row r="498" spans="1:7" x14ac:dyDescent="0.3">
      <c r="A498" t="s">
        <v>30</v>
      </c>
      <c r="B498">
        <v>2013</v>
      </c>
      <c r="C498" t="s">
        <v>40</v>
      </c>
      <c r="D498" s="2">
        <v>41456</v>
      </c>
      <c r="E498" t="s">
        <v>19</v>
      </c>
      <c r="F498">
        <v>110.3</v>
      </c>
      <c r="G498" t="str">
        <f>VLOOKUP(Table1_2[[#This Row],[Categories]],Sheet3!$A$1:$B$27,2,FALSE)</f>
        <v>Clothing and footwear</v>
      </c>
    </row>
    <row r="499" spans="1:7" x14ac:dyDescent="0.3">
      <c r="A499" t="s">
        <v>30</v>
      </c>
      <c r="B499">
        <v>2013</v>
      </c>
      <c r="C499" t="s">
        <v>40</v>
      </c>
      <c r="D499" s="2">
        <v>41456</v>
      </c>
      <c r="E499" t="s">
        <v>21</v>
      </c>
      <c r="F499">
        <v>109.5</v>
      </c>
      <c r="G499" t="str">
        <f>VLOOKUP(Table1_2[[#This Row],[Categories]],Sheet3!$A$1:$B$27,2,FALSE)</f>
        <v>Fuel and light</v>
      </c>
    </row>
    <row r="500" spans="1:7" x14ac:dyDescent="0.3">
      <c r="A500" t="s">
        <v>30</v>
      </c>
      <c r="B500">
        <v>2013</v>
      </c>
      <c r="C500" t="s">
        <v>40</v>
      </c>
      <c r="D500" s="2">
        <v>41456</v>
      </c>
      <c r="E500" t="s">
        <v>22</v>
      </c>
      <c r="F500">
        <v>108.3</v>
      </c>
      <c r="G500" t="str">
        <f>VLOOKUP(Table1_2[[#This Row],[Categories]],Sheet3!$A$1:$B$27,2,FALSE)</f>
        <v>Household Items</v>
      </c>
    </row>
    <row r="501" spans="1:7" x14ac:dyDescent="0.3">
      <c r="A501" t="s">
        <v>30</v>
      </c>
      <c r="B501">
        <v>2013</v>
      </c>
      <c r="C501" t="s">
        <v>40</v>
      </c>
      <c r="D501" s="2">
        <v>41456</v>
      </c>
      <c r="E501" t="s">
        <v>23</v>
      </c>
      <c r="F501">
        <v>106.9</v>
      </c>
      <c r="G501" t="str">
        <f>VLOOKUP(Table1_2[[#This Row],[Categories]],Sheet3!$A$1:$B$27,2,FALSE)</f>
        <v>Health</v>
      </c>
    </row>
    <row r="502" spans="1:7" x14ac:dyDescent="0.3">
      <c r="A502" t="s">
        <v>30</v>
      </c>
      <c r="B502">
        <v>2013</v>
      </c>
      <c r="C502" t="s">
        <v>40</v>
      </c>
      <c r="D502" s="2">
        <v>41456</v>
      </c>
      <c r="E502" t="s">
        <v>24</v>
      </c>
      <c r="F502">
        <v>106.8</v>
      </c>
      <c r="G502" t="str">
        <f>VLOOKUP(Table1_2[[#This Row],[Categories]],Sheet3!$A$1:$B$27,2,FALSE)</f>
        <v>Transport and communication</v>
      </c>
    </row>
    <row r="503" spans="1:7" x14ac:dyDescent="0.3">
      <c r="A503" t="s">
        <v>30</v>
      </c>
      <c r="B503">
        <v>2013</v>
      </c>
      <c r="C503" t="s">
        <v>40</v>
      </c>
      <c r="D503" s="2">
        <v>41456</v>
      </c>
      <c r="E503" t="s">
        <v>25</v>
      </c>
      <c r="F503">
        <v>106.4</v>
      </c>
      <c r="G503" t="str">
        <f>VLOOKUP(Table1_2[[#This Row],[Categories]],Sheet3!$A$1:$B$27,2,FALSE)</f>
        <v>Recreation and amusement</v>
      </c>
    </row>
    <row r="504" spans="1:7" x14ac:dyDescent="0.3">
      <c r="A504" t="s">
        <v>30</v>
      </c>
      <c r="B504">
        <v>2013</v>
      </c>
      <c r="C504" t="s">
        <v>40</v>
      </c>
      <c r="D504" s="2">
        <v>41456</v>
      </c>
      <c r="E504" t="s">
        <v>26</v>
      </c>
      <c r="F504">
        <v>107.8</v>
      </c>
      <c r="G504" t="str">
        <f>VLOOKUP(Table1_2[[#This Row],[Categories]],Sheet3!$A$1:$B$27,2,FALSE)</f>
        <v>Education</v>
      </c>
    </row>
    <row r="505" spans="1:7" x14ac:dyDescent="0.3">
      <c r="A505" t="s">
        <v>30</v>
      </c>
      <c r="B505">
        <v>2013</v>
      </c>
      <c r="C505" t="s">
        <v>40</v>
      </c>
      <c r="D505" s="2">
        <v>41456</v>
      </c>
      <c r="E505" t="s">
        <v>27</v>
      </c>
      <c r="F505">
        <v>102.5</v>
      </c>
      <c r="G505" t="str">
        <f>VLOOKUP(Table1_2[[#This Row],[Categories]],Sheet3!$A$1:$B$27,2,FALSE)</f>
        <v>Household Items</v>
      </c>
    </row>
    <row r="506" spans="1:7" x14ac:dyDescent="0.3">
      <c r="A506" t="s">
        <v>30</v>
      </c>
      <c r="B506">
        <v>2013</v>
      </c>
      <c r="C506" t="s">
        <v>40</v>
      </c>
      <c r="D506" s="2">
        <v>41456</v>
      </c>
      <c r="E506" t="s">
        <v>28</v>
      </c>
      <c r="F506">
        <v>106.5</v>
      </c>
      <c r="G506" t="str">
        <f>VLOOKUP(Table1_2[[#This Row],[Categories]],Sheet3!$A$1:$B$27,2,FALSE)</f>
        <v>Miscellaneous</v>
      </c>
    </row>
    <row r="507" spans="1:7" x14ac:dyDescent="0.3">
      <c r="A507" t="s">
        <v>30</v>
      </c>
      <c r="B507">
        <v>2013</v>
      </c>
      <c r="C507" t="s">
        <v>40</v>
      </c>
      <c r="D507" s="2">
        <v>41456</v>
      </c>
      <c r="E507" t="s">
        <v>29</v>
      </c>
      <c r="F507">
        <v>110.7</v>
      </c>
      <c r="G507" t="str">
        <f>VLOOKUP(Table1_2[[#This Row],[Categories]],Sheet3!$A$1:$B$27,2,FALSE)</f>
        <v>General index</v>
      </c>
    </row>
    <row r="508" spans="1:7" x14ac:dyDescent="0.3">
      <c r="A508" t="s">
        <v>33</v>
      </c>
      <c r="B508">
        <v>2013</v>
      </c>
      <c r="C508" t="s">
        <v>40</v>
      </c>
      <c r="D508" s="2">
        <v>41456</v>
      </c>
      <c r="E508" t="s">
        <v>3</v>
      </c>
      <c r="F508">
        <v>117.8</v>
      </c>
      <c r="G508" t="str">
        <f>VLOOKUP(Table1_2[[#This Row],[Categories]],Sheet3!$A$1:$B$27,2,FALSE)</f>
        <v>Food &amp;Beverage</v>
      </c>
    </row>
    <row r="509" spans="1:7" x14ac:dyDescent="0.3">
      <c r="A509" t="s">
        <v>33</v>
      </c>
      <c r="B509">
        <v>2013</v>
      </c>
      <c r="C509" t="s">
        <v>40</v>
      </c>
      <c r="D509" s="2">
        <v>41456</v>
      </c>
      <c r="E509" t="s">
        <v>4</v>
      </c>
      <c r="F509">
        <v>119.2</v>
      </c>
      <c r="G509" t="str">
        <f>VLOOKUP(Table1_2[[#This Row],[Categories]],Sheet3!$A$1:$B$27,2,FALSE)</f>
        <v>Food &amp;Beverage</v>
      </c>
    </row>
    <row r="510" spans="1:7" x14ac:dyDescent="0.3">
      <c r="A510" t="s">
        <v>33</v>
      </c>
      <c r="B510">
        <v>2013</v>
      </c>
      <c r="C510" t="s">
        <v>40</v>
      </c>
      <c r="D510" s="2">
        <v>41456</v>
      </c>
      <c r="E510" t="s">
        <v>5</v>
      </c>
      <c r="F510">
        <v>114</v>
      </c>
      <c r="G510" t="str">
        <f>VLOOKUP(Table1_2[[#This Row],[Categories]],Sheet3!$A$1:$B$27,2,FALSE)</f>
        <v>Food &amp;Beverage</v>
      </c>
    </row>
    <row r="511" spans="1:7" x14ac:dyDescent="0.3">
      <c r="A511" t="s">
        <v>33</v>
      </c>
      <c r="B511">
        <v>2013</v>
      </c>
      <c r="C511" t="s">
        <v>40</v>
      </c>
      <c r="D511" s="2">
        <v>41456</v>
      </c>
      <c r="E511" t="s">
        <v>6</v>
      </c>
      <c r="F511">
        <v>108.3</v>
      </c>
      <c r="G511" t="str">
        <f>VLOOKUP(Table1_2[[#This Row],[Categories]],Sheet3!$A$1:$B$27,2,FALSE)</f>
        <v>Food &amp;Beverage</v>
      </c>
    </row>
    <row r="512" spans="1:7" x14ac:dyDescent="0.3">
      <c r="A512" t="s">
        <v>33</v>
      </c>
      <c r="B512">
        <v>2013</v>
      </c>
      <c r="C512" t="s">
        <v>40</v>
      </c>
      <c r="D512" s="2">
        <v>41456</v>
      </c>
      <c r="E512" t="s">
        <v>7</v>
      </c>
      <c r="F512">
        <v>101.1</v>
      </c>
      <c r="G512" t="str">
        <f>VLOOKUP(Table1_2[[#This Row],[Categories]],Sheet3!$A$1:$B$27,2,FALSE)</f>
        <v>Food &amp;Beverage</v>
      </c>
    </row>
    <row r="513" spans="1:7" x14ac:dyDescent="0.3">
      <c r="A513" t="s">
        <v>33</v>
      </c>
      <c r="B513">
        <v>2013</v>
      </c>
      <c r="C513" t="s">
        <v>40</v>
      </c>
      <c r="D513" s="2">
        <v>41456</v>
      </c>
      <c r="E513" t="s">
        <v>8</v>
      </c>
      <c r="F513">
        <v>113.2</v>
      </c>
      <c r="G513" t="str">
        <f>VLOOKUP(Table1_2[[#This Row],[Categories]],Sheet3!$A$1:$B$27,2,FALSE)</f>
        <v>Food &amp;Beverage</v>
      </c>
    </row>
    <row r="514" spans="1:7" x14ac:dyDescent="0.3">
      <c r="A514" t="s">
        <v>33</v>
      </c>
      <c r="B514">
        <v>2013</v>
      </c>
      <c r="C514" t="s">
        <v>40</v>
      </c>
      <c r="D514" s="2">
        <v>41456</v>
      </c>
      <c r="E514" t="s">
        <v>9</v>
      </c>
      <c r="F514">
        <v>160.9</v>
      </c>
      <c r="G514" t="str">
        <f>VLOOKUP(Table1_2[[#This Row],[Categories]],Sheet3!$A$1:$B$27,2,FALSE)</f>
        <v>Food &amp;Beverage</v>
      </c>
    </row>
    <row r="515" spans="1:7" x14ac:dyDescent="0.3">
      <c r="A515" t="s">
        <v>33</v>
      </c>
      <c r="B515">
        <v>2013</v>
      </c>
      <c r="C515" t="s">
        <v>40</v>
      </c>
      <c r="D515" s="2">
        <v>41456</v>
      </c>
      <c r="E515" t="s">
        <v>10</v>
      </c>
      <c r="F515">
        <v>105.1</v>
      </c>
      <c r="G515" t="str">
        <f>VLOOKUP(Table1_2[[#This Row],[Categories]],Sheet3!$A$1:$B$27,2,FALSE)</f>
        <v>Food &amp;Beverage</v>
      </c>
    </row>
    <row r="516" spans="1:7" x14ac:dyDescent="0.3">
      <c r="A516" t="s">
        <v>33</v>
      </c>
      <c r="B516">
        <v>2013</v>
      </c>
      <c r="C516" t="s">
        <v>40</v>
      </c>
      <c r="D516" s="2">
        <v>41456</v>
      </c>
      <c r="E516" t="s">
        <v>11</v>
      </c>
      <c r="F516">
        <v>101.3</v>
      </c>
      <c r="G516" t="str">
        <f>VLOOKUP(Table1_2[[#This Row],[Categories]],Sheet3!$A$1:$B$27,2,FALSE)</f>
        <v>Food &amp;Beverage</v>
      </c>
    </row>
    <row r="517" spans="1:7" x14ac:dyDescent="0.3">
      <c r="A517" t="s">
        <v>33</v>
      </c>
      <c r="B517">
        <v>2013</v>
      </c>
      <c r="C517" t="s">
        <v>40</v>
      </c>
      <c r="D517" s="2">
        <v>41456</v>
      </c>
      <c r="E517" t="s">
        <v>12</v>
      </c>
      <c r="F517">
        <v>107.5</v>
      </c>
      <c r="G517" t="str">
        <f>VLOOKUP(Table1_2[[#This Row],[Categories]],Sheet3!$A$1:$B$27,2,FALSE)</f>
        <v>Food &amp;Beverage</v>
      </c>
    </row>
    <row r="518" spans="1:7" x14ac:dyDescent="0.3">
      <c r="A518" t="s">
        <v>33</v>
      </c>
      <c r="B518">
        <v>2013</v>
      </c>
      <c r="C518" t="s">
        <v>40</v>
      </c>
      <c r="D518" s="2">
        <v>41456</v>
      </c>
      <c r="E518" t="s">
        <v>13</v>
      </c>
      <c r="F518">
        <v>110.4</v>
      </c>
      <c r="G518" t="str">
        <f>VLOOKUP(Table1_2[[#This Row],[Categories]],Sheet3!$A$1:$B$27,2,FALSE)</f>
        <v>Food &amp;Beverage</v>
      </c>
    </row>
    <row r="519" spans="1:7" x14ac:dyDescent="0.3">
      <c r="A519" t="s">
        <v>33</v>
      </c>
      <c r="B519">
        <v>2013</v>
      </c>
      <c r="C519" t="s">
        <v>40</v>
      </c>
      <c r="D519" s="2">
        <v>41456</v>
      </c>
      <c r="E519" t="s">
        <v>14</v>
      </c>
      <c r="F519">
        <v>113.1</v>
      </c>
      <c r="G519" t="str">
        <f>VLOOKUP(Table1_2[[#This Row],[Categories]],Sheet3!$A$1:$B$27,2,FALSE)</f>
        <v>Food &amp;Beverage</v>
      </c>
    </row>
    <row r="520" spans="1:7" x14ac:dyDescent="0.3">
      <c r="A520" t="s">
        <v>33</v>
      </c>
      <c r="B520">
        <v>2013</v>
      </c>
      <c r="C520" t="s">
        <v>40</v>
      </c>
      <c r="D520" s="2">
        <v>41456</v>
      </c>
      <c r="E520" t="s">
        <v>15</v>
      </c>
      <c r="F520">
        <v>117.5</v>
      </c>
      <c r="G520" t="str">
        <f>VLOOKUP(Table1_2[[#This Row],[Categories]],Sheet3!$A$1:$B$27,2,FALSE)</f>
        <v>Food &amp;Beverage</v>
      </c>
    </row>
    <row r="521" spans="1:7" x14ac:dyDescent="0.3">
      <c r="A521" t="s">
        <v>33</v>
      </c>
      <c r="B521">
        <v>2013</v>
      </c>
      <c r="C521" t="s">
        <v>40</v>
      </c>
      <c r="D521" s="2">
        <v>41456</v>
      </c>
      <c r="E521" t="s">
        <v>16</v>
      </c>
      <c r="F521">
        <v>111.7</v>
      </c>
      <c r="G521" t="str">
        <f>VLOOKUP(Table1_2[[#This Row],[Categories]],Sheet3!$A$1:$B$27,2,FALSE)</f>
        <v>Recreation and amusement</v>
      </c>
    </row>
    <row r="522" spans="1:7" x14ac:dyDescent="0.3">
      <c r="A522" t="s">
        <v>33</v>
      </c>
      <c r="B522">
        <v>2013</v>
      </c>
      <c r="C522" t="s">
        <v>40</v>
      </c>
      <c r="D522" s="2">
        <v>41456</v>
      </c>
      <c r="E522" t="s">
        <v>17</v>
      </c>
      <c r="F522">
        <v>109.8</v>
      </c>
      <c r="G522" t="str">
        <f>VLOOKUP(Table1_2[[#This Row],[Categories]],Sheet3!$A$1:$B$27,2,FALSE)</f>
        <v>Clothing and footwear</v>
      </c>
    </row>
    <row r="523" spans="1:7" x14ac:dyDescent="0.3">
      <c r="A523" t="s">
        <v>33</v>
      </c>
      <c r="B523">
        <v>2013</v>
      </c>
      <c r="C523" t="s">
        <v>40</v>
      </c>
      <c r="D523" s="2">
        <v>41456</v>
      </c>
      <c r="E523" t="s">
        <v>18</v>
      </c>
      <c r="F523">
        <v>107.8</v>
      </c>
      <c r="G523" t="str">
        <f>VLOOKUP(Table1_2[[#This Row],[Categories]],Sheet3!$A$1:$B$27,2,FALSE)</f>
        <v>Clothing and footwear</v>
      </c>
    </row>
    <row r="524" spans="1:7" x14ac:dyDescent="0.3">
      <c r="A524" t="s">
        <v>33</v>
      </c>
      <c r="B524">
        <v>2013</v>
      </c>
      <c r="C524" t="s">
        <v>40</v>
      </c>
      <c r="D524" s="2">
        <v>41456</v>
      </c>
      <c r="E524" t="s">
        <v>19</v>
      </c>
      <c r="F524">
        <v>109.5</v>
      </c>
      <c r="G524" t="str">
        <f>VLOOKUP(Table1_2[[#This Row],[Categories]],Sheet3!$A$1:$B$27,2,FALSE)</f>
        <v>Clothing and footwear</v>
      </c>
    </row>
    <row r="525" spans="1:7" x14ac:dyDescent="0.3">
      <c r="A525" t="s">
        <v>33</v>
      </c>
      <c r="B525">
        <v>2013</v>
      </c>
      <c r="C525" t="s">
        <v>40</v>
      </c>
      <c r="D525" s="2">
        <v>41456</v>
      </c>
      <c r="E525" t="s">
        <v>20</v>
      </c>
      <c r="F525">
        <v>107.7</v>
      </c>
      <c r="G525" t="str">
        <f>VLOOKUP(Table1_2[[#This Row],[Categories]],Sheet3!$A$1:$B$27,2,FALSE)</f>
        <v>Housing</v>
      </c>
    </row>
    <row r="526" spans="1:7" x14ac:dyDescent="0.3">
      <c r="A526" t="s">
        <v>33</v>
      </c>
      <c r="B526">
        <v>2013</v>
      </c>
      <c r="C526" t="s">
        <v>40</v>
      </c>
      <c r="D526" s="2">
        <v>41456</v>
      </c>
      <c r="E526" t="s">
        <v>21</v>
      </c>
      <c r="F526">
        <v>108.6</v>
      </c>
      <c r="G526" t="str">
        <f>VLOOKUP(Table1_2[[#This Row],[Categories]],Sheet3!$A$1:$B$27,2,FALSE)</f>
        <v>Fuel and light</v>
      </c>
    </row>
    <row r="527" spans="1:7" x14ac:dyDescent="0.3">
      <c r="A527" t="s">
        <v>33</v>
      </c>
      <c r="B527">
        <v>2013</v>
      </c>
      <c r="C527" t="s">
        <v>40</v>
      </c>
      <c r="D527" s="2">
        <v>41456</v>
      </c>
      <c r="E527" t="s">
        <v>22</v>
      </c>
      <c r="F527">
        <v>108.1</v>
      </c>
      <c r="G527" t="str">
        <f>VLOOKUP(Table1_2[[#This Row],[Categories]],Sheet3!$A$1:$B$27,2,FALSE)</f>
        <v>Household Items</v>
      </c>
    </row>
    <row r="528" spans="1:7" x14ac:dyDescent="0.3">
      <c r="A528" t="s">
        <v>33</v>
      </c>
      <c r="B528">
        <v>2013</v>
      </c>
      <c r="C528" t="s">
        <v>40</v>
      </c>
      <c r="D528" s="2">
        <v>41456</v>
      </c>
      <c r="E528" t="s">
        <v>23</v>
      </c>
      <c r="F528">
        <v>107.1</v>
      </c>
      <c r="G528" t="str">
        <f>VLOOKUP(Table1_2[[#This Row],[Categories]],Sheet3!$A$1:$B$27,2,FALSE)</f>
        <v>Health</v>
      </c>
    </row>
    <row r="529" spans="1:7" x14ac:dyDescent="0.3">
      <c r="A529" t="s">
        <v>33</v>
      </c>
      <c r="B529">
        <v>2013</v>
      </c>
      <c r="C529" t="s">
        <v>40</v>
      </c>
      <c r="D529" s="2">
        <v>41456</v>
      </c>
      <c r="E529" t="s">
        <v>24</v>
      </c>
      <c r="F529">
        <v>107.3</v>
      </c>
      <c r="G529" t="str">
        <f>VLOOKUP(Table1_2[[#This Row],[Categories]],Sheet3!$A$1:$B$27,2,FALSE)</f>
        <v>Transport and communication</v>
      </c>
    </row>
    <row r="530" spans="1:7" x14ac:dyDescent="0.3">
      <c r="A530" t="s">
        <v>33</v>
      </c>
      <c r="B530">
        <v>2013</v>
      </c>
      <c r="C530" t="s">
        <v>40</v>
      </c>
      <c r="D530" s="2">
        <v>41456</v>
      </c>
      <c r="E530" t="s">
        <v>25</v>
      </c>
      <c r="F530">
        <v>105.9</v>
      </c>
      <c r="G530" t="str">
        <f>VLOOKUP(Table1_2[[#This Row],[Categories]],Sheet3!$A$1:$B$27,2,FALSE)</f>
        <v>Recreation and amusement</v>
      </c>
    </row>
    <row r="531" spans="1:7" x14ac:dyDescent="0.3">
      <c r="A531" t="s">
        <v>33</v>
      </c>
      <c r="B531">
        <v>2013</v>
      </c>
      <c r="C531" t="s">
        <v>40</v>
      </c>
      <c r="D531" s="2">
        <v>41456</v>
      </c>
      <c r="E531" t="s">
        <v>26</v>
      </c>
      <c r="F531">
        <v>110.1</v>
      </c>
      <c r="G531" t="str">
        <f>VLOOKUP(Table1_2[[#This Row],[Categories]],Sheet3!$A$1:$B$27,2,FALSE)</f>
        <v>Education</v>
      </c>
    </row>
    <row r="532" spans="1:7" x14ac:dyDescent="0.3">
      <c r="A532" t="s">
        <v>33</v>
      </c>
      <c r="B532">
        <v>2013</v>
      </c>
      <c r="C532" t="s">
        <v>40</v>
      </c>
      <c r="D532" s="2">
        <v>41456</v>
      </c>
      <c r="E532" t="s">
        <v>27</v>
      </c>
      <c r="F532">
        <v>103.2</v>
      </c>
      <c r="G532" t="str">
        <f>VLOOKUP(Table1_2[[#This Row],[Categories]],Sheet3!$A$1:$B$27,2,FALSE)</f>
        <v>Household Items</v>
      </c>
    </row>
    <row r="533" spans="1:7" x14ac:dyDescent="0.3">
      <c r="A533" t="s">
        <v>33</v>
      </c>
      <c r="B533">
        <v>2013</v>
      </c>
      <c r="C533" t="s">
        <v>40</v>
      </c>
      <c r="D533" s="2">
        <v>41456</v>
      </c>
      <c r="E533" t="s">
        <v>28</v>
      </c>
      <c r="F533">
        <v>107.3</v>
      </c>
      <c r="G533" t="str">
        <f>VLOOKUP(Table1_2[[#This Row],[Categories]],Sheet3!$A$1:$B$27,2,FALSE)</f>
        <v>Miscellaneous</v>
      </c>
    </row>
    <row r="534" spans="1:7" x14ac:dyDescent="0.3">
      <c r="A534" t="s">
        <v>33</v>
      </c>
      <c r="B534">
        <v>2013</v>
      </c>
      <c r="C534" t="s">
        <v>40</v>
      </c>
      <c r="D534" s="2">
        <v>41456</v>
      </c>
      <c r="E534" t="s">
        <v>29</v>
      </c>
      <c r="F534">
        <v>111.4</v>
      </c>
      <c r="G534" t="str">
        <f>VLOOKUP(Table1_2[[#This Row],[Categories]],Sheet3!$A$1:$B$27,2,FALSE)</f>
        <v>General index</v>
      </c>
    </row>
    <row r="535" spans="1:7" x14ac:dyDescent="0.3">
      <c r="A535" t="s">
        <v>34</v>
      </c>
      <c r="B535">
        <v>2013</v>
      </c>
      <c r="C535" t="s">
        <v>40</v>
      </c>
      <c r="D535" s="2">
        <v>41456</v>
      </c>
      <c r="E535" t="s">
        <v>3</v>
      </c>
      <c r="F535">
        <v>114.8</v>
      </c>
      <c r="G535" t="str">
        <f>VLOOKUP(Table1_2[[#This Row],[Categories]],Sheet3!$A$1:$B$27,2,FALSE)</f>
        <v>Food &amp;Beverage</v>
      </c>
    </row>
    <row r="536" spans="1:7" x14ac:dyDescent="0.3">
      <c r="A536" t="s">
        <v>34</v>
      </c>
      <c r="B536">
        <v>2013</v>
      </c>
      <c r="C536" t="s">
        <v>40</v>
      </c>
      <c r="D536" s="2">
        <v>41456</v>
      </c>
      <c r="E536" t="s">
        <v>4</v>
      </c>
      <c r="F536">
        <v>116.4</v>
      </c>
      <c r="G536" t="str">
        <f>VLOOKUP(Table1_2[[#This Row],[Categories]],Sheet3!$A$1:$B$27,2,FALSE)</f>
        <v>Food &amp;Beverage</v>
      </c>
    </row>
    <row r="537" spans="1:7" x14ac:dyDescent="0.3">
      <c r="A537" t="s">
        <v>34</v>
      </c>
      <c r="B537">
        <v>2013</v>
      </c>
      <c r="C537" t="s">
        <v>40</v>
      </c>
      <c r="D537" s="2">
        <v>41456</v>
      </c>
      <c r="E537" t="s">
        <v>5</v>
      </c>
      <c r="F537">
        <v>111.9</v>
      </c>
      <c r="G537" t="str">
        <f>VLOOKUP(Table1_2[[#This Row],[Categories]],Sheet3!$A$1:$B$27,2,FALSE)</f>
        <v>Food &amp;Beverage</v>
      </c>
    </row>
    <row r="538" spans="1:7" x14ac:dyDescent="0.3">
      <c r="A538" t="s">
        <v>34</v>
      </c>
      <c r="B538">
        <v>2013</v>
      </c>
      <c r="C538" t="s">
        <v>40</v>
      </c>
      <c r="D538" s="2">
        <v>41456</v>
      </c>
      <c r="E538" t="s">
        <v>6</v>
      </c>
      <c r="F538">
        <v>108.9</v>
      </c>
      <c r="G538" t="str">
        <f>VLOOKUP(Table1_2[[#This Row],[Categories]],Sheet3!$A$1:$B$27,2,FALSE)</f>
        <v>Food &amp;Beverage</v>
      </c>
    </row>
    <row r="539" spans="1:7" x14ac:dyDescent="0.3">
      <c r="A539" t="s">
        <v>34</v>
      </c>
      <c r="B539">
        <v>2013</v>
      </c>
      <c r="C539" t="s">
        <v>40</v>
      </c>
      <c r="D539" s="2">
        <v>41456</v>
      </c>
      <c r="E539" t="s">
        <v>7</v>
      </c>
      <c r="F539">
        <v>104.3</v>
      </c>
      <c r="G539" t="str">
        <f>VLOOKUP(Table1_2[[#This Row],[Categories]],Sheet3!$A$1:$B$27,2,FALSE)</f>
        <v>Food &amp;Beverage</v>
      </c>
    </row>
    <row r="540" spans="1:7" x14ac:dyDescent="0.3">
      <c r="A540" t="s">
        <v>34</v>
      </c>
      <c r="B540">
        <v>2013</v>
      </c>
      <c r="C540" t="s">
        <v>40</v>
      </c>
      <c r="D540" s="2">
        <v>41456</v>
      </c>
      <c r="E540" t="s">
        <v>8</v>
      </c>
      <c r="F540">
        <v>111.7</v>
      </c>
      <c r="G540" t="str">
        <f>VLOOKUP(Table1_2[[#This Row],[Categories]],Sheet3!$A$1:$B$27,2,FALSE)</f>
        <v>Food &amp;Beverage</v>
      </c>
    </row>
    <row r="541" spans="1:7" x14ac:dyDescent="0.3">
      <c r="A541" t="s">
        <v>34</v>
      </c>
      <c r="B541">
        <v>2013</v>
      </c>
      <c r="C541" t="s">
        <v>40</v>
      </c>
      <c r="D541" s="2">
        <v>41456</v>
      </c>
      <c r="E541" t="s">
        <v>9</v>
      </c>
      <c r="F541">
        <v>140</v>
      </c>
      <c r="G541" t="str">
        <f>VLOOKUP(Table1_2[[#This Row],[Categories]],Sheet3!$A$1:$B$27,2,FALSE)</f>
        <v>Food &amp;Beverage</v>
      </c>
    </row>
    <row r="542" spans="1:7" x14ac:dyDescent="0.3">
      <c r="A542" t="s">
        <v>34</v>
      </c>
      <c r="B542">
        <v>2013</v>
      </c>
      <c r="C542" t="s">
        <v>40</v>
      </c>
      <c r="D542" s="2">
        <v>41456</v>
      </c>
      <c r="E542" t="s">
        <v>10</v>
      </c>
      <c r="F542">
        <v>106.4</v>
      </c>
      <c r="G542" t="str">
        <f>VLOOKUP(Table1_2[[#This Row],[Categories]],Sheet3!$A$1:$B$27,2,FALSE)</f>
        <v>Food &amp;Beverage</v>
      </c>
    </row>
    <row r="543" spans="1:7" x14ac:dyDescent="0.3">
      <c r="A543" t="s">
        <v>34</v>
      </c>
      <c r="B543">
        <v>2013</v>
      </c>
      <c r="C543" t="s">
        <v>40</v>
      </c>
      <c r="D543" s="2">
        <v>41456</v>
      </c>
      <c r="E543" t="s">
        <v>11</v>
      </c>
      <c r="F543">
        <v>103.3</v>
      </c>
      <c r="G543" t="str">
        <f>VLOOKUP(Table1_2[[#This Row],[Categories]],Sheet3!$A$1:$B$27,2,FALSE)</f>
        <v>Food &amp;Beverage</v>
      </c>
    </row>
    <row r="544" spans="1:7" x14ac:dyDescent="0.3">
      <c r="A544" t="s">
        <v>34</v>
      </c>
      <c r="B544">
        <v>2013</v>
      </c>
      <c r="C544" t="s">
        <v>40</v>
      </c>
      <c r="D544" s="2">
        <v>41456</v>
      </c>
      <c r="E544" t="s">
        <v>12</v>
      </c>
      <c r="F544">
        <v>106.8</v>
      </c>
      <c r="G544" t="str">
        <f>VLOOKUP(Table1_2[[#This Row],[Categories]],Sheet3!$A$1:$B$27,2,FALSE)</f>
        <v>Food &amp;Beverage</v>
      </c>
    </row>
    <row r="545" spans="1:7" x14ac:dyDescent="0.3">
      <c r="A545" t="s">
        <v>34</v>
      </c>
      <c r="B545">
        <v>2013</v>
      </c>
      <c r="C545" t="s">
        <v>40</v>
      </c>
      <c r="D545" s="2">
        <v>41456</v>
      </c>
      <c r="E545" t="s">
        <v>13</v>
      </c>
      <c r="F545">
        <v>109.6</v>
      </c>
      <c r="G545" t="str">
        <f>VLOOKUP(Table1_2[[#This Row],[Categories]],Sheet3!$A$1:$B$27,2,FALSE)</f>
        <v>Food &amp;Beverage</v>
      </c>
    </row>
    <row r="546" spans="1:7" x14ac:dyDescent="0.3">
      <c r="A546" t="s">
        <v>34</v>
      </c>
      <c r="B546">
        <v>2013</v>
      </c>
      <c r="C546" t="s">
        <v>40</v>
      </c>
      <c r="D546" s="2">
        <v>41456</v>
      </c>
      <c r="E546" t="s">
        <v>14</v>
      </c>
      <c r="F546">
        <v>112.6</v>
      </c>
      <c r="G546" t="str">
        <f>VLOOKUP(Table1_2[[#This Row],[Categories]],Sheet3!$A$1:$B$27,2,FALSE)</f>
        <v>Food &amp;Beverage</v>
      </c>
    </row>
    <row r="547" spans="1:7" x14ac:dyDescent="0.3">
      <c r="A547" t="s">
        <v>34</v>
      </c>
      <c r="B547">
        <v>2013</v>
      </c>
      <c r="C547" t="s">
        <v>40</v>
      </c>
      <c r="D547" s="2">
        <v>41456</v>
      </c>
      <c r="E547" t="s">
        <v>15</v>
      </c>
      <c r="F547">
        <v>114.7</v>
      </c>
      <c r="G547" t="str">
        <f>VLOOKUP(Table1_2[[#This Row],[Categories]],Sheet3!$A$1:$B$27,2,FALSE)</f>
        <v>Food &amp;Beverage</v>
      </c>
    </row>
    <row r="548" spans="1:7" x14ac:dyDescent="0.3">
      <c r="A548" t="s">
        <v>34</v>
      </c>
      <c r="B548">
        <v>2013</v>
      </c>
      <c r="C548" t="s">
        <v>40</v>
      </c>
      <c r="D548" s="2">
        <v>41456</v>
      </c>
      <c r="E548" t="s">
        <v>16</v>
      </c>
      <c r="F548">
        <v>110.3</v>
      </c>
      <c r="G548" t="str">
        <f>VLOOKUP(Table1_2[[#This Row],[Categories]],Sheet3!$A$1:$B$27,2,FALSE)</f>
        <v>Recreation and amusement</v>
      </c>
    </row>
    <row r="549" spans="1:7" x14ac:dyDescent="0.3">
      <c r="A549" t="s">
        <v>34</v>
      </c>
      <c r="B549">
        <v>2013</v>
      </c>
      <c r="C549" t="s">
        <v>40</v>
      </c>
      <c r="D549" s="2">
        <v>41456</v>
      </c>
      <c r="E549" t="s">
        <v>17</v>
      </c>
      <c r="F549">
        <v>110.2</v>
      </c>
      <c r="G549" t="str">
        <f>VLOOKUP(Table1_2[[#This Row],[Categories]],Sheet3!$A$1:$B$27,2,FALSE)</f>
        <v>Clothing and footwear</v>
      </c>
    </row>
    <row r="550" spans="1:7" x14ac:dyDescent="0.3">
      <c r="A550" t="s">
        <v>34</v>
      </c>
      <c r="B550">
        <v>2013</v>
      </c>
      <c r="C550" t="s">
        <v>40</v>
      </c>
      <c r="D550" s="2">
        <v>41456</v>
      </c>
      <c r="E550" t="s">
        <v>18</v>
      </c>
      <c r="F550">
        <v>108.8</v>
      </c>
      <c r="G550" t="str">
        <f>VLOOKUP(Table1_2[[#This Row],[Categories]],Sheet3!$A$1:$B$27,2,FALSE)</f>
        <v>Clothing and footwear</v>
      </c>
    </row>
    <row r="551" spans="1:7" x14ac:dyDescent="0.3">
      <c r="A551" t="s">
        <v>34</v>
      </c>
      <c r="B551">
        <v>2013</v>
      </c>
      <c r="C551" t="s">
        <v>40</v>
      </c>
      <c r="D551" s="2">
        <v>41456</v>
      </c>
      <c r="E551" t="s">
        <v>19</v>
      </c>
      <c r="F551">
        <v>110</v>
      </c>
      <c r="G551" t="str">
        <f>VLOOKUP(Table1_2[[#This Row],[Categories]],Sheet3!$A$1:$B$27,2,FALSE)</f>
        <v>Clothing and footwear</v>
      </c>
    </row>
    <row r="552" spans="1:7" x14ac:dyDescent="0.3">
      <c r="A552" t="s">
        <v>34</v>
      </c>
      <c r="B552">
        <v>2013</v>
      </c>
      <c r="C552" t="s">
        <v>40</v>
      </c>
      <c r="D552" s="2">
        <v>41456</v>
      </c>
      <c r="E552" t="s">
        <v>20</v>
      </c>
      <c r="F552">
        <v>107.7</v>
      </c>
      <c r="G552" t="str">
        <f>VLOOKUP(Table1_2[[#This Row],[Categories]],Sheet3!$A$1:$B$27,2,FALSE)</f>
        <v>Housing</v>
      </c>
    </row>
    <row r="553" spans="1:7" x14ac:dyDescent="0.3">
      <c r="A553" t="s">
        <v>34</v>
      </c>
      <c r="B553">
        <v>2013</v>
      </c>
      <c r="C553" t="s">
        <v>40</v>
      </c>
      <c r="D553" s="2">
        <v>41456</v>
      </c>
      <c r="E553" t="s">
        <v>21</v>
      </c>
      <c r="F553">
        <v>109.2</v>
      </c>
      <c r="G553" t="str">
        <f>VLOOKUP(Table1_2[[#This Row],[Categories]],Sheet3!$A$1:$B$27,2,FALSE)</f>
        <v>Fuel and light</v>
      </c>
    </row>
    <row r="554" spans="1:7" x14ac:dyDescent="0.3">
      <c r="A554" t="s">
        <v>34</v>
      </c>
      <c r="B554">
        <v>2013</v>
      </c>
      <c r="C554" t="s">
        <v>40</v>
      </c>
      <c r="D554" s="2">
        <v>41456</v>
      </c>
      <c r="E554" t="s">
        <v>22</v>
      </c>
      <c r="F554">
        <v>108.2</v>
      </c>
      <c r="G554" t="str">
        <f>VLOOKUP(Table1_2[[#This Row],[Categories]],Sheet3!$A$1:$B$27,2,FALSE)</f>
        <v>Household Items</v>
      </c>
    </row>
    <row r="555" spans="1:7" x14ac:dyDescent="0.3">
      <c r="A555" t="s">
        <v>34</v>
      </c>
      <c r="B555">
        <v>2013</v>
      </c>
      <c r="C555" t="s">
        <v>40</v>
      </c>
      <c r="D555" s="2">
        <v>41456</v>
      </c>
      <c r="E555" t="s">
        <v>23</v>
      </c>
      <c r="F555">
        <v>107</v>
      </c>
      <c r="G555" t="str">
        <f>VLOOKUP(Table1_2[[#This Row],[Categories]],Sheet3!$A$1:$B$27,2,FALSE)</f>
        <v>Health</v>
      </c>
    </row>
    <row r="556" spans="1:7" x14ac:dyDescent="0.3">
      <c r="A556" t="s">
        <v>34</v>
      </c>
      <c r="B556">
        <v>2013</v>
      </c>
      <c r="C556" t="s">
        <v>40</v>
      </c>
      <c r="D556" s="2">
        <v>41456</v>
      </c>
      <c r="E556" t="s">
        <v>24</v>
      </c>
      <c r="F556">
        <v>107.1</v>
      </c>
      <c r="G556" t="str">
        <f>VLOOKUP(Table1_2[[#This Row],[Categories]],Sheet3!$A$1:$B$27,2,FALSE)</f>
        <v>Transport and communication</v>
      </c>
    </row>
    <row r="557" spans="1:7" x14ac:dyDescent="0.3">
      <c r="A557" t="s">
        <v>34</v>
      </c>
      <c r="B557">
        <v>2013</v>
      </c>
      <c r="C557" t="s">
        <v>40</v>
      </c>
      <c r="D557" s="2">
        <v>41456</v>
      </c>
      <c r="E557" t="s">
        <v>25</v>
      </c>
      <c r="F557">
        <v>106.1</v>
      </c>
      <c r="G557" t="str">
        <f>VLOOKUP(Table1_2[[#This Row],[Categories]],Sheet3!$A$1:$B$27,2,FALSE)</f>
        <v>Recreation and amusement</v>
      </c>
    </row>
    <row r="558" spans="1:7" x14ac:dyDescent="0.3">
      <c r="A558" t="s">
        <v>34</v>
      </c>
      <c r="B558">
        <v>2013</v>
      </c>
      <c r="C558" t="s">
        <v>40</v>
      </c>
      <c r="D558" s="2">
        <v>41456</v>
      </c>
      <c r="E558" t="s">
        <v>26</v>
      </c>
      <c r="F558">
        <v>109.1</v>
      </c>
      <c r="G558" t="str">
        <f>VLOOKUP(Table1_2[[#This Row],[Categories]],Sheet3!$A$1:$B$27,2,FALSE)</f>
        <v>Education</v>
      </c>
    </row>
    <row r="559" spans="1:7" x14ac:dyDescent="0.3">
      <c r="A559" t="s">
        <v>34</v>
      </c>
      <c r="B559">
        <v>2013</v>
      </c>
      <c r="C559" t="s">
        <v>40</v>
      </c>
      <c r="D559" s="2">
        <v>41456</v>
      </c>
      <c r="E559" t="s">
        <v>27</v>
      </c>
      <c r="F559">
        <v>102.8</v>
      </c>
      <c r="G559" t="str">
        <f>VLOOKUP(Table1_2[[#This Row],[Categories]],Sheet3!$A$1:$B$27,2,FALSE)</f>
        <v>Household Items</v>
      </c>
    </row>
    <row r="560" spans="1:7" x14ac:dyDescent="0.3">
      <c r="A560" t="s">
        <v>34</v>
      </c>
      <c r="B560">
        <v>2013</v>
      </c>
      <c r="C560" t="s">
        <v>40</v>
      </c>
      <c r="D560" s="2">
        <v>41456</v>
      </c>
      <c r="E560" t="s">
        <v>28</v>
      </c>
      <c r="F560">
        <v>106.9</v>
      </c>
      <c r="G560" t="str">
        <f>VLOOKUP(Table1_2[[#This Row],[Categories]],Sheet3!$A$1:$B$27,2,FALSE)</f>
        <v>Miscellaneous</v>
      </c>
    </row>
    <row r="561" spans="1:7" x14ac:dyDescent="0.3">
      <c r="A561" t="s">
        <v>34</v>
      </c>
      <c r="B561">
        <v>2013</v>
      </c>
      <c r="C561" t="s">
        <v>40</v>
      </c>
      <c r="D561" s="2">
        <v>41456</v>
      </c>
      <c r="E561" t="s">
        <v>29</v>
      </c>
      <c r="F561">
        <v>111</v>
      </c>
      <c r="G561" t="str">
        <f>VLOOKUP(Table1_2[[#This Row],[Categories]],Sheet3!$A$1:$B$27,2,FALSE)</f>
        <v>General index</v>
      </c>
    </row>
    <row r="562" spans="1:7" x14ac:dyDescent="0.3">
      <c r="A562" t="s">
        <v>30</v>
      </c>
      <c r="B562">
        <v>2013</v>
      </c>
      <c r="C562" t="s">
        <v>41</v>
      </c>
      <c r="D562" s="2">
        <v>41487</v>
      </c>
      <c r="E562" t="s">
        <v>3</v>
      </c>
      <c r="F562">
        <v>114.3</v>
      </c>
      <c r="G562" t="str">
        <f>VLOOKUP(Table1_2[[#This Row],[Categories]],Sheet3!$A$1:$B$27,2,FALSE)</f>
        <v>Food &amp;Beverage</v>
      </c>
    </row>
    <row r="563" spans="1:7" x14ac:dyDescent="0.3">
      <c r="A563" t="s">
        <v>30</v>
      </c>
      <c r="B563">
        <v>2013</v>
      </c>
      <c r="C563" t="s">
        <v>41</v>
      </c>
      <c r="D563" s="2">
        <v>41487</v>
      </c>
      <c r="E563" t="s">
        <v>4</v>
      </c>
      <c r="F563">
        <v>115.4</v>
      </c>
      <c r="G563" t="str">
        <f>VLOOKUP(Table1_2[[#This Row],[Categories]],Sheet3!$A$1:$B$27,2,FALSE)</f>
        <v>Food &amp;Beverage</v>
      </c>
    </row>
    <row r="564" spans="1:7" x14ac:dyDescent="0.3">
      <c r="A564" t="s">
        <v>30</v>
      </c>
      <c r="B564">
        <v>2013</v>
      </c>
      <c r="C564" t="s">
        <v>41</v>
      </c>
      <c r="D564" s="2">
        <v>41487</v>
      </c>
      <c r="E564" t="s">
        <v>5</v>
      </c>
      <c r="F564">
        <v>111.1</v>
      </c>
      <c r="G564" t="str">
        <f>VLOOKUP(Table1_2[[#This Row],[Categories]],Sheet3!$A$1:$B$27,2,FALSE)</f>
        <v>Food &amp;Beverage</v>
      </c>
    </row>
    <row r="565" spans="1:7" x14ac:dyDescent="0.3">
      <c r="A565" t="s">
        <v>30</v>
      </c>
      <c r="B565">
        <v>2013</v>
      </c>
      <c r="C565" t="s">
        <v>41</v>
      </c>
      <c r="D565" s="2">
        <v>41487</v>
      </c>
      <c r="E565" t="s">
        <v>6</v>
      </c>
      <c r="F565">
        <v>110</v>
      </c>
      <c r="G565" t="str">
        <f>VLOOKUP(Table1_2[[#This Row],[Categories]],Sheet3!$A$1:$B$27,2,FALSE)</f>
        <v>Food &amp;Beverage</v>
      </c>
    </row>
    <row r="566" spans="1:7" x14ac:dyDescent="0.3">
      <c r="A566" t="s">
        <v>30</v>
      </c>
      <c r="B566">
        <v>2013</v>
      </c>
      <c r="C566" t="s">
        <v>41</v>
      </c>
      <c r="D566" s="2">
        <v>41487</v>
      </c>
      <c r="E566" t="s">
        <v>7</v>
      </c>
      <c r="F566">
        <v>106.4</v>
      </c>
      <c r="G566" t="str">
        <f>VLOOKUP(Table1_2[[#This Row],[Categories]],Sheet3!$A$1:$B$27,2,FALSE)</f>
        <v>Food &amp;Beverage</v>
      </c>
    </row>
    <row r="567" spans="1:7" x14ac:dyDescent="0.3">
      <c r="A567" t="s">
        <v>30</v>
      </c>
      <c r="B567">
        <v>2013</v>
      </c>
      <c r="C567" t="s">
        <v>41</v>
      </c>
      <c r="D567" s="2">
        <v>41487</v>
      </c>
      <c r="E567" t="s">
        <v>8</v>
      </c>
      <c r="F567">
        <v>110.8</v>
      </c>
      <c r="G567" t="str">
        <f>VLOOKUP(Table1_2[[#This Row],[Categories]],Sheet3!$A$1:$B$27,2,FALSE)</f>
        <v>Food &amp;Beverage</v>
      </c>
    </row>
    <row r="568" spans="1:7" x14ac:dyDescent="0.3">
      <c r="A568" t="s">
        <v>30</v>
      </c>
      <c r="B568">
        <v>2013</v>
      </c>
      <c r="C568" t="s">
        <v>41</v>
      </c>
      <c r="D568" s="2">
        <v>41487</v>
      </c>
      <c r="E568" t="s">
        <v>9</v>
      </c>
      <c r="F568">
        <v>138.9</v>
      </c>
      <c r="G568" t="str">
        <f>VLOOKUP(Table1_2[[#This Row],[Categories]],Sheet3!$A$1:$B$27,2,FALSE)</f>
        <v>Food &amp;Beverage</v>
      </c>
    </row>
    <row r="569" spans="1:7" x14ac:dyDescent="0.3">
      <c r="A569" t="s">
        <v>30</v>
      </c>
      <c r="B569">
        <v>2013</v>
      </c>
      <c r="C569" t="s">
        <v>41</v>
      </c>
      <c r="D569" s="2">
        <v>41487</v>
      </c>
      <c r="E569" t="s">
        <v>10</v>
      </c>
      <c r="F569">
        <v>107.4</v>
      </c>
      <c r="G569" t="str">
        <f>VLOOKUP(Table1_2[[#This Row],[Categories]],Sheet3!$A$1:$B$27,2,FALSE)</f>
        <v>Food &amp;Beverage</v>
      </c>
    </row>
    <row r="570" spans="1:7" x14ac:dyDescent="0.3">
      <c r="A570" t="s">
        <v>30</v>
      </c>
      <c r="B570">
        <v>2013</v>
      </c>
      <c r="C570" t="s">
        <v>41</v>
      </c>
      <c r="D570" s="2">
        <v>41487</v>
      </c>
      <c r="E570" t="s">
        <v>11</v>
      </c>
      <c r="F570">
        <v>104.1</v>
      </c>
      <c r="G570" t="str">
        <f>VLOOKUP(Table1_2[[#This Row],[Categories]],Sheet3!$A$1:$B$27,2,FALSE)</f>
        <v>Food &amp;Beverage</v>
      </c>
    </row>
    <row r="571" spans="1:7" x14ac:dyDescent="0.3">
      <c r="A571" t="s">
        <v>30</v>
      </c>
      <c r="B571">
        <v>2013</v>
      </c>
      <c r="C571" t="s">
        <v>41</v>
      </c>
      <c r="D571" s="2">
        <v>41487</v>
      </c>
      <c r="E571" t="s">
        <v>12</v>
      </c>
      <c r="F571">
        <v>106.9</v>
      </c>
      <c r="G571" t="str">
        <f>VLOOKUP(Table1_2[[#This Row],[Categories]],Sheet3!$A$1:$B$27,2,FALSE)</f>
        <v>Food &amp;Beverage</v>
      </c>
    </row>
    <row r="572" spans="1:7" x14ac:dyDescent="0.3">
      <c r="A572" t="s">
        <v>30</v>
      </c>
      <c r="B572">
        <v>2013</v>
      </c>
      <c r="C572" t="s">
        <v>41</v>
      </c>
      <c r="D572" s="2">
        <v>41487</v>
      </c>
      <c r="E572" t="s">
        <v>13</v>
      </c>
      <c r="F572">
        <v>109.7</v>
      </c>
      <c r="G572" t="str">
        <f>VLOOKUP(Table1_2[[#This Row],[Categories]],Sheet3!$A$1:$B$27,2,FALSE)</f>
        <v>Food &amp;Beverage</v>
      </c>
    </row>
    <row r="573" spans="1:7" x14ac:dyDescent="0.3">
      <c r="A573" t="s">
        <v>30</v>
      </c>
      <c r="B573">
        <v>2013</v>
      </c>
      <c r="C573" t="s">
        <v>41</v>
      </c>
      <c r="D573" s="2">
        <v>41487</v>
      </c>
      <c r="E573" t="s">
        <v>14</v>
      </c>
      <c r="F573">
        <v>112.6</v>
      </c>
      <c r="G573" t="str">
        <f>VLOOKUP(Table1_2[[#This Row],[Categories]],Sheet3!$A$1:$B$27,2,FALSE)</f>
        <v>Food &amp;Beverage</v>
      </c>
    </row>
    <row r="574" spans="1:7" x14ac:dyDescent="0.3">
      <c r="A574" t="s">
        <v>30</v>
      </c>
      <c r="B574">
        <v>2013</v>
      </c>
      <c r="C574" t="s">
        <v>41</v>
      </c>
      <c r="D574" s="2">
        <v>41487</v>
      </c>
      <c r="E574" t="s">
        <v>15</v>
      </c>
      <c r="F574">
        <v>114.9</v>
      </c>
      <c r="G574" t="str">
        <f>VLOOKUP(Table1_2[[#This Row],[Categories]],Sheet3!$A$1:$B$27,2,FALSE)</f>
        <v>Food &amp;Beverage</v>
      </c>
    </row>
    <row r="575" spans="1:7" x14ac:dyDescent="0.3">
      <c r="A575" t="s">
        <v>30</v>
      </c>
      <c r="B575">
        <v>2013</v>
      </c>
      <c r="C575" t="s">
        <v>41</v>
      </c>
      <c r="D575" s="2">
        <v>41487</v>
      </c>
      <c r="E575" t="s">
        <v>16</v>
      </c>
      <c r="F575">
        <v>110.7</v>
      </c>
      <c r="G575" t="str">
        <f>VLOOKUP(Table1_2[[#This Row],[Categories]],Sheet3!$A$1:$B$27,2,FALSE)</f>
        <v>Recreation and amusement</v>
      </c>
    </row>
    <row r="576" spans="1:7" x14ac:dyDescent="0.3">
      <c r="A576" t="s">
        <v>30</v>
      </c>
      <c r="B576">
        <v>2013</v>
      </c>
      <c r="C576" t="s">
        <v>41</v>
      </c>
      <c r="D576" s="2">
        <v>41487</v>
      </c>
      <c r="E576" t="s">
        <v>17</v>
      </c>
      <c r="F576">
        <v>111.3</v>
      </c>
      <c r="G576" t="str">
        <f>VLOOKUP(Table1_2[[#This Row],[Categories]],Sheet3!$A$1:$B$27,2,FALSE)</f>
        <v>Clothing and footwear</v>
      </c>
    </row>
    <row r="577" spans="1:7" x14ac:dyDescent="0.3">
      <c r="A577" t="s">
        <v>30</v>
      </c>
      <c r="B577">
        <v>2013</v>
      </c>
      <c r="C577" t="s">
        <v>41</v>
      </c>
      <c r="D577" s="2">
        <v>41487</v>
      </c>
      <c r="E577" t="s">
        <v>18</v>
      </c>
      <c r="F577">
        <v>110.2</v>
      </c>
      <c r="G577" t="str">
        <f>VLOOKUP(Table1_2[[#This Row],[Categories]],Sheet3!$A$1:$B$27,2,FALSE)</f>
        <v>Clothing and footwear</v>
      </c>
    </row>
    <row r="578" spans="1:7" x14ac:dyDescent="0.3">
      <c r="A578" t="s">
        <v>30</v>
      </c>
      <c r="B578">
        <v>2013</v>
      </c>
      <c r="C578" t="s">
        <v>41</v>
      </c>
      <c r="D578" s="2">
        <v>41487</v>
      </c>
      <c r="E578" t="s">
        <v>19</v>
      </c>
      <c r="F578">
        <v>111.1</v>
      </c>
      <c r="G578" t="str">
        <f>VLOOKUP(Table1_2[[#This Row],[Categories]],Sheet3!$A$1:$B$27,2,FALSE)</f>
        <v>Clothing and footwear</v>
      </c>
    </row>
    <row r="579" spans="1:7" x14ac:dyDescent="0.3">
      <c r="A579" t="s">
        <v>30</v>
      </c>
      <c r="B579">
        <v>2013</v>
      </c>
      <c r="C579" t="s">
        <v>41</v>
      </c>
      <c r="D579" s="2">
        <v>41487</v>
      </c>
      <c r="E579" t="s">
        <v>21</v>
      </c>
      <c r="F579">
        <v>109.9</v>
      </c>
      <c r="G579" t="str">
        <f>VLOOKUP(Table1_2[[#This Row],[Categories]],Sheet3!$A$1:$B$27,2,FALSE)</f>
        <v>Fuel and light</v>
      </c>
    </row>
    <row r="580" spans="1:7" x14ac:dyDescent="0.3">
      <c r="A580" t="s">
        <v>30</v>
      </c>
      <c r="B580">
        <v>2013</v>
      </c>
      <c r="C580" t="s">
        <v>41</v>
      </c>
      <c r="D580" s="2">
        <v>41487</v>
      </c>
      <c r="E580" t="s">
        <v>22</v>
      </c>
      <c r="F580">
        <v>108.7</v>
      </c>
      <c r="G580" t="str">
        <f>VLOOKUP(Table1_2[[#This Row],[Categories]],Sheet3!$A$1:$B$27,2,FALSE)</f>
        <v>Household Items</v>
      </c>
    </row>
    <row r="581" spans="1:7" x14ac:dyDescent="0.3">
      <c r="A581" t="s">
        <v>30</v>
      </c>
      <c r="B581">
        <v>2013</v>
      </c>
      <c r="C581" t="s">
        <v>41</v>
      </c>
      <c r="D581" s="2">
        <v>41487</v>
      </c>
      <c r="E581" t="s">
        <v>23</v>
      </c>
      <c r="F581">
        <v>107.5</v>
      </c>
      <c r="G581" t="str">
        <f>VLOOKUP(Table1_2[[#This Row],[Categories]],Sheet3!$A$1:$B$27,2,FALSE)</f>
        <v>Health</v>
      </c>
    </row>
    <row r="582" spans="1:7" x14ac:dyDescent="0.3">
      <c r="A582" t="s">
        <v>30</v>
      </c>
      <c r="B582">
        <v>2013</v>
      </c>
      <c r="C582" t="s">
        <v>41</v>
      </c>
      <c r="D582" s="2">
        <v>41487</v>
      </c>
      <c r="E582" t="s">
        <v>24</v>
      </c>
      <c r="F582">
        <v>107.8</v>
      </c>
      <c r="G582" t="str">
        <f>VLOOKUP(Table1_2[[#This Row],[Categories]],Sheet3!$A$1:$B$27,2,FALSE)</f>
        <v>Transport and communication</v>
      </c>
    </row>
    <row r="583" spans="1:7" x14ac:dyDescent="0.3">
      <c r="A583" t="s">
        <v>30</v>
      </c>
      <c r="B583">
        <v>2013</v>
      </c>
      <c r="C583" t="s">
        <v>41</v>
      </c>
      <c r="D583" s="2">
        <v>41487</v>
      </c>
      <c r="E583" t="s">
        <v>25</v>
      </c>
      <c r="F583">
        <v>106.8</v>
      </c>
      <c r="G583" t="str">
        <f>VLOOKUP(Table1_2[[#This Row],[Categories]],Sheet3!$A$1:$B$27,2,FALSE)</f>
        <v>Recreation and amusement</v>
      </c>
    </row>
    <row r="584" spans="1:7" x14ac:dyDescent="0.3">
      <c r="A584" t="s">
        <v>30</v>
      </c>
      <c r="B584">
        <v>2013</v>
      </c>
      <c r="C584" t="s">
        <v>41</v>
      </c>
      <c r="D584" s="2">
        <v>41487</v>
      </c>
      <c r="E584" t="s">
        <v>26</v>
      </c>
      <c r="F584">
        <v>108.7</v>
      </c>
      <c r="G584" t="str">
        <f>VLOOKUP(Table1_2[[#This Row],[Categories]],Sheet3!$A$1:$B$27,2,FALSE)</f>
        <v>Education</v>
      </c>
    </row>
    <row r="585" spans="1:7" x14ac:dyDescent="0.3">
      <c r="A585" t="s">
        <v>30</v>
      </c>
      <c r="B585">
        <v>2013</v>
      </c>
      <c r="C585" t="s">
        <v>41</v>
      </c>
      <c r="D585" s="2">
        <v>41487</v>
      </c>
      <c r="E585" t="s">
        <v>27</v>
      </c>
      <c r="F585">
        <v>105</v>
      </c>
      <c r="G585" t="str">
        <f>VLOOKUP(Table1_2[[#This Row],[Categories]],Sheet3!$A$1:$B$27,2,FALSE)</f>
        <v>Household Items</v>
      </c>
    </row>
    <row r="586" spans="1:7" x14ac:dyDescent="0.3">
      <c r="A586" t="s">
        <v>30</v>
      </c>
      <c r="B586">
        <v>2013</v>
      </c>
      <c r="C586" t="s">
        <v>41</v>
      </c>
      <c r="D586" s="2">
        <v>41487</v>
      </c>
      <c r="E586" t="s">
        <v>28</v>
      </c>
      <c r="F586">
        <v>107.5</v>
      </c>
      <c r="G586" t="str">
        <f>VLOOKUP(Table1_2[[#This Row],[Categories]],Sheet3!$A$1:$B$27,2,FALSE)</f>
        <v>Miscellaneous</v>
      </c>
    </row>
    <row r="587" spans="1:7" x14ac:dyDescent="0.3">
      <c r="A587" t="s">
        <v>30</v>
      </c>
      <c r="B587">
        <v>2013</v>
      </c>
      <c r="C587" t="s">
        <v>41</v>
      </c>
      <c r="D587" s="2">
        <v>41487</v>
      </c>
      <c r="E587" t="s">
        <v>29</v>
      </c>
      <c r="F587">
        <v>112.1</v>
      </c>
      <c r="G587" t="str">
        <f>VLOOKUP(Table1_2[[#This Row],[Categories]],Sheet3!$A$1:$B$27,2,FALSE)</f>
        <v>General index</v>
      </c>
    </row>
    <row r="588" spans="1:7" x14ac:dyDescent="0.3">
      <c r="A588" t="s">
        <v>33</v>
      </c>
      <c r="B588">
        <v>2013</v>
      </c>
      <c r="C588" t="s">
        <v>41</v>
      </c>
      <c r="D588" s="2">
        <v>41487</v>
      </c>
      <c r="E588" t="s">
        <v>3</v>
      </c>
      <c r="F588">
        <v>118.3</v>
      </c>
      <c r="G588" t="str">
        <f>VLOOKUP(Table1_2[[#This Row],[Categories]],Sheet3!$A$1:$B$27,2,FALSE)</f>
        <v>Food &amp;Beverage</v>
      </c>
    </row>
    <row r="589" spans="1:7" x14ac:dyDescent="0.3">
      <c r="A589" t="s">
        <v>33</v>
      </c>
      <c r="B589">
        <v>2013</v>
      </c>
      <c r="C589" t="s">
        <v>41</v>
      </c>
      <c r="D589" s="2">
        <v>41487</v>
      </c>
      <c r="E589" t="s">
        <v>4</v>
      </c>
      <c r="F589">
        <v>120.4</v>
      </c>
      <c r="G589" t="str">
        <f>VLOOKUP(Table1_2[[#This Row],[Categories]],Sheet3!$A$1:$B$27,2,FALSE)</f>
        <v>Food &amp;Beverage</v>
      </c>
    </row>
    <row r="590" spans="1:7" x14ac:dyDescent="0.3">
      <c r="A590" t="s">
        <v>33</v>
      </c>
      <c r="B590">
        <v>2013</v>
      </c>
      <c r="C590" t="s">
        <v>41</v>
      </c>
      <c r="D590" s="2">
        <v>41487</v>
      </c>
      <c r="E590" t="s">
        <v>5</v>
      </c>
      <c r="F590">
        <v>112.7</v>
      </c>
      <c r="G590" t="str">
        <f>VLOOKUP(Table1_2[[#This Row],[Categories]],Sheet3!$A$1:$B$27,2,FALSE)</f>
        <v>Food &amp;Beverage</v>
      </c>
    </row>
    <row r="591" spans="1:7" x14ac:dyDescent="0.3">
      <c r="A591" t="s">
        <v>33</v>
      </c>
      <c r="B591">
        <v>2013</v>
      </c>
      <c r="C591" t="s">
        <v>41</v>
      </c>
      <c r="D591" s="2">
        <v>41487</v>
      </c>
      <c r="E591" t="s">
        <v>6</v>
      </c>
      <c r="F591">
        <v>108.9</v>
      </c>
      <c r="G591" t="str">
        <f>VLOOKUP(Table1_2[[#This Row],[Categories]],Sheet3!$A$1:$B$27,2,FALSE)</f>
        <v>Food &amp;Beverage</v>
      </c>
    </row>
    <row r="592" spans="1:7" x14ac:dyDescent="0.3">
      <c r="A592" t="s">
        <v>33</v>
      </c>
      <c r="B592">
        <v>2013</v>
      </c>
      <c r="C592" t="s">
        <v>41</v>
      </c>
      <c r="D592" s="2">
        <v>41487</v>
      </c>
      <c r="E592" t="s">
        <v>7</v>
      </c>
      <c r="F592">
        <v>101.1</v>
      </c>
      <c r="G592" t="str">
        <f>VLOOKUP(Table1_2[[#This Row],[Categories]],Sheet3!$A$1:$B$27,2,FALSE)</f>
        <v>Food &amp;Beverage</v>
      </c>
    </row>
    <row r="593" spans="1:7" x14ac:dyDescent="0.3">
      <c r="A593" t="s">
        <v>33</v>
      </c>
      <c r="B593">
        <v>2013</v>
      </c>
      <c r="C593" t="s">
        <v>41</v>
      </c>
      <c r="D593" s="2">
        <v>41487</v>
      </c>
      <c r="E593" t="s">
        <v>8</v>
      </c>
      <c r="F593">
        <v>108.7</v>
      </c>
      <c r="G593" t="str">
        <f>VLOOKUP(Table1_2[[#This Row],[Categories]],Sheet3!$A$1:$B$27,2,FALSE)</f>
        <v>Food &amp;Beverage</v>
      </c>
    </row>
    <row r="594" spans="1:7" x14ac:dyDescent="0.3">
      <c r="A594" t="s">
        <v>33</v>
      </c>
      <c r="B594">
        <v>2013</v>
      </c>
      <c r="C594" t="s">
        <v>41</v>
      </c>
      <c r="D594" s="2">
        <v>41487</v>
      </c>
      <c r="E594" t="s">
        <v>9</v>
      </c>
      <c r="F594">
        <v>177</v>
      </c>
      <c r="G594" t="str">
        <f>VLOOKUP(Table1_2[[#This Row],[Categories]],Sheet3!$A$1:$B$27,2,FALSE)</f>
        <v>Food &amp;Beverage</v>
      </c>
    </row>
    <row r="595" spans="1:7" x14ac:dyDescent="0.3">
      <c r="A595" t="s">
        <v>33</v>
      </c>
      <c r="B595">
        <v>2013</v>
      </c>
      <c r="C595" t="s">
        <v>41</v>
      </c>
      <c r="D595" s="2">
        <v>41487</v>
      </c>
      <c r="E595" t="s">
        <v>10</v>
      </c>
      <c r="F595">
        <v>104.7</v>
      </c>
      <c r="G595" t="str">
        <f>VLOOKUP(Table1_2[[#This Row],[Categories]],Sheet3!$A$1:$B$27,2,FALSE)</f>
        <v>Food &amp;Beverage</v>
      </c>
    </row>
    <row r="596" spans="1:7" x14ac:dyDescent="0.3">
      <c r="A596" t="s">
        <v>33</v>
      </c>
      <c r="B596">
        <v>2013</v>
      </c>
      <c r="C596" t="s">
        <v>41</v>
      </c>
      <c r="D596" s="2">
        <v>41487</v>
      </c>
      <c r="E596" t="s">
        <v>11</v>
      </c>
      <c r="F596">
        <v>101</v>
      </c>
      <c r="G596" t="str">
        <f>VLOOKUP(Table1_2[[#This Row],[Categories]],Sheet3!$A$1:$B$27,2,FALSE)</f>
        <v>Food &amp;Beverage</v>
      </c>
    </row>
    <row r="597" spans="1:7" x14ac:dyDescent="0.3">
      <c r="A597" t="s">
        <v>33</v>
      </c>
      <c r="B597">
        <v>2013</v>
      </c>
      <c r="C597" t="s">
        <v>41</v>
      </c>
      <c r="D597" s="2">
        <v>41487</v>
      </c>
      <c r="E597" t="s">
        <v>12</v>
      </c>
      <c r="F597">
        <v>108.5</v>
      </c>
      <c r="G597" t="str">
        <f>VLOOKUP(Table1_2[[#This Row],[Categories]],Sheet3!$A$1:$B$27,2,FALSE)</f>
        <v>Food &amp;Beverage</v>
      </c>
    </row>
    <row r="598" spans="1:7" x14ac:dyDescent="0.3">
      <c r="A598" t="s">
        <v>33</v>
      </c>
      <c r="B598">
        <v>2013</v>
      </c>
      <c r="C598" t="s">
        <v>41</v>
      </c>
      <c r="D598" s="2">
        <v>41487</v>
      </c>
      <c r="E598" t="s">
        <v>13</v>
      </c>
      <c r="F598">
        <v>110.9</v>
      </c>
      <c r="G598" t="str">
        <f>VLOOKUP(Table1_2[[#This Row],[Categories]],Sheet3!$A$1:$B$27,2,FALSE)</f>
        <v>Food &amp;Beverage</v>
      </c>
    </row>
    <row r="599" spans="1:7" x14ac:dyDescent="0.3">
      <c r="A599" t="s">
        <v>33</v>
      </c>
      <c r="B599">
        <v>2013</v>
      </c>
      <c r="C599" t="s">
        <v>41</v>
      </c>
      <c r="D599" s="2">
        <v>41487</v>
      </c>
      <c r="E599" t="s">
        <v>14</v>
      </c>
      <c r="F599">
        <v>114.3</v>
      </c>
      <c r="G599" t="str">
        <f>VLOOKUP(Table1_2[[#This Row],[Categories]],Sheet3!$A$1:$B$27,2,FALSE)</f>
        <v>Food &amp;Beverage</v>
      </c>
    </row>
    <row r="600" spans="1:7" x14ac:dyDescent="0.3">
      <c r="A600" t="s">
        <v>33</v>
      </c>
      <c r="B600">
        <v>2013</v>
      </c>
      <c r="C600" t="s">
        <v>41</v>
      </c>
      <c r="D600" s="2">
        <v>41487</v>
      </c>
      <c r="E600" t="s">
        <v>15</v>
      </c>
      <c r="F600">
        <v>119.6</v>
      </c>
      <c r="G600" t="str">
        <f>VLOOKUP(Table1_2[[#This Row],[Categories]],Sheet3!$A$1:$B$27,2,FALSE)</f>
        <v>Food &amp;Beverage</v>
      </c>
    </row>
    <row r="601" spans="1:7" x14ac:dyDescent="0.3">
      <c r="A601" t="s">
        <v>33</v>
      </c>
      <c r="B601">
        <v>2013</v>
      </c>
      <c r="C601" t="s">
        <v>41</v>
      </c>
      <c r="D601" s="2">
        <v>41487</v>
      </c>
      <c r="E601" t="s">
        <v>16</v>
      </c>
      <c r="F601">
        <v>112.4</v>
      </c>
      <c r="G601" t="str">
        <f>VLOOKUP(Table1_2[[#This Row],[Categories]],Sheet3!$A$1:$B$27,2,FALSE)</f>
        <v>Recreation and amusement</v>
      </c>
    </row>
    <row r="602" spans="1:7" x14ac:dyDescent="0.3">
      <c r="A602" t="s">
        <v>33</v>
      </c>
      <c r="B602">
        <v>2013</v>
      </c>
      <c r="C602" t="s">
        <v>41</v>
      </c>
      <c r="D602" s="2">
        <v>41487</v>
      </c>
      <c r="E602" t="s">
        <v>17</v>
      </c>
      <c r="F602">
        <v>110.6</v>
      </c>
      <c r="G602" t="str">
        <f>VLOOKUP(Table1_2[[#This Row],[Categories]],Sheet3!$A$1:$B$27,2,FALSE)</f>
        <v>Clothing and footwear</v>
      </c>
    </row>
    <row r="603" spans="1:7" x14ac:dyDescent="0.3">
      <c r="A603" t="s">
        <v>33</v>
      </c>
      <c r="B603">
        <v>2013</v>
      </c>
      <c r="C603" t="s">
        <v>41</v>
      </c>
      <c r="D603" s="2">
        <v>41487</v>
      </c>
      <c r="E603" t="s">
        <v>18</v>
      </c>
      <c r="F603">
        <v>108.3</v>
      </c>
      <c r="G603" t="str">
        <f>VLOOKUP(Table1_2[[#This Row],[Categories]],Sheet3!$A$1:$B$27,2,FALSE)</f>
        <v>Clothing and footwear</v>
      </c>
    </row>
    <row r="604" spans="1:7" x14ac:dyDescent="0.3">
      <c r="A604" t="s">
        <v>33</v>
      </c>
      <c r="B604">
        <v>2013</v>
      </c>
      <c r="C604" t="s">
        <v>41</v>
      </c>
      <c r="D604" s="2">
        <v>41487</v>
      </c>
      <c r="E604" t="s">
        <v>19</v>
      </c>
      <c r="F604">
        <v>110.2</v>
      </c>
      <c r="G604" t="str">
        <f>VLOOKUP(Table1_2[[#This Row],[Categories]],Sheet3!$A$1:$B$27,2,FALSE)</f>
        <v>Clothing and footwear</v>
      </c>
    </row>
    <row r="605" spans="1:7" x14ac:dyDescent="0.3">
      <c r="A605" t="s">
        <v>33</v>
      </c>
      <c r="B605">
        <v>2013</v>
      </c>
      <c r="C605" t="s">
        <v>41</v>
      </c>
      <c r="D605" s="2">
        <v>41487</v>
      </c>
      <c r="E605" t="s">
        <v>20</v>
      </c>
      <c r="F605">
        <v>108.9</v>
      </c>
      <c r="G605" t="str">
        <f>VLOOKUP(Table1_2[[#This Row],[Categories]],Sheet3!$A$1:$B$27,2,FALSE)</f>
        <v>Housing</v>
      </c>
    </row>
    <row r="606" spans="1:7" x14ac:dyDescent="0.3">
      <c r="A606" t="s">
        <v>33</v>
      </c>
      <c r="B606">
        <v>2013</v>
      </c>
      <c r="C606" t="s">
        <v>41</v>
      </c>
      <c r="D606" s="2">
        <v>41487</v>
      </c>
      <c r="E606" t="s">
        <v>21</v>
      </c>
      <c r="F606">
        <v>109.3</v>
      </c>
      <c r="G606" t="str">
        <f>VLOOKUP(Table1_2[[#This Row],[Categories]],Sheet3!$A$1:$B$27,2,FALSE)</f>
        <v>Fuel and light</v>
      </c>
    </row>
    <row r="607" spans="1:7" x14ac:dyDescent="0.3">
      <c r="A607" t="s">
        <v>33</v>
      </c>
      <c r="B607">
        <v>2013</v>
      </c>
      <c r="C607" t="s">
        <v>41</v>
      </c>
      <c r="D607" s="2">
        <v>41487</v>
      </c>
      <c r="E607" t="s">
        <v>22</v>
      </c>
      <c r="F607">
        <v>108.7</v>
      </c>
      <c r="G607" t="str">
        <f>VLOOKUP(Table1_2[[#This Row],[Categories]],Sheet3!$A$1:$B$27,2,FALSE)</f>
        <v>Household Items</v>
      </c>
    </row>
    <row r="608" spans="1:7" x14ac:dyDescent="0.3">
      <c r="A608" t="s">
        <v>33</v>
      </c>
      <c r="B608">
        <v>2013</v>
      </c>
      <c r="C608" t="s">
        <v>41</v>
      </c>
      <c r="D608" s="2">
        <v>41487</v>
      </c>
      <c r="E608" t="s">
        <v>23</v>
      </c>
      <c r="F608">
        <v>107.6</v>
      </c>
      <c r="G608" t="str">
        <f>VLOOKUP(Table1_2[[#This Row],[Categories]],Sheet3!$A$1:$B$27,2,FALSE)</f>
        <v>Health</v>
      </c>
    </row>
    <row r="609" spans="1:7" x14ac:dyDescent="0.3">
      <c r="A609" t="s">
        <v>33</v>
      </c>
      <c r="B609">
        <v>2013</v>
      </c>
      <c r="C609" t="s">
        <v>41</v>
      </c>
      <c r="D609" s="2">
        <v>41487</v>
      </c>
      <c r="E609" t="s">
        <v>24</v>
      </c>
      <c r="F609">
        <v>108.1</v>
      </c>
      <c r="G609" t="str">
        <f>VLOOKUP(Table1_2[[#This Row],[Categories]],Sheet3!$A$1:$B$27,2,FALSE)</f>
        <v>Transport and communication</v>
      </c>
    </row>
    <row r="610" spans="1:7" x14ac:dyDescent="0.3">
      <c r="A610" t="s">
        <v>33</v>
      </c>
      <c r="B610">
        <v>2013</v>
      </c>
      <c r="C610" t="s">
        <v>41</v>
      </c>
      <c r="D610" s="2">
        <v>41487</v>
      </c>
      <c r="E610" t="s">
        <v>25</v>
      </c>
      <c r="F610">
        <v>106.5</v>
      </c>
      <c r="G610" t="str">
        <f>VLOOKUP(Table1_2[[#This Row],[Categories]],Sheet3!$A$1:$B$27,2,FALSE)</f>
        <v>Recreation and amusement</v>
      </c>
    </row>
    <row r="611" spans="1:7" x14ac:dyDescent="0.3">
      <c r="A611" t="s">
        <v>33</v>
      </c>
      <c r="B611">
        <v>2013</v>
      </c>
      <c r="C611" t="s">
        <v>41</v>
      </c>
      <c r="D611" s="2">
        <v>41487</v>
      </c>
      <c r="E611" t="s">
        <v>26</v>
      </c>
      <c r="F611">
        <v>110.8</v>
      </c>
      <c r="G611" t="str">
        <f>VLOOKUP(Table1_2[[#This Row],[Categories]],Sheet3!$A$1:$B$27,2,FALSE)</f>
        <v>Education</v>
      </c>
    </row>
    <row r="612" spans="1:7" x14ac:dyDescent="0.3">
      <c r="A612" t="s">
        <v>33</v>
      </c>
      <c r="B612">
        <v>2013</v>
      </c>
      <c r="C612" t="s">
        <v>41</v>
      </c>
      <c r="D612" s="2">
        <v>41487</v>
      </c>
      <c r="E612" t="s">
        <v>27</v>
      </c>
      <c r="F612">
        <v>106</v>
      </c>
      <c r="G612" t="str">
        <f>VLOOKUP(Table1_2[[#This Row],[Categories]],Sheet3!$A$1:$B$27,2,FALSE)</f>
        <v>Household Items</v>
      </c>
    </row>
    <row r="613" spans="1:7" x14ac:dyDescent="0.3">
      <c r="A613" t="s">
        <v>33</v>
      </c>
      <c r="B613">
        <v>2013</v>
      </c>
      <c r="C613" t="s">
        <v>41</v>
      </c>
      <c r="D613" s="2">
        <v>41487</v>
      </c>
      <c r="E613" t="s">
        <v>28</v>
      </c>
      <c r="F613">
        <v>108.3</v>
      </c>
      <c r="G613" t="str">
        <f>VLOOKUP(Table1_2[[#This Row],[Categories]],Sheet3!$A$1:$B$27,2,FALSE)</f>
        <v>Miscellaneous</v>
      </c>
    </row>
    <row r="614" spans="1:7" x14ac:dyDescent="0.3">
      <c r="A614" t="s">
        <v>33</v>
      </c>
      <c r="B614">
        <v>2013</v>
      </c>
      <c r="C614" t="s">
        <v>41</v>
      </c>
      <c r="D614" s="2">
        <v>41487</v>
      </c>
      <c r="E614" t="s">
        <v>29</v>
      </c>
      <c r="F614">
        <v>112.7</v>
      </c>
      <c r="G614" t="str">
        <f>VLOOKUP(Table1_2[[#This Row],[Categories]],Sheet3!$A$1:$B$27,2,FALSE)</f>
        <v>General index</v>
      </c>
    </row>
    <row r="615" spans="1:7" x14ac:dyDescent="0.3">
      <c r="A615" t="s">
        <v>34</v>
      </c>
      <c r="B615">
        <v>2013</v>
      </c>
      <c r="C615" t="s">
        <v>41</v>
      </c>
      <c r="D615" s="2">
        <v>41487</v>
      </c>
      <c r="E615" t="s">
        <v>3</v>
      </c>
      <c r="F615">
        <v>115.6</v>
      </c>
      <c r="G615" t="str">
        <f>VLOOKUP(Table1_2[[#This Row],[Categories]],Sheet3!$A$1:$B$27,2,FALSE)</f>
        <v>Food &amp;Beverage</v>
      </c>
    </row>
    <row r="616" spans="1:7" x14ac:dyDescent="0.3">
      <c r="A616" t="s">
        <v>34</v>
      </c>
      <c r="B616">
        <v>2013</v>
      </c>
      <c r="C616" t="s">
        <v>41</v>
      </c>
      <c r="D616" s="2">
        <v>41487</v>
      </c>
      <c r="E616" t="s">
        <v>4</v>
      </c>
      <c r="F616">
        <v>117.2</v>
      </c>
      <c r="G616" t="str">
        <f>VLOOKUP(Table1_2[[#This Row],[Categories]],Sheet3!$A$1:$B$27,2,FALSE)</f>
        <v>Food &amp;Beverage</v>
      </c>
    </row>
    <row r="617" spans="1:7" x14ac:dyDescent="0.3">
      <c r="A617" t="s">
        <v>34</v>
      </c>
      <c r="B617">
        <v>2013</v>
      </c>
      <c r="C617" t="s">
        <v>41</v>
      </c>
      <c r="D617" s="2">
        <v>41487</v>
      </c>
      <c r="E617" t="s">
        <v>5</v>
      </c>
      <c r="F617">
        <v>111.7</v>
      </c>
      <c r="G617" t="str">
        <f>VLOOKUP(Table1_2[[#This Row],[Categories]],Sheet3!$A$1:$B$27,2,FALSE)</f>
        <v>Food &amp;Beverage</v>
      </c>
    </row>
    <row r="618" spans="1:7" x14ac:dyDescent="0.3">
      <c r="A618" t="s">
        <v>34</v>
      </c>
      <c r="B618">
        <v>2013</v>
      </c>
      <c r="C618" t="s">
        <v>41</v>
      </c>
      <c r="D618" s="2">
        <v>41487</v>
      </c>
      <c r="E618" t="s">
        <v>6</v>
      </c>
      <c r="F618">
        <v>109.6</v>
      </c>
      <c r="G618" t="str">
        <f>VLOOKUP(Table1_2[[#This Row],[Categories]],Sheet3!$A$1:$B$27,2,FALSE)</f>
        <v>Food &amp;Beverage</v>
      </c>
    </row>
    <row r="619" spans="1:7" x14ac:dyDescent="0.3">
      <c r="A619" t="s">
        <v>34</v>
      </c>
      <c r="B619">
        <v>2013</v>
      </c>
      <c r="C619" t="s">
        <v>41</v>
      </c>
      <c r="D619" s="2">
        <v>41487</v>
      </c>
      <c r="E619" t="s">
        <v>7</v>
      </c>
      <c r="F619">
        <v>104.5</v>
      </c>
      <c r="G619" t="str">
        <f>VLOOKUP(Table1_2[[#This Row],[Categories]],Sheet3!$A$1:$B$27,2,FALSE)</f>
        <v>Food &amp;Beverage</v>
      </c>
    </row>
    <row r="620" spans="1:7" x14ac:dyDescent="0.3">
      <c r="A620" t="s">
        <v>34</v>
      </c>
      <c r="B620">
        <v>2013</v>
      </c>
      <c r="C620" t="s">
        <v>41</v>
      </c>
      <c r="D620" s="2">
        <v>41487</v>
      </c>
      <c r="E620" t="s">
        <v>8</v>
      </c>
      <c r="F620">
        <v>109.8</v>
      </c>
      <c r="G620" t="str">
        <f>VLOOKUP(Table1_2[[#This Row],[Categories]],Sheet3!$A$1:$B$27,2,FALSE)</f>
        <v>Food &amp;Beverage</v>
      </c>
    </row>
    <row r="621" spans="1:7" x14ac:dyDescent="0.3">
      <c r="A621" t="s">
        <v>34</v>
      </c>
      <c r="B621">
        <v>2013</v>
      </c>
      <c r="C621" t="s">
        <v>41</v>
      </c>
      <c r="D621" s="2">
        <v>41487</v>
      </c>
      <c r="E621" t="s">
        <v>9</v>
      </c>
      <c r="F621">
        <v>151.80000000000001</v>
      </c>
      <c r="G621" t="str">
        <f>VLOOKUP(Table1_2[[#This Row],[Categories]],Sheet3!$A$1:$B$27,2,FALSE)</f>
        <v>Food &amp;Beverage</v>
      </c>
    </row>
    <row r="622" spans="1:7" x14ac:dyDescent="0.3">
      <c r="A622" t="s">
        <v>34</v>
      </c>
      <c r="B622">
        <v>2013</v>
      </c>
      <c r="C622" t="s">
        <v>41</v>
      </c>
      <c r="D622" s="2">
        <v>41487</v>
      </c>
      <c r="E622" t="s">
        <v>10</v>
      </c>
      <c r="F622">
        <v>106.5</v>
      </c>
      <c r="G622" t="str">
        <f>VLOOKUP(Table1_2[[#This Row],[Categories]],Sheet3!$A$1:$B$27,2,FALSE)</f>
        <v>Food &amp;Beverage</v>
      </c>
    </row>
    <row r="623" spans="1:7" x14ac:dyDescent="0.3">
      <c r="A623" t="s">
        <v>34</v>
      </c>
      <c r="B623">
        <v>2013</v>
      </c>
      <c r="C623" t="s">
        <v>41</v>
      </c>
      <c r="D623" s="2">
        <v>41487</v>
      </c>
      <c r="E623" t="s">
        <v>11</v>
      </c>
      <c r="F623">
        <v>103.1</v>
      </c>
      <c r="G623" t="str">
        <f>VLOOKUP(Table1_2[[#This Row],[Categories]],Sheet3!$A$1:$B$27,2,FALSE)</f>
        <v>Food &amp;Beverage</v>
      </c>
    </row>
    <row r="624" spans="1:7" x14ac:dyDescent="0.3">
      <c r="A624" t="s">
        <v>34</v>
      </c>
      <c r="B624">
        <v>2013</v>
      </c>
      <c r="C624" t="s">
        <v>41</v>
      </c>
      <c r="D624" s="2">
        <v>41487</v>
      </c>
      <c r="E624" t="s">
        <v>12</v>
      </c>
      <c r="F624">
        <v>107.4</v>
      </c>
      <c r="G624" t="str">
        <f>VLOOKUP(Table1_2[[#This Row],[Categories]],Sheet3!$A$1:$B$27,2,FALSE)</f>
        <v>Food &amp;Beverage</v>
      </c>
    </row>
    <row r="625" spans="1:7" x14ac:dyDescent="0.3">
      <c r="A625" t="s">
        <v>34</v>
      </c>
      <c r="B625">
        <v>2013</v>
      </c>
      <c r="C625" t="s">
        <v>41</v>
      </c>
      <c r="D625" s="2">
        <v>41487</v>
      </c>
      <c r="E625" t="s">
        <v>13</v>
      </c>
      <c r="F625">
        <v>110.2</v>
      </c>
      <c r="G625" t="str">
        <f>VLOOKUP(Table1_2[[#This Row],[Categories]],Sheet3!$A$1:$B$27,2,FALSE)</f>
        <v>Food &amp;Beverage</v>
      </c>
    </row>
    <row r="626" spans="1:7" x14ac:dyDescent="0.3">
      <c r="A626" t="s">
        <v>34</v>
      </c>
      <c r="B626">
        <v>2013</v>
      </c>
      <c r="C626" t="s">
        <v>41</v>
      </c>
      <c r="D626" s="2">
        <v>41487</v>
      </c>
      <c r="E626" t="s">
        <v>14</v>
      </c>
      <c r="F626">
        <v>113.4</v>
      </c>
      <c r="G626" t="str">
        <f>VLOOKUP(Table1_2[[#This Row],[Categories]],Sheet3!$A$1:$B$27,2,FALSE)</f>
        <v>Food &amp;Beverage</v>
      </c>
    </row>
    <row r="627" spans="1:7" x14ac:dyDescent="0.3">
      <c r="A627" t="s">
        <v>34</v>
      </c>
      <c r="B627">
        <v>2013</v>
      </c>
      <c r="C627" t="s">
        <v>41</v>
      </c>
      <c r="D627" s="2">
        <v>41487</v>
      </c>
      <c r="E627" t="s">
        <v>15</v>
      </c>
      <c r="F627">
        <v>116.6</v>
      </c>
      <c r="G627" t="str">
        <f>VLOOKUP(Table1_2[[#This Row],[Categories]],Sheet3!$A$1:$B$27,2,FALSE)</f>
        <v>Food &amp;Beverage</v>
      </c>
    </row>
    <row r="628" spans="1:7" x14ac:dyDescent="0.3">
      <c r="A628" t="s">
        <v>34</v>
      </c>
      <c r="B628">
        <v>2013</v>
      </c>
      <c r="C628" t="s">
        <v>41</v>
      </c>
      <c r="D628" s="2">
        <v>41487</v>
      </c>
      <c r="E628" t="s">
        <v>16</v>
      </c>
      <c r="F628">
        <v>111.2</v>
      </c>
      <c r="G628" t="str">
        <f>VLOOKUP(Table1_2[[#This Row],[Categories]],Sheet3!$A$1:$B$27,2,FALSE)</f>
        <v>Recreation and amusement</v>
      </c>
    </row>
    <row r="629" spans="1:7" x14ac:dyDescent="0.3">
      <c r="A629" t="s">
        <v>34</v>
      </c>
      <c r="B629">
        <v>2013</v>
      </c>
      <c r="C629" t="s">
        <v>41</v>
      </c>
      <c r="D629" s="2">
        <v>41487</v>
      </c>
      <c r="E629" t="s">
        <v>17</v>
      </c>
      <c r="F629">
        <v>111</v>
      </c>
      <c r="G629" t="str">
        <f>VLOOKUP(Table1_2[[#This Row],[Categories]],Sheet3!$A$1:$B$27,2,FALSE)</f>
        <v>Clothing and footwear</v>
      </c>
    </row>
    <row r="630" spans="1:7" x14ac:dyDescent="0.3">
      <c r="A630" t="s">
        <v>34</v>
      </c>
      <c r="B630">
        <v>2013</v>
      </c>
      <c r="C630" t="s">
        <v>41</v>
      </c>
      <c r="D630" s="2">
        <v>41487</v>
      </c>
      <c r="E630" t="s">
        <v>18</v>
      </c>
      <c r="F630">
        <v>109.4</v>
      </c>
      <c r="G630" t="str">
        <f>VLOOKUP(Table1_2[[#This Row],[Categories]],Sheet3!$A$1:$B$27,2,FALSE)</f>
        <v>Clothing and footwear</v>
      </c>
    </row>
    <row r="631" spans="1:7" x14ac:dyDescent="0.3">
      <c r="A631" t="s">
        <v>34</v>
      </c>
      <c r="B631">
        <v>2013</v>
      </c>
      <c r="C631" t="s">
        <v>41</v>
      </c>
      <c r="D631" s="2">
        <v>41487</v>
      </c>
      <c r="E631" t="s">
        <v>19</v>
      </c>
      <c r="F631">
        <v>110.7</v>
      </c>
      <c r="G631" t="str">
        <f>VLOOKUP(Table1_2[[#This Row],[Categories]],Sheet3!$A$1:$B$27,2,FALSE)</f>
        <v>Clothing and footwear</v>
      </c>
    </row>
    <row r="632" spans="1:7" x14ac:dyDescent="0.3">
      <c r="A632" t="s">
        <v>34</v>
      </c>
      <c r="B632">
        <v>2013</v>
      </c>
      <c r="C632" t="s">
        <v>41</v>
      </c>
      <c r="D632" s="2">
        <v>41487</v>
      </c>
      <c r="E632" t="s">
        <v>20</v>
      </c>
      <c r="F632">
        <v>108.9</v>
      </c>
      <c r="G632" t="str">
        <f>VLOOKUP(Table1_2[[#This Row],[Categories]],Sheet3!$A$1:$B$27,2,FALSE)</f>
        <v>Housing</v>
      </c>
    </row>
    <row r="633" spans="1:7" x14ac:dyDescent="0.3">
      <c r="A633" t="s">
        <v>34</v>
      </c>
      <c r="B633">
        <v>2013</v>
      </c>
      <c r="C633" t="s">
        <v>41</v>
      </c>
      <c r="D633" s="2">
        <v>41487</v>
      </c>
      <c r="E633" t="s">
        <v>21</v>
      </c>
      <c r="F633">
        <v>109.7</v>
      </c>
      <c r="G633" t="str">
        <f>VLOOKUP(Table1_2[[#This Row],[Categories]],Sheet3!$A$1:$B$27,2,FALSE)</f>
        <v>Fuel and light</v>
      </c>
    </row>
    <row r="634" spans="1:7" x14ac:dyDescent="0.3">
      <c r="A634" t="s">
        <v>34</v>
      </c>
      <c r="B634">
        <v>2013</v>
      </c>
      <c r="C634" t="s">
        <v>41</v>
      </c>
      <c r="D634" s="2">
        <v>41487</v>
      </c>
      <c r="E634" t="s">
        <v>22</v>
      </c>
      <c r="F634">
        <v>108.7</v>
      </c>
      <c r="G634" t="str">
        <f>VLOOKUP(Table1_2[[#This Row],[Categories]],Sheet3!$A$1:$B$27,2,FALSE)</f>
        <v>Household Items</v>
      </c>
    </row>
    <row r="635" spans="1:7" x14ac:dyDescent="0.3">
      <c r="A635" t="s">
        <v>34</v>
      </c>
      <c r="B635">
        <v>2013</v>
      </c>
      <c r="C635" t="s">
        <v>41</v>
      </c>
      <c r="D635" s="2">
        <v>41487</v>
      </c>
      <c r="E635" t="s">
        <v>23</v>
      </c>
      <c r="F635">
        <v>107.5</v>
      </c>
      <c r="G635" t="str">
        <f>VLOOKUP(Table1_2[[#This Row],[Categories]],Sheet3!$A$1:$B$27,2,FALSE)</f>
        <v>Health</v>
      </c>
    </row>
    <row r="636" spans="1:7" x14ac:dyDescent="0.3">
      <c r="A636" t="s">
        <v>34</v>
      </c>
      <c r="B636">
        <v>2013</v>
      </c>
      <c r="C636" t="s">
        <v>41</v>
      </c>
      <c r="D636" s="2">
        <v>41487</v>
      </c>
      <c r="E636" t="s">
        <v>24</v>
      </c>
      <c r="F636">
        <v>108</v>
      </c>
      <c r="G636" t="str">
        <f>VLOOKUP(Table1_2[[#This Row],[Categories]],Sheet3!$A$1:$B$27,2,FALSE)</f>
        <v>Transport and communication</v>
      </c>
    </row>
    <row r="637" spans="1:7" x14ac:dyDescent="0.3">
      <c r="A637" t="s">
        <v>34</v>
      </c>
      <c r="B637">
        <v>2013</v>
      </c>
      <c r="C637" t="s">
        <v>41</v>
      </c>
      <c r="D637" s="2">
        <v>41487</v>
      </c>
      <c r="E637" t="s">
        <v>25</v>
      </c>
      <c r="F637">
        <v>106.6</v>
      </c>
      <c r="G637" t="str">
        <f>VLOOKUP(Table1_2[[#This Row],[Categories]],Sheet3!$A$1:$B$27,2,FALSE)</f>
        <v>Recreation and amusement</v>
      </c>
    </row>
    <row r="638" spans="1:7" x14ac:dyDescent="0.3">
      <c r="A638" t="s">
        <v>34</v>
      </c>
      <c r="B638">
        <v>2013</v>
      </c>
      <c r="C638" t="s">
        <v>41</v>
      </c>
      <c r="D638" s="2">
        <v>41487</v>
      </c>
      <c r="E638" t="s">
        <v>26</v>
      </c>
      <c r="F638">
        <v>109.9</v>
      </c>
      <c r="G638" t="str">
        <f>VLOOKUP(Table1_2[[#This Row],[Categories]],Sheet3!$A$1:$B$27,2,FALSE)</f>
        <v>Education</v>
      </c>
    </row>
    <row r="639" spans="1:7" x14ac:dyDescent="0.3">
      <c r="A639" t="s">
        <v>34</v>
      </c>
      <c r="B639">
        <v>2013</v>
      </c>
      <c r="C639" t="s">
        <v>41</v>
      </c>
      <c r="D639" s="2">
        <v>41487</v>
      </c>
      <c r="E639" t="s">
        <v>27</v>
      </c>
      <c r="F639">
        <v>105.4</v>
      </c>
      <c r="G639" t="str">
        <f>VLOOKUP(Table1_2[[#This Row],[Categories]],Sheet3!$A$1:$B$27,2,FALSE)</f>
        <v>Household Items</v>
      </c>
    </row>
    <row r="640" spans="1:7" x14ac:dyDescent="0.3">
      <c r="A640" t="s">
        <v>34</v>
      </c>
      <c r="B640">
        <v>2013</v>
      </c>
      <c r="C640" t="s">
        <v>41</v>
      </c>
      <c r="D640" s="2">
        <v>41487</v>
      </c>
      <c r="E640" t="s">
        <v>28</v>
      </c>
      <c r="F640">
        <v>107.9</v>
      </c>
      <c r="G640" t="str">
        <f>VLOOKUP(Table1_2[[#This Row],[Categories]],Sheet3!$A$1:$B$27,2,FALSE)</f>
        <v>Miscellaneous</v>
      </c>
    </row>
    <row r="641" spans="1:7" x14ac:dyDescent="0.3">
      <c r="A641" t="s">
        <v>34</v>
      </c>
      <c r="B641">
        <v>2013</v>
      </c>
      <c r="C641" t="s">
        <v>41</v>
      </c>
      <c r="D641" s="2">
        <v>41487</v>
      </c>
      <c r="E641" t="s">
        <v>29</v>
      </c>
      <c r="F641">
        <v>112.4</v>
      </c>
      <c r="G641" t="str">
        <f>VLOOKUP(Table1_2[[#This Row],[Categories]],Sheet3!$A$1:$B$27,2,FALSE)</f>
        <v>General index</v>
      </c>
    </row>
    <row r="642" spans="1:7" x14ac:dyDescent="0.3">
      <c r="A642" t="s">
        <v>30</v>
      </c>
      <c r="B642">
        <v>2013</v>
      </c>
      <c r="C642" t="s">
        <v>42</v>
      </c>
      <c r="D642" s="2">
        <v>41518</v>
      </c>
      <c r="E642" t="s">
        <v>3</v>
      </c>
      <c r="F642">
        <v>115.4</v>
      </c>
      <c r="G642" t="str">
        <f>VLOOKUP(Table1_2[[#This Row],[Categories]],Sheet3!$A$1:$B$27,2,FALSE)</f>
        <v>Food &amp;Beverage</v>
      </c>
    </row>
    <row r="643" spans="1:7" x14ac:dyDescent="0.3">
      <c r="A643" t="s">
        <v>30</v>
      </c>
      <c r="B643">
        <v>2013</v>
      </c>
      <c r="C643" t="s">
        <v>42</v>
      </c>
      <c r="D643" s="2">
        <v>41518</v>
      </c>
      <c r="E643" t="s">
        <v>4</v>
      </c>
      <c r="F643">
        <v>115.7</v>
      </c>
      <c r="G643" t="str">
        <f>VLOOKUP(Table1_2[[#This Row],[Categories]],Sheet3!$A$1:$B$27,2,FALSE)</f>
        <v>Food &amp;Beverage</v>
      </c>
    </row>
    <row r="644" spans="1:7" x14ac:dyDescent="0.3">
      <c r="A644" t="s">
        <v>30</v>
      </c>
      <c r="B644">
        <v>2013</v>
      </c>
      <c r="C644" t="s">
        <v>42</v>
      </c>
      <c r="D644" s="2">
        <v>41518</v>
      </c>
      <c r="E644" t="s">
        <v>5</v>
      </c>
      <c r="F644">
        <v>111.7</v>
      </c>
      <c r="G644" t="str">
        <f>VLOOKUP(Table1_2[[#This Row],[Categories]],Sheet3!$A$1:$B$27,2,FALSE)</f>
        <v>Food &amp;Beverage</v>
      </c>
    </row>
    <row r="645" spans="1:7" x14ac:dyDescent="0.3">
      <c r="A645" t="s">
        <v>30</v>
      </c>
      <c r="B645">
        <v>2013</v>
      </c>
      <c r="C645" t="s">
        <v>42</v>
      </c>
      <c r="D645" s="2">
        <v>41518</v>
      </c>
      <c r="E645" t="s">
        <v>6</v>
      </c>
      <c r="F645">
        <v>111</v>
      </c>
      <c r="G645" t="str">
        <f>VLOOKUP(Table1_2[[#This Row],[Categories]],Sheet3!$A$1:$B$27,2,FALSE)</f>
        <v>Food &amp;Beverage</v>
      </c>
    </row>
    <row r="646" spans="1:7" x14ac:dyDescent="0.3">
      <c r="A646" t="s">
        <v>30</v>
      </c>
      <c r="B646">
        <v>2013</v>
      </c>
      <c r="C646" t="s">
        <v>42</v>
      </c>
      <c r="D646" s="2">
        <v>41518</v>
      </c>
      <c r="E646" t="s">
        <v>7</v>
      </c>
      <c r="F646">
        <v>107.4</v>
      </c>
      <c r="G646" t="str">
        <f>VLOOKUP(Table1_2[[#This Row],[Categories]],Sheet3!$A$1:$B$27,2,FALSE)</f>
        <v>Food &amp;Beverage</v>
      </c>
    </row>
    <row r="647" spans="1:7" x14ac:dyDescent="0.3">
      <c r="A647" t="s">
        <v>30</v>
      </c>
      <c r="B647">
        <v>2013</v>
      </c>
      <c r="C647" t="s">
        <v>42</v>
      </c>
      <c r="D647" s="2">
        <v>41518</v>
      </c>
      <c r="E647" t="s">
        <v>8</v>
      </c>
      <c r="F647">
        <v>110.9</v>
      </c>
      <c r="G647" t="str">
        <f>VLOOKUP(Table1_2[[#This Row],[Categories]],Sheet3!$A$1:$B$27,2,FALSE)</f>
        <v>Food &amp;Beverage</v>
      </c>
    </row>
    <row r="648" spans="1:7" x14ac:dyDescent="0.3">
      <c r="A648" t="s">
        <v>30</v>
      </c>
      <c r="B648">
        <v>2013</v>
      </c>
      <c r="C648" t="s">
        <v>42</v>
      </c>
      <c r="D648" s="2">
        <v>41518</v>
      </c>
      <c r="E648" t="s">
        <v>9</v>
      </c>
      <c r="F648">
        <v>154</v>
      </c>
      <c r="G648" t="str">
        <f>VLOOKUP(Table1_2[[#This Row],[Categories]],Sheet3!$A$1:$B$27,2,FALSE)</f>
        <v>Food &amp;Beverage</v>
      </c>
    </row>
    <row r="649" spans="1:7" x14ac:dyDescent="0.3">
      <c r="A649" t="s">
        <v>30</v>
      </c>
      <c r="B649">
        <v>2013</v>
      </c>
      <c r="C649" t="s">
        <v>42</v>
      </c>
      <c r="D649" s="2">
        <v>41518</v>
      </c>
      <c r="E649" t="s">
        <v>10</v>
      </c>
      <c r="F649">
        <v>108.1</v>
      </c>
      <c r="G649" t="str">
        <f>VLOOKUP(Table1_2[[#This Row],[Categories]],Sheet3!$A$1:$B$27,2,FALSE)</f>
        <v>Food &amp;Beverage</v>
      </c>
    </row>
    <row r="650" spans="1:7" x14ac:dyDescent="0.3">
      <c r="A650" t="s">
        <v>30</v>
      </c>
      <c r="B650">
        <v>2013</v>
      </c>
      <c r="C650" t="s">
        <v>42</v>
      </c>
      <c r="D650" s="2">
        <v>41518</v>
      </c>
      <c r="E650" t="s">
        <v>11</v>
      </c>
      <c r="F650">
        <v>104.2</v>
      </c>
      <c r="G650" t="str">
        <f>VLOOKUP(Table1_2[[#This Row],[Categories]],Sheet3!$A$1:$B$27,2,FALSE)</f>
        <v>Food &amp;Beverage</v>
      </c>
    </row>
    <row r="651" spans="1:7" x14ac:dyDescent="0.3">
      <c r="A651" t="s">
        <v>30</v>
      </c>
      <c r="B651">
        <v>2013</v>
      </c>
      <c r="C651" t="s">
        <v>42</v>
      </c>
      <c r="D651" s="2">
        <v>41518</v>
      </c>
      <c r="E651" t="s">
        <v>12</v>
      </c>
      <c r="F651">
        <v>107.9</v>
      </c>
      <c r="G651" t="str">
        <f>VLOOKUP(Table1_2[[#This Row],[Categories]],Sheet3!$A$1:$B$27,2,FALSE)</f>
        <v>Food &amp;Beverage</v>
      </c>
    </row>
    <row r="652" spans="1:7" x14ac:dyDescent="0.3">
      <c r="A652" t="s">
        <v>30</v>
      </c>
      <c r="B652">
        <v>2013</v>
      </c>
      <c r="C652" t="s">
        <v>42</v>
      </c>
      <c r="D652" s="2">
        <v>41518</v>
      </c>
      <c r="E652" t="s">
        <v>13</v>
      </c>
      <c r="F652">
        <v>110.4</v>
      </c>
      <c r="G652" t="str">
        <f>VLOOKUP(Table1_2[[#This Row],[Categories]],Sheet3!$A$1:$B$27,2,FALSE)</f>
        <v>Food &amp;Beverage</v>
      </c>
    </row>
    <row r="653" spans="1:7" x14ac:dyDescent="0.3">
      <c r="A653" t="s">
        <v>30</v>
      </c>
      <c r="B653">
        <v>2013</v>
      </c>
      <c r="C653" t="s">
        <v>42</v>
      </c>
      <c r="D653" s="2">
        <v>41518</v>
      </c>
      <c r="E653" t="s">
        <v>14</v>
      </c>
      <c r="F653">
        <v>114</v>
      </c>
      <c r="G653" t="str">
        <f>VLOOKUP(Table1_2[[#This Row],[Categories]],Sheet3!$A$1:$B$27,2,FALSE)</f>
        <v>Food &amp;Beverage</v>
      </c>
    </row>
    <row r="654" spans="1:7" x14ac:dyDescent="0.3">
      <c r="A654" t="s">
        <v>30</v>
      </c>
      <c r="B654">
        <v>2013</v>
      </c>
      <c r="C654" t="s">
        <v>42</v>
      </c>
      <c r="D654" s="2">
        <v>41518</v>
      </c>
      <c r="E654" t="s">
        <v>15</v>
      </c>
      <c r="F654">
        <v>117.8</v>
      </c>
      <c r="G654" t="str">
        <f>VLOOKUP(Table1_2[[#This Row],[Categories]],Sheet3!$A$1:$B$27,2,FALSE)</f>
        <v>Food &amp;Beverage</v>
      </c>
    </row>
    <row r="655" spans="1:7" x14ac:dyDescent="0.3">
      <c r="A655" t="s">
        <v>30</v>
      </c>
      <c r="B655">
        <v>2013</v>
      </c>
      <c r="C655" t="s">
        <v>42</v>
      </c>
      <c r="D655" s="2">
        <v>41518</v>
      </c>
      <c r="E655" t="s">
        <v>16</v>
      </c>
      <c r="F655">
        <v>111.7</v>
      </c>
      <c r="G655" t="str">
        <f>VLOOKUP(Table1_2[[#This Row],[Categories]],Sheet3!$A$1:$B$27,2,FALSE)</f>
        <v>Recreation and amusement</v>
      </c>
    </row>
    <row r="656" spans="1:7" x14ac:dyDescent="0.3">
      <c r="A656" t="s">
        <v>30</v>
      </c>
      <c r="B656">
        <v>2013</v>
      </c>
      <c r="C656" t="s">
        <v>42</v>
      </c>
      <c r="D656" s="2">
        <v>41518</v>
      </c>
      <c r="E656" t="s">
        <v>17</v>
      </c>
      <c r="F656">
        <v>112.7</v>
      </c>
      <c r="G656" t="str">
        <f>VLOOKUP(Table1_2[[#This Row],[Categories]],Sheet3!$A$1:$B$27,2,FALSE)</f>
        <v>Clothing and footwear</v>
      </c>
    </row>
    <row r="657" spans="1:7" x14ac:dyDescent="0.3">
      <c r="A657" t="s">
        <v>30</v>
      </c>
      <c r="B657">
        <v>2013</v>
      </c>
      <c r="C657" t="s">
        <v>42</v>
      </c>
      <c r="D657" s="2">
        <v>41518</v>
      </c>
      <c r="E657" t="s">
        <v>18</v>
      </c>
      <c r="F657">
        <v>111.4</v>
      </c>
      <c r="G657" t="str">
        <f>VLOOKUP(Table1_2[[#This Row],[Categories]],Sheet3!$A$1:$B$27,2,FALSE)</f>
        <v>Clothing and footwear</v>
      </c>
    </row>
    <row r="658" spans="1:7" x14ac:dyDescent="0.3">
      <c r="A658" t="s">
        <v>30</v>
      </c>
      <c r="B658">
        <v>2013</v>
      </c>
      <c r="C658" t="s">
        <v>42</v>
      </c>
      <c r="D658" s="2">
        <v>41518</v>
      </c>
      <c r="E658" t="s">
        <v>19</v>
      </c>
      <c r="F658">
        <v>112.5</v>
      </c>
      <c r="G658" t="str">
        <f>VLOOKUP(Table1_2[[#This Row],[Categories]],Sheet3!$A$1:$B$27,2,FALSE)</f>
        <v>Clothing and footwear</v>
      </c>
    </row>
    <row r="659" spans="1:7" x14ac:dyDescent="0.3">
      <c r="A659" t="s">
        <v>30</v>
      </c>
      <c r="B659">
        <v>2013</v>
      </c>
      <c r="C659" t="s">
        <v>42</v>
      </c>
      <c r="D659" s="2">
        <v>41518</v>
      </c>
      <c r="E659" t="s">
        <v>21</v>
      </c>
      <c r="F659">
        <v>111.1</v>
      </c>
      <c r="G659" t="str">
        <f>VLOOKUP(Table1_2[[#This Row],[Categories]],Sheet3!$A$1:$B$27,2,FALSE)</f>
        <v>Fuel and light</v>
      </c>
    </row>
    <row r="660" spans="1:7" x14ac:dyDescent="0.3">
      <c r="A660" t="s">
        <v>30</v>
      </c>
      <c r="B660">
        <v>2013</v>
      </c>
      <c r="C660" t="s">
        <v>42</v>
      </c>
      <c r="D660" s="2">
        <v>41518</v>
      </c>
      <c r="E660" t="s">
        <v>22</v>
      </c>
      <c r="F660">
        <v>109.6</v>
      </c>
      <c r="G660" t="str">
        <f>VLOOKUP(Table1_2[[#This Row],[Categories]],Sheet3!$A$1:$B$27,2,FALSE)</f>
        <v>Household Items</v>
      </c>
    </row>
    <row r="661" spans="1:7" x14ac:dyDescent="0.3">
      <c r="A661" t="s">
        <v>30</v>
      </c>
      <c r="B661">
        <v>2013</v>
      </c>
      <c r="C661" t="s">
        <v>42</v>
      </c>
      <c r="D661" s="2">
        <v>41518</v>
      </c>
      <c r="E661" t="s">
        <v>23</v>
      </c>
      <c r="F661">
        <v>108.3</v>
      </c>
      <c r="G661" t="str">
        <f>VLOOKUP(Table1_2[[#This Row],[Categories]],Sheet3!$A$1:$B$27,2,FALSE)</f>
        <v>Health</v>
      </c>
    </row>
    <row r="662" spans="1:7" x14ac:dyDescent="0.3">
      <c r="A662" t="s">
        <v>30</v>
      </c>
      <c r="B662">
        <v>2013</v>
      </c>
      <c r="C662" t="s">
        <v>42</v>
      </c>
      <c r="D662" s="2">
        <v>41518</v>
      </c>
      <c r="E662" t="s">
        <v>24</v>
      </c>
      <c r="F662">
        <v>109.3</v>
      </c>
      <c r="G662" t="str">
        <f>VLOOKUP(Table1_2[[#This Row],[Categories]],Sheet3!$A$1:$B$27,2,FALSE)</f>
        <v>Transport and communication</v>
      </c>
    </row>
    <row r="663" spans="1:7" x14ac:dyDescent="0.3">
      <c r="A663" t="s">
        <v>30</v>
      </c>
      <c r="B663">
        <v>2013</v>
      </c>
      <c r="C663" t="s">
        <v>42</v>
      </c>
      <c r="D663" s="2">
        <v>41518</v>
      </c>
      <c r="E663" t="s">
        <v>25</v>
      </c>
      <c r="F663">
        <v>107.7</v>
      </c>
      <c r="G663" t="str">
        <f>VLOOKUP(Table1_2[[#This Row],[Categories]],Sheet3!$A$1:$B$27,2,FALSE)</f>
        <v>Recreation and amusement</v>
      </c>
    </row>
    <row r="664" spans="1:7" x14ac:dyDescent="0.3">
      <c r="A664" t="s">
        <v>30</v>
      </c>
      <c r="B664">
        <v>2013</v>
      </c>
      <c r="C664" t="s">
        <v>42</v>
      </c>
      <c r="D664" s="2">
        <v>41518</v>
      </c>
      <c r="E664" t="s">
        <v>26</v>
      </c>
      <c r="F664">
        <v>109.8</v>
      </c>
      <c r="G664" t="str">
        <f>VLOOKUP(Table1_2[[#This Row],[Categories]],Sheet3!$A$1:$B$27,2,FALSE)</f>
        <v>Education</v>
      </c>
    </row>
    <row r="665" spans="1:7" x14ac:dyDescent="0.3">
      <c r="A665" t="s">
        <v>30</v>
      </c>
      <c r="B665">
        <v>2013</v>
      </c>
      <c r="C665" t="s">
        <v>42</v>
      </c>
      <c r="D665" s="2">
        <v>41518</v>
      </c>
      <c r="E665" t="s">
        <v>27</v>
      </c>
      <c r="F665">
        <v>106.7</v>
      </c>
      <c r="G665" t="str">
        <f>VLOOKUP(Table1_2[[#This Row],[Categories]],Sheet3!$A$1:$B$27,2,FALSE)</f>
        <v>Household Items</v>
      </c>
    </row>
    <row r="666" spans="1:7" x14ac:dyDescent="0.3">
      <c r="A666" t="s">
        <v>30</v>
      </c>
      <c r="B666">
        <v>2013</v>
      </c>
      <c r="C666" t="s">
        <v>42</v>
      </c>
      <c r="D666" s="2">
        <v>41518</v>
      </c>
      <c r="E666" t="s">
        <v>28</v>
      </c>
      <c r="F666">
        <v>108.7</v>
      </c>
      <c r="G666" t="str">
        <f>VLOOKUP(Table1_2[[#This Row],[Categories]],Sheet3!$A$1:$B$27,2,FALSE)</f>
        <v>Miscellaneous</v>
      </c>
    </row>
    <row r="667" spans="1:7" x14ac:dyDescent="0.3">
      <c r="A667" t="s">
        <v>30</v>
      </c>
      <c r="B667">
        <v>2013</v>
      </c>
      <c r="C667" t="s">
        <v>42</v>
      </c>
      <c r="D667" s="2">
        <v>41518</v>
      </c>
      <c r="E667" t="s">
        <v>29</v>
      </c>
      <c r="F667">
        <v>114.2</v>
      </c>
      <c r="G667" t="str">
        <f>VLOOKUP(Table1_2[[#This Row],[Categories]],Sheet3!$A$1:$B$27,2,FALSE)</f>
        <v>General index</v>
      </c>
    </row>
    <row r="668" spans="1:7" x14ac:dyDescent="0.3">
      <c r="A668" t="s">
        <v>33</v>
      </c>
      <c r="B668">
        <v>2013</v>
      </c>
      <c r="C668" t="s">
        <v>42</v>
      </c>
      <c r="D668" s="2">
        <v>41518</v>
      </c>
      <c r="E668" t="s">
        <v>3</v>
      </c>
      <c r="F668">
        <v>118.6</v>
      </c>
      <c r="G668" t="str">
        <f>VLOOKUP(Table1_2[[#This Row],[Categories]],Sheet3!$A$1:$B$27,2,FALSE)</f>
        <v>Food &amp;Beverage</v>
      </c>
    </row>
    <row r="669" spans="1:7" x14ac:dyDescent="0.3">
      <c r="A669" t="s">
        <v>33</v>
      </c>
      <c r="B669">
        <v>2013</v>
      </c>
      <c r="C669" t="s">
        <v>42</v>
      </c>
      <c r="D669" s="2">
        <v>41518</v>
      </c>
      <c r="E669" t="s">
        <v>4</v>
      </c>
      <c r="F669">
        <v>119.1</v>
      </c>
      <c r="G669" t="str">
        <f>VLOOKUP(Table1_2[[#This Row],[Categories]],Sheet3!$A$1:$B$27,2,FALSE)</f>
        <v>Food &amp;Beverage</v>
      </c>
    </row>
    <row r="670" spans="1:7" x14ac:dyDescent="0.3">
      <c r="A670" t="s">
        <v>33</v>
      </c>
      <c r="B670">
        <v>2013</v>
      </c>
      <c r="C670" t="s">
        <v>42</v>
      </c>
      <c r="D670" s="2">
        <v>41518</v>
      </c>
      <c r="E670" t="s">
        <v>5</v>
      </c>
      <c r="F670">
        <v>113.2</v>
      </c>
      <c r="G670" t="str">
        <f>VLOOKUP(Table1_2[[#This Row],[Categories]],Sheet3!$A$1:$B$27,2,FALSE)</f>
        <v>Food &amp;Beverage</v>
      </c>
    </row>
    <row r="671" spans="1:7" x14ac:dyDescent="0.3">
      <c r="A671" t="s">
        <v>33</v>
      </c>
      <c r="B671">
        <v>2013</v>
      </c>
      <c r="C671" t="s">
        <v>42</v>
      </c>
      <c r="D671" s="2">
        <v>41518</v>
      </c>
      <c r="E671" t="s">
        <v>6</v>
      </c>
      <c r="F671">
        <v>109.6</v>
      </c>
      <c r="G671" t="str">
        <f>VLOOKUP(Table1_2[[#This Row],[Categories]],Sheet3!$A$1:$B$27,2,FALSE)</f>
        <v>Food &amp;Beverage</v>
      </c>
    </row>
    <row r="672" spans="1:7" x14ac:dyDescent="0.3">
      <c r="A672" t="s">
        <v>33</v>
      </c>
      <c r="B672">
        <v>2013</v>
      </c>
      <c r="C672" t="s">
        <v>42</v>
      </c>
      <c r="D672" s="2">
        <v>41518</v>
      </c>
      <c r="E672" t="s">
        <v>7</v>
      </c>
      <c r="F672">
        <v>101.7</v>
      </c>
      <c r="G672" t="str">
        <f>VLOOKUP(Table1_2[[#This Row],[Categories]],Sheet3!$A$1:$B$27,2,FALSE)</f>
        <v>Food &amp;Beverage</v>
      </c>
    </row>
    <row r="673" spans="1:7" x14ac:dyDescent="0.3">
      <c r="A673" t="s">
        <v>33</v>
      </c>
      <c r="B673">
        <v>2013</v>
      </c>
      <c r="C673" t="s">
        <v>42</v>
      </c>
      <c r="D673" s="2">
        <v>41518</v>
      </c>
      <c r="E673" t="s">
        <v>8</v>
      </c>
      <c r="F673">
        <v>103.2</v>
      </c>
      <c r="G673" t="str">
        <f>VLOOKUP(Table1_2[[#This Row],[Categories]],Sheet3!$A$1:$B$27,2,FALSE)</f>
        <v>Food &amp;Beverage</v>
      </c>
    </row>
    <row r="674" spans="1:7" x14ac:dyDescent="0.3">
      <c r="A674" t="s">
        <v>33</v>
      </c>
      <c r="B674">
        <v>2013</v>
      </c>
      <c r="C674" t="s">
        <v>42</v>
      </c>
      <c r="D674" s="2">
        <v>41518</v>
      </c>
      <c r="E674" t="s">
        <v>9</v>
      </c>
      <c r="F674">
        <v>174.3</v>
      </c>
      <c r="G674" t="str">
        <f>VLOOKUP(Table1_2[[#This Row],[Categories]],Sheet3!$A$1:$B$27,2,FALSE)</f>
        <v>Food &amp;Beverage</v>
      </c>
    </row>
    <row r="675" spans="1:7" x14ac:dyDescent="0.3">
      <c r="A675" t="s">
        <v>33</v>
      </c>
      <c r="B675">
        <v>2013</v>
      </c>
      <c r="C675" t="s">
        <v>42</v>
      </c>
      <c r="D675" s="2">
        <v>41518</v>
      </c>
      <c r="E675" t="s">
        <v>10</v>
      </c>
      <c r="F675">
        <v>105.1</v>
      </c>
      <c r="G675" t="str">
        <f>VLOOKUP(Table1_2[[#This Row],[Categories]],Sheet3!$A$1:$B$27,2,FALSE)</f>
        <v>Food &amp;Beverage</v>
      </c>
    </row>
    <row r="676" spans="1:7" x14ac:dyDescent="0.3">
      <c r="A676" t="s">
        <v>33</v>
      </c>
      <c r="B676">
        <v>2013</v>
      </c>
      <c r="C676" t="s">
        <v>42</v>
      </c>
      <c r="D676" s="2">
        <v>41518</v>
      </c>
      <c r="E676" t="s">
        <v>11</v>
      </c>
      <c r="F676">
        <v>100.8</v>
      </c>
      <c r="G676" t="str">
        <f>VLOOKUP(Table1_2[[#This Row],[Categories]],Sheet3!$A$1:$B$27,2,FALSE)</f>
        <v>Food &amp;Beverage</v>
      </c>
    </row>
    <row r="677" spans="1:7" x14ac:dyDescent="0.3">
      <c r="A677" t="s">
        <v>33</v>
      </c>
      <c r="B677">
        <v>2013</v>
      </c>
      <c r="C677" t="s">
        <v>42</v>
      </c>
      <c r="D677" s="2">
        <v>41518</v>
      </c>
      <c r="E677" t="s">
        <v>12</v>
      </c>
      <c r="F677">
        <v>109.1</v>
      </c>
      <c r="G677" t="str">
        <f>VLOOKUP(Table1_2[[#This Row],[Categories]],Sheet3!$A$1:$B$27,2,FALSE)</f>
        <v>Food &amp;Beverage</v>
      </c>
    </row>
    <row r="678" spans="1:7" x14ac:dyDescent="0.3">
      <c r="A678" t="s">
        <v>33</v>
      </c>
      <c r="B678">
        <v>2013</v>
      </c>
      <c r="C678" t="s">
        <v>42</v>
      </c>
      <c r="D678" s="2">
        <v>41518</v>
      </c>
      <c r="E678" t="s">
        <v>13</v>
      </c>
      <c r="F678">
        <v>111.1</v>
      </c>
      <c r="G678" t="str">
        <f>VLOOKUP(Table1_2[[#This Row],[Categories]],Sheet3!$A$1:$B$27,2,FALSE)</f>
        <v>Food &amp;Beverage</v>
      </c>
    </row>
    <row r="679" spans="1:7" x14ac:dyDescent="0.3">
      <c r="A679" t="s">
        <v>33</v>
      </c>
      <c r="B679">
        <v>2013</v>
      </c>
      <c r="C679" t="s">
        <v>42</v>
      </c>
      <c r="D679" s="2">
        <v>41518</v>
      </c>
      <c r="E679" t="s">
        <v>14</v>
      </c>
      <c r="F679">
        <v>115.4</v>
      </c>
      <c r="G679" t="str">
        <f>VLOOKUP(Table1_2[[#This Row],[Categories]],Sheet3!$A$1:$B$27,2,FALSE)</f>
        <v>Food &amp;Beverage</v>
      </c>
    </row>
    <row r="680" spans="1:7" x14ac:dyDescent="0.3">
      <c r="A680" t="s">
        <v>33</v>
      </c>
      <c r="B680">
        <v>2013</v>
      </c>
      <c r="C680" t="s">
        <v>42</v>
      </c>
      <c r="D680" s="2">
        <v>41518</v>
      </c>
      <c r="E680" t="s">
        <v>15</v>
      </c>
      <c r="F680">
        <v>119.2</v>
      </c>
      <c r="G680" t="str">
        <f>VLOOKUP(Table1_2[[#This Row],[Categories]],Sheet3!$A$1:$B$27,2,FALSE)</f>
        <v>Food &amp;Beverage</v>
      </c>
    </row>
    <row r="681" spans="1:7" x14ac:dyDescent="0.3">
      <c r="A681" t="s">
        <v>33</v>
      </c>
      <c r="B681">
        <v>2013</v>
      </c>
      <c r="C681" t="s">
        <v>42</v>
      </c>
      <c r="D681" s="2">
        <v>41518</v>
      </c>
      <c r="E681" t="s">
        <v>16</v>
      </c>
      <c r="F681">
        <v>112.9</v>
      </c>
      <c r="G681" t="str">
        <f>VLOOKUP(Table1_2[[#This Row],[Categories]],Sheet3!$A$1:$B$27,2,FALSE)</f>
        <v>Recreation and amusement</v>
      </c>
    </row>
    <row r="682" spans="1:7" x14ac:dyDescent="0.3">
      <c r="A682" t="s">
        <v>33</v>
      </c>
      <c r="B682">
        <v>2013</v>
      </c>
      <c r="C682" t="s">
        <v>42</v>
      </c>
      <c r="D682" s="2">
        <v>41518</v>
      </c>
      <c r="E682" t="s">
        <v>17</v>
      </c>
      <c r="F682">
        <v>111.4</v>
      </c>
      <c r="G682" t="str">
        <f>VLOOKUP(Table1_2[[#This Row],[Categories]],Sheet3!$A$1:$B$27,2,FALSE)</f>
        <v>Clothing and footwear</v>
      </c>
    </row>
    <row r="683" spans="1:7" x14ac:dyDescent="0.3">
      <c r="A683" t="s">
        <v>33</v>
      </c>
      <c r="B683">
        <v>2013</v>
      </c>
      <c r="C683" t="s">
        <v>42</v>
      </c>
      <c r="D683" s="2">
        <v>41518</v>
      </c>
      <c r="E683" t="s">
        <v>18</v>
      </c>
      <c r="F683">
        <v>109</v>
      </c>
      <c r="G683" t="str">
        <f>VLOOKUP(Table1_2[[#This Row],[Categories]],Sheet3!$A$1:$B$27,2,FALSE)</f>
        <v>Clothing and footwear</v>
      </c>
    </row>
    <row r="684" spans="1:7" x14ac:dyDescent="0.3">
      <c r="A684" t="s">
        <v>33</v>
      </c>
      <c r="B684">
        <v>2013</v>
      </c>
      <c r="C684" t="s">
        <v>42</v>
      </c>
      <c r="D684" s="2">
        <v>41518</v>
      </c>
      <c r="E684" t="s">
        <v>19</v>
      </c>
      <c r="F684">
        <v>111.1</v>
      </c>
      <c r="G684" t="str">
        <f>VLOOKUP(Table1_2[[#This Row],[Categories]],Sheet3!$A$1:$B$27,2,FALSE)</f>
        <v>Clothing and footwear</v>
      </c>
    </row>
    <row r="685" spans="1:7" x14ac:dyDescent="0.3">
      <c r="A685" t="s">
        <v>33</v>
      </c>
      <c r="B685">
        <v>2013</v>
      </c>
      <c r="C685" t="s">
        <v>42</v>
      </c>
      <c r="D685" s="2">
        <v>41518</v>
      </c>
      <c r="E685" t="s">
        <v>20</v>
      </c>
      <c r="F685">
        <v>109.7</v>
      </c>
      <c r="G685" t="str">
        <f>VLOOKUP(Table1_2[[#This Row],[Categories]],Sheet3!$A$1:$B$27,2,FALSE)</f>
        <v>Housing</v>
      </c>
    </row>
    <row r="686" spans="1:7" x14ac:dyDescent="0.3">
      <c r="A686" t="s">
        <v>33</v>
      </c>
      <c r="B686">
        <v>2013</v>
      </c>
      <c r="C686" t="s">
        <v>42</v>
      </c>
      <c r="D686" s="2">
        <v>41518</v>
      </c>
      <c r="E686" t="s">
        <v>21</v>
      </c>
      <c r="F686">
        <v>109.5</v>
      </c>
      <c r="G686" t="str">
        <f>VLOOKUP(Table1_2[[#This Row],[Categories]],Sheet3!$A$1:$B$27,2,FALSE)</f>
        <v>Fuel and light</v>
      </c>
    </row>
    <row r="687" spans="1:7" x14ac:dyDescent="0.3">
      <c r="A687" t="s">
        <v>33</v>
      </c>
      <c r="B687">
        <v>2013</v>
      </c>
      <c r="C687" t="s">
        <v>42</v>
      </c>
      <c r="D687" s="2">
        <v>41518</v>
      </c>
      <c r="E687" t="s">
        <v>22</v>
      </c>
      <c r="F687">
        <v>109.6</v>
      </c>
      <c r="G687" t="str">
        <f>VLOOKUP(Table1_2[[#This Row],[Categories]],Sheet3!$A$1:$B$27,2,FALSE)</f>
        <v>Household Items</v>
      </c>
    </row>
    <row r="688" spans="1:7" x14ac:dyDescent="0.3">
      <c r="A688" t="s">
        <v>33</v>
      </c>
      <c r="B688">
        <v>2013</v>
      </c>
      <c r="C688" t="s">
        <v>42</v>
      </c>
      <c r="D688" s="2">
        <v>41518</v>
      </c>
      <c r="E688" t="s">
        <v>23</v>
      </c>
      <c r="F688">
        <v>107.9</v>
      </c>
      <c r="G688" t="str">
        <f>VLOOKUP(Table1_2[[#This Row],[Categories]],Sheet3!$A$1:$B$27,2,FALSE)</f>
        <v>Health</v>
      </c>
    </row>
    <row r="689" spans="1:7" x14ac:dyDescent="0.3">
      <c r="A689" t="s">
        <v>33</v>
      </c>
      <c r="B689">
        <v>2013</v>
      </c>
      <c r="C689" t="s">
        <v>42</v>
      </c>
      <c r="D689" s="2">
        <v>41518</v>
      </c>
      <c r="E689" t="s">
        <v>24</v>
      </c>
      <c r="F689">
        <v>110.4</v>
      </c>
      <c r="G689" t="str">
        <f>VLOOKUP(Table1_2[[#This Row],[Categories]],Sheet3!$A$1:$B$27,2,FALSE)</f>
        <v>Transport and communication</v>
      </c>
    </row>
    <row r="690" spans="1:7" x14ac:dyDescent="0.3">
      <c r="A690" t="s">
        <v>33</v>
      </c>
      <c r="B690">
        <v>2013</v>
      </c>
      <c r="C690" t="s">
        <v>42</v>
      </c>
      <c r="D690" s="2">
        <v>41518</v>
      </c>
      <c r="E690" t="s">
        <v>25</v>
      </c>
      <c r="F690">
        <v>107.4</v>
      </c>
      <c r="G690" t="str">
        <f>VLOOKUP(Table1_2[[#This Row],[Categories]],Sheet3!$A$1:$B$27,2,FALSE)</f>
        <v>Recreation and amusement</v>
      </c>
    </row>
    <row r="691" spans="1:7" x14ac:dyDescent="0.3">
      <c r="A691" t="s">
        <v>33</v>
      </c>
      <c r="B691">
        <v>2013</v>
      </c>
      <c r="C691" t="s">
        <v>42</v>
      </c>
      <c r="D691" s="2">
        <v>41518</v>
      </c>
      <c r="E691" t="s">
        <v>26</v>
      </c>
      <c r="F691">
        <v>111.2</v>
      </c>
      <c r="G691" t="str">
        <f>VLOOKUP(Table1_2[[#This Row],[Categories]],Sheet3!$A$1:$B$27,2,FALSE)</f>
        <v>Education</v>
      </c>
    </row>
    <row r="692" spans="1:7" x14ac:dyDescent="0.3">
      <c r="A692" t="s">
        <v>33</v>
      </c>
      <c r="B692">
        <v>2013</v>
      </c>
      <c r="C692" t="s">
        <v>42</v>
      </c>
      <c r="D692" s="2">
        <v>41518</v>
      </c>
      <c r="E692" t="s">
        <v>27</v>
      </c>
      <c r="F692">
        <v>106.9</v>
      </c>
      <c r="G692" t="str">
        <f>VLOOKUP(Table1_2[[#This Row],[Categories]],Sheet3!$A$1:$B$27,2,FALSE)</f>
        <v>Household Items</v>
      </c>
    </row>
    <row r="693" spans="1:7" x14ac:dyDescent="0.3">
      <c r="A693" t="s">
        <v>33</v>
      </c>
      <c r="B693">
        <v>2013</v>
      </c>
      <c r="C693" t="s">
        <v>42</v>
      </c>
      <c r="D693" s="2">
        <v>41518</v>
      </c>
      <c r="E693" t="s">
        <v>28</v>
      </c>
      <c r="F693">
        <v>109.4</v>
      </c>
      <c r="G693" t="str">
        <f>VLOOKUP(Table1_2[[#This Row],[Categories]],Sheet3!$A$1:$B$27,2,FALSE)</f>
        <v>Miscellaneous</v>
      </c>
    </row>
    <row r="694" spans="1:7" x14ac:dyDescent="0.3">
      <c r="A694" t="s">
        <v>33</v>
      </c>
      <c r="B694">
        <v>2013</v>
      </c>
      <c r="C694" t="s">
        <v>42</v>
      </c>
      <c r="D694" s="2">
        <v>41518</v>
      </c>
      <c r="E694" t="s">
        <v>29</v>
      </c>
      <c r="F694">
        <v>113.2</v>
      </c>
      <c r="G694" t="str">
        <f>VLOOKUP(Table1_2[[#This Row],[Categories]],Sheet3!$A$1:$B$27,2,FALSE)</f>
        <v>General index</v>
      </c>
    </row>
    <row r="695" spans="1:7" x14ac:dyDescent="0.3">
      <c r="A695" t="s">
        <v>34</v>
      </c>
      <c r="B695">
        <v>2013</v>
      </c>
      <c r="C695" t="s">
        <v>42</v>
      </c>
      <c r="D695" s="2">
        <v>41518</v>
      </c>
      <c r="E695" t="s">
        <v>3</v>
      </c>
      <c r="F695">
        <v>116.4</v>
      </c>
      <c r="G695" t="str">
        <f>VLOOKUP(Table1_2[[#This Row],[Categories]],Sheet3!$A$1:$B$27,2,FALSE)</f>
        <v>Food &amp;Beverage</v>
      </c>
    </row>
    <row r="696" spans="1:7" x14ac:dyDescent="0.3">
      <c r="A696" t="s">
        <v>34</v>
      </c>
      <c r="B696">
        <v>2013</v>
      </c>
      <c r="C696" t="s">
        <v>42</v>
      </c>
      <c r="D696" s="2">
        <v>41518</v>
      </c>
      <c r="E696" t="s">
        <v>4</v>
      </c>
      <c r="F696">
        <v>116.9</v>
      </c>
      <c r="G696" t="str">
        <f>VLOOKUP(Table1_2[[#This Row],[Categories]],Sheet3!$A$1:$B$27,2,FALSE)</f>
        <v>Food &amp;Beverage</v>
      </c>
    </row>
    <row r="697" spans="1:7" x14ac:dyDescent="0.3">
      <c r="A697" t="s">
        <v>34</v>
      </c>
      <c r="B697">
        <v>2013</v>
      </c>
      <c r="C697" t="s">
        <v>42</v>
      </c>
      <c r="D697" s="2">
        <v>41518</v>
      </c>
      <c r="E697" t="s">
        <v>5</v>
      </c>
      <c r="F697">
        <v>112.3</v>
      </c>
      <c r="G697" t="str">
        <f>VLOOKUP(Table1_2[[#This Row],[Categories]],Sheet3!$A$1:$B$27,2,FALSE)</f>
        <v>Food &amp;Beverage</v>
      </c>
    </row>
    <row r="698" spans="1:7" x14ac:dyDescent="0.3">
      <c r="A698" t="s">
        <v>34</v>
      </c>
      <c r="B698">
        <v>2013</v>
      </c>
      <c r="C698" t="s">
        <v>42</v>
      </c>
      <c r="D698" s="2">
        <v>41518</v>
      </c>
      <c r="E698" t="s">
        <v>6</v>
      </c>
      <c r="F698">
        <v>110.5</v>
      </c>
      <c r="G698" t="str">
        <f>VLOOKUP(Table1_2[[#This Row],[Categories]],Sheet3!$A$1:$B$27,2,FALSE)</f>
        <v>Food &amp;Beverage</v>
      </c>
    </row>
    <row r="699" spans="1:7" x14ac:dyDescent="0.3">
      <c r="A699" t="s">
        <v>34</v>
      </c>
      <c r="B699">
        <v>2013</v>
      </c>
      <c r="C699" t="s">
        <v>42</v>
      </c>
      <c r="D699" s="2">
        <v>41518</v>
      </c>
      <c r="E699" t="s">
        <v>7</v>
      </c>
      <c r="F699">
        <v>105.3</v>
      </c>
      <c r="G699" t="str">
        <f>VLOOKUP(Table1_2[[#This Row],[Categories]],Sheet3!$A$1:$B$27,2,FALSE)</f>
        <v>Food &amp;Beverage</v>
      </c>
    </row>
    <row r="700" spans="1:7" x14ac:dyDescent="0.3">
      <c r="A700" t="s">
        <v>34</v>
      </c>
      <c r="B700">
        <v>2013</v>
      </c>
      <c r="C700" t="s">
        <v>42</v>
      </c>
      <c r="D700" s="2">
        <v>41518</v>
      </c>
      <c r="E700" t="s">
        <v>8</v>
      </c>
      <c r="F700">
        <v>107.3</v>
      </c>
      <c r="G700" t="str">
        <f>VLOOKUP(Table1_2[[#This Row],[Categories]],Sheet3!$A$1:$B$27,2,FALSE)</f>
        <v>Food &amp;Beverage</v>
      </c>
    </row>
    <row r="701" spans="1:7" x14ac:dyDescent="0.3">
      <c r="A701" t="s">
        <v>34</v>
      </c>
      <c r="B701">
        <v>2013</v>
      </c>
      <c r="C701" t="s">
        <v>42</v>
      </c>
      <c r="D701" s="2">
        <v>41518</v>
      </c>
      <c r="E701" t="s">
        <v>9</v>
      </c>
      <c r="F701">
        <v>160.9</v>
      </c>
      <c r="G701" t="str">
        <f>VLOOKUP(Table1_2[[#This Row],[Categories]],Sheet3!$A$1:$B$27,2,FALSE)</f>
        <v>Food &amp;Beverage</v>
      </c>
    </row>
    <row r="702" spans="1:7" x14ac:dyDescent="0.3">
      <c r="A702" t="s">
        <v>34</v>
      </c>
      <c r="B702">
        <v>2013</v>
      </c>
      <c r="C702" t="s">
        <v>42</v>
      </c>
      <c r="D702" s="2">
        <v>41518</v>
      </c>
      <c r="E702" t="s">
        <v>10</v>
      </c>
      <c r="F702">
        <v>107.1</v>
      </c>
      <c r="G702" t="str">
        <f>VLOOKUP(Table1_2[[#This Row],[Categories]],Sheet3!$A$1:$B$27,2,FALSE)</f>
        <v>Food &amp;Beverage</v>
      </c>
    </row>
    <row r="703" spans="1:7" x14ac:dyDescent="0.3">
      <c r="A703" t="s">
        <v>34</v>
      </c>
      <c r="B703">
        <v>2013</v>
      </c>
      <c r="C703" t="s">
        <v>42</v>
      </c>
      <c r="D703" s="2">
        <v>41518</v>
      </c>
      <c r="E703" t="s">
        <v>11</v>
      </c>
      <c r="F703">
        <v>103.1</v>
      </c>
      <c r="G703" t="str">
        <f>VLOOKUP(Table1_2[[#This Row],[Categories]],Sheet3!$A$1:$B$27,2,FALSE)</f>
        <v>Food &amp;Beverage</v>
      </c>
    </row>
    <row r="704" spans="1:7" x14ac:dyDescent="0.3">
      <c r="A704" t="s">
        <v>34</v>
      </c>
      <c r="B704">
        <v>2013</v>
      </c>
      <c r="C704" t="s">
        <v>42</v>
      </c>
      <c r="D704" s="2">
        <v>41518</v>
      </c>
      <c r="E704" t="s">
        <v>12</v>
      </c>
      <c r="F704">
        <v>108.3</v>
      </c>
      <c r="G704" t="str">
        <f>VLOOKUP(Table1_2[[#This Row],[Categories]],Sheet3!$A$1:$B$27,2,FALSE)</f>
        <v>Food &amp;Beverage</v>
      </c>
    </row>
    <row r="705" spans="1:7" x14ac:dyDescent="0.3">
      <c r="A705" t="s">
        <v>34</v>
      </c>
      <c r="B705">
        <v>2013</v>
      </c>
      <c r="C705" t="s">
        <v>42</v>
      </c>
      <c r="D705" s="2">
        <v>41518</v>
      </c>
      <c r="E705" t="s">
        <v>13</v>
      </c>
      <c r="F705">
        <v>110.7</v>
      </c>
      <c r="G705" t="str">
        <f>VLOOKUP(Table1_2[[#This Row],[Categories]],Sheet3!$A$1:$B$27,2,FALSE)</f>
        <v>Food &amp;Beverage</v>
      </c>
    </row>
    <row r="706" spans="1:7" x14ac:dyDescent="0.3">
      <c r="A706" t="s">
        <v>34</v>
      </c>
      <c r="B706">
        <v>2013</v>
      </c>
      <c r="C706" t="s">
        <v>42</v>
      </c>
      <c r="D706" s="2">
        <v>41518</v>
      </c>
      <c r="E706" t="s">
        <v>14</v>
      </c>
      <c r="F706">
        <v>114.6</v>
      </c>
      <c r="G706" t="str">
        <f>VLOOKUP(Table1_2[[#This Row],[Categories]],Sheet3!$A$1:$B$27,2,FALSE)</f>
        <v>Food &amp;Beverage</v>
      </c>
    </row>
    <row r="707" spans="1:7" x14ac:dyDescent="0.3">
      <c r="A707" t="s">
        <v>34</v>
      </c>
      <c r="B707">
        <v>2013</v>
      </c>
      <c r="C707" t="s">
        <v>42</v>
      </c>
      <c r="D707" s="2">
        <v>41518</v>
      </c>
      <c r="E707" t="s">
        <v>15</v>
      </c>
      <c r="F707">
        <v>118.3</v>
      </c>
      <c r="G707" t="str">
        <f>VLOOKUP(Table1_2[[#This Row],[Categories]],Sheet3!$A$1:$B$27,2,FALSE)</f>
        <v>Food &amp;Beverage</v>
      </c>
    </row>
    <row r="708" spans="1:7" x14ac:dyDescent="0.3">
      <c r="A708" t="s">
        <v>34</v>
      </c>
      <c r="B708">
        <v>2013</v>
      </c>
      <c r="C708" t="s">
        <v>42</v>
      </c>
      <c r="D708" s="2">
        <v>41518</v>
      </c>
      <c r="E708" t="s">
        <v>16</v>
      </c>
      <c r="F708">
        <v>112</v>
      </c>
      <c r="G708" t="str">
        <f>VLOOKUP(Table1_2[[#This Row],[Categories]],Sheet3!$A$1:$B$27,2,FALSE)</f>
        <v>Recreation and amusement</v>
      </c>
    </row>
    <row r="709" spans="1:7" x14ac:dyDescent="0.3">
      <c r="A709" t="s">
        <v>34</v>
      </c>
      <c r="B709">
        <v>2013</v>
      </c>
      <c r="C709" t="s">
        <v>42</v>
      </c>
      <c r="D709" s="2">
        <v>41518</v>
      </c>
      <c r="E709" t="s">
        <v>17</v>
      </c>
      <c r="F709">
        <v>112.2</v>
      </c>
      <c r="G709" t="str">
        <f>VLOOKUP(Table1_2[[#This Row],[Categories]],Sheet3!$A$1:$B$27,2,FALSE)</f>
        <v>Clothing and footwear</v>
      </c>
    </row>
    <row r="710" spans="1:7" x14ac:dyDescent="0.3">
      <c r="A710" t="s">
        <v>34</v>
      </c>
      <c r="B710">
        <v>2013</v>
      </c>
      <c r="C710" t="s">
        <v>42</v>
      </c>
      <c r="D710" s="2">
        <v>41518</v>
      </c>
      <c r="E710" t="s">
        <v>18</v>
      </c>
      <c r="F710">
        <v>110.4</v>
      </c>
      <c r="G710" t="str">
        <f>VLOOKUP(Table1_2[[#This Row],[Categories]],Sheet3!$A$1:$B$27,2,FALSE)</f>
        <v>Clothing and footwear</v>
      </c>
    </row>
    <row r="711" spans="1:7" x14ac:dyDescent="0.3">
      <c r="A711" t="s">
        <v>34</v>
      </c>
      <c r="B711">
        <v>2013</v>
      </c>
      <c r="C711" t="s">
        <v>42</v>
      </c>
      <c r="D711" s="2">
        <v>41518</v>
      </c>
      <c r="E711" t="s">
        <v>19</v>
      </c>
      <c r="F711">
        <v>111.9</v>
      </c>
      <c r="G711" t="str">
        <f>VLOOKUP(Table1_2[[#This Row],[Categories]],Sheet3!$A$1:$B$27,2,FALSE)</f>
        <v>Clothing and footwear</v>
      </c>
    </row>
    <row r="712" spans="1:7" x14ac:dyDescent="0.3">
      <c r="A712" t="s">
        <v>34</v>
      </c>
      <c r="B712">
        <v>2013</v>
      </c>
      <c r="C712" t="s">
        <v>42</v>
      </c>
      <c r="D712" s="2">
        <v>41518</v>
      </c>
      <c r="E712" t="s">
        <v>20</v>
      </c>
      <c r="F712">
        <v>109.7</v>
      </c>
      <c r="G712" t="str">
        <f>VLOOKUP(Table1_2[[#This Row],[Categories]],Sheet3!$A$1:$B$27,2,FALSE)</f>
        <v>Housing</v>
      </c>
    </row>
    <row r="713" spans="1:7" x14ac:dyDescent="0.3">
      <c r="A713" t="s">
        <v>34</v>
      </c>
      <c r="B713">
        <v>2013</v>
      </c>
      <c r="C713" t="s">
        <v>42</v>
      </c>
      <c r="D713" s="2">
        <v>41518</v>
      </c>
      <c r="E713" t="s">
        <v>21</v>
      </c>
      <c r="F713">
        <v>110.5</v>
      </c>
      <c r="G713" t="str">
        <f>VLOOKUP(Table1_2[[#This Row],[Categories]],Sheet3!$A$1:$B$27,2,FALSE)</f>
        <v>Fuel and light</v>
      </c>
    </row>
    <row r="714" spans="1:7" x14ac:dyDescent="0.3">
      <c r="A714" t="s">
        <v>34</v>
      </c>
      <c r="B714">
        <v>2013</v>
      </c>
      <c r="C714" t="s">
        <v>42</v>
      </c>
      <c r="D714" s="2">
        <v>41518</v>
      </c>
      <c r="E714" t="s">
        <v>22</v>
      </c>
      <c r="F714">
        <v>109.6</v>
      </c>
      <c r="G714" t="str">
        <f>VLOOKUP(Table1_2[[#This Row],[Categories]],Sheet3!$A$1:$B$27,2,FALSE)</f>
        <v>Household Items</v>
      </c>
    </row>
    <row r="715" spans="1:7" x14ac:dyDescent="0.3">
      <c r="A715" t="s">
        <v>34</v>
      </c>
      <c r="B715">
        <v>2013</v>
      </c>
      <c r="C715" t="s">
        <v>42</v>
      </c>
      <c r="D715" s="2">
        <v>41518</v>
      </c>
      <c r="E715" t="s">
        <v>23</v>
      </c>
      <c r="F715">
        <v>108.1</v>
      </c>
      <c r="G715" t="str">
        <f>VLOOKUP(Table1_2[[#This Row],[Categories]],Sheet3!$A$1:$B$27,2,FALSE)</f>
        <v>Health</v>
      </c>
    </row>
    <row r="716" spans="1:7" x14ac:dyDescent="0.3">
      <c r="A716" t="s">
        <v>34</v>
      </c>
      <c r="B716">
        <v>2013</v>
      </c>
      <c r="C716" t="s">
        <v>42</v>
      </c>
      <c r="D716" s="2">
        <v>41518</v>
      </c>
      <c r="E716" t="s">
        <v>24</v>
      </c>
      <c r="F716">
        <v>109.9</v>
      </c>
      <c r="G716" t="str">
        <f>VLOOKUP(Table1_2[[#This Row],[Categories]],Sheet3!$A$1:$B$27,2,FALSE)</f>
        <v>Transport and communication</v>
      </c>
    </row>
    <row r="717" spans="1:7" x14ac:dyDescent="0.3">
      <c r="A717" t="s">
        <v>34</v>
      </c>
      <c r="B717">
        <v>2013</v>
      </c>
      <c r="C717" t="s">
        <v>42</v>
      </c>
      <c r="D717" s="2">
        <v>41518</v>
      </c>
      <c r="E717" t="s">
        <v>25</v>
      </c>
      <c r="F717">
        <v>107.5</v>
      </c>
      <c r="G717" t="str">
        <f>VLOOKUP(Table1_2[[#This Row],[Categories]],Sheet3!$A$1:$B$27,2,FALSE)</f>
        <v>Recreation and amusement</v>
      </c>
    </row>
    <row r="718" spans="1:7" x14ac:dyDescent="0.3">
      <c r="A718" t="s">
        <v>34</v>
      </c>
      <c r="B718">
        <v>2013</v>
      </c>
      <c r="C718" t="s">
        <v>42</v>
      </c>
      <c r="D718" s="2">
        <v>41518</v>
      </c>
      <c r="E718" t="s">
        <v>26</v>
      </c>
      <c r="F718">
        <v>110.6</v>
      </c>
      <c r="G718" t="str">
        <f>VLOOKUP(Table1_2[[#This Row],[Categories]],Sheet3!$A$1:$B$27,2,FALSE)</f>
        <v>Education</v>
      </c>
    </row>
    <row r="719" spans="1:7" x14ac:dyDescent="0.3">
      <c r="A719" t="s">
        <v>34</v>
      </c>
      <c r="B719">
        <v>2013</v>
      </c>
      <c r="C719" t="s">
        <v>42</v>
      </c>
      <c r="D719" s="2">
        <v>41518</v>
      </c>
      <c r="E719" t="s">
        <v>27</v>
      </c>
      <c r="F719">
        <v>106.8</v>
      </c>
      <c r="G719" t="str">
        <f>VLOOKUP(Table1_2[[#This Row],[Categories]],Sheet3!$A$1:$B$27,2,FALSE)</f>
        <v>Household Items</v>
      </c>
    </row>
    <row r="720" spans="1:7" x14ac:dyDescent="0.3">
      <c r="A720" t="s">
        <v>34</v>
      </c>
      <c r="B720">
        <v>2013</v>
      </c>
      <c r="C720" t="s">
        <v>42</v>
      </c>
      <c r="D720" s="2">
        <v>41518</v>
      </c>
      <c r="E720" t="s">
        <v>28</v>
      </c>
      <c r="F720">
        <v>109</v>
      </c>
      <c r="G720" t="str">
        <f>VLOOKUP(Table1_2[[#This Row],[Categories]],Sheet3!$A$1:$B$27,2,FALSE)</f>
        <v>Miscellaneous</v>
      </c>
    </row>
    <row r="721" spans="1:7" x14ac:dyDescent="0.3">
      <c r="A721" t="s">
        <v>34</v>
      </c>
      <c r="B721">
        <v>2013</v>
      </c>
      <c r="C721" t="s">
        <v>42</v>
      </c>
      <c r="D721" s="2">
        <v>41518</v>
      </c>
      <c r="E721" t="s">
        <v>29</v>
      </c>
      <c r="F721">
        <v>113.7</v>
      </c>
      <c r="G721" t="str">
        <f>VLOOKUP(Table1_2[[#This Row],[Categories]],Sheet3!$A$1:$B$27,2,FALSE)</f>
        <v>General index</v>
      </c>
    </row>
    <row r="722" spans="1:7" x14ac:dyDescent="0.3">
      <c r="A722" t="s">
        <v>30</v>
      </c>
      <c r="B722">
        <v>2013</v>
      </c>
      <c r="C722" t="s">
        <v>43</v>
      </c>
      <c r="D722" s="2">
        <v>41548</v>
      </c>
      <c r="E722" t="s">
        <v>3</v>
      </c>
      <c r="F722">
        <v>116.3</v>
      </c>
      <c r="G722" t="str">
        <f>VLOOKUP(Table1_2[[#This Row],[Categories]],Sheet3!$A$1:$B$27,2,FALSE)</f>
        <v>Food &amp;Beverage</v>
      </c>
    </row>
    <row r="723" spans="1:7" x14ac:dyDescent="0.3">
      <c r="A723" t="s">
        <v>30</v>
      </c>
      <c r="B723">
        <v>2013</v>
      </c>
      <c r="C723" t="s">
        <v>43</v>
      </c>
      <c r="D723" s="2">
        <v>41548</v>
      </c>
      <c r="E723" t="s">
        <v>4</v>
      </c>
      <c r="F723">
        <v>115.4</v>
      </c>
      <c r="G723" t="str">
        <f>VLOOKUP(Table1_2[[#This Row],[Categories]],Sheet3!$A$1:$B$27,2,FALSE)</f>
        <v>Food &amp;Beverage</v>
      </c>
    </row>
    <row r="724" spans="1:7" x14ac:dyDescent="0.3">
      <c r="A724" t="s">
        <v>30</v>
      </c>
      <c r="B724">
        <v>2013</v>
      </c>
      <c r="C724" t="s">
        <v>43</v>
      </c>
      <c r="D724" s="2">
        <v>41548</v>
      </c>
      <c r="E724" t="s">
        <v>5</v>
      </c>
      <c r="F724">
        <v>112.6</v>
      </c>
      <c r="G724" t="str">
        <f>VLOOKUP(Table1_2[[#This Row],[Categories]],Sheet3!$A$1:$B$27,2,FALSE)</f>
        <v>Food &amp;Beverage</v>
      </c>
    </row>
    <row r="725" spans="1:7" x14ac:dyDescent="0.3">
      <c r="A725" t="s">
        <v>30</v>
      </c>
      <c r="B725">
        <v>2013</v>
      </c>
      <c r="C725" t="s">
        <v>43</v>
      </c>
      <c r="D725" s="2">
        <v>41548</v>
      </c>
      <c r="E725" t="s">
        <v>6</v>
      </c>
      <c r="F725">
        <v>111.7</v>
      </c>
      <c r="G725" t="str">
        <f>VLOOKUP(Table1_2[[#This Row],[Categories]],Sheet3!$A$1:$B$27,2,FALSE)</f>
        <v>Food &amp;Beverage</v>
      </c>
    </row>
    <row r="726" spans="1:7" x14ac:dyDescent="0.3">
      <c r="A726" t="s">
        <v>30</v>
      </c>
      <c r="B726">
        <v>2013</v>
      </c>
      <c r="C726" t="s">
        <v>43</v>
      </c>
      <c r="D726" s="2">
        <v>41548</v>
      </c>
      <c r="E726" t="s">
        <v>7</v>
      </c>
      <c r="F726">
        <v>107.7</v>
      </c>
      <c r="G726" t="str">
        <f>VLOOKUP(Table1_2[[#This Row],[Categories]],Sheet3!$A$1:$B$27,2,FALSE)</f>
        <v>Food &amp;Beverage</v>
      </c>
    </row>
    <row r="727" spans="1:7" x14ac:dyDescent="0.3">
      <c r="A727" t="s">
        <v>30</v>
      </c>
      <c r="B727">
        <v>2013</v>
      </c>
      <c r="C727" t="s">
        <v>43</v>
      </c>
      <c r="D727" s="2">
        <v>41548</v>
      </c>
      <c r="E727" t="s">
        <v>8</v>
      </c>
      <c r="F727">
        <v>113.2</v>
      </c>
      <c r="G727" t="str">
        <f>VLOOKUP(Table1_2[[#This Row],[Categories]],Sheet3!$A$1:$B$27,2,FALSE)</f>
        <v>Food &amp;Beverage</v>
      </c>
    </row>
    <row r="728" spans="1:7" x14ac:dyDescent="0.3">
      <c r="A728" t="s">
        <v>30</v>
      </c>
      <c r="B728">
        <v>2013</v>
      </c>
      <c r="C728" t="s">
        <v>43</v>
      </c>
      <c r="D728" s="2">
        <v>41548</v>
      </c>
      <c r="E728" t="s">
        <v>9</v>
      </c>
      <c r="F728">
        <v>164.9</v>
      </c>
      <c r="G728" t="str">
        <f>VLOOKUP(Table1_2[[#This Row],[Categories]],Sheet3!$A$1:$B$27,2,FALSE)</f>
        <v>Food &amp;Beverage</v>
      </c>
    </row>
    <row r="729" spans="1:7" x14ac:dyDescent="0.3">
      <c r="A729" t="s">
        <v>30</v>
      </c>
      <c r="B729">
        <v>2013</v>
      </c>
      <c r="C729" t="s">
        <v>43</v>
      </c>
      <c r="D729" s="2">
        <v>41548</v>
      </c>
      <c r="E729" t="s">
        <v>10</v>
      </c>
      <c r="F729">
        <v>108.3</v>
      </c>
      <c r="G729" t="str">
        <f>VLOOKUP(Table1_2[[#This Row],[Categories]],Sheet3!$A$1:$B$27,2,FALSE)</f>
        <v>Food &amp;Beverage</v>
      </c>
    </row>
    <row r="730" spans="1:7" x14ac:dyDescent="0.3">
      <c r="A730" t="s">
        <v>30</v>
      </c>
      <c r="B730">
        <v>2013</v>
      </c>
      <c r="C730" t="s">
        <v>43</v>
      </c>
      <c r="D730" s="2">
        <v>41548</v>
      </c>
      <c r="E730" t="s">
        <v>11</v>
      </c>
      <c r="F730">
        <v>103.9</v>
      </c>
      <c r="G730" t="str">
        <f>VLOOKUP(Table1_2[[#This Row],[Categories]],Sheet3!$A$1:$B$27,2,FALSE)</f>
        <v>Food &amp;Beverage</v>
      </c>
    </row>
    <row r="731" spans="1:7" x14ac:dyDescent="0.3">
      <c r="A731" t="s">
        <v>30</v>
      </c>
      <c r="B731">
        <v>2013</v>
      </c>
      <c r="C731" t="s">
        <v>43</v>
      </c>
      <c r="D731" s="2">
        <v>41548</v>
      </c>
      <c r="E731" t="s">
        <v>12</v>
      </c>
      <c r="F731">
        <v>108.2</v>
      </c>
      <c r="G731" t="str">
        <f>VLOOKUP(Table1_2[[#This Row],[Categories]],Sheet3!$A$1:$B$27,2,FALSE)</f>
        <v>Food &amp;Beverage</v>
      </c>
    </row>
    <row r="732" spans="1:7" x14ac:dyDescent="0.3">
      <c r="A732" t="s">
        <v>30</v>
      </c>
      <c r="B732">
        <v>2013</v>
      </c>
      <c r="C732" t="s">
        <v>43</v>
      </c>
      <c r="D732" s="2">
        <v>41548</v>
      </c>
      <c r="E732" t="s">
        <v>13</v>
      </c>
      <c r="F732">
        <v>111.1</v>
      </c>
      <c r="G732" t="str">
        <f>VLOOKUP(Table1_2[[#This Row],[Categories]],Sheet3!$A$1:$B$27,2,FALSE)</f>
        <v>Food &amp;Beverage</v>
      </c>
    </row>
    <row r="733" spans="1:7" x14ac:dyDescent="0.3">
      <c r="A733" t="s">
        <v>30</v>
      </c>
      <c r="B733">
        <v>2013</v>
      </c>
      <c r="C733" t="s">
        <v>43</v>
      </c>
      <c r="D733" s="2">
        <v>41548</v>
      </c>
      <c r="E733" t="s">
        <v>14</v>
      </c>
      <c r="F733">
        <v>114.9</v>
      </c>
      <c r="G733" t="str">
        <f>VLOOKUP(Table1_2[[#This Row],[Categories]],Sheet3!$A$1:$B$27,2,FALSE)</f>
        <v>Food &amp;Beverage</v>
      </c>
    </row>
    <row r="734" spans="1:7" x14ac:dyDescent="0.3">
      <c r="A734" t="s">
        <v>30</v>
      </c>
      <c r="B734">
        <v>2013</v>
      </c>
      <c r="C734" t="s">
        <v>43</v>
      </c>
      <c r="D734" s="2">
        <v>41548</v>
      </c>
      <c r="E734" t="s">
        <v>15</v>
      </c>
      <c r="F734">
        <v>119.8</v>
      </c>
      <c r="G734" t="str">
        <f>VLOOKUP(Table1_2[[#This Row],[Categories]],Sheet3!$A$1:$B$27,2,FALSE)</f>
        <v>Food &amp;Beverage</v>
      </c>
    </row>
    <row r="735" spans="1:7" x14ac:dyDescent="0.3">
      <c r="A735" t="s">
        <v>30</v>
      </c>
      <c r="B735">
        <v>2013</v>
      </c>
      <c r="C735" t="s">
        <v>43</v>
      </c>
      <c r="D735" s="2">
        <v>41548</v>
      </c>
      <c r="E735" t="s">
        <v>16</v>
      </c>
      <c r="F735">
        <v>112.2</v>
      </c>
      <c r="G735" t="str">
        <f>VLOOKUP(Table1_2[[#This Row],[Categories]],Sheet3!$A$1:$B$27,2,FALSE)</f>
        <v>Recreation and amusement</v>
      </c>
    </row>
    <row r="736" spans="1:7" x14ac:dyDescent="0.3">
      <c r="A736" t="s">
        <v>30</v>
      </c>
      <c r="B736">
        <v>2013</v>
      </c>
      <c r="C736" t="s">
        <v>43</v>
      </c>
      <c r="D736" s="2">
        <v>41548</v>
      </c>
      <c r="E736" t="s">
        <v>17</v>
      </c>
      <c r="F736">
        <v>113.6</v>
      </c>
      <c r="G736" t="str">
        <f>VLOOKUP(Table1_2[[#This Row],[Categories]],Sheet3!$A$1:$B$27,2,FALSE)</f>
        <v>Clothing and footwear</v>
      </c>
    </row>
    <row r="737" spans="1:7" x14ac:dyDescent="0.3">
      <c r="A737" t="s">
        <v>30</v>
      </c>
      <c r="B737">
        <v>2013</v>
      </c>
      <c r="C737" t="s">
        <v>43</v>
      </c>
      <c r="D737" s="2">
        <v>41548</v>
      </c>
      <c r="E737" t="s">
        <v>18</v>
      </c>
      <c r="F737">
        <v>112.3</v>
      </c>
      <c r="G737" t="str">
        <f>VLOOKUP(Table1_2[[#This Row],[Categories]],Sheet3!$A$1:$B$27,2,FALSE)</f>
        <v>Clothing and footwear</v>
      </c>
    </row>
    <row r="738" spans="1:7" x14ac:dyDescent="0.3">
      <c r="A738" t="s">
        <v>30</v>
      </c>
      <c r="B738">
        <v>2013</v>
      </c>
      <c r="C738" t="s">
        <v>43</v>
      </c>
      <c r="D738" s="2">
        <v>41548</v>
      </c>
      <c r="E738" t="s">
        <v>19</v>
      </c>
      <c r="F738">
        <v>113.4</v>
      </c>
      <c r="G738" t="str">
        <f>VLOOKUP(Table1_2[[#This Row],[Categories]],Sheet3!$A$1:$B$27,2,FALSE)</f>
        <v>Clothing and footwear</v>
      </c>
    </row>
    <row r="739" spans="1:7" x14ac:dyDescent="0.3">
      <c r="A739" t="s">
        <v>30</v>
      </c>
      <c r="B739">
        <v>2013</v>
      </c>
      <c r="C739" t="s">
        <v>43</v>
      </c>
      <c r="D739" s="2">
        <v>41548</v>
      </c>
      <c r="E739" t="s">
        <v>21</v>
      </c>
      <c r="F739">
        <v>111.6</v>
      </c>
      <c r="G739" t="str">
        <f>VLOOKUP(Table1_2[[#This Row],[Categories]],Sheet3!$A$1:$B$27,2,FALSE)</f>
        <v>Fuel and light</v>
      </c>
    </row>
    <row r="740" spans="1:7" x14ac:dyDescent="0.3">
      <c r="A740" t="s">
        <v>30</v>
      </c>
      <c r="B740">
        <v>2013</v>
      </c>
      <c r="C740" t="s">
        <v>43</v>
      </c>
      <c r="D740" s="2">
        <v>41548</v>
      </c>
      <c r="E740" t="s">
        <v>22</v>
      </c>
      <c r="F740">
        <v>110.4</v>
      </c>
      <c r="G740" t="str">
        <f>VLOOKUP(Table1_2[[#This Row],[Categories]],Sheet3!$A$1:$B$27,2,FALSE)</f>
        <v>Household Items</v>
      </c>
    </row>
    <row r="741" spans="1:7" x14ac:dyDescent="0.3">
      <c r="A741" t="s">
        <v>30</v>
      </c>
      <c r="B741">
        <v>2013</v>
      </c>
      <c r="C741" t="s">
        <v>43</v>
      </c>
      <c r="D741" s="2">
        <v>41548</v>
      </c>
      <c r="E741" t="s">
        <v>23</v>
      </c>
      <c r="F741">
        <v>108.9</v>
      </c>
      <c r="G741" t="str">
        <f>VLOOKUP(Table1_2[[#This Row],[Categories]],Sheet3!$A$1:$B$27,2,FALSE)</f>
        <v>Health</v>
      </c>
    </row>
    <row r="742" spans="1:7" x14ac:dyDescent="0.3">
      <c r="A742" t="s">
        <v>30</v>
      </c>
      <c r="B742">
        <v>2013</v>
      </c>
      <c r="C742" t="s">
        <v>43</v>
      </c>
      <c r="D742" s="2">
        <v>41548</v>
      </c>
      <c r="E742" t="s">
        <v>24</v>
      </c>
      <c r="F742">
        <v>109.3</v>
      </c>
      <c r="G742" t="str">
        <f>VLOOKUP(Table1_2[[#This Row],[Categories]],Sheet3!$A$1:$B$27,2,FALSE)</f>
        <v>Transport and communication</v>
      </c>
    </row>
    <row r="743" spans="1:7" x14ac:dyDescent="0.3">
      <c r="A743" t="s">
        <v>30</v>
      </c>
      <c r="B743">
        <v>2013</v>
      </c>
      <c r="C743" t="s">
        <v>43</v>
      </c>
      <c r="D743" s="2">
        <v>41548</v>
      </c>
      <c r="E743" t="s">
        <v>25</v>
      </c>
      <c r="F743">
        <v>108.3</v>
      </c>
      <c r="G743" t="str">
        <f>VLOOKUP(Table1_2[[#This Row],[Categories]],Sheet3!$A$1:$B$27,2,FALSE)</f>
        <v>Recreation and amusement</v>
      </c>
    </row>
    <row r="744" spans="1:7" x14ac:dyDescent="0.3">
      <c r="A744" t="s">
        <v>30</v>
      </c>
      <c r="B744">
        <v>2013</v>
      </c>
      <c r="C744" t="s">
        <v>43</v>
      </c>
      <c r="D744" s="2">
        <v>41548</v>
      </c>
      <c r="E744" t="s">
        <v>26</v>
      </c>
      <c r="F744">
        <v>110.2</v>
      </c>
      <c r="G744" t="str">
        <f>VLOOKUP(Table1_2[[#This Row],[Categories]],Sheet3!$A$1:$B$27,2,FALSE)</f>
        <v>Education</v>
      </c>
    </row>
    <row r="745" spans="1:7" x14ac:dyDescent="0.3">
      <c r="A745" t="s">
        <v>30</v>
      </c>
      <c r="B745">
        <v>2013</v>
      </c>
      <c r="C745" t="s">
        <v>43</v>
      </c>
      <c r="D745" s="2">
        <v>41548</v>
      </c>
      <c r="E745" t="s">
        <v>27</v>
      </c>
      <c r="F745">
        <v>107.5</v>
      </c>
      <c r="G745" t="str">
        <f>VLOOKUP(Table1_2[[#This Row],[Categories]],Sheet3!$A$1:$B$27,2,FALSE)</f>
        <v>Household Items</v>
      </c>
    </row>
    <row r="746" spans="1:7" x14ac:dyDescent="0.3">
      <c r="A746" t="s">
        <v>30</v>
      </c>
      <c r="B746">
        <v>2013</v>
      </c>
      <c r="C746" t="s">
        <v>43</v>
      </c>
      <c r="D746" s="2">
        <v>41548</v>
      </c>
      <c r="E746" t="s">
        <v>28</v>
      </c>
      <c r="F746">
        <v>109.1</v>
      </c>
      <c r="G746" t="str">
        <f>VLOOKUP(Table1_2[[#This Row],[Categories]],Sheet3!$A$1:$B$27,2,FALSE)</f>
        <v>Miscellaneous</v>
      </c>
    </row>
    <row r="747" spans="1:7" x14ac:dyDescent="0.3">
      <c r="A747" t="s">
        <v>30</v>
      </c>
      <c r="B747">
        <v>2013</v>
      </c>
      <c r="C747" t="s">
        <v>43</v>
      </c>
      <c r="D747" s="2">
        <v>41548</v>
      </c>
      <c r="E747" t="s">
        <v>29</v>
      </c>
      <c r="F747">
        <v>115.5</v>
      </c>
      <c r="G747" t="str">
        <f>VLOOKUP(Table1_2[[#This Row],[Categories]],Sheet3!$A$1:$B$27,2,FALSE)</f>
        <v>General index</v>
      </c>
    </row>
    <row r="748" spans="1:7" x14ac:dyDescent="0.3">
      <c r="A748" t="s">
        <v>33</v>
      </c>
      <c r="B748">
        <v>2013</v>
      </c>
      <c r="C748" t="s">
        <v>43</v>
      </c>
      <c r="D748" s="2">
        <v>41548</v>
      </c>
      <c r="E748" t="s">
        <v>3</v>
      </c>
      <c r="F748">
        <v>118.9</v>
      </c>
      <c r="G748" t="str">
        <f>VLOOKUP(Table1_2[[#This Row],[Categories]],Sheet3!$A$1:$B$27,2,FALSE)</f>
        <v>Food &amp;Beverage</v>
      </c>
    </row>
    <row r="749" spans="1:7" x14ac:dyDescent="0.3">
      <c r="A749" t="s">
        <v>33</v>
      </c>
      <c r="B749">
        <v>2013</v>
      </c>
      <c r="C749" t="s">
        <v>43</v>
      </c>
      <c r="D749" s="2">
        <v>41548</v>
      </c>
      <c r="E749" t="s">
        <v>4</v>
      </c>
      <c r="F749">
        <v>118.1</v>
      </c>
      <c r="G749" t="str">
        <f>VLOOKUP(Table1_2[[#This Row],[Categories]],Sheet3!$A$1:$B$27,2,FALSE)</f>
        <v>Food &amp;Beverage</v>
      </c>
    </row>
    <row r="750" spans="1:7" x14ac:dyDescent="0.3">
      <c r="A750" t="s">
        <v>33</v>
      </c>
      <c r="B750">
        <v>2013</v>
      </c>
      <c r="C750" t="s">
        <v>43</v>
      </c>
      <c r="D750" s="2">
        <v>41548</v>
      </c>
      <c r="E750" t="s">
        <v>5</v>
      </c>
      <c r="F750">
        <v>114.5</v>
      </c>
      <c r="G750" t="str">
        <f>VLOOKUP(Table1_2[[#This Row],[Categories]],Sheet3!$A$1:$B$27,2,FALSE)</f>
        <v>Food &amp;Beverage</v>
      </c>
    </row>
    <row r="751" spans="1:7" x14ac:dyDescent="0.3">
      <c r="A751" t="s">
        <v>33</v>
      </c>
      <c r="B751">
        <v>2013</v>
      </c>
      <c r="C751" t="s">
        <v>43</v>
      </c>
      <c r="D751" s="2">
        <v>41548</v>
      </c>
      <c r="E751" t="s">
        <v>6</v>
      </c>
      <c r="F751">
        <v>110.4</v>
      </c>
      <c r="G751" t="str">
        <f>VLOOKUP(Table1_2[[#This Row],[Categories]],Sheet3!$A$1:$B$27,2,FALSE)</f>
        <v>Food &amp;Beverage</v>
      </c>
    </row>
    <row r="752" spans="1:7" x14ac:dyDescent="0.3">
      <c r="A752" t="s">
        <v>33</v>
      </c>
      <c r="B752">
        <v>2013</v>
      </c>
      <c r="C752" t="s">
        <v>43</v>
      </c>
      <c r="D752" s="2">
        <v>41548</v>
      </c>
      <c r="E752" t="s">
        <v>7</v>
      </c>
      <c r="F752">
        <v>102.3</v>
      </c>
      <c r="G752" t="str">
        <f>VLOOKUP(Table1_2[[#This Row],[Categories]],Sheet3!$A$1:$B$27,2,FALSE)</f>
        <v>Food &amp;Beverage</v>
      </c>
    </row>
    <row r="753" spans="1:7" x14ac:dyDescent="0.3">
      <c r="A753" t="s">
        <v>33</v>
      </c>
      <c r="B753">
        <v>2013</v>
      </c>
      <c r="C753" t="s">
        <v>43</v>
      </c>
      <c r="D753" s="2">
        <v>41548</v>
      </c>
      <c r="E753" t="s">
        <v>8</v>
      </c>
      <c r="F753">
        <v>106.2</v>
      </c>
      <c r="G753" t="str">
        <f>VLOOKUP(Table1_2[[#This Row],[Categories]],Sheet3!$A$1:$B$27,2,FALSE)</f>
        <v>Food &amp;Beverage</v>
      </c>
    </row>
    <row r="754" spans="1:7" x14ac:dyDescent="0.3">
      <c r="A754" t="s">
        <v>33</v>
      </c>
      <c r="B754">
        <v>2013</v>
      </c>
      <c r="C754" t="s">
        <v>43</v>
      </c>
      <c r="D754" s="2">
        <v>41548</v>
      </c>
      <c r="E754" t="s">
        <v>9</v>
      </c>
      <c r="F754">
        <v>183.5</v>
      </c>
      <c r="G754" t="str">
        <f>VLOOKUP(Table1_2[[#This Row],[Categories]],Sheet3!$A$1:$B$27,2,FALSE)</f>
        <v>Food &amp;Beverage</v>
      </c>
    </row>
    <row r="755" spans="1:7" x14ac:dyDescent="0.3">
      <c r="A755" t="s">
        <v>33</v>
      </c>
      <c r="B755">
        <v>2013</v>
      </c>
      <c r="C755" t="s">
        <v>43</v>
      </c>
      <c r="D755" s="2">
        <v>41548</v>
      </c>
      <c r="E755" t="s">
        <v>10</v>
      </c>
      <c r="F755">
        <v>105.3</v>
      </c>
      <c r="G755" t="str">
        <f>VLOOKUP(Table1_2[[#This Row],[Categories]],Sheet3!$A$1:$B$27,2,FALSE)</f>
        <v>Food &amp;Beverage</v>
      </c>
    </row>
    <row r="756" spans="1:7" x14ac:dyDescent="0.3">
      <c r="A756" t="s">
        <v>33</v>
      </c>
      <c r="B756">
        <v>2013</v>
      </c>
      <c r="C756" t="s">
        <v>43</v>
      </c>
      <c r="D756" s="2">
        <v>41548</v>
      </c>
      <c r="E756" t="s">
        <v>11</v>
      </c>
      <c r="F756">
        <v>100.2</v>
      </c>
      <c r="G756" t="str">
        <f>VLOOKUP(Table1_2[[#This Row],[Categories]],Sheet3!$A$1:$B$27,2,FALSE)</f>
        <v>Food &amp;Beverage</v>
      </c>
    </row>
    <row r="757" spans="1:7" x14ac:dyDescent="0.3">
      <c r="A757" t="s">
        <v>33</v>
      </c>
      <c r="B757">
        <v>2013</v>
      </c>
      <c r="C757" t="s">
        <v>43</v>
      </c>
      <c r="D757" s="2">
        <v>41548</v>
      </c>
      <c r="E757" t="s">
        <v>12</v>
      </c>
      <c r="F757">
        <v>109.6</v>
      </c>
      <c r="G757" t="str">
        <f>VLOOKUP(Table1_2[[#This Row],[Categories]],Sheet3!$A$1:$B$27,2,FALSE)</f>
        <v>Food &amp;Beverage</v>
      </c>
    </row>
    <row r="758" spans="1:7" x14ac:dyDescent="0.3">
      <c r="A758" t="s">
        <v>33</v>
      </c>
      <c r="B758">
        <v>2013</v>
      </c>
      <c r="C758" t="s">
        <v>43</v>
      </c>
      <c r="D758" s="2">
        <v>41548</v>
      </c>
      <c r="E758" t="s">
        <v>13</v>
      </c>
      <c r="F758">
        <v>111.4</v>
      </c>
      <c r="G758" t="str">
        <f>VLOOKUP(Table1_2[[#This Row],[Categories]],Sheet3!$A$1:$B$27,2,FALSE)</f>
        <v>Food &amp;Beverage</v>
      </c>
    </row>
    <row r="759" spans="1:7" x14ac:dyDescent="0.3">
      <c r="A759" t="s">
        <v>33</v>
      </c>
      <c r="B759">
        <v>2013</v>
      </c>
      <c r="C759" t="s">
        <v>43</v>
      </c>
      <c r="D759" s="2">
        <v>41548</v>
      </c>
      <c r="E759" t="s">
        <v>14</v>
      </c>
      <c r="F759">
        <v>116</v>
      </c>
      <c r="G759" t="str">
        <f>VLOOKUP(Table1_2[[#This Row],[Categories]],Sheet3!$A$1:$B$27,2,FALSE)</f>
        <v>Food &amp;Beverage</v>
      </c>
    </row>
    <row r="760" spans="1:7" x14ac:dyDescent="0.3">
      <c r="A760" t="s">
        <v>33</v>
      </c>
      <c r="B760">
        <v>2013</v>
      </c>
      <c r="C760" t="s">
        <v>43</v>
      </c>
      <c r="D760" s="2">
        <v>41548</v>
      </c>
      <c r="E760" t="s">
        <v>15</v>
      </c>
      <c r="F760">
        <v>120.8</v>
      </c>
      <c r="G760" t="str">
        <f>VLOOKUP(Table1_2[[#This Row],[Categories]],Sheet3!$A$1:$B$27,2,FALSE)</f>
        <v>Food &amp;Beverage</v>
      </c>
    </row>
    <row r="761" spans="1:7" x14ac:dyDescent="0.3">
      <c r="A761" t="s">
        <v>33</v>
      </c>
      <c r="B761">
        <v>2013</v>
      </c>
      <c r="C761" t="s">
        <v>43</v>
      </c>
      <c r="D761" s="2">
        <v>41548</v>
      </c>
      <c r="E761" t="s">
        <v>16</v>
      </c>
      <c r="F761">
        <v>113.5</v>
      </c>
      <c r="G761" t="str">
        <f>VLOOKUP(Table1_2[[#This Row],[Categories]],Sheet3!$A$1:$B$27,2,FALSE)</f>
        <v>Recreation and amusement</v>
      </c>
    </row>
    <row r="762" spans="1:7" x14ac:dyDescent="0.3">
      <c r="A762" t="s">
        <v>33</v>
      </c>
      <c r="B762">
        <v>2013</v>
      </c>
      <c r="C762" t="s">
        <v>43</v>
      </c>
      <c r="D762" s="2">
        <v>41548</v>
      </c>
      <c r="E762" t="s">
        <v>17</v>
      </c>
      <c r="F762">
        <v>112.5</v>
      </c>
      <c r="G762" t="str">
        <f>VLOOKUP(Table1_2[[#This Row],[Categories]],Sheet3!$A$1:$B$27,2,FALSE)</f>
        <v>Clothing and footwear</v>
      </c>
    </row>
    <row r="763" spans="1:7" x14ac:dyDescent="0.3">
      <c r="A763" t="s">
        <v>33</v>
      </c>
      <c r="B763">
        <v>2013</v>
      </c>
      <c r="C763" t="s">
        <v>43</v>
      </c>
      <c r="D763" s="2">
        <v>41548</v>
      </c>
      <c r="E763" t="s">
        <v>18</v>
      </c>
      <c r="F763">
        <v>109.7</v>
      </c>
      <c r="G763" t="str">
        <f>VLOOKUP(Table1_2[[#This Row],[Categories]],Sheet3!$A$1:$B$27,2,FALSE)</f>
        <v>Clothing and footwear</v>
      </c>
    </row>
    <row r="764" spans="1:7" x14ac:dyDescent="0.3">
      <c r="A764" t="s">
        <v>33</v>
      </c>
      <c r="B764">
        <v>2013</v>
      </c>
      <c r="C764" t="s">
        <v>43</v>
      </c>
      <c r="D764" s="2">
        <v>41548</v>
      </c>
      <c r="E764" t="s">
        <v>19</v>
      </c>
      <c r="F764">
        <v>112</v>
      </c>
      <c r="G764" t="str">
        <f>VLOOKUP(Table1_2[[#This Row],[Categories]],Sheet3!$A$1:$B$27,2,FALSE)</f>
        <v>Clothing and footwear</v>
      </c>
    </row>
    <row r="765" spans="1:7" x14ac:dyDescent="0.3">
      <c r="A765" t="s">
        <v>33</v>
      </c>
      <c r="B765">
        <v>2013</v>
      </c>
      <c r="C765" t="s">
        <v>43</v>
      </c>
      <c r="D765" s="2">
        <v>41548</v>
      </c>
      <c r="E765" t="s">
        <v>20</v>
      </c>
      <c r="F765">
        <v>110.5</v>
      </c>
      <c r="G765" t="str">
        <f>VLOOKUP(Table1_2[[#This Row],[Categories]],Sheet3!$A$1:$B$27,2,FALSE)</f>
        <v>Housing</v>
      </c>
    </row>
    <row r="766" spans="1:7" x14ac:dyDescent="0.3">
      <c r="A766" t="s">
        <v>33</v>
      </c>
      <c r="B766">
        <v>2013</v>
      </c>
      <c r="C766" t="s">
        <v>43</v>
      </c>
      <c r="D766" s="2">
        <v>41548</v>
      </c>
      <c r="E766" t="s">
        <v>21</v>
      </c>
      <c r="F766">
        <v>109.7</v>
      </c>
      <c r="G766" t="str">
        <f>VLOOKUP(Table1_2[[#This Row],[Categories]],Sheet3!$A$1:$B$27,2,FALSE)</f>
        <v>Fuel and light</v>
      </c>
    </row>
    <row r="767" spans="1:7" x14ac:dyDescent="0.3">
      <c r="A767" t="s">
        <v>33</v>
      </c>
      <c r="B767">
        <v>2013</v>
      </c>
      <c r="C767" t="s">
        <v>43</v>
      </c>
      <c r="D767" s="2">
        <v>41548</v>
      </c>
      <c r="E767" t="s">
        <v>22</v>
      </c>
      <c r="F767">
        <v>110.2</v>
      </c>
      <c r="G767" t="str">
        <f>VLOOKUP(Table1_2[[#This Row],[Categories]],Sheet3!$A$1:$B$27,2,FALSE)</f>
        <v>Household Items</v>
      </c>
    </row>
    <row r="768" spans="1:7" x14ac:dyDescent="0.3">
      <c r="A768" t="s">
        <v>33</v>
      </c>
      <c r="B768">
        <v>2013</v>
      </c>
      <c r="C768" t="s">
        <v>43</v>
      </c>
      <c r="D768" s="2">
        <v>41548</v>
      </c>
      <c r="E768" t="s">
        <v>23</v>
      </c>
      <c r="F768">
        <v>108.2</v>
      </c>
      <c r="G768" t="str">
        <f>VLOOKUP(Table1_2[[#This Row],[Categories]],Sheet3!$A$1:$B$27,2,FALSE)</f>
        <v>Health</v>
      </c>
    </row>
    <row r="769" spans="1:7" x14ac:dyDescent="0.3">
      <c r="A769" t="s">
        <v>33</v>
      </c>
      <c r="B769">
        <v>2013</v>
      </c>
      <c r="C769" t="s">
        <v>43</v>
      </c>
      <c r="D769" s="2">
        <v>41548</v>
      </c>
      <c r="E769" t="s">
        <v>24</v>
      </c>
      <c r="F769">
        <v>109.7</v>
      </c>
      <c r="G769" t="str">
        <f>VLOOKUP(Table1_2[[#This Row],[Categories]],Sheet3!$A$1:$B$27,2,FALSE)</f>
        <v>Transport and communication</v>
      </c>
    </row>
    <row r="770" spans="1:7" x14ac:dyDescent="0.3">
      <c r="A770" t="s">
        <v>33</v>
      </c>
      <c r="B770">
        <v>2013</v>
      </c>
      <c r="C770" t="s">
        <v>43</v>
      </c>
      <c r="D770" s="2">
        <v>41548</v>
      </c>
      <c r="E770" t="s">
        <v>25</v>
      </c>
      <c r="F770">
        <v>108</v>
      </c>
      <c r="G770" t="str">
        <f>VLOOKUP(Table1_2[[#This Row],[Categories]],Sheet3!$A$1:$B$27,2,FALSE)</f>
        <v>Recreation and amusement</v>
      </c>
    </row>
    <row r="771" spans="1:7" x14ac:dyDescent="0.3">
      <c r="A771" t="s">
        <v>33</v>
      </c>
      <c r="B771">
        <v>2013</v>
      </c>
      <c r="C771" t="s">
        <v>43</v>
      </c>
      <c r="D771" s="2">
        <v>41548</v>
      </c>
      <c r="E771" t="s">
        <v>26</v>
      </c>
      <c r="F771">
        <v>111.3</v>
      </c>
      <c r="G771" t="str">
        <f>VLOOKUP(Table1_2[[#This Row],[Categories]],Sheet3!$A$1:$B$27,2,FALSE)</f>
        <v>Education</v>
      </c>
    </row>
    <row r="772" spans="1:7" x14ac:dyDescent="0.3">
      <c r="A772" t="s">
        <v>33</v>
      </c>
      <c r="B772">
        <v>2013</v>
      </c>
      <c r="C772" t="s">
        <v>43</v>
      </c>
      <c r="D772" s="2">
        <v>41548</v>
      </c>
      <c r="E772" t="s">
        <v>27</v>
      </c>
      <c r="F772">
        <v>107.3</v>
      </c>
      <c r="G772" t="str">
        <f>VLOOKUP(Table1_2[[#This Row],[Categories]],Sheet3!$A$1:$B$27,2,FALSE)</f>
        <v>Household Items</v>
      </c>
    </row>
    <row r="773" spans="1:7" x14ac:dyDescent="0.3">
      <c r="A773" t="s">
        <v>33</v>
      </c>
      <c r="B773">
        <v>2013</v>
      </c>
      <c r="C773" t="s">
        <v>43</v>
      </c>
      <c r="D773" s="2">
        <v>41548</v>
      </c>
      <c r="E773" t="s">
        <v>28</v>
      </c>
      <c r="F773">
        <v>109.4</v>
      </c>
      <c r="G773" t="str">
        <f>VLOOKUP(Table1_2[[#This Row],[Categories]],Sheet3!$A$1:$B$27,2,FALSE)</f>
        <v>Miscellaneous</v>
      </c>
    </row>
    <row r="774" spans="1:7" x14ac:dyDescent="0.3">
      <c r="A774" t="s">
        <v>33</v>
      </c>
      <c r="B774">
        <v>2013</v>
      </c>
      <c r="C774" t="s">
        <v>43</v>
      </c>
      <c r="D774" s="2">
        <v>41548</v>
      </c>
      <c r="E774" t="s">
        <v>29</v>
      </c>
      <c r="F774">
        <v>114</v>
      </c>
      <c r="G774" t="str">
        <f>VLOOKUP(Table1_2[[#This Row],[Categories]],Sheet3!$A$1:$B$27,2,FALSE)</f>
        <v>General index</v>
      </c>
    </row>
    <row r="775" spans="1:7" x14ac:dyDescent="0.3">
      <c r="A775" t="s">
        <v>34</v>
      </c>
      <c r="B775">
        <v>2013</v>
      </c>
      <c r="C775" t="s">
        <v>43</v>
      </c>
      <c r="D775" s="2">
        <v>41548</v>
      </c>
      <c r="E775" t="s">
        <v>3</v>
      </c>
      <c r="F775">
        <v>117.1</v>
      </c>
      <c r="G775" t="str">
        <f>VLOOKUP(Table1_2[[#This Row],[Categories]],Sheet3!$A$1:$B$27,2,FALSE)</f>
        <v>Food &amp;Beverage</v>
      </c>
    </row>
    <row r="776" spans="1:7" x14ac:dyDescent="0.3">
      <c r="A776" t="s">
        <v>34</v>
      </c>
      <c r="B776">
        <v>2013</v>
      </c>
      <c r="C776" t="s">
        <v>43</v>
      </c>
      <c r="D776" s="2">
        <v>41548</v>
      </c>
      <c r="E776" t="s">
        <v>4</v>
      </c>
      <c r="F776">
        <v>116.3</v>
      </c>
      <c r="G776" t="str">
        <f>VLOOKUP(Table1_2[[#This Row],[Categories]],Sheet3!$A$1:$B$27,2,FALSE)</f>
        <v>Food &amp;Beverage</v>
      </c>
    </row>
    <row r="777" spans="1:7" x14ac:dyDescent="0.3">
      <c r="A777" t="s">
        <v>34</v>
      </c>
      <c r="B777">
        <v>2013</v>
      </c>
      <c r="C777" t="s">
        <v>43</v>
      </c>
      <c r="D777" s="2">
        <v>41548</v>
      </c>
      <c r="E777" t="s">
        <v>5</v>
      </c>
      <c r="F777">
        <v>113.3</v>
      </c>
      <c r="G777" t="str">
        <f>VLOOKUP(Table1_2[[#This Row],[Categories]],Sheet3!$A$1:$B$27,2,FALSE)</f>
        <v>Food &amp;Beverage</v>
      </c>
    </row>
    <row r="778" spans="1:7" x14ac:dyDescent="0.3">
      <c r="A778" t="s">
        <v>34</v>
      </c>
      <c r="B778">
        <v>2013</v>
      </c>
      <c r="C778" t="s">
        <v>43</v>
      </c>
      <c r="D778" s="2">
        <v>41548</v>
      </c>
      <c r="E778" t="s">
        <v>6</v>
      </c>
      <c r="F778">
        <v>111.2</v>
      </c>
      <c r="G778" t="str">
        <f>VLOOKUP(Table1_2[[#This Row],[Categories]],Sheet3!$A$1:$B$27,2,FALSE)</f>
        <v>Food &amp;Beverage</v>
      </c>
    </row>
    <row r="779" spans="1:7" x14ac:dyDescent="0.3">
      <c r="A779" t="s">
        <v>34</v>
      </c>
      <c r="B779">
        <v>2013</v>
      </c>
      <c r="C779" t="s">
        <v>43</v>
      </c>
      <c r="D779" s="2">
        <v>41548</v>
      </c>
      <c r="E779" t="s">
        <v>7</v>
      </c>
      <c r="F779">
        <v>105.7</v>
      </c>
      <c r="G779" t="str">
        <f>VLOOKUP(Table1_2[[#This Row],[Categories]],Sheet3!$A$1:$B$27,2,FALSE)</f>
        <v>Food &amp;Beverage</v>
      </c>
    </row>
    <row r="780" spans="1:7" x14ac:dyDescent="0.3">
      <c r="A780" t="s">
        <v>34</v>
      </c>
      <c r="B780">
        <v>2013</v>
      </c>
      <c r="C780" t="s">
        <v>43</v>
      </c>
      <c r="D780" s="2">
        <v>41548</v>
      </c>
      <c r="E780" t="s">
        <v>8</v>
      </c>
      <c r="F780">
        <v>109.9</v>
      </c>
      <c r="G780" t="str">
        <f>VLOOKUP(Table1_2[[#This Row],[Categories]],Sheet3!$A$1:$B$27,2,FALSE)</f>
        <v>Food &amp;Beverage</v>
      </c>
    </row>
    <row r="781" spans="1:7" x14ac:dyDescent="0.3">
      <c r="A781" t="s">
        <v>34</v>
      </c>
      <c r="B781">
        <v>2013</v>
      </c>
      <c r="C781" t="s">
        <v>43</v>
      </c>
      <c r="D781" s="2">
        <v>41548</v>
      </c>
      <c r="E781" t="s">
        <v>9</v>
      </c>
      <c r="F781">
        <v>171.2</v>
      </c>
      <c r="G781" t="str">
        <f>VLOOKUP(Table1_2[[#This Row],[Categories]],Sheet3!$A$1:$B$27,2,FALSE)</f>
        <v>Food &amp;Beverage</v>
      </c>
    </row>
    <row r="782" spans="1:7" x14ac:dyDescent="0.3">
      <c r="A782" t="s">
        <v>34</v>
      </c>
      <c r="B782">
        <v>2013</v>
      </c>
      <c r="C782" t="s">
        <v>43</v>
      </c>
      <c r="D782" s="2">
        <v>41548</v>
      </c>
      <c r="E782" t="s">
        <v>10</v>
      </c>
      <c r="F782">
        <v>107.3</v>
      </c>
      <c r="G782" t="str">
        <f>VLOOKUP(Table1_2[[#This Row],[Categories]],Sheet3!$A$1:$B$27,2,FALSE)</f>
        <v>Food &amp;Beverage</v>
      </c>
    </row>
    <row r="783" spans="1:7" x14ac:dyDescent="0.3">
      <c r="A783" t="s">
        <v>34</v>
      </c>
      <c r="B783">
        <v>2013</v>
      </c>
      <c r="C783" t="s">
        <v>43</v>
      </c>
      <c r="D783" s="2">
        <v>41548</v>
      </c>
      <c r="E783" t="s">
        <v>11</v>
      </c>
      <c r="F783">
        <v>102.7</v>
      </c>
      <c r="G783" t="str">
        <f>VLOOKUP(Table1_2[[#This Row],[Categories]],Sheet3!$A$1:$B$27,2,FALSE)</f>
        <v>Food &amp;Beverage</v>
      </c>
    </row>
    <row r="784" spans="1:7" x14ac:dyDescent="0.3">
      <c r="A784" t="s">
        <v>34</v>
      </c>
      <c r="B784">
        <v>2013</v>
      </c>
      <c r="C784" t="s">
        <v>43</v>
      </c>
      <c r="D784" s="2">
        <v>41548</v>
      </c>
      <c r="E784" t="s">
        <v>12</v>
      </c>
      <c r="F784">
        <v>108.7</v>
      </c>
      <c r="G784" t="str">
        <f>VLOOKUP(Table1_2[[#This Row],[Categories]],Sheet3!$A$1:$B$27,2,FALSE)</f>
        <v>Food &amp;Beverage</v>
      </c>
    </row>
    <row r="785" spans="1:7" x14ac:dyDescent="0.3">
      <c r="A785" t="s">
        <v>34</v>
      </c>
      <c r="B785">
        <v>2013</v>
      </c>
      <c r="C785" t="s">
        <v>43</v>
      </c>
      <c r="D785" s="2">
        <v>41548</v>
      </c>
      <c r="E785" t="s">
        <v>13</v>
      </c>
      <c r="F785">
        <v>111.2</v>
      </c>
      <c r="G785" t="str">
        <f>VLOOKUP(Table1_2[[#This Row],[Categories]],Sheet3!$A$1:$B$27,2,FALSE)</f>
        <v>Food &amp;Beverage</v>
      </c>
    </row>
    <row r="786" spans="1:7" x14ac:dyDescent="0.3">
      <c r="A786" t="s">
        <v>34</v>
      </c>
      <c r="B786">
        <v>2013</v>
      </c>
      <c r="C786" t="s">
        <v>43</v>
      </c>
      <c r="D786" s="2">
        <v>41548</v>
      </c>
      <c r="E786" t="s">
        <v>14</v>
      </c>
      <c r="F786">
        <v>115.4</v>
      </c>
      <c r="G786" t="str">
        <f>VLOOKUP(Table1_2[[#This Row],[Categories]],Sheet3!$A$1:$B$27,2,FALSE)</f>
        <v>Food &amp;Beverage</v>
      </c>
    </row>
    <row r="787" spans="1:7" x14ac:dyDescent="0.3">
      <c r="A787" t="s">
        <v>34</v>
      </c>
      <c r="B787">
        <v>2013</v>
      </c>
      <c r="C787" t="s">
        <v>43</v>
      </c>
      <c r="D787" s="2">
        <v>41548</v>
      </c>
      <c r="E787" t="s">
        <v>15</v>
      </c>
      <c r="F787">
        <v>120.2</v>
      </c>
      <c r="G787" t="str">
        <f>VLOOKUP(Table1_2[[#This Row],[Categories]],Sheet3!$A$1:$B$27,2,FALSE)</f>
        <v>Food &amp;Beverage</v>
      </c>
    </row>
    <row r="788" spans="1:7" x14ac:dyDescent="0.3">
      <c r="A788" t="s">
        <v>34</v>
      </c>
      <c r="B788">
        <v>2013</v>
      </c>
      <c r="C788" t="s">
        <v>43</v>
      </c>
      <c r="D788" s="2">
        <v>41548</v>
      </c>
      <c r="E788" t="s">
        <v>16</v>
      </c>
      <c r="F788">
        <v>112.5</v>
      </c>
      <c r="G788" t="str">
        <f>VLOOKUP(Table1_2[[#This Row],[Categories]],Sheet3!$A$1:$B$27,2,FALSE)</f>
        <v>Recreation and amusement</v>
      </c>
    </row>
    <row r="789" spans="1:7" x14ac:dyDescent="0.3">
      <c r="A789" t="s">
        <v>34</v>
      </c>
      <c r="B789">
        <v>2013</v>
      </c>
      <c r="C789" t="s">
        <v>43</v>
      </c>
      <c r="D789" s="2">
        <v>41548</v>
      </c>
      <c r="E789" t="s">
        <v>17</v>
      </c>
      <c r="F789">
        <v>113.2</v>
      </c>
      <c r="G789" t="str">
        <f>VLOOKUP(Table1_2[[#This Row],[Categories]],Sheet3!$A$1:$B$27,2,FALSE)</f>
        <v>Clothing and footwear</v>
      </c>
    </row>
    <row r="790" spans="1:7" x14ac:dyDescent="0.3">
      <c r="A790" t="s">
        <v>34</v>
      </c>
      <c r="B790">
        <v>2013</v>
      </c>
      <c r="C790" t="s">
        <v>43</v>
      </c>
      <c r="D790" s="2">
        <v>41548</v>
      </c>
      <c r="E790" t="s">
        <v>18</v>
      </c>
      <c r="F790">
        <v>111.2</v>
      </c>
      <c r="G790" t="str">
        <f>VLOOKUP(Table1_2[[#This Row],[Categories]],Sheet3!$A$1:$B$27,2,FALSE)</f>
        <v>Clothing and footwear</v>
      </c>
    </row>
    <row r="791" spans="1:7" x14ac:dyDescent="0.3">
      <c r="A791" t="s">
        <v>34</v>
      </c>
      <c r="B791">
        <v>2013</v>
      </c>
      <c r="C791" t="s">
        <v>43</v>
      </c>
      <c r="D791" s="2">
        <v>41548</v>
      </c>
      <c r="E791" t="s">
        <v>19</v>
      </c>
      <c r="F791">
        <v>112.8</v>
      </c>
      <c r="G791" t="str">
        <f>VLOOKUP(Table1_2[[#This Row],[Categories]],Sheet3!$A$1:$B$27,2,FALSE)</f>
        <v>Clothing and footwear</v>
      </c>
    </row>
    <row r="792" spans="1:7" x14ac:dyDescent="0.3">
      <c r="A792" t="s">
        <v>34</v>
      </c>
      <c r="B792">
        <v>2013</v>
      </c>
      <c r="C792" t="s">
        <v>43</v>
      </c>
      <c r="D792" s="2">
        <v>41548</v>
      </c>
      <c r="E792" t="s">
        <v>20</v>
      </c>
      <c r="F792">
        <v>110.5</v>
      </c>
      <c r="G792" t="str">
        <f>VLOOKUP(Table1_2[[#This Row],[Categories]],Sheet3!$A$1:$B$27,2,FALSE)</f>
        <v>Housing</v>
      </c>
    </row>
    <row r="793" spans="1:7" x14ac:dyDescent="0.3">
      <c r="A793" t="s">
        <v>34</v>
      </c>
      <c r="B793">
        <v>2013</v>
      </c>
      <c r="C793" t="s">
        <v>43</v>
      </c>
      <c r="D793" s="2">
        <v>41548</v>
      </c>
      <c r="E793" t="s">
        <v>21</v>
      </c>
      <c r="F793">
        <v>110.9</v>
      </c>
      <c r="G793" t="str">
        <f>VLOOKUP(Table1_2[[#This Row],[Categories]],Sheet3!$A$1:$B$27,2,FALSE)</f>
        <v>Fuel and light</v>
      </c>
    </row>
    <row r="794" spans="1:7" x14ac:dyDescent="0.3">
      <c r="A794" t="s">
        <v>34</v>
      </c>
      <c r="B794">
        <v>2013</v>
      </c>
      <c r="C794" t="s">
        <v>43</v>
      </c>
      <c r="D794" s="2">
        <v>41548</v>
      </c>
      <c r="E794" t="s">
        <v>22</v>
      </c>
      <c r="F794">
        <v>110.3</v>
      </c>
      <c r="G794" t="str">
        <f>VLOOKUP(Table1_2[[#This Row],[Categories]],Sheet3!$A$1:$B$27,2,FALSE)</f>
        <v>Household Items</v>
      </c>
    </row>
    <row r="795" spans="1:7" x14ac:dyDescent="0.3">
      <c r="A795" t="s">
        <v>34</v>
      </c>
      <c r="B795">
        <v>2013</v>
      </c>
      <c r="C795" t="s">
        <v>43</v>
      </c>
      <c r="D795" s="2">
        <v>41548</v>
      </c>
      <c r="E795" t="s">
        <v>23</v>
      </c>
      <c r="F795">
        <v>108.6</v>
      </c>
      <c r="G795" t="str">
        <f>VLOOKUP(Table1_2[[#This Row],[Categories]],Sheet3!$A$1:$B$27,2,FALSE)</f>
        <v>Health</v>
      </c>
    </row>
    <row r="796" spans="1:7" x14ac:dyDescent="0.3">
      <c r="A796" t="s">
        <v>34</v>
      </c>
      <c r="B796">
        <v>2013</v>
      </c>
      <c r="C796" t="s">
        <v>43</v>
      </c>
      <c r="D796" s="2">
        <v>41548</v>
      </c>
      <c r="E796" t="s">
        <v>24</v>
      </c>
      <c r="F796">
        <v>109.5</v>
      </c>
      <c r="G796" t="str">
        <f>VLOOKUP(Table1_2[[#This Row],[Categories]],Sheet3!$A$1:$B$27,2,FALSE)</f>
        <v>Transport and communication</v>
      </c>
    </row>
    <row r="797" spans="1:7" x14ac:dyDescent="0.3">
      <c r="A797" t="s">
        <v>34</v>
      </c>
      <c r="B797">
        <v>2013</v>
      </c>
      <c r="C797" t="s">
        <v>43</v>
      </c>
      <c r="D797" s="2">
        <v>41548</v>
      </c>
      <c r="E797" t="s">
        <v>25</v>
      </c>
      <c r="F797">
        <v>108.1</v>
      </c>
      <c r="G797" t="str">
        <f>VLOOKUP(Table1_2[[#This Row],[Categories]],Sheet3!$A$1:$B$27,2,FALSE)</f>
        <v>Recreation and amusement</v>
      </c>
    </row>
    <row r="798" spans="1:7" x14ac:dyDescent="0.3">
      <c r="A798" t="s">
        <v>34</v>
      </c>
      <c r="B798">
        <v>2013</v>
      </c>
      <c r="C798" t="s">
        <v>43</v>
      </c>
      <c r="D798" s="2">
        <v>41548</v>
      </c>
      <c r="E798" t="s">
        <v>26</v>
      </c>
      <c r="F798">
        <v>110.8</v>
      </c>
      <c r="G798" t="str">
        <f>VLOOKUP(Table1_2[[#This Row],[Categories]],Sheet3!$A$1:$B$27,2,FALSE)</f>
        <v>Education</v>
      </c>
    </row>
    <row r="799" spans="1:7" x14ac:dyDescent="0.3">
      <c r="A799" t="s">
        <v>34</v>
      </c>
      <c r="B799">
        <v>2013</v>
      </c>
      <c r="C799" t="s">
        <v>43</v>
      </c>
      <c r="D799" s="2">
        <v>41548</v>
      </c>
      <c r="E799" t="s">
        <v>27</v>
      </c>
      <c r="F799">
        <v>107.4</v>
      </c>
      <c r="G799" t="str">
        <f>VLOOKUP(Table1_2[[#This Row],[Categories]],Sheet3!$A$1:$B$27,2,FALSE)</f>
        <v>Household Items</v>
      </c>
    </row>
    <row r="800" spans="1:7" x14ac:dyDescent="0.3">
      <c r="A800" t="s">
        <v>34</v>
      </c>
      <c r="B800">
        <v>2013</v>
      </c>
      <c r="C800" t="s">
        <v>43</v>
      </c>
      <c r="D800" s="2">
        <v>41548</v>
      </c>
      <c r="E800" t="s">
        <v>28</v>
      </c>
      <c r="F800">
        <v>109.2</v>
      </c>
      <c r="G800" t="str">
        <f>VLOOKUP(Table1_2[[#This Row],[Categories]],Sheet3!$A$1:$B$27,2,FALSE)</f>
        <v>Miscellaneous</v>
      </c>
    </row>
    <row r="801" spans="1:7" x14ac:dyDescent="0.3">
      <c r="A801" t="s">
        <v>34</v>
      </c>
      <c r="B801">
        <v>2013</v>
      </c>
      <c r="C801" t="s">
        <v>43</v>
      </c>
      <c r="D801" s="2">
        <v>41548</v>
      </c>
      <c r="E801" t="s">
        <v>29</v>
      </c>
      <c r="F801">
        <v>114.8</v>
      </c>
      <c r="G801" t="str">
        <f>VLOOKUP(Table1_2[[#This Row],[Categories]],Sheet3!$A$1:$B$27,2,FALSE)</f>
        <v>General index</v>
      </c>
    </row>
    <row r="802" spans="1:7" x14ac:dyDescent="0.3">
      <c r="D802" s="2"/>
      <c r="G802" t="e">
        <f>VLOOKUP(Table1_2[[#This Row],[Categories]],Sheet3!$A$1:$B$27,2,FALSE)</f>
        <v>#N/A</v>
      </c>
    </row>
    <row r="803" spans="1:7" x14ac:dyDescent="0.3">
      <c r="D803" s="2"/>
      <c r="G803" t="e">
        <f>VLOOKUP(Table1_2[[#This Row],[Categories]],Sheet3!$A$1:$B$27,2,FALSE)</f>
        <v>#N/A</v>
      </c>
    </row>
    <row r="804" spans="1:7" x14ac:dyDescent="0.3">
      <c r="D804" s="2"/>
      <c r="G804" t="e">
        <f>VLOOKUP(Table1_2[[#This Row],[Categories]],Sheet3!$A$1:$B$27,2,FALSE)</f>
        <v>#N/A</v>
      </c>
    </row>
    <row r="805" spans="1:7" x14ac:dyDescent="0.3">
      <c r="D805" s="2"/>
      <c r="G805" t="e">
        <f>VLOOKUP(Table1_2[[#This Row],[Categories]],Sheet3!$A$1:$B$27,2,FALSE)</f>
        <v>#N/A</v>
      </c>
    </row>
    <row r="806" spans="1:7" x14ac:dyDescent="0.3">
      <c r="D806" s="2"/>
      <c r="G806" t="e">
        <f>VLOOKUP(Table1_2[[#This Row],[Categories]],Sheet3!$A$1:$B$27,2,FALSE)</f>
        <v>#N/A</v>
      </c>
    </row>
    <row r="807" spans="1:7" x14ac:dyDescent="0.3">
      <c r="D807" s="2"/>
      <c r="G807" t="e">
        <f>VLOOKUP(Table1_2[[#This Row],[Categories]],Sheet3!$A$1:$B$27,2,FALSE)</f>
        <v>#N/A</v>
      </c>
    </row>
    <row r="808" spans="1:7" x14ac:dyDescent="0.3">
      <c r="D808" s="2"/>
      <c r="G808" t="e">
        <f>VLOOKUP(Table1_2[[#This Row],[Categories]],Sheet3!$A$1:$B$27,2,FALSE)</f>
        <v>#N/A</v>
      </c>
    </row>
    <row r="809" spans="1:7" x14ac:dyDescent="0.3">
      <c r="D809" s="2"/>
      <c r="G809" t="e">
        <f>VLOOKUP(Table1_2[[#This Row],[Categories]],Sheet3!$A$1:$B$27,2,FALSE)</f>
        <v>#N/A</v>
      </c>
    </row>
    <row r="810" spans="1:7" x14ac:dyDescent="0.3">
      <c r="D810" s="2"/>
      <c r="G810" t="e">
        <f>VLOOKUP(Table1_2[[#This Row],[Categories]],Sheet3!$A$1:$B$27,2,FALSE)</f>
        <v>#N/A</v>
      </c>
    </row>
    <row r="811" spans="1:7" x14ac:dyDescent="0.3">
      <c r="D811" s="2"/>
      <c r="G811" t="e">
        <f>VLOOKUP(Table1_2[[#This Row],[Categories]],Sheet3!$A$1:$B$27,2,FALSE)</f>
        <v>#N/A</v>
      </c>
    </row>
    <row r="812" spans="1:7" x14ac:dyDescent="0.3">
      <c r="D812" s="2"/>
      <c r="G812" t="e">
        <f>VLOOKUP(Table1_2[[#This Row],[Categories]],Sheet3!$A$1:$B$27,2,FALSE)</f>
        <v>#N/A</v>
      </c>
    </row>
    <row r="813" spans="1:7" x14ac:dyDescent="0.3">
      <c r="D813" s="2"/>
      <c r="G813" t="e">
        <f>VLOOKUP(Table1_2[[#This Row],[Categories]],Sheet3!$A$1:$B$27,2,FALSE)</f>
        <v>#N/A</v>
      </c>
    </row>
    <row r="814" spans="1:7" x14ac:dyDescent="0.3">
      <c r="D814" s="2"/>
      <c r="G814" t="e">
        <f>VLOOKUP(Table1_2[[#This Row],[Categories]],Sheet3!$A$1:$B$27,2,FALSE)</f>
        <v>#N/A</v>
      </c>
    </row>
    <row r="815" spans="1:7" x14ac:dyDescent="0.3">
      <c r="D815" s="2"/>
      <c r="G815" t="e">
        <f>VLOOKUP(Table1_2[[#This Row],[Categories]],Sheet3!$A$1:$B$27,2,FALSE)</f>
        <v>#N/A</v>
      </c>
    </row>
    <row r="816" spans="1:7" x14ac:dyDescent="0.3">
      <c r="D816" s="2"/>
      <c r="G816" t="e">
        <f>VLOOKUP(Table1_2[[#This Row],[Categories]],Sheet3!$A$1:$B$27,2,FALSE)</f>
        <v>#N/A</v>
      </c>
    </row>
    <row r="817" spans="1:7" x14ac:dyDescent="0.3">
      <c r="D817" s="2"/>
      <c r="G817" t="e">
        <f>VLOOKUP(Table1_2[[#This Row],[Categories]],Sheet3!$A$1:$B$27,2,FALSE)</f>
        <v>#N/A</v>
      </c>
    </row>
    <row r="818" spans="1:7" x14ac:dyDescent="0.3">
      <c r="D818" s="2"/>
      <c r="G818" t="e">
        <f>VLOOKUP(Table1_2[[#This Row],[Categories]],Sheet3!$A$1:$B$27,2,FALSE)</f>
        <v>#N/A</v>
      </c>
    </row>
    <row r="819" spans="1:7" x14ac:dyDescent="0.3">
      <c r="D819" s="2"/>
      <c r="G819" t="e">
        <f>VLOOKUP(Table1_2[[#This Row],[Categories]],Sheet3!$A$1:$B$27,2,FALSE)</f>
        <v>#N/A</v>
      </c>
    </row>
    <row r="820" spans="1:7" x14ac:dyDescent="0.3">
      <c r="D820" s="2"/>
      <c r="G820" t="e">
        <f>VLOOKUP(Table1_2[[#This Row],[Categories]],Sheet3!$A$1:$B$27,2,FALSE)</f>
        <v>#N/A</v>
      </c>
    </row>
    <row r="821" spans="1:7" x14ac:dyDescent="0.3">
      <c r="D821" s="2"/>
      <c r="G821" t="e">
        <f>VLOOKUP(Table1_2[[#This Row],[Categories]],Sheet3!$A$1:$B$27,2,FALSE)</f>
        <v>#N/A</v>
      </c>
    </row>
    <row r="822" spans="1:7" x14ac:dyDescent="0.3">
      <c r="D822" s="2"/>
      <c r="G822" t="e">
        <f>VLOOKUP(Table1_2[[#This Row],[Categories]],Sheet3!$A$1:$B$27,2,FALSE)</f>
        <v>#N/A</v>
      </c>
    </row>
    <row r="823" spans="1:7" x14ac:dyDescent="0.3">
      <c r="D823" s="2"/>
      <c r="G823" t="e">
        <f>VLOOKUP(Table1_2[[#This Row],[Categories]],Sheet3!$A$1:$B$27,2,FALSE)</f>
        <v>#N/A</v>
      </c>
    </row>
    <row r="824" spans="1:7" x14ac:dyDescent="0.3">
      <c r="D824" s="2"/>
      <c r="G824" t="e">
        <f>VLOOKUP(Table1_2[[#This Row],[Categories]],Sheet3!$A$1:$B$27,2,FALSE)</f>
        <v>#N/A</v>
      </c>
    </row>
    <row r="825" spans="1:7" x14ac:dyDescent="0.3">
      <c r="D825" s="2"/>
      <c r="G825" t="e">
        <f>VLOOKUP(Table1_2[[#This Row],[Categories]],Sheet3!$A$1:$B$27,2,FALSE)</f>
        <v>#N/A</v>
      </c>
    </row>
    <row r="826" spans="1:7" x14ac:dyDescent="0.3">
      <c r="D826" s="2"/>
      <c r="G826" t="e">
        <f>VLOOKUP(Table1_2[[#This Row],[Categories]],Sheet3!$A$1:$B$27,2,FALSE)</f>
        <v>#N/A</v>
      </c>
    </row>
    <row r="827" spans="1:7" x14ac:dyDescent="0.3">
      <c r="D827" s="2"/>
      <c r="G827" t="e">
        <f>VLOOKUP(Table1_2[[#This Row],[Categories]],Sheet3!$A$1:$B$27,2,FALSE)</f>
        <v>#N/A</v>
      </c>
    </row>
    <row r="828" spans="1:7" x14ac:dyDescent="0.3">
      <c r="A828" t="s">
        <v>33</v>
      </c>
      <c r="B828">
        <v>2013</v>
      </c>
      <c r="C828" t="s">
        <v>45</v>
      </c>
      <c r="D828" s="2">
        <v>41579</v>
      </c>
      <c r="E828" t="s">
        <v>3</v>
      </c>
      <c r="F828">
        <v>119.8</v>
      </c>
      <c r="G828" t="str">
        <f>VLOOKUP(Table1_2[[#This Row],[Categories]],Sheet3!$A$1:$B$27,2,FALSE)</f>
        <v>Food &amp;Beverage</v>
      </c>
    </row>
    <row r="829" spans="1:7" x14ac:dyDescent="0.3">
      <c r="A829" t="s">
        <v>33</v>
      </c>
      <c r="B829">
        <v>2013</v>
      </c>
      <c r="C829" t="s">
        <v>45</v>
      </c>
      <c r="D829" s="2">
        <v>41579</v>
      </c>
      <c r="E829" t="s">
        <v>4</v>
      </c>
      <c r="F829">
        <v>116.3</v>
      </c>
      <c r="G829" t="str">
        <f>VLOOKUP(Table1_2[[#This Row],[Categories]],Sheet3!$A$1:$B$27,2,FALSE)</f>
        <v>Food &amp;Beverage</v>
      </c>
    </row>
    <row r="830" spans="1:7" x14ac:dyDescent="0.3">
      <c r="A830" t="s">
        <v>33</v>
      </c>
      <c r="B830">
        <v>2013</v>
      </c>
      <c r="C830" t="s">
        <v>45</v>
      </c>
      <c r="D830" s="2">
        <v>41579</v>
      </c>
      <c r="E830" t="s">
        <v>5</v>
      </c>
      <c r="F830">
        <v>122.6</v>
      </c>
      <c r="G830" t="str">
        <f>VLOOKUP(Table1_2[[#This Row],[Categories]],Sheet3!$A$1:$B$27,2,FALSE)</f>
        <v>Food &amp;Beverage</v>
      </c>
    </row>
    <row r="831" spans="1:7" x14ac:dyDescent="0.3">
      <c r="A831" t="s">
        <v>33</v>
      </c>
      <c r="B831">
        <v>2013</v>
      </c>
      <c r="C831" t="s">
        <v>45</v>
      </c>
      <c r="D831" s="2">
        <v>41579</v>
      </c>
      <c r="E831" t="s">
        <v>6</v>
      </c>
      <c r="F831">
        <v>112</v>
      </c>
      <c r="G831" t="str">
        <f>VLOOKUP(Table1_2[[#This Row],[Categories]],Sheet3!$A$1:$B$27,2,FALSE)</f>
        <v>Food &amp;Beverage</v>
      </c>
    </row>
    <row r="832" spans="1:7" x14ac:dyDescent="0.3">
      <c r="A832" t="s">
        <v>33</v>
      </c>
      <c r="B832">
        <v>2013</v>
      </c>
      <c r="C832" t="s">
        <v>45</v>
      </c>
      <c r="D832" s="2">
        <v>41579</v>
      </c>
      <c r="E832" t="s">
        <v>7</v>
      </c>
      <c r="F832">
        <v>103.2</v>
      </c>
      <c r="G832" t="str">
        <f>VLOOKUP(Table1_2[[#This Row],[Categories]],Sheet3!$A$1:$B$27,2,FALSE)</f>
        <v>Food &amp;Beverage</v>
      </c>
    </row>
    <row r="833" spans="1:7" x14ac:dyDescent="0.3">
      <c r="A833" t="s">
        <v>33</v>
      </c>
      <c r="B833">
        <v>2013</v>
      </c>
      <c r="C833" t="s">
        <v>45</v>
      </c>
      <c r="D833" s="2">
        <v>41579</v>
      </c>
      <c r="E833" t="s">
        <v>8</v>
      </c>
      <c r="F833">
        <v>110</v>
      </c>
      <c r="G833" t="str">
        <f>VLOOKUP(Table1_2[[#This Row],[Categories]],Sheet3!$A$1:$B$27,2,FALSE)</f>
        <v>Food &amp;Beverage</v>
      </c>
    </row>
    <row r="834" spans="1:7" x14ac:dyDescent="0.3">
      <c r="A834" t="s">
        <v>33</v>
      </c>
      <c r="B834">
        <v>2013</v>
      </c>
      <c r="C834" t="s">
        <v>45</v>
      </c>
      <c r="D834" s="2">
        <v>41579</v>
      </c>
      <c r="E834" t="s">
        <v>9</v>
      </c>
      <c r="F834">
        <v>192.8</v>
      </c>
      <c r="G834" t="str">
        <f>VLOOKUP(Table1_2[[#This Row],[Categories]],Sheet3!$A$1:$B$27,2,FALSE)</f>
        <v>Food &amp;Beverage</v>
      </c>
    </row>
    <row r="835" spans="1:7" x14ac:dyDescent="0.3">
      <c r="A835" t="s">
        <v>33</v>
      </c>
      <c r="B835">
        <v>2013</v>
      </c>
      <c r="C835" t="s">
        <v>45</v>
      </c>
      <c r="D835" s="2">
        <v>41579</v>
      </c>
      <c r="E835" t="s">
        <v>10</v>
      </c>
      <c r="F835">
        <v>106.3</v>
      </c>
      <c r="G835" t="str">
        <f>VLOOKUP(Table1_2[[#This Row],[Categories]],Sheet3!$A$1:$B$27,2,FALSE)</f>
        <v>Food &amp;Beverage</v>
      </c>
    </row>
    <row r="836" spans="1:7" x14ac:dyDescent="0.3">
      <c r="A836" t="s">
        <v>33</v>
      </c>
      <c r="B836">
        <v>2013</v>
      </c>
      <c r="C836" t="s">
        <v>45</v>
      </c>
      <c r="D836" s="2">
        <v>41579</v>
      </c>
      <c r="E836" t="s">
        <v>11</v>
      </c>
      <c r="F836">
        <v>99.5</v>
      </c>
      <c r="G836" t="str">
        <f>VLOOKUP(Table1_2[[#This Row],[Categories]],Sheet3!$A$1:$B$27,2,FALSE)</f>
        <v>Food &amp;Beverage</v>
      </c>
    </row>
    <row r="837" spans="1:7" x14ac:dyDescent="0.3">
      <c r="A837" t="s">
        <v>33</v>
      </c>
      <c r="B837">
        <v>2013</v>
      </c>
      <c r="C837" t="s">
        <v>45</v>
      </c>
      <c r="D837" s="2">
        <v>41579</v>
      </c>
      <c r="E837" t="s">
        <v>12</v>
      </c>
      <c r="F837">
        <v>110.3</v>
      </c>
      <c r="G837" t="str">
        <f>VLOOKUP(Table1_2[[#This Row],[Categories]],Sheet3!$A$1:$B$27,2,FALSE)</f>
        <v>Food &amp;Beverage</v>
      </c>
    </row>
    <row r="838" spans="1:7" x14ac:dyDescent="0.3">
      <c r="A838" t="s">
        <v>33</v>
      </c>
      <c r="B838">
        <v>2013</v>
      </c>
      <c r="C838" t="s">
        <v>45</v>
      </c>
      <c r="D838" s="2">
        <v>41579</v>
      </c>
      <c r="E838" t="s">
        <v>13</v>
      </c>
      <c r="F838">
        <v>111.8</v>
      </c>
      <c r="G838" t="str">
        <f>VLOOKUP(Table1_2[[#This Row],[Categories]],Sheet3!$A$1:$B$27,2,FALSE)</f>
        <v>Food &amp;Beverage</v>
      </c>
    </row>
    <row r="839" spans="1:7" x14ac:dyDescent="0.3">
      <c r="A839" t="s">
        <v>33</v>
      </c>
      <c r="B839">
        <v>2013</v>
      </c>
      <c r="C839" t="s">
        <v>45</v>
      </c>
      <c r="D839" s="2">
        <v>41579</v>
      </c>
      <c r="E839" t="s">
        <v>14</v>
      </c>
      <c r="F839">
        <v>117.1</v>
      </c>
      <c r="G839" t="str">
        <f>VLOOKUP(Table1_2[[#This Row],[Categories]],Sheet3!$A$1:$B$27,2,FALSE)</f>
        <v>Food &amp;Beverage</v>
      </c>
    </row>
    <row r="840" spans="1:7" x14ac:dyDescent="0.3">
      <c r="A840" t="s">
        <v>33</v>
      </c>
      <c r="B840">
        <v>2013</v>
      </c>
      <c r="C840" t="s">
        <v>45</v>
      </c>
      <c r="D840" s="2">
        <v>41579</v>
      </c>
      <c r="E840" t="s">
        <v>15</v>
      </c>
      <c r="F840">
        <v>122.9</v>
      </c>
      <c r="G840" t="str">
        <f>VLOOKUP(Table1_2[[#This Row],[Categories]],Sheet3!$A$1:$B$27,2,FALSE)</f>
        <v>Food &amp;Beverage</v>
      </c>
    </row>
    <row r="841" spans="1:7" x14ac:dyDescent="0.3">
      <c r="A841" t="s">
        <v>33</v>
      </c>
      <c r="B841">
        <v>2013</v>
      </c>
      <c r="C841" t="s">
        <v>45</v>
      </c>
      <c r="D841" s="2">
        <v>41579</v>
      </c>
      <c r="E841" t="s">
        <v>16</v>
      </c>
      <c r="F841">
        <v>114.1</v>
      </c>
      <c r="G841" t="str">
        <f>VLOOKUP(Table1_2[[#This Row],[Categories]],Sheet3!$A$1:$B$27,2,FALSE)</f>
        <v>Recreation and amusement</v>
      </c>
    </row>
    <row r="842" spans="1:7" x14ac:dyDescent="0.3">
      <c r="A842" t="s">
        <v>33</v>
      </c>
      <c r="B842">
        <v>2013</v>
      </c>
      <c r="C842" t="s">
        <v>45</v>
      </c>
      <c r="D842" s="2">
        <v>41579</v>
      </c>
      <c r="E842" t="s">
        <v>17</v>
      </c>
      <c r="F842">
        <v>113.5</v>
      </c>
      <c r="G842" t="str">
        <f>VLOOKUP(Table1_2[[#This Row],[Categories]],Sheet3!$A$1:$B$27,2,FALSE)</f>
        <v>Clothing and footwear</v>
      </c>
    </row>
    <row r="843" spans="1:7" x14ac:dyDescent="0.3">
      <c r="A843" t="s">
        <v>33</v>
      </c>
      <c r="B843">
        <v>2013</v>
      </c>
      <c r="C843" t="s">
        <v>45</v>
      </c>
      <c r="D843" s="2">
        <v>41579</v>
      </c>
      <c r="E843" t="s">
        <v>18</v>
      </c>
      <c r="F843">
        <v>110.3</v>
      </c>
      <c r="G843" t="str">
        <f>VLOOKUP(Table1_2[[#This Row],[Categories]],Sheet3!$A$1:$B$27,2,FALSE)</f>
        <v>Clothing and footwear</v>
      </c>
    </row>
    <row r="844" spans="1:7" x14ac:dyDescent="0.3">
      <c r="A844" t="s">
        <v>33</v>
      </c>
      <c r="B844">
        <v>2013</v>
      </c>
      <c r="C844" t="s">
        <v>45</v>
      </c>
      <c r="D844" s="2">
        <v>41579</v>
      </c>
      <c r="E844" t="s">
        <v>19</v>
      </c>
      <c r="F844">
        <v>113</v>
      </c>
      <c r="G844" t="str">
        <f>VLOOKUP(Table1_2[[#This Row],[Categories]],Sheet3!$A$1:$B$27,2,FALSE)</f>
        <v>Clothing and footwear</v>
      </c>
    </row>
    <row r="845" spans="1:7" x14ac:dyDescent="0.3">
      <c r="A845" t="s">
        <v>33</v>
      </c>
      <c r="B845">
        <v>2013</v>
      </c>
      <c r="C845" t="s">
        <v>45</v>
      </c>
      <c r="D845" s="2">
        <v>41579</v>
      </c>
      <c r="E845" t="s">
        <v>20</v>
      </c>
      <c r="F845">
        <v>111.1</v>
      </c>
      <c r="G845" t="str">
        <f>VLOOKUP(Table1_2[[#This Row],[Categories]],Sheet3!$A$1:$B$27,2,FALSE)</f>
        <v>Housing</v>
      </c>
    </row>
    <row r="846" spans="1:7" x14ac:dyDescent="0.3">
      <c r="A846" t="s">
        <v>33</v>
      </c>
      <c r="B846">
        <v>2013</v>
      </c>
      <c r="C846" t="s">
        <v>45</v>
      </c>
      <c r="D846" s="2">
        <v>41579</v>
      </c>
      <c r="E846" t="s">
        <v>21</v>
      </c>
      <c r="F846">
        <v>110</v>
      </c>
      <c r="G846" t="str">
        <f>VLOOKUP(Table1_2[[#This Row],[Categories]],Sheet3!$A$1:$B$27,2,FALSE)</f>
        <v>Fuel and light</v>
      </c>
    </row>
    <row r="847" spans="1:7" x14ac:dyDescent="0.3">
      <c r="A847" t="s">
        <v>33</v>
      </c>
      <c r="B847">
        <v>2013</v>
      </c>
      <c r="C847" t="s">
        <v>45</v>
      </c>
      <c r="D847" s="2">
        <v>41579</v>
      </c>
      <c r="E847" t="s">
        <v>22</v>
      </c>
      <c r="F847">
        <v>110.9</v>
      </c>
      <c r="G847" t="str">
        <f>VLOOKUP(Table1_2[[#This Row],[Categories]],Sheet3!$A$1:$B$27,2,FALSE)</f>
        <v>Household Items</v>
      </c>
    </row>
    <row r="848" spans="1:7" x14ac:dyDescent="0.3">
      <c r="A848" t="s">
        <v>33</v>
      </c>
      <c r="B848">
        <v>2013</v>
      </c>
      <c r="C848" t="s">
        <v>45</v>
      </c>
      <c r="D848" s="2">
        <v>41579</v>
      </c>
      <c r="E848" t="s">
        <v>23</v>
      </c>
      <c r="F848">
        <v>108.6</v>
      </c>
      <c r="G848" t="str">
        <f>VLOOKUP(Table1_2[[#This Row],[Categories]],Sheet3!$A$1:$B$27,2,FALSE)</f>
        <v>Health</v>
      </c>
    </row>
    <row r="849" spans="1:7" x14ac:dyDescent="0.3">
      <c r="A849" t="s">
        <v>33</v>
      </c>
      <c r="B849">
        <v>2013</v>
      </c>
      <c r="C849" t="s">
        <v>45</v>
      </c>
      <c r="D849" s="2">
        <v>41579</v>
      </c>
      <c r="E849" t="s">
        <v>24</v>
      </c>
      <c r="F849">
        <v>109.5</v>
      </c>
      <c r="G849" t="str">
        <f>VLOOKUP(Table1_2[[#This Row],[Categories]],Sheet3!$A$1:$B$27,2,FALSE)</f>
        <v>Transport and communication</v>
      </c>
    </row>
    <row r="850" spans="1:7" x14ac:dyDescent="0.3">
      <c r="A850" t="s">
        <v>33</v>
      </c>
      <c r="B850">
        <v>2013</v>
      </c>
      <c r="C850" t="s">
        <v>45</v>
      </c>
      <c r="D850" s="2">
        <v>41579</v>
      </c>
      <c r="E850" t="s">
        <v>25</v>
      </c>
      <c r="F850">
        <v>108.5</v>
      </c>
      <c r="G850" t="str">
        <f>VLOOKUP(Table1_2[[#This Row],[Categories]],Sheet3!$A$1:$B$27,2,FALSE)</f>
        <v>Recreation and amusement</v>
      </c>
    </row>
    <row r="851" spans="1:7" x14ac:dyDescent="0.3">
      <c r="A851" t="s">
        <v>33</v>
      </c>
      <c r="B851">
        <v>2013</v>
      </c>
      <c r="C851" t="s">
        <v>45</v>
      </c>
      <c r="D851" s="2">
        <v>41579</v>
      </c>
      <c r="E851" t="s">
        <v>26</v>
      </c>
      <c r="F851">
        <v>111.3</v>
      </c>
      <c r="G851" t="str">
        <f>VLOOKUP(Table1_2[[#This Row],[Categories]],Sheet3!$A$1:$B$27,2,FALSE)</f>
        <v>Education</v>
      </c>
    </row>
    <row r="852" spans="1:7" x14ac:dyDescent="0.3">
      <c r="A852" t="s">
        <v>33</v>
      </c>
      <c r="B852">
        <v>2013</v>
      </c>
      <c r="C852" t="s">
        <v>45</v>
      </c>
      <c r="D852" s="2">
        <v>41579</v>
      </c>
      <c r="E852" t="s">
        <v>27</v>
      </c>
      <c r="F852">
        <v>107.9</v>
      </c>
      <c r="G852" t="str">
        <f>VLOOKUP(Table1_2[[#This Row],[Categories]],Sheet3!$A$1:$B$27,2,FALSE)</f>
        <v>Household Items</v>
      </c>
    </row>
    <row r="853" spans="1:7" x14ac:dyDescent="0.3">
      <c r="A853" t="s">
        <v>33</v>
      </c>
      <c r="B853">
        <v>2013</v>
      </c>
      <c r="C853" t="s">
        <v>45</v>
      </c>
      <c r="D853" s="2">
        <v>41579</v>
      </c>
      <c r="E853" t="s">
        <v>28</v>
      </c>
      <c r="F853">
        <v>109.6</v>
      </c>
      <c r="G853" t="str">
        <f>VLOOKUP(Table1_2[[#This Row],[Categories]],Sheet3!$A$1:$B$27,2,FALSE)</f>
        <v>Miscellaneous</v>
      </c>
    </row>
    <row r="854" spans="1:7" x14ac:dyDescent="0.3">
      <c r="A854" t="s">
        <v>33</v>
      </c>
      <c r="B854">
        <v>2013</v>
      </c>
      <c r="C854" t="s">
        <v>45</v>
      </c>
      <c r="D854" s="2">
        <v>41579</v>
      </c>
      <c r="E854" t="s">
        <v>29</v>
      </c>
      <c r="F854">
        <v>115</v>
      </c>
      <c r="G854" t="str">
        <f>VLOOKUP(Table1_2[[#This Row],[Categories]],Sheet3!$A$1:$B$27,2,FALSE)</f>
        <v>General index</v>
      </c>
    </row>
    <row r="855" spans="1:7" x14ac:dyDescent="0.3">
      <c r="A855" t="s">
        <v>34</v>
      </c>
      <c r="B855">
        <v>2013</v>
      </c>
      <c r="C855" t="s">
        <v>45</v>
      </c>
      <c r="D855" s="2">
        <v>41579</v>
      </c>
      <c r="E855" t="s">
        <v>3</v>
      </c>
      <c r="F855">
        <v>118.1</v>
      </c>
      <c r="G855" t="str">
        <f>VLOOKUP(Table1_2[[#This Row],[Categories]],Sheet3!$A$1:$B$27,2,FALSE)</f>
        <v>Food &amp;Beverage</v>
      </c>
    </row>
    <row r="856" spans="1:7" x14ac:dyDescent="0.3">
      <c r="A856" t="s">
        <v>34</v>
      </c>
      <c r="B856">
        <v>2013</v>
      </c>
      <c r="C856" t="s">
        <v>45</v>
      </c>
      <c r="D856" s="2">
        <v>41579</v>
      </c>
      <c r="E856" t="s">
        <v>4</v>
      </c>
      <c r="F856">
        <v>115.4</v>
      </c>
      <c r="G856" t="str">
        <f>VLOOKUP(Table1_2[[#This Row],[Categories]],Sheet3!$A$1:$B$27,2,FALSE)</f>
        <v>Food &amp;Beverage</v>
      </c>
    </row>
    <row r="857" spans="1:7" x14ac:dyDescent="0.3">
      <c r="A857" t="s">
        <v>34</v>
      </c>
      <c r="B857">
        <v>2013</v>
      </c>
      <c r="C857" t="s">
        <v>45</v>
      </c>
      <c r="D857" s="2">
        <v>41579</v>
      </c>
      <c r="E857" t="s">
        <v>5</v>
      </c>
      <c r="F857">
        <v>118.7</v>
      </c>
      <c r="G857" t="str">
        <f>VLOOKUP(Table1_2[[#This Row],[Categories]],Sheet3!$A$1:$B$27,2,FALSE)</f>
        <v>Food &amp;Beverage</v>
      </c>
    </row>
    <row r="858" spans="1:7" x14ac:dyDescent="0.3">
      <c r="A858" t="s">
        <v>34</v>
      </c>
      <c r="B858">
        <v>2013</v>
      </c>
      <c r="C858" t="s">
        <v>45</v>
      </c>
      <c r="D858" s="2">
        <v>41579</v>
      </c>
      <c r="E858" t="s">
        <v>6</v>
      </c>
      <c r="F858">
        <v>112.5</v>
      </c>
      <c r="G858" t="str">
        <f>VLOOKUP(Table1_2[[#This Row],[Categories]],Sheet3!$A$1:$B$27,2,FALSE)</f>
        <v>Food &amp;Beverage</v>
      </c>
    </row>
    <row r="859" spans="1:7" x14ac:dyDescent="0.3">
      <c r="A859" t="s">
        <v>34</v>
      </c>
      <c r="B859">
        <v>2013</v>
      </c>
      <c r="C859" t="s">
        <v>45</v>
      </c>
      <c r="D859" s="2">
        <v>41579</v>
      </c>
      <c r="E859" t="s">
        <v>7</v>
      </c>
      <c r="F859">
        <v>106.8</v>
      </c>
      <c r="G859" t="str">
        <f>VLOOKUP(Table1_2[[#This Row],[Categories]],Sheet3!$A$1:$B$27,2,FALSE)</f>
        <v>Food &amp;Beverage</v>
      </c>
    </row>
    <row r="860" spans="1:7" x14ac:dyDescent="0.3">
      <c r="A860" t="s">
        <v>34</v>
      </c>
      <c r="B860">
        <v>2013</v>
      </c>
      <c r="C860" t="s">
        <v>45</v>
      </c>
      <c r="D860" s="2">
        <v>41579</v>
      </c>
      <c r="E860" t="s">
        <v>8</v>
      </c>
      <c r="F860">
        <v>113.5</v>
      </c>
      <c r="G860" t="str">
        <f>VLOOKUP(Table1_2[[#This Row],[Categories]],Sheet3!$A$1:$B$27,2,FALSE)</f>
        <v>Food &amp;Beverage</v>
      </c>
    </row>
    <row r="861" spans="1:7" x14ac:dyDescent="0.3">
      <c r="A861" t="s">
        <v>34</v>
      </c>
      <c r="B861">
        <v>2013</v>
      </c>
      <c r="C861" t="s">
        <v>45</v>
      </c>
      <c r="D861" s="2">
        <v>41579</v>
      </c>
      <c r="E861" t="s">
        <v>9</v>
      </c>
      <c r="F861">
        <v>183.1</v>
      </c>
      <c r="G861" t="str">
        <f>VLOOKUP(Table1_2[[#This Row],[Categories]],Sheet3!$A$1:$B$27,2,FALSE)</f>
        <v>Food &amp;Beverage</v>
      </c>
    </row>
    <row r="862" spans="1:7" x14ac:dyDescent="0.3">
      <c r="A862" t="s">
        <v>34</v>
      </c>
      <c r="B862">
        <v>2013</v>
      </c>
      <c r="C862" t="s">
        <v>45</v>
      </c>
      <c r="D862" s="2">
        <v>41579</v>
      </c>
      <c r="E862" t="s">
        <v>10</v>
      </c>
      <c r="F862">
        <v>108.2</v>
      </c>
      <c r="G862" t="str">
        <f>VLOOKUP(Table1_2[[#This Row],[Categories]],Sheet3!$A$1:$B$27,2,FALSE)</f>
        <v>Food &amp;Beverage</v>
      </c>
    </row>
    <row r="863" spans="1:7" x14ac:dyDescent="0.3">
      <c r="A863" t="s">
        <v>34</v>
      </c>
      <c r="B863">
        <v>2013</v>
      </c>
      <c r="C863" t="s">
        <v>45</v>
      </c>
      <c r="D863" s="2">
        <v>41579</v>
      </c>
      <c r="E863" t="s">
        <v>11</v>
      </c>
      <c r="F863">
        <v>102.2</v>
      </c>
      <c r="G863" t="str">
        <f>VLOOKUP(Table1_2[[#This Row],[Categories]],Sheet3!$A$1:$B$27,2,FALSE)</f>
        <v>Food &amp;Beverage</v>
      </c>
    </row>
    <row r="864" spans="1:7" x14ac:dyDescent="0.3">
      <c r="A864" t="s">
        <v>34</v>
      </c>
      <c r="B864">
        <v>2013</v>
      </c>
      <c r="C864" t="s">
        <v>45</v>
      </c>
      <c r="D864" s="2">
        <v>41579</v>
      </c>
      <c r="E864" t="s">
        <v>12</v>
      </c>
      <c r="F864">
        <v>109.4</v>
      </c>
      <c r="G864" t="str">
        <f>VLOOKUP(Table1_2[[#This Row],[Categories]],Sheet3!$A$1:$B$27,2,FALSE)</f>
        <v>Food &amp;Beverage</v>
      </c>
    </row>
    <row r="865" spans="1:7" x14ac:dyDescent="0.3">
      <c r="A865" t="s">
        <v>34</v>
      </c>
      <c r="B865">
        <v>2013</v>
      </c>
      <c r="C865" t="s">
        <v>45</v>
      </c>
      <c r="D865" s="2">
        <v>41579</v>
      </c>
      <c r="E865" t="s">
        <v>13</v>
      </c>
      <c r="F865">
        <v>111.8</v>
      </c>
      <c r="G865" t="str">
        <f>VLOOKUP(Table1_2[[#This Row],[Categories]],Sheet3!$A$1:$B$27,2,FALSE)</f>
        <v>Food &amp;Beverage</v>
      </c>
    </row>
    <row r="866" spans="1:7" x14ac:dyDescent="0.3">
      <c r="A866" t="s">
        <v>34</v>
      </c>
      <c r="B866">
        <v>2013</v>
      </c>
      <c r="C866" t="s">
        <v>45</v>
      </c>
      <c r="D866" s="2">
        <v>41579</v>
      </c>
      <c r="E866" t="s">
        <v>14</v>
      </c>
      <c r="F866">
        <v>116.5</v>
      </c>
      <c r="G866" t="str">
        <f>VLOOKUP(Table1_2[[#This Row],[Categories]],Sheet3!$A$1:$B$27,2,FALSE)</f>
        <v>Food &amp;Beverage</v>
      </c>
    </row>
    <row r="867" spans="1:7" x14ac:dyDescent="0.3">
      <c r="A867" t="s">
        <v>34</v>
      </c>
      <c r="B867">
        <v>2013</v>
      </c>
      <c r="C867" t="s">
        <v>45</v>
      </c>
      <c r="D867" s="2">
        <v>41579</v>
      </c>
      <c r="E867" t="s">
        <v>15</v>
      </c>
      <c r="F867">
        <v>122.6</v>
      </c>
      <c r="G867" t="str">
        <f>VLOOKUP(Table1_2[[#This Row],[Categories]],Sheet3!$A$1:$B$27,2,FALSE)</f>
        <v>Food &amp;Beverage</v>
      </c>
    </row>
    <row r="868" spans="1:7" x14ac:dyDescent="0.3">
      <c r="A868" t="s">
        <v>34</v>
      </c>
      <c r="B868">
        <v>2013</v>
      </c>
      <c r="C868" t="s">
        <v>45</v>
      </c>
      <c r="D868" s="2">
        <v>41579</v>
      </c>
      <c r="E868" t="s">
        <v>16</v>
      </c>
      <c r="F868">
        <v>113.1</v>
      </c>
      <c r="G868" t="str">
        <f>VLOOKUP(Table1_2[[#This Row],[Categories]],Sheet3!$A$1:$B$27,2,FALSE)</f>
        <v>Recreation and amusement</v>
      </c>
    </row>
    <row r="869" spans="1:7" x14ac:dyDescent="0.3">
      <c r="A869" t="s">
        <v>34</v>
      </c>
      <c r="B869">
        <v>2013</v>
      </c>
      <c r="C869" t="s">
        <v>45</v>
      </c>
      <c r="D869" s="2">
        <v>41579</v>
      </c>
      <c r="E869" t="s">
        <v>17</v>
      </c>
      <c r="F869">
        <v>114.2</v>
      </c>
      <c r="G869" t="str">
        <f>VLOOKUP(Table1_2[[#This Row],[Categories]],Sheet3!$A$1:$B$27,2,FALSE)</f>
        <v>Clothing and footwear</v>
      </c>
    </row>
    <row r="870" spans="1:7" x14ac:dyDescent="0.3">
      <c r="A870" t="s">
        <v>34</v>
      </c>
      <c r="B870">
        <v>2013</v>
      </c>
      <c r="C870" t="s">
        <v>45</v>
      </c>
      <c r="D870" s="2">
        <v>41579</v>
      </c>
      <c r="E870" t="s">
        <v>18</v>
      </c>
      <c r="F870">
        <v>111.9</v>
      </c>
      <c r="G870" t="str">
        <f>VLOOKUP(Table1_2[[#This Row],[Categories]],Sheet3!$A$1:$B$27,2,FALSE)</f>
        <v>Clothing and footwear</v>
      </c>
    </row>
    <row r="871" spans="1:7" x14ac:dyDescent="0.3">
      <c r="A871" t="s">
        <v>34</v>
      </c>
      <c r="B871">
        <v>2013</v>
      </c>
      <c r="C871" t="s">
        <v>45</v>
      </c>
      <c r="D871" s="2">
        <v>41579</v>
      </c>
      <c r="E871" t="s">
        <v>19</v>
      </c>
      <c r="F871">
        <v>113.8</v>
      </c>
      <c r="G871" t="str">
        <f>VLOOKUP(Table1_2[[#This Row],[Categories]],Sheet3!$A$1:$B$27,2,FALSE)</f>
        <v>Clothing and footwear</v>
      </c>
    </row>
    <row r="872" spans="1:7" x14ac:dyDescent="0.3">
      <c r="A872" t="s">
        <v>34</v>
      </c>
      <c r="B872">
        <v>2013</v>
      </c>
      <c r="C872" t="s">
        <v>45</v>
      </c>
      <c r="D872" s="2">
        <v>41579</v>
      </c>
      <c r="E872" t="s">
        <v>20</v>
      </c>
      <c r="F872">
        <v>111.1</v>
      </c>
      <c r="G872" t="str">
        <f>VLOOKUP(Table1_2[[#This Row],[Categories]],Sheet3!$A$1:$B$27,2,FALSE)</f>
        <v>Housing</v>
      </c>
    </row>
    <row r="873" spans="1:7" x14ac:dyDescent="0.3">
      <c r="A873" t="s">
        <v>34</v>
      </c>
      <c r="B873">
        <v>2013</v>
      </c>
      <c r="C873" t="s">
        <v>45</v>
      </c>
      <c r="D873" s="2">
        <v>41579</v>
      </c>
      <c r="E873" t="s">
        <v>21</v>
      </c>
      <c r="F873">
        <v>111.6</v>
      </c>
      <c r="G873" t="str">
        <f>VLOOKUP(Table1_2[[#This Row],[Categories]],Sheet3!$A$1:$B$27,2,FALSE)</f>
        <v>Fuel and light</v>
      </c>
    </row>
    <row r="874" spans="1:7" x14ac:dyDescent="0.3">
      <c r="A874" t="s">
        <v>34</v>
      </c>
      <c r="B874">
        <v>2013</v>
      </c>
      <c r="C874" t="s">
        <v>45</v>
      </c>
      <c r="D874" s="2">
        <v>41579</v>
      </c>
      <c r="E874" t="s">
        <v>22</v>
      </c>
      <c r="F874">
        <v>111.1</v>
      </c>
      <c r="G874" t="str">
        <f>VLOOKUP(Table1_2[[#This Row],[Categories]],Sheet3!$A$1:$B$27,2,FALSE)</f>
        <v>Household Items</v>
      </c>
    </row>
    <row r="875" spans="1:7" x14ac:dyDescent="0.3">
      <c r="A875" t="s">
        <v>34</v>
      </c>
      <c r="B875">
        <v>2013</v>
      </c>
      <c r="C875" t="s">
        <v>45</v>
      </c>
      <c r="D875" s="2">
        <v>41579</v>
      </c>
      <c r="E875" t="s">
        <v>23</v>
      </c>
      <c r="F875">
        <v>109.3</v>
      </c>
      <c r="G875" t="str">
        <f>VLOOKUP(Table1_2[[#This Row],[Categories]],Sheet3!$A$1:$B$27,2,FALSE)</f>
        <v>Health</v>
      </c>
    </row>
    <row r="876" spans="1:7" x14ac:dyDescent="0.3">
      <c r="A876" t="s">
        <v>34</v>
      </c>
      <c r="B876">
        <v>2013</v>
      </c>
      <c r="C876" t="s">
        <v>45</v>
      </c>
      <c r="D876" s="2">
        <v>41579</v>
      </c>
      <c r="E876" t="s">
        <v>24</v>
      </c>
      <c r="F876">
        <v>109.5</v>
      </c>
      <c r="G876" t="str">
        <f>VLOOKUP(Table1_2[[#This Row],[Categories]],Sheet3!$A$1:$B$27,2,FALSE)</f>
        <v>Transport and communication</v>
      </c>
    </row>
    <row r="877" spans="1:7" x14ac:dyDescent="0.3">
      <c r="A877" t="s">
        <v>34</v>
      </c>
      <c r="B877">
        <v>2013</v>
      </c>
      <c r="C877" t="s">
        <v>45</v>
      </c>
      <c r="D877" s="2">
        <v>41579</v>
      </c>
      <c r="E877" t="s">
        <v>25</v>
      </c>
      <c r="F877">
        <v>108.6</v>
      </c>
      <c r="G877" t="str">
        <f>VLOOKUP(Table1_2[[#This Row],[Categories]],Sheet3!$A$1:$B$27,2,FALSE)</f>
        <v>Recreation and amusement</v>
      </c>
    </row>
    <row r="878" spans="1:7" x14ac:dyDescent="0.3">
      <c r="A878" t="s">
        <v>34</v>
      </c>
      <c r="B878">
        <v>2013</v>
      </c>
      <c r="C878" t="s">
        <v>45</v>
      </c>
      <c r="D878" s="2">
        <v>41579</v>
      </c>
      <c r="E878" t="s">
        <v>26</v>
      </c>
      <c r="F878">
        <v>111.2</v>
      </c>
      <c r="G878" t="str">
        <f>VLOOKUP(Table1_2[[#This Row],[Categories]],Sheet3!$A$1:$B$27,2,FALSE)</f>
        <v>Education</v>
      </c>
    </row>
    <row r="879" spans="1:7" x14ac:dyDescent="0.3">
      <c r="A879" t="s">
        <v>34</v>
      </c>
      <c r="B879">
        <v>2013</v>
      </c>
      <c r="C879" t="s">
        <v>45</v>
      </c>
      <c r="D879" s="2">
        <v>41579</v>
      </c>
      <c r="E879" t="s">
        <v>27</v>
      </c>
      <c r="F879">
        <v>108.1</v>
      </c>
      <c r="G879" t="str">
        <f>VLOOKUP(Table1_2[[#This Row],[Categories]],Sheet3!$A$1:$B$27,2,FALSE)</f>
        <v>Household Items</v>
      </c>
    </row>
    <row r="880" spans="1:7" x14ac:dyDescent="0.3">
      <c r="A880" t="s">
        <v>34</v>
      </c>
      <c r="B880">
        <v>2013</v>
      </c>
      <c r="C880" t="s">
        <v>45</v>
      </c>
      <c r="D880" s="2">
        <v>41579</v>
      </c>
      <c r="E880" t="s">
        <v>28</v>
      </c>
      <c r="F880">
        <v>109.7</v>
      </c>
      <c r="G880" t="str">
        <f>VLOOKUP(Table1_2[[#This Row],[Categories]],Sheet3!$A$1:$B$27,2,FALSE)</f>
        <v>Miscellaneous</v>
      </c>
    </row>
    <row r="881" spans="1:7" x14ac:dyDescent="0.3">
      <c r="A881" t="s">
        <v>34</v>
      </c>
      <c r="B881">
        <v>2013</v>
      </c>
      <c r="C881" t="s">
        <v>45</v>
      </c>
      <c r="D881" s="2">
        <v>41579</v>
      </c>
      <c r="E881" t="s">
        <v>29</v>
      </c>
      <c r="F881">
        <v>116.3</v>
      </c>
      <c r="G881" t="str">
        <f>VLOOKUP(Table1_2[[#This Row],[Categories]],Sheet3!$A$1:$B$27,2,FALSE)</f>
        <v>General index</v>
      </c>
    </row>
    <row r="882" spans="1:7" x14ac:dyDescent="0.3">
      <c r="A882" t="s">
        <v>30</v>
      </c>
      <c r="B882">
        <v>2013</v>
      </c>
      <c r="C882" t="s">
        <v>46</v>
      </c>
      <c r="D882" s="2">
        <v>41609</v>
      </c>
      <c r="E882" t="s">
        <v>3</v>
      </c>
      <c r="F882">
        <v>118.4</v>
      </c>
      <c r="G882" t="str">
        <f>VLOOKUP(Table1_2[[#This Row],[Categories]],Sheet3!$A$1:$B$27,2,FALSE)</f>
        <v>Food &amp;Beverage</v>
      </c>
    </row>
    <row r="883" spans="1:7" x14ac:dyDescent="0.3">
      <c r="A883" t="s">
        <v>30</v>
      </c>
      <c r="B883">
        <v>2013</v>
      </c>
      <c r="C883" t="s">
        <v>46</v>
      </c>
      <c r="D883" s="2">
        <v>41609</v>
      </c>
      <c r="E883" t="s">
        <v>4</v>
      </c>
      <c r="F883">
        <v>115.9</v>
      </c>
      <c r="G883" t="str">
        <f>VLOOKUP(Table1_2[[#This Row],[Categories]],Sheet3!$A$1:$B$27,2,FALSE)</f>
        <v>Food &amp;Beverage</v>
      </c>
    </row>
    <row r="884" spans="1:7" x14ac:dyDescent="0.3">
      <c r="A884" t="s">
        <v>30</v>
      </c>
      <c r="B884">
        <v>2013</v>
      </c>
      <c r="C884" t="s">
        <v>46</v>
      </c>
      <c r="D884" s="2">
        <v>41609</v>
      </c>
      <c r="E884" t="s">
        <v>5</v>
      </c>
      <c r="F884">
        <v>120.4</v>
      </c>
      <c r="G884" t="str">
        <f>VLOOKUP(Table1_2[[#This Row],[Categories]],Sheet3!$A$1:$B$27,2,FALSE)</f>
        <v>Food &amp;Beverage</v>
      </c>
    </row>
    <row r="885" spans="1:7" x14ac:dyDescent="0.3">
      <c r="A885" t="s">
        <v>30</v>
      </c>
      <c r="B885">
        <v>2013</v>
      </c>
      <c r="C885" t="s">
        <v>46</v>
      </c>
      <c r="D885" s="2">
        <v>41609</v>
      </c>
      <c r="E885" t="s">
        <v>6</v>
      </c>
      <c r="F885">
        <v>113.8</v>
      </c>
      <c r="G885" t="str">
        <f>VLOOKUP(Table1_2[[#This Row],[Categories]],Sheet3!$A$1:$B$27,2,FALSE)</f>
        <v>Food &amp;Beverage</v>
      </c>
    </row>
    <row r="886" spans="1:7" x14ac:dyDescent="0.3">
      <c r="A886" t="s">
        <v>30</v>
      </c>
      <c r="B886">
        <v>2013</v>
      </c>
      <c r="C886" t="s">
        <v>46</v>
      </c>
      <c r="D886" s="2">
        <v>41609</v>
      </c>
      <c r="E886" t="s">
        <v>7</v>
      </c>
      <c r="F886">
        <v>109.5</v>
      </c>
      <c r="G886" t="str">
        <f>VLOOKUP(Table1_2[[#This Row],[Categories]],Sheet3!$A$1:$B$27,2,FALSE)</f>
        <v>Food &amp;Beverage</v>
      </c>
    </row>
    <row r="887" spans="1:7" x14ac:dyDescent="0.3">
      <c r="A887" t="s">
        <v>30</v>
      </c>
      <c r="B887">
        <v>2013</v>
      </c>
      <c r="C887" t="s">
        <v>46</v>
      </c>
      <c r="D887" s="2">
        <v>41609</v>
      </c>
      <c r="E887" t="s">
        <v>8</v>
      </c>
      <c r="F887">
        <v>115.5</v>
      </c>
      <c r="G887" t="str">
        <f>VLOOKUP(Table1_2[[#This Row],[Categories]],Sheet3!$A$1:$B$27,2,FALSE)</f>
        <v>Food &amp;Beverage</v>
      </c>
    </row>
    <row r="888" spans="1:7" x14ac:dyDescent="0.3">
      <c r="A888" t="s">
        <v>30</v>
      </c>
      <c r="B888">
        <v>2013</v>
      </c>
      <c r="C888" t="s">
        <v>46</v>
      </c>
      <c r="D888" s="2">
        <v>41609</v>
      </c>
      <c r="E888" t="s">
        <v>9</v>
      </c>
      <c r="F888">
        <v>145.69999999999999</v>
      </c>
      <c r="G888" t="str">
        <f>VLOOKUP(Table1_2[[#This Row],[Categories]],Sheet3!$A$1:$B$27,2,FALSE)</f>
        <v>Food &amp;Beverage</v>
      </c>
    </row>
    <row r="889" spans="1:7" x14ac:dyDescent="0.3">
      <c r="A889" t="s">
        <v>30</v>
      </c>
      <c r="B889">
        <v>2013</v>
      </c>
      <c r="C889" t="s">
        <v>46</v>
      </c>
      <c r="D889" s="2">
        <v>41609</v>
      </c>
      <c r="E889" t="s">
        <v>10</v>
      </c>
      <c r="F889">
        <v>109.5</v>
      </c>
      <c r="G889" t="str">
        <f>VLOOKUP(Table1_2[[#This Row],[Categories]],Sheet3!$A$1:$B$27,2,FALSE)</f>
        <v>Food &amp;Beverage</v>
      </c>
    </row>
    <row r="890" spans="1:7" x14ac:dyDescent="0.3">
      <c r="A890" t="s">
        <v>30</v>
      </c>
      <c r="B890">
        <v>2013</v>
      </c>
      <c r="C890" t="s">
        <v>46</v>
      </c>
      <c r="D890" s="2">
        <v>41609</v>
      </c>
      <c r="E890" t="s">
        <v>11</v>
      </c>
      <c r="F890">
        <v>102.9</v>
      </c>
      <c r="G890" t="str">
        <f>VLOOKUP(Table1_2[[#This Row],[Categories]],Sheet3!$A$1:$B$27,2,FALSE)</f>
        <v>Food &amp;Beverage</v>
      </c>
    </row>
    <row r="891" spans="1:7" x14ac:dyDescent="0.3">
      <c r="A891" t="s">
        <v>30</v>
      </c>
      <c r="B891">
        <v>2013</v>
      </c>
      <c r="C891" t="s">
        <v>46</v>
      </c>
      <c r="D891" s="2">
        <v>41609</v>
      </c>
      <c r="E891" t="s">
        <v>12</v>
      </c>
      <c r="F891">
        <v>109.8</v>
      </c>
      <c r="G891" t="str">
        <f>VLOOKUP(Table1_2[[#This Row],[Categories]],Sheet3!$A$1:$B$27,2,FALSE)</f>
        <v>Food &amp;Beverage</v>
      </c>
    </row>
    <row r="892" spans="1:7" x14ac:dyDescent="0.3">
      <c r="A892" t="s">
        <v>30</v>
      </c>
      <c r="B892">
        <v>2013</v>
      </c>
      <c r="C892" t="s">
        <v>46</v>
      </c>
      <c r="D892" s="2">
        <v>41609</v>
      </c>
      <c r="E892" t="s">
        <v>13</v>
      </c>
      <c r="F892">
        <v>112.1</v>
      </c>
      <c r="G892" t="str">
        <f>VLOOKUP(Table1_2[[#This Row],[Categories]],Sheet3!$A$1:$B$27,2,FALSE)</f>
        <v>Food &amp;Beverage</v>
      </c>
    </row>
    <row r="893" spans="1:7" x14ac:dyDescent="0.3">
      <c r="A893" t="s">
        <v>30</v>
      </c>
      <c r="B893">
        <v>2013</v>
      </c>
      <c r="C893" t="s">
        <v>46</v>
      </c>
      <c r="D893" s="2">
        <v>41609</v>
      </c>
      <c r="E893" t="s">
        <v>14</v>
      </c>
      <c r="F893">
        <v>116.8</v>
      </c>
      <c r="G893" t="str">
        <f>VLOOKUP(Table1_2[[#This Row],[Categories]],Sheet3!$A$1:$B$27,2,FALSE)</f>
        <v>Food &amp;Beverage</v>
      </c>
    </row>
    <row r="894" spans="1:7" x14ac:dyDescent="0.3">
      <c r="A894" t="s">
        <v>30</v>
      </c>
      <c r="B894">
        <v>2013</v>
      </c>
      <c r="C894" t="s">
        <v>46</v>
      </c>
      <c r="D894" s="2">
        <v>41609</v>
      </c>
      <c r="E894" t="s">
        <v>15</v>
      </c>
      <c r="F894">
        <v>118.7</v>
      </c>
      <c r="G894" t="str">
        <f>VLOOKUP(Table1_2[[#This Row],[Categories]],Sheet3!$A$1:$B$27,2,FALSE)</f>
        <v>Food &amp;Beverage</v>
      </c>
    </row>
    <row r="895" spans="1:7" x14ac:dyDescent="0.3">
      <c r="A895" t="s">
        <v>30</v>
      </c>
      <c r="B895">
        <v>2013</v>
      </c>
      <c r="C895" t="s">
        <v>46</v>
      </c>
      <c r="D895" s="2">
        <v>41609</v>
      </c>
      <c r="E895" t="s">
        <v>16</v>
      </c>
      <c r="F895">
        <v>113.6</v>
      </c>
      <c r="G895" t="str">
        <f>VLOOKUP(Table1_2[[#This Row],[Categories]],Sheet3!$A$1:$B$27,2,FALSE)</f>
        <v>Recreation and amusement</v>
      </c>
    </row>
    <row r="896" spans="1:7" x14ac:dyDescent="0.3">
      <c r="A896" t="s">
        <v>30</v>
      </c>
      <c r="B896">
        <v>2013</v>
      </c>
      <c r="C896" t="s">
        <v>46</v>
      </c>
      <c r="D896" s="2">
        <v>41609</v>
      </c>
      <c r="E896" t="s">
        <v>17</v>
      </c>
      <c r="F896">
        <v>115.8</v>
      </c>
      <c r="G896" t="str">
        <f>VLOOKUP(Table1_2[[#This Row],[Categories]],Sheet3!$A$1:$B$27,2,FALSE)</f>
        <v>Clothing and footwear</v>
      </c>
    </row>
    <row r="897" spans="1:7" x14ac:dyDescent="0.3">
      <c r="A897" t="s">
        <v>30</v>
      </c>
      <c r="B897">
        <v>2013</v>
      </c>
      <c r="C897" t="s">
        <v>46</v>
      </c>
      <c r="D897" s="2">
        <v>41609</v>
      </c>
      <c r="E897" t="s">
        <v>18</v>
      </c>
      <c r="F897">
        <v>114</v>
      </c>
      <c r="G897" t="str">
        <f>VLOOKUP(Table1_2[[#This Row],[Categories]],Sheet3!$A$1:$B$27,2,FALSE)</f>
        <v>Clothing and footwear</v>
      </c>
    </row>
    <row r="898" spans="1:7" x14ac:dyDescent="0.3">
      <c r="A898" t="s">
        <v>30</v>
      </c>
      <c r="B898">
        <v>2013</v>
      </c>
      <c r="C898" t="s">
        <v>46</v>
      </c>
      <c r="D898" s="2">
        <v>41609</v>
      </c>
      <c r="E898" t="s">
        <v>19</v>
      </c>
      <c r="F898">
        <v>115.5</v>
      </c>
      <c r="G898" t="str">
        <f>VLOOKUP(Table1_2[[#This Row],[Categories]],Sheet3!$A$1:$B$27,2,FALSE)</f>
        <v>Clothing and footwear</v>
      </c>
    </row>
    <row r="899" spans="1:7" x14ac:dyDescent="0.3">
      <c r="A899" t="s">
        <v>30</v>
      </c>
      <c r="B899">
        <v>2013</v>
      </c>
      <c r="C899" t="s">
        <v>46</v>
      </c>
      <c r="D899" s="2">
        <v>41609</v>
      </c>
      <c r="E899" t="s">
        <v>21</v>
      </c>
      <c r="F899">
        <v>112.8</v>
      </c>
      <c r="G899" t="str">
        <f>VLOOKUP(Table1_2[[#This Row],[Categories]],Sheet3!$A$1:$B$27,2,FALSE)</f>
        <v>Fuel and light</v>
      </c>
    </row>
    <row r="900" spans="1:7" x14ac:dyDescent="0.3">
      <c r="A900" t="s">
        <v>30</v>
      </c>
      <c r="B900">
        <v>2013</v>
      </c>
      <c r="C900" t="s">
        <v>46</v>
      </c>
      <c r="D900" s="2">
        <v>41609</v>
      </c>
      <c r="E900" t="s">
        <v>22</v>
      </c>
      <c r="F900">
        <v>112.1</v>
      </c>
      <c r="G900" t="str">
        <f>VLOOKUP(Table1_2[[#This Row],[Categories]],Sheet3!$A$1:$B$27,2,FALSE)</f>
        <v>Household Items</v>
      </c>
    </row>
    <row r="901" spans="1:7" x14ac:dyDescent="0.3">
      <c r="A901" t="s">
        <v>30</v>
      </c>
      <c r="B901">
        <v>2013</v>
      </c>
      <c r="C901" t="s">
        <v>46</v>
      </c>
      <c r="D901" s="2">
        <v>41609</v>
      </c>
      <c r="E901" t="s">
        <v>23</v>
      </c>
      <c r="F901">
        <v>110.1</v>
      </c>
      <c r="G901" t="str">
        <f>VLOOKUP(Table1_2[[#This Row],[Categories]],Sheet3!$A$1:$B$27,2,FALSE)</f>
        <v>Health</v>
      </c>
    </row>
    <row r="902" spans="1:7" x14ac:dyDescent="0.3">
      <c r="A902" t="s">
        <v>30</v>
      </c>
      <c r="B902">
        <v>2013</v>
      </c>
      <c r="C902" t="s">
        <v>46</v>
      </c>
      <c r="D902" s="2">
        <v>41609</v>
      </c>
      <c r="E902" t="s">
        <v>24</v>
      </c>
      <c r="F902">
        <v>109.9</v>
      </c>
      <c r="G902" t="str">
        <f>VLOOKUP(Table1_2[[#This Row],[Categories]],Sheet3!$A$1:$B$27,2,FALSE)</f>
        <v>Transport and communication</v>
      </c>
    </row>
    <row r="903" spans="1:7" x14ac:dyDescent="0.3">
      <c r="A903" t="s">
        <v>30</v>
      </c>
      <c r="B903">
        <v>2013</v>
      </c>
      <c r="C903" t="s">
        <v>46</v>
      </c>
      <c r="D903" s="2">
        <v>41609</v>
      </c>
      <c r="E903" t="s">
        <v>25</v>
      </c>
      <c r="F903">
        <v>109.2</v>
      </c>
      <c r="G903" t="str">
        <f>VLOOKUP(Table1_2[[#This Row],[Categories]],Sheet3!$A$1:$B$27,2,FALSE)</f>
        <v>Recreation and amusement</v>
      </c>
    </row>
    <row r="904" spans="1:7" x14ac:dyDescent="0.3">
      <c r="A904" t="s">
        <v>30</v>
      </c>
      <c r="B904">
        <v>2013</v>
      </c>
      <c r="C904" t="s">
        <v>46</v>
      </c>
      <c r="D904" s="2">
        <v>41609</v>
      </c>
      <c r="E904" t="s">
        <v>26</v>
      </c>
      <c r="F904">
        <v>111.6</v>
      </c>
      <c r="G904" t="str">
        <f>VLOOKUP(Table1_2[[#This Row],[Categories]],Sheet3!$A$1:$B$27,2,FALSE)</f>
        <v>Education</v>
      </c>
    </row>
    <row r="905" spans="1:7" x14ac:dyDescent="0.3">
      <c r="A905" t="s">
        <v>30</v>
      </c>
      <c r="B905">
        <v>2013</v>
      </c>
      <c r="C905" t="s">
        <v>46</v>
      </c>
      <c r="D905" s="2">
        <v>41609</v>
      </c>
      <c r="E905" t="s">
        <v>27</v>
      </c>
      <c r="F905">
        <v>108.1</v>
      </c>
      <c r="G905" t="str">
        <f>VLOOKUP(Table1_2[[#This Row],[Categories]],Sheet3!$A$1:$B$27,2,FALSE)</f>
        <v>Household Items</v>
      </c>
    </row>
    <row r="906" spans="1:7" x14ac:dyDescent="0.3">
      <c r="A906" t="s">
        <v>30</v>
      </c>
      <c r="B906">
        <v>2013</v>
      </c>
      <c r="C906" t="s">
        <v>46</v>
      </c>
      <c r="D906" s="2">
        <v>41609</v>
      </c>
      <c r="E906" t="s">
        <v>28</v>
      </c>
      <c r="F906">
        <v>110.1</v>
      </c>
      <c r="G906" t="str">
        <f>VLOOKUP(Table1_2[[#This Row],[Categories]],Sheet3!$A$1:$B$27,2,FALSE)</f>
        <v>Miscellaneous</v>
      </c>
    </row>
    <row r="907" spans="1:7" x14ac:dyDescent="0.3">
      <c r="A907" t="s">
        <v>30</v>
      </c>
      <c r="B907">
        <v>2013</v>
      </c>
      <c r="C907" t="s">
        <v>46</v>
      </c>
      <c r="D907" s="2">
        <v>41609</v>
      </c>
      <c r="E907" t="s">
        <v>29</v>
      </c>
      <c r="F907">
        <v>115.5</v>
      </c>
      <c r="G907" t="str">
        <f>VLOOKUP(Table1_2[[#This Row],[Categories]],Sheet3!$A$1:$B$27,2,FALSE)</f>
        <v>General index</v>
      </c>
    </row>
    <row r="908" spans="1:7" x14ac:dyDescent="0.3">
      <c r="A908" t="s">
        <v>33</v>
      </c>
      <c r="B908">
        <v>2013</v>
      </c>
      <c r="C908" t="s">
        <v>46</v>
      </c>
      <c r="D908" s="2">
        <v>41609</v>
      </c>
      <c r="E908" t="s">
        <v>3</v>
      </c>
      <c r="F908">
        <v>120.5</v>
      </c>
      <c r="G908" t="str">
        <f>VLOOKUP(Table1_2[[#This Row],[Categories]],Sheet3!$A$1:$B$27,2,FALSE)</f>
        <v>Food &amp;Beverage</v>
      </c>
    </row>
    <row r="909" spans="1:7" x14ac:dyDescent="0.3">
      <c r="A909" t="s">
        <v>33</v>
      </c>
      <c r="B909">
        <v>2013</v>
      </c>
      <c r="C909" t="s">
        <v>46</v>
      </c>
      <c r="D909" s="2">
        <v>41609</v>
      </c>
      <c r="E909" t="s">
        <v>4</v>
      </c>
      <c r="F909">
        <v>118.1</v>
      </c>
      <c r="G909" t="str">
        <f>VLOOKUP(Table1_2[[#This Row],[Categories]],Sheet3!$A$1:$B$27,2,FALSE)</f>
        <v>Food &amp;Beverage</v>
      </c>
    </row>
    <row r="910" spans="1:7" x14ac:dyDescent="0.3">
      <c r="A910" t="s">
        <v>33</v>
      </c>
      <c r="B910">
        <v>2013</v>
      </c>
      <c r="C910" t="s">
        <v>46</v>
      </c>
      <c r="D910" s="2">
        <v>41609</v>
      </c>
      <c r="E910" t="s">
        <v>5</v>
      </c>
      <c r="F910">
        <v>128.5</v>
      </c>
      <c r="G910" t="str">
        <f>VLOOKUP(Table1_2[[#This Row],[Categories]],Sheet3!$A$1:$B$27,2,FALSE)</f>
        <v>Food &amp;Beverage</v>
      </c>
    </row>
    <row r="911" spans="1:7" x14ac:dyDescent="0.3">
      <c r="A911" t="s">
        <v>33</v>
      </c>
      <c r="B911">
        <v>2013</v>
      </c>
      <c r="C911" t="s">
        <v>46</v>
      </c>
      <c r="D911" s="2">
        <v>41609</v>
      </c>
      <c r="E911" t="s">
        <v>6</v>
      </c>
      <c r="F911">
        <v>112.8</v>
      </c>
      <c r="G911" t="str">
        <f>VLOOKUP(Table1_2[[#This Row],[Categories]],Sheet3!$A$1:$B$27,2,FALSE)</f>
        <v>Food &amp;Beverage</v>
      </c>
    </row>
    <row r="912" spans="1:7" x14ac:dyDescent="0.3">
      <c r="A912" t="s">
        <v>33</v>
      </c>
      <c r="B912">
        <v>2013</v>
      </c>
      <c r="C912" t="s">
        <v>46</v>
      </c>
      <c r="D912" s="2">
        <v>41609</v>
      </c>
      <c r="E912" t="s">
        <v>7</v>
      </c>
      <c r="F912">
        <v>103.4</v>
      </c>
      <c r="G912" t="str">
        <f>VLOOKUP(Table1_2[[#This Row],[Categories]],Sheet3!$A$1:$B$27,2,FALSE)</f>
        <v>Food &amp;Beverage</v>
      </c>
    </row>
    <row r="913" spans="1:7" x14ac:dyDescent="0.3">
      <c r="A913" t="s">
        <v>33</v>
      </c>
      <c r="B913">
        <v>2013</v>
      </c>
      <c r="C913" t="s">
        <v>46</v>
      </c>
      <c r="D913" s="2">
        <v>41609</v>
      </c>
      <c r="E913" t="s">
        <v>8</v>
      </c>
      <c r="F913">
        <v>110.7</v>
      </c>
      <c r="G913" t="str">
        <f>VLOOKUP(Table1_2[[#This Row],[Categories]],Sheet3!$A$1:$B$27,2,FALSE)</f>
        <v>Food &amp;Beverage</v>
      </c>
    </row>
    <row r="914" spans="1:7" x14ac:dyDescent="0.3">
      <c r="A914" t="s">
        <v>33</v>
      </c>
      <c r="B914">
        <v>2013</v>
      </c>
      <c r="C914" t="s">
        <v>46</v>
      </c>
      <c r="D914" s="2">
        <v>41609</v>
      </c>
      <c r="E914" t="s">
        <v>9</v>
      </c>
      <c r="F914">
        <v>144.80000000000001</v>
      </c>
      <c r="G914" t="str">
        <f>VLOOKUP(Table1_2[[#This Row],[Categories]],Sheet3!$A$1:$B$27,2,FALSE)</f>
        <v>Food &amp;Beverage</v>
      </c>
    </row>
    <row r="915" spans="1:7" x14ac:dyDescent="0.3">
      <c r="A915" t="s">
        <v>33</v>
      </c>
      <c r="B915">
        <v>2013</v>
      </c>
      <c r="C915" t="s">
        <v>46</v>
      </c>
      <c r="D915" s="2">
        <v>41609</v>
      </c>
      <c r="E915" t="s">
        <v>10</v>
      </c>
      <c r="F915">
        <v>107.1</v>
      </c>
      <c r="G915" t="str">
        <f>VLOOKUP(Table1_2[[#This Row],[Categories]],Sheet3!$A$1:$B$27,2,FALSE)</f>
        <v>Food &amp;Beverage</v>
      </c>
    </row>
    <row r="916" spans="1:7" x14ac:dyDescent="0.3">
      <c r="A916" t="s">
        <v>33</v>
      </c>
      <c r="B916">
        <v>2013</v>
      </c>
      <c r="C916" t="s">
        <v>46</v>
      </c>
      <c r="D916" s="2">
        <v>41609</v>
      </c>
      <c r="E916" t="s">
        <v>11</v>
      </c>
      <c r="F916">
        <v>98.6</v>
      </c>
      <c r="G916" t="str">
        <f>VLOOKUP(Table1_2[[#This Row],[Categories]],Sheet3!$A$1:$B$27,2,FALSE)</f>
        <v>Food &amp;Beverage</v>
      </c>
    </row>
    <row r="917" spans="1:7" x14ac:dyDescent="0.3">
      <c r="A917" t="s">
        <v>33</v>
      </c>
      <c r="B917">
        <v>2013</v>
      </c>
      <c r="C917" t="s">
        <v>46</v>
      </c>
      <c r="D917" s="2">
        <v>41609</v>
      </c>
      <c r="E917" t="s">
        <v>12</v>
      </c>
      <c r="F917">
        <v>111.9</v>
      </c>
      <c r="G917" t="str">
        <f>VLOOKUP(Table1_2[[#This Row],[Categories]],Sheet3!$A$1:$B$27,2,FALSE)</f>
        <v>Food &amp;Beverage</v>
      </c>
    </row>
    <row r="918" spans="1:7" x14ac:dyDescent="0.3">
      <c r="A918" t="s">
        <v>33</v>
      </c>
      <c r="B918">
        <v>2013</v>
      </c>
      <c r="C918" t="s">
        <v>46</v>
      </c>
      <c r="D918" s="2">
        <v>41609</v>
      </c>
      <c r="E918" t="s">
        <v>13</v>
      </c>
      <c r="F918">
        <v>112.1</v>
      </c>
      <c r="G918" t="str">
        <f>VLOOKUP(Table1_2[[#This Row],[Categories]],Sheet3!$A$1:$B$27,2,FALSE)</f>
        <v>Food &amp;Beverage</v>
      </c>
    </row>
    <row r="919" spans="1:7" x14ac:dyDescent="0.3">
      <c r="A919" t="s">
        <v>33</v>
      </c>
      <c r="B919">
        <v>2013</v>
      </c>
      <c r="C919" t="s">
        <v>46</v>
      </c>
      <c r="D919" s="2">
        <v>41609</v>
      </c>
      <c r="E919" t="s">
        <v>14</v>
      </c>
      <c r="F919">
        <v>118.1</v>
      </c>
      <c r="G919" t="str">
        <f>VLOOKUP(Table1_2[[#This Row],[Categories]],Sheet3!$A$1:$B$27,2,FALSE)</f>
        <v>Food &amp;Beverage</v>
      </c>
    </row>
    <row r="920" spans="1:7" x14ac:dyDescent="0.3">
      <c r="A920" t="s">
        <v>33</v>
      </c>
      <c r="B920">
        <v>2013</v>
      </c>
      <c r="C920" t="s">
        <v>46</v>
      </c>
      <c r="D920" s="2">
        <v>41609</v>
      </c>
      <c r="E920" t="s">
        <v>15</v>
      </c>
      <c r="F920">
        <v>117.8</v>
      </c>
      <c r="G920" t="str">
        <f>VLOOKUP(Table1_2[[#This Row],[Categories]],Sheet3!$A$1:$B$27,2,FALSE)</f>
        <v>Food &amp;Beverage</v>
      </c>
    </row>
    <row r="921" spans="1:7" x14ac:dyDescent="0.3">
      <c r="A921" t="s">
        <v>33</v>
      </c>
      <c r="B921">
        <v>2013</v>
      </c>
      <c r="C921" t="s">
        <v>46</v>
      </c>
      <c r="D921" s="2">
        <v>41609</v>
      </c>
      <c r="E921" t="s">
        <v>16</v>
      </c>
      <c r="F921">
        <v>115</v>
      </c>
      <c r="G921" t="str">
        <f>VLOOKUP(Table1_2[[#This Row],[Categories]],Sheet3!$A$1:$B$27,2,FALSE)</f>
        <v>Recreation and amusement</v>
      </c>
    </row>
    <row r="922" spans="1:7" x14ac:dyDescent="0.3">
      <c r="A922" t="s">
        <v>33</v>
      </c>
      <c r="B922">
        <v>2013</v>
      </c>
      <c r="C922" t="s">
        <v>46</v>
      </c>
      <c r="D922" s="2">
        <v>41609</v>
      </c>
      <c r="E922" t="s">
        <v>17</v>
      </c>
      <c r="F922">
        <v>114.2</v>
      </c>
      <c r="G922" t="str">
        <f>VLOOKUP(Table1_2[[#This Row],[Categories]],Sheet3!$A$1:$B$27,2,FALSE)</f>
        <v>Clothing and footwear</v>
      </c>
    </row>
    <row r="923" spans="1:7" x14ac:dyDescent="0.3">
      <c r="A923" t="s">
        <v>33</v>
      </c>
      <c r="B923">
        <v>2013</v>
      </c>
      <c r="C923" t="s">
        <v>46</v>
      </c>
      <c r="D923" s="2">
        <v>41609</v>
      </c>
      <c r="E923" t="s">
        <v>18</v>
      </c>
      <c r="F923">
        <v>110.9</v>
      </c>
      <c r="G923" t="str">
        <f>VLOOKUP(Table1_2[[#This Row],[Categories]],Sheet3!$A$1:$B$27,2,FALSE)</f>
        <v>Clothing and footwear</v>
      </c>
    </row>
    <row r="924" spans="1:7" x14ac:dyDescent="0.3">
      <c r="A924" t="s">
        <v>33</v>
      </c>
      <c r="B924">
        <v>2013</v>
      </c>
      <c r="C924" t="s">
        <v>46</v>
      </c>
      <c r="D924" s="2">
        <v>41609</v>
      </c>
      <c r="E924" t="s">
        <v>19</v>
      </c>
      <c r="F924">
        <v>113.7</v>
      </c>
      <c r="G924" t="str">
        <f>VLOOKUP(Table1_2[[#This Row],[Categories]],Sheet3!$A$1:$B$27,2,FALSE)</f>
        <v>Clothing and footwear</v>
      </c>
    </row>
    <row r="925" spans="1:7" x14ac:dyDescent="0.3">
      <c r="A925" t="s">
        <v>33</v>
      </c>
      <c r="B925">
        <v>2013</v>
      </c>
      <c r="C925" t="s">
        <v>46</v>
      </c>
      <c r="D925" s="2">
        <v>41609</v>
      </c>
      <c r="E925" t="s">
        <v>20</v>
      </c>
      <c r="F925">
        <v>110.7</v>
      </c>
      <c r="G925" t="str">
        <f>VLOOKUP(Table1_2[[#This Row],[Categories]],Sheet3!$A$1:$B$27,2,FALSE)</f>
        <v>Housing</v>
      </c>
    </row>
    <row r="926" spans="1:7" x14ac:dyDescent="0.3">
      <c r="A926" t="s">
        <v>33</v>
      </c>
      <c r="B926">
        <v>2013</v>
      </c>
      <c r="C926" t="s">
        <v>46</v>
      </c>
      <c r="D926" s="2">
        <v>41609</v>
      </c>
      <c r="E926" t="s">
        <v>21</v>
      </c>
      <c r="F926">
        <v>110.4</v>
      </c>
      <c r="G926" t="str">
        <f>VLOOKUP(Table1_2[[#This Row],[Categories]],Sheet3!$A$1:$B$27,2,FALSE)</f>
        <v>Fuel and light</v>
      </c>
    </row>
    <row r="927" spans="1:7" x14ac:dyDescent="0.3">
      <c r="A927" t="s">
        <v>33</v>
      </c>
      <c r="B927">
        <v>2013</v>
      </c>
      <c r="C927" t="s">
        <v>46</v>
      </c>
      <c r="D927" s="2">
        <v>41609</v>
      </c>
      <c r="E927" t="s">
        <v>22</v>
      </c>
      <c r="F927">
        <v>111.3</v>
      </c>
      <c r="G927" t="str">
        <f>VLOOKUP(Table1_2[[#This Row],[Categories]],Sheet3!$A$1:$B$27,2,FALSE)</f>
        <v>Household Items</v>
      </c>
    </row>
    <row r="928" spans="1:7" x14ac:dyDescent="0.3">
      <c r="A928" t="s">
        <v>33</v>
      </c>
      <c r="B928">
        <v>2013</v>
      </c>
      <c r="C928" t="s">
        <v>46</v>
      </c>
      <c r="D928" s="2">
        <v>41609</v>
      </c>
      <c r="E928" t="s">
        <v>23</v>
      </c>
      <c r="F928">
        <v>109</v>
      </c>
      <c r="G928" t="str">
        <f>VLOOKUP(Table1_2[[#This Row],[Categories]],Sheet3!$A$1:$B$27,2,FALSE)</f>
        <v>Health</v>
      </c>
    </row>
    <row r="929" spans="1:7" x14ac:dyDescent="0.3">
      <c r="A929" t="s">
        <v>33</v>
      </c>
      <c r="B929">
        <v>2013</v>
      </c>
      <c r="C929" t="s">
        <v>46</v>
      </c>
      <c r="D929" s="2">
        <v>41609</v>
      </c>
      <c r="E929" t="s">
        <v>24</v>
      </c>
      <c r="F929">
        <v>109.7</v>
      </c>
      <c r="G929" t="str">
        <f>VLOOKUP(Table1_2[[#This Row],[Categories]],Sheet3!$A$1:$B$27,2,FALSE)</f>
        <v>Transport and communication</v>
      </c>
    </row>
    <row r="930" spans="1:7" x14ac:dyDescent="0.3">
      <c r="A930" t="s">
        <v>33</v>
      </c>
      <c r="B930">
        <v>2013</v>
      </c>
      <c r="C930" t="s">
        <v>46</v>
      </c>
      <c r="D930" s="2">
        <v>41609</v>
      </c>
      <c r="E930" t="s">
        <v>25</v>
      </c>
      <c r="F930">
        <v>108.9</v>
      </c>
      <c r="G930" t="str">
        <f>VLOOKUP(Table1_2[[#This Row],[Categories]],Sheet3!$A$1:$B$27,2,FALSE)</f>
        <v>Recreation and amusement</v>
      </c>
    </row>
    <row r="931" spans="1:7" x14ac:dyDescent="0.3">
      <c r="A931" t="s">
        <v>33</v>
      </c>
      <c r="B931">
        <v>2013</v>
      </c>
      <c r="C931" t="s">
        <v>46</v>
      </c>
      <c r="D931" s="2">
        <v>41609</v>
      </c>
      <c r="E931" t="s">
        <v>26</v>
      </c>
      <c r="F931">
        <v>111.4</v>
      </c>
      <c r="G931" t="str">
        <f>VLOOKUP(Table1_2[[#This Row],[Categories]],Sheet3!$A$1:$B$27,2,FALSE)</f>
        <v>Education</v>
      </c>
    </row>
    <row r="932" spans="1:7" x14ac:dyDescent="0.3">
      <c r="A932" t="s">
        <v>33</v>
      </c>
      <c r="B932">
        <v>2013</v>
      </c>
      <c r="C932" t="s">
        <v>46</v>
      </c>
      <c r="D932" s="2">
        <v>41609</v>
      </c>
      <c r="E932" t="s">
        <v>27</v>
      </c>
      <c r="F932">
        <v>107.7</v>
      </c>
      <c r="G932" t="str">
        <f>VLOOKUP(Table1_2[[#This Row],[Categories]],Sheet3!$A$1:$B$27,2,FALSE)</f>
        <v>Household Items</v>
      </c>
    </row>
    <row r="933" spans="1:7" x14ac:dyDescent="0.3">
      <c r="A933" t="s">
        <v>33</v>
      </c>
      <c r="B933">
        <v>2013</v>
      </c>
      <c r="C933" t="s">
        <v>46</v>
      </c>
      <c r="D933" s="2">
        <v>41609</v>
      </c>
      <c r="E933" t="s">
        <v>28</v>
      </c>
      <c r="F933">
        <v>109.8</v>
      </c>
      <c r="G933" t="str">
        <f>VLOOKUP(Table1_2[[#This Row],[Categories]],Sheet3!$A$1:$B$27,2,FALSE)</f>
        <v>Miscellaneous</v>
      </c>
    </row>
    <row r="934" spans="1:7" x14ac:dyDescent="0.3">
      <c r="A934" t="s">
        <v>33</v>
      </c>
      <c r="B934">
        <v>2013</v>
      </c>
      <c r="C934" t="s">
        <v>46</v>
      </c>
      <c r="D934" s="2">
        <v>41609</v>
      </c>
      <c r="E934" t="s">
        <v>29</v>
      </c>
      <c r="F934">
        <v>113.3</v>
      </c>
      <c r="G934" t="str">
        <f>VLOOKUP(Table1_2[[#This Row],[Categories]],Sheet3!$A$1:$B$27,2,FALSE)</f>
        <v>General index</v>
      </c>
    </row>
    <row r="935" spans="1:7" x14ac:dyDescent="0.3">
      <c r="A935" t="s">
        <v>34</v>
      </c>
      <c r="B935">
        <v>2013</v>
      </c>
      <c r="C935" t="s">
        <v>46</v>
      </c>
      <c r="D935" s="2">
        <v>41609</v>
      </c>
      <c r="E935" t="s">
        <v>3</v>
      </c>
      <c r="F935">
        <v>119.1</v>
      </c>
      <c r="G935" t="str">
        <f>VLOOKUP(Table1_2[[#This Row],[Categories]],Sheet3!$A$1:$B$27,2,FALSE)</f>
        <v>Food &amp;Beverage</v>
      </c>
    </row>
    <row r="936" spans="1:7" x14ac:dyDescent="0.3">
      <c r="A936" t="s">
        <v>34</v>
      </c>
      <c r="B936">
        <v>2013</v>
      </c>
      <c r="C936" t="s">
        <v>46</v>
      </c>
      <c r="D936" s="2">
        <v>41609</v>
      </c>
      <c r="E936" t="s">
        <v>4</v>
      </c>
      <c r="F936">
        <v>116.7</v>
      </c>
      <c r="G936" t="str">
        <f>VLOOKUP(Table1_2[[#This Row],[Categories]],Sheet3!$A$1:$B$27,2,FALSE)</f>
        <v>Food &amp;Beverage</v>
      </c>
    </row>
    <row r="937" spans="1:7" x14ac:dyDescent="0.3">
      <c r="A937" t="s">
        <v>34</v>
      </c>
      <c r="B937">
        <v>2013</v>
      </c>
      <c r="C937" t="s">
        <v>46</v>
      </c>
      <c r="D937" s="2">
        <v>41609</v>
      </c>
      <c r="E937" t="s">
        <v>5</v>
      </c>
      <c r="F937">
        <v>123.5</v>
      </c>
      <c r="G937" t="str">
        <f>VLOOKUP(Table1_2[[#This Row],[Categories]],Sheet3!$A$1:$B$27,2,FALSE)</f>
        <v>Food &amp;Beverage</v>
      </c>
    </row>
    <row r="938" spans="1:7" x14ac:dyDescent="0.3">
      <c r="A938" t="s">
        <v>34</v>
      </c>
      <c r="B938">
        <v>2013</v>
      </c>
      <c r="C938" t="s">
        <v>46</v>
      </c>
      <c r="D938" s="2">
        <v>41609</v>
      </c>
      <c r="E938" t="s">
        <v>6</v>
      </c>
      <c r="F938">
        <v>113.4</v>
      </c>
      <c r="G938" t="str">
        <f>VLOOKUP(Table1_2[[#This Row],[Categories]],Sheet3!$A$1:$B$27,2,FALSE)</f>
        <v>Food &amp;Beverage</v>
      </c>
    </row>
    <row r="939" spans="1:7" x14ac:dyDescent="0.3">
      <c r="A939" t="s">
        <v>34</v>
      </c>
      <c r="B939">
        <v>2013</v>
      </c>
      <c r="C939" t="s">
        <v>46</v>
      </c>
      <c r="D939" s="2">
        <v>41609</v>
      </c>
      <c r="E939" t="s">
        <v>7</v>
      </c>
      <c r="F939">
        <v>107.3</v>
      </c>
      <c r="G939" t="str">
        <f>VLOOKUP(Table1_2[[#This Row],[Categories]],Sheet3!$A$1:$B$27,2,FALSE)</f>
        <v>Food &amp;Beverage</v>
      </c>
    </row>
    <row r="940" spans="1:7" x14ac:dyDescent="0.3">
      <c r="A940" t="s">
        <v>34</v>
      </c>
      <c r="B940">
        <v>2013</v>
      </c>
      <c r="C940" t="s">
        <v>46</v>
      </c>
      <c r="D940" s="2">
        <v>41609</v>
      </c>
      <c r="E940" t="s">
        <v>8</v>
      </c>
      <c r="F940">
        <v>113.3</v>
      </c>
      <c r="G940" t="str">
        <f>VLOOKUP(Table1_2[[#This Row],[Categories]],Sheet3!$A$1:$B$27,2,FALSE)</f>
        <v>Food &amp;Beverage</v>
      </c>
    </row>
    <row r="941" spans="1:7" x14ac:dyDescent="0.3">
      <c r="A941" t="s">
        <v>34</v>
      </c>
      <c r="B941">
        <v>2013</v>
      </c>
      <c r="C941" t="s">
        <v>46</v>
      </c>
      <c r="D941" s="2">
        <v>41609</v>
      </c>
      <c r="E941" t="s">
        <v>9</v>
      </c>
      <c r="F941">
        <v>145.4</v>
      </c>
      <c r="G941" t="str">
        <f>VLOOKUP(Table1_2[[#This Row],[Categories]],Sheet3!$A$1:$B$27,2,FALSE)</f>
        <v>Food &amp;Beverage</v>
      </c>
    </row>
    <row r="942" spans="1:7" x14ac:dyDescent="0.3">
      <c r="A942" t="s">
        <v>34</v>
      </c>
      <c r="B942">
        <v>2013</v>
      </c>
      <c r="C942" t="s">
        <v>46</v>
      </c>
      <c r="D942" s="2">
        <v>41609</v>
      </c>
      <c r="E942" t="s">
        <v>10</v>
      </c>
      <c r="F942">
        <v>108.7</v>
      </c>
      <c r="G942" t="str">
        <f>VLOOKUP(Table1_2[[#This Row],[Categories]],Sheet3!$A$1:$B$27,2,FALSE)</f>
        <v>Food &amp;Beverage</v>
      </c>
    </row>
    <row r="943" spans="1:7" x14ac:dyDescent="0.3">
      <c r="A943" t="s">
        <v>34</v>
      </c>
      <c r="B943">
        <v>2013</v>
      </c>
      <c r="C943" t="s">
        <v>46</v>
      </c>
      <c r="D943" s="2">
        <v>41609</v>
      </c>
      <c r="E943" t="s">
        <v>11</v>
      </c>
      <c r="F943">
        <v>101.5</v>
      </c>
      <c r="G943" t="str">
        <f>VLOOKUP(Table1_2[[#This Row],[Categories]],Sheet3!$A$1:$B$27,2,FALSE)</f>
        <v>Food &amp;Beverage</v>
      </c>
    </row>
    <row r="944" spans="1:7" x14ac:dyDescent="0.3">
      <c r="A944" t="s">
        <v>34</v>
      </c>
      <c r="B944">
        <v>2013</v>
      </c>
      <c r="C944" t="s">
        <v>46</v>
      </c>
      <c r="D944" s="2">
        <v>41609</v>
      </c>
      <c r="E944" t="s">
        <v>12</v>
      </c>
      <c r="F944">
        <v>110.5</v>
      </c>
      <c r="G944" t="str">
        <f>VLOOKUP(Table1_2[[#This Row],[Categories]],Sheet3!$A$1:$B$27,2,FALSE)</f>
        <v>Food &amp;Beverage</v>
      </c>
    </row>
    <row r="945" spans="1:7" x14ac:dyDescent="0.3">
      <c r="A945" t="s">
        <v>34</v>
      </c>
      <c r="B945">
        <v>2013</v>
      </c>
      <c r="C945" t="s">
        <v>46</v>
      </c>
      <c r="D945" s="2">
        <v>41609</v>
      </c>
      <c r="E945" t="s">
        <v>13</v>
      </c>
      <c r="F945">
        <v>112.1</v>
      </c>
      <c r="G945" t="str">
        <f>VLOOKUP(Table1_2[[#This Row],[Categories]],Sheet3!$A$1:$B$27,2,FALSE)</f>
        <v>Food &amp;Beverage</v>
      </c>
    </row>
    <row r="946" spans="1:7" x14ac:dyDescent="0.3">
      <c r="A946" t="s">
        <v>34</v>
      </c>
      <c r="B946">
        <v>2013</v>
      </c>
      <c r="C946" t="s">
        <v>46</v>
      </c>
      <c r="D946" s="2">
        <v>41609</v>
      </c>
      <c r="E946" t="s">
        <v>14</v>
      </c>
      <c r="F946">
        <v>117.4</v>
      </c>
      <c r="G946" t="str">
        <f>VLOOKUP(Table1_2[[#This Row],[Categories]],Sheet3!$A$1:$B$27,2,FALSE)</f>
        <v>Food &amp;Beverage</v>
      </c>
    </row>
    <row r="947" spans="1:7" x14ac:dyDescent="0.3">
      <c r="A947" t="s">
        <v>34</v>
      </c>
      <c r="B947">
        <v>2013</v>
      </c>
      <c r="C947" t="s">
        <v>46</v>
      </c>
      <c r="D947" s="2">
        <v>41609</v>
      </c>
      <c r="E947" t="s">
        <v>15</v>
      </c>
      <c r="F947">
        <v>118.4</v>
      </c>
      <c r="G947" t="str">
        <f>VLOOKUP(Table1_2[[#This Row],[Categories]],Sheet3!$A$1:$B$27,2,FALSE)</f>
        <v>Food &amp;Beverage</v>
      </c>
    </row>
    <row r="948" spans="1:7" x14ac:dyDescent="0.3">
      <c r="A948" t="s">
        <v>34</v>
      </c>
      <c r="B948">
        <v>2013</v>
      </c>
      <c r="C948" t="s">
        <v>46</v>
      </c>
      <c r="D948" s="2">
        <v>41609</v>
      </c>
      <c r="E948" t="s">
        <v>16</v>
      </c>
      <c r="F948">
        <v>114</v>
      </c>
      <c r="G948" t="str">
        <f>VLOOKUP(Table1_2[[#This Row],[Categories]],Sheet3!$A$1:$B$27,2,FALSE)</f>
        <v>Recreation and amusement</v>
      </c>
    </row>
    <row r="949" spans="1:7" x14ac:dyDescent="0.3">
      <c r="A949" t="s">
        <v>34</v>
      </c>
      <c r="B949">
        <v>2013</v>
      </c>
      <c r="C949" t="s">
        <v>46</v>
      </c>
      <c r="D949" s="2">
        <v>41609</v>
      </c>
      <c r="E949" t="s">
        <v>17</v>
      </c>
      <c r="F949">
        <v>115.2</v>
      </c>
      <c r="G949" t="str">
        <f>VLOOKUP(Table1_2[[#This Row],[Categories]],Sheet3!$A$1:$B$27,2,FALSE)</f>
        <v>Clothing and footwear</v>
      </c>
    </row>
    <row r="950" spans="1:7" x14ac:dyDescent="0.3">
      <c r="A950" t="s">
        <v>34</v>
      </c>
      <c r="B950">
        <v>2013</v>
      </c>
      <c r="C950" t="s">
        <v>46</v>
      </c>
      <c r="D950" s="2">
        <v>41609</v>
      </c>
      <c r="E950" t="s">
        <v>18</v>
      </c>
      <c r="F950">
        <v>112.7</v>
      </c>
      <c r="G950" t="str">
        <f>VLOOKUP(Table1_2[[#This Row],[Categories]],Sheet3!$A$1:$B$27,2,FALSE)</f>
        <v>Clothing and footwear</v>
      </c>
    </row>
    <row r="951" spans="1:7" x14ac:dyDescent="0.3">
      <c r="A951" t="s">
        <v>34</v>
      </c>
      <c r="B951">
        <v>2013</v>
      </c>
      <c r="C951" t="s">
        <v>46</v>
      </c>
      <c r="D951" s="2">
        <v>41609</v>
      </c>
      <c r="E951" t="s">
        <v>19</v>
      </c>
      <c r="F951">
        <v>114.8</v>
      </c>
      <c r="G951" t="str">
        <f>VLOOKUP(Table1_2[[#This Row],[Categories]],Sheet3!$A$1:$B$27,2,FALSE)</f>
        <v>Clothing and footwear</v>
      </c>
    </row>
    <row r="952" spans="1:7" x14ac:dyDescent="0.3">
      <c r="A952" t="s">
        <v>34</v>
      </c>
      <c r="B952">
        <v>2013</v>
      </c>
      <c r="C952" t="s">
        <v>46</v>
      </c>
      <c r="D952" s="2">
        <v>41609</v>
      </c>
      <c r="E952" t="s">
        <v>20</v>
      </c>
      <c r="F952">
        <v>110.7</v>
      </c>
      <c r="G952" t="str">
        <f>VLOOKUP(Table1_2[[#This Row],[Categories]],Sheet3!$A$1:$B$27,2,FALSE)</f>
        <v>Housing</v>
      </c>
    </row>
    <row r="953" spans="1:7" x14ac:dyDescent="0.3">
      <c r="A953" t="s">
        <v>34</v>
      </c>
      <c r="B953">
        <v>2013</v>
      </c>
      <c r="C953" t="s">
        <v>46</v>
      </c>
      <c r="D953" s="2">
        <v>41609</v>
      </c>
      <c r="E953" t="s">
        <v>21</v>
      </c>
      <c r="F953">
        <v>111.9</v>
      </c>
      <c r="G953" t="str">
        <f>VLOOKUP(Table1_2[[#This Row],[Categories]],Sheet3!$A$1:$B$27,2,FALSE)</f>
        <v>Fuel and light</v>
      </c>
    </row>
    <row r="954" spans="1:7" x14ac:dyDescent="0.3">
      <c r="A954" t="s">
        <v>34</v>
      </c>
      <c r="B954">
        <v>2013</v>
      </c>
      <c r="C954" t="s">
        <v>46</v>
      </c>
      <c r="D954" s="2">
        <v>41609</v>
      </c>
      <c r="E954" t="s">
        <v>22</v>
      </c>
      <c r="F954">
        <v>111.7</v>
      </c>
      <c r="G954" t="str">
        <f>VLOOKUP(Table1_2[[#This Row],[Categories]],Sheet3!$A$1:$B$27,2,FALSE)</f>
        <v>Household Items</v>
      </c>
    </row>
    <row r="955" spans="1:7" x14ac:dyDescent="0.3">
      <c r="A955" t="s">
        <v>34</v>
      </c>
      <c r="B955">
        <v>2013</v>
      </c>
      <c r="C955" t="s">
        <v>46</v>
      </c>
      <c r="D955" s="2">
        <v>41609</v>
      </c>
      <c r="E955" t="s">
        <v>23</v>
      </c>
      <c r="F955">
        <v>109.7</v>
      </c>
      <c r="G955" t="str">
        <f>VLOOKUP(Table1_2[[#This Row],[Categories]],Sheet3!$A$1:$B$27,2,FALSE)</f>
        <v>Health</v>
      </c>
    </row>
    <row r="956" spans="1:7" x14ac:dyDescent="0.3">
      <c r="A956" t="s">
        <v>34</v>
      </c>
      <c r="B956">
        <v>2013</v>
      </c>
      <c r="C956" t="s">
        <v>46</v>
      </c>
      <c r="D956" s="2">
        <v>41609</v>
      </c>
      <c r="E956" t="s">
        <v>24</v>
      </c>
      <c r="F956">
        <v>109.8</v>
      </c>
      <c r="G956" t="str">
        <f>VLOOKUP(Table1_2[[#This Row],[Categories]],Sheet3!$A$1:$B$27,2,FALSE)</f>
        <v>Transport and communication</v>
      </c>
    </row>
    <row r="957" spans="1:7" x14ac:dyDescent="0.3">
      <c r="A957" t="s">
        <v>34</v>
      </c>
      <c r="B957">
        <v>2013</v>
      </c>
      <c r="C957" t="s">
        <v>46</v>
      </c>
      <c r="D957" s="2">
        <v>41609</v>
      </c>
      <c r="E957" t="s">
        <v>25</v>
      </c>
      <c r="F957">
        <v>109</v>
      </c>
      <c r="G957" t="str">
        <f>VLOOKUP(Table1_2[[#This Row],[Categories]],Sheet3!$A$1:$B$27,2,FALSE)</f>
        <v>Recreation and amusement</v>
      </c>
    </row>
    <row r="958" spans="1:7" x14ac:dyDescent="0.3">
      <c r="A958" t="s">
        <v>34</v>
      </c>
      <c r="B958">
        <v>2013</v>
      </c>
      <c r="C958" t="s">
        <v>46</v>
      </c>
      <c r="D958" s="2">
        <v>41609</v>
      </c>
      <c r="E958" t="s">
        <v>26</v>
      </c>
      <c r="F958">
        <v>111.5</v>
      </c>
      <c r="G958" t="str">
        <f>VLOOKUP(Table1_2[[#This Row],[Categories]],Sheet3!$A$1:$B$27,2,FALSE)</f>
        <v>Education</v>
      </c>
    </row>
    <row r="959" spans="1:7" x14ac:dyDescent="0.3">
      <c r="A959" t="s">
        <v>34</v>
      </c>
      <c r="B959">
        <v>2013</v>
      </c>
      <c r="C959" t="s">
        <v>46</v>
      </c>
      <c r="D959" s="2">
        <v>41609</v>
      </c>
      <c r="E959" t="s">
        <v>27</v>
      </c>
      <c r="F959">
        <v>107.9</v>
      </c>
      <c r="G959" t="str">
        <f>VLOOKUP(Table1_2[[#This Row],[Categories]],Sheet3!$A$1:$B$27,2,FALSE)</f>
        <v>Household Items</v>
      </c>
    </row>
    <row r="960" spans="1:7" x14ac:dyDescent="0.3">
      <c r="A960" t="s">
        <v>34</v>
      </c>
      <c r="B960">
        <v>2013</v>
      </c>
      <c r="C960" t="s">
        <v>46</v>
      </c>
      <c r="D960" s="2">
        <v>41609</v>
      </c>
      <c r="E960" t="s">
        <v>28</v>
      </c>
      <c r="F960">
        <v>110</v>
      </c>
      <c r="G960" t="str">
        <f>VLOOKUP(Table1_2[[#This Row],[Categories]],Sheet3!$A$1:$B$27,2,FALSE)</f>
        <v>Miscellaneous</v>
      </c>
    </row>
    <row r="961" spans="1:7" x14ac:dyDescent="0.3">
      <c r="A961" t="s">
        <v>34</v>
      </c>
      <c r="B961">
        <v>2013</v>
      </c>
      <c r="C961" t="s">
        <v>46</v>
      </c>
      <c r="D961" s="2">
        <v>41609</v>
      </c>
      <c r="E961" t="s">
        <v>29</v>
      </c>
      <c r="F961">
        <v>114.5</v>
      </c>
      <c r="G961" t="str">
        <f>VLOOKUP(Table1_2[[#This Row],[Categories]],Sheet3!$A$1:$B$27,2,FALSE)</f>
        <v>General index</v>
      </c>
    </row>
    <row r="962" spans="1:7" x14ac:dyDescent="0.3">
      <c r="A962" t="s">
        <v>30</v>
      </c>
      <c r="B962">
        <v>2014</v>
      </c>
      <c r="C962" t="s">
        <v>31</v>
      </c>
      <c r="D962" s="2">
        <v>41640</v>
      </c>
      <c r="E962" t="s">
        <v>3</v>
      </c>
      <c r="F962">
        <v>118.9</v>
      </c>
      <c r="G962" t="str">
        <f>VLOOKUP(Table1_2[[#This Row],[Categories]],Sheet3!$A$1:$B$27,2,FALSE)</f>
        <v>Food &amp;Beverage</v>
      </c>
    </row>
    <row r="963" spans="1:7" x14ac:dyDescent="0.3">
      <c r="A963" t="s">
        <v>30</v>
      </c>
      <c r="B963">
        <v>2014</v>
      </c>
      <c r="C963" t="s">
        <v>31</v>
      </c>
      <c r="D963" s="2">
        <v>41640</v>
      </c>
      <c r="E963" t="s">
        <v>4</v>
      </c>
      <c r="F963">
        <v>117.1</v>
      </c>
      <c r="G963" t="str">
        <f>VLOOKUP(Table1_2[[#This Row],[Categories]],Sheet3!$A$1:$B$27,2,FALSE)</f>
        <v>Food &amp;Beverage</v>
      </c>
    </row>
    <row r="964" spans="1:7" x14ac:dyDescent="0.3">
      <c r="A964" t="s">
        <v>30</v>
      </c>
      <c r="B964">
        <v>2014</v>
      </c>
      <c r="C964" t="s">
        <v>31</v>
      </c>
      <c r="D964" s="2">
        <v>41640</v>
      </c>
      <c r="E964" t="s">
        <v>5</v>
      </c>
      <c r="F964">
        <v>120.5</v>
      </c>
      <c r="G964" t="str">
        <f>VLOOKUP(Table1_2[[#This Row],[Categories]],Sheet3!$A$1:$B$27,2,FALSE)</f>
        <v>Food &amp;Beverage</v>
      </c>
    </row>
    <row r="965" spans="1:7" x14ac:dyDescent="0.3">
      <c r="A965" t="s">
        <v>30</v>
      </c>
      <c r="B965">
        <v>2014</v>
      </c>
      <c r="C965" t="s">
        <v>31</v>
      </c>
      <c r="D965" s="2">
        <v>41640</v>
      </c>
      <c r="E965" t="s">
        <v>6</v>
      </c>
      <c r="F965">
        <v>114.4</v>
      </c>
      <c r="G965" t="str">
        <f>VLOOKUP(Table1_2[[#This Row],[Categories]],Sheet3!$A$1:$B$27,2,FALSE)</f>
        <v>Food &amp;Beverage</v>
      </c>
    </row>
    <row r="966" spans="1:7" x14ac:dyDescent="0.3">
      <c r="A966" t="s">
        <v>30</v>
      </c>
      <c r="B966">
        <v>2014</v>
      </c>
      <c r="C966" t="s">
        <v>31</v>
      </c>
      <c r="D966" s="2">
        <v>41640</v>
      </c>
      <c r="E966" t="s">
        <v>7</v>
      </c>
      <c r="F966">
        <v>109</v>
      </c>
      <c r="G966" t="str">
        <f>VLOOKUP(Table1_2[[#This Row],[Categories]],Sheet3!$A$1:$B$27,2,FALSE)</f>
        <v>Food &amp;Beverage</v>
      </c>
    </row>
    <row r="967" spans="1:7" x14ac:dyDescent="0.3">
      <c r="A967" t="s">
        <v>30</v>
      </c>
      <c r="B967">
        <v>2014</v>
      </c>
      <c r="C967" t="s">
        <v>31</v>
      </c>
      <c r="D967" s="2">
        <v>41640</v>
      </c>
      <c r="E967" t="s">
        <v>8</v>
      </c>
      <c r="F967">
        <v>115.5</v>
      </c>
      <c r="G967" t="str">
        <f>VLOOKUP(Table1_2[[#This Row],[Categories]],Sheet3!$A$1:$B$27,2,FALSE)</f>
        <v>Food &amp;Beverage</v>
      </c>
    </row>
    <row r="968" spans="1:7" x14ac:dyDescent="0.3">
      <c r="A968" t="s">
        <v>30</v>
      </c>
      <c r="B968">
        <v>2014</v>
      </c>
      <c r="C968" t="s">
        <v>31</v>
      </c>
      <c r="D968" s="2">
        <v>41640</v>
      </c>
      <c r="E968" t="s">
        <v>9</v>
      </c>
      <c r="F968">
        <v>123.9</v>
      </c>
      <c r="G968" t="str">
        <f>VLOOKUP(Table1_2[[#This Row],[Categories]],Sheet3!$A$1:$B$27,2,FALSE)</f>
        <v>Food &amp;Beverage</v>
      </c>
    </row>
    <row r="969" spans="1:7" x14ac:dyDescent="0.3">
      <c r="A969" t="s">
        <v>30</v>
      </c>
      <c r="B969">
        <v>2014</v>
      </c>
      <c r="C969" t="s">
        <v>31</v>
      </c>
      <c r="D969" s="2">
        <v>41640</v>
      </c>
      <c r="E969" t="s">
        <v>10</v>
      </c>
      <c r="F969">
        <v>109.6</v>
      </c>
      <c r="G969" t="str">
        <f>VLOOKUP(Table1_2[[#This Row],[Categories]],Sheet3!$A$1:$B$27,2,FALSE)</f>
        <v>Food &amp;Beverage</v>
      </c>
    </row>
    <row r="970" spans="1:7" x14ac:dyDescent="0.3">
      <c r="A970" t="s">
        <v>30</v>
      </c>
      <c r="B970">
        <v>2014</v>
      </c>
      <c r="C970" t="s">
        <v>31</v>
      </c>
      <c r="D970" s="2">
        <v>41640</v>
      </c>
      <c r="E970" t="s">
        <v>11</v>
      </c>
      <c r="F970">
        <v>101.8</v>
      </c>
      <c r="G970" t="str">
        <f>VLOOKUP(Table1_2[[#This Row],[Categories]],Sheet3!$A$1:$B$27,2,FALSE)</f>
        <v>Food &amp;Beverage</v>
      </c>
    </row>
    <row r="971" spans="1:7" x14ac:dyDescent="0.3">
      <c r="A971" t="s">
        <v>30</v>
      </c>
      <c r="B971">
        <v>2014</v>
      </c>
      <c r="C971" t="s">
        <v>31</v>
      </c>
      <c r="D971" s="2">
        <v>41640</v>
      </c>
      <c r="E971" t="s">
        <v>12</v>
      </c>
      <c r="F971">
        <v>110.2</v>
      </c>
      <c r="G971" t="str">
        <f>VLOOKUP(Table1_2[[#This Row],[Categories]],Sheet3!$A$1:$B$27,2,FALSE)</f>
        <v>Food &amp;Beverage</v>
      </c>
    </row>
    <row r="972" spans="1:7" x14ac:dyDescent="0.3">
      <c r="A972" t="s">
        <v>30</v>
      </c>
      <c r="B972">
        <v>2014</v>
      </c>
      <c r="C972" t="s">
        <v>31</v>
      </c>
      <c r="D972" s="2">
        <v>41640</v>
      </c>
      <c r="E972" t="s">
        <v>13</v>
      </c>
      <c r="F972">
        <v>112.4</v>
      </c>
      <c r="G972" t="str">
        <f>VLOOKUP(Table1_2[[#This Row],[Categories]],Sheet3!$A$1:$B$27,2,FALSE)</f>
        <v>Food &amp;Beverage</v>
      </c>
    </row>
    <row r="973" spans="1:7" x14ac:dyDescent="0.3">
      <c r="A973" t="s">
        <v>30</v>
      </c>
      <c r="B973">
        <v>2014</v>
      </c>
      <c r="C973" t="s">
        <v>31</v>
      </c>
      <c r="D973" s="2">
        <v>41640</v>
      </c>
      <c r="E973" t="s">
        <v>14</v>
      </c>
      <c r="F973">
        <v>117.3</v>
      </c>
      <c r="G973" t="str">
        <f>VLOOKUP(Table1_2[[#This Row],[Categories]],Sheet3!$A$1:$B$27,2,FALSE)</f>
        <v>Food &amp;Beverage</v>
      </c>
    </row>
    <row r="974" spans="1:7" x14ac:dyDescent="0.3">
      <c r="A974" t="s">
        <v>30</v>
      </c>
      <c r="B974">
        <v>2014</v>
      </c>
      <c r="C974" t="s">
        <v>31</v>
      </c>
      <c r="D974" s="2">
        <v>41640</v>
      </c>
      <c r="E974" t="s">
        <v>15</v>
      </c>
      <c r="F974">
        <v>116</v>
      </c>
      <c r="G974" t="str">
        <f>VLOOKUP(Table1_2[[#This Row],[Categories]],Sheet3!$A$1:$B$27,2,FALSE)</f>
        <v>Food &amp;Beverage</v>
      </c>
    </row>
    <row r="975" spans="1:7" x14ac:dyDescent="0.3">
      <c r="A975" t="s">
        <v>30</v>
      </c>
      <c r="B975">
        <v>2014</v>
      </c>
      <c r="C975" t="s">
        <v>31</v>
      </c>
      <c r="D975" s="2">
        <v>41640</v>
      </c>
      <c r="E975" t="s">
        <v>16</v>
      </c>
      <c r="F975">
        <v>114</v>
      </c>
      <c r="G975" t="str">
        <f>VLOOKUP(Table1_2[[#This Row],[Categories]],Sheet3!$A$1:$B$27,2,FALSE)</f>
        <v>Recreation and amusement</v>
      </c>
    </row>
    <row r="976" spans="1:7" x14ac:dyDescent="0.3">
      <c r="A976" t="s">
        <v>30</v>
      </c>
      <c r="B976">
        <v>2014</v>
      </c>
      <c r="C976" t="s">
        <v>31</v>
      </c>
      <c r="D976" s="2">
        <v>41640</v>
      </c>
      <c r="E976" t="s">
        <v>17</v>
      </c>
      <c r="F976">
        <v>116.5</v>
      </c>
      <c r="G976" t="str">
        <f>VLOOKUP(Table1_2[[#This Row],[Categories]],Sheet3!$A$1:$B$27,2,FALSE)</f>
        <v>Clothing and footwear</v>
      </c>
    </row>
    <row r="977" spans="1:7" x14ac:dyDescent="0.3">
      <c r="A977" t="s">
        <v>30</v>
      </c>
      <c r="B977">
        <v>2014</v>
      </c>
      <c r="C977" t="s">
        <v>31</v>
      </c>
      <c r="D977" s="2">
        <v>41640</v>
      </c>
      <c r="E977" t="s">
        <v>18</v>
      </c>
      <c r="F977">
        <v>114.5</v>
      </c>
      <c r="G977" t="str">
        <f>VLOOKUP(Table1_2[[#This Row],[Categories]],Sheet3!$A$1:$B$27,2,FALSE)</f>
        <v>Clothing and footwear</v>
      </c>
    </row>
    <row r="978" spans="1:7" x14ac:dyDescent="0.3">
      <c r="A978" t="s">
        <v>30</v>
      </c>
      <c r="B978">
        <v>2014</v>
      </c>
      <c r="C978" t="s">
        <v>31</v>
      </c>
      <c r="D978" s="2">
        <v>41640</v>
      </c>
      <c r="E978" t="s">
        <v>19</v>
      </c>
      <c r="F978">
        <v>116.2</v>
      </c>
      <c r="G978" t="str">
        <f>VLOOKUP(Table1_2[[#This Row],[Categories]],Sheet3!$A$1:$B$27,2,FALSE)</f>
        <v>Clothing and footwear</v>
      </c>
    </row>
    <row r="979" spans="1:7" x14ac:dyDescent="0.3">
      <c r="A979" t="s">
        <v>30</v>
      </c>
      <c r="B979">
        <v>2014</v>
      </c>
      <c r="C979" t="s">
        <v>31</v>
      </c>
      <c r="D979" s="2">
        <v>41640</v>
      </c>
      <c r="E979" t="s">
        <v>21</v>
      </c>
      <c r="F979">
        <v>113</v>
      </c>
      <c r="G979" t="str">
        <f>VLOOKUP(Table1_2[[#This Row],[Categories]],Sheet3!$A$1:$B$27,2,FALSE)</f>
        <v>Fuel and light</v>
      </c>
    </row>
    <row r="980" spans="1:7" x14ac:dyDescent="0.3">
      <c r="A980" t="s">
        <v>30</v>
      </c>
      <c r="B980">
        <v>2014</v>
      </c>
      <c r="C980" t="s">
        <v>31</v>
      </c>
      <c r="D980" s="2">
        <v>41640</v>
      </c>
      <c r="E980" t="s">
        <v>22</v>
      </c>
      <c r="F980">
        <v>112.6</v>
      </c>
      <c r="G980" t="str">
        <f>VLOOKUP(Table1_2[[#This Row],[Categories]],Sheet3!$A$1:$B$27,2,FALSE)</f>
        <v>Household Items</v>
      </c>
    </row>
    <row r="981" spans="1:7" x14ac:dyDescent="0.3">
      <c r="A981" t="s">
        <v>30</v>
      </c>
      <c r="B981">
        <v>2014</v>
      </c>
      <c r="C981" t="s">
        <v>31</v>
      </c>
      <c r="D981" s="2">
        <v>41640</v>
      </c>
      <c r="E981" t="s">
        <v>23</v>
      </c>
      <c r="F981">
        <v>110.6</v>
      </c>
      <c r="G981" t="str">
        <f>VLOOKUP(Table1_2[[#This Row],[Categories]],Sheet3!$A$1:$B$27,2,FALSE)</f>
        <v>Health</v>
      </c>
    </row>
    <row r="982" spans="1:7" x14ac:dyDescent="0.3">
      <c r="A982" t="s">
        <v>30</v>
      </c>
      <c r="B982">
        <v>2014</v>
      </c>
      <c r="C982" t="s">
        <v>31</v>
      </c>
      <c r="D982" s="2">
        <v>41640</v>
      </c>
      <c r="E982" t="s">
        <v>24</v>
      </c>
      <c r="F982">
        <v>110.5</v>
      </c>
      <c r="G982" t="str">
        <f>VLOOKUP(Table1_2[[#This Row],[Categories]],Sheet3!$A$1:$B$27,2,FALSE)</f>
        <v>Transport and communication</v>
      </c>
    </row>
    <row r="983" spans="1:7" x14ac:dyDescent="0.3">
      <c r="A983" t="s">
        <v>30</v>
      </c>
      <c r="B983">
        <v>2014</v>
      </c>
      <c r="C983" t="s">
        <v>31</v>
      </c>
      <c r="D983" s="2">
        <v>41640</v>
      </c>
      <c r="E983" t="s">
        <v>25</v>
      </c>
      <c r="F983">
        <v>109.6</v>
      </c>
      <c r="G983" t="str">
        <f>VLOOKUP(Table1_2[[#This Row],[Categories]],Sheet3!$A$1:$B$27,2,FALSE)</f>
        <v>Recreation and amusement</v>
      </c>
    </row>
    <row r="984" spans="1:7" x14ac:dyDescent="0.3">
      <c r="A984" t="s">
        <v>30</v>
      </c>
      <c r="B984">
        <v>2014</v>
      </c>
      <c r="C984" t="s">
        <v>31</v>
      </c>
      <c r="D984" s="2">
        <v>41640</v>
      </c>
      <c r="E984" t="s">
        <v>26</v>
      </c>
      <c r="F984">
        <v>111.8</v>
      </c>
      <c r="G984" t="str">
        <f>VLOOKUP(Table1_2[[#This Row],[Categories]],Sheet3!$A$1:$B$27,2,FALSE)</f>
        <v>Education</v>
      </c>
    </row>
    <row r="985" spans="1:7" x14ac:dyDescent="0.3">
      <c r="A985" t="s">
        <v>30</v>
      </c>
      <c r="B985">
        <v>2014</v>
      </c>
      <c r="C985" t="s">
        <v>31</v>
      </c>
      <c r="D985" s="2">
        <v>41640</v>
      </c>
      <c r="E985" t="s">
        <v>27</v>
      </c>
      <c r="F985">
        <v>108.3</v>
      </c>
      <c r="G985" t="str">
        <f>VLOOKUP(Table1_2[[#This Row],[Categories]],Sheet3!$A$1:$B$27,2,FALSE)</f>
        <v>Household Items</v>
      </c>
    </row>
    <row r="986" spans="1:7" x14ac:dyDescent="0.3">
      <c r="A986" t="s">
        <v>30</v>
      </c>
      <c r="B986">
        <v>2014</v>
      </c>
      <c r="C986" t="s">
        <v>31</v>
      </c>
      <c r="D986" s="2">
        <v>41640</v>
      </c>
      <c r="E986" t="s">
        <v>28</v>
      </c>
      <c r="F986">
        <v>110.6</v>
      </c>
      <c r="G986" t="str">
        <f>VLOOKUP(Table1_2[[#This Row],[Categories]],Sheet3!$A$1:$B$27,2,FALSE)</f>
        <v>Miscellaneous</v>
      </c>
    </row>
    <row r="987" spans="1:7" x14ac:dyDescent="0.3">
      <c r="A987" t="s">
        <v>30</v>
      </c>
      <c r="B987">
        <v>2014</v>
      </c>
      <c r="C987" t="s">
        <v>31</v>
      </c>
      <c r="D987" s="2">
        <v>41640</v>
      </c>
      <c r="E987" t="s">
        <v>29</v>
      </c>
      <c r="F987">
        <v>114.2</v>
      </c>
      <c r="G987" t="str">
        <f>VLOOKUP(Table1_2[[#This Row],[Categories]],Sheet3!$A$1:$B$27,2,FALSE)</f>
        <v>General index</v>
      </c>
    </row>
    <row r="988" spans="1:7" x14ac:dyDescent="0.3">
      <c r="A988" t="s">
        <v>33</v>
      </c>
      <c r="B988">
        <v>2014</v>
      </c>
      <c r="C988" t="s">
        <v>31</v>
      </c>
      <c r="D988" s="2">
        <v>41640</v>
      </c>
      <c r="E988" t="s">
        <v>3</v>
      </c>
      <c r="F988">
        <v>121.2</v>
      </c>
      <c r="G988" t="str">
        <f>VLOOKUP(Table1_2[[#This Row],[Categories]],Sheet3!$A$1:$B$27,2,FALSE)</f>
        <v>Food &amp;Beverage</v>
      </c>
    </row>
    <row r="989" spans="1:7" x14ac:dyDescent="0.3">
      <c r="A989" t="s">
        <v>33</v>
      </c>
      <c r="B989">
        <v>2014</v>
      </c>
      <c r="C989" t="s">
        <v>31</v>
      </c>
      <c r="D989" s="2">
        <v>41640</v>
      </c>
      <c r="E989" t="s">
        <v>4</v>
      </c>
      <c r="F989">
        <v>122</v>
      </c>
      <c r="G989" t="str">
        <f>VLOOKUP(Table1_2[[#This Row],[Categories]],Sheet3!$A$1:$B$27,2,FALSE)</f>
        <v>Food &amp;Beverage</v>
      </c>
    </row>
    <row r="990" spans="1:7" x14ac:dyDescent="0.3">
      <c r="A990" t="s">
        <v>33</v>
      </c>
      <c r="B990">
        <v>2014</v>
      </c>
      <c r="C990" t="s">
        <v>31</v>
      </c>
      <c r="D990" s="2">
        <v>41640</v>
      </c>
      <c r="E990" t="s">
        <v>5</v>
      </c>
      <c r="F990">
        <v>129.9</v>
      </c>
      <c r="G990" t="str">
        <f>VLOOKUP(Table1_2[[#This Row],[Categories]],Sheet3!$A$1:$B$27,2,FALSE)</f>
        <v>Food &amp;Beverage</v>
      </c>
    </row>
    <row r="991" spans="1:7" x14ac:dyDescent="0.3">
      <c r="A991" t="s">
        <v>33</v>
      </c>
      <c r="B991">
        <v>2014</v>
      </c>
      <c r="C991" t="s">
        <v>31</v>
      </c>
      <c r="D991" s="2">
        <v>41640</v>
      </c>
      <c r="E991" t="s">
        <v>6</v>
      </c>
      <c r="F991">
        <v>113.6</v>
      </c>
      <c r="G991" t="str">
        <f>VLOOKUP(Table1_2[[#This Row],[Categories]],Sheet3!$A$1:$B$27,2,FALSE)</f>
        <v>Food &amp;Beverage</v>
      </c>
    </row>
    <row r="992" spans="1:7" x14ac:dyDescent="0.3">
      <c r="A992" t="s">
        <v>33</v>
      </c>
      <c r="B992">
        <v>2014</v>
      </c>
      <c r="C992" t="s">
        <v>31</v>
      </c>
      <c r="D992" s="2">
        <v>41640</v>
      </c>
      <c r="E992" t="s">
        <v>7</v>
      </c>
      <c r="F992">
        <v>102.9</v>
      </c>
      <c r="G992" t="str">
        <f>VLOOKUP(Table1_2[[#This Row],[Categories]],Sheet3!$A$1:$B$27,2,FALSE)</f>
        <v>Food &amp;Beverage</v>
      </c>
    </row>
    <row r="993" spans="1:7" x14ac:dyDescent="0.3">
      <c r="A993" t="s">
        <v>33</v>
      </c>
      <c r="B993">
        <v>2014</v>
      </c>
      <c r="C993" t="s">
        <v>31</v>
      </c>
      <c r="D993" s="2">
        <v>41640</v>
      </c>
      <c r="E993" t="s">
        <v>8</v>
      </c>
      <c r="F993">
        <v>112.1</v>
      </c>
      <c r="G993" t="str">
        <f>VLOOKUP(Table1_2[[#This Row],[Categories]],Sheet3!$A$1:$B$27,2,FALSE)</f>
        <v>Food &amp;Beverage</v>
      </c>
    </row>
    <row r="994" spans="1:7" x14ac:dyDescent="0.3">
      <c r="A994" t="s">
        <v>33</v>
      </c>
      <c r="B994">
        <v>2014</v>
      </c>
      <c r="C994" t="s">
        <v>31</v>
      </c>
      <c r="D994" s="2">
        <v>41640</v>
      </c>
      <c r="E994" t="s">
        <v>9</v>
      </c>
      <c r="F994">
        <v>118.9</v>
      </c>
      <c r="G994" t="str">
        <f>VLOOKUP(Table1_2[[#This Row],[Categories]],Sheet3!$A$1:$B$27,2,FALSE)</f>
        <v>Food &amp;Beverage</v>
      </c>
    </row>
    <row r="995" spans="1:7" x14ac:dyDescent="0.3">
      <c r="A995" t="s">
        <v>33</v>
      </c>
      <c r="B995">
        <v>2014</v>
      </c>
      <c r="C995" t="s">
        <v>31</v>
      </c>
      <c r="D995" s="2">
        <v>41640</v>
      </c>
      <c r="E995" t="s">
        <v>10</v>
      </c>
      <c r="F995">
        <v>107.5</v>
      </c>
      <c r="G995" t="str">
        <f>VLOOKUP(Table1_2[[#This Row],[Categories]],Sheet3!$A$1:$B$27,2,FALSE)</f>
        <v>Food &amp;Beverage</v>
      </c>
    </row>
    <row r="996" spans="1:7" x14ac:dyDescent="0.3">
      <c r="A996" t="s">
        <v>33</v>
      </c>
      <c r="B996">
        <v>2014</v>
      </c>
      <c r="C996" t="s">
        <v>31</v>
      </c>
      <c r="D996" s="2">
        <v>41640</v>
      </c>
      <c r="E996" t="s">
        <v>11</v>
      </c>
      <c r="F996">
        <v>96.9</v>
      </c>
      <c r="G996" t="str">
        <f>VLOOKUP(Table1_2[[#This Row],[Categories]],Sheet3!$A$1:$B$27,2,FALSE)</f>
        <v>Food &amp;Beverage</v>
      </c>
    </row>
    <row r="997" spans="1:7" x14ac:dyDescent="0.3">
      <c r="A997" t="s">
        <v>33</v>
      </c>
      <c r="B997">
        <v>2014</v>
      </c>
      <c r="C997" t="s">
        <v>31</v>
      </c>
      <c r="D997" s="2">
        <v>41640</v>
      </c>
      <c r="E997" t="s">
        <v>12</v>
      </c>
      <c r="F997">
        <v>112.7</v>
      </c>
      <c r="G997" t="str">
        <f>VLOOKUP(Table1_2[[#This Row],[Categories]],Sheet3!$A$1:$B$27,2,FALSE)</f>
        <v>Food &amp;Beverage</v>
      </c>
    </row>
    <row r="998" spans="1:7" x14ac:dyDescent="0.3">
      <c r="A998" t="s">
        <v>33</v>
      </c>
      <c r="B998">
        <v>2014</v>
      </c>
      <c r="C998" t="s">
        <v>31</v>
      </c>
      <c r="D998" s="2">
        <v>41640</v>
      </c>
      <c r="E998" t="s">
        <v>13</v>
      </c>
      <c r="F998">
        <v>112.1</v>
      </c>
      <c r="G998" t="str">
        <f>VLOOKUP(Table1_2[[#This Row],[Categories]],Sheet3!$A$1:$B$27,2,FALSE)</f>
        <v>Food &amp;Beverage</v>
      </c>
    </row>
    <row r="999" spans="1:7" x14ac:dyDescent="0.3">
      <c r="A999" t="s">
        <v>33</v>
      </c>
      <c r="B999">
        <v>2014</v>
      </c>
      <c r="C999" t="s">
        <v>31</v>
      </c>
      <c r="D999" s="2">
        <v>41640</v>
      </c>
      <c r="E999" t="s">
        <v>14</v>
      </c>
      <c r="F999">
        <v>119</v>
      </c>
      <c r="G999" t="str">
        <f>VLOOKUP(Table1_2[[#This Row],[Categories]],Sheet3!$A$1:$B$27,2,FALSE)</f>
        <v>Food &amp;Beverage</v>
      </c>
    </row>
    <row r="1000" spans="1:7" x14ac:dyDescent="0.3">
      <c r="A1000" t="s">
        <v>33</v>
      </c>
      <c r="B1000">
        <v>2014</v>
      </c>
      <c r="C1000" t="s">
        <v>31</v>
      </c>
      <c r="D1000" s="2">
        <v>41640</v>
      </c>
      <c r="E1000" t="s">
        <v>15</v>
      </c>
      <c r="F1000">
        <v>115.5</v>
      </c>
      <c r="G1000" t="str">
        <f>VLOOKUP(Table1_2[[#This Row],[Categories]],Sheet3!$A$1:$B$27,2,FALSE)</f>
        <v>Food &amp;Beverage</v>
      </c>
    </row>
    <row r="1001" spans="1:7" x14ac:dyDescent="0.3">
      <c r="A1001" t="s">
        <v>33</v>
      </c>
      <c r="B1001">
        <v>2014</v>
      </c>
      <c r="C1001" t="s">
        <v>31</v>
      </c>
      <c r="D1001" s="2">
        <v>41640</v>
      </c>
      <c r="E1001" t="s">
        <v>16</v>
      </c>
      <c r="F1001">
        <v>115.7</v>
      </c>
      <c r="G1001" t="str">
        <f>VLOOKUP(Table1_2[[#This Row],[Categories]],Sheet3!$A$1:$B$27,2,FALSE)</f>
        <v>Recreation and amusement</v>
      </c>
    </row>
    <row r="1002" spans="1:7" x14ac:dyDescent="0.3">
      <c r="A1002" t="s">
        <v>33</v>
      </c>
      <c r="B1002">
        <v>2014</v>
      </c>
      <c r="C1002" t="s">
        <v>31</v>
      </c>
      <c r="D1002" s="2">
        <v>41640</v>
      </c>
      <c r="E1002" t="s">
        <v>17</v>
      </c>
      <c r="F1002">
        <v>114.8</v>
      </c>
      <c r="G1002" t="str">
        <f>VLOOKUP(Table1_2[[#This Row],[Categories]],Sheet3!$A$1:$B$27,2,FALSE)</f>
        <v>Clothing and footwear</v>
      </c>
    </row>
    <row r="1003" spans="1:7" x14ac:dyDescent="0.3">
      <c r="A1003" t="s">
        <v>33</v>
      </c>
      <c r="B1003">
        <v>2014</v>
      </c>
      <c r="C1003" t="s">
        <v>31</v>
      </c>
      <c r="D1003" s="2">
        <v>41640</v>
      </c>
      <c r="E1003" t="s">
        <v>18</v>
      </c>
      <c r="F1003">
        <v>111.3</v>
      </c>
      <c r="G1003" t="str">
        <f>VLOOKUP(Table1_2[[#This Row],[Categories]],Sheet3!$A$1:$B$27,2,FALSE)</f>
        <v>Clothing and footwear</v>
      </c>
    </row>
    <row r="1004" spans="1:7" x14ac:dyDescent="0.3">
      <c r="A1004" t="s">
        <v>33</v>
      </c>
      <c r="B1004">
        <v>2014</v>
      </c>
      <c r="C1004" t="s">
        <v>31</v>
      </c>
      <c r="D1004" s="2">
        <v>41640</v>
      </c>
      <c r="E1004" t="s">
        <v>19</v>
      </c>
      <c r="F1004">
        <v>114.3</v>
      </c>
      <c r="G1004" t="str">
        <f>VLOOKUP(Table1_2[[#This Row],[Categories]],Sheet3!$A$1:$B$27,2,FALSE)</f>
        <v>Clothing and footwear</v>
      </c>
    </row>
    <row r="1005" spans="1:7" x14ac:dyDescent="0.3">
      <c r="A1005" t="s">
        <v>33</v>
      </c>
      <c r="B1005">
        <v>2014</v>
      </c>
      <c r="C1005" t="s">
        <v>31</v>
      </c>
      <c r="D1005" s="2">
        <v>41640</v>
      </c>
      <c r="E1005" t="s">
        <v>20</v>
      </c>
      <c r="F1005">
        <v>111.6</v>
      </c>
      <c r="G1005" t="str">
        <f>VLOOKUP(Table1_2[[#This Row],[Categories]],Sheet3!$A$1:$B$27,2,FALSE)</f>
        <v>Housing</v>
      </c>
    </row>
    <row r="1006" spans="1:7" x14ac:dyDescent="0.3">
      <c r="A1006" t="s">
        <v>33</v>
      </c>
      <c r="B1006">
        <v>2014</v>
      </c>
      <c r="C1006" t="s">
        <v>31</v>
      </c>
      <c r="D1006" s="2">
        <v>41640</v>
      </c>
      <c r="E1006" t="s">
        <v>21</v>
      </c>
      <c r="F1006">
        <v>111</v>
      </c>
      <c r="G1006" t="str">
        <f>VLOOKUP(Table1_2[[#This Row],[Categories]],Sheet3!$A$1:$B$27,2,FALSE)</f>
        <v>Fuel and light</v>
      </c>
    </row>
    <row r="1007" spans="1:7" x14ac:dyDescent="0.3">
      <c r="A1007" t="s">
        <v>33</v>
      </c>
      <c r="B1007">
        <v>2014</v>
      </c>
      <c r="C1007" t="s">
        <v>31</v>
      </c>
      <c r="D1007" s="2">
        <v>41640</v>
      </c>
      <c r="E1007" t="s">
        <v>22</v>
      </c>
      <c r="F1007">
        <v>111.9</v>
      </c>
      <c r="G1007" t="str">
        <f>VLOOKUP(Table1_2[[#This Row],[Categories]],Sheet3!$A$1:$B$27,2,FALSE)</f>
        <v>Household Items</v>
      </c>
    </row>
    <row r="1008" spans="1:7" x14ac:dyDescent="0.3">
      <c r="A1008" t="s">
        <v>33</v>
      </c>
      <c r="B1008">
        <v>2014</v>
      </c>
      <c r="C1008" t="s">
        <v>31</v>
      </c>
      <c r="D1008" s="2">
        <v>41640</v>
      </c>
      <c r="E1008" t="s">
        <v>23</v>
      </c>
      <c r="F1008">
        <v>109.7</v>
      </c>
      <c r="G1008" t="str">
        <f>VLOOKUP(Table1_2[[#This Row],[Categories]],Sheet3!$A$1:$B$27,2,FALSE)</f>
        <v>Health</v>
      </c>
    </row>
    <row r="1009" spans="1:7" x14ac:dyDescent="0.3">
      <c r="A1009" t="s">
        <v>33</v>
      </c>
      <c r="B1009">
        <v>2014</v>
      </c>
      <c r="C1009" t="s">
        <v>31</v>
      </c>
      <c r="D1009" s="2">
        <v>41640</v>
      </c>
      <c r="E1009" t="s">
        <v>24</v>
      </c>
      <c r="F1009">
        <v>110.8</v>
      </c>
      <c r="G1009" t="str">
        <f>VLOOKUP(Table1_2[[#This Row],[Categories]],Sheet3!$A$1:$B$27,2,FALSE)</f>
        <v>Transport and communication</v>
      </c>
    </row>
    <row r="1010" spans="1:7" x14ac:dyDescent="0.3">
      <c r="A1010" t="s">
        <v>33</v>
      </c>
      <c r="B1010">
        <v>2014</v>
      </c>
      <c r="C1010" t="s">
        <v>31</v>
      </c>
      <c r="D1010" s="2">
        <v>41640</v>
      </c>
      <c r="E1010" t="s">
        <v>25</v>
      </c>
      <c r="F1010">
        <v>109.8</v>
      </c>
      <c r="G1010" t="str">
        <f>VLOOKUP(Table1_2[[#This Row],[Categories]],Sheet3!$A$1:$B$27,2,FALSE)</f>
        <v>Recreation and amusement</v>
      </c>
    </row>
    <row r="1011" spans="1:7" x14ac:dyDescent="0.3">
      <c r="A1011" t="s">
        <v>33</v>
      </c>
      <c r="B1011">
        <v>2014</v>
      </c>
      <c r="C1011" t="s">
        <v>31</v>
      </c>
      <c r="D1011" s="2">
        <v>41640</v>
      </c>
      <c r="E1011" t="s">
        <v>26</v>
      </c>
      <c r="F1011">
        <v>111.5</v>
      </c>
      <c r="G1011" t="str">
        <f>VLOOKUP(Table1_2[[#This Row],[Categories]],Sheet3!$A$1:$B$27,2,FALSE)</f>
        <v>Education</v>
      </c>
    </row>
    <row r="1012" spans="1:7" x14ac:dyDescent="0.3">
      <c r="A1012" t="s">
        <v>33</v>
      </c>
      <c r="B1012">
        <v>2014</v>
      </c>
      <c r="C1012" t="s">
        <v>31</v>
      </c>
      <c r="D1012" s="2">
        <v>41640</v>
      </c>
      <c r="E1012" t="s">
        <v>27</v>
      </c>
      <c r="F1012">
        <v>108</v>
      </c>
      <c r="G1012" t="str">
        <f>VLOOKUP(Table1_2[[#This Row],[Categories]],Sheet3!$A$1:$B$27,2,FALSE)</f>
        <v>Household Items</v>
      </c>
    </row>
    <row r="1013" spans="1:7" x14ac:dyDescent="0.3">
      <c r="A1013" t="s">
        <v>33</v>
      </c>
      <c r="B1013">
        <v>2014</v>
      </c>
      <c r="C1013" t="s">
        <v>31</v>
      </c>
      <c r="D1013" s="2">
        <v>41640</v>
      </c>
      <c r="E1013" t="s">
        <v>28</v>
      </c>
      <c r="F1013">
        <v>110.5</v>
      </c>
      <c r="G1013" t="str">
        <f>VLOOKUP(Table1_2[[#This Row],[Categories]],Sheet3!$A$1:$B$27,2,FALSE)</f>
        <v>Miscellaneous</v>
      </c>
    </row>
    <row r="1014" spans="1:7" x14ac:dyDescent="0.3">
      <c r="A1014" t="s">
        <v>33</v>
      </c>
      <c r="B1014">
        <v>2014</v>
      </c>
      <c r="C1014" t="s">
        <v>31</v>
      </c>
      <c r="D1014" s="2">
        <v>41640</v>
      </c>
      <c r="E1014" t="s">
        <v>29</v>
      </c>
      <c r="F1014">
        <v>112.9</v>
      </c>
      <c r="G1014" t="str">
        <f>VLOOKUP(Table1_2[[#This Row],[Categories]],Sheet3!$A$1:$B$27,2,FALSE)</f>
        <v>General index</v>
      </c>
    </row>
    <row r="1015" spans="1:7" x14ac:dyDescent="0.3">
      <c r="A1015" t="s">
        <v>34</v>
      </c>
      <c r="B1015">
        <v>2014</v>
      </c>
      <c r="C1015" t="s">
        <v>31</v>
      </c>
      <c r="D1015" s="2">
        <v>41640</v>
      </c>
      <c r="E1015" t="s">
        <v>3</v>
      </c>
      <c r="F1015">
        <v>119.6</v>
      </c>
      <c r="G1015" t="str">
        <f>VLOOKUP(Table1_2[[#This Row],[Categories]],Sheet3!$A$1:$B$27,2,FALSE)</f>
        <v>Food &amp;Beverage</v>
      </c>
    </row>
    <row r="1016" spans="1:7" x14ac:dyDescent="0.3">
      <c r="A1016" t="s">
        <v>34</v>
      </c>
      <c r="B1016">
        <v>2014</v>
      </c>
      <c r="C1016" t="s">
        <v>31</v>
      </c>
      <c r="D1016" s="2">
        <v>41640</v>
      </c>
      <c r="E1016" t="s">
        <v>4</v>
      </c>
      <c r="F1016">
        <v>118.8</v>
      </c>
      <c r="G1016" t="str">
        <f>VLOOKUP(Table1_2[[#This Row],[Categories]],Sheet3!$A$1:$B$27,2,FALSE)</f>
        <v>Food &amp;Beverage</v>
      </c>
    </row>
    <row r="1017" spans="1:7" x14ac:dyDescent="0.3">
      <c r="A1017" t="s">
        <v>34</v>
      </c>
      <c r="B1017">
        <v>2014</v>
      </c>
      <c r="C1017" t="s">
        <v>31</v>
      </c>
      <c r="D1017" s="2">
        <v>41640</v>
      </c>
      <c r="E1017" t="s">
        <v>5</v>
      </c>
      <c r="F1017">
        <v>124.1</v>
      </c>
      <c r="G1017" t="str">
        <f>VLOOKUP(Table1_2[[#This Row],[Categories]],Sheet3!$A$1:$B$27,2,FALSE)</f>
        <v>Food &amp;Beverage</v>
      </c>
    </row>
    <row r="1018" spans="1:7" x14ac:dyDescent="0.3">
      <c r="A1018" t="s">
        <v>34</v>
      </c>
      <c r="B1018">
        <v>2014</v>
      </c>
      <c r="C1018" t="s">
        <v>31</v>
      </c>
      <c r="D1018" s="2">
        <v>41640</v>
      </c>
      <c r="E1018" t="s">
        <v>6</v>
      </c>
      <c r="F1018">
        <v>114.1</v>
      </c>
      <c r="G1018" t="str">
        <f>VLOOKUP(Table1_2[[#This Row],[Categories]],Sheet3!$A$1:$B$27,2,FALSE)</f>
        <v>Food &amp;Beverage</v>
      </c>
    </row>
    <row r="1019" spans="1:7" x14ac:dyDescent="0.3">
      <c r="A1019" t="s">
        <v>34</v>
      </c>
      <c r="B1019">
        <v>2014</v>
      </c>
      <c r="C1019" t="s">
        <v>31</v>
      </c>
      <c r="D1019" s="2">
        <v>41640</v>
      </c>
      <c r="E1019" t="s">
        <v>7</v>
      </c>
      <c r="F1019">
        <v>106.8</v>
      </c>
      <c r="G1019" t="str">
        <f>VLOOKUP(Table1_2[[#This Row],[Categories]],Sheet3!$A$1:$B$27,2,FALSE)</f>
        <v>Food &amp;Beverage</v>
      </c>
    </row>
    <row r="1020" spans="1:7" x14ac:dyDescent="0.3">
      <c r="A1020" t="s">
        <v>34</v>
      </c>
      <c r="B1020">
        <v>2014</v>
      </c>
      <c r="C1020" t="s">
        <v>31</v>
      </c>
      <c r="D1020" s="2">
        <v>41640</v>
      </c>
      <c r="E1020" t="s">
        <v>8</v>
      </c>
      <c r="F1020">
        <v>113.9</v>
      </c>
      <c r="G1020" t="str">
        <f>VLOOKUP(Table1_2[[#This Row],[Categories]],Sheet3!$A$1:$B$27,2,FALSE)</f>
        <v>Food &amp;Beverage</v>
      </c>
    </row>
    <row r="1021" spans="1:7" x14ac:dyDescent="0.3">
      <c r="A1021" t="s">
        <v>34</v>
      </c>
      <c r="B1021">
        <v>2014</v>
      </c>
      <c r="C1021" t="s">
        <v>31</v>
      </c>
      <c r="D1021" s="2">
        <v>41640</v>
      </c>
      <c r="E1021" t="s">
        <v>9</v>
      </c>
      <c r="F1021">
        <v>122.2</v>
      </c>
      <c r="G1021" t="str">
        <f>VLOOKUP(Table1_2[[#This Row],[Categories]],Sheet3!$A$1:$B$27,2,FALSE)</f>
        <v>Food &amp;Beverage</v>
      </c>
    </row>
    <row r="1022" spans="1:7" x14ac:dyDescent="0.3">
      <c r="A1022" t="s">
        <v>34</v>
      </c>
      <c r="B1022">
        <v>2014</v>
      </c>
      <c r="C1022" t="s">
        <v>31</v>
      </c>
      <c r="D1022" s="2">
        <v>41640</v>
      </c>
      <c r="E1022" t="s">
        <v>10</v>
      </c>
      <c r="F1022">
        <v>108.9</v>
      </c>
      <c r="G1022" t="str">
        <f>VLOOKUP(Table1_2[[#This Row],[Categories]],Sheet3!$A$1:$B$27,2,FALSE)</f>
        <v>Food &amp;Beverage</v>
      </c>
    </row>
    <row r="1023" spans="1:7" x14ac:dyDescent="0.3">
      <c r="A1023" t="s">
        <v>34</v>
      </c>
      <c r="B1023">
        <v>2014</v>
      </c>
      <c r="C1023" t="s">
        <v>31</v>
      </c>
      <c r="D1023" s="2">
        <v>41640</v>
      </c>
      <c r="E1023" t="s">
        <v>11</v>
      </c>
      <c r="F1023">
        <v>100.2</v>
      </c>
      <c r="G1023" t="str">
        <f>VLOOKUP(Table1_2[[#This Row],[Categories]],Sheet3!$A$1:$B$27,2,FALSE)</f>
        <v>Food &amp;Beverage</v>
      </c>
    </row>
    <row r="1024" spans="1:7" x14ac:dyDescent="0.3">
      <c r="A1024" t="s">
        <v>34</v>
      </c>
      <c r="B1024">
        <v>2014</v>
      </c>
      <c r="C1024" t="s">
        <v>31</v>
      </c>
      <c r="D1024" s="2">
        <v>41640</v>
      </c>
      <c r="E1024" t="s">
        <v>12</v>
      </c>
      <c r="F1024">
        <v>111</v>
      </c>
      <c r="G1024" t="str">
        <f>VLOOKUP(Table1_2[[#This Row],[Categories]],Sheet3!$A$1:$B$27,2,FALSE)</f>
        <v>Food &amp;Beverage</v>
      </c>
    </row>
    <row r="1025" spans="1:7" x14ac:dyDescent="0.3">
      <c r="A1025" t="s">
        <v>34</v>
      </c>
      <c r="B1025">
        <v>2014</v>
      </c>
      <c r="C1025" t="s">
        <v>31</v>
      </c>
      <c r="D1025" s="2">
        <v>41640</v>
      </c>
      <c r="E1025" t="s">
        <v>13</v>
      </c>
      <c r="F1025">
        <v>112.3</v>
      </c>
      <c r="G1025" t="str">
        <f>VLOOKUP(Table1_2[[#This Row],[Categories]],Sheet3!$A$1:$B$27,2,FALSE)</f>
        <v>Food &amp;Beverage</v>
      </c>
    </row>
    <row r="1026" spans="1:7" x14ac:dyDescent="0.3">
      <c r="A1026" t="s">
        <v>34</v>
      </c>
      <c r="B1026">
        <v>2014</v>
      </c>
      <c r="C1026" t="s">
        <v>31</v>
      </c>
      <c r="D1026" s="2">
        <v>41640</v>
      </c>
      <c r="E1026" t="s">
        <v>14</v>
      </c>
      <c r="F1026">
        <v>118.1</v>
      </c>
      <c r="G1026" t="str">
        <f>VLOOKUP(Table1_2[[#This Row],[Categories]],Sheet3!$A$1:$B$27,2,FALSE)</f>
        <v>Food &amp;Beverage</v>
      </c>
    </row>
    <row r="1027" spans="1:7" x14ac:dyDescent="0.3">
      <c r="A1027" t="s">
        <v>34</v>
      </c>
      <c r="B1027">
        <v>2014</v>
      </c>
      <c r="C1027" t="s">
        <v>31</v>
      </c>
      <c r="D1027" s="2">
        <v>41640</v>
      </c>
      <c r="E1027" t="s">
        <v>15</v>
      </c>
      <c r="F1027">
        <v>115.8</v>
      </c>
      <c r="G1027" t="str">
        <f>VLOOKUP(Table1_2[[#This Row],[Categories]],Sheet3!$A$1:$B$27,2,FALSE)</f>
        <v>Food &amp;Beverage</v>
      </c>
    </row>
    <row r="1028" spans="1:7" x14ac:dyDescent="0.3">
      <c r="A1028" t="s">
        <v>34</v>
      </c>
      <c r="B1028">
        <v>2014</v>
      </c>
      <c r="C1028" t="s">
        <v>31</v>
      </c>
      <c r="D1028" s="2">
        <v>41640</v>
      </c>
      <c r="E1028" t="s">
        <v>16</v>
      </c>
      <c r="F1028">
        <v>114.5</v>
      </c>
      <c r="G1028" t="str">
        <f>VLOOKUP(Table1_2[[#This Row],[Categories]],Sheet3!$A$1:$B$27,2,FALSE)</f>
        <v>Recreation and amusement</v>
      </c>
    </row>
    <row r="1029" spans="1:7" x14ac:dyDescent="0.3">
      <c r="A1029" t="s">
        <v>34</v>
      </c>
      <c r="B1029">
        <v>2014</v>
      </c>
      <c r="C1029" t="s">
        <v>31</v>
      </c>
      <c r="D1029" s="2">
        <v>41640</v>
      </c>
      <c r="E1029" t="s">
        <v>17</v>
      </c>
      <c r="F1029">
        <v>115.8</v>
      </c>
      <c r="G1029" t="str">
        <f>VLOOKUP(Table1_2[[#This Row],[Categories]],Sheet3!$A$1:$B$27,2,FALSE)</f>
        <v>Clothing and footwear</v>
      </c>
    </row>
    <row r="1030" spans="1:7" x14ac:dyDescent="0.3">
      <c r="A1030" t="s">
        <v>34</v>
      </c>
      <c r="B1030">
        <v>2014</v>
      </c>
      <c r="C1030" t="s">
        <v>31</v>
      </c>
      <c r="D1030" s="2">
        <v>41640</v>
      </c>
      <c r="E1030" t="s">
        <v>18</v>
      </c>
      <c r="F1030">
        <v>113.2</v>
      </c>
      <c r="G1030" t="str">
        <f>VLOOKUP(Table1_2[[#This Row],[Categories]],Sheet3!$A$1:$B$27,2,FALSE)</f>
        <v>Clothing and footwear</v>
      </c>
    </row>
    <row r="1031" spans="1:7" x14ac:dyDescent="0.3">
      <c r="A1031" t="s">
        <v>34</v>
      </c>
      <c r="B1031">
        <v>2014</v>
      </c>
      <c r="C1031" t="s">
        <v>31</v>
      </c>
      <c r="D1031" s="2">
        <v>41640</v>
      </c>
      <c r="E1031" t="s">
        <v>19</v>
      </c>
      <c r="F1031">
        <v>115.4</v>
      </c>
      <c r="G1031" t="str">
        <f>VLOOKUP(Table1_2[[#This Row],[Categories]],Sheet3!$A$1:$B$27,2,FALSE)</f>
        <v>Clothing and footwear</v>
      </c>
    </row>
    <row r="1032" spans="1:7" x14ac:dyDescent="0.3">
      <c r="A1032" t="s">
        <v>34</v>
      </c>
      <c r="B1032">
        <v>2014</v>
      </c>
      <c r="C1032" t="s">
        <v>31</v>
      </c>
      <c r="D1032" s="2">
        <v>41640</v>
      </c>
      <c r="E1032" t="s">
        <v>20</v>
      </c>
      <c r="F1032">
        <v>111.6</v>
      </c>
      <c r="G1032" t="str">
        <f>VLOOKUP(Table1_2[[#This Row],[Categories]],Sheet3!$A$1:$B$27,2,FALSE)</f>
        <v>Housing</v>
      </c>
    </row>
    <row r="1033" spans="1:7" x14ac:dyDescent="0.3">
      <c r="A1033" t="s">
        <v>34</v>
      </c>
      <c r="B1033">
        <v>2014</v>
      </c>
      <c r="C1033" t="s">
        <v>31</v>
      </c>
      <c r="D1033" s="2">
        <v>41640</v>
      </c>
      <c r="E1033" t="s">
        <v>21</v>
      </c>
      <c r="F1033">
        <v>112.2</v>
      </c>
      <c r="G1033" t="str">
        <f>VLOOKUP(Table1_2[[#This Row],[Categories]],Sheet3!$A$1:$B$27,2,FALSE)</f>
        <v>Fuel and light</v>
      </c>
    </row>
    <row r="1034" spans="1:7" x14ac:dyDescent="0.3">
      <c r="A1034" t="s">
        <v>34</v>
      </c>
      <c r="B1034">
        <v>2014</v>
      </c>
      <c r="C1034" t="s">
        <v>31</v>
      </c>
      <c r="D1034" s="2">
        <v>41640</v>
      </c>
      <c r="E1034" t="s">
        <v>22</v>
      </c>
      <c r="F1034">
        <v>112.3</v>
      </c>
      <c r="G1034" t="str">
        <f>VLOOKUP(Table1_2[[#This Row],[Categories]],Sheet3!$A$1:$B$27,2,FALSE)</f>
        <v>Household Items</v>
      </c>
    </row>
    <row r="1035" spans="1:7" x14ac:dyDescent="0.3">
      <c r="A1035" t="s">
        <v>34</v>
      </c>
      <c r="B1035">
        <v>2014</v>
      </c>
      <c r="C1035" t="s">
        <v>31</v>
      </c>
      <c r="D1035" s="2">
        <v>41640</v>
      </c>
      <c r="E1035" t="s">
        <v>23</v>
      </c>
      <c r="F1035">
        <v>110.3</v>
      </c>
      <c r="G1035" t="str">
        <f>VLOOKUP(Table1_2[[#This Row],[Categories]],Sheet3!$A$1:$B$27,2,FALSE)</f>
        <v>Health</v>
      </c>
    </row>
    <row r="1036" spans="1:7" x14ac:dyDescent="0.3">
      <c r="A1036" t="s">
        <v>34</v>
      </c>
      <c r="B1036">
        <v>2014</v>
      </c>
      <c r="C1036" t="s">
        <v>31</v>
      </c>
      <c r="D1036" s="2">
        <v>41640</v>
      </c>
      <c r="E1036" t="s">
        <v>24</v>
      </c>
      <c r="F1036">
        <v>110.7</v>
      </c>
      <c r="G1036" t="str">
        <f>VLOOKUP(Table1_2[[#This Row],[Categories]],Sheet3!$A$1:$B$27,2,FALSE)</f>
        <v>Transport and communication</v>
      </c>
    </row>
    <row r="1037" spans="1:7" x14ac:dyDescent="0.3">
      <c r="A1037" t="s">
        <v>34</v>
      </c>
      <c r="B1037">
        <v>2014</v>
      </c>
      <c r="C1037" t="s">
        <v>31</v>
      </c>
      <c r="D1037" s="2">
        <v>41640</v>
      </c>
      <c r="E1037" t="s">
        <v>25</v>
      </c>
      <c r="F1037">
        <v>109.7</v>
      </c>
      <c r="G1037" t="str">
        <f>VLOOKUP(Table1_2[[#This Row],[Categories]],Sheet3!$A$1:$B$27,2,FALSE)</f>
        <v>Recreation and amusement</v>
      </c>
    </row>
    <row r="1038" spans="1:7" x14ac:dyDescent="0.3">
      <c r="A1038" t="s">
        <v>34</v>
      </c>
      <c r="B1038">
        <v>2014</v>
      </c>
      <c r="C1038" t="s">
        <v>31</v>
      </c>
      <c r="D1038" s="2">
        <v>41640</v>
      </c>
      <c r="E1038" t="s">
        <v>26</v>
      </c>
      <c r="F1038">
        <v>111.6</v>
      </c>
      <c r="G1038" t="str">
        <f>VLOOKUP(Table1_2[[#This Row],[Categories]],Sheet3!$A$1:$B$27,2,FALSE)</f>
        <v>Education</v>
      </c>
    </row>
    <row r="1039" spans="1:7" x14ac:dyDescent="0.3">
      <c r="A1039" t="s">
        <v>34</v>
      </c>
      <c r="B1039">
        <v>2014</v>
      </c>
      <c r="C1039" t="s">
        <v>31</v>
      </c>
      <c r="D1039" s="2">
        <v>41640</v>
      </c>
      <c r="E1039" t="s">
        <v>27</v>
      </c>
      <c r="F1039">
        <v>108.2</v>
      </c>
      <c r="G1039" t="str">
        <f>VLOOKUP(Table1_2[[#This Row],[Categories]],Sheet3!$A$1:$B$27,2,FALSE)</f>
        <v>Household Items</v>
      </c>
    </row>
    <row r="1040" spans="1:7" x14ac:dyDescent="0.3">
      <c r="A1040" t="s">
        <v>34</v>
      </c>
      <c r="B1040">
        <v>2014</v>
      </c>
      <c r="C1040" t="s">
        <v>31</v>
      </c>
      <c r="D1040" s="2">
        <v>41640</v>
      </c>
      <c r="E1040" t="s">
        <v>28</v>
      </c>
      <c r="F1040">
        <v>110.6</v>
      </c>
      <c r="G1040" t="str">
        <f>VLOOKUP(Table1_2[[#This Row],[Categories]],Sheet3!$A$1:$B$27,2,FALSE)</f>
        <v>Miscellaneous</v>
      </c>
    </row>
    <row r="1041" spans="1:7" x14ac:dyDescent="0.3">
      <c r="A1041" t="s">
        <v>34</v>
      </c>
      <c r="B1041">
        <v>2014</v>
      </c>
      <c r="C1041" t="s">
        <v>31</v>
      </c>
      <c r="D1041" s="2">
        <v>41640</v>
      </c>
      <c r="E1041" t="s">
        <v>29</v>
      </c>
      <c r="F1041">
        <v>113.6</v>
      </c>
      <c r="G1041" t="str">
        <f>VLOOKUP(Table1_2[[#This Row],[Categories]],Sheet3!$A$1:$B$27,2,FALSE)</f>
        <v>General index</v>
      </c>
    </row>
    <row r="1042" spans="1:7" x14ac:dyDescent="0.3">
      <c r="A1042" t="s">
        <v>30</v>
      </c>
      <c r="B1042">
        <v>2014</v>
      </c>
      <c r="C1042" t="s">
        <v>35</v>
      </c>
      <c r="D1042" s="2">
        <v>41671</v>
      </c>
      <c r="E1042" t="s">
        <v>3</v>
      </c>
      <c r="F1042">
        <v>119.4</v>
      </c>
      <c r="G1042" t="str">
        <f>VLOOKUP(Table1_2[[#This Row],[Categories]],Sheet3!$A$1:$B$27,2,FALSE)</f>
        <v>Food &amp;Beverage</v>
      </c>
    </row>
    <row r="1043" spans="1:7" x14ac:dyDescent="0.3">
      <c r="A1043" t="s">
        <v>30</v>
      </c>
      <c r="B1043">
        <v>2014</v>
      </c>
      <c r="C1043" t="s">
        <v>35</v>
      </c>
      <c r="D1043" s="2">
        <v>41671</v>
      </c>
      <c r="E1043" t="s">
        <v>4</v>
      </c>
      <c r="F1043">
        <v>117.7</v>
      </c>
      <c r="G1043" t="str">
        <f>VLOOKUP(Table1_2[[#This Row],[Categories]],Sheet3!$A$1:$B$27,2,FALSE)</f>
        <v>Food &amp;Beverage</v>
      </c>
    </row>
    <row r="1044" spans="1:7" x14ac:dyDescent="0.3">
      <c r="A1044" t="s">
        <v>30</v>
      </c>
      <c r="B1044">
        <v>2014</v>
      </c>
      <c r="C1044" t="s">
        <v>35</v>
      </c>
      <c r="D1044" s="2">
        <v>41671</v>
      </c>
      <c r="E1044" t="s">
        <v>5</v>
      </c>
      <c r="F1044">
        <v>121.2</v>
      </c>
      <c r="G1044" t="str">
        <f>VLOOKUP(Table1_2[[#This Row],[Categories]],Sheet3!$A$1:$B$27,2,FALSE)</f>
        <v>Food &amp;Beverage</v>
      </c>
    </row>
    <row r="1045" spans="1:7" x14ac:dyDescent="0.3">
      <c r="A1045" t="s">
        <v>30</v>
      </c>
      <c r="B1045">
        <v>2014</v>
      </c>
      <c r="C1045" t="s">
        <v>35</v>
      </c>
      <c r="D1045" s="2">
        <v>41671</v>
      </c>
      <c r="E1045" t="s">
        <v>6</v>
      </c>
      <c r="F1045">
        <v>115</v>
      </c>
      <c r="G1045" t="str">
        <f>VLOOKUP(Table1_2[[#This Row],[Categories]],Sheet3!$A$1:$B$27,2,FALSE)</f>
        <v>Food &amp;Beverage</v>
      </c>
    </row>
    <row r="1046" spans="1:7" x14ac:dyDescent="0.3">
      <c r="A1046" t="s">
        <v>30</v>
      </c>
      <c r="B1046">
        <v>2014</v>
      </c>
      <c r="C1046" t="s">
        <v>35</v>
      </c>
      <c r="D1046" s="2">
        <v>41671</v>
      </c>
      <c r="E1046" t="s">
        <v>7</v>
      </c>
      <c r="F1046">
        <v>109</v>
      </c>
      <c r="G1046" t="str">
        <f>VLOOKUP(Table1_2[[#This Row],[Categories]],Sheet3!$A$1:$B$27,2,FALSE)</f>
        <v>Food &amp;Beverage</v>
      </c>
    </row>
    <row r="1047" spans="1:7" x14ac:dyDescent="0.3">
      <c r="A1047" t="s">
        <v>30</v>
      </c>
      <c r="B1047">
        <v>2014</v>
      </c>
      <c r="C1047" t="s">
        <v>35</v>
      </c>
      <c r="D1047" s="2">
        <v>41671</v>
      </c>
      <c r="E1047" t="s">
        <v>8</v>
      </c>
      <c r="F1047">
        <v>116.6</v>
      </c>
      <c r="G1047" t="str">
        <f>VLOOKUP(Table1_2[[#This Row],[Categories]],Sheet3!$A$1:$B$27,2,FALSE)</f>
        <v>Food &amp;Beverage</v>
      </c>
    </row>
    <row r="1048" spans="1:7" x14ac:dyDescent="0.3">
      <c r="A1048" t="s">
        <v>30</v>
      </c>
      <c r="B1048">
        <v>2014</v>
      </c>
      <c r="C1048" t="s">
        <v>35</v>
      </c>
      <c r="D1048" s="2">
        <v>41671</v>
      </c>
      <c r="E1048" t="s">
        <v>9</v>
      </c>
      <c r="F1048">
        <v>116</v>
      </c>
      <c r="G1048" t="str">
        <f>VLOOKUP(Table1_2[[#This Row],[Categories]],Sheet3!$A$1:$B$27,2,FALSE)</f>
        <v>Food &amp;Beverage</v>
      </c>
    </row>
    <row r="1049" spans="1:7" x14ac:dyDescent="0.3">
      <c r="A1049" t="s">
        <v>30</v>
      </c>
      <c r="B1049">
        <v>2014</v>
      </c>
      <c r="C1049" t="s">
        <v>35</v>
      </c>
      <c r="D1049" s="2">
        <v>41671</v>
      </c>
      <c r="E1049" t="s">
        <v>10</v>
      </c>
      <c r="F1049">
        <v>109.8</v>
      </c>
      <c r="G1049" t="str">
        <f>VLOOKUP(Table1_2[[#This Row],[Categories]],Sheet3!$A$1:$B$27,2,FALSE)</f>
        <v>Food &amp;Beverage</v>
      </c>
    </row>
    <row r="1050" spans="1:7" x14ac:dyDescent="0.3">
      <c r="A1050" t="s">
        <v>30</v>
      </c>
      <c r="B1050">
        <v>2014</v>
      </c>
      <c r="C1050" t="s">
        <v>35</v>
      </c>
      <c r="D1050" s="2">
        <v>41671</v>
      </c>
      <c r="E1050" t="s">
        <v>11</v>
      </c>
      <c r="F1050">
        <v>101.1</v>
      </c>
      <c r="G1050" t="str">
        <f>VLOOKUP(Table1_2[[#This Row],[Categories]],Sheet3!$A$1:$B$27,2,FALSE)</f>
        <v>Food &amp;Beverage</v>
      </c>
    </row>
    <row r="1051" spans="1:7" x14ac:dyDescent="0.3">
      <c r="A1051" t="s">
        <v>30</v>
      </c>
      <c r="B1051">
        <v>2014</v>
      </c>
      <c r="C1051" t="s">
        <v>35</v>
      </c>
      <c r="D1051" s="2">
        <v>41671</v>
      </c>
      <c r="E1051" t="s">
        <v>12</v>
      </c>
      <c r="F1051">
        <v>110.4</v>
      </c>
      <c r="G1051" t="str">
        <f>VLOOKUP(Table1_2[[#This Row],[Categories]],Sheet3!$A$1:$B$27,2,FALSE)</f>
        <v>Food &amp;Beverage</v>
      </c>
    </row>
    <row r="1052" spans="1:7" x14ac:dyDescent="0.3">
      <c r="A1052" t="s">
        <v>30</v>
      </c>
      <c r="B1052">
        <v>2014</v>
      </c>
      <c r="C1052" t="s">
        <v>35</v>
      </c>
      <c r="D1052" s="2">
        <v>41671</v>
      </c>
      <c r="E1052" t="s">
        <v>13</v>
      </c>
      <c r="F1052">
        <v>112.9</v>
      </c>
      <c r="G1052" t="str">
        <f>VLOOKUP(Table1_2[[#This Row],[Categories]],Sheet3!$A$1:$B$27,2,FALSE)</f>
        <v>Food &amp;Beverage</v>
      </c>
    </row>
    <row r="1053" spans="1:7" x14ac:dyDescent="0.3">
      <c r="A1053" t="s">
        <v>30</v>
      </c>
      <c r="B1053">
        <v>2014</v>
      </c>
      <c r="C1053" t="s">
        <v>35</v>
      </c>
      <c r="D1053" s="2">
        <v>41671</v>
      </c>
      <c r="E1053" t="s">
        <v>14</v>
      </c>
      <c r="F1053">
        <v>117.8</v>
      </c>
      <c r="G1053" t="str">
        <f>VLOOKUP(Table1_2[[#This Row],[Categories]],Sheet3!$A$1:$B$27,2,FALSE)</f>
        <v>Food &amp;Beverage</v>
      </c>
    </row>
    <row r="1054" spans="1:7" x14ac:dyDescent="0.3">
      <c r="A1054" t="s">
        <v>30</v>
      </c>
      <c r="B1054">
        <v>2014</v>
      </c>
      <c r="C1054" t="s">
        <v>35</v>
      </c>
      <c r="D1054" s="2">
        <v>41671</v>
      </c>
      <c r="E1054" t="s">
        <v>15</v>
      </c>
      <c r="F1054">
        <v>115.3</v>
      </c>
      <c r="G1054" t="str">
        <f>VLOOKUP(Table1_2[[#This Row],[Categories]],Sheet3!$A$1:$B$27,2,FALSE)</f>
        <v>Food &amp;Beverage</v>
      </c>
    </row>
    <row r="1055" spans="1:7" x14ac:dyDescent="0.3">
      <c r="A1055" t="s">
        <v>30</v>
      </c>
      <c r="B1055">
        <v>2014</v>
      </c>
      <c r="C1055" t="s">
        <v>35</v>
      </c>
      <c r="D1055" s="2">
        <v>41671</v>
      </c>
      <c r="E1055" t="s">
        <v>16</v>
      </c>
      <c r="F1055">
        <v>114.2</v>
      </c>
      <c r="G1055" t="str">
        <f>VLOOKUP(Table1_2[[#This Row],[Categories]],Sheet3!$A$1:$B$27,2,FALSE)</f>
        <v>Recreation and amusement</v>
      </c>
    </row>
    <row r="1056" spans="1:7" x14ac:dyDescent="0.3">
      <c r="A1056" t="s">
        <v>30</v>
      </c>
      <c r="B1056">
        <v>2014</v>
      </c>
      <c r="C1056" t="s">
        <v>35</v>
      </c>
      <c r="D1056" s="2">
        <v>41671</v>
      </c>
      <c r="E1056" t="s">
        <v>17</v>
      </c>
      <c r="F1056">
        <v>117.1</v>
      </c>
      <c r="G1056" t="str">
        <f>VLOOKUP(Table1_2[[#This Row],[Categories]],Sheet3!$A$1:$B$27,2,FALSE)</f>
        <v>Clothing and footwear</v>
      </c>
    </row>
    <row r="1057" spans="1:7" x14ac:dyDescent="0.3">
      <c r="A1057" t="s">
        <v>30</v>
      </c>
      <c r="B1057">
        <v>2014</v>
      </c>
      <c r="C1057" t="s">
        <v>35</v>
      </c>
      <c r="D1057" s="2">
        <v>41671</v>
      </c>
      <c r="E1057" t="s">
        <v>18</v>
      </c>
      <c r="F1057">
        <v>114.5</v>
      </c>
      <c r="G1057" t="str">
        <f>VLOOKUP(Table1_2[[#This Row],[Categories]],Sheet3!$A$1:$B$27,2,FALSE)</f>
        <v>Clothing and footwear</v>
      </c>
    </row>
    <row r="1058" spans="1:7" x14ac:dyDescent="0.3">
      <c r="A1058" t="s">
        <v>30</v>
      </c>
      <c r="B1058">
        <v>2014</v>
      </c>
      <c r="C1058" t="s">
        <v>35</v>
      </c>
      <c r="D1058" s="2">
        <v>41671</v>
      </c>
      <c r="E1058" t="s">
        <v>19</v>
      </c>
      <c r="F1058">
        <v>116.7</v>
      </c>
      <c r="G1058" t="str">
        <f>VLOOKUP(Table1_2[[#This Row],[Categories]],Sheet3!$A$1:$B$27,2,FALSE)</f>
        <v>Clothing and footwear</v>
      </c>
    </row>
    <row r="1059" spans="1:7" x14ac:dyDescent="0.3">
      <c r="A1059" t="s">
        <v>30</v>
      </c>
      <c r="B1059">
        <v>2014</v>
      </c>
      <c r="C1059" t="s">
        <v>35</v>
      </c>
      <c r="D1059" s="2">
        <v>41671</v>
      </c>
      <c r="E1059" t="s">
        <v>21</v>
      </c>
      <c r="F1059">
        <v>113.2</v>
      </c>
      <c r="G1059" t="str">
        <f>VLOOKUP(Table1_2[[#This Row],[Categories]],Sheet3!$A$1:$B$27,2,FALSE)</f>
        <v>Fuel and light</v>
      </c>
    </row>
    <row r="1060" spans="1:7" x14ac:dyDescent="0.3">
      <c r="A1060" t="s">
        <v>30</v>
      </c>
      <c r="B1060">
        <v>2014</v>
      </c>
      <c r="C1060" t="s">
        <v>35</v>
      </c>
      <c r="D1060" s="2">
        <v>41671</v>
      </c>
      <c r="E1060" t="s">
        <v>22</v>
      </c>
      <c r="F1060">
        <v>112.9</v>
      </c>
      <c r="G1060" t="str">
        <f>VLOOKUP(Table1_2[[#This Row],[Categories]],Sheet3!$A$1:$B$27,2,FALSE)</f>
        <v>Household Items</v>
      </c>
    </row>
    <row r="1061" spans="1:7" x14ac:dyDescent="0.3">
      <c r="A1061" t="s">
        <v>30</v>
      </c>
      <c r="B1061">
        <v>2014</v>
      </c>
      <c r="C1061" t="s">
        <v>35</v>
      </c>
      <c r="D1061" s="2">
        <v>41671</v>
      </c>
      <c r="E1061" t="s">
        <v>23</v>
      </c>
      <c r="F1061">
        <v>110.9</v>
      </c>
      <c r="G1061" t="str">
        <f>VLOOKUP(Table1_2[[#This Row],[Categories]],Sheet3!$A$1:$B$27,2,FALSE)</f>
        <v>Health</v>
      </c>
    </row>
    <row r="1062" spans="1:7" x14ac:dyDescent="0.3">
      <c r="A1062" t="s">
        <v>30</v>
      </c>
      <c r="B1062">
        <v>2014</v>
      </c>
      <c r="C1062" t="s">
        <v>35</v>
      </c>
      <c r="D1062" s="2">
        <v>41671</v>
      </c>
      <c r="E1062" t="s">
        <v>24</v>
      </c>
      <c r="F1062">
        <v>110.8</v>
      </c>
      <c r="G1062" t="str">
        <f>VLOOKUP(Table1_2[[#This Row],[Categories]],Sheet3!$A$1:$B$27,2,FALSE)</f>
        <v>Transport and communication</v>
      </c>
    </row>
    <row r="1063" spans="1:7" x14ac:dyDescent="0.3">
      <c r="A1063" t="s">
        <v>30</v>
      </c>
      <c r="B1063">
        <v>2014</v>
      </c>
      <c r="C1063" t="s">
        <v>35</v>
      </c>
      <c r="D1063" s="2">
        <v>41671</v>
      </c>
      <c r="E1063" t="s">
        <v>25</v>
      </c>
      <c r="F1063">
        <v>109.9</v>
      </c>
      <c r="G1063" t="str">
        <f>VLOOKUP(Table1_2[[#This Row],[Categories]],Sheet3!$A$1:$B$27,2,FALSE)</f>
        <v>Recreation and amusement</v>
      </c>
    </row>
    <row r="1064" spans="1:7" x14ac:dyDescent="0.3">
      <c r="A1064" t="s">
        <v>30</v>
      </c>
      <c r="B1064">
        <v>2014</v>
      </c>
      <c r="C1064" t="s">
        <v>35</v>
      </c>
      <c r="D1064" s="2">
        <v>41671</v>
      </c>
      <c r="E1064" t="s">
        <v>26</v>
      </c>
      <c r="F1064">
        <v>112</v>
      </c>
      <c r="G1064" t="str">
        <f>VLOOKUP(Table1_2[[#This Row],[Categories]],Sheet3!$A$1:$B$27,2,FALSE)</f>
        <v>Education</v>
      </c>
    </row>
    <row r="1065" spans="1:7" x14ac:dyDescent="0.3">
      <c r="A1065" t="s">
        <v>30</v>
      </c>
      <c r="B1065">
        <v>2014</v>
      </c>
      <c r="C1065" t="s">
        <v>35</v>
      </c>
      <c r="D1065" s="2">
        <v>41671</v>
      </c>
      <c r="E1065" t="s">
        <v>27</v>
      </c>
      <c r="F1065">
        <v>108.7</v>
      </c>
      <c r="G1065" t="str">
        <f>VLOOKUP(Table1_2[[#This Row],[Categories]],Sheet3!$A$1:$B$27,2,FALSE)</f>
        <v>Household Items</v>
      </c>
    </row>
    <row r="1066" spans="1:7" x14ac:dyDescent="0.3">
      <c r="A1066" t="s">
        <v>30</v>
      </c>
      <c r="B1066">
        <v>2014</v>
      </c>
      <c r="C1066" t="s">
        <v>35</v>
      </c>
      <c r="D1066" s="2">
        <v>41671</v>
      </c>
      <c r="E1066" t="s">
        <v>28</v>
      </c>
      <c r="F1066">
        <v>110.9</v>
      </c>
      <c r="G1066" t="str">
        <f>VLOOKUP(Table1_2[[#This Row],[Categories]],Sheet3!$A$1:$B$27,2,FALSE)</f>
        <v>Miscellaneous</v>
      </c>
    </row>
    <row r="1067" spans="1:7" x14ac:dyDescent="0.3">
      <c r="A1067" t="s">
        <v>30</v>
      </c>
      <c r="B1067">
        <v>2014</v>
      </c>
      <c r="C1067" t="s">
        <v>35</v>
      </c>
      <c r="D1067" s="2">
        <v>41671</v>
      </c>
      <c r="E1067" t="s">
        <v>29</v>
      </c>
      <c r="F1067">
        <v>114</v>
      </c>
      <c r="G1067" t="str">
        <f>VLOOKUP(Table1_2[[#This Row],[Categories]],Sheet3!$A$1:$B$27,2,FALSE)</f>
        <v>General index</v>
      </c>
    </row>
    <row r="1068" spans="1:7" x14ac:dyDescent="0.3">
      <c r="A1068" t="s">
        <v>33</v>
      </c>
      <c r="B1068">
        <v>2014</v>
      </c>
      <c r="C1068" t="s">
        <v>35</v>
      </c>
      <c r="D1068" s="2">
        <v>41671</v>
      </c>
      <c r="E1068" t="s">
        <v>3</v>
      </c>
      <c r="F1068">
        <v>121.9</v>
      </c>
      <c r="G1068" t="str">
        <f>VLOOKUP(Table1_2[[#This Row],[Categories]],Sheet3!$A$1:$B$27,2,FALSE)</f>
        <v>Food &amp;Beverage</v>
      </c>
    </row>
    <row r="1069" spans="1:7" x14ac:dyDescent="0.3">
      <c r="A1069" t="s">
        <v>33</v>
      </c>
      <c r="B1069">
        <v>2014</v>
      </c>
      <c r="C1069" t="s">
        <v>35</v>
      </c>
      <c r="D1069" s="2">
        <v>41671</v>
      </c>
      <c r="E1069" t="s">
        <v>4</v>
      </c>
      <c r="F1069">
        <v>122</v>
      </c>
      <c r="G1069" t="str">
        <f>VLOOKUP(Table1_2[[#This Row],[Categories]],Sheet3!$A$1:$B$27,2,FALSE)</f>
        <v>Food &amp;Beverage</v>
      </c>
    </row>
    <row r="1070" spans="1:7" x14ac:dyDescent="0.3">
      <c r="A1070" t="s">
        <v>33</v>
      </c>
      <c r="B1070">
        <v>2014</v>
      </c>
      <c r="C1070" t="s">
        <v>35</v>
      </c>
      <c r="D1070" s="2">
        <v>41671</v>
      </c>
      <c r="E1070" t="s">
        <v>5</v>
      </c>
      <c r="F1070">
        <v>124.5</v>
      </c>
      <c r="G1070" t="str">
        <f>VLOOKUP(Table1_2[[#This Row],[Categories]],Sheet3!$A$1:$B$27,2,FALSE)</f>
        <v>Food &amp;Beverage</v>
      </c>
    </row>
    <row r="1071" spans="1:7" x14ac:dyDescent="0.3">
      <c r="A1071" t="s">
        <v>33</v>
      </c>
      <c r="B1071">
        <v>2014</v>
      </c>
      <c r="C1071" t="s">
        <v>35</v>
      </c>
      <c r="D1071" s="2">
        <v>41671</v>
      </c>
      <c r="E1071" t="s">
        <v>6</v>
      </c>
      <c r="F1071">
        <v>115.2</v>
      </c>
      <c r="G1071" t="str">
        <f>VLOOKUP(Table1_2[[#This Row],[Categories]],Sheet3!$A$1:$B$27,2,FALSE)</f>
        <v>Food &amp;Beverage</v>
      </c>
    </row>
    <row r="1072" spans="1:7" x14ac:dyDescent="0.3">
      <c r="A1072" t="s">
        <v>33</v>
      </c>
      <c r="B1072">
        <v>2014</v>
      </c>
      <c r="C1072" t="s">
        <v>35</v>
      </c>
      <c r="D1072" s="2">
        <v>41671</v>
      </c>
      <c r="E1072" t="s">
        <v>7</v>
      </c>
      <c r="F1072">
        <v>102.5</v>
      </c>
      <c r="G1072" t="str">
        <f>VLOOKUP(Table1_2[[#This Row],[Categories]],Sheet3!$A$1:$B$27,2,FALSE)</f>
        <v>Food &amp;Beverage</v>
      </c>
    </row>
    <row r="1073" spans="1:7" x14ac:dyDescent="0.3">
      <c r="A1073" t="s">
        <v>33</v>
      </c>
      <c r="B1073">
        <v>2014</v>
      </c>
      <c r="C1073" t="s">
        <v>35</v>
      </c>
      <c r="D1073" s="2">
        <v>41671</v>
      </c>
      <c r="E1073" t="s">
        <v>8</v>
      </c>
      <c r="F1073">
        <v>114.1</v>
      </c>
      <c r="G1073" t="str">
        <f>VLOOKUP(Table1_2[[#This Row],[Categories]],Sheet3!$A$1:$B$27,2,FALSE)</f>
        <v>Food &amp;Beverage</v>
      </c>
    </row>
    <row r="1074" spans="1:7" x14ac:dyDescent="0.3">
      <c r="A1074" t="s">
        <v>33</v>
      </c>
      <c r="B1074">
        <v>2014</v>
      </c>
      <c r="C1074" t="s">
        <v>35</v>
      </c>
      <c r="D1074" s="2">
        <v>41671</v>
      </c>
      <c r="E1074" t="s">
        <v>9</v>
      </c>
      <c r="F1074">
        <v>111.5</v>
      </c>
      <c r="G1074" t="str">
        <f>VLOOKUP(Table1_2[[#This Row],[Categories]],Sheet3!$A$1:$B$27,2,FALSE)</f>
        <v>Food &amp;Beverage</v>
      </c>
    </row>
    <row r="1075" spans="1:7" x14ac:dyDescent="0.3">
      <c r="A1075" t="s">
        <v>33</v>
      </c>
      <c r="B1075">
        <v>2014</v>
      </c>
      <c r="C1075" t="s">
        <v>35</v>
      </c>
      <c r="D1075" s="2">
        <v>41671</v>
      </c>
      <c r="E1075" t="s">
        <v>10</v>
      </c>
      <c r="F1075">
        <v>108.2</v>
      </c>
      <c r="G1075" t="str">
        <f>VLOOKUP(Table1_2[[#This Row],[Categories]],Sheet3!$A$1:$B$27,2,FALSE)</f>
        <v>Food &amp;Beverage</v>
      </c>
    </row>
    <row r="1076" spans="1:7" x14ac:dyDescent="0.3">
      <c r="A1076" t="s">
        <v>33</v>
      </c>
      <c r="B1076">
        <v>2014</v>
      </c>
      <c r="C1076" t="s">
        <v>35</v>
      </c>
      <c r="D1076" s="2">
        <v>41671</v>
      </c>
      <c r="E1076" t="s">
        <v>11</v>
      </c>
      <c r="F1076">
        <v>95.4</v>
      </c>
      <c r="G1076" t="str">
        <f>VLOOKUP(Table1_2[[#This Row],[Categories]],Sheet3!$A$1:$B$27,2,FALSE)</f>
        <v>Food &amp;Beverage</v>
      </c>
    </row>
    <row r="1077" spans="1:7" x14ac:dyDescent="0.3">
      <c r="A1077" t="s">
        <v>33</v>
      </c>
      <c r="B1077">
        <v>2014</v>
      </c>
      <c r="C1077" t="s">
        <v>35</v>
      </c>
      <c r="D1077" s="2">
        <v>41671</v>
      </c>
      <c r="E1077" t="s">
        <v>12</v>
      </c>
      <c r="F1077">
        <v>113.5</v>
      </c>
      <c r="G1077" t="str">
        <f>VLOOKUP(Table1_2[[#This Row],[Categories]],Sheet3!$A$1:$B$27,2,FALSE)</f>
        <v>Food &amp;Beverage</v>
      </c>
    </row>
    <row r="1078" spans="1:7" x14ac:dyDescent="0.3">
      <c r="A1078" t="s">
        <v>33</v>
      </c>
      <c r="B1078">
        <v>2014</v>
      </c>
      <c r="C1078" t="s">
        <v>35</v>
      </c>
      <c r="D1078" s="2">
        <v>41671</v>
      </c>
      <c r="E1078" t="s">
        <v>13</v>
      </c>
      <c r="F1078">
        <v>112.1</v>
      </c>
      <c r="G1078" t="str">
        <f>VLOOKUP(Table1_2[[#This Row],[Categories]],Sheet3!$A$1:$B$27,2,FALSE)</f>
        <v>Food &amp;Beverage</v>
      </c>
    </row>
    <row r="1079" spans="1:7" x14ac:dyDescent="0.3">
      <c r="A1079" t="s">
        <v>33</v>
      </c>
      <c r="B1079">
        <v>2014</v>
      </c>
      <c r="C1079" t="s">
        <v>35</v>
      </c>
      <c r="D1079" s="2">
        <v>41671</v>
      </c>
      <c r="E1079" t="s">
        <v>14</v>
      </c>
      <c r="F1079">
        <v>119.9</v>
      </c>
      <c r="G1079" t="str">
        <f>VLOOKUP(Table1_2[[#This Row],[Categories]],Sheet3!$A$1:$B$27,2,FALSE)</f>
        <v>Food &amp;Beverage</v>
      </c>
    </row>
    <row r="1080" spans="1:7" x14ac:dyDescent="0.3">
      <c r="A1080" t="s">
        <v>33</v>
      </c>
      <c r="B1080">
        <v>2014</v>
      </c>
      <c r="C1080" t="s">
        <v>35</v>
      </c>
      <c r="D1080" s="2">
        <v>41671</v>
      </c>
      <c r="E1080" t="s">
        <v>15</v>
      </c>
      <c r="F1080">
        <v>115.2</v>
      </c>
      <c r="G1080" t="str">
        <f>VLOOKUP(Table1_2[[#This Row],[Categories]],Sheet3!$A$1:$B$27,2,FALSE)</f>
        <v>Food &amp;Beverage</v>
      </c>
    </row>
    <row r="1081" spans="1:7" x14ac:dyDescent="0.3">
      <c r="A1081" t="s">
        <v>33</v>
      </c>
      <c r="B1081">
        <v>2014</v>
      </c>
      <c r="C1081" t="s">
        <v>35</v>
      </c>
      <c r="D1081" s="2">
        <v>41671</v>
      </c>
      <c r="E1081" t="s">
        <v>16</v>
      </c>
      <c r="F1081">
        <v>116.2</v>
      </c>
      <c r="G1081" t="str">
        <f>VLOOKUP(Table1_2[[#This Row],[Categories]],Sheet3!$A$1:$B$27,2,FALSE)</f>
        <v>Recreation and amusement</v>
      </c>
    </row>
    <row r="1082" spans="1:7" x14ac:dyDescent="0.3">
      <c r="A1082" t="s">
        <v>33</v>
      </c>
      <c r="B1082">
        <v>2014</v>
      </c>
      <c r="C1082" t="s">
        <v>35</v>
      </c>
      <c r="D1082" s="2">
        <v>41671</v>
      </c>
      <c r="E1082" t="s">
        <v>17</v>
      </c>
      <c r="F1082">
        <v>115.3</v>
      </c>
      <c r="G1082" t="str">
        <f>VLOOKUP(Table1_2[[#This Row],[Categories]],Sheet3!$A$1:$B$27,2,FALSE)</f>
        <v>Clothing and footwear</v>
      </c>
    </row>
    <row r="1083" spans="1:7" x14ac:dyDescent="0.3">
      <c r="A1083" t="s">
        <v>33</v>
      </c>
      <c r="B1083">
        <v>2014</v>
      </c>
      <c r="C1083" t="s">
        <v>35</v>
      </c>
      <c r="D1083" s="2">
        <v>41671</v>
      </c>
      <c r="E1083" t="s">
        <v>18</v>
      </c>
      <c r="F1083">
        <v>111.7</v>
      </c>
      <c r="G1083" t="str">
        <f>VLOOKUP(Table1_2[[#This Row],[Categories]],Sheet3!$A$1:$B$27,2,FALSE)</f>
        <v>Clothing and footwear</v>
      </c>
    </row>
    <row r="1084" spans="1:7" x14ac:dyDescent="0.3">
      <c r="A1084" t="s">
        <v>33</v>
      </c>
      <c r="B1084">
        <v>2014</v>
      </c>
      <c r="C1084" t="s">
        <v>35</v>
      </c>
      <c r="D1084" s="2">
        <v>41671</v>
      </c>
      <c r="E1084" t="s">
        <v>19</v>
      </c>
      <c r="F1084">
        <v>114.7</v>
      </c>
      <c r="G1084" t="str">
        <f>VLOOKUP(Table1_2[[#This Row],[Categories]],Sheet3!$A$1:$B$27,2,FALSE)</f>
        <v>Clothing and footwear</v>
      </c>
    </row>
    <row r="1085" spans="1:7" x14ac:dyDescent="0.3">
      <c r="A1085" t="s">
        <v>33</v>
      </c>
      <c r="B1085">
        <v>2014</v>
      </c>
      <c r="C1085" t="s">
        <v>35</v>
      </c>
      <c r="D1085" s="2">
        <v>41671</v>
      </c>
      <c r="E1085" t="s">
        <v>20</v>
      </c>
      <c r="F1085">
        <v>112.5</v>
      </c>
      <c r="G1085" t="str">
        <f>VLOOKUP(Table1_2[[#This Row],[Categories]],Sheet3!$A$1:$B$27,2,FALSE)</f>
        <v>Housing</v>
      </c>
    </row>
    <row r="1086" spans="1:7" x14ac:dyDescent="0.3">
      <c r="A1086" t="s">
        <v>33</v>
      </c>
      <c r="B1086">
        <v>2014</v>
      </c>
      <c r="C1086" t="s">
        <v>35</v>
      </c>
      <c r="D1086" s="2">
        <v>41671</v>
      </c>
      <c r="E1086" t="s">
        <v>21</v>
      </c>
      <c r="F1086">
        <v>111.1</v>
      </c>
      <c r="G1086" t="str">
        <f>VLOOKUP(Table1_2[[#This Row],[Categories]],Sheet3!$A$1:$B$27,2,FALSE)</f>
        <v>Fuel and light</v>
      </c>
    </row>
    <row r="1087" spans="1:7" x14ac:dyDescent="0.3">
      <c r="A1087" t="s">
        <v>33</v>
      </c>
      <c r="B1087">
        <v>2014</v>
      </c>
      <c r="C1087" t="s">
        <v>35</v>
      </c>
      <c r="D1087" s="2">
        <v>41671</v>
      </c>
      <c r="E1087" t="s">
        <v>22</v>
      </c>
      <c r="F1087">
        <v>112.6</v>
      </c>
      <c r="G1087" t="str">
        <f>VLOOKUP(Table1_2[[#This Row],[Categories]],Sheet3!$A$1:$B$27,2,FALSE)</f>
        <v>Household Items</v>
      </c>
    </row>
    <row r="1088" spans="1:7" x14ac:dyDescent="0.3">
      <c r="A1088" t="s">
        <v>33</v>
      </c>
      <c r="B1088">
        <v>2014</v>
      </c>
      <c r="C1088" t="s">
        <v>35</v>
      </c>
      <c r="D1088" s="2">
        <v>41671</v>
      </c>
      <c r="E1088" t="s">
        <v>23</v>
      </c>
      <c r="F1088">
        <v>110.4</v>
      </c>
      <c r="G1088" t="str">
        <f>VLOOKUP(Table1_2[[#This Row],[Categories]],Sheet3!$A$1:$B$27,2,FALSE)</f>
        <v>Health</v>
      </c>
    </row>
    <row r="1089" spans="1:7" x14ac:dyDescent="0.3">
      <c r="A1089" t="s">
        <v>33</v>
      </c>
      <c r="B1089">
        <v>2014</v>
      </c>
      <c r="C1089" t="s">
        <v>35</v>
      </c>
      <c r="D1089" s="2">
        <v>41671</v>
      </c>
      <c r="E1089" t="s">
        <v>24</v>
      </c>
      <c r="F1089">
        <v>111.3</v>
      </c>
      <c r="G1089" t="str">
        <f>VLOOKUP(Table1_2[[#This Row],[Categories]],Sheet3!$A$1:$B$27,2,FALSE)</f>
        <v>Transport and communication</v>
      </c>
    </row>
    <row r="1090" spans="1:7" x14ac:dyDescent="0.3">
      <c r="A1090" t="s">
        <v>33</v>
      </c>
      <c r="B1090">
        <v>2014</v>
      </c>
      <c r="C1090" t="s">
        <v>35</v>
      </c>
      <c r="D1090" s="2">
        <v>41671</v>
      </c>
      <c r="E1090" t="s">
        <v>25</v>
      </c>
      <c r="F1090">
        <v>110.3</v>
      </c>
      <c r="G1090" t="str">
        <f>VLOOKUP(Table1_2[[#This Row],[Categories]],Sheet3!$A$1:$B$27,2,FALSE)</f>
        <v>Recreation and amusement</v>
      </c>
    </row>
    <row r="1091" spans="1:7" x14ac:dyDescent="0.3">
      <c r="A1091" t="s">
        <v>33</v>
      </c>
      <c r="B1091">
        <v>2014</v>
      </c>
      <c r="C1091" t="s">
        <v>35</v>
      </c>
      <c r="D1091" s="2">
        <v>41671</v>
      </c>
      <c r="E1091" t="s">
        <v>26</v>
      </c>
      <c r="F1091">
        <v>111.6</v>
      </c>
      <c r="G1091" t="str">
        <f>VLOOKUP(Table1_2[[#This Row],[Categories]],Sheet3!$A$1:$B$27,2,FALSE)</f>
        <v>Education</v>
      </c>
    </row>
    <row r="1092" spans="1:7" x14ac:dyDescent="0.3">
      <c r="A1092" t="s">
        <v>33</v>
      </c>
      <c r="B1092">
        <v>2014</v>
      </c>
      <c r="C1092" t="s">
        <v>35</v>
      </c>
      <c r="D1092" s="2">
        <v>41671</v>
      </c>
      <c r="E1092" t="s">
        <v>27</v>
      </c>
      <c r="F1092">
        <v>108.7</v>
      </c>
      <c r="G1092" t="str">
        <f>VLOOKUP(Table1_2[[#This Row],[Categories]],Sheet3!$A$1:$B$27,2,FALSE)</f>
        <v>Household Items</v>
      </c>
    </row>
    <row r="1093" spans="1:7" x14ac:dyDescent="0.3">
      <c r="A1093" t="s">
        <v>33</v>
      </c>
      <c r="B1093">
        <v>2014</v>
      </c>
      <c r="C1093" t="s">
        <v>35</v>
      </c>
      <c r="D1093" s="2">
        <v>41671</v>
      </c>
      <c r="E1093" t="s">
        <v>28</v>
      </c>
      <c r="F1093">
        <v>111</v>
      </c>
      <c r="G1093" t="str">
        <f>VLOOKUP(Table1_2[[#This Row],[Categories]],Sheet3!$A$1:$B$27,2,FALSE)</f>
        <v>Miscellaneous</v>
      </c>
    </row>
    <row r="1094" spans="1:7" x14ac:dyDescent="0.3">
      <c r="A1094" t="s">
        <v>33</v>
      </c>
      <c r="B1094">
        <v>2014</v>
      </c>
      <c r="C1094" t="s">
        <v>35</v>
      </c>
      <c r="D1094" s="2">
        <v>41671</v>
      </c>
      <c r="E1094" t="s">
        <v>29</v>
      </c>
      <c r="F1094">
        <v>113.1</v>
      </c>
      <c r="G1094" t="str">
        <f>VLOOKUP(Table1_2[[#This Row],[Categories]],Sheet3!$A$1:$B$27,2,FALSE)</f>
        <v>General index</v>
      </c>
    </row>
    <row r="1095" spans="1:7" x14ac:dyDescent="0.3">
      <c r="A1095" t="s">
        <v>34</v>
      </c>
      <c r="B1095">
        <v>2014</v>
      </c>
      <c r="C1095" t="s">
        <v>35</v>
      </c>
      <c r="D1095" s="2">
        <v>41671</v>
      </c>
      <c r="E1095" t="s">
        <v>3</v>
      </c>
      <c r="F1095">
        <v>120.2</v>
      </c>
      <c r="G1095" t="str">
        <f>VLOOKUP(Table1_2[[#This Row],[Categories]],Sheet3!$A$1:$B$27,2,FALSE)</f>
        <v>Food &amp;Beverage</v>
      </c>
    </row>
    <row r="1096" spans="1:7" x14ac:dyDescent="0.3">
      <c r="A1096" t="s">
        <v>34</v>
      </c>
      <c r="B1096">
        <v>2014</v>
      </c>
      <c r="C1096" t="s">
        <v>35</v>
      </c>
      <c r="D1096" s="2">
        <v>41671</v>
      </c>
      <c r="E1096" t="s">
        <v>4</v>
      </c>
      <c r="F1096">
        <v>119.2</v>
      </c>
      <c r="G1096" t="str">
        <f>VLOOKUP(Table1_2[[#This Row],[Categories]],Sheet3!$A$1:$B$27,2,FALSE)</f>
        <v>Food &amp;Beverage</v>
      </c>
    </row>
    <row r="1097" spans="1:7" x14ac:dyDescent="0.3">
      <c r="A1097" t="s">
        <v>34</v>
      </c>
      <c r="B1097">
        <v>2014</v>
      </c>
      <c r="C1097" t="s">
        <v>35</v>
      </c>
      <c r="D1097" s="2">
        <v>41671</v>
      </c>
      <c r="E1097" t="s">
        <v>5</v>
      </c>
      <c r="F1097">
        <v>122.5</v>
      </c>
      <c r="G1097" t="str">
        <f>VLOOKUP(Table1_2[[#This Row],[Categories]],Sheet3!$A$1:$B$27,2,FALSE)</f>
        <v>Food &amp;Beverage</v>
      </c>
    </row>
    <row r="1098" spans="1:7" x14ac:dyDescent="0.3">
      <c r="A1098" t="s">
        <v>34</v>
      </c>
      <c r="B1098">
        <v>2014</v>
      </c>
      <c r="C1098" t="s">
        <v>35</v>
      </c>
      <c r="D1098" s="2">
        <v>41671</v>
      </c>
      <c r="E1098" t="s">
        <v>6</v>
      </c>
      <c r="F1098">
        <v>115.1</v>
      </c>
      <c r="G1098" t="str">
        <f>VLOOKUP(Table1_2[[#This Row],[Categories]],Sheet3!$A$1:$B$27,2,FALSE)</f>
        <v>Food &amp;Beverage</v>
      </c>
    </row>
    <row r="1099" spans="1:7" x14ac:dyDescent="0.3">
      <c r="A1099" t="s">
        <v>34</v>
      </c>
      <c r="B1099">
        <v>2014</v>
      </c>
      <c r="C1099" t="s">
        <v>35</v>
      </c>
      <c r="D1099" s="2">
        <v>41671</v>
      </c>
      <c r="E1099" t="s">
        <v>7</v>
      </c>
      <c r="F1099">
        <v>106.6</v>
      </c>
      <c r="G1099" t="str">
        <f>VLOOKUP(Table1_2[[#This Row],[Categories]],Sheet3!$A$1:$B$27,2,FALSE)</f>
        <v>Food &amp;Beverage</v>
      </c>
    </row>
    <row r="1100" spans="1:7" x14ac:dyDescent="0.3">
      <c r="A1100" t="s">
        <v>34</v>
      </c>
      <c r="B1100">
        <v>2014</v>
      </c>
      <c r="C1100" t="s">
        <v>35</v>
      </c>
      <c r="D1100" s="2">
        <v>41671</v>
      </c>
      <c r="E1100" t="s">
        <v>8</v>
      </c>
      <c r="F1100">
        <v>115.4</v>
      </c>
      <c r="G1100" t="str">
        <f>VLOOKUP(Table1_2[[#This Row],[Categories]],Sheet3!$A$1:$B$27,2,FALSE)</f>
        <v>Food &amp;Beverage</v>
      </c>
    </row>
    <row r="1101" spans="1:7" x14ac:dyDescent="0.3">
      <c r="A1101" t="s">
        <v>34</v>
      </c>
      <c r="B1101">
        <v>2014</v>
      </c>
      <c r="C1101" t="s">
        <v>35</v>
      </c>
      <c r="D1101" s="2">
        <v>41671</v>
      </c>
      <c r="E1101" t="s">
        <v>9</v>
      </c>
      <c r="F1101">
        <v>114.5</v>
      </c>
      <c r="G1101" t="str">
        <f>VLOOKUP(Table1_2[[#This Row],[Categories]],Sheet3!$A$1:$B$27,2,FALSE)</f>
        <v>Food &amp;Beverage</v>
      </c>
    </row>
    <row r="1102" spans="1:7" x14ac:dyDescent="0.3">
      <c r="A1102" t="s">
        <v>34</v>
      </c>
      <c r="B1102">
        <v>2014</v>
      </c>
      <c r="C1102" t="s">
        <v>35</v>
      </c>
      <c r="D1102" s="2">
        <v>41671</v>
      </c>
      <c r="E1102" t="s">
        <v>10</v>
      </c>
      <c r="F1102">
        <v>109.3</v>
      </c>
      <c r="G1102" t="str">
        <f>VLOOKUP(Table1_2[[#This Row],[Categories]],Sheet3!$A$1:$B$27,2,FALSE)</f>
        <v>Food &amp;Beverage</v>
      </c>
    </row>
    <row r="1103" spans="1:7" x14ac:dyDescent="0.3">
      <c r="A1103" t="s">
        <v>34</v>
      </c>
      <c r="B1103">
        <v>2014</v>
      </c>
      <c r="C1103" t="s">
        <v>35</v>
      </c>
      <c r="D1103" s="2">
        <v>41671</v>
      </c>
      <c r="E1103" t="s">
        <v>11</v>
      </c>
      <c r="F1103">
        <v>99.2</v>
      </c>
      <c r="G1103" t="str">
        <f>VLOOKUP(Table1_2[[#This Row],[Categories]],Sheet3!$A$1:$B$27,2,FALSE)</f>
        <v>Food &amp;Beverage</v>
      </c>
    </row>
    <row r="1104" spans="1:7" x14ac:dyDescent="0.3">
      <c r="A1104" t="s">
        <v>34</v>
      </c>
      <c r="B1104">
        <v>2014</v>
      </c>
      <c r="C1104" t="s">
        <v>35</v>
      </c>
      <c r="D1104" s="2">
        <v>41671</v>
      </c>
      <c r="E1104" t="s">
        <v>12</v>
      </c>
      <c r="F1104">
        <v>111.4</v>
      </c>
      <c r="G1104" t="str">
        <f>VLOOKUP(Table1_2[[#This Row],[Categories]],Sheet3!$A$1:$B$27,2,FALSE)</f>
        <v>Food &amp;Beverage</v>
      </c>
    </row>
    <row r="1105" spans="1:7" x14ac:dyDescent="0.3">
      <c r="A1105" t="s">
        <v>34</v>
      </c>
      <c r="B1105">
        <v>2014</v>
      </c>
      <c r="C1105" t="s">
        <v>35</v>
      </c>
      <c r="D1105" s="2">
        <v>41671</v>
      </c>
      <c r="E1105" t="s">
        <v>13</v>
      </c>
      <c r="F1105">
        <v>112.6</v>
      </c>
      <c r="G1105" t="str">
        <f>VLOOKUP(Table1_2[[#This Row],[Categories]],Sheet3!$A$1:$B$27,2,FALSE)</f>
        <v>Food &amp;Beverage</v>
      </c>
    </row>
    <row r="1106" spans="1:7" x14ac:dyDescent="0.3">
      <c r="A1106" t="s">
        <v>34</v>
      </c>
      <c r="B1106">
        <v>2014</v>
      </c>
      <c r="C1106" t="s">
        <v>35</v>
      </c>
      <c r="D1106" s="2">
        <v>41671</v>
      </c>
      <c r="E1106" t="s">
        <v>14</v>
      </c>
      <c r="F1106">
        <v>118.8</v>
      </c>
      <c r="G1106" t="str">
        <f>VLOOKUP(Table1_2[[#This Row],[Categories]],Sheet3!$A$1:$B$27,2,FALSE)</f>
        <v>Food &amp;Beverage</v>
      </c>
    </row>
    <row r="1107" spans="1:7" x14ac:dyDescent="0.3">
      <c r="A1107" t="s">
        <v>34</v>
      </c>
      <c r="B1107">
        <v>2014</v>
      </c>
      <c r="C1107" t="s">
        <v>35</v>
      </c>
      <c r="D1107" s="2">
        <v>41671</v>
      </c>
      <c r="E1107" t="s">
        <v>15</v>
      </c>
      <c r="F1107">
        <v>115.3</v>
      </c>
      <c r="G1107" t="str">
        <f>VLOOKUP(Table1_2[[#This Row],[Categories]],Sheet3!$A$1:$B$27,2,FALSE)</f>
        <v>Food &amp;Beverage</v>
      </c>
    </row>
    <row r="1108" spans="1:7" x14ac:dyDescent="0.3">
      <c r="A1108" t="s">
        <v>34</v>
      </c>
      <c r="B1108">
        <v>2014</v>
      </c>
      <c r="C1108" t="s">
        <v>35</v>
      </c>
      <c r="D1108" s="2">
        <v>41671</v>
      </c>
      <c r="E1108" t="s">
        <v>16</v>
      </c>
      <c r="F1108">
        <v>114.7</v>
      </c>
      <c r="G1108" t="str">
        <f>VLOOKUP(Table1_2[[#This Row],[Categories]],Sheet3!$A$1:$B$27,2,FALSE)</f>
        <v>Recreation and amusement</v>
      </c>
    </row>
    <row r="1109" spans="1:7" x14ac:dyDescent="0.3">
      <c r="A1109" t="s">
        <v>34</v>
      </c>
      <c r="B1109">
        <v>2014</v>
      </c>
      <c r="C1109" t="s">
        <v>35</v>
      </c>
      <c r="D1109" s="2">
        <v>41671</v>
      </c>
      <c r="E1109" t="s">
        <v>17</v>
      </c>
      <c r="F1109">
        <v>116.4</v>
      </c>
      <c r="G1109" t="str">
        <f>VLOOKUP(Table1_2[[#This Row],[Categories]],Sheet3!$A$1:$B$27,2,FALSE)</f>
        <v>Clothing and footwear</v>
      </c>
    </row>
    <row r="1110" spans="1:7" x14ac:dyDescent="0.3">
      <c r="A1110" t="s">
        <v>34</v>
      </c>
      <c r="B1110">
        <v>2014</v>
      </c>
      <c r="C1110" t="s">
        <v>35</v>
      </c>
      <c r="D1110" s="2">
        <v>41671</v>
      </c>
      <c r="E1110" t="s">
        <v>18</v>
      </c>
      <c r="F1110">
        <v>113.3</v>
      </c>
      <c r="G1110" t="str">
        <f>VLOOKUP(Table1_2[[#This Row],[Categories]],Sheet3!$A$1:$B$27,2,FALSE)</f>
        <v>Clothing and footwear</v>
      </c>
    </row>
    <row r="1111" spans="1:7" x14ac:dyDescent="0.3">
      <c r="A1111" t="s">
        <v>34</v>
      </c>
      <c r="B1111">
        <v>2014</v>
      </c>
      <c r="C1111" t="s">
        <v>35</v>
      </c>
      <c r="D1111" s="2">
        <v>41671</v>
      </c>
      <c r="E1111" t="s">
        <v>19</v>
      </c>
      <c r="F1111">
        <v>115.9</v>
      </c>
      <c r="G1111" t="str">
        <f>VLOOKUP(Table1_2[[#This Row],[Categories]],Sheet3!$A$1:$B$27,2,FALSE)</f>
        <v>Clothing and footwear</v>
      </c>
    </row>
    <row r="1112" spans="1:7" x14ac:dyDescent="0.3">
      <c r="A1112" t="s">
        <v>34</v>
      </c>
      <c r="B1112">
        <v>2014</v>
      </c>
      <c r="C1112" t="s">
        <v>35</v>
      </c>
      <c r="D1112" s="2">
        <v>41671</v>
      </c>
      <c r="E1112" t="s">
        <v>20</v>
      </c>
      <c r="F1112">
        <v>112.5</v>
      </c>
      <c r="G1112" t="str">
        <f>VLOOKUP(Table1_2[[#This Row],[Categories]],Sheet3!$A$1:$B$27,2,FALSE)</f>
        <v>Housing</v>
      </c>
    </row>
    <row r="1113" spans="1:7" x14ac:dyDescent="0.3">
      <c r="A1113" t="s">
        <v>34</v>
      </c>
      <c r="B1113">
        <v>2014</v>
      </c>
      <c r="C1113" t="s">
        <v>35</v>
      </c>
      <c r="D1113" s="2">
        <v>41671</v>
      </c>
      <c r="E1113" t="s">
        <v>21</v>
      </c>
      <c r="F1113">
        <v>112.4</v>
      </c>
      <c r="G1113" t="str">
        <f>VLOOKUP(Table1_2[[#This Row],[Categories]],Sheet3!$A$1:$B$27,2,FALSE)</f>
        <v>Fuel and light</v>
      </c>
    </row>
    <row r="1114" spans="1:7" x14ac:dyDescent="0.3">
      <c r="A1114" t="s">
        <v>34</v>
      </c>
      <c r="B1114">
        <v>2014</v>
      </c>
      <c r="C1114" t="s">
        <v>35</v>
      </c>
      <c r="D1114" s="2">
        <v>41671</v>
      </c>
      <c r="E1114" t="s">
        <v>22</v>
      </c>
      <c r="F1114">
        <v>112.8</v>
      </c>
      <c r="G1114" t="str">
        <f>VLOOKUP(Table1_2[[#This Row],[Categories]],Sheet3!$A$1:$B$27,2,FALSE)</f>
        <v>Household Items</v>
      </c>
    </row>
    <row r="1115" spans="1:7" x14ac:dyDescent="0.3">
      <c r="A1115" t="s">
        <v>34</v>
      </c>
      <c r="B1115">
        <v>2014</v>
      </c>
      <c r="C1115" t="s">
        <v>35</v>
      </c>
      <c r="D1115" s="2">
        <v>41671</v>
      </c>
      <c r="E1115" t="s">
        <v>23</v>
      </c>
      <c r="F1115">
        <v>110.7</v>
      </c>
      <c r="G1115" t="str">
        <f>VLOOKUP(Table1_2[[#This Row],[Categories]],Sheet3!$A$1:$B$27,2,FALSE)</f>
        <v>Health</v>
      </c>
    </row>
    <row r="1116" spans="1:7" x14ac:dyDescent="0.3">
      <c r="A1116" t="s">
        <v>34</v>
      </c>
      <c r="B1116">
        <v>2014</v>
      </c>
      <c r="C1116" t="s">
        <v>35</v>
      </c>
      <c r="D1116" s="2">
        <v>41671</v>
      </c>
      <c r="E1116" t="s">
        <v>24</v>
      </c>
      <c r="F1116">
        <v>111.1</v>
      </c>
      <c r="G1116" t="str">
        <f>VLOOKUP(Table1_2[[#This Row],[Categories]],Sheet3!$A$1:$B$27,2,FALSE)</f>
        <v>Transport and communication</v>
      </c>
    </row>
    <row r="1117" spans="1:7" x14ac:dyDescent="0.3">
      <c r="A1117" t="s">
        <v>34</v>
      </c>
      <c r="B1117">
        <v>2014</v>
      </c>
      <c r="C1117" t="s">
        <v>35</v>
      </c>
      <c r="D1117" s="2">
        <v>41671</v>
      </c>
      <c r="E1117" t="s">
        <v>25</v>
      </c>
      <c r="F1117">
        <v>110.1</v>
      </c>
      <c r="G1117" t="str">
        <f>VLOOKUP(Table1_2[[#This Row],[Categories]],Sheet3!$A$1:$B$27,2,FALSE)</f>
        <v>Recreation and amusement</v>
      </c>
    </row>
    <row r="1118" spans="1:7" x14ac:dyDescent="0.3">
      <c r="A1118" t="s">
        <v>34</v>
      </c>
      <c r="B1118">
        <v>2014</v>
      </c>
      <c r="C1118" t="s">
        <v>35</v>
      </c>
      <c r="D1118" s="2">
        <v>41671</v>
      </c>
      <c r="E1118" t="s">
        <v>26</v>
      </c>
      <c r="F1118">
        <v>111.8</v>
      </c>
      <c r="G1118" t="str">
        <f>VLOOKUP(Table1_2[[#This Row],[Categories]],Sheet3!$A$1:$B$27,2,FALSE)</f>
        <v>Education</v>
      </c>
    </row>
    <row r="1119" spans="1:7" x14ac:dyDescent="0.3">
      <c r="A1119" t="s">
        <v>34</v>
      </c>
      <c r="B1119">
        <v>2014</v>
      </c>
      <c r="C1119" t="s">
        <v>35</v>
      </c>
      <c r="D1119" s="2">
        <v>41671</v>
      </c>
      <c r="E1119" t="s">
        <v>27</v>
      </c>
      <c r="F1119">
        <v>108.7</v>
      </c>
      <c r="G1119" t="str">
        <f>VLOOKUP(Table1_2[[#This Row],[Categories]],Sheet3!$A$1:$B$27,2,FALSE)</f>
        <v>Household Items</v>
      </c>
    </row>
    <row r="1120" spans="1:7" x14ac:dyDescent="0.3">
      <c r="A1120" t="s">
        <v>34</v>
      </c>
      <c r="B1120">
        <v>2014</v>
      </c>
      <c r="C1120" t="s">
        <v>35</v>
      </c>
      <c r="D1120" s="2">
        <v>41671</v>
      </c>
      <c r="E1120" t="s">
        <v>28</v>
      </c>
      <c r="F1120">
        <v>110.9</v>
      </c>
      <c r="G1120" t="str">
        <f>VLOOKUP(Table1_2[[#This Row],[Categories]],Sheet3!$A$1:$B$27,2,FALSE)</f>
        <v>Miscellaneous</v>
      </c>
    </row>
    <row r="1121" spans="1:7" x14ac:dyDescent="0.3">
      <c r="A1121" t="s">
        <v>34</v>
      </c>
      <c r="B1121">
        <v>2014</v>
      </c>
      <c r="C1121" t="s">
        <v>35</v>
      </c>
      <c r="D1121" s="2">
        <v>41671</v>
      </c>
      <c r="E1121" t="s">
        <v>29</v>
      </c>
      <c r="F1121">
        <v>113.6</v>
      </c>
      <c r="G1121" t="str">
        <f>VLOOKUP(Table1_2[[#This Row],[Categories]],Sheet3!$A$1:$B$27,2,FALSE)</f>
        <v>General index</v>
      </c>
    </row>
    <row r="1122" spans="1:7" x14ac:dyDescent="0.3">
      <c r="A1122" t="s">
        <v>30</v>
      </c>
      <c r="B1122">
        <v>2014</v>
      </c>
      <c r="C1122" t="s">
        <v>36</v>
      </c>
      <c r="D1122" s="2">
        <v>41699</v>
      </c>
      <c r="E1122" t="s">
        <v>3</v>
      </c>
      <c r="F1122">
        <v>120.1</v>
      </c>
      <c r="G1122" t="str">
        <f>VLOOKUP(Table1_2[[#This Row],[Categories]],Sheet3!$A$1:$B$27,2,FALSE)</f>
        <v>Food &amp;Beverage</v>
      </c>
    </row>
    <row r="1123" spans="1:7" x14ac:dyDescent="0.3">
      <c r="A1123" t="s">
        <v>30</v>
      </c>
      <c r="B1123">
        <v>2014</v>
      </c>
      <c r="C1123" t="s">
        <v>36</v>
      </c>
      <c r="D1123" s="2">
        <v>41699</v>
      </c>
      <c r="E1123" t="s">
        <v>4</v>
      </c>
      <c r="F1123">
        <v>118.1</v>
      </c>
      <c r="G1123" t="str">
        <f>VLOOKUP(Table1_2[[#This Row],[Categories]],Sheet3!$A$1:$B$27,2,FALSE)</f>
        <v>Food &amp;Beverage</v>
      </c>
    </row>
    <row r="1124" spans="1:7" x14ac:dyDescent="0.3">
      <c r="A1124" t="s">
        <v>30</v>
      </c>
      <c r="B1124">
        <v>2014</v>
      </c>
      <c r="C1124" t="s">
        <v>36</v>
      </c>
      <c r="D1124" s="2">
        <v>41699</v>
      </c>
      <c r="E1124" t="s">
        <v>5</v>
      </c>
      <c r="F1124">
        <v>120.7</v>
      </c>
      <c r="G1124" t="str">
        <f>VLOOKUP(Table1_2[[#This Row],[Categories]],Sheet3!$A$1:$B$27,2,FALSE)</f>
        <v>Food &amp;Beverage</v>
      </c>
    </row>
    <row r="1125" spans="1:7" x14ac:dyDescent="0.3">
      <c r="A1125" t="s">
        <v>30</v>
      </c>
      <c r="B1125">
        <v>2014</v>
      </c>
      <c r="C1125" t="s">
        <v>36</v>
      </c>
      <c r="D1125" s="2">
        <v>41699</v>
      </c>
      <c r="E1125" t="s">
        <v>6</v>
      </c>
      <c r="F1125">
        <v>116.1</v>
      </c>
      <c r="G1125" t="str">
        <f>VLOOKUP(Table1_2[[#This Row],[Categories]],Sheet3!$A$1:$B$27,2,FALSE)</f>
        <v>Food &amp;Beverage</v>
      </c>
    </row>
    <row r="1126" spans="1:7" x14ac:dyDescent="0.3">
      <c r="A1126" t="s">
        <v>30</v>
      </c>
      <c r="B1126">
        <v>2014</v>
      </c>
      <c r="C1126" t="s">
        <v>36</v>
      </c>
      <c r="D1126" s="2">
        <v>41699</v>
      </c>
      <c r="E1126" t="s">
        <v>7</v>
      </c>
      <c r="F1126">
        <v>109.3</v>
      </c>
      <c r="G1126" t="str">
        <f>VLOOKUP(Table1_2[[#This Row],[Categories]],Sheet3!$A$1:$B$27,2,FALSE)</f>
        <v>Food &amp;Beverage</v>
      </c>
    </row>
    <row r="1127" spans="1:7" x14ac:dyDescent="0.3">
      <c r="A1127" t="s">
        <v>30</v>
      </c>
      <c r="B1127">
        <v>2014</v>
      </c>
      <c r="C1127" t="s">
        <v>36</v>
      </c>
      <c r="D1127" s="2">
        <v>41699</v>
      </c>
      <c r="E1127" t="s">
        <v>8</v>
      </c>
      <c r="F1127">
        <v>119.6</v>
      </c>
      <c r="G1127" t="str">
        <f>VLOOKUP(Table1_2[[#This Row],[Categories]],Sheet3!$A$1:$B$27,2,FALSE)</f>
        <v>Food &amp;Beverage</v>
      </c>
    </row>
    <row r="1128" spans="1:7" x14ac:dyDescent="0.3">
      <c r="A1128" t="s">
        <v>30</v>
      </c>
      <c r="B1128">
        <v>2014</v>
      </c>
      <c r="C1128" t="s">
        <v>36</v>
      </c>
      <c r="D1128" s="2">
        <v>41699</v>
      </c>
      <c r="E1128" t="s">
        <v>9</v>
      </c>
      <c r="F1128">
        <v>117.9</v>
      </c>
      <c r="G1128" t="str">
        <f>VLOOKUP(Table1_2[[#This Row],[Categories]],Sheet3!$A$1:$B$27,2,FALSE)</f>
        <v>Food &amp;Beverage</v>
      </c>
    </row>
    <row r="1129" spans="1:7" x14ac:dyDescent="0.3">
      <c r="A1129" t="s">
        <v>30</v>
      </c>
      <c r="B1129">
        <v>2014</v>
      </c>
      <c r="C1129" t="s">
        <v>36</v>
      </c>
      <c r="D1129" s="2">
        <v>41699</v>
      </c>
      <c r="E1129" t="s">
        <v>10</v>
      </c>
      <c r="F1129">
        <v>110.2</v>
      </c>
      <c r="G1129" t="str">
        <f>VLOOKUP(Table1_2[[#This Row],[Categories]],Sheet3!$A$1:$B$27,2,FALSE)</f>
        <v>Food &amp;Beverage</v>
      </c>
    </row>
    <row r="1130" spans="1:7" x14ac:dyDescent="0.3">
      <c r="A1130" t="s">
        <v>30</v>
      </c>
      <c r="B1130">
        <v>2014</v>
      </c>
      <c r="C1130" t="s">
        <v>36</v>
      </c>
      <c r="D1130" s="2">
        <v>41699</v>
      </c>
      <c r="E1130" t="s">
        <v>11</v>
      </c>
      <c r="F1130">
        <v>101.2</v>
      </c>
      <c r="G1130" t="str">
        <f>VLOOKUP(Table1_2[[#This Row],[Categories]],Sheet3!$A$1:$B$27,2,FALSE)</f>
        <v>Food &amp;Beverage</v>
      </c>
    </row>
    <row r="1131" spans="1:7" x14ac:dyDescent="0.3">
      <c r="A1131" t="s">
        <v>30</v>
      </c>
      <c r="B1131">
        <v>2014</v>
      </c>
      <c r="C1131" t="s">
        <v>36</v>
      </c>
      <c r="D1131" s="2">
        <v>41699</v>
      </c>
      <c r="E1131" t="s">
        <v>12</v>
      </c>
      <c r="F1131">
        <v>110.7</v>
      </c>
      <c r="G1131" t="str">
        <f>VLOOKUP(Table1_2[[#This Row],[Categories]],Sheet3!$A$1:$B$27,2,FALSE)</f>
        <v>Food &amp;Beverage</v>
      </c>
    </row>
    <row r="1132" spans="1:7" x14ac:dyDescent="0.3">
      <c r="A1132" t="s">
        <v>30</v>
      </c>
      <c r="B1132">
        <v>2014</v>
      </c>
      <c r="C1132" t="s">
        <v>36</v>
      </c>
      <c r="D1132" s="2">
        <v>41699</v>
      </c>
      <c r="E1132" t="s">
        <v>13</v>
      </c>
      <c r="F1132">
        <v>113</v>
      </c>
      <c r="G1132" t="str">
        <f>VLOOKUP(Table1_2[[#This Row],[Categories]],Sheet3!$A$1:$B$27,2,FALSE)</f>
        <v>Food &amp;Beverage</v>
      </c>
    </row>
    <row r="1133" spans="1:7" x14ac:dyDescent="0.3">
      <c r="A1133" t="s">
        <v>30</v>
      </c>
      <c r="B1133">
        <v>2014</v>
      </c>
      <c r="C1133" t="s">
        <v>36</v>
      </c>
      <c r="D1133" s="2">
        <v>41699</v>
      </c>
      <c r="E1133" t="s">
        <v>14</v>
      </c>
      <c r="F1133">
        <v>118.3</v>
      </c>
      <c r="G1133" t="str">
        <f>VLOOKUP(Table1_2[[#This Row],[Categories]],Sheet3!$A$1:$B$27,2,FALSE)</f>
        <v>Food &amp;Beverage</v>
      </c>
    </row>
    <row r="1134" spans="1:7" x14ac:dyDescent="0.3">
      <c r="A1134" t="s">
        <v>30</v>
      </c>
      <c r="B1134">
        <v>2014</v>
      </c>
      <c r="C1134" t="s">
        <v>36</v>
      </c>
      <c r="D1134" s="2">
        <v>41699</v>
      </c>
      <c r="E1134" t="s">
        <v>15</v>
      </c>
      <c r="F1134">
        <v>116.2</v>
      </c>
      <c r="G1134" t="str">
        <f>VLOOKUP(Table1_2[[#This Row],[Categories]],Sheet3!$A$1:$B$27,2,FALSE)</f>
        <v>Food &amp;Beverage</v>
      </c>
    </row>
    <row r="1135" spans="1:7" x14ac:dyDescent="0.3">
      <c r="A1135" t="s">
        <v>30</v>
      </c>
      <c r="B1135">
        <v>2014</v>
      </c>
      <c r="C1135" t="s">
        <v>36</v>
      </c>
      <c r="D1135" s="2">
        <v>41699</v>
      </c>
      <c r="E1135" t="s">
        <v>16</v>
      </c>
      <c r="F1135">
        <v>114.6</v>
      </c>
      <c r="G1135" t="str">
        <f>VLOOKUP(Table1_2[[#This Row],[Categories]],Sheet3!$A$1:$B$27,2,FALSE)</f>
        <v>Recreation and amusement</v>
      </c>
    </row>
    <row r="1136" spans="1:7" x14ac:dyDescent="0.3">
      <c r="A1136" t="s">
        <v>30</v>
      </c>
      <c r="B1136">
        <v>2014</v>
      </c>
      <c r="C1136" t="s">
        <v>36</v>
      </c>
      <c r="D1136" s="2">
        <v>41699</v>
      </c>
      <c r="E1136" t="s">
        <v>17</v>
      </c>
      <c r="F1136">
        <v>117.5</v>
      </c>
      <c r="G1136" t="str">
        <f>VLOOKUP(Table1_2[[#This Row],[Categories]],Sheet3!$A$1:$B$27,2,FALSE)</f>
        <v>Clothing and footwear</v>
      </c>
    </row>
    <row r="1137" spans="1:7" x14ac:dyDescent="0.3">
      <c r="A1137" t="s">
        <v>30</v>
      </c>
      <c r="B1137">
        <v>2014</v>
      </c>
      <c r="C1137" t="s">
        <v>36</v>
      </c>
      <c r="D1137" s="2">
        <v>41699</v>
      </c>
      <c r="E1137" t="s">
        <v>18</v>
      </c>
      <c r="F1137">
        <v>114.9</v>
      </c>
      <c r="G1137" t="str">
        <f>VLOOKUP(Table1_2[[#This Row],[Categories]],Sheet3!$A$1:$B$27,2,FALSE)</f>
        <v>Clothing and footwear</v>
      </c>
    </row>
    <row r="1138" spans="1:7" x14ac:dyDescent="0.3">
      <c r="A1138" t="s">
        <v>30</v>
      </c>
      <c r="B1138">
        <v>2014</v>
      </c>
      <c r="C1138" t="s">
        <v>36</v>
      </c>
      <c r="D1138" s="2">
        <v>41699</v>
      </c>
      <c r="E1138" t="s">
        <v>19</v>
      </c>
      <c r="F1138">
        <v>117.2</v>
      </c>
      <c r="G1138" t="str">
        <f>VLOOKUP(Table1_2[[#This Row],[Categories]],Sheet3!$A$1:$B$27,2,FALSE)</f>
        <v>Clothing and footwear</v>
      </c>
    </row>
    <row r="1139" spans="1:7" x14ac:dyDescent="0.3">
      <c r="A1139" t="s">
        <v>30</v>
      </c>
      <c r="B1139">
        <v>2014</v>
      </c>
      <c r="C1139" t="s">
        <v>36</v>
      </c>
      <c r="D1139" s="2">
        <v>41699</v>
      </c>
      <c r="E1139" t="s">
        <v>21</v>
      </c>
      <c r="F1139">
        <v>113.4</v>
      </c>
      <c r="G1139" t="str">
        <f>VLOOKUP(Table1_2[[#This Row],[Categories]],Sheet3!$A$1:$B$27,2,FALSE)</f>
        <v>Fuel and light</v>
      </c>
    </row>
    <row r="1140" spans="1:7" x14ac:dyDescent="0.3">
      <c r="A1140" t="s">
        <v>30</v>
      </c>
      <c r="B1140">
        <v>2014</v>
      </c>
      <c r="C1140" t="s">
        <v>36</v>
      </c>
      <c r="D1140" s="2">
        <v>41699</v>
      </c>
      <c r="E1140" t="s">
        <v>22</v>
      </c>
      <c r="F1140">
        <v>113.4</v>
      </c>
      <c r="G1140" t="str">
        <f>VLOOKUP(Table1_2[[#This Row],[Categories]],Sheet3!$A$1:$B$27,2,FALSE)</f>
        <v>Household Items</v>
      </c>
    </row>
    <row r="1141" spans="1:7" x14ac:dyDescent="0.3">
      <c r="A1141" t="s">
        <v>30</v>
      </c>
      <c r="B1141">
        <v>2014</v>
      </c>
      <c r="C1141" t="s">
        <v>36</v>
      </c>
      <c r="D1141" s="2">
        <v>41699</v>
      </c>
      <c r="E1141" t="s">
        <v>23</v>
      </c>
      <c r="F1141">
        <v>111.4</v>
      </c>
      <c r="G1141" t="str">
        <f>VLOOKUP(Table1_2[[#This Row],[Categories]],Sheet3!$A$1:$B$27,2,FALSE)</f>
        <v>Health</v>
      </c>
    </row>
    <row r="1142" spans="1:7" x14ac:dyDescent="0.3">
      <c r="A1142" t="s">
        <v>30</v>
      </c>
      <c r="B1142">
        <v>2014</v>
      </c>
      <c r="C1142" t="s">
        <v>36</v>
      </c>
      <c r="D1142" s="2">
        <v>41699</v>
      </c>
      <c r="E1142" t="s">
        <v>24</v>
      </c>
      <c r="F1142">
        <v>111.2</v>
      </c>
      <c r="G1142" t="str">
        <f>VLOOKUP(Table1_2[[#This Row],[Categories]],Sheet3!$A$1:$B$27,2,FALSE)</f>
        <v>Transport and communication</v>
      </c>
    </row>
    <row r="1143" spans="1:7" x14ac:dyDescent="0.3">
      <c r="A1143" t="s">
        <v>30</v>
      </c>
      <c r="B1143">
        <v>2014</v>
      </c>
      <c r="C1143" t="s">
        <v>36</v>
      </c>
      <c r="D1143" s="2">
        <v>41699</v>
      </c>
      <c r="E1143" t="s">
        <v>25</v>
      </c>
      <c r="F1143">
        <v>110.2</v>
      </c>
      <c r="G1143" t="str">
        <f>VLOOKUP(Table1_2[[#This Row],[Categories]],Sheet3!$A$1:$B$27,2,FALSE)</f>
        <v>Recreation and amusement</v>
      </c>
    </row>
    <row r="1144" spans="1:7" x14ac:dyDescent="0.3">
      <c r="A1144" t="s">
        <v>30</v>
      </c>
      <c r="B1144">
        <v>2014</v>
      </c>
      <c r="C1144" t="s">
        <v>36</v>
      </c>
      <c r="D1144" s="2">
        <v>41699</v>
      </c>
      <c r="E1144" t="s">
        <v>26</v>
      </c>
      <c r="F1144">
        <v>112.4</v>
      </c>
      <c r="G1144" t="str">
        <f>VLOOKUP(Table1_2[[#This Row],[Categories]],Sheet3!$A$1:$B$27,2,FALSE)</f>
        <v>Education</v>
      </c>
    </row>
    <row r="1145" spans="1:7" x14ac:dyDescent="0.3">
      <c r="A1145" t="s">
        <v>30</v>
      </c>
      <c r="B1145">
        <v>2014</v>
      </c>
      <c r="C1145" t="s">
        <v>36</v>
      </c>
      <c r="D1145" s="2">
        <v>41699</v>
      </c>
      <c r="E1145" t="s">
        <v>27</v>
      </c>
      <c r="F1145">
        <v>108.9</v>
      </c>
      <c r="G1145" t="str">
        <f>VLOOKUP(Table1_2[[#This Row],[Categories]],Sheet3!$A$1:$B$27,2,FALSE)</f>
        <v>Household Items</v>
      </c>
    </row>
    <row r="1146" spans="1:7" x14ac:dyDescent="0.3">
      <c r="A1146" t="s">
        <v>30</v>
      </c>
      <c r="B1146">
        <v>2014</v>
      </c>
      <c r="C1146" t="s">
        <v>36</v>
      </c>
      <c r="D1146" s="2">
        <v>41699</v>
      </c>
      <c r="E1146" t="s">
        <v>28</v>
      </c>
      <c r="F1146">
        <v>111.3</v>
      </c>
      <c r="G1146" t="str">
        <f>VLOOKUP(Table1_2[[#This Row],[Categories]],Sheet3!$A$1:$B$27,2,FALSE)</f>
        <v>Miscellaneous</v>
      </c>
    </row>
    <row r="1147" spans="1:7" x14ac:dyDescent="0.3">
      <c r="A1147" t="s">
        <v>30</v>
      </c>
      <c r="B1147">
        <v>2014</v>
      </c>
      <c r="C1147" t="s">
        <v>36</v>
      </c>
      <c r="D1147" s="2">
        <v>41699</v>
      </c>
      <c r="E1147" t="s">
        <v>29</v>
      </c>
      <c r="F1147">
        <v>114.6</v>
      </c>
      <c r="G1147" t="str">
        <f>VLOOKUP(Table1_2[[#This Row],[Categories]],Sheet3!$A$1:$B$27,2,FALSE)</f>
        <v>General index</v>
      </c>
    </row>
    <row r="1148" spans="1:7" x14ac:dyDescent="0.3">
      <c r="A1148" t="s">
        <v>33</v>
      </c>
      <c r="B1148">
        <v>2014</v>
      </c>
      <c r="C1148" t="s">
        <v>36</v>
      </c>
      <c r="D1148" s="2">
        <v>41699</v>
      </c>
      <c r="E1148" t="s">
        <v>3</v>
      </c>
      <c r="F1148">
        <v>122.1</v>
      </c>
      <c r="G1148" t="str">
        <f>VLOOKUP(Table1_2[[#This Row],[Categories]],Sheet3!$A$1:$B$27,2,FALSE)</f>
        <v>Food &amp;Beverage</v>
      </c>
    </row>
    <row r="1149" spans="1:7" x14ac:dyDescent="0.3">
      <c r="A1149" t="s">
        <v>33</v>
      </c>
      <c r="B1149">
        <v>2014</v>
      </c>
      <c r="C1149" t="s">
        <v>36</v>
      </c>
      <c r="D1149" s="2">
        <v>41699</v>
      </c>
      <c r="E1149" t="s">
        <v>4</v>
      </c>
      <c r="F1149">
        <v>121.4</v>
      </c>
      <c r="G1149" t="str">
        <f>VLOOKUP(Table1_2[[#This Row],[Categories]],Sheet3!$A$1:$B$27,2,FALSE)</f>
        <v>Food &amp;Beverage</v>
      </c>
    </row>
    <row r="1150" spans="1:7" x14ac:dyDescent="0.3">
      <c r="A1150" t="s">
        <v>33</v>
      </c>
      <c r="B1150">
        <v>2014</v>
      </c>
      <c r="C1150" t="s">
        <v>36</v>
      </c>
      <c r="D1150" s="2">
        <v>41699</v>
      </c>
      <c r="E1150" t="s">
        <v>5</v>
      </c>
      <c r="F1150">
        <v>121.5</v>
      </c>
      <c r="G1150" t="str">
        <f>VLOOKUP(Table1_2[[#This Row],[Categories]],Sheet3!$A$1:$B$27,2,FALSE)</f>
        <v>Food &amp;Beverage</v>
      </c>
    </row>
    <row r="1151" spans="1:7" x14ac:dyDescent="0.3">
      <c r="A1151" t="s">
        <v>33</v>
      </c>
      <c r="B1151">
        <v>2014</v>
      </c>
      <c r="C1151" t="s">
        <v>36</v>
      </c>
      <c r="D1151" s="2">
        <v>41699</v>
      </c>
      <c r="E1151" t="s">
        <v>6</v>
      </c>
      <c r="F1151">
        <v>116.2</v>
      </c>
      <c r="G1151" t="str">
        <f>VLOOKUP(Table1_2[[#This Row],[Categories]],Sheet3!$A$1:$B$27,2,FALSE)</f>
        <v>Food &amp;Beverage</v>
      </c>
    </row>
    <row r="1152" spans="1:7" x14ac:dyDescent="0.3">
      <c r="A1152" t="s">
        <v>33</v>
      </c>
      <c r="B1152">
        <v>2014</v>
      </c>
      <c r="C1152" t="s">
        <v>36</v>
      </c>
      <c r="D1152" s="2">
        <v>41699</v>
      </c>
      <c r="E1152" t="s">
        <v>7</v>
      </c>
      <c r="F1152">
        <v>102.8</v>
      </c>
      <c r="G1152" t="str">
        <f>VLOOKUP(Table1_2[[#This Row],[Categories]],Sheet3!$A$1:$B$27,2,FALSE)</f>
        <v>Food &amp;Beverage</v>
      </c>
    </row>
    <row r="1153" spans="1:7" x14ac:dyDescent="0.3">
      <c r="A1153" t="s">
        <v>33</v>
      </c>
      <c r="B1153">
        <v>2014</v>
      </c>
      <c r="C1153" t="s">
        <v>36</v>
      </c>
      <c r="D1153" s="2">
        <v>41699</v>
      </c>
      <c r="E1153" t="s">
        <v>8</v>
      </c>
      <c r="F1153">
        <v>117.7</v>
      </c>
      <c r="G1153" t="str">
        <f>VLOOKUP(Table1_2[[#This Row],[Categories]],Sheet3!$A$1:$B$27,2,FALSE)</f>
        <v>Food &amp;Beverage</v>
      </c>
    </row>
    <row r="1154" spans="1:7" x14ac:dyDescent="0.3">
      <c r="A1154" t="s">
        <v>33</v>
      </c>
      <c r="B1154">
        <v>2014</v>
      </c>
      <c r="C1154" t="s">
        <v>36</v>
      </c>
      <c r="D1154" s="2">
        <v>41699</v>
      </c>
      <c r="E1154" t="s">
        <v>9</v>
      </c>
      <c r="F1154">
        <v>113.3</v>
      </c>
      <c r="G1154" t="str">
        <f>VLOOKUP(Table1_2[[#This Row],[Categories]],Sheet3!$A$1:$B$27,2,FALSE)</f>
        <v>Food &amp;Beverage</v>
      </c>
    </row>
    <row r="1155" spans="1:7" x14ac:dyDescent="0.3">
      <c r="A1155" t="s">
        <v>33</v>
      </c>
      <c r="B1155">
        <v>2014</v>
      </c>
      <c r="C1155" t="s">
        <v>36</v>
      </c>
      <c r="D1155" s="2">
        <v>41699</v>
      </c>
      <c r="E1155" t="s">
        <v>10</v>
      </c>
      <c r="F1155">
        <v>108.9</v>
      </c>
      <c r="G1155" t="str">
        <f>VLOOKUP(Table1_2[[#This Row],[Categories]],Sheet3!$A$1:$B$27,2,FALSE)</f>
        <v>Food &amp;Beverage</v>
      </c>
    </row>
    <row r="1156" spans="1:7" x14ac:dyDescent="0.3">
      <c r="A1156" t="s">
        <v>33</v>
      </c>
      <c r="B1156">
        <v>2014</v>
      </c>
      <c r="C1156" t="s">
        <v>36</v>
      </c>
      <c r="D1156" s="2">
        <v>41699</v>
      </c>
      <c r="E1156" t="s">
        <v>11</v>
      </c>
      <c r="F1156">
        <v>96.3</v>
      </c>
      <c r="G1156" t="str">
        <f>VLOOKUP(Table1_2[[#This Row],[Categories]],Sheet3!$A$1:$B$27,2,FALSE)</f>
        <v>Food &amp;Beverage</v>
      </c>
    </row>
    <row r="1157" spans="1:7" x14ac:dyDescent="0.3">
      <c r="A1157" t="s">
        <v>33</v>
      </c>
      <c r="B1157">
        <v>2014</v>
      </c>
      <c r="C1157" t="s">
        <v>36</v>
      </c>
      <c r="D1157" s="2">
        <v>41699</v>
      </c>
      <c r="E1157" t="s">
        <v>12</v>
      </c>
      <c r="F1157">
        <v>114.1</v>
      </c>
      <c r="G1157" t="str">
        <f>VLOOKUP(Table1_2[[#This Row],[Categories]],Sheet3!$A$1:$B$27,2,FALSE)</f>
        <v>Food &amp;Beverage</v>
      </c>
    </row>
    <row r="1158" spans="1:7" x14ac:dyDescent="0.3">
      <c r="A1158" t="s">
        <v>33</v>
      </c>
      <c r="B1158">
        <v>2014</v>
      </c>
      <c r="C1158" t="s">
        <v>36</v>
      </c>
      <c r="D1158" s="2">
        <v>41699</v>
      </c>
      <c r="E1158" t="s">
        <v>13</v>
      </c>
      <c r="F1158">
        <v>112.2</v>
      </c>
      <c r="G1158" t="str">
        <f>VLOOKUP(Table1_2[[#This Row],[Categories]],Sheet3!$A$1:$B$27,2,FALSE)</f>
        <v>Food &amp;Beverage</v>
      </c>
    </row>
    <row r="1159" spans="1:7" x14ac:dyDescent="0.3">
      <c r="A1159" t="s">
        <v>33</v>
      </c>
      <c r="B1159">
        <v>2014</v>
      </c>
      <c r="C1159" t="s">
        <v>36</v>
      </c>
      <c r="D1159" s="2">
        <v>41699</v>
      </c>
      <c r="E1159" t="s">
        <v>14</v>
      </c>
      <c r="F1159">
        <v>120.5</v>
      </c>
      <c r="G1159" t="str">
        <f>VLOOKUP(Table1_2[[#This Row],[Categories]],Sheet3!$A$1:$B$27,2,FALSE)</f>
        <v>Food &amp;Beverage</v>
      </c>
    </row>
    <row r="1160" spans="1:7" x14ac:dyDescent="0.3">
      <c r="A1160" t="s">
        <v>33</v>
      </c>
      <c r="B1160">
        <v>2014</v>
      </c>
      <c r="C1160" t="s">
        <v>36</v>
      </c>
      <c r="D1160" s="2">
        <v>41699</v>
      </c>
      <c r="E1160" t="s">
        <v>15</v>
      </c>
      <c r="F1160">
        <v>116</v>
      </c>
      <c r="G1160" t="str">
        <f>VLOOKUP(Table1_2[[#This Row],[Categories]],Sheet3!$A$1:$B$27,2,FALSE)</f>
        <v>Food &amp;Beverage</v>
      </c>
    </row>
    <row r="1161" spans="1:7" x14ac:dyDescent="0.3">
      <c r="A1161" t="s">
        <v>33</v>
      </c>
      <c r="B1161">
        <v>2014</v>
      </c>
      <c r="C1161" t="s">
        <v>36</v>
      </c>
      <c r="D1161" s="2">
        <v>41699</v>
      </c>
      <c r="E1161" t="s">
        <v>16</v>
      </c>
      <c r="F1161">
        <v>116.7</v>
      </c>
      <c r="G1161" t="str">
        <f>VLOOKUP(Table1_2[[#This Row],[Categories]],Sheet3!$A$1:$B$27,2,FALSE)</f>
        <v>Recreation and amusement</v>
      </c>
    </row>
    <row r="1162" spans="1:7" x14ac:dyDescent="0.3">
      <c r="A1162" t="s">
        <v>33</v>
      </c>
      <c r="B1162">
        <v>2014</v>
      </c>
      <c r="C1162" t="s">
        <v>36</v>
      </c>
      <c r="D1162" s="2">
        <v>41699</v>
      </c>
      <c r="E1162" t="s">
        <v>17</v>
      </c>
      <c r="F1162">
        <v>115.8</v>
      </c>
      <c r="G1162" t="str">
        <f>VLOOKUP(Table1_2[[#This Row],[Categories]],Sheet3!$A$1:$B$27,2,FALSE)</f>
        <v>Clothing and footwear</v>
      </c>
    </row>
    <row r="1163" spans="1:7" x14ac:dyDescent="0.3">
      <c r="A1163" t="s">
        <v>33</v>
      </c>
      <c r="B1163">
        <v>2014</v>
      </c>
      <c r="C1163" t="s">
        <v>36</v>
      </c>
      <c r="D1163" s="2">
        <v>41699</v>
      </c>
      <c r="E1163" t="s">
        <v>18</v>
      </c>
      <c r="F1163">
        <v>112.1</v>
      </c>
      <c r="G1163" t="str">
        <f>VLOOKUP(Table1_2[[#This Row],[Categories]],Sheet3!$A$1:$B$27,2,FALSE)</f>
        <v>Clothing and footwear</v>
      </c>
    </row>
    <row r="1164" spans="1:7" x14ac:dyDescent="0.3">
      <c r="A1164" t="s">
        <v>33</v>
      </c>
      <c r="B1164">
        <v>2014</v>
      </c>
      <c r="C1164" t="s">
        <v>36</v>
      </c>
      <c r="D1164" s="2">
        <v>41699</v>
      </c>
      <c r="E1164" t="s">
        <v>19</v>
      </c>
      <c r="F1164">
        <v>115.2</v>
      </c>
      <c r="G1164" t="str">
        <f>VLOOKUP(Table1_2[[#This Row],[Categories]],Sheet3!$A$1:$B$27,2,FALSE)</f>
        <v>Clothing and footwear</v>
      </c>
    </row>
    <row r="1165" spans="1:7" x14ac:dyDescent="0.3">
      <c r="A1165" t="s">
        <v>33</v>
      </c>
      <c r="B1165">
        <v>2014</v>
      </c>
      <c r="C1165" t="s">
        <v>36</v>
      </c>
      <c r="D1165" s="2">
        <v>41699</v>
      </c>
      <c r="E1165" t="s">
        <v>20</v>
      </c>
      <c r="F1165">
        <v>113.2</v>
      </c>
      <c r="G1165" t="str">
        <f>VLOOKUP(Table1_2[[#This Row],[Categories]],Sheet3!$A$1:$B$27,2,FALSE)</f>
        <v>Housing</v>
      </c>
    </row>
    <row r="1166" spans="1:7" x14ac:dyDescent="0.3">
      <c r="A1166" t="s">
        <v>33</v>
      </c>
      <c r="B1166">
        <v>2014</v>
      </c>
      <c r="C1166" t="s">
        <v>36</v>
      </c>
      <c r="D1166" s="2">
        <v>41699</v>
      </c>
      <c r="E1166" t="s">
        <v>21</v>
      </c>
      <c r="F1166">
        <v>110.9</v>
      </c>
      <c r="G1166" t="str">
        <f>VLOOKUP(Table1_2[[#This Row],[Categories]],Sheet3!$A$1:$B$27,2,FALSE)</f>
        <v>Fuel and light</v>
      </c>
    </row>
    <row r="1167" spans="1:7" x14ac:dyDescent="0.3">
      <c r="A1167" t="s">
        <v>33</v>
      </c>
      <c r="B1167">
        <v>2014</v>
      </c>
      <c r="C1167" t="s">
        <v>36</v>
      </c>
      <c r="D1167" s="2">
        <v>41699</v>
      </c>
      <c r="E1167" t="s">
        <v>22</v>
      </c>
      <c r="F1167">
        <v>113</v>
      </c>
      <c r="G1167" t="str">
        <f>VLOOKUP(Table1_2[[#This Row],[Categories]],Sheet3!$A$1:$B$27,2,FALSE)</f>
        <v>Household Items</v>
      </c>
    </row>
    <row r="1168" spans="1:7" x14ac:dyDescent="0.3">
      <c r="A1168" t="s">
        <v>33</v>
      </c>
      <c r="B1168">
        <v>2014</v>
      </c>
      <c r="C1168" t="s">
        <v>36</v>
      </c>
      <c r="D1168" s="2">
        <v>41699</v>
      </c>
      <c r="E1168" t="s">
        <v>23</v>
      </c>
      <c r="F1168">
        <v>110.8</v>
      </c>
      <c r="G1168" t="str">
        <f>VLOOKUP(Table1_2[[#This Row],[Categories]],Sheet3!$A$1:$B$27,2,FALSE)</f>
        <v>Health</v>
      </c>
    </row>
    <row r="1169" spans="1:7" x14ac:dyDescent="0.3">
      <c r="A1169" t="s">
        <v>33</v>
      </c>
      <c r="B1169">
        <v>2014</v>
      </c>
      <c r="C1169" t="s">
        <v>36</v>
      </c>
      <c r="D1169" s="2">
        <v>41699</v>
      </c>
      <c r="E1169" t="s">
        <v>24</v>
      </c>
      <c r="F1169">
        <v>111.6</v>
      </c>
      <c r="G1169" t="str">
        <f>VLOOKUP(Table1_2[[#This Row],[Categories]],Sheet3!$A$1:$B$27,2,FALSE)</f>
        <v>Transport and communication</v>
      </c>
    </row>
    <row r="1170" spans="1:7" x14ac:dyDescent="0.3">
      <c r="A1170" t="s">
        <v>33</v>
      </c>
      <c r="B1170">
        <v>2014</v>
      </c>
      <c r="C1170" t="s">
        <v>36</v>
      </c>
      <c r="D1170" s="2">
        <v>41699</v>
      </c>
      <c r="E1170" t="s">
        <v>25</v>
      </c>
      <c r="F1170">
        <v>110.9</v>
      </c>
      <c r="G1170" t="str">
        <f>VLOOKUP(Table1_2[[#This Row],[Categories]],Sheet3!$A$1:$B$27,2,FALSE)</f>
        <v>Recreation and amusement</v>
      </c>
    </row>
    <row r="1171" spans="1:7" x14ac:dyDescent="0.3">
      <c r="A1171" t="s">
        <v>33</v>
      </c>
      <c r="B1171">
        <v>2014</v>
      </c>
      <c r="C1171" t="s">
        <v>36</v>
      </c>
      <c r="D1171" s="2">
        <v>41699</v>
      </c>
      <c r="E1171" t="s">
        <v>26</v>
      </c>
      <c r="F1171">
        <v>111.8</v>
      </c>
      <c r="G1171" t="str">
        <f>VLOOKUP(Table1_2[[#This Row],[Categories]],Sheet3!$A$1:$B$27,2,FALSE)</f>
        <v>Education</v>
      </c>
    </row>
    <row r="1172" spans="1:7" x14ac:dyDescent="0.3">
      <c r="A1172" t="s">
        <v>33</v>
      </c>
      <c r="B1172">
        <v>2014</v>
      </c>
      <c r="C1172" t="s">
        <v>36</v>
      </c>
      <c r="D1172" s="2">
        <v>41699</v>
      </c>
      <c r="E1172" t="s">
        <v>27</v>
      </c>
      <c r="F1172">
        <v>109.2</v>
      </c>
      <c r="G1172" t="str">
        <f>VLOOKUP(Table1_2[[#This Row],[Categories]],Sheet3!$A$1:$B$27,2,FALSE)</f>
        <v>Household Items</v>
      </c>
    </row>
    <row r="1173" spans="1:7" x14ac:dyDescent="0.3">
      <c r="A1173" t="s">
        <v>33</v>
      </c>
      <c r="B1173">
        <v>2014</v>
      </c>
      <c r="C1173" t="s">
        <v>36</v>
      </c>
      <c r="D1173" s="2">
        <v>41699</v>
      </c>
      <c r="E1173" t="s">
        <v>28</v>
      </c>
      <c r="F1173">
        <v>111.4</v>
      </c>
      <c r="G1173" t="str">
        <f>VLOOKUP(Table1_2[[#This Row],[Categories]],Sheet3!$A$1:$B$27,2,FALSE)</f>
        <v>Miscellaneous</v>
      </c>
    </row>
    <row r="1174" spans="1:7" x14ac:dyDescent="0.3">
      <c r="A1174" t="s">
        <v>33</v>
      </c>
      <c r="B1174">
        <v>2014</v>
      </c>
      <c r="C1174" t="s">
        <v>36</v>
      </c>
      <c r="D1174" s="2">
        <v>41699</v>
      </c>
      <c r="E1174" t="s">
        <v>29</v>
      </c>
      <c r="F1174">
        <v>113.7</v>
      </c>
      <c r="G1174" t="str">
        <f>VLOOKUP(Table1_2[[#This Row],[Categories]],Sheet3!$A$1:$B$27,2,FALSE)</f>
        <v>General index</v>
      </c>
    </row>
    <row r="1175" spans="1:7" x14ac:dyDescent="0.3">
      <c r="A1175" t="s">
        <v>34</v>
      </c>
      <c r="B1175">
        <v>2014</v>
      </c>
      <c r="C1175" t="s">
        <v>36</v>
      </c>
      <c r="D1175" s="2">
        <v>41699</v>
      </c>
      <c r="E1175" t="s">
        <v>3</v>
      </c>
      <c r="F1175">
        <v>120.7</v>
      </c>
      <c r="G1175" t="str">
        <f>VLOOKUP(Table1_2[[#This Row],[Categories]],Sheet3!$A$1:$B$27,2,FALSE)</f>
        <v>Food &amp;Beverage</v>
      </c>
    </row>
    <row r="1176" spans="1:7" x14ac:dyDescent="0.3">
      <c r="A1176" t="s">
        <v>34</v>
      </c>
      <c r="B1176">
        <v>2014</v>
      </c>
      <c r="C1176" t="s">
        <v>36</v>
      </c>
      <c r="D1176" s="2">
        <v>41699</v>
      </c>
      <c r="E1176" t="s">
        <v>4</v>
      </c>
      <c r="F1176">
        <v>119.3</v>
      </c>
      <c r="G1176" t="str">
        <f>VLOOKUP(Table1_2[[#This Row],[Categories]],Sheet3!$A$1:$B$27,2,FALSE)</f>
        <v>Food &amp;Beverage</v>
      </c>
    </row>
    <row r="1177" spans="1:7" x14ac:dyDescent="0.3">
      <c r="A1177" t="s">
        <v>34</v>
      </c>
      <c r="B1177">
        <v>2014</v>
      </c>
      <c r="C1177" t="s">
        <v>36</v>
      </c>
      <c r="D1177" s="2">
        <v>41699</v>
      </c>
      <c r="E1177" t="s">
        <v>5</v>
      </c>
      <c r="F1177">
        <v>121</v>
      </c>
      <c r="G1177" t="str">
        <f>VLOOKUP(Table1_2[[#This Row],[Categories]],Sheet3!$A$1:$B$27,2,FALSE)</f>
        <v>Food &amp;Beverage</v>
      </c>
    </row>
    <row r="1178" spans="1:7" x14ac:dyDescent="0.3">
      <c r="A1178" t="s">
        <v>34</v>
      </c>
      <c r="B1178">
        <v>2014</v>
      </c>
      <c r="C1178" t="s">
        <v>36</v>
      </c>
      <c r="D1178" s="2">
        <v>41699</v>
      </c>
      <c r="E1178" t="s">
        <v>6</v>
      </c>
      <c r="F1178">
        <v>116.1</v>
      </c>
      <c r="G1178" t="str">
        <f>VLOOKUP(Table1_2[[#This Row],[Categories]],Sheet3!$A$1:$B$27,2,FALSE)</f>
        <v>Food &amp;Beverage</v>
      </c>
    </row>
    <row r="1179" spans="1:7" x14ac:dyDescent="0.3">
      <c r="A1179" t="s">
        <v>34</v>
      </c>
      <c r="B1179">
        <v>2014</v>
      </c>
      <c r="C1179" t="s">
        <v>36</v>
      </c>
      <c r="D1179" s="2">
        <v>41699</v>
      </c>
      <c r="E1179" t="s">
        <v>7</v>
      </c>
      <c r="F1179">
        <v>106.9</v>
      </c>
      <c r="G1179" t="str">
        <f>VLOOKUP(Table1_2[[#This Row],[Categories]],Sheet3!$A$1:$B$27,2,FALSE)</f>
        <v>Food &amp;Beverage</v>
      </c>
    </row>
    <row r="1180" spans="1:7" x14ac:dyDescent="0.3">
      <c r="A1180" t="s">
        <v>34</v>
      </c>
      <c r="B1180">
        <v>2014</v>
      </c>
      <c r="C1180" t="s">
        <v>36</v>
      </c>
      <c r="D1180" s="2">
        <v>41699</v>
      </c>
      <c r="E1180" t="s">
        <v>8</v>
      </c>
      <c r="F1180">
        <v>118.7</v>
      </c>
      <c r="G1180" t="str">
        <f>VLOOKUP(Table1_2[[#This Row],[Categories]],Sheet3!$A$1:$B$27,2,FALSE)</f>
        <v>Food &amp;Beverage</v>
      </c>
    </row>
    <row r="1181" spans="1:7" x14ac:dyDescent="0.3">
      <c r="A1181" t="s">
        <v>34</v>
      </c>
      <c r="B1181">
        <v>2014</v>
      </c>
      <c r="C1181" t="s">
        <v>36</v>
      </c>
      <c r="D1181" s="2">
        <v>41699</v>
      </c>
      <c r="E1181" t="s">
        <v>9</v>
      </c>
      <c r="F1181">
        <v>116.3</v>
      </c>
      <c r="G1181" t="str">
        <f>VLOOKUP(Table1_2[[#This Row],[Categories]],Sheet3!$A$1:$B$27,2,FALSE)</f>
        <v>Food &amp;Beverage</v>
      </c>
    </row>
    <row r="1182" spans="1:7" x14ac:dyDescent="0.3">
      <c r="A1182" t="s">
        <v>34</v>
      </c>
      <c r="B1182">
        <v>2014</v>
      </c>
      <c r="C1182" t="s">
        <v>36</v>
      </c>
      <c r="D1182" s="2">
        <v>41699</v>
      </c>
      <c r="E1182" t="s">
        <v>10</v>
      </c>
      <c r="F1182">
        <v>109.8</v>
      </c>
      <c r="G1182" t="str">
        <f>VLOOKUP(Table1_2[[#This Row],[Categories]],Sheet3!$A$1:$B$27,2,FALSE)</f>
        <v>Food &amp;Beverage</v>
      </c>
    </row>
    <row r="1183" spans="1:7" x14ac:dyDescent="0.3">
      <c r="A1183" t="s">
        <v>34</v>
      </c>
      <c r="B1183">
        <v>2014</v>
      </c>
      <c r="C1183" t="s">
        <v>36</v>
      </c>
      <c r="D1183" s="2">
        <v>41699</v>
      </c>
      <c r="E1183" t="s">
        <v>11</v>
      </c>
      <c r="F1183">
        <v>99.6</v>
      </c>
      <c r="G1183" t="str">
        <f>VLOOKUP(Table1_2[[#This Row],[Categories]],Sheet3!$A$1:$B$27,2,FALSE)</f>
        <v>Food &amp;Beverage</v>
      </c>
    </row>
    <row r="1184" spans="1:7" x14ac:dyDescent="0.3">
      <c r="A1184" t="s">
        <v>34</v>
      </c>
      <c r="B1184">
        <v>2014</v>
      </c>
      <c r="C1184" t="s">
        <v>36</v>
      </c>
      <c r="D1184" s="2">
        <v>41699</v>
      </c>
      <c r="E1184" t="s">
        <v>12</v>
      </c>
      <c r="F1184">
        <v>111.8</v>
      </c>
      <c r="G1184" t="str">
        <f>VLOOKUP(Table1_2[[#This Row],[Categories]],Sheet3!$A$1:$B$27,2,FALSE)</f>
        <v>Food &amp;Beverage</v>
      </c>
    </row>
    <row r="1185" spans="1:7" x14ac:dyDescent="0.3">
      <c r="A1185" t="s">
        <v>34</v>
      </c>
      <c r="B1185">
        <v>2014</v>
      </c>
      <c r="C1185" t="s">
        <v>36</v>
      </c>
      <c r="D1185" s="2">
        <v>41699</v>
      </c>
      <c r="E1185" t="s">
        <v>13</v>
      </c>
      <c r="F1185">
        <v>112.7</v>
      </c>
      <c r="G1185" t="str">
        <f>VLOOKUP(Table1_2[[#This Row],[Categories]],Sheet3!$A$1:$B$27,2,FALSE)</f>
        <v>Food &amp;Beverage</v>
      </c>
    </row>
    <row r="1186" spans="1:7" x14ac:dyDescent="0.3">
      <c r="A1186" t="s">
        <v>34</v>
      </c>
      <c r="B1186">
        <v>2014</v>
      </c>
      <c r="C1186" t="s">
        <v>36</v>
      </c>
      <c r="D1186" s="2">
        <v>41699</v>
      </c>
      <c r="E1186" t="s">
        <v>14</v>
      </c>
      <c r="F1186">
        <v>119.3</v>
      </c>
      <c r="G1186" t="str">
        <f>VLOOKUP(Table1_2[[#This Row],[Categories]],Sheet3!$A$1:$B$27,2,FALSE)</f>
        <v>Food &amp;Beverage</v>
      </c>
    </row>
    <row r="1187" spans="1:7" x14ac:dyDescent="0.3">
      <c r="A1187" t="s">
        <v>34</v>
      </c>
      <c r="B1187">
        <v>2014</v>
      </c>
      <c r="C1187" t="s">
        <v>36</v>
      </c>
      <c r="D1187" s="2">
        <v>41699</v>
      </c>
      <c r="E1187" t="s">
        <v>15</v>
      </c>
      <c r="F1187">
        <v>116.1</v>
      </c>
      <c r="G1187" t="str">
        <f>VLOOKUP(Table1_2[[#This Row],[Categories]],Sheet3!$A$1:$B$27,2,FALSE)</f>
        <v>Food &amp;Beverage</v>
      </c>
    </row>
    <row r="1188" spans="1:7" x14ac:dyDescent="0.3">
      <c r="A1188" t="s">
        <v>34</v>
      </c>
      <c r="B1188">
        <v>2014</v>
      </c>
      <c r="C1188" t="s">
        <v>36</v>
      </c>
      <c r="D1188" s="2">
        <v>41699</v>
      </c>
      <c r="E1188" t="s">
        <v>16</v>
      </c>
      <c r="F1188">
        <v>115.2</v>
      </c>
      <c r="G1188" t="str">
        <f>VLOOKUP(Table1_2[[#This Row],[Categories]],Sheet3!$A$1:$B$27,2,FALSE)</f>
        <v>Recreation and amusement</v>
      </c>
    </row>
    <row r="1189" spans="1:7" x14ac:dyDescent="0.3">
      <c r="A1189" t="s">
        <v>34</v>
      </c>
      <c r="B1189">
        <v>2014</v>
      </c>
      <c r="C1189" t="s">
        <v>36</v>
      </c>
      <c r="D1189" s="2">
        <v>41699</v>
      </c>
      <c r="E1189" t="s">
        <v>17</v>
      </c>
      <c r="F1189">
        <v>116.8</v>
      </c>
      <c r="G1189" t="str">
        <f>VLOOKUP(Table1_2[[#This Row],[Categories]],Sheet3!$A$1:$B$27,2,FALSE)</f>
        <v>Clothing and footwear</v>
      </c>
    </row>
    <row r="1190" spans="1:7" x14ac:dyDescent="0.3">
      <c r="A1190" t="s">
        <v>34</v>
      </c>
      <c r="B1190">
        <v>2014</v>
      </c>
      <c r="C1190" t="s">
        <v>36</v>
      </c>
      <c r="D1190" s="2">
        <v>41699</v>
      </c>
      <c r="E1190" t="s">
        <v>18</v>
      </c>
      <c r="F1190">
        <v>113.7</v>
      </c>
      <c r="G1190" t="str">
        <f>VLOOKUP(Table1_2[[#This Row],[Categories]],Sheet3!$A$1:$B$27,2,FALSE)</f>
        <v>Clothing and footwear</v>
      </c>
    </row>
    <row r="1191" spans="1:7" x14ac:dyDescent="0.3">
      <c r="A1191" t="s">
        <v>34</v>
      </c>
      <c r="B1191">
        <v>2014</v>
      </c>
      <c r="C1191" t="s">
        <v>36</v>
      </c>
      <c r="D1191" s="2">
        <v>41699</v>
      </c>
      <c r="E1191" t="s">
        <v>19</v>
      </c>
      <c r="F1191">
        <v>116.4</v>
      </c>
      <c r="G1191" t="str">
        <f>VLOOKUP(Table1_2[[#This Row],[Categories]],Sheet3!$A$1:$B$27,2,FALSE)</f>
        <v>Clothing and footwear</v>
      </c>
    </row>
    <row r="1192" spans="1:7" x14ac:dyDescent="0.3">
      <c r="A1192" t="s">
        <v>34</v>
      </c>
      <c r="B1192">
        <v>2014</v>
      </c>
      <c r="C1192" t="s">
        <v>36</v>
      </c>
      <c r="D1192" s="2">
        <v>41699</v>
      </c>
      <c r="E1192" t="s">
        <v>20</v>
      </c>
      <c r="F1192">
        <v>113.2</v>
      </c>
      <c r="G1192" t="str">
        <f>VLOOKUP(Table1_2[[#This Row],[Categories]],Sheet3!$A$1:$B$27,2,FALSE)</f>
        <v>Housing</v>
      </c>
    </row>
    <row r="1193" spans="1:7" x14ac:dyDescent="0.3">
      <c r="A1193" t="s">
        <v>34</v>
      </c>
      <c r="B1193">
        <v>2014</v>
      </c>
      <c r="C1193" t="s">
        <v>36</v>
      </c>
      <c r="D1193" s="2">
        <v>41699</v>
      </c>
      <c r="E1193" t="s">
        <v>21</v>
      </c>
      <c r="F1193">
        <v>112.5</v>
      </c>
      <c r="G1193" t="str">
        <f>VLOOKUP(Table1_2[[#This Row],[Categories]],Sheet3!$A$1:$B$27,2,FALSE)</f>
        <v>Fuel and light</v>
      </c>
    </row>
    <row r="1194" spans="1:7" x14ac:dyDescent="0.3">
      <c r="A1194" t="s">
        <v>34</v>
      </c>
      <c r="B1194">
        <v>2014</v>
      </c>
      <c r="C1194" t="s">
        <v>36</v>
      </c>
      <c r="D1194" s="2">
        <v>41699</v>
      </c>
      <c r="E1194" t="s">
        <v>22</v>
      </c>
      <c r="F1194">
        <v>113.2</v>
      </c>
      <c r="G1194" t="str">
        <f>VLOOKUP(Table1_2[[#This Row],[Categories]],Sheet3!$A$1:$B$27,2,FALSE)</f>
        <v>Household Items</v>
      </c>
    </row>
    <row r="1195" spans="1:7" x14ac:dyDescent="0.3">
      <c r="A1195" t="s">
        <v>34</v>
      </c>
      <c r="B1195">
        <v>2014</v>
      </c>
      <c r="C1195" t="s">
        <v>36</v>
      </c>
      <c r="D1195" s="2">
        <v>41699</v>
      </c>
      <c r="E1195" t="s">
        <v>23</v>
      </c>
      <c r="F1195">
        <v>111.2</v>
      </c>
      <c r="G1195" t="str">
        <f>VLOOKUP(Table1_2[[#This Row],[Categories]],Sheet3!$A$1:$B$27,2,FALSE)</f>
        <v>Health</v>
      </c>
    </row>
    <row r="1196" spans="1:7" x14ac:dyDescent="0.3">
      <c r="A1196" t="s">
        <v>34</v>
      </c>
      <c r="B1196">
        <v>2014</v>
      </c>
      <c r="C1196" t="s">
        <v>36</v>
      </c>
      <c r="D1196" s="2">
        <v>41699</v>
      </c>
      <c r="E1196" t="s">
        <v>24</v>
      </c>
      <c r="F1196">
        <v>111.4</v>
      </c>
      <c r="G1196" t="str">
        <f>VLOOKUP(Table1_2[[#This Row],[Categories]],Sheet3!$A$1:$B$27,2,FALSE)</f>
        <v>Transport and communication</v>
      </c>
    </row>
    <row r="1197" spans="1:7" x14ac:dyDescent="0.3">
      <c r="A1197" t="s">
        <v>34</v>
      </c>
      <c r="B1197">
        <v>2014</v>
      </c>
      <c r="C1197" t="s">
        <v>36</v>
      </c>
      <c r="D1197" s="2">
        <v>41699</v>
      </c>
      <c r="E1197" t="s">
        <v>25</v>
      </c>
      <c r="F1197">
        <v>110.6</v>
      </c>
      <c r="G1197" t="str">
        <f>VLOOKUP(Table1_2[[#This Row],[Categories]],Sheet3!$A$1:$B$27,2,FALSE)</f>
        <v>Recreation and amusement</v>
      </c>
    </row>
    <row r="1198" spans="1:7" x14ac:dyDescent="0.3">
      <c r="A1198" t="s">
        <v>34</v>
      </c>
      <c r="B1198">
        <v>2014</v>
      </c>
      <c r="C1198" t="s">
        <v>36</v>
      </c>
      <c r="D1198" s="2">
        <v>41699</v>
      </c>
      <c r="E1198" t="s">
        <v>26</v>
      </c>
      <c r="F1198">
        <v>112</v>
      </c>
      <c r="G1198" t="str">
        <f>VLOOKUP(Table1_2[[#This Row],[Categories]],Sheet3!$A$1:$B$27,2,FALSE)</f>
        <v>Education</v>
      </c>
    </row>
    <row r="1199" spans="1:7" x14ac:dyDescent="0.3">
      <c r="A1199" t="s">
        <v>34</v>
      </c>
      <c r="B1199">
        <v>2014</v>
      </c>
      <c r="C1199" t="s">
        <v>36</v>
      </c>
      <c r="D1199" s="2">
        <v>41699</v>
      </c>
      <c r="E1199" t="s">
        <v>27</v>
      </c>
      <c r="F1199">
        <v>109</v>
      </c>
      <c r="G1199" t="str">
        <f>VLOOKUP(Table1_2[[#This Row],[Categories]],Sheet3!$A$1:$B$27,2,FALSE)</f>
        <v>Household Items</v>
      </c>
    </row>
    <row r="1200" spans="1:7" x14ac:dyDescent="0.3">
      <c r="A1200" t="s">
        <v>34</v>
      </c>
      <c r="B1200">
        <v>2014</v>
      </c>
      <c r="C1200" t="s">
        <v>36</v>
      </c>
      <c r="D1200" s="2">
        <v>41699</v>
      </c>
      <c r="E1200" t="s">
        <v>28</v>
      </c>
      <c r="F1200">
        <v>111.3</v>
      </c>
      <c r="G1200" t="str">
        <f>VLOOKUP(Table1_2[[#This Row],[Categories]],Sheet3!$A$1:$B$27,2,FALSE)</f>
        <v>Miscellaneous</v>
      </c>
    </row>
    <row r="1201" spans="1:7" x14ac:dyDescent="0.3">
      <c r="A1201" t="s">
        <v>34</v>
      </c>
      <c r="B1201">
        <v>2014</v>
      </c>
      <c r="C1201" t="s">
        <v>36</v>
      </c>
      <c r="D1201" s="2">
        <v>41699</v>
      </c>
      <c r="E1201" t="s">
        <v>29</v>
      </c>
      <c r="F1201">
        <v>114.2</v>
      </c>
      <c r="G1201" t="str">
        <f>VLOOKUP(Table1_2[[#This Row],[Categories]],Sheet3!$A$1:$B$27,2,FALSE)</f>
        <v>General index</v>
      </c>
    </row>
    <row r="1202" spans="1:7" x14ac:dyDescent="0.3">
      <c r="A1202" t="s">
        <v>30</v>
      </c>
      <c r="B1202">
        <v>2014</v>
      </c>
      <c r="C1202" t="s">
        <v>37</v>
      </c>
      <c r="D1202" s="2">
        <v>41730</v>
      </c>
      <c r="E1202" t="s">
        <v>3</v>
      </c>
      <c r="F1202">
        <v>120.2</v>
      </c>
      <c r="G1202" t="str">
        <f>VLOOKUP(Table1_2[[#This Row],[Categories]],Sheet3!$A$1:$B$27,2,FALSE)</f>
        <v>Food &amp;Beverage</v>
      </c>
    </row>
    <row r="1203" spans="1:7" x14ac:dyDescent="0.3">
      <c r="A1203" t="s">
        <v>30</v>
      </c>
      <c r="B1203">
        <v>2014</v>
      </c>
      <c r="C1203" t="s">
        <v>37</v>
      </c>
      <c r="D1203" s="2">
        <v>41730</v>
      </c>
      <c r="E1203" t="s">
        <v>4</v>
      </c>
      <c r="F1203">
        <v>118.9</v>
      </c>
      <c r="G1203" t="str">
        <f>VLOOKUP(Table1_2[[#This Row],[Categories]],Sheet3!$A$1:$B$27,2,FALSE)</f>
        <v>Food &amp;Beverage</v>
      </c>
    </row>
    <row r="1204" spans="1:7" x14ac:dyDescent="0.3">
      <c r="A1204" t="s">
        <v>30</v>
      </c>
      <c r="B1204">
        <v>2014</v>
      </c>
      <c r="C1204" t="s">
        <v>37</v>
      </c>
      <c r="D1204" s="2">
        <v>41730</v>
      </c>
      <c r="E1204" t="s">
        <v>5</v>
      </c>
      <c r="F1204">
        <v>118.1</v>
      </c>
      <c r="G1204" t="str">
        <f>VLOOKUP(Table1_2[[#This Row],[Categories]],Sheet3!$A$1:$B$27,2,FALSE)</f>
        <v>Food &amp;Beverage</v>
      </c>
    </row>
    <row r="1205" spans="1:7" x14ac:dyDescent="0.3">
      <c r="A1205" t="s">
        <v>30</v>
      </c>
      <c r="B1205">
        <v>2014</v>
      </c>
      <c r="C1205" t="s">
        <v>37</v>
      </c>
      <c r="D1205" s="2">
        <v>41730</v>
      </c>
      <c r="E1205" t="s">
        <v>6</v>
      </c>
      <c r="F1205">
        <v>117</v>
      </c>
      <c r="G1205" t="str">
        <f>VLOOKUP(Table1_2[[#This Row],[Categories]],Sheet3!$A$1:$B$27,2,FALSE)</f>
        <v>Food &amp;Beverage</v>
      </c>
    </row>
    <row r="1206" spans="1:7" x14ac:dyDescent="0.3">
      <c r="A1206" t="s">
        <v>30</v>
      </c>
      <c r="B1206">
        <v>2014</v>
      </c>
      <c r="C1206" t="s">
        <v>37</v>
      </c>
      <c r="D1206" s="2">
        <v>41730</v>
      </c>
      <c r="E1206" t="s">
        <v>7</v>
      </c>
      <c r="F1206">
        <v>109.7</v>
      </c>
      <c r="G1206" t="str">
        <f>VLOOKUP(Table1_2[[#This Row],[Categories]],Sheet3!$A$1:$B$27,2,FALSE)</f>
        <v>Food &amp;Beverage</v>
      </c>
    </row>
    <row r="1207" spans="1:7" x14ac:dyDescent="0.3">
      <c r="A1207" t="s">
        <v>30</v>
      </c>
      <c r="B1207">
        <v>2014</v>
      </c>
      <c r="C1207" t="s">
        <v>37</v>
      </c>
      <c r="D1207" s="2">
        <v>41730</v>
      </c>
      <c r="E1207" t="s">
        <v>8</v>
      </c>
      <c r="F1207">
        <v>125.5</v>
      </c>
      <c r="G1207" t="str">
        <f>VLOOKUP(Table1_2[[#This Row],[Categories]],Sheet3!$A$1:$B$27,2,FALSE)</f>
        <v>Food &amp;Beverage</v>
      </c>
    </row>
    <row r="1208" spans="1:7" x14ac:dyDescent="0.3">
      <c r="A1208" t="s">
        <v>30</v>
      </c>
      <c r="B1208">
        <v>2014</v>
      </c>
      <c r="C1208" t="s">
        <v>37</v>
      </c>
      <c r="D1208" s="2">
        <v>41730</v>
      </c>
      <c r="E1208" t="s">
        <v>9</v>
      </c>
      <c r="F1208">
        <v>120.5</v>
      </c>
      <c r="G1208" t="str">
        <f>VLOOKUP(Table1_2[[#This Row],[Categories]],Sheet3!$A$1:$B$27,2,FALSE)</f>
        <v>Food &amp;Beverage</v>
      </c>
    </row>
    <row r="1209" spans="1:7" x14ac:dyDescent="0.3">
      <c r="A1209" t="s">
        <v>30</v>
      </c>
      <c r="B1209">
        <v>2014</v>
      </c>
      <c r="C1209" t="s">
        <v>37</v>
      </c>
      <c r="D1209" s="2">
        <v>41730</v>
      </c>
      <c r="E1209" t="s">
        <v>10</v>
      </c>
      <c r="F1209">
        <v>111</v>
      </c>
      <c r="G1209" t="str">
        <f>VLOOKUP(Table1_2[[#This Row],[Categories]],Sheet3!$A$1:$B$27,2,FALSE)</f>
        <v>Food &amp;Beverage</v>
      </c>
    </row>
    <row r="1210" spans="1:7" x14ac:dyDescent="0.3">
      <c r="A1210" t="s">
        <v>30</v>
      </c>
      <c r="B1210">
        <v>2014</v>
      </c>
      <c r="C1210" t="s">
        <v>37</v>
      </c>
      <c r="D1210" s="2">
        <v>41730</v>
      </c>
      <c r="E1210" t="s">
        <v>11</v>
      </c>
      <c r="F1210">
        <v>102.6</v>
      </c>
      <c r="G1210" t="str">
        <f>VLOOKUP(Table1_2[[#This Row],[Categories]],Sheet3!$A$1:$B$27,2,FALSE)</f>
        <v>Food &amp;Beverage</v>
      </c>
    </row>
    <row r="1211" spans="1:7" x14ac:dyDescent="0.3">
      <c r="A1211" t="s">
        <v>30</v>
      </c>
      <c r="B1211">
        <v>2014</v>
      </c>
      <c r="C1211" t="s">
        <v>37</v>
      </c>
      <c r="D1211" s="2">
        <v>41730</v>
      </c>
      <c r="E1211" t="s">
        <v>12</v>
      </c>
      <c r="F1211">
        <v>111.2</v>
      </c>
      <c r="G1211" t="str">
        <f>VLOOKUP(Table1_2[[#This Row],[Categories]],Sheet3!$A$1:$B$27,2,FALSE)</f>
        <v>Food &amp;Beverage</v>
      </c>
    </row>
    <row r="1212" spans="1:7" x14ac:dyDescent="0.3">
      <c r="A1212" t="s">
        <v>30</v>
      </c>
      <c r="B1212">
        <v>2014</v>
      </c>
      <c r="C1212" t="s">
        <v>37</v>
      </c>
      <c r="D1212" s="2">
        <v>41730</v>
      </c>
      <c r="E1212" t="s">
        <v>13</v>
      </c>
      <c r="F1212">
        <v>113.5</v>
      </c>
      <c r="G1212" t="str">
        <f>VLOOKUP(Table1_2[[#This Row],[Categories]],Sheet3!$A$1:$B$27,2,FALSE)</f>
        <v>Food &amp;Beverage</v>
      </c>
    </row>
    <row r="1213" spans="1:7" x14ac:dyDescent="0.3">
      <c r="A1213" t="s">
        <v>30</v>
      </c>
      <c r="B1213">
        <v>2014</v>
      </c>
      <c r="C1213" t="s">
        <v>37</v>
      </c>
      <c r="D1213" s="2">
        <v>41730</v>
      </c>
      <c r="E1213" t="s">
        <v>14</v>
      </c>
      <c r="F1213">
        <v>118.7</v>
      </c>
      <c r="G1213" t="str">
        <f>VLOOKUP(Table1_2[[#This Row],[Categories]],Sheet3!$A$1:$B$27,2,FALSE)</f>
        <v>Food &amp;Beverage</v>
      </c>
    </row>
    <row r="1214" spans="1:7" x14ac:dyDescent="0.3">
      <c r="A1214" t="s">
        <v>30</v>
      </c>
      <c r="B1214">
        <v>2014</v>
      </c>
      <c r="C1214" t="s">
        <v>37</v>
      </c>
      <c r="D1214" s="2">
        <v>41730</v>
      </c>
      <c r="E1214" t="s">
        <v>15</v>
      </c>
      <c r="F1214">
        <v>117.2</v>
      </c>
      <c r="G1214" t="str">
        <f>VLOOKUP(Table1_2[[#This Row],[Categories]],Sheet3!$A$1:$B$27,2,FALSE)</f>
        <v>Food &amp;Beverage</v>
      </c>
    </row>
    <row r="1215" spans="1:7" x14ac:dyDescent="0.3">
      <c r="A1215" t="s">
        <v>30</v>
      </c>
      <c r="B1215">
        <v>2014</v>
      </c>
      <c r="C1215" t="s">
        <v>37</v>
      </c>
      <c r="D1215" s="2">
        <v>41730</v>
      </c>
      <c r="E1215" t="s">
        <v>16</v>
      </c>
      <c r="F1215">
        <v>115.4</v>
      </c>
      <c r="G1215" t="str">
        <f>VLOOKUP(Table1_2[[#This Row],[Categories]],Sheet3!$A$1:$B$27,2,FALSE)</f>
        <v>Recreation and amusement</v>
      </c>
    </row>
    <row r="1216" spans="1:7" x14ac:dyDescent="0.3">
      <c r="A1216" t="s">
        <v>30</v>
      </c>
      <c r="B1216">
        <v>2014</v>
      </c>
      <c r="C1216" t="s">
        <v>37</v>
      </c>
      <c r="D1216" s="2">
        <v>41730</v>
      </c>
      <c r="E1216" t="s">
        <v>17</v>
      </c>
      <c r="F1216">
        <v>118.1</v>
      </c>
      <c r="G1216" t="str">
        <f>VLOOKUP(Table1_2[[#This Row],[Categories]],Sheet3!$A$1:$B$27,2,FALSE)</f>
        <v>Clothing and footwear</v>
      </c>
    </row>
    <row r="1217" spans="1:7" x14ac:dyDescent="0.3">
      <c r="A1217" t="s">
        <v>30</v>
      </c>
      <c r="B1217">
        <v>2014</v>
      </c>
      <c r="C1217" t="s">
        <v>37</v>
      </c>
      <c r="D1217" s="2">
        <v>41730</v>
      </c>
      <c r="E1217" t="s">
        <v>18</v>
      </c>
      <c r="F1217">
        <v>116.1</v>
      </c>
      <c r="G1217" t="str">
        <f>VLOOKUP(Table1_2[[#This Row],[Categories]],Sheet3!$A$1:$B$27,2,FALSE)</f>
        <v>Clothing and footwear</v>
      </c>
    </row>
    <row r="1218" spans="1:7" x14ac:dyDescent="0.3">
      <c r="A1218" t="s">
        <v>30</v>
      </c>
      <c r="B1218">
        <v>2014</v>
      </c>
      <c r="C1218" t="s">
        <v>37</v>
      </c>
      <c r="D1218" s="2">
        <v>41730</v>
      </c>
      <c r="E1218" t="s">
        <v>19</v>
      </c>
      <c r="F1218">
        <v>117.8</v>
      </c>
      <c r="G1218" t="str">
        <f>VLOOKUP(Table1_2[[#This Row],[Categories]],Sheet3!$A$1:$B$27,2,FALSE)</f>
        <v>Clothing and footwear</v>
      </c>
    </row>
    <row r="1219" spans="1:7" x14ac:dyDescent="0.3">
      <c r="A1219" t="s">
        <v>30</v>
      </c>
      <c r="B1219">
        <v>2014</v>
      </c>
      <c r="C1219" t="s">
        <v>37</v>
      </c>
      <c r="D1219" s="2">
        <v>41730</v>
      </c>
      <c r="E1219" t="s">
        <v>21</v>
      </c>
      <c r="F1219">
        <v>113.4</v>
      </c>
      <c r="G1219" t="str">
        <f>VLOOKUP(Table1_2[[#This Row],[Categories]],Sheet3!$A$1:$B$27,2,FALSE)</f>
        <v>Fuel and light</v>
      </c>
    </row>
    <row r="1220" spans="1:7" x14ac:dyDescent="0.3">
      <c r="A1220" t="s">
        <v>30</v>
      </c>
      <c r="B1220">
        <v>2014</v>
      </c>
      <c r="C1220" t="s">
        <v>37</v>
      </c>
      <c r="D1220" s="2">
        <v>41730</v>
      </c>
      <c r="E1220" t="s">
        <v>22</v>
      </c>
      <c r="F1220">
        <v>113.7</v>
      </c>
      <c r="G1220" t="str">
        <f>VLOOKUP(Table1_2[[#This Row],[Categories]],Sheet3!$A$1:$B$27,2,FALSE)</f>
        <v>Household Items</v>
      </c>
    </row>
    <row r="1221" spans="1:7" x14ac:dyDescent="0.3">
      <c r="A1221" t="s">
        <v>30</v>
      </c>
      <c r="B1221">
        <v>2014</v>
      </c>
      <c r="C1221" t="s">
        <v>37</v>
      </c>
      <c r="D1221" s="2">
        <v>41730</v>
      </c>
      <c r="E1221" t="s">
        <v>23</v>
      </c>
      <c r="F1221">
        <v>111.8</v>
      </c>
      <c r="G1221" t="str">
        <f>VLOOKUP(Table1_2[[#This Row],[Categories]],Sheet3!$A$1:$B$27,2,FALSE)</f>
        <v>Health</v>
      </c>
    </row>
    <row r="1222" spans="1:7" x14ac:dyDescent="0.3">
      <c r="A1222" t="s">
        <v>30</v>
      </c>
      <c r="B1222">
        <v>2014</v>
      </c>
      <c r="C1222" t="s">
        <v>37</v>
      </c>
      <c r="D1222" s="2">
        <v>41730</v>
      </c>
      <c r="E1222" t="s">
        <v>24</v>
      </c>
      <c r="F1222">
        <v>111.2</v>
      </c>
      <c r="G1222" t="str">
        <f>VLOOKUP(Table1_2[[#This Row],[Categories]],Sheet3!$A$1:$B$27,2,FALSE)</f>
        <v>Transport and communication</v>
      </c>
    </row>
    <row r="1223" spans="1:7" x14ac:dyDescent="0.3">
      <c r="A1223" t="s">
        <v>30</v>
      </c>
      <c r="B1223">
        <v>2014</v>
      </c>
      <c r="C1223" t="s">
        <v>37</v>
      </c>
      <c r="D1223" s="2">
        <v>41730</v>
      </c>
      <c r="E1223" t="s">
        <v>25</v>
      </c>
      <c r="F1223">
        <v>110.5</v>
      </c>
      <c r="G1223" t="str">
        <f>VLOOKUP(Table1_2[[#This Row],[Categories]],Sheet3!$A$1:$B$27,2,FALSE)</f>
        <v>Recreation and amusement</v>
      </c>
    </row>
    <row r="1224" spans="1:7" x14ac:dyDescent="0.3">
      <c r="A1224" t="s">
        <v>30</v>
      </c>
      <c r="B1224">
        <v>2014</v>
      </c>
      <c r="C1224" t="s">
        <v>37</v>
      </c>
      <c r="D1224" s="2">
        <v>41730</v>
      </c>
      <c r="E1224" t="s">
        <v>26</v>
      </c>
      <c r="F1224">
        <v>113</v>
      </c>
      <c r="G1224" t="str">
        <f>VLOOKUP(Table1_2[[#This Row],[Categories]],Sheet3!$A$1:$B$27,2,FALSE)</f>
        <v>Education</v>
      </c>
    </row>
    <row r="1225" spans="1:7" x14ac:dyDescent="0.3">
      <c r="A1225" t="s">
        <v>30</v>
      </c>
      <c r="B1225">
        <v>2014</v>
      </c>
      <c r="C1225" t="s">
        <v>37</v>
      </c>
      <c r="D1225" s="2">
        <v>41730</v>
      </c>
      <c r="E1225" t="s">
        <v>27</v>
      </c>
      <c r="F1225">
        <v>108.9</v>
      </c>
      <c r="G1225" t="str">
        <f>VLOOKUP(Table1_2[[#This Row],[Categories]],Sheet3!$A$1:$B$27,2,FALSE)</f>
        <v>Household Items</v>
      </c>
    </row>
    <row r="1226" spans="1:7" x14ac:dyDescent="0.3">
      <c r="A1226" t="s">
        <v>30</v>
      </c>
      <c r="B1226">
        <v>2014</v>
      </c>
      <c r="C1226" t="s">
        <v>37</v>
      </c>
      <c r="D1226" s="2">
        <v>41730</v>
      </c>
      <c r="E1226" t="s">
        <v>28</v>
      </c>
      <c r="F1226">
        <v>111.5</v>
      </c>
      <c r="G1226" t="str">
        <f>VLOOKUP(Table1_2[[#This Row],[Categories]],Sheet3!$A$1:$B$27,2,FALSE)</f>
        <v>Miscellaneous</v>
      </c>
    </row>
    <row r="1227" spans="1:7" x14ac:dyDescent="0.3">
      <c r="A1227" t="s">
        <v>30</v>
      </c>
      <c r="B1227">
        <v>2014</v>
      </c>
      <c r="C1227" t="s">
        <v>37</v>
      </c>
      <c r="D1227" s="2">
        <v>41730</v>
      </c>
      <c r="E1227" t="s">
        <v>29</v>
      </c>
      <c r="F1227">
        <v>115.4</v>
      </c>
      <c r="G1227" t="str">
        <f>VLOOKUP(Table1_2[[#This Row],[Categories]],Sheet3!$A$1:$B$27,2,FALSE)</f>
        <v>General index</v>
      </c>
    </row>
    <row r="1228" spans="1:7" x14ac:dyDescent="0.3">
      <c r="A1228" t="s">
        <v>33</v>
      </c>
      <c r="B1228">
        <v>2014</v>
      </c>
      <c r="C1228" t="s">
        <v>37</v>
      </c>
      <c r="D1228" s="2">
        <v>41730</v>
      </c>
      <c r="E1228" t="s">
        <v>3</v>
      </c>
      <c r="F1228">
        <v>122.5</v>
      </c>
      <c r="G1228" t="str">
        <f>VLOOKUP(Table1_2[[#This Row],[Categories]],Sheet3!$A$1:$B$27,2,FALSE)</f>
        <v>Food &amp;Beverage</v>
      </c>
    </row>
    <row r="1229" spans="1:7" x14ac:dyDescent="0.3">
      <c r="A1229" t="s">
        <v>33</v>
      </c>
      <c r="B1229">
        <v>2014</v>
      </c>
      <c r="C1229" t="s">
        <v>37</v>
      </c>
      <c r="D1229" s="2">
        <v>41730</v>
      </c>
      <c r="E1229" t="s">
        <v>4</v>
      </c>
      <c r="F1229">
        <v>121.7</v>
      </c>
      <c r="G1229" t="str">
        <f>VLOOKUP(Table1_2[[#This Row],[Categories]],Sheet3!$A$1:$B$27,2,FALSE)</f>
        <v>Food &amp;Beverage</v>
      </c>
    </row>
    <row r="1230" spans="1:7" x14ac:dyDescent="0.3">
      <c r="A1230" t="s">
        <v>33</v>
      </c>
      <c r="B1230">
        <v>2014</v>
      </c>
      <c r="C1230" t="s">
        <v>37</v>
      </c>
      <c r="D1230" s="2">
        <v>41730</v>
      </c>
      <c r="E1230" t="s">
        <v>5</v>
      </c>
      <c r="F1230">
        <v>113.3</v>
      </c>
      <c r="G1230" t="str">
        <f>VLOOKUP(Table1_2[[#This Row],[Categories]],Sheet3!$A$1:$B$27,2,FALSE)</f>
        <v>Food &amp;Beverage</v>
      </c>
    </row>
    <row r="1231" spans="1:7" x14ac:dyDescent="0.3">
      <c r="A1231" t="s">
        <v>33</v>
      </c>
      <c r="B1231">
        <v>2014</v>
      </c>
      <c r="C1231" t="s">
        <v>37</v>
      </c>
      <c r="D1231" s="2">
        <v>41730</v>
      </c>
      <c r="E1231" t="s">
        <v>6</v>
      </c>
      <c r="F1231">
        <v>117</v>
      </c>
      <c r="G1231" t="str">
        <f>VLOOKUP(Table1_2[[#This Row],[Categories]],Sheet3!$A$1:$B$27,2,FALSE)</f>
        <v>Food &amp;Beverage</v>
      </c>
    </row>
    <row r="1232" spans="1:7" x14ac:dyDescent="0.3">
      <c r="A1232" t="s">
        <v>33</v>
      </c>
      <c r="B1232">
        <v>2014</v>
      </c>
      <c r="C1232" t="s">
        <v>37</v>
      </c>
      <c r="D1232" s="2">
        <v>41730</v>
      </c>
      <c r="E1232" t="s">
        <v>7</v>
      </c>
      <c r="F1232">
        <v>103.1</v>
      </c>
      <c r="G1232" t="str">
        <f>VLOOKUP(Table1_2[[#This Row],[Categories]],Sheet3!$A$1:$B$27,2,FALSE)</f>
        <v>Food &amp;Beverage</v>
      </c>
    </row>
    <row r="1233" spans="1:7" x14ac:dyDescent="0.3">
      <c r="A1233" t="s">
        <v>33</v>
      </c>
      <c r="B1233">
        <v>2014</v>
      </c>
      <c r="C1233" t="s">
        <v>37</v>
      </c>
      <c r="D1233" s="2">
        <v>41730</v>
      </c>
      <c r="E1233" t="s">
        <v>8</v>
      </c>
      <c r="F1233">
        <v>126.7</v>
      </c>
      <c r="G1233" t="str">
        <f>VLOOKUP(Table1_2[[#This Row],[Categories]],Sheet3!$A$1:$B$27,2,FALSE)</f>
        <v>Food &amp;Beverage</v>
      </c>
    </row>
    <row r="1234" spans="1:7" x14ac:dyDescent="0.3">
      <c r="A1234" t="s">
        <v>33</v>
      </c>
      <c r="B1234">
        <v>2014</v>
      </c>
      <c r="C1234" t="s">
        <v>37</v>
      </c>
      <c r="D1234" s="2">
        <v>41730</v>
      </c>
      <c r="E1234" t="s">
        <v>9</v>
      </c>
      <c r="F1234">
        <v>121.2</v>
      </c>
      <c r="G1234" t="str">
        <f>VLOOKUP(Table1_2[[#This Row],[Categories]],Sheet3!$A$1:$B$27,2,FALSE)</f>
        <v>Food &amp;Beverage</v>
      </c>
    </row>
    <row r="1235" spans="1:7" x14ac:dyDescent="0.3">
      <c r="A1235" t="s">
        <v>33</v>
      </c>
      <c r="B1235">
        <v>2014</v>
      </c>
      <c r="C1235" t="s">
        <v>37</v>
      </c>
      <c r="D1235" s="2">
        <v>41730</v>
      </c>
      <c r="E1235" t="s">
        <v>10</v>
      </c>
      <c r="F1235">
        <v>111</v>
      </c>
      <c r="G1235" t="str">
        <f>VLOOKUP(Table1_2[[#This Row],[Categories]],Sheet3!$A$1:$B$27,2,FALSE)</f>
        <v>Food &amp;Beverage</v>
      </c>
    </row>
    <row r="1236" spans="1:7" x14ac:dyDescent="0.3">
      <c r="A1236" t="s">
        <v>33</v>
      </c>
      <c r="B1236">
        <v>2014</v>
      </c>
      <c r="C1236" t="s">
        <v>37</v>
      </c>
      <c r="D1236" s="2">
        <v>41730</v>
      </c>
      <c r="E1236" t="s">
        <v>11</v>
      </c>
      <c r="F1236">
        <v>100.3</v>
      </c>
      <c r="G1236" t="str">
        <f>VLOOKUP(Table1_2[[#This Row],[Categories]],Sheet3!$A$1:$B$27,2,FALSE)</f>
        <v>Food &amp;Beverage</v>
      </c>
    </row>
    <row r="1237" spans="1:7" x14ac:dyDescent="0.3">
      <c r="A1237" t="s">
        <v>33</v>
      </c>
      <c r="B1237">
        <v>2014</v>
      </c>
      <c r="C1237" t="s">
        <v>37</v>
      </c>
      <c r="D1237" s="2">
        <v>41730</v>
      </c>
      <c r="E1237" t="s">
        <v>12</v>
      </c>
      <c r="F1237">
        <v>115.3</v>
      </c>
      <c r="G1237" t="str">
        <f>VLOOKUP(Table1_2[[#This Row],[Categories]],Sheet3!$A$1:$B$27,2,FALSE)</f>
        <v>Food &amp;Beverage</v>
      </c>
    </row>
    <row r="1238" spans="1:7" x14ac:dyDescent="0.3">
      <c r="A1238" t="s">
        <v>33</v>
      </c>
      <c r="B1238">
        <v>2014</v>
      </c>
      <c r="C1238" t="s">
        <v>37</v>
      </c>
      <c r="D1238" s="2">
        <v>41730</v>
      </c>
      <c r="E1238" t="s">
        <v>13</v>
      </c>
      <c r="F1238">
        <v>112.7</v>
      </c>
      <c r="G1238" t="str">
        <f>VLOOKUP(Table1_2[[#This Row],[Categories]],Sheet3!$A$1:$B$27,2,FALSE)</f>
        <v>Food &amp;Beverage</v>
      </c>
    </row>
    <row r="1239" spans="1:7" x14ac:dyDescent="0.3">
      <c r="A1239" t="s">
        <v>33</v>
      </c>
      <c r="B1239">
        <v>2014</v>
      </c>
      <c r="C1239" t="s">
        <v>37</v>
      </c>
      <c r="D1239" s="2">
        <v>41730</v>
      </c>
      <c r="E1239" t="s">
        <v>14</v>
      </c>
      <c r="F1239">
        <v>121</v>
      </c>
      <c r="G1239" t="str">
        <f>VLOOKUP(Table1_2[[#This Row],[Categories]],Sheet3!$A$1:$B$27,2,FALSE)</f>
        <v>Food &amp;Beverage</v>
      </c>
    </row>
    <row r="1240" spans="1:7" x14ac:dyDescent="0.3">
      <c r="A1240" t="s">
        <v>33</v>
      </c>
      <c r="B1240">
        <v>2014</v>
      </c>
      <c r="C1240" t="s">
        <v>37</v>
      </c>
      <c r="D1240" s="2">
        <v>41730</v>
      </c>
      <c r="E1240" t="s">
        <v>15</v>
      </c>
      <c r="F1240">
        <v>118.2</v>
      </c>
      <c r="G1240" t="str">
        <f>VLOOKUP(Table1_2[[#This Row],[Categories]],Sheet3!$A$1:$B$27,2,FALSE)</f>
        <v>Food &amp;Beverage</v>
      </c>
    </row>
    <row r="1241" spans="1:7" x14ac:dyDescent="0.3">
      <c r="A1241" t="s">
        <v>33</v>
      </c>
      <c r="B1241">
        <v>2014</v>
      </c>
      <c r="C1241" t="s">
        <v>37</v>
      </c>
      <c r="D1241" s="2">
        <v>41730</v>
      </c>
      <c r="E1241" t="s">
        <v>16</v>
      </c>
      <c r="F1241">
        <v>117.6</v>
      </c>
      <c r="G1241" t="str">
        <f>VLOOKUP(Table1_2[[#This Row],[Categories]],Sheet3!$A$1:$B$27,2,FALSE)</f>
        <v>Recreation and amusement</v>
      </c>
    </row>
    <row r="1242" spans="1:7" x14ac:dyDescent="0.3">
      <c r="A1242" t="s">
        <v>33</v>
      </c>
      <c r="B1242">
        <v>2014</v>
      </c>
      <c r="C1242" t="s">
        <v>37</v>
      </c>
      <c r="D1242" s="2">
        <v>41730</v>
      </c>
      <c r="E1242" t="s">
        <v>17</v>
      </c>
      <c r="F1242">
        <v>116.3</v>
      </c>
      <c r="G1242" t="str">
        <f>VLOOKUP(Table1_2[[#This Row],[Categories]],Sheet3!$A$1:$B$27,2,FALSE)</f>
        <v>Clothing and footwear</v>
      </c>
    </row>
    <row r="1243" spans="1:7" x14ac:dyDescent="0.3">
      <c r="A1243" t="s">
        <v>33</v>
      </c>
      <c r="B1243">
        <v>2014</v>
      </c>
      <c r="C1243" t="s">
        <v>37</v>
      </c>
      <c r="D1243" s="2">
        <v>41730</v>
      </c>
      <c r="E1243" t="s">
        <v>18</v>
      </c>
      <c r="F1243">
        <v>112.5</v>
      </c>
      <c r="G1243" t="str">
        <f>VLOOKUP(Table1_2[[#This Row],[Categories]],Sheet3!$A$1:$B$27,2,FALSE)</f>
        <v>Clothing and footwear</v>
      </c>
    </row>
    <row r="1244" spans="1:7" x14ac:dyDescent="0.3">
      <c r="A1244" t="s">
        <v>33</v>
      </c>
      <c r="B1244">
        <v>2014</v>
      </c>
      <c r="C1244" t="s">
        <v>37</v>
      </c>
      <c r="D1244" s="2">
        <v>41730</v>
      </c>
      <c r="E1244" t="s">
        <v>19</v>
      </c>
      <c r="F1244">
        <v>115.7</v>
      </c>
      <c r="G1244" t="str">
        <f>VLOOKUP(Table1_2[[#This Row],[Categories]],Sheet3!$A$1:$B$27,2,FALSE)</f>
        <v>Clothing and footwear</v>
      </c>
    </row>
    <row r="1245" spans="1:7" x14ac:dyDescent="0.3">
      <c r="A1245" t="s">
        <v>33</v>
      </c>
      <c r="B1245">
        <v>2014</v>
      </c>
      <c r="C1245" t="s">
        <v>37</v>
      </c>
      <c r="D1245" s="2">
        <v>41730</v>
      </c>
      <c r="E1245" t="s">
        <v>20</v>
      </c>
      <c r="F1245">
        <v>113.9</v>
      </c>
      <c r="G1245" t="str">
        <f>VLOOKUP(Table1_2[[#This Row],[Categories]],Sheet3!$A$1:$B$27,2,FALSE)</f>
        <v>Housing</v>
      </c>
    </row>
    <row r="1246" spans="1:7" x14ac:dyDescent="0.3">
      <c r="A1246" t="s">
        <v>33</v>
      </c>
      <c r="B1246">
        <v>2014</v>
      </c>
      <c r="C1246" t="s">
        <v>37</v>
      </c>
      <c r="D1246" s="2">
        <v>41730</v>
      </c>
      <c r="E1246" t="s">
        <v>21</v>
      </c>
      <c r="F1246">
        <v>110.9</v>
      </c>
      <c r="G1246" t="str">
        <f>VLOOKUP(Table1_2[[#This Row],[Categories]],Sheet3!$A$1:$B$27,2,FALSE)</f>
        <v>Fuel and light</v>
      </c>
    </row>
    <row r="1247" spans="1:7" x14ac:dyDescent="0.3">
      <c r="A1247" t="s">
        <v>33</v>
      </c>
      <c r="B1247">
        <v>2014</v>
      </c>
      <c r="C1247" t="s">
        <v>37</v>
      </c>
      <c r="D1247" s="2">
        <v>41730</v>
      </c>
      <c r="E1247" t="s">
        <v>22</v>
      </c>
      <c r="F1247">
        <v>113.4</v>
      </c>
      <c r="G1247" t="str">
        <f>VLOOKUP(Table1_2[[#This Row],[Categories]],Sheet3!$A$1:$B$27,2,FALSE)</f>
        <v>Household Items</v>
      </c>
    </row>
    <row r="1248" spans="1:7" x14ac:dyDescent="0.3">
      <c r="A1248" t="s">
        <v>33</v>
      </c>
      <c r="B1248">
        <v>2014</v>
      </c>
      <c r="C1248" t="s">
        <v>37</v>
      </c>
      <c r="D1248" s="2">
        <v>41730</v>
      </c>
      <c r="E1248" t="s">
        <v>23</v>
      </c>
      <c r="F1248">
        <v>111</v>
      </c>
      <c r="G1248" t="str">
        <f>VLOOKUP(Table1_2[[#This Row],[Categories]],Sheet3!$A$1:$B$27,2,FALSE)</f>
        <v>Health</v>
      </c>
    </row>
    <row r="1249" spans="1:7" x14ac:dyDescent="0.3">
      <c r="A1249" t="s">
        <v>33</v>
      </c>
      <c r="B1249">
        <v>2014</v>
      </c>
      <c r="C1249" t="s">
        <v>37</v>
      </c>
      <c r="D1249" s="2">
        <v>41730</v>
      </c>
      <c r="E1249" t="s">
        <v>24</v>
      </c>
      <c r="F1249">
        <v>111.2</v>
      </c>
      <c r="G1249" t="str">
        <f>VLOOKUP(Table1_2[[#This Row],[Categories]],Sheet3!$A$1:$B$27,2,FALSE)</f>
        <v>Transport and communication</v>
      </c>
    </row>
    <row r="1250" spans="1:7" x14ac:dyDescent="0.3">
      <c r="A1250" t="s">
        <v>33</v>
      </c>
      <c r="B1250">
        <v>2014</v>
      </c>
      <c r="C1250" t="s">
        <v>37</v>
      </c>
      <c r="D1250" s="2">
        <v>41730</v>
      </c>
      <c r="E1250" t="s">
        <v>25</v>
      </c>
      <c r="F1250">
        <v>111.2</v>
      </c>
      <c r="G1250" t="str">
        <f>VLOOKUP(Table1_2[[#This Row],[Categories]],Sheet3!$A$1:$B$27,2,FALSE)</f>
        <v>Recreation and amusement</v>
      </c>
    </row>
    <row r="1251" spans="1:7" x14ac:dyDescent="0.3">
      <c r="A1251" t="s">
        <v>33</v>
      </c>
      <c r="B1251">
        <v>2014</v>
      </c>
      <c r="C1251" t="s">
        <v>37</v>
      </c>
      <c r="D1251" s="2">
        <v>41730</v>
      </c>
      <c r="E1251" t="s">
        <v>26</v>
      </c>
      <c r="F1251">
        <v>112.5</v>
      </c>
      <c r="G1251" t="str">
        <f>VLOOKUP(Table1_2[[#This Row],[Categories]],Sheet3!$A$1:$B$27,2,FALSE)</f>
        <v>Education</v>
      </c>
    </row>
    <row r="1252" spans="1:7" x14ac:dyDescent="0.3">
      <c r="A1252" t="s">
        <v>33</v>
      </c>
      <c r="B1252">
        <v>2014</v>
      </c>
      <c r="C1252" t="s">
        <v>37</v>
      </c>
      <c r="D1252" s="2">
        <v>41730</v>
      </c>
      <c r="E1252" t="s">
        <v>27</v>
      </c>
      <c r="F1252">
        <v>109.1</v>
      </c>
      <c r="G1252" t="str">
        <f>VLOOKUP(Table1_2[[#This Row],[Categories]],Sheet3!$A$1:$B$27,2,FALSE)</f>
        <v>Household Items</v>
      </c>
    </row>
    <row r="1253" spans="1:7" x14ac:dyDescent="0.3">
      <c r="A1253" t="s">
        <v>33</v>
      </c>
      <c r="B1253">
        <v>2014</v>
      </c>
      <c r="C1253" t="s">
        <v>37</v>
      </c>
      <c r="D1253" s="2">
        <v>41730</v>
      </c>
      <c r="E1253" t="s">
        <v>28</v>
      </c>
      <c r="F1253">
        <v>111.4</v>
      </c>
      <c r="G1253" t="str">
        <f>VLOOKUP(Table1_2[[#This Row],[Categories]],Sheet3!$A$1:$B$27,2,FALSE)</f>
        <v>Miscellaneous</v>
      </c>
    </row>
    <row r="1254" spans="1:7" x14ac:dyDescent="0.3">
      <c r="A1254" t="s">
        <v>33</v>
      </c>
      <c r="B1254">
        <v>2014</v>
      </c>
      <c r="C1254" t="s">
        <v>37</v>
      </c>
      <c r="D1254" s="2">
        <v>41730</v>
      </c>
      <c r="E1254" t="s">
        <v>29</v>
      </c>
      <c r="F1254">
        <v>114.7</v>
      </c>
      <c r="G1254" t="str">
        <f>VLOOKUP(Table1_2[[#This Row],[Categories]],Sheet3!$A$1:$B$27,2,FALSE)</f>
        <v>General index</v>
      </c>
    </row>
    <row r="1255" spans="1:7" x14ac:dyDescent="0.3">
      <c r="A1255" t="s">
        <v>34</v>
      </c>
      <c r="B1255">
        <v>2014</v>
      </c>
      <c r="C1255" t="s">
        <v>37</v>
      </c>
      <c r="D1255" s="2">
        <v>41730</v>
      </c>
      <c r="E1255" t="s">
        <v>3</v>
      </c>
      <c r="F1255">
        <v>120.9</v>
      </c>
      <c r="G1255" t="str">
        <f>VLOOKUP(Table1_2[[#This Row],[Categories]],Sheet3!$A$1:$B$27,2,FALSE)</f>
        <v>Food &amp;Beverage</v>
      </c>
    </row>
    <row r="1256" spans="1:7" x14ac:dyDescent="0.3">
      <c r="A1256" t="s">
        <v>34</v>
      </c>
      <c r="B1256">
        <v>2014</v>
      </c>
      <c r="C1256" t="s">
        <v>37</v>
      </c>
      <c r="D1256" s="2">
        <v>41730</v>
      </c>
      <c r="E1256" t="s">
        <v>4</v>
      </c>
      <c r="F1256">
        <v>119.9</v>
      </c>
      <c r="G1256" t="str">
        <f>VLOOKUP(Table1_2[[#This Row],[Categories]],Sheet3!$A$1:$B$27,2,FALSE)</f>
        <v>Food &amp;Beverage</v>
      </c>
    </row>
    <row r="1257" spans="1:7" x14ac:dyDescent="0.3">
      <c r="A1257" t="s">
        <v>34</v>
      </c>
      <c r="B1257">
        <v>2014</v>
      </c>
      <c r="C1257" t="s">
        <v>37</v>
      </c>
      <c r="D1257" s="2">
        <v>41730</v>
      </c>
      <c r="E1257" t="s">
        <v>5</v>
      </c>
      <c r="F1257">
        <v>116.2</v>
      </c>
      <c r="G1257" t="str">
        <f>VLOOKUP(Table1_2[[#This Row],[Categories]],Sheet3!$A$1:$B$27,2,FALSE)</f>
        <v>Food &amp;Beverage</v>
      </c>
    </row>
    <row r="1258" spans="1:7" x14ac:dyDescent="0.3">
      <c r="A1258" t="s">
        <v>34</v>
      </c>
      <c r="B1258">
        <v>2014</v>
      </c>
      <c r="C1258" t="s">
        <v>37</v>
      </c>
      <c r="D1258" s="2">
        <v>41730</v>
      </c>
      <c r="E1258" t="s">
        <v>6</v>
      </c>
      <c r="F1258">
        <v>117</v>
      </c>
      <c r="G1258" t="str">
        <f>VLOOKUP(Table1_2[[#This Row],[Categories]],Sheet3!$A$1:$B$27,2,FALSE)</f>
        <v>Food &amp;Beverage</v>
      </c>
    </row>
    <row r="1259" spans="1:7" x14ac:dyDescent="0.3">
      <c r="A1259" t="s">
        <v>34</v>
      </c>
      <c r="B1259">
        <v>2014</v>
      </c>
      <c r="C1259" t="s">
        <v>37</v>
      </c>
      <c r="D1259" s="2">
        <v>41730</v>
      </c>
      <c r="E1259" t="s">
        <v>7</v>
      </c>
      <c r="F1259">
        <v>107.3</v>
      </c>
      <c r="G1259" t="str">
        <f>VLOOKUP(Table1_2[[#This Row],[Categories]],Sheet3!$A$1:$B$27,2,FALSE)</f>
        <v>Food &amp;Beverage</v>
      </c>
    </row>
    <row r="1260" spans="1:7" x14ac:dyDescent="0.3">
      <c r="A1260" t="s">
        <v>34</v>
      </c>
      <c r="B1260">
        <v>2014</v>
      </c>
      <c r="C1260" t="s">
        <v>37</v>
      </c>
      <c r="D1260" s="2">
        <v>41730</v>
      </c>
      <c r="E1260" t="s">
        <v>8</v>
      </c>
      <c r="F1260">
        <v>126.1</v>
      </c>
      <c r="G1260" t="str">
        <f>VLOOKUP(Table1_2[[#This Row],[Categories]],Sheet3!$A$1:$B$27,2,FALSE)</f>
        <v>Food &amp;Beverage</v>
      </c>
    </row>
    <row r="1261" spans="1:7" x14ac:dyDescent="0.3">
      <c r="A1261" t="s">
        <v>34</v>
      </c>
      <c r="B1261">
        <v>2014</v>
      </c>
      <c r="C1261" t="s">
        <v>37</v>
      </c>
      <c r="D1261" s="2">
        <v>41730</v>
      </c>
      <c r="E1261" t="s">
        <v>9</v>
      </c>
      <c r="F1261">
        <v>120.7</v>
      </c>
      <c r="G1261" t="str">
        <f>VLOOKUP(Table1_2[[#This Row],[Categories]],Sheet3!$A$1:$B$27,2,FALSE)</f>
        <v>Food &amp;Beverage</v>
      </c>
    </row>
    <row r="1262" spans="1:7" x14ac:dyDescent="0.3">
      <c r="A1262" t="s">
        <v>34</v>
      </c>
      <c r="B1262">
        <v>2014</v>
      </c>
      <c r="C1262" t="s">
        <v>37</v>
      </c>
      <c r="D1262" s="2">
        <v>41730</v>
      </c>
      <c r="E1262" t="s">
        <v>10</v>
      </c>
      <c r="F1262">
        <v>111</v>
      </c>
      <c r="G1262" t="str">
        <f>VLOOKUP(Table1_2[[#This Row],[Categories]],Sheet3!$A$1:$B$27,2,FALSE)</f>
        <v>Food &amp;Beverage</v>
      </c>
    </row>
    <row r="1263" spans="1:7" x14ac:dyDescent="0.3">
      <c r="A1263" t="s">
        <v>34</v>
      </c>
      <c r="B1263">
        <v>2014</v>
      </c>
      <c r="C1263" t="s">
        <v>37</v>
      </c>
      <c r="D1263" s="2">
        <v>41730</v>
      </c>
      <c r="E1263" t="s">
        <v>11</v>
      </c>
      <c r="F1263">
        <v>101.8</v>
      </c>
      <c r="G1263" t="str">
        <f>VLOOKUP(Table1_2[[#This Row],[Categories]],Sheet3!$A$1:$B$27,2,FALSE)</f>
        <v>Food &amp;Beverage</v>
      </c>
    </row>
    <row r="1264" spans="1:7" x14ac:dyDescent="0.3">
      <c r="A1264" t="s">
        <v>34</v>
      </c>
      <c r="B1264">
        <v>2014</v>
      </c>
      <c r="C1264" t="s">
        <v>37</v>
      </c>
      <c r="D1264" s="2">
        <v>41730</v>
      </c>
      <c r="E1264" t="s">
        <v>12</v>
      </c>
      <c r="F1264">
        <v>112.6</v>
      </c>
      <c r="G1264" t="str">
        <f>VLOOKUP(Table1_2[[#This Row],[Categories]],Sheet3!$A$1:$B$27,2,FALSE)</f>
        <v>Food &amp;Beverage</v>
      </c>
    </row>
    <row r="1265" spans="1:7" x14ac:dyDescent="0.3">
      <c r="A1265" t="s">
        <v>34</v>
      </c>
      <c r="B1265">
        <v>2014</v>
      </c>
      <c r="C1265" t="s">
        <v>37</v>
      </c>
      <c r="D1265" s="2">
        <v>41730</v>
      </c>
      <c r="E1265" t="s">
        <v>13</v>
      </c>
      <c r="F1265">
        <v>113.2</v>
      </c>
      <c r="G1265" t="str">
        <f>VLOOKUP(Table1_2[[#This Row],[Categories]],Sheet3!$A$1:$B$27,2,FALSE)</f>
        <v>Food &amp;Beverage</v>
      </c>
    </row>
    <row r="1266" spans="1:7" x14ac:dyDescent="0.3">
      <c r="A1266" t="s">
        <v>34</v>
      </c>
      <c r="B1266">
        <v>2014</v>
      </c>
      <c r="C1266" t="s">
        <v>37</v>
      </c>
      <c r="D1266" s="2">
        <v>41730</v>
      </c>
      <c r="E1266" t="s">
        <v>14</v>
      </c>
      <c r="F1266">
        <v>119.8</v>
      </c>
      <c r="G1266" t="str">
        <f>VLOOKUP(Table1_2[[#This Row],[Categories]],Sheet3!$A$1:$B$27,2,FALSE)</f>
        <v>Food &amp;Beverage</v>
      </c>
    </row>
    <row r="1267" spans="1:7" x14ac:dyDescent="0.3">
      <c r="A1267" t="s">
        <v>34</v>
      </c>
      <c r="B1267">
        <v>2014</v>
      </c>
      <c r="C1267" t="s">
        <v>37</v>
      </c>
      <c r="D1267" s="2">
        <v>41730</v>
      </c>
      <c r="E1267" t="s">
        <v>15</v>
      </c>
      <c r="F1267">
        <v>117.6</v>
      </c>
      <c r="G1267" t="str">
        <f>VLOOKUP(Table1_2[[#This Row],[Categories]],Sheet3!$A$1:$B$27,2,FALSE)</f>
        <v>Food &amp;Beverage</v>
      </c>
    </row>
    <row r="1268" spans="1:7" x14ac:dyDescent="0.3">
      <c r="A1268" t="s">
        <v>34</v>
      </c>
      <c r="B1268">
        <v>2014</v>
      </c>
      <c r="C1268" t="s">
        <v>37</v>
      </c>
      <c r="D1268" s="2">
        <v>41730</v>
      </c>
      <c r="E1268" t="s">
        <v>16</v>
      </c>
      <c r="F1268">
        <v>116</v>
      </c>
      <c r="G1268" t="str">
        <f>VLOOKUP(Table1_2[[#This Row],[Categories]],Sheet3!$A$1:$B$27,2,FALSE)</f>
        <v>Recreation and amusement</v>
      </c>
    </row>
    <row r="1269" spans="1:7" x14ac:dyDescent="0.3">
      <c r="A1269" t="s">
        <v>34</v>
      </c>
      <c r="B1269">
        <v>2014</v>
      </c>
      <c r="C1269" t="s">
        <v>37</v>
      </c>
      <c r="D1269" s="2">
        <v>41730</v>
      </c>
      <c r="E1269" t="s">
        <v>17</v>
      </c>
      <c r="F1269">
        <v>117.4</v>
      </c>
      <c r="G1269" t="str">
        <f>VLOOKUP(Table1_2[[#This Row],[Categories]],Sheet3!$A$1:$B$27,2,FALSE)</f>
        <v>Clothing and footwear</v>
      </c>
    </row>
    <row r="1270" spans="1:7" x14ac:dyDescent="0.3">
      <c r="A1270" t="s">
        <v>34</v>
      </c>
      <c r="B1270">
        <v>2014</v>
      </c>
      <c r="C1270" t="s">
        <v>37</v>
      </c>
      <c r="D1270" s="2">
        <v>41730</v>
      </c>
      <c r="E1270" t="s">
        <v>18</v>
      </c>
      <c r="F1270">
        <v>114.6</v>
      </c>
      <c r="G1270" t="str">
        <f>VLOOKUP(Table1_2[[#This Row],[Categories]],Sheet3!$A$1:$B$27,2,FALSE)</f>
        <v>Clothing and footwear</v>
      </c>
    </row>
    <row r="1271" spans="1:7" x14ac:dyDescent="0.3">
      <c r="A1271" t="s">
        <v>34</v>
      </c>
      <c r="B1271">
        <v>2014</v>
      </c>
      <c r="C1271" t="s">
        <v>37</v>
      </c>
      <c r="D1271" s="2">
        <v>41730</v>
      </c>
      <c r="E1271" t="s">
        <v>19</v>
      </c>
      <c r="F1271">
        <v>117</v>
      </c>
      <c r="G1271" t="str">
        <f>VLOOKUP(Table1_2[[#This Row],[Categories]],Sheet3!$A$1:$B$27,2,FALSE)</f>
        <v>Clothing and footwear</v>
      </c>
    </row>
    <row r="1272" spans="1:7" x14ac:dyDescent="0.3">
      <c r="A1272" t="s">
        <v>34</v>
      </c>
      <c r="B1272">
        <v>2014</v>
      </c>
      <c r="C1272" t="s">
        <v>37</v>
      </c>
      <c r="D1272" s="2">
        <v>41730</v>
      </c>
      <c r="E1272" t="s">
        <v>20</v>
      </c>
      <c r="F1272">
        <v>113.9</v>
      </c>
      <c r="G1272" t="str">
        <f>VLOOKUP(Table1_2[[#This Row],[Categories]],Sheet3!$A$1:$B$27,2,FALSE)</f>
        <v>Housing</v>
      </c>
    </row>
    <row r="1273" spans="1:7" x14ac:dyDescent="0.3">
      <c r="A1273" t="s">
        <v>34</v>
      </c>
      <c r="B1273">
        <v>2014</v>
      </c>
      <c r="C1273" t="s">
        <v>37</v>
      </c>
      <c r="D1273" s="2">
        <v>41730</v>
      </c>
      <c r="E1273" t="s">
        <v>21</v>
      </c>
      <c r="F1273">
        <v>112.5</v>
      </c>
      <c r="G1273" t="str">
        <f>VLOOKUP(Table1_2[[#This Row],[Categories]],Sheet3!$A$1:$B$27,2,FALSE)</f>
        <v>Fuel and light</v>
      </c>
    </row>
    <row r="1274" spans="1:7" x14ac:dyDescent="0.3">
      <c r="A1274" t="s">
        <v>34</v>
      </c>
      <c r="B1274">
        <v>2014</v>
      </c>
      <c r="C1274" t="s">
        <v>37</v>
      </c>
      <c r="D1274" s="2">
        <v>41730</v>
      </c>
      <c r="E1274" t="s">
        <v>22</v>
      </c>
      <c r="F1274">
        <v>113.6</v>
      </c>
      <c r="G1274" t="str">
        <f>VLOOKUP(Table1_2[[#This Row],[Categories]],Sheet3!$A$1:$B$27,2,FALSE)</f>
        <v>Household Items</v>
      </c>
    </row>
    <row r="1275" spans="1:7" x14ac:dyDescent="0.3">
      <c r="A1275" t="s">
        <v>34</v>
      </c>
      <c r="B1275">
        <v>2014</v>
      </c>
      <c r="C1275" t="s">
        <v>37</v>
      </c>
      <c r="D1275" s="2">
        <v>41730</v>
      </c>
      <c r="E1275" t="s">
        <v>23</v>
      </c>
      <c r="F1275">
        <v>111.5</v>
      </c>
      <c r="G1275" t="str">
        <f>VLOOKUP(Table1_2[[#This Row],[Categories]],Sheet3!$A$1:$B$27,2,FALSE)</f>
        <v>Health</v>
      </c>
    </row>
    <row r="1276" spans="1:7" x14ac:dyDescent="0.3">
      <c r="A1276" t="s">
        <v>34</v>
      </c>
      <c r="B1276">
        <v>2014</v>
      </c>
      <c r="C1276" t="s">
        <v>37</v>
      </c>
      <c r="D1276" s="2">
        <v>41730</v>
      </c>
      <c r="E1276" t="s">
        <v>24</v>
      </c>
      <c r="F1276">
        <v>111.2</v>
      </c>
      <c r="G1276" t="str">
        <f>VLOOKUP(Table1_2[[#This Row],[Categories]],Sheet3!$A$1:$B$27,2,FALSE)</f>
        <v>Transport and communication</v>
      </c>
    </row>
    <row r="1277" spans="1:7" x14ac:dyDescent="0.3">
      <c r="A1277" t="s">
        <v>34</v>
      </c>
      <c r="B1277">
        <v>2014</v>
      </c>
      <c r="C1277" t="s">
        <v>37</v>
      </c>
      <c r="D1277" s="2">
        <v>41730</v>
      </c>
      <c r="E1277" t="s">
        <v>25</v>
      </c>
      <c r="F1277">
        <v>110.9</v>
      </c>
      <c r="G1277" t="str">
        <f>VLOOKUP(Table1_2[[#This Row],[Categories]],Sheet3!$A$1:$B$27,2,FALSE)</f>
        <v>Recreation and amusement</v>
      </c>
    </row>
    <row r="1278" spans="1:7" x14ac:dyDescent="0.3">
      <c r="A1278" t="s">
        <v>34</v>
      </c>
      <c r="B1278">
        <v>2014</v>
      </c>
      <c r="C1278" t="s">
        <v>37</v>
      </c>
      <c r="D1278" s="2">
        <v>41730</v>
      </c>
      <c r="E1278" t="s">
        <v>26</v>
      </c>
      <c r="F1278">
        <v>112.7</v>
      </c>
      <c r="G1278" t="str">
        <f>VLOOKUP(Table1_2[[#This Row],[Categories]],Sheet3!$A$1:$B$27,2,FALSE)</f>
        <v>Education</v>
      </c>
    </row>
    <row r="1279" spans="1:7" x14ac:dyDescent="0.3">
      <c r="A1279" t="s">
        <v>34</v>
      </c>
      <c r="B1279">
        <v>2014</v>
      </c>
      <c r="C1279" t="s">
        <v>37</v>
      </c>
      <c r="D1279" s="2">
        <v>41730</v>
      </c>
      <c r="E1279" t="s">
        <v>27</v>
      </c>
      <c r="F1279">
        <v>109</v>
      </c>
      <c r="G1279" t="str">
        <f>VLOOKUP(Table1_2[[#This Row],[Categories]],Sheet3!$A$1:$B$27,2,FALSE)</f>
        <v>Household Items</v>
      </c>
    </row>
    <row r="1280" spans="1:7" x14ac:dyDescent="0.3">
      <c r="A1280" t="s">
        <v>34</v>
      </c>
      <c r="B1280">
        <v>2014</v>
      </c>
      <c r="C1280" t="s">
        <v>37</v>
      </c>
      <c r="D1280" s="2">
        <v>41730</v>
      </c>
      <c r="E1280" t="s">
        <v>28</v>
      </c>
      <c r="F1280">
        <v>111.5</v>
      </c>
      <c r="G1280" t="str">
        <f>VLOOKUP(Table1_2[[#This Row],[Categories]],Sheet3!$A$1:$B$27,2,FALSE)</f>
        <v>Miscellaneous</v>
      </c>
    </row>
    <row r="1281" spans="1:7" x14ac:dyDescent="0.3">
      <c r="A1281" t="s">
        <v>34</v>
      </c>
      <c r="B1281">
        <v>2014</v>
      </c>
      <c r="C1281" t="s">
        <v>37</v>
      </c>
      <c r="D1281" s="2">
        <v>41730</v>
      </c>
      <c r="E1281" t="s">
        <v>29</v>
      </c>
      <c r="F1281">
        <v>115.1</v>
      </c>
      <c r="G1281" t="str">
        <f>VLOOKUP(Table1_2[[#This Row],[Categories]],Sheet3!$A$1:$B$27,2,FALSE)</f>
        <v>General index</v>
      </c>
    </row>
    <row r="1282" spans="1:7" x14ac:dyDescent="0.3">
      <c r="A1282" t="s">
        <v>30</v>
      </c>
      <c r="B1282">
        <v>2014</v>
      </c>
      <c r="C1282" t="s">
        <v>38</v>
      </c>
      <c r="D1282" s="2">
        <v>41760</v>
      </c>
      <c r="E1282" t="s">
        <v>3</v>
      </c>
      <c r="F1282">
        <v>120.3</v>
      </c>
      <c r="G1282" t="str">
        <f>VLOOKUP(Table1_2[[#This Row],[Categories]],Sheet3!$A$1:$B$27,2,FALSE)</f>
        <v>Food &amp;Beverage</v>
      </c>
    </row>
    <row r="1283" spans="1:7" x14ac:dyDescent="0.3">
      <c r="A1283" t="s">
        <v>30</v>
      </c>
      <c r="B1283">
        <v>2014</v>
      </c>
      <c r="C1283" t="s">
        <v>38</v>
      </c>
      <c r="D1283" s="2">
        <v>41760</v>
      </c>
      <c r="E1283" t="s">
        <v>4</v>
      </c>
      <c r="F1283">
        <v>120.2</v>
      </c>
      <c r="G1283" t="str">
        <f>VLOOKUP(Table1_2[[#This Row],[Categories]],Sheet3!$A$1:$B$27,2,FALSE)</f>
        <v>Food &amp;Beverage</v>
      </c>
    </row>
    <row r="1284" spans="1:7" x14ac:dyDescent="0.3">
      <c r="A1284" t="s">
        <v>30</v>
      </c>
      <c r="B1284">
        <v>2014</v>
      </c>
      <c r="C1284" t="s">
        <v>38</v>
      </c>
      <c r="D1284" s="2">
        <v>41760</v>
      </c>
      <c r="E1284" t="s">
        <v>5</v>
      </c>
      <c r="F1284">
        <v>116.9</v>
      </c>
      <c r="G1284" t="str">
        <f>VLOOKUP(Table1_2[[#This Row],[Categories]],Sheet3!$A$1:$B$27,2,FALSE)</f>
        <v>Food &amp;Beverage</v>
      </c>
    </row>
    <row r="1285" spans="1:7" x14ac:dyDescent="0.3">
      <c r="A1285" t="s">
        <v>30</v>
      </c>
      <c r="B1285">
        <v>2014</v>
      </c>
      <c r="C1285" t="s">
        <v>38</v>
      </c>
      <c r="D1285" s="2">
        <v>41760</v>
      </c>
      <c r="E1285" t="s">
        <v>6</v>
      </c>
      <c r="F1285">
        <v>118</v>
      </c>
      <c r="G1285" t="str">
        <f>VLOOKUP(Table1_2[[#This Row],[Categories]],Sheet3!$A$1:$B$27,2,FALSE)</f>
        <v>Food &amp;Beverage</v>
      </c>
    </row>
    <row r="1286" spans="1:7" x14ac:dyDescent="0.3">
      <c r="A1286" t="s">
        <v>30</v>
      </c>
      <c r="B1286">
        <v>2014</v>
      </c>
      <c r="C1286" t="s">
        <v>38</v>
      </c>
      <c r="D1286" s="2">
        <v>41760</v>
      </c>
      <c r="E1286" t="s">
        <v>7</v>
      </c>
      <c r="F1286">
        <v>110.1</v>
      </c>
      <c r="G1286" t="str">
        <f>VLOOKUP(Table1_2[[#This Row],[Categories]],Sheet3!$A$1:$B$27,2,FALSE)</f>
        <v>Food &amp;Beverage</v>
      </c>
    </row>
    <row r="1287" spans="1:7" x14ac:dyDescent="0.3">
      <c r="A1287" t="s">
        <v>30</v>
      </c>
      <c r="B1287">
        <v>2014</v>
      </c>
      <c r="C1287" t="s">
        <v>38</v>
      </c>
      <c r="D1287" s="2">
        <v>41760</v>
      </c>
      <c r="E1287" t="s">
        <v>8</v>
      </c>
      <c r="F1287">
        <v>126.3</v>
      </c>
      <c r="G1287" t="str">
        <f>VLOOKUP(Table1_2[[#This Row],[Categories]],Sheet3!$A$1:$B$27,2,FALSE)</f>
        <v>Food &amp;Beverage</v>
      </c>
    </row>
    <row r="1288" spans="1:7" x14ac:dyDescent="0.3">
      <c r="A1288" t="s">
        <v>30</v>
      </c>
      <c r="B1288">
        <v>2014</v>
      </c>
      <c r="C1288" t="s">
        <v>38</v>
      </c>
      <c r="D1288" s="2">
        <v>41760</v>
      </c>
      <c r="E1288" t="s">
        <v>9</v>
      </c>
      <c r="F1288">
        <v>123.9</v>
      </c>
      <c r="G1288" t="str">
        <f>VLOOKUP(Table1_2[[#This Row],[Categories]],Sheet3!$A$1:$B$27,2,FALSE)</f>
        <v>Food &amp;Beverage</v>
      </c>
    </row>
    <row r="1289" spans="1:7" x14ac:dyDescent="0.3">
      <c r="A1289" t="s">
        <v>30</v>
      </c>
      <c r="B1289">
        <v>2014</v>
      </c>
      <c r="C1289" t="s">
        <v>38</v>
      </c>
      <c r="D1289" s="2">
        <v>41760</v>
      </c>
      <c r="E1289" t="s">
        <v>10</v>
      </c>
      <c r="F1289">
        <v>111.5</v>
      </c>
      <c r="G1289" t="str">
        <f>VLOOKUP(Table1_2[[#This Row],[Categories]],Sheet3!$A$1:$B$27,2,FALSE)</f>
        <v>Food &amp;Beverage</v>
      </c>
    </row>
    <row r="1290" spans="1:7" x14ac:dyDescent="0.3">
      <c r="A1290" t="s">
        <v>30</v>
      </c>
      <c r="B1290">
        <v>2014</v>
      </c>
      <c r="C1290" t="s">
        <v>38</v>
      </c>
      <c r="D1290" s="2">
        <v>41760</v>
      </c>
      <c r="E1290" t="s">
        <v>11</v>
      </c>
      <c r="F1290">
        <v>103.5</v>
      </c>
      <c r="G1290" t="str">
        <f>VLOOKUP(Table1_2[[#This Row],[Categories]],Sheet3!$A$1:$B$27,2,FALSE)</f>
        <v>Food &amp;Beverage</v>
      </c>
    </row>
    <row r="1291" spans="1:7" x14ac:dyDescent="0.3">
      <c r="A1291" t="s">
        <v>30</v>
      </c>
      <c r="B1291">
        <v>2014</v>
      </c>
      <c r="C1291" t="s">
        <v>38</v>
      </c>
      <c r="D1291" s="2">
        <v>41760</v>
      </c>
      <c r="E1291" t="s">
        <v>12</v>
      </c>
      <c r="F1291">
        <v>111.6</v>
      </c>
      <c r="G1291" t="str">
        <f>VLOOKUP(Table1_2[[#This Row],[Categories]],Sheet3!$A$1:$B$27,2,FALSE)</f>
        <v>Food &amp;Beverage</v>
      </c>
    </row>
    <row r="1292" spans="1:7" x14ac:dyDescent="0.3">
      <c r="A1292" t="s">
        <v>30</v>
      </c>
      <c r="B1292">
        <v>2014</v>
      </c>
      <c r="C1292" t="s">
        <v>38</v>
      </c>
      <c r="D1292" s="2">
        <v>41760</v>
      </c>
      <c r="E1292" t="s">
        <v>13</v>
      </c>
      <c r="F1292">
        <v>114.2</v>
      </c>
      <c r="G1292" t="str">
        <f>VLOOKUP(Table1_2[[#This Row],[Categories]],Sheet3!$A$1:$B$27,2,FALSE)</f>
        <v>Food &amp;Beverage</v>
      </c>
    </row>
    <row r="1293" spans="1:7" x14ac:dyDescent="0.3">
      <c r="A1293" t="s">
        <v>30</v>
      </c>
      <c r="B1293">
        <v>2014</v>
      </c>
      <c r="C1293" t="s">
        <v>38</v>
      </c>
      <c r="D1293" s="2">
        <v>41760</v>
      </c>
      <c r="E1293" t="s">
        <v>14</v>
      </c>
      <c r="F1293">
        <v>119.2</v>
      </c>
      <c r="G1293" t="str">
        <f>VLOOKUP(Table1_2[[#This Row],[Categories]],Sheet3!$A$1:$B$27,2,FALSE)</f>
        <v>Food &amp;Beverage</v>
      </c>
    </row>
    <row r="1294" spans="1:7" x14ac:dyDescent="0.3">
      <c r="A1294" t="s">
        <v>30</v>
      </c>
      <c r="B1294">
        <v>2014</v>
      </c>
      <c r="C1294" t="s">
        <v>38</v>
      </c>
      <c r="D1294" s="2">
        <v>41760</v>
      </c>
      <c r="E1294" t="s">
        <v>15</v>
      </c>
      <c r="F1294">
        <v>118.2</v>
      </c>
      <c r="G1294" t="str">
        <f>VLOOKUP(Table1_2[[#This Row],[Categories]],Sheet3!$A$1:$B$27,2,FALSE)</f>
        <v>Food &amp;Beverage</v>
      </c>
    </row>
    <row r="1295" spans="1:7" x14ac:dyDescent="0.3">
      <c r="A1295" t="s">
        <v>30</v>
      </c>
      <c r="B1295">
        <v>2014</v>
      </c>
      <c r="C1295" t="s">
        <v>38</v>
      </c>
      <c r="D1295" s="2">
        <v>41760</v>
      </c>
      <c r="E1295" t="s">
        <v>16</v>
      </c>
      <c r="F1295">
        <v>116.3</v>
      </c>
      <c r="G1295" t="str">
        <f>VLOOKUP(Table1_2[[#This Row],[Categories]],Sheet3!$A$1:$B$27,2,FALSE)</f>
        <v>Recreation and amusement</v>
      </c>
    </row>
    <row r="1296" spans="1:7" x14ac:dyDescent="0.3">
      <c r="A1296" t="s">
        <v>30</v>
      </c>
      <c r="B1296">
        <v>2014</v>
      </c>
      <c r="C1296" t="s">
        <v>38</v>
      </c>
      <c r="D1296" s="2">
        <v>41760</v>
      </c>
      <c r="E1296" t="s">
        <v>17</v>
      </c>
      <c r="F1296">
        <v>118.7</v>
      </c>
      <c r="G1296" t="str">
        <f>VLOOKUP(Table1_2[[#This Row],[Categories]],Sheet3!$A$1:$B$27,2,FALSE)</f>
        <v>Clothing and footwear</v>
      </c>
    </row>
    <row r="1297" spans="1:7" x14ac:dyDescent="0.3">
      <c r="A1297" t="s">
        <v>30</v>
      </c>
      <c r="B1297">
        <v>2014</v>
      </c>
      <c r="C1297" t="s">
        <v>38</v>
      </c>
      <c r="D1297" s="2">
        <v>41760</v>
      </c>
      <c r="E1297" t="s">
        <v>18</v>
      </c>
      <c r="F1297">
        <v>116.8</v>
      </c>
      <c r="G1297" t="str">
        <f>VLOOKUP(Table1_2[[#This Row],[Categories]],Sheet3!$A$1:$B$27,2,FALSE)</f>
        <v>Clothing and footwear</v>
      </c>
    </row>
    <row r="1298" spans="1:7" x14ac:dyDescent="0.3">
      <c r="A1298" t="s">
        <v>30</v>
      </c>
      <c r="B1298">
        <v>2014</v>
      </c>
      <c r="C1298" t="s">
        <v>38</v>
      </c>
      <c r="D1298" s="2">
        <v>41760</v>
      </c>
      <c r="E1298" t="s">
        <v>19</v>
      </c>
      <c r="F1298">
        <v>118.5</v>
      </c>
      <c r="G1298" t="str">
        <f>VLOOKUP(Table1_2[[#This Row],[Categories]],Sheet3!$A$1:$B$27,2,FALSE)</f>
        <v>Clothing and footwear</v>
      </c>
    </row>
    <row r="1299" spans="1:7" x14ac:dyDescent="0.3">
      <c r="A1299" t="s">
        <v>30</v>
      </c>
      <c r="B1299">
        <v>2014</v>
      </c>
      <c r="C1299" t="s">
        <v>38</v>
      </c>
      <c r="D1299" s="2">
        <v>41760</v>
      </c>
      <c r="E1299" t="s">
        <v>21</v>
      </c>
      <c r="F1299">
        <v>113.4</v>
      </c>
      <c r="G1299" t="str">
        <f>VLOOKUP(Table1_2[[#This Row],[Categories]],Sheet3!$A$1:$B$27,2,FALSE)</f>
        <v>Fuel and light</v>
      </c>
    </row>
    <row r="1300" spans="1:7" x14ac:dyDescent="0.3">
      <c r="A1300" t="s">
        <v>30</v>
      </c>
      <c r="B1300">
        <v>2014</v>
      </c>
      <c r="C1300" t="s">
        <v>38</v>
      </c>
      <c r="D1300" s="2">
        <v>41760</v>
      </c>
      <c r="E1300" t="s">
        <v>22</v>
      </c>
      <c r="F1300">
        <v>114.1</v>
      </c>
      <c r="G1300" t="str">
        <f>VLOOKUP(Table1_2[[#This Row],[Categories]],Sheet3!$A$1:$B$27,2,FALSE)</f>
        <v>Household Items</v>
      </c>
    </row>
    <row r="1301" spans="1:7" x14ac:dyDescent="0.3">
      <c r="A1301" t="s">
        <v>30</v>
      </c>
      <c r="B1301">
        <v>2014</v>
      </c>
      <c r="C1301" t="s">
        <v>38</v>
      </c>
      <c r="D1301" s="2">
        <v>41760</v>
      </c>
      <c r="E1301" t="s">
        <v>23</v>
      </c>
      <c r="F1301">
        <v>112.1</v>
      </c>
      <c r="G1301" t="str">
        <f>VLOOKUP(Table1_2[[#This Row],[Categories]],Sheet3!$A$1:$B$27,2,FALSE)</f>
        <v>Health</v>
      </c>
    </row>
    <row r="1302" spans="1:7" x14ac:dyDescent="0.3">
      <c r="A1302" t="s">
        <v>30</v>
      </c>
      <c r="B1302">
        <v>2014</v>
      </c>
      <c r="C1302" t="s">
        <v>38</v>
      </c>
      <c r="D1302" s="2">
        <v>41760</v>
      </c>
      <c r="E1302" t="s">
        <v>24</v>
      </c>
      <c r="F1302">
        <v>111.4</v>
      </c>
      <c r="G1302" t="str">
        <f>VLOOKUP(Table1_2[[#This Row],[Categories]],Sheet3!$A$1:$B$27,2,FALSE)</f>
        <v>Transport and communication</v>
      </c>
    </row>
    <row r="1303" spans="1:7" x14ac:dyDescent="0.3">
      <c r="A1303" t="s">
        <v>30</v>
      </c>
      <c r="B1303">
        <v>2014</v>
      </c>
      <c r="C1303" t="s">
        <v>38</v>
      </c>
      <c r="D1303" s="2">
        <v>41760</v>
      </c>
      <c r="E1303" t="s">
        <v>25</v>
      </c>
      <c r="F1303">
        <v>110.9</v>
      </c>
      <c r="G1303" t="str">
        <f>VLOOKUP(Table1_2[[#This Row],[Categories]],Sheet3!$A$1:$B$27,2,FALSE)</f>
        <v>Recreation and amusement</v>
      </c>
    </row>
    <row r="1304" spans="1:7" x14ac:dyDescent="0.3">
      <c r="A1304" t="s">
        <v>30</v>
      </c>
      <c r="B1304">
        <v>2014</v>
      </c>
      <c r="C1304" t="s">
        <v>38</v>
      </c>
      <c r="D1304" s="2">
        <v>41760</v>
      </c>
      <c r="E1304" t="s">
        <v>26</v>
      </c>
      <c r="F1304">
        <v>113.1</v>
      </c>
      <c r="G1304" t="str">
        <f>VLOOKUP(Table1_2[[#This Row],[Categories]],Sheet3!$A$1:$B$27,2,FALSE)</f>
        <v>Education</v>
      </c>
    </row>
    <row r="1305" spans="1:7" x14ac:dyDescent="0.3">
      <c r="A1305" t="s">
        <v>30</v>
      </c>
      <c r="B1305">
        <v>2014</v>
      </c>
      <c r="C1305" t="s">
        <v>38</v>
      </c>
      <c r="D1305" s="2">
        <v>41760</v>
      </c>
      <c r="E1305" t="s">
        <v>27</v>
      </c>
      <c r="F1305">
        <v>108.9</v>
      </c>
      <c r="G1305" t="str">
        <f>VLOOKUP(Table1_2[[#This Row],[Categories]],Sheet3!$A$1:$B$27,2,FALSE)</f>
        <v>Household Items</v>
      </c>
    </row>
    <row r="1306" spans="1:7" x14ac:dyDescent="0.3">
      <c r="A1306" t="s">
        <v>30</v>
      </c>
      <c r="B1306">
        <v>2014</v>
      </c>
      <c r="C1306" t="s">
        <v>38</v>
      </c>
      <c r="D1306" s="2">
        <v>41760</v>
      </c>
      <c r="E1306" t="s">
        <v>28</v>
      </c>
      <c r="F1306">
        <v>111.8</v>
      </c>
      <c r="G1306" t="str">
        <f>VLOOKUP(Table1_2[[#This Row],[Categories]],Sheet3!$A$1:$B$27,2,FALSE)</f>
        <v>Miscellaneous</v>
      </c>
    </row>
    <row r="1307" spans="1:7" x14ac:dyDescent="0.3">
      <c r="A1307" t="s">
        <v>30</v>
      </c>
      <c r="B1307">
        <v>2014</v>
      </c>
      <c r="C1307" t="s">
        <v>38</v>
      </c>
      <c r="D1307" s="2">
        <v>41760</v>
      </c>
      <c r="E1307" t="s">
        <v>29</v>
      </c>
      <c r="F1307">
        <v>116</v>
      </c>
      <c r="G1307" t="str">
        <f>VLOOKUP(Table1_2[[#This Row],[Categories]],Sheet3!$A$1:$B$27,2,FALSE)</f>
        <v>General index</v>
      </c>
    </row>
    <row r="1308" spans="1:7" x14ac:dyDescent="0.3">
      <c r="A1308" t="s">
        <v>33</v>
      </c>
      <c r="B1308">
        <v>2014</v>
      </c>
      <c r="C1308" t="s">
        <v>38</v>
      </c>
      <c r="D1308" s="2">
        <v>41760</v>
      </c>
      <c r="E1308" t="s">
        <v>3</v>
      </c>
      <c r="F1308">
        <v>122.7</v>
      </c>
      <c r="G1308" t="str">
        <f>VLOOKUP(Table1_2[[#This Row],[Categories]],Sheet3!$A$1:$B$27,2,FALSE)</f>
        <v>Food &amp;Beverage</v>
      </c>
    </row>
    <row r="1309" spans="1:7" x14ac:dyDescent="0.3">
      <c r="A1309" t="s">
        <v>33</v>
      </c>
      <c r="B1309">
        <v>2014</v>
      </c>
      <c r="C1309" t="s">
        <v>38</v>
      </c>
      <c r="D1309" s="2">
        <v>41760</v>
      </c>
      <c r="E1309" t="s">
        <v>4</v>
      </c>
      <c r="F1309">
        <v>124.1</v>
      </c>
      <c r="G1309" t="str">
        <f>VLOOKUP(Table1_2[[#This Row],[Categories]],Sheet3!$A$1:$B$27,2,FALSE)</f>
        <v>Food &amp;Beverage</v>
      </c>
    </row>
    <row r="1310" spans="1:7" x14ac:dyDescent="0.3">
      <c r="A1310" t="s">
        <v>33</v>
      </c>
      <c r="B1310">
        <v>2014</v>
      </c>
      <c r="C1310" t="s">
        <v>38</v>
      </c>
      <c r="D1310" s="2">
        <v>41760</v>
      </c>
      <c r="E1310" t="s">
        <v>5</v>
      </c>
      <c r="F1310">
        <v>114.2</v>
      </c>
      <c r="G1310" t="str">
        <f>VLOOKUP(Table1_2[[#This Row],[Categories]],Sheet3!$A$1:$B$27,2,FALSE)</f>
        <v>Food &amp;Beverage</v>
      </c>
    </row>
    <row r="1311" spans="1:7" x14ac:dyDescent="0.3">
      <c r="A1311" t="s">
        <v>33</v>
      </c>
      <c r="B1311">
        <v>2014</v>
      </c>
      <c r="C1311" t="s">
        <v>38</v>
      </c>
      <c r="D1311" s="2">
        <v>41760</v>
      </c>
      <c r="E1311" t="s">
        <v>6</v>
      </c>
      <c r="F1311">
        <v>119.1</v>
      </c>
      <c r="G1311" t="str">
        <f>VLOOKUP(Table1_2[[#This Row],[Categories]],Sheet3!$A$1:$B$27,2,FALSE)</f>
        <v>Food &amp;Beverage</v>
      </c>
    </row>
    <row r="1312" spans="1:7" x14ac:dyDescent="0.3">
      <c r="A1312" t="s">
        <v>33</v>
      </c>
      <c r="B1312">
        <v>2014</v>
      </c>
      <c r="C1312" t="s">
        <v>38</v>
      </c>
      <c r="D1312" s="2">
        <v>41760</v>
      </c>
      <c r="E1312" t="s">
        <v>7</v>
      </c>
      <c r="F1312">
        <v>103.5</v>
      </c>
      <c r="G1312" t="str">
        <f>VLOOKUP(Table1_2[[#This Row],[Categories]],Sheet3!$A$1:$B$27,2,FALSE)</f>
        <v>Food &amp;Beverage</v>
      </c>
    </row>
    <row r="1313" spans="1:7" x14ac:dyDescent="0.3">
      <c r="A1313" t="s">
        <v>33</v>
      </c>
      <c r="B1313">
        <v>2014</v>
      </c>
      <c r="C1313" t="s">
        <v>38</v>
      </c>
      <c r="D1313" s="2">
        <v>41760</v>
      </c>
      <c r="E1313" t="s">
        <v>8</v>
      </c>
      <c r="F1313">
        <v>129.19999999999999</v>
      </c>
      <c r="G1313" t="str">
        <f>VLOOKUP(Table1_2[[#This Row],[Categories]],Sheet3!$A$1:$B$27,2,FALSE)</f>
        <v>Food &amp;Beverage</v>
      </c>
    </row>
    <row r="1314" spans="1:7" x14ac:dyDescent="0.3">
      <c r="A1314" t="s">
        <v>33</v>
      </c>
      <c r="B1314">
        <v>2014</v>
      </c>
      <c r="C1314" t="s">
        <v>38</v>
      </c>
      <c r="D1314" s="2">
        <v>41760</v>
      </c>
      <c r="E1314" t="s">
        <v>9</v>
      </c>
      <c r="F1314">
        <v>127</v>
      </c>
      <c r="G1314" t="str">
        <f>VLOOKUP(Table1_2[[#This Row],[Categories]],Sheet3!$A$1:$B$27,2,FALSE)</f>
        <v>Food &amp;Beverage</v>
      </c>
    </row>
    <row r="1315" spans="1:7" x14ac:dyDescent="0.3">
      <c r="A1315" t="s">
        <v>33</v>
      </c>
      <c r="B1315">
        <v>2014</v>
      </c>
      <c r="C1315" t="s">
        <v>38</v>
      </c>
      <c r="D1315" s="2">
        <v>41760</v>
      </c>
      <c r="E1315" t="s">
        <v>10</v>
      </c>
      <c r="F1315">
        <v>112.6</v>
      </c>
      <c r="G1315" t="str">
        <f>VLOOKUP(Table1_2[[#This Row],[Categories]],Sheet3!$A$1:$B$27,2,FALSE)</f>
        <v>Food &amp;Beverage</v>
      </c>
    </row>
    <row r="1316" spans="1:7" x14ac:dyDescent="0.3">
      <c r="A1316" t="s">
        <v>33</v>
      </c>
      <c r="B1316">
        <v>2014</v>
      </c>
      <c r="C1316" t="s">
        <v>38</v>
      </c>
      <c r="D1316" s="2">
        <v>41760</v>
      </c>
      <c r="E1316" t="s">
        <v>11</v>
      </c>
      <c r="F1316">
        <v>101.3</v>
      </c>
      <c r="G1316" t="str">
        <f>VLOOKUP(Table1_2[[#This Row],[Categories]],Sheet3!$A$1:$B$27,2,FALSE)</f>
        <v>Food &amp;Beverage</v>
      </c>
    </row>
    <row r="1317" spans="1:7" x14ac:dyDescent="0.3">
      <c r="A1317" t="s">
        <v>33</v>
      </c>
      <c r="B1317">
        <v>2014</v>
      </c>
      <c r="C1317" t="s">
        <v>38</v>
      </c>
      <c r="D1317" s="2">
        <v>41760</v>
      </c>
      <c r="E1317" t="s">
        <v>12</v>
      </c>
      <c r="F1317">
        <v>117</v>
      </c>
      <c r="G1317" t="str">
        <f>VLOOKUP(Table1_2[[#This Row],[Categories]],Sheet3!$A$1:$B$27,2,FALSE)</f>
        <v>Food &amp;Beverage</v>
      </c>
    </row>
    <row r="1318" spans="1:7" x14ac:dyDescent="0.3">
      <c r="A1318" t="s">
        <v>33</v>
      </c>
      <c r="B1318">
        <v>2014</v>
      </c>
      <c r="C1318" t="s">
        <v>38</v>
      </c>
      <c r="D1318" s="2">
        <v>41760</v>
      </c>
      <c r="E1318" t="s">
        <v>13</v>
      </c>
      <c r="F1318">
        <v>112.9</v>
      </c>
      <c r="G1318" t="str">
        <f>VLOOKUP(Table1_2[[#This Row],[Categories]],Sheet3!$A$1:$B$27,2,FALSE)</f>
        <v>Food &amp;Beverage</v>
      </c>
    </row>
    <row r="1319" spans="1:7" x14ac:dyDescent="0.3">
      <c r="A1319" t="s">
        <v>33</v>
      </c>
      <c r="B1319">
        <v>2014</v>
      </c>
      <c r="C1319" t="s">
        <v>38</v>
      </c>
      <c r="D1319" s="2">
        <v>41760</v>
      </c>
      <c r="E1319" t="s">
        <v>14</v>
      </c>
      <c r="F1319">
        <v>121.7</v>
      </c>
      <c r="G1319" t="str">
        <f>VLOOKUP(Table1_2[[#This Row],[Categories]],Sheet3!$A$1:$B$27,2,FALSE)</f>
        <v>Food &amp;Beverage</v>
      </c>
    </row>
    <row r="1320" spans="1:7" x14ac:dyDescent="0.3">
      <c r="A1320" t="s">
        <v>33</v>
      </c>
      <c r="B1320">
        <v>2014</v>
      </c>
      <c r="C1320" t="s">
        <v>38</v>
      </c>
      <c r="D1320" s="2">
        <v>41760</v>
      </c>
      <c r="E1320" t="s">
        <v>15</v>
      </c>
      <c r="F1320">
        <v>120</v>
      </c>
      <c r="G1320" t="str">
        <f>VLOOKUP(Table1_2[[#This Row],[Categories]],Sheet3!$A$1:$B$27,2,FALSE)</f>
        <v>Food &amp;Beverage</v>
      </c>
    </row>
    <row r="1321" spans="1:7" x14ac:dyDescent="0.3">
      <c r="A1321" t="s">
        <v>33</v>
      </c>
      <c r="B1321">
        <v>2014</v>
      </c>
      <c r="C1321" t="s">
        <v>38</v>
      </c>
      <c r="D1321" s="2">
        <v>41760</v>
      </c>
      <c r="E1321" t="s">
        <v>16</v>
      </c>
      <c r="F1321">
        <v>118.3</v>
      </c>
      <c r="G1321" t="str">
        <f>VLOOKUP(Table1_2[[#This Row],[Categories]],Sheet3!$A$1:$B$27,2,FALSE)</f>
        <v>Recreation and amusement</v>
      </c>
    </row>
    <row r="1322" spans="1:7" x14ac:dyDescent="0.3">
      <c r="A1322" t="s">
        <v>33</v>
      </c>
      <c r="B1322">
        <v>2014</v>
      </c>
      <c r="C1322" t="s">
        <v>38</v>
      </c>
      <c r="D1322" s="2">
        <v>41760</v>
      </c>
      <c r="E1322" t="s">
        <v>17</v>
      </c>
      <c r="F1322">
        <v>116.8</v>
      </c>
      <c r="G1322" t="str">
        <f>VLOOKUP(Table1_2[[#This Row],[Categories]],Sheet3!$A$1:$B$27,2,FALSE)</f>
        <v>Clothing and footwear</v>
      </c>
    </row>
    <row r="1323" spans="1:7" x14ac:dyDescent="0.3">
      <c r="A1323" t="s">
        <v>33</v>
      </c>
      <c r="B1323">
        <v>2014</v>
      </c>
      <c r="C1323" t="s">
        <v>38</v>
      </c>
      <c r="D1323" s="2">
        <v>41760</v>
      </c>
      <c r="E1323" t="s">
        <v>18</v>
      </c>
      <c r="F1323">
        <v>112.9</v>
      </c>
      <c r="G1323" t="str">
        <f>VLOOKUP(Table1_2[[#This Row],[Categories]],Sheet3!$A$1:$B$27,2,FALSE)</f>
        <v>Clothing and footwear</v>
      </c>
    </row>
    <row r="1324" spans="1:7" x14ac:dyDescent="0.3">
      <c r="A1324" t="s">
        <v>33</v>
      </c>
      <c r="B1324">
        <v>2014</v>
      </c>
      <c r="C1324" t="s">
        <v>38</v>
      </c>
      <c r="D1324" s="2">
        <v>41760</v>
      </c>
      <c r="E1324" t="s">
        <v>19</v>
      </c>
      <c r="F1324">
        <v>116.2</v>
      </c>
      <c r="G1324" t="str">
        <f>VLOOKUP(Table1_2[[#This Row],[Categories]],Sheet3!$A$1:$B$27,2,FALSE)</f>
        <v>Clothing and footwear</v>
      </c>
    </row>
    <row r="1325" spans="1:7" x14ac:dyDescent="0.3">
      <c r="A1325" t="s">
        <v>33</v>
      </c>
      <c r="B1325">
        <v>2014</v>
      </c>
      <c r="C1325" t="s">
        <v>38</v>
      </c>
      <c r="D1325" s="2">
        <v>41760</v>
      </c>
      <c r="E1325" t="s">
        <v>20</v>
      </c>
      <c r="F1325">
        <v>114.3</v>
      </c>
      <c r="G1325" t="str">
        <f>VLOOKUP(Table1_2[[#This Row],[Categories]],Sheet3!$A$1:$B$27,2,FALSE)</f>
        <v>Housing</v>
      </c>
    </row>
    <row r="1326" spans="1:7" x14ac:dyDescent="0.3">
      <c r="A1326" t="s">
        <v>33</v>
      </c>
      <c r="B1326">
        <v>2014</v>
      </c>
      <c r="C1326" t="s">
        <v>38</v>
      </c>
      <c r="D1326" s="2">
        <v>41760</v>
      </c>
      <c r="E1326" t="s">
        <v>21</v>
      </c>
      <c r="F1326">
        <v>111.1</v>
      </c>
      <c r="G1326" t="str">
        <f>VLOOKUP(Table1_2[[#This Row],[Categories]],Sheet3!$A$1:$B$27,2,FALSE)</f>
        <v>Fuel and light</v>
      </c>
    </row>
    <row r="1327" spans="1:7" x14ac:dyDescent="0.3">
      <c r="A1327" t="s">
        <v>33</v>
      </c>
      <c r="B1327">
        <v>2014</v>
      </c>
      <c r="C1327" t="s">
        <v>38</v>
      </c>
      <c r="D1327" s="2">
        <v>41760</v>
      </c>
      <c r="E1327" t="s">
        <v>22</v>
      </c>
      <c r="F1327">
        <v>114.1</v>
      </c>
      <c r="G1327" t="str">
        <f>VLOOKUP(Table1_2[[#This Row],[Categories]],Sheet3!$A$1:$B$27,2,FALSE)</f>
        <v>Household Items</v>
      </c>
    </row>
    <row r="1328" spans="1:7" x14ac:dyDescent="0.3">
      <c r="A1328" t="s">
        <v>33</v>
      </c>
      <c r="B1328">
        <v>2014</v>
      </c>
      <c r="C1328" t="s">
        <v>38</v>
      </c>
      <c r="D1328" s="2">
        <v>41760</v>
      </c>
      <c r="E1328" t="s">
        <v>23</v>
      </c>
      <c r="F1328">
        <v>111.2</v>
      </c>
      <c r="G1328" t="str">
        <f>VLOOKUP(Table1_2[[#This Row],[Categories]],Sheet3!$A$1:$B$27,2,FALSE)</f>
        <v>Health</v>
      </c>
    </row>
    <row r="1329" spans="1:7" x14ac:dyDescent="0.3">
      <c r="A1329" t="s">
        <v>33</v>
      </c>
      <c r="B1329">
        <v>2014</v>
      </c>
      <c r="C1329" t="s">
        <v>38</v>
      </c>
      <c r="D1329" s="2">
        <v>41760</v>
      </c>
      <c r="E1329" t="s">
        <v>24</v>
      </c>
      <c r="F1329">
        <v>111.3</v>
      </c>
      <c r="G1329" t="str">
        <f>VLOOKUP(Table1_2[[#This Row],[Categories]],Sheet3!$A$1:$B$27,2,FALSE)</f>
        <v>Transport and communication</v>
      </c>
    </row>
    <row r="1330" spans="1:7" x14ac:dyDescent="0.3">
      <c r="A1330" t="s">
        <v>33</v>
      </c>
      <c r="B1330">
        <v>2014</v>
      </c>
      <c r="C1330" t="s">
        <v>38</v>
      </c>
      <c r="D1330" s="2">
        <v>41760</v>
      </c>
      <c r="E1330" t="s">
        <v>25</v>
      </c>
      <c r="F1330">
        <v>111.5</v>
      </c>
      <c r="G1330" t="str">
        <f>VLOOKUP(Table1_2[[#This Row],[Categories]],Sheet3!$A$1:$B$27,2,FALSE)</f>
        <v>Recreation and amusement</v>
      </c>
    </row>
    <row r="1331" spans="1:7" x14ac:dyDescent="0.3">
      <c r="A1331" t="s">
        <v>33</v>
      </c>
      <c r="B1331">
        <v>2014</v>
      </c>
      <c r="C1331" t="s">
        <v>38</v>
      </c>
      <c r="D1331" s="2">
        <v>41760</v>
      </c>
      <c r="E1331" t="s">
        <v>26</v>
      </c>
      <c r="F1331">
        <v>112.9</v>
      </c>
      <c r="G1331" t="str">
        <f>VLOOKUP(Table1_2[[#This Row],[Categories]],Sheet3!$A$1:$B$27,2,FALSE)</f>
        <v>Education</v>
      </c>
    </row>
    <row r="1332" spans="1:7" x14ac:dyDescent="0.3">
      <c r="A1332" t="s">
        <v>33</v>
      </c>
      <c r="B1332">
        <v>2014</v>
      </c>
      <c r="C1332" t="s">
        <v>38</v>
      </c>
      <c r="D1332" s="2">
        <v>41760</v>
      </c>
      <c r="E1332" t="s">
        <v>27</v>
      </c>
      <c r="F1332">
        <v>109.3</v>
      </c>
      <c r="G1332" t="str">
        <f>VLOOKUP(Table1_2[[#This Row],[Categories]],Sheet3!$A$1:$B$27,2,FALSE)</f>
        <v>Household Items</v>
      </c>
    </row>
    <row r="1333" spans="1:7" x14ac:dyDescent="0.3">
      <c r="A1333" t="s">
        <v>33</v>
      </c>
      <c r="B1333">
        <v>2014</v>
      </c>
      <c r="C1333" t="s">
        <v>38</v>
      </c>
      <c r="D1333" s="2">
        <v>41760</v>
      </c>
      <c r="E1333" t="s">
        <v>28</v>
      </c>
      <c r="F1333">
        <v>111.7</v>
      </c>
      <c r="G1333" t="str">
        <f>VLOOKUP(Table1_2[[#This Row],[Categories]],Sheet3!$A$1:$B$27,2,FALSE)</f>
        <v>Miscellaneous</v>
      </c>
    </row>
    <row r="1334" spans="1:7" x14ac:dyDescent="0.3">
      <c r="A1334" t="s">
        <v>33</v>
      </c>
      <c r="B1334">
        <v>2014</v>
      </c>
      <c r="C1334" t="s">
        <v>38</v>
      </c>
      <c r="D1334" s="2">
        <v>41760</v>
      </c>
      <c r="E1334" t="s">
        <v>29</v>
      </c>
      <c r="F1334">
        <v>115.6</v>
      </c>
      <c r="G1334" t="str">
        <f>VLOOKUP(Table1_2[[#This Row],[Categories]],Sheet3!$A$1:$B$27,2,FALSE)</f>
        <v>General index</v>
      </c>
    </row>
    <row r="1335" spans="1:7" x14ac:dyDescent="0.3">
      <c r="A1335" t="s">
        <v>34</v>
      </c>
      <c r="B1335">
        <v>2014</v>
      </c>
      <c r="C1335" t="s">
        <v>38</v>
      </c>
      <c r="D1335" s="2">
        <v>41760</v>
      </c>
      <c r="E1335" t="s">
        <v>3</v>
      </c>
      <c r="F1335">
        <v>121.1</v>
      </c>
      <c r="G1335" t="str">
        <f>VLOOKUP(Table1_2[[#This Row],[Categories]],Sheet3!$A$1:$B$27,2,FALSE)</f>
        <v>Food &amp;Beverage</v>
      </c>
    </row>
    <row r="1336" spans="1:7" x14ac:dyDescent="0.3">
      <c r="A1336" t="s">
        <v>34</v>
      </c>
      <c r="B1336">
        <v>2014</v>
      </c>
      <c r="C1336" t="s">
        <v>38</v>
      </c>
      <c r="D1336" s="2">
        <v>41760</v>
      </c>
      <c r="E1336" t="s">
        <v>4</v>
      </c>
      <c r="F1336">
        <v>121.6</v>
      </c>
      <c r="G1336" t="str">
        <f>VLOOKUP(Table1_2[[#This Row],[Categories]],Sheet3!$A$1:$B$27,2,FALSE)</f>
        <v>Food &amp;Beverage</v>
      </c>
    </row>
    <row r="1337" spans="1:7" x14ac:dyDescent="0.3">
      <c r="A1337" t="s">
        <v>34</v>
      </c>
      <c r="B1337">
        <v>2014</v>
      </c>
      <c r="C1337" t="s">
        <v>38</v>
      </c>
      <c r="D1337" s="2">
        <v>41760</v>
      </c>
      <c r="E1337" t="s">
        <v>5</v>
      </c>
      <c r="F1337">
        <v>115.9</v>
      </c>
      <c r="G1337" t="str">
        <f>VLOOKUP(Table1_2[[#This Row],[Categories]],Sheet3!$A$1:$B$27,2,FALSE)</f>
        <v>Food &amp;Beverage</v>
      </c>
    </row>
    <row r="1338" spans="1:7" x14ac:dyDescent="0.3">
      <c r="A1338" t="s">
        <v>34</v>
      </c>
      <c r="B1338">
        <v>2014</v>
      </c>
      <c r="C1338" t="s">
        <v>38</v>
      </c>
      <c r="D1338" s="2">
        <v>41760</v>
      </c>
      <c r="E1338" t="s">
        <v>6</v>
      </c>
      <c r="F1338">
        <v>118.4</v>
      </c>
      <c r="G1338" t="str">
        <f>VLOOKUP(Table1_2[[#This Row],[Categories]],Sheet3!$A$1:$B$27,2,FALSE)</f>
        <v>Food &amp;Beverage</v>
      </c>
    </row>
    <row r="1339" spans="1:7" x14ac:dyDescent="0.3">
      <c r="A1339" t="s">
        <v>34</v>
      </c>
      <c r="B1339">
        <v>2014</v>
      </c>
      <c r="C1339" t="s">
        <v>38</v>
      </c>
      <c r="D1339" s="2">
        <v>41760</v>
      </c>
      <c r="E1339" t="s">
        <v>7</v>
      </c>
      <c r="F1339">
        <v>107.7</v>
      </c>
      <c r="G1339" t="str">
        <f>VLOOKUP(Table1_2[[#This Row],[Categories]],Sheet3!$A$1:$B$27,2,FALSE)</f>
        <v>Food &amp;Beverage</v>
      </c>
    </row>
    <row r="1340" spans="1:7" x14ac:dyDescent="0.3">
      <c r="A1340" t="s">
        <v>34</v>
      </c>
      <c r="B1340">
        <v>2014</v>
      </c>
      <c r="C1340" t="s">
        <v>38</v>
      </c>
      <c r="D1340" s="2">
        <v>41760</v>
      </c>
      <c r="E1340" t="s">
        <v>8</v>
      </c>
      <c r="F1340">
        <v>127.7</v>
      </c>
      <c r="G1340" t="str">
        <f>VLOOKUP(Table1_2[[#This Row],[Categories]],Sheet3!$A$1:$B$27,2,FALSE)</f>
        <v>Food &amp;Beverage</v>
      </c>
    </row>
    <row r="1341" spans="1:7" x14ac:dyDescent="0.3">
      <c r="A1341" t="s">
        <v>34</v>
      </c>
      <c r="B1341">
        <v>2014</v>
      </c>
      <c r="C1341" t="s">
        <v>38</v>
      </c>
      <c r="D1341" s="2">
        <v>41760</v>
      </c>
      <c r="E1341" t="s">
        <v>9</v>
      </c>
      <c r="F1341">
        <v>125</v>
      </c>
      <c r="G1341" t="str">
        <f>VLOOKUP(Table1_2[[#This Row],[Categories]],Sheet3!$A$1:$B$27,2,FALSE)</f>
        <v>Food &amp;Beverage</v>
      </c>
    </row>
    <row r="1342" spans="1:7" x14ac:dyDescent="0.3">
      <c r="A1342" t="s">
        <v>34</v>
      </c>
      <c r="B1342">
        <v>2014</v>
      </c>
      <c r="C1342" t="s">
        <v>38</v>
      </c>
      <c r="D1342" s="2">
        <v>41760</v>
      </c>
      <c r="E1342" t="s">
        <v>10</v>
      </c>
      <c r="F1342">
        <v>111.9</v>
      </c>
      <c r="G1342" t="str">
        <f>VLOOKUP(Table1_2[[#This Row],[Categories]],Sheet3!$A$1:$B$27,2,FALSE)</f>
        <v>Food &amp;Beverage</v>
      </c>
    </row>
    <row r="1343" spans="1:7" x14ac:dyDescent="0.3">
      <c r="A1343" t="s">
        <v>34</v>
      </c>
      <c r="B1343">
        <v>2014</v>
      </c>
      <c r="C1343" t="s">
        <v>38</v>
      </c>
      <c r="D1343" s="2">
        <v>41760</v>
      </c>
      <c r="E1343" t="s">
        <v>11</v>
      </c>
      <c r="F1343">
        <v>102.8</v>
      </c>
      <c r="G1343" t="str">
        <f>VLOOKUP(Table1_2[[#This Row],[Categories]],Sheet3!$A$1:$B$27,2,FALSE)</f>
        <v>Food &amp;Beverage</v>
      </c>
    </row>
    <row r="1344" spans="1:7" x14ac:dyDescent="0.3">
      <c r="A1344" t="s">
        <v>34</v>
      </c>
      <c r="B1344">
        <v>2014</v>
      </c>
      <c r="C1344" t="s">
        <v>38</v>
      </c>
      <c r="D1344" s="2">
        <v>41760</v>
      </c>
      <c r="E1344" t="s">
        <v>12</v>
      </c>
      <c r="F1344">
        <v>113.4</v>
      </c>
      <c r="G1344" t="str">
        <f>VLOOKUP(Table1_2[[#This Row],[Categories]],Sheet3!$A$1:$B$27,2,FALSE)</f>
        <v>Food &amp;Beverage</v>
      </c>
    </row>
    <row r="1345" spans="1:7" x14ac:dyDescent="0.3">
      <c r="A1345" t="s">
        <v>34</v>
      </c>
      <c r="B1345">
        <v>2014</v>
      </c>
      <c r="C1345" t="s">
        <v>38</v>
      </c>
      <c r="D1345" s="2">
        <v>41760</v>
      </c>
      <c r="E1345" t="s">
        <v>13</v>
      </c>
      <c r="F1345">
        <v>113.7</v>
      </c>
      <c r="G1345" t="str">
        <f>VLOOKUP(Table1_2[[#This Row],[Categories]],Sheet3!$A$1:$B$27,2,FALSE)</f>
        <v>Food &amp;Beverage</v>
      </c>
    </row>
    <row r="1346" spans="1:7" x14ac:dyDescent="0.3">
      <c r="A1346" t="s">
        <v>34</v>
      </c>
      <c r="B1346">
        <v>2014</v>
      </c>
      <c r="C1346" t="s">
        <v>38</v>
      </c>
      <c r="D1346" s="2">
        <v>41760</v>
      </c>
      <c r="E1346" t="s">
        <v>14</v>
      </c>
      <c r="F1346">
        <v>120.4</v>
      </c>
      <c r="G1346" t="str">
        <f>VLOOKUP(Table1_2[[#This Row],[Categories]],Sheet3!$A$1:$B$27,2,FALSE)</f>
        <v>Food &amp;Beverage</v>
      </c>
    </row>
    <row r="1347" spans="1:7" x14ac:dyDescent="0.3">
      <c r="A1347" t="s">
        <v>34</v>
      </c>
      <c r="B1347">
        <v>2014</v>
      </c>
      <c r="C1347" t="s">
        <v>38</v>
      </c>
      <c r="D1347" s="2">
        <v>41760</v>
      </c>
      <c r="E1347" t="s">
        <v>15</v>
      </c>
      <c r="F1347">
        <v>118.9</v>
      </c>
      <c r="G1347" t="str">
        <f>VLOOKUP(Table1_2[[#This Row],[Categories]],Sheet3!$A$1:$B$27,2,FALSE)</f>
        <v>Food &amp;Beverage</v>
      </c>
    </row>
    <row r="1348" spans="1:7" x14ac:dyDescent="0.3">
      <c r="A1348" t="s">
        <v>34</v>
      </c>
      <c r="B1348">
        <v>2014</v>
      </c>
      <c r="C1348" t="s">
        <v>38</v>
      </c>
      <c r="D1348" s="2">
        <v>41760</v>
      </c>
      <c r="E1348" t="s">
        <v>16</v>
      </c>
      <c r="F1348">
        <v>116.8</v>
      </c>
      <c r="G1348" t="str">
        <f>VLOOKUP(Table1_2[[#This Row],[Categories]],Sheet3!$A$1:$B$27,2,FALSE)</f>
        <v>Recreation and amusement</v>
      </c>
    </row>
    <row r="1349" spans="1:7" x14ac:dyDescent="0.3">
      <c r="A1349" t="s">
        <v>34</v>
      </c>
      <c r="B1349">
        <v>2014</v>
      </c>
      <c r="C1349" t="s">
        <v>38</v>
      </c>
      <c r="D1349" s="2">
        <v>41760</v>
      </c>
      <c r="E1349" t="s">
        <v>17</v>
      </c>
      <c r="F1349">
        <v>118</v>
      </c>
      <c r="G1349" t="str">
        <f>VLOOKUP(Table1_2[[#This Row],[Categories]],Sheet3!$A$1:$B$27,2,FALSE)</f>
        <v>Clothing and footwear</v>
      </c>
    </row>
    <row r="1350" spans="1:7" x14ac:dyDescent="0.3">
      <c r="A1350" t="s">
        <v>34</v>
      </c>
      <c r="B1350">
        <v>2014</v>
      </c>
      <c r="C1350" t="s">
        <v>38</v>
      </c>
      <c r="D1350" s="2">
        <v>41760</v>
      </c>
      <c r="E1350" t="s">
        <v>18</v>
      </c>
      <c r="F1350">
        <v>115.2</v>
      </c>
      <c r="G1350" t="str">
        <f>VLOOKUP(Table1_2[[#This Row],[Categories]],Sheet3!$A$1:$B$27,2,FALSE)</f>
        <v>Clothing and footwear</v>
      </c>
    </row>
    <row r="1351" spans="1:7" x14ac:dyDescent="0.3">
      <c r="A1351" t="s">
        <v>34</v>
      </c>
      <c r="B1351">
        <v>2014</v>
      </c>
      <c r="C1351" t="s">
        <v>38</v>
      </c>
      <c r="D1351" s="2">
        <v>41760</v>
      </c>
      <c r="E1351" t="s">
        <v>19</v>
      </c>
      <c r="F1351">
        <v>117.6</v>
      </c>
      <c r="G1351" t="str">
        <f>VLOOKUP(Table1_2[[#This Row],[Categories]],Sheet3!$A$1:$B$27,2,FALSE)</f>
        <v>Clothing and footwear</v>
      </c>
    </row>
    <row r="1352" spans="1:7" x14ac:dyDescent="0.3">
      <c r="A1352" t="s">
        <v>34</v>
      </c>
      <c r="B1352">
        <v>2014</v>
      </c>
      <c r="C1352" t="s">
        <v>38</v>
      </c>
      <c r="D1352" s="2">
        <v>41760</v>
      </c>
      <c r="E1352" t="s">
        <v>20</v>
      </c>
      <c r="F1352">
        <v>114.3</v>
      </c>
      <c r="G1352" t="str">
        <f>VLOOKUP(Table1_2[[#This Row],[Categories]],Sheet3!$A$1:$B$27,2,FALSE)</f>
        <v>Housing</v>
      </c>
    </row>
    <row r="1353" spans="1:7" x14ac:dyDescent="0.3">
      <c r="A1353" t="s">
        <v>34</v>
      </c>
      <c r="B1353">
        <v>2014</v>
      </c>
      <c r="C1353" t="s">
        <v>38</v>
      </c>
      <c r="D1353" s="2">
        <v>41760</v>
      </c>
      <c r="E1353" t="s">
        <v>21</v>
      </c>
      <c r="F1353">
        <v>112.5</v>
      </c>
      <c r="G1353" t="str">
        <f>VLOOKUP(Table1_2[[#This Row],[Categories]],Sheet3!$A$1:$B$27,2,FALSE)</f>
        <v>Fuel and light</v>
      </c>
    </row>
    <row r="1354" spans="1:7" x14ac:dyDescent="0.3">
      <c r="A1354" t="s">
        <v>34</v>
      </c>
      <c r="B1354">
        <v>2014</v>
      </c>
      <c r="C1354" t="s">
        <v>38</v>
      </c>
      <c r="D1354" s="2">
        <v>41760</v>
      </c>
      <c r="E1354" t="s">
        <v>22</v>
      </c>
      <c r="F1354">
        <v>114.1</v>
      </c>
      <c r="G1354" t="str">
        <f>VLOOKUP(Table1_2[[#This Row],[Categories]],Sheet3!$A$1:$B$27,2,FALSE)</f>
        <v>Household Items</v>
      </c>
    </row>
    <row r="1355" spans="1:7" x14ac:dyDescent="0.3">
      <c r="A1355" t="s">
        <v>34</v>
      </c>
      <c r="B1355">
        <v>2014</v>
      </c>
      <c r="C1355" t="s">
        <v>38</v>
      </c>
      <c r="D1355" s="2">
        <v>41760</v>
      </c>
      <c r="E1355" t="s">
        <v>23</v>
      </c>
      <c r="F1355">
        <v>111.8</v>
      </c>
      <c r="G1355" t="str">
        <f>VLOOKUP(Table1_2[[#This Row],[Categories]],Sheet3!$A$1:$B$27,2,FALSE)</f>
        <v>Health</v>
      </c>
    </row>
    <row r="1356" spans="1:7" x14ac:dyDescent="0.3">
      <c r="A1356" t="s">
        <v>34</v>
      </c>
      <c r="B1356">
        <v>2014</v>
      </c>
      <c r="C1356" t="s">
        <v>38</v>
      </c>
      <c r="D1356" s="2">
        <v>41760</v>
      </c>
      <c r="E1356" t="s">
        <v>24</v>
      </c>
      <c r="F1356">
        <v>111.3</v>
      </c>
      <c r="G1356" t="str">
        <f>VLOOKUP(Table1_2[[#This Row],[Categories]],Sheet3!$A$1:$B$27,2,FALSE)</f>
        <v>Transport and communication</v>
      </c>
    </row>
    <row r="1357" spans="1:7" x14ac:dyDescent="0.3">
      <c r="A1357" t="s">
        <v>34</v>
      </c>
      <c r="B1357">
        <v>2014</v>
      </c>
      <c r="C1357" t="s">
        <v>38</v>
      </c>
      <c r="D1357" s="2">
        <v>41760</v>
      </c>
      <c r="E1357" t="s">
        <v>25</v>
      </c>
      <c r="F1357">
        <v>111.2</v>
      </c>
      <c r="G1357" t="str">
        <f>VLOOKUP(Table1_2[[#This Row],[Categories]],Sheet3!$A$1:$B$27,2,FALSE)</f>
        <v>Recreation and amusement</v>
      </c>
    </row>
    <row r="1358" spans="1:7" x14ac:dyDescent="0.3">
      <c r="A1358" t="s">
        <v>34</v>
      </c>
      <c r="B1358">
        <v>2014</v>
      </c>
      <c r="C1358" t="s">
        <v>38</v>
      </c>
      <c r="D1358" s="2">
        <v>41760</v>
      </c>
      <c r="E1358" t="s">
        <v>26</v>
      </c>
      <c r="F1358">
        <v>113</v>
      </c>
      <c r="G1358" t="str">
        <f>VLOOKUP(Table1_2[[#This Row],[Categories]],Sheet3!$A$1:$B$27,2,FALSE)</f>
        <v>Education</v>
      </c>
    </row>
    <row r="1359" spans="1:7" x14ac:dyDescent="0.3">
      <c r="A1359" t="s">
        <v>34</v>
      </c>
      <c r="B1359">
        <v>2014</v>
      </c>
      <c r="C1359" t="s">
        <v>38</v>
      </c>
      <c r="D1359" s="2">
        <v>41760</v>
      </c>
      <c r="E1359" t="s">
        <v>27</v>
      </c>
      <c r="F1359">
        <v>109.1</v>
      </c>
      <c r="G1359" t="str">
        <f>VLOOKUP(Table1_2[[#This Row],[Categories]],Sheet3!$A$1:$B$27,2,FALSE)</f>
        <v>Household Items</v>
      </c>
    </row>
    <row r="1360" spans="1:7" x14ac:dyDescent="0.3">
      <c r="A1360" t="s">
        <v>34</v>
      </c>
      <c r="B1360">
        <v>2014</v>
      </c>
      <c r="C1360" t="s">
        <v>38</v>
      </c>
      <c r="D1360" s="2">
        <v>41760</v>
      </c>
      <c r="E1360" t="s">
        <v>28</v>
      </c>
      <c r="F1360">
        <v>111.8</v>
      </c>
      <c r="G1360" t="str">
        <f>VLOOKUP(Table1_2[[#This Row],[Categories]],Sheet3!$A$1:$B$27,2,FALSE)</f>
        <v>Miscellaneous</v>
      </c>
    </row>
    <row r="1361" spans="1:7" x14ac:dyDescent="0.3">
      <c r="A1361" t="s">
        <v>34</v>
      </c>
      <c r="B1361">
        <v>2014</v>
      </c>
      <c r="C1361" t="s">
        <v>38</v>
      </c>
      <c r="D1361" s="2">
        <v>41760</v>
      </c>
      <c r="E1361" t="s">
        <v>29</v>
      </c>
      <c r="F1361">
        <v>115.8</v>
      </c>
      <c r="G1361" t="str">
        <f>VLOOKUP(Table1_2[[#This Row],[Categories]],Sheet3!$A$1:$B$27,2,FALSE)</f>
        <v>General index</v>
      </c>
    </row>
    <row r="1362" spans="1:7" x14ac:dyDescent="0.3">
      <c r="A1362" t="s">
        <v>30</v>
      </c>
      <c r="B1362">
        <v>2014</v>
      </c>
      <c r="C1362" t="s">
        <v>39</v>
      </c>
      <c r="D1362" s="2">
        <v>41791</v>
      </c>
      <c r="E1362" t="s">
        <v>3</v>
      </c>
      <c r="F1362">
        <v>120.7</v>
      </c>
      <c r="G1362" t="str">
        <f>VLOOKUP(Table1_2[[#This Row],[Categories]],Sheet3!$A$1:$B$27,2,FALSE)</f>
        <v>Food &amp;Beverage</v>
      </c>
    </row>
    <row r="1363" spans="1:7" x14ac:dyDescent="0.3">
      <c r="A1363" t="s">
        <v>30</v>
      </c>
      <c r="B1363">
        <v>2014</v>
      </c>
      <c r="C1363" t="s">
        <v>39</v>
      </c>
      <c r="D1363" s="2">
        <v>41791</v>
      </c>
      <c r="E1363" t="s">
        <v>4</v>
      </c>
      <c r="F1363">
        <v>121.6</v>
      </c>
      <c r="G1363" t="str">
        <f>VLOOKUP(Table1_2[[#This Row],[Categories]],Sheet3!$A$1:$B$27,2,FALSE)</f>
        <v>Food &amp;Beverage</v>
      </c>
    </row>
    <row r="1364" spans="1:7" x14ac:dyDescent="0.3">
      <c r="A1364" t="s">
        <v>30</v>
      </c>
      <c r="B1364">
        <v>2014</v>
      </c>
      <c r="C1364" t="s">
        <v>39</v>
      </c>
      <c r="D1364" s="2">
        <v>41791</v>
      </c>
      <c r="E1364" t="s">
        <v>5</v>
      </c>
      <c r="F1364">
        <v>116.1</v>
      </c>
      <c r="G1364" t="str">
        <f>VLOOKUP(Table1_2[[#This Row],[Categories]],Sheet3!$A$1:$B$27,2,FALSE)</f>
        <v>Food &amp;Beverage</v>
      </c>
    </row>
    <row r="1365" spans="1:7" x14ac:dyDescent="0.3">
      <c r="A1365" t="s">
        <v>30</v>
      </c>
      <c r="B1365">
        <v>2014</v>
      </c>
      <c r="C1365" t="s">
        <v>39</v>
      </c>
      <c r="D1365" s="2">
        <v>41791</v>
      </c>
      <c r="E1365" t="s">
        <v>6</v>
      </c>
      <c r="F1365">
        <v>119.3</v>
      </c>
      <c r="G1365" t="str">
        <f>VLOOKUP(Table1_2[[#This Row],[Categories]],Sheet3!$A$1:$B$27,2,FALSE)</f>
        <v>Food &amp;Beverage</v>
      </c>
    </row>
    <row r="1366" spans="1:7" x14ac:dyDescent="0.3">
      <c r="A1366" t="s">
        <v>30</v>
      </c>
      <c r="B1366">
        <v>2014</v>
      </c>
      <c r="C1366" t="s">
        <v>39</v>
      </c>
      <c r="D1366" s="2">
        <v>41791</v>
      </c>
      <c r="E1366" t="s">
        <v>7</v>
      </c>
      <c r="F1366">
        <v>110.3</v>
      </c>
      <c r="G1366" t="str">
        <f>VLOOKUP(Table1_2[[#This Row],[Categories]],Sheet3!$A$1:$B$27,2,FALSE)</f>
        <v>Food &amp;Beverage</v>
      </c>
    </row>
    <row r="1367" spans="1:7" x14ac:dyDescent="0.3">
      <c r="A1367" t="s">
        <v>30</v>
      </c>
      <c r="B1367">
        <v>2014</v>
      </c>
      <c r="C1367" t="s">
        <v>39</v>
      </c>
      <c r="D1367" s="2">
        <v>41791</v>
      </c>
      <c r="E1367" t="s">
        <v>8</v>
      </c>
      <c r="F1367">
        <v>125.8</v>
      </c>
      <c r="G1367" t="str">
        <f>VLOOKUP(Table1_2[[#This Row],[Categories]],Sheet3!$A$1:$B$27,2,FALSE)</f>
        <v>Food &amp;Beverage</v>
      </c>
    </row>
    <row r="1368" spans="1:7" x14ac:dyDescent="0.3">
      <c r="A1368" t="s">
        <v>30</v>
      </c>
      <c r="B1368">
        <v>2014</v>
      </c>
      <c r="C1368" t="s">
        <v>39</v>
      </c>
      <c r="D1368" s="2">
        <v>41791</v>
      </c>
      <c r="E1368" t="s">
        <v>9</v>
      </c>
      <c r="F1368">
        <v>129.30000000000001</v>
      </c>
      <c r="G1368" t="str">
        <f>VLOOKUP(Table1_2[[#This Row],[Categories]],Sheet3!$A$1:$B$27,2,FALSE)</f>
        <v>Food &amp;Beverage</v>
      </c>
    </row>
    <row r="1369" spans="1:7" x14ac:dyDescent="0.3">
      <c r="A1369" t="s">
        <v>30</v>
      </c>
      <c r="B1369">
        <v>2014</v>
      </c>
      <c r="C1369" t="s">
        <v>39</v>
      </c>
      <c r="D1369" s="2">
        <v>41791</v>
      </c>
      <c r="E1369" t="s">
        <v>10</v>
      </c>
      <c r="F1369">
        <v>112.2</v>
      </c>
      <c r="G1369" t="str">
        <f>VLOOKUP(Table1_2[[#This Row],[Categories]],Sheet3!$A$1:$B$27,2,FALSE)</f>
        <v>Food &amp;Beverage</v>
      </c>
    </row>
    <row r="1370" spans="1:7" x14ac:dyDescent="0.3">
      <c r="A1370" t="s">
        <v>30</v>
      </c>
      <c r="B1370">
        <v>2014</v>
      </c>
      <c r="C1370" t="s">
        <v>39</v>
      </c>
      <c r="D1370" s="2">
        <v>41791</v>
      </c>
      <c r="E1370" t="s">
        <v>11</v>
      </c>
      <c r="F1370">
        <v>103.6</v>
      </c>
      <c r="G1370" t="str">
        <f>VLOOKUP(Table1_2[[#This Row],[Categories]],Sheet3!$A$1:$B$27,2,FALSE)</f>
        <v>Food &amp;Beverage</v>
      </c>
    </row>
    <row r="1371" spans="1:7" x14ac:dyDescent="0.3">
      <c r="A1371" t="s">
        <v>30</v>
      </c>
      <c r="B1371">
        <v>2014</v>
      </c>
      <c r="C1371" t="s">
        <v>39</v>
      </c>
      <c r="D1371" s="2">
        <v>41791</v>
      </c>
      <c r="E1371" t="s">
        <v>12</v>
      </c>
      <c r="F1371">
        <v>112.3</v>
      </c>
      <c r="G1371" t="str">
        <f>VLOOKUP(Table1_2[[#This Row],[Categories]],Sheet3!$A$1:$B$27,2,FALSE)</f>
        <v>Food &amp;Beverage</v>
      </c>
    </row>
    <row r="1372" spans="1:7" x14ac:dyDescent="0.3">
      <c r="A1372" t="s">
        <v>30</v>
      </c>
      <c r="B1372">
        <v>2014</v>
      </c>
      <c r="C1372" t="s">
        <v>39</v>
      </c>
      <c r="D1372" s="2">
        <v>41791</v>
      </c>
      <c r="E1372" t="s">
        <v>13</v>
      </c>
      <c r="F1372">
        <v>114.9</v>
      </c>
      <c r="G1372" t="str">
        <f>VLOOKUP(Table1_2[[#This Row],[Categories]],Sheet3!$A$1:$B$27,2,FALSE)</f>
        <v>Food &amp;Beverage</v>
      </c>
    </row>
    <row r="1373" spans="1:7" x14ac:dyDescent="0.3">
      <c r="A1373" t="s">
        <v>30</v>
      </c>
      <c r="B1373">
        <v>2014</v>
      </c>
      <c r="C1373" t="s">
        <v>39</v>
      </c>
      <c r="D1373" s="2">
        <v>41791</v>
      </c>
      <c r="E1373" t="s">
        <v>14</v>
      </c>
      <c r="F1373">
        <v>120.1</v>
      </c>
      <c r="G1373" t="str">
        <f>VLOOKUP(Table1_2[[#This Row],[Categories]],Sheet3!$A$1:$B$27,2,FALSE)</f>
        <v>Food &amp;Beverage</v>
      </c>
    </row>
    <row r="1374" spans="1:7" x14ac:dyDescent="0.3">
      <c r="A1374" t="s">
        <v>30</v>
      </c>
      <c r="B1374">
        <v>2014</v>
      </c>
      <c r="C1374" t="s">
        <v>39</v>
      </c>
      <c r="D1374" s="2">
        <v>41791</v>
      </c>
      <c r="E1374" t="s">
        <v>15</v>
      </c>
      <c r="F1374">
        <v>119.5</v>
      </c>
      <c r="G1374" t="str">
        <f>VLOOKUP(Table1_2[[#This Row],[Categories]],Sheet3!$A$1:$B$27,2,FALSE)</f>
        <v>Food &amp;Beverage</v>
      </c>
    </row>
    <row r="1375" spans="1:7" x14ac:dyDescent="0.3">
      <c r="A1375" t="s">
        <v>30</v>
      </c>
      <c r="B1375">
        <v>2014</v>
      </c>
      <c r="C1375" t="s">
        <v>39</v>
      </c>
      <c r="D1375" s="2">
        <v>41791</v>
      </c>
      <c r="E1375" t="s">
        <v>16</v>
      </c>
      <c r="F1375">
        <v>117.3</v>
      </c>
      <c r="G1375" t="str">
        <f>VLOOKUP(Table1_2[[#This Row],[Categories]],Sheet3!$A$1:$B$27,2,FALSE)</f>
        <v>Recreation and amusement</v>
      </c>
    </row>
    <row r="1376" spans="1:7" x14ac:dyDescent="0.3">
      <c r="A1376" t="s">
        <v>30</v>
      </c>
      <c r="B1376">
        <v>2014</v>
      </c>
      <c r="C1376" t="s">
        <v>39</v>
      </c>
      <c r="D1376" s="2">
        <v>41791</v>
      </c>
      <c r="E1376" t="s">
        <v>17</v>
      </c>
      <c r="F1376">
        <v>119.7</v>
      </c>
      <c r="G1376" t="str">
        <f>VLOOKUP(Table1_2[[#This Row],[Categories]],Sheet3!$A$1:$B$27,2,FALSE)</f>
        <v>Clothing and footwear</v>
      </c>
    </row>
    <row r="1377" spans="1:7" x14ac:dyDescent="0.3">
      <c r="A1377" t="s">
        <v>30</v>
      </c>
      <c r="B1377">
        <v>2014</v>
      </c>
      <c r="C1377" t="s">
        <v>39</v>
      </c>
      <c r="D1377" s="2">
        <v>41791</v>
      </c>
      <c r="E1377" t="s">
        <v>18</v>
      </c>
      <c r="F1377">
        <v>117.3</v>
      </c>
      <c r="G1377" t="str">
        <f>VLOOKUP(Table1_2[[#This Row],[Categories]],Sheet3!$A$1:$B$27,2,FALSE)</f>
        <v>Clothing and footwear</v>
      </c>
    </row>
    <row r="1378" spans="1:7" x14ac:dyDescent="0.3">
      <c r="A1378" t="s">
        <v>30</v>
      </c>
      <c r="B1378">
        <v>2014</v>
      </c>
      <c r="C1378" t="s">
        <v>39</v>
      </c>
      <c r="D1378" s="2">
        <v>41791</v>
      </c>
      <c r="E1378" t="s">
        <v>19</v>
      </c>
      <c r="F1378">
        <v>119.3</v>
      </c>
      <c r="G1378" t="str">
        <f>VLOOKUP(Table1_2[[#This Row],[Categories]],Sheet3!$A$1:$B$27,2,FALSE)</f>
        <v>Clothing and footwear</v>
      </c>
    </row>
    <row r="1379" spans="1:7" x14ac:dyDescent="0.3">
      <c r="A1379" t="s">
        <v>30</v>
      </c>
      <c r="B1379">
        <v>2014</v>
      </c>
      <c r="C1379" t="s">
        <v>39</v>
      </c>
      <c r="D1379" s="2">
        <v>41791</v>
      </c>
      <c r="E1379" t="s">
        <v>21</v>
      </c>
      <c r="F1379">
        <v>114.4</v>
      </c>
      <c r="G1379" t="str">
        <f>VLOOKUP(Table1_2[[#This Row],[Categories]],Sheet3!$A$1:$B$27,2,FALSE)</f>
        <v>Fuel and light</v>
      </c>
    </row>
    <row r="1380" spans="1:7" x14ac:dyDescent="0.3">
      <c r="A1380" t="s">
        <v>30</v>
      </c>
      <c r="B1380">
        <v>2014</v>
      </c>
      <c r="C1380" t="s">
        <v>39</v>
      </c>
      <c r="D1380" s="2">
        <v>41791</v>
      </c>
      <c r="E1380" t="s">
        <v>22</v>
      </c>
      <c r="F1380">
        <v>114.9</v>
      </c>
      <c r="G1380" t="str">
        <f>VLOOKUP(Table1_2[[#This Row],[Categories]],Sheet3!$A$1:$B$27,2,FALSE)</f>
        <v>Household Items</v>
      </c>
    </row>
    <row r="1381" spans="1:7" x14ac:dyDescent="0.3">
      <c r="A1381" t="s">
        <v>30</v>
      </c>
      <c r="B1381">
        <v>2014</v>
      </c>
      <c r="C1381" t="s">
        <v>39</v>
      </c>
      <c r="D1381" s="2">
        <v>41791</v>
      </c>
      <c r="E1381" t="s">
        <v>23</v>
      </c>
      <c r="F1381">
        <v>112.8</v>
      </c>
      <c r="G1381" t="str">
        <f>VLOOKUP(Table1_2[[#This Row],[Categories]],Sheet3!$A$1:$B$27,2,FALSE)</f>
        <v>Health</v>
      </c>
    </row>
    <row r="1382" spans="1:7" x14ac:dyDescent="0.3">
      <c r="A1382" t="s">
        <v>30</v>
      </c>
      <c r="B1382">
        <v>2014</v>
      </c>
      <c r="C1382" t="s">
        <v>39</v>
      </c>
      <c r="D1382" s="2">
        <v>41791</v>
      </c>
      <c r="E1382" t="s">
        <v>24</v>
      </c>
      <c r="F1382">
        <v>112.2</v>
      </c>
      <c r="G1382" t="str">
        <f>VLOOKUP(Table1_2[[#This Row],[Categories]],Sheet3!$A$1:$B$27,2,FALSE)</f>
        <v>Transport and communication</v>
      </c>
    </row>
    <row r="1383" spans="1:7" x14ac:dyDescent="0.3">
      <c r="A1383" t="s">
        <v>30</v>
      </c>
      <c r="B1383">
        <v>2014</v>
      </c>
      <c r="C1383" t="s">
        <v>39</v>
      </c>
      <c r="D1383" s="2">
        <v>41791</v>
      </c>
      <c r="E1383" t="s">
        <v>25</v>
      </c>
      <c r="F1383">
        <v>111.4</v>
      </c>
      <c r="G1383" t="str">
        <f>VLOOKUP(Table1_2[[#This Row],[Categories]],Sheet3!$A$1:$B$27,2,FALSE)</f>
        <v>Recreation and amusement</v>
      </c>
    </row>
    <row r="1384" spans="1:7" x14ac:dyDescent="0.3">
      <c r="A1384" t="s">
        <v>30</v>
      </c>
      <c r="B1384">
        <v>2014</v>
      </c>
      <c r="C1384" t="s">
        <v>39</v>
      </c>
      <c r="D1384" s="2">
        <v>41791</v>
      </c>
      <c r="E1384" t="s">
        <v>26</v>
      </c>
      <c r="F1384">
        <v>114.3</v>
      </c>
      <c r="G1384" t="str">
        <f>VLOOKUP(Table1_2[[#This Row],[Categories]],Sheet3!$A$1:$B$27,2,FALSE)</f>
        <v>Education</v>
      </c>
    </row>
    <row r="1385" spans="1:7" x14ac:dyDescent="0.3">
      <c r="A1385" t="s">
        <v>30</v>
      </c>
      <c r="B1385">
        <v>2014</v>
      </c>
      <c r="C1385" t="s">
        <v>39</v>
      </c>
      <c r="D1385" s="2">
        <v>41791</v>
      </c>
      <c r="E1385" t="s">
        <v>27</v>
      </c>
      <c r="F1385">
        <v>108</v>
      </c>
      <c r="G1385" t="str">
        <f>VLOOKUP(Table1_2[[#This Row],[Categories]],Sheet3!$A$1:$B$27,2,FALSE)</f>
        <v>Household Items</v>
      </c>
    </row>
    <row r="1386" spans="1:7" x14ac:dyDescent="0.3">
      <c r="A1386" t="s">
        <v>30</v>
      </c>
      <c r="B1386">
        <v>2014</v>
      </c>
      <c r="C1386" t="s">
        <v>39</v>
      </c>
      <c r="D1386" s="2">
        <v>41791</v>
      </c>
      <c r="E1386" t="s">
        <v>28</v>
      </c>
      <c r="F1386">
        <v>112.3</v>
      </c>
      <c r="G1386" t="str">
        <f>VLOOKUP(Table1_2[[#This Row],[Categories]],Sheet3!$A$1:$B$27,2,FALSE)</f>
        <v>Miscellaneous</v>
      </c>
    </row>
    <row r="1387" spans="1:7" x14ac:dyDescent="0.3">
      <c r="A1387" t="s">
        <v>30</v>
      </c>
      <c r="B1387">
        <v>2014</v>
      </c>
      <c r="C1387" t="s">
        <v>39</v>
      </c>
      <c r="D1387" s="2">
        <v>41791</v>
      </c>
      <c r="E1387" t="s">
        <v>29</v>
      </c>
      <c r="F1387">
        <v>117</v>
      </c>
      <c r="G1387" t="str">
        <f>VLOOKUP(Table1_2[[#This Row],[Categories]],Sheet3!$A$1:$B$27,2,FALSE)</f>
        <v>General index</v>
      </c>
    </row>
    <row r="1388" spans="1:7" x14ac:dyDescent="0.3">
      <c r="A1388" t="s">
        <v>33</v>
      </c>
      <c r="B1388">
        <v>2014</v>
      </c>
      <c r="C1388" t="s">
        <v>39</v>
      </c>
      <c r="D1388" s="2">
        <v>41791</v>
      </c>
      <c r="E1388" t="s">
        <v>3</v>
      </c>
      <c r="F1388">
        <v>123.1</v>
      </c>
      <c r="G1388" t="str">
        <f>VLOOKUP(Table1_2[[#This Row],[Categories]],Sheet3!$A$1:$B$27,2,FALSE)</f>
        <v>Food &amp;Beverage</v>
      </c>
    </row>
    <row r="1389" spans="1:7" x14ac:dyDescent="0.3">
      <c r="A1389" t="s">
        <v>33</v>
      </c>
      <c r="B1389">
        <v>2014</v>
      </c>
      <c r="C1389" t="s">
        <v>39</v>
      </c>
      <c r="D1389" s="2">
        <v>41791</v>
      </c>
      <c r="E1389" t="s">
        <v>4</v>
      </c>
      <c r="F1389">
        <v>125.9</v>
      </c>
      <c r="G1389" t="str">
        <f>VLOOKUP(Table1_2[[#This Row],[Categories]],Sheet3!$A$1:$B$27,2,FALSE)</f>
        <v>Food &amp;Beverage</v>
      </c>
    </row>
    <row r="1390" spans="1:7" x14ac:dyDescent="0.3">
      <c r="A1390" t="s">
        <v>33</v>
      </c>
      <c r="B1390">
        <v>2014</v>
      </c>
      <c r="C1390" t="s">
        <v>39</v>
      </c>
      <c r="D1390" s="2">
        <v>41791</v>
      </c>
      <c r="E1390" t="s">
        <v>5</v>
      </c>
      <c r="F1390">
        <v>115.4</v>
      </c>
      <c r="G1390" t="str">
        <f>VLOOKUP(Table1_2[[#This Row],[Categories]],Sheet3!$A$1:$B$27,2,FALSE)</f>
        <v>Food &amp;Beverage</v>
      </c>
    </row>
    <row r="1391" spans="1:7" x14ac:dyDescent="0.3">
      <c r="A1391" t="s">
        <v>33</v>
      </c>
      <c r="B1391">
        <v>2014</v>
      </c>
      <c r="C1391" t="s">
        <v>39</v>
      </c>
      <c r="D1391" s="2">
        <v>41791</v>
      </c>
      <c r="E1391" t="s">
        <v>6</v>
      </c>
      <c r="F1391">
        <v>120.4</v>
      </c>
      <c r="G1391" t="str">
        <f>VLOOKUP(Table1_2[[#This Row],[Categories]],Sheet3!$A$1:$B$27,2,FALSE)</f>
        <v>Food &amp;Beverage</v>
      </c>
    </row>
    <row r="1392" spans="1:7" x14ac:dyDescent="0.3">
      <c r="A1392" t="s">
        <v>33</v>
      </c>
      <c r="B1392">
        <v>2014</v>
      </c>
      <c r="C1392" t="s">
        <v>39</v>
      </c>
      <c r="D1392" s="2">
        <v>41791</v>
      </c>
      <c r="E1392" t="s">
        <v>7</v>
      </c>
      <c r="F1392">
        <v>103.4</v>
      </c>
      <c r="G1392" t="str">
        <f>VLOOKUP(Table1_2[[#This Row],[Categories]],Sheet3!$A$1:$B$27,2,FALSE)</f>
        <v>Food &amp;Beverage</v>
      </c>
    </row>
    <row r="1393" spans="1:7" x14ac:dyDescent="0.3">
      <c r="A1393" t="s">
        <v>33</v>
      </c>
      <c r="B1393">
        <v>2014</v>
      </c>
      <c r="C1393" t="s">
        <v>39</v>
      </c>
      <c r="D1393" s="2">
        <v>41791</v>
      </c>
      <c r="E1393" t="s">
        <v>8</v>
      </c>
      <c r="F1393">
        <v>131.19999999999999</v>
      </c>
      <c r="G1393" t="str">
        <f>VLOOKUP(Table1_2[[#This Row],[Categories]],Sheet3!$A$1:$B$27,2,FALSE)</f>
        <v>Food &amp;Beverage</v>
      </c>
    </row>
    <row r="1394" spans="1:7" x14ac:dyDescent="0.3">
      <c r="A1394" t="s">
        <v>33</v>
      </c>
      <c r="B1394">
        <v>2014</v>
      </c>
      <c r="C1394" t="s">
        <v>39</v>
      </c>
      <c r="D1394" s="2">
        <v>41791</v>
      </c>
      <c r="E1394" t="s">
        <v>9</v>
      </c>
      <c r="F1394">
        <v>137.5</v>
      </c>
      <c r="G1394" t="str">
        <f>VLOOKUP(Table1_2[[#This Row],[Categories]],Sheet3!$A$1:$B$27,2,FALSE)</f>
        <v>Food &amp;Beverage</v>
      </c>
    </row>
    <row r="1395" spans="1:7" x14ac:dyDescent="0.3">
      <c r="A1395" t="s">
        <v>33</v>
      </c>
      <c r="B1395">
        <v>2014</v>
      </c>
      <c r="C1395" t="s">
        <v>39</v>
      </c>
      <c r="D1395" s="2">
        <v>41791</v>
      </c>
      <c r="E1395" t="s">
        <v>10</v>
      </c>
      <c r="F1395">
        <v>112.8</v>
      </c>
      <c r="G1395" t="str">
        <f>VLOOKUP(Table1_2[[#This Row],[Categories]],Sheet3!$A$1:$B$27,2,FALSE)</f>
        <v>Food &amp;Beverage</v>
      </c>
    </row>
    <row r="1396" spans="1:7" x14ac:dyDescent="0.3">
      <c r="A1396" t="s">
        <v>33</v>
      </c>
      <c r="B1396">
        <v>2014</v>
      </c>
      <c r="C1396" t="s">
        <v>39</v>
      </c>
      <c r="D1396" s="2">
        <v>41791</v>
      </c>
      <c r="E1396" t="s">
        <v>11</v>
      </c>
      <c r="F1396">
        <v>101.4</v>
      </c>
      <c r="G1396" t="str">
        <f>VLOOKUP(Table1_2[[#This Row],[Categories]],Sheet3!$A$1:$B$27,2,FALSE)</f>
        <v>Food &amp;Beverage</v>
      </c>
    </row>
    <row r="1397" spans="1:7" x14ac:dyDescent="0.3">
      <c r="A1397" t="s">
        <v>33</v>
      </c>
      <c r="B1397">
        <v>2014</v>
      </c>
      <c r="C1397" t="s">
        <v>39</v>
      </c>
      <c r="D1397" s="2">
        <v>41791</v>
      </c>
      <c r="E1397" t="s">
        <v>12</v>
      </c>
      <c r="F1397">
        <v>118.3</v>
      </c>
      <c r="G1397" t="str">
        <f>VLOOKUP(Table1_2[[#This Row],[Categories]],Sheet3!$A$1:$B$27,2,FALSE)</f>
        <v>Food &amp;Beverage</v>
      </c>
    </row>
    <row r="1398" spans="1:7" x14ac:dyDescent="0.3">
      <c r="A1398" t="s">
        <v>33</v>
      </c>
      <c r="B1398">
        <v>2014</v>
      </c>
      <c r="C1398" t="s">
        <v>39</v>
      </c>
      <c r="D1398" s="2">
        <v>41791</v>
      </c>
      <c r="E1398" t="s">
        <v>13</v>
      </c>
      <c r="F1398">
        <v>113.2</v>
      </c>
      <c r="G1398" t="str">
        <f>VLOOKUP(Table1_2[[#This Row],[Categories]],Sheet3!$A$1:$B$27,2,FALSE)</f>
        <v>Food &amp;Beverage</v>
      </c>
    </row>
    <row r="1399" spans="1:7" x14ac:dyDescent="0.3">
      <c r="A1399" t="s">
        <v>33</v>
      </c>
      <c r="B1399">
        <v>2014</v>
      </c>
      <c r="C1399" t="s">
        <v>39</v>
      </c>
      <c r="D1399" s="2">
        <v>41791</v>
      </c>
      <c r="E1399" t="s">
        <v>14</v>
      </c>
      <c r="F1399">
        <v>122.4</v>
      </c>
      <c r="G1399" t="str">
        <f>VLOOKUP(Table1_2[[#This Row],[Categories]],Sheet3!$A$1:$B$27,2,FALSE)</f>
        <v>Food &amp;Beverage</v>
      </c>
    </row>
    <row r="1400" spans="1:7" x14ac:dyDescent="0.3">
      <c r="A1400" t="s">
        <v>33</v>
      </c>
      <c r="B1400">
        <v>2014</v>
      </c>
      <c r="C1400" t="s">
        <v>39</v>
      </c>
      <c r="D1400" s="2">
        <v>41791</v>
      </c>
      <c r="E1400" t="s">
        <v>15</v>
      </c>
      <c r="F1400">
        <v>122</v>
      </c>
      <c r="G1400" t="str">
        <f>VLOOKUP(Table1_2[[#This Row],[Categories]],Sheet3!$A$1:$B$27,2,FALSE)</f>
        <v>Food &amp;Beverage</v>
      </c>
    </row>
    <row r="1401" spans="1:7" x14ac:dyDescent="0.3">
      <c r="A1401" t="s">
        <v>33</v>
      </c>
      <c r="B1401">
        <v>2014</v>
      </c>
      <c r="C1401" t="s">
        <v>39</v>
      </c>
      <c r="D1401" s="2">
        <v>41791</v>
      </c>
      <c r="E1401" t="s">
        <v>16</v>
      </c>
      <c r="F1401">
        <v>119</v>
      </c>
      <c r="G1401" t="str">
        <f>VLOOKUP(Table1_2[[#This Row],[Categories]],Sheet3!$A$1:$B$27,2,FALSE)</f>
        <v>Recreation and amusement</v>
      </c>
    </row>
    <row r="1402" spans="1:7" x14ac:dyDescent="0.3">
      <c r="A1402" t="s">
        <v>33</v>
      </c>
      <c r="B1402">
        <v>2014</v>
      </c>
      <c r="C1402" t="s">
        <v>39</v>
      </c>
      <c r="D1402" s="2">
        <v>41791</v>
      </c>
      <c r="E1402" t="s">
        <v>17</v>
      </c>
      <c r="F1402">
        <v>117.4</v>
      </c>
      <c r="G1402" t="str">
        <f>VLOOKUP(Table1_2[[#This Row],[Categories]],Sheet3!$A$1:$B$27,2,FALSE)</f>
        <v>Clothing and footwear</v>
      </c>
    </row>
    <row r="1403" spans="1:7" x14ac:dyDescent="0.3">
      <c r="A1403" t="s">
        <v>33</v>
      </c>
      <c r="B1403">
        <v>2014</v>
      </c>
      <c r="C1403" t="s">
        <v>39</v>
      </c>
      <c r="D1403" s="2">
        <v>41791</v>
      </c>
      <c r="E1403" t="s">
        <v>18</v>
      </c>
      <c r="F1403">
        <v>113.2</v>
      </c>
      <c r="G1403" t="str">
        <f>VLOOKUP(Table1_2[[#This Row],[Categories]],Sheet3!$A$1:$B$27,2,FALSE)</f>
        <v>Clothing and footwear</v>
      </c>
    </row>
    <row r="1404" spans="1:7" x14ac:dyDescent="0.3">
      <c r="A1404" t="s">
        <v>33</v>
      </c>
      <c r="B1404">
        <v>2014</v>
      </c>
      <c r="C1404" t="s">
        <v>39</v>
      </c>
      <c r="D1404" s="2">
        <v>41791</v>
      </c>
      <c r="E1404" t="s">
        <v>19</v>
      </c>
      <c r="F1404">
        <v>116.7</v>
      </c>
      <c r="G1404" t="str">
        <f>VLOOKUP(Table1_2[[#This Row],[Categories]],Sheet3!$A$1:$B$27,2,FALSE)</f>
        <v>Clothing and footwear</v>
      </c>
    </row>
    <row r="1405" spans="1:7" x14ac:dyDescent="0.3">
      <c r="A1405" t="s">
        <v>33</v>
      </c>
      <c r="B1405">
        <v>2014</v>
      </c>
      <c r="C1405" t="s">
        <v>39</v>
      </c>
      <c r="D1405" s="2">
        <v>41791</v>
      </c>
      <c r="E1405" t="s">
        <v>20</v>
      </c>
      <c r="F1405">
        <v>113.9</v>
      </c>
      <c r="G1405" t="str">
        <f>VLOOKUP(Table1_2[[#This Row],[Categories]],Sheet3!$A$1:$B$27,2,FALSE)</f>
        <v>Housing</v>
      </c>
    </row>
    <row r="1406" spans="1:7" x14ac:dyDescent="0.3">
      <c r="A1406" t="s">
        <v>33</v>
      </c>
      <c r="B1406">
        <v>2014</v>
      </c>
      <c r="C1406" t="s">
        <v>39</v>
      </c>
      <c r="D1406" s="2">
        <v>41791</v>
      </c>
      <c r="E1406" t="s">
        <v>21</v>
      </c>
      <c r="F1406">
        <v>111.2</v>
      </c>
      <c r="G1406" t="str">
        <f>VLOOKUP(Table1_2[[#This Row],[Categories]],Sheet3!$A$1:$B$27,2,FALSE)</f>
        <v>Fuel and light</v>
      </c>
    </row>
    <row r="1407" spans="1:7" x14ac:dyDescent="0.3">
      <c r="A1407" t="s">
        <v>33</v>
      </c>
      <c r="B1407">
        <v>2014</v>
      </c>
      <c r="C1407" t="s">
        <v>39</v>
      </c>
      <c r="D1407" s="2">
        <v>41791</v>
      </c>
      <c r="E1407" t="s">
        <v>22</v>
      </c>
      <c r="F1407">
        <v>114.3</v>
      </c>
      <c r="G1407" t="str">
        <f>VLOOKUP(Table1_2[[#This Row],[Categories]],Sheet3!$A$1:$B$27,2,FALSE)</f>
        <v>Household Items</v>
      </c>
    </row>
    <row r="1408" spans="1:7" x14ac:dyDescent="0.3">
      <c r="A1408" t="s">
        <v>33</v>
      </c>
      <c r="B1408">
        <v>2014</v>
      </c>
      <c r="C1408" t="s">
        <v>39</v>
      </c>
      <c r="D1408" s="2">
        <v>41791</v>
      </c>
      <c r="E1408" t="s">
        <v>23</v>
      </c>
      <c r="F1408">
        <v>111.4</v>
      </c>
      <c r="G1408" t="str">
        <f>VLOOKUP(Table1_2[[#This Row],[Categories]],Sheet3!$A$1:$B$27,2,FALSE)</f>
        <v>Health</v>
      </c>
    </row>
    <row r="1409" spans="1:7" x14ac:dyDescent="0.3">
      <c r="A1409" t="s">
        <v>33</v>
      </c>
      <c r="B1409">
        <v>2014</v>
      </c>
      <c r="C1409" t="s">
        <v>39</v>
      </c>
      <c r="D1409" s="2">
        <v>41791</v>
      </c>
      <c r="E1409" t="s">
        <v>24</v>
      </c>
      <c r="F1409">
        <v>111.5</v>
      </c>
      <c r="G1409" t="str">
        <f>VLOOKUP(Table1_2[[#This Row],[Categories]],Sheet3!$A$1:$B$27,2,FALSE)</f>
        <v>Transport and communication</v>
      </c>
    </row>
    <row r="1410" spans="1:7" x14ac:dyDescent="0.3">
      <c r="A1410" t="s">
        <v>33</v>
      </c>
      <c r="B1410">
        <v>2014</v>
      </c>
      <c r="C1410" t="s">
        <v>39</v>
      </c>
      <c r="D1410" s="2">
        <v>41791</v>
      </c>
      <c r="E1410" t="s">
        <v>25</v>
      </c>
      <c r="F1410">
        <v>111.8</v>
      </c>
      <c r="G1410" t="str">
        <f>VLOOKUP(Table1_2[[#This Row],[Categories]],Sheet3!$A$1:$B$27,2,FALSE)</f>
        <v>Recreation and amusement</v>
      </c>
    </row>
    <row r="1411" spans="1:7" x14ac:dyDescent="0.3">
      <c r="A1411" t="s">
        <v>33</v>
      </c>
      <c r="B1411">
        <v>2014</v>
      </c>
      <c r="C1411" t="s">
        <v>39</v>
      </c>
      <c r="D1411" s="2">
        <v>41791</v>
      </c>
      <c r="E1411" t="s">
        <v>26</v>
      </c>
      <c r="F1411">
        <v>115.1</v>
      </c>
      <c r="G1411" t="str">
        <f>VLOOKUP(Table1_2[[#This Row],[Categories]],Sheet3!$A$1:$B$27,2,FALSE)</f>
        <v>Education</v>
      </c>
    </row>
    <row r="1412" spans="1:7" x14ac:dyDescent="0.3">
      <c r="A1412" t="s">
        <v>33</v>
      </c>
      <c r="B1412">
        <v>2014</v>
      </c>
      <c r="C1412" t="s">
        <v>39</v>
      </c>
      <c r="D1412" s="2">
        <v>41791</v>
      </c>
      <c r="E1412" t="s">
        <v>27</v>
      </c>
      <c r="F1412">
        <v>108.7</v>
      </c>
      <c r="G1412" t="str">
        <f>VLOOKUP(Table1_2[[#This Row],[Categories]],Sheet3!$A$1:$B$27,2,FALSE)</f>
        <v>Household Items</v>
      </c>
    </row>
    <row r="1413" spans="1:7" x14ac:dyDescent="0.3">
      <c r="A1413" t="s">
        <v>33</v>
      </c>
      <c r="B1413">
        <v>2014</v>
      </c>
      <c r="C1413" t="s">
        <v>39</v>
      </c>
      <c r="D1413" s="2">
        <v>41791</v>
      </c>
      <c r="E1413" t="s">
        <v>28</v>
      </c>
      <c r="F1413">
        <v>112.2</v>
      </c>
      <c r="G1413" t="str">
        <f>VLOOKUP(Table1_2[[#This Row],[Categories]],Sheet3!$A$1:$B$27,2,FALSE)</f>
        <v>Miscellaneous</v>
      </c>
    </row>
    <row r="1414" spans="1:7" x14ac:dyDescent="0.3">
      <c r="A1414" t="s">
        <v>33</v>
      </c>
      <c r="B1414">
        <v>2014</v>
      </c>
      <c r="C1414" t="s">
        <v>39</v>
      </c>
      <c r="D1414" s="2">
        <v>41791</v>
      </c>
      <c r="E1414" t="s">
        <v>29</v>
      </c>
      <c r="F1414">
        <v>116.4</v>
      </c>
      <c r="G1414" t="str">
        <f>VLOOKUP(Table1_2[[#This Row],[Categories]],Sheet3!$A$1:$B$27,2,FALSE)</f>
        <v>General index</v>
      </c>
    </row>
    <row r="1415" spans="1:7" x14ac:dyDescent="0.3">
      <c r="A1415" t="s">
        <v>34</v>
      </c>
      <c r="B1415">
        <v>2014</v>
      </c>
      <c r="C1415" t="s">
        <v>39</v>
      </c>
      <c r="D1415" s="2">
        <v>41791</v>
      </c>
      <c r="E1415" t="s">
        <v>3</v>
      </c>
      <c r="F1415">
        <v>121.5</v>
      </c>
      <c r="G1415" t="str">
        <f>VLOOKUP(Table1_2[[#This Row],[Categories]],Sheet3!$A$1:$B$27,2,FALSE)</f>
        <v>Food &amp;Beverage</v>
      </c>
    </row>
    <row r="1416" spans="1:7" x14ac:dyDescent="0.3">
      <c r="A1416" t="s">
        <v>34</v>
      </c>
      <c r="B1416">
        <v>2014</v>
      </c>
      <c r="C1416" t="s">
        <v>39</v>
      </c>
      <c r="D1416" s="2">
        <v>41791</v>
      </c>
      <c r="E1416" t="s">
        <v>4</v>
      </c>
      <c r="F1416">
        <v>123.1</v>
      </c>
      <c r="G1416" t="str">
        <f>VLOOKUP(Table1_2[[#This Row],[Categories]],Sheet3!$A$1:$B$27,2,FALSE)</f>
        <v>Food &amp;Beverage</v>
      </c>
    </row>
    <row r="1417" spans="1:7" x14ac:dyDescent="0.3">
      <c r="A1417" t="s">
        <v>34</v>
      </c>
      <c r="B1417">
        <v>2014</v>
      </c>
      <c r="C1417" t="s">
        <v>39</v>
      </c>
      <c r="D1417" s="2">
        <v>41791</v>
      </c>
      <c r="E1417" t="s">
        <v>5</v>
      </c>
      <c r="F1417">
        <v>115.8</v>
      </c>
      <c r="G1417" t="str">
        <f>VLOOKUP(Table1_2[[#This Row],[Categories]],Sheet3!$A$1:$B$27,2,FALSE)</f>
        <v>Food &amp;Beverage</v>
      </c>
    </row>
    <row r="1418" spans="1:7" x14ac:dyDescent="0.3">
      <c r="A1418" t="s">
        <v>34</v>
      </c>
      <c r="B1418">
        <v>2014</v>
      </c>
      <c r="C1418" t="s">
        <v>39</v>
      </c>
      <c r="D1418" s="2">
        <v>41791</v>
      </c>
      <c r="E1418" t="s">
        <v>6</v>
      </c>
      <c r="F1418">
        <v>119.7</v>
      </c>
      <c r="G1418" t="str">
        <f>VLOOKUP(Table1_2[[#This Row],[Categories]],Sheet3!$A$1:$B$27,2,FALSE)</f>
        <v>Food &amp;Beverage</v>
      </c>
    </row>
    <row r="1419" spans="1:7" x14ac:dyDescent="0.3">
      <c r="A1419" t="s">
        <v>34</v>
      </c>
      <c r="B1419">
        <v>2014</v>
      </c>
      <c r="C1419" t="s">
        <v>39</v>
      </c>
      <c r="D1419" s="2">
        <v>41791</v>
      </c>
      <c r="E1419" t="s">
        <v>7</v>
      </c>
      <c r="F1419">
        <v>107.8</v>
      </c>
      <c r="G1419" t="str">
        <f>VLOOKUP(Table1_2[[#This Row],[Categories]],Sheet3!$A$1:$B$27,2,FALSE)</f>
        <v>Food &amp;Beverage</v>
      </c>
    </row>
    <row r="1420" spans="1:7" x14ac:dyDescent="0.3">
      <c r="A1420" t="s">
        <v>34</v>
      </c>
      <c r="B1420">
        <v>2014</v>
      </c>
      <c r="C1420" t="s">
        <v>39</v>
      </c>
      <c r="D1420" s="2">
        <v>41791</v>
      </c>
      <c r="E1420" t="s">
        <v>8</v>
      </c>
      <c r="F1420">
        <v>128.30000000000001</v>
      </c>
      <c r="G1420" t="str">
        <f>VLOOKUP(Table1_2[[#This Row],[Categories]],Sheet3!$A$1:$B$27,2,FALSE)</f>
        <v>Food &amp;Beverage</v>
      </c>
    </row>
    <row r="1421" spans="1:7" x14ac:dyDescent="0.3">
      <c r="A1421" t="s">
        <v>34</v>
      </c>
      <c r="B1421">
        <v>2014</v>
      </c>
      <c r="C1421" t="s">
        <v>39</v>
      </c>
      <c r="D1421" s="2">
        <v>41791</v>
      </c>
      <c r="E1421" t="s">
        <v>9</v>
      </c>
      <c r="F1421">
        <v>132.1</v>
      </c>
      <c r="G1421" t="str">
        <f>VLOOKUP(Table1_2[[#This Row],[Categories]],Sheet3!$A$1:$B$27,2,FALSE)</f>
        <v>Food &amp;Beverage</v>
      </c>
    </row>
    <row r="1422" spans="1:7" x14ac:dyDescent="0.3">
      <c r="A1422" t="s">
        <v>34</v>
      </c>
      <c r="B1422">
        <v>2014</v>
      </c>
      <c r="C1422" t="s">
        <v>39</v>
      </c>
      <c r="D1422" s="2">
        <v>41791</v>
      </c>
      <c r="E1422" t="s">
        <v>10</v>
      </c>
      <c r="F1422">
        <v>112.4</v>
      </c>
      <c r="G1422" t="str">
        <f>VLOOKUP(Table1_2[[#This Row],[Categories]],Sheet3!$A$1:$B$27,2,FALSE)</f>
        <v>Food &amp;Beverage</v>
      </c>
    </row>
    <row r="1423" spans="1:7" x14ac:dyDescent="0.3">
      <c r="A1423" t="s">
        <v>34</v>
      </c>
      <c r="B1423">
        <v>2014</v>
      </c>
      <c r="C1423" t="s">
        <v>39</v>
      </c>
      <c r="D1423" s="2">
        <v>41791</v>
      </c>
      <c r="E1423" t="s">
        <v>11</v>
      </c>
      <c r="F1423">
        <v>102.9</v>
      </c>
      <c r="G1423" t="str">
        <f>VLOOKUP(Table1_2[[#This Row],[Categories]],Sheet3!$A$1:$B$27,2,FALSE)</f>
        <v>Food &amp;Beverage</v>
      </c>
    </row>
    <row r="1424" spans="1:7" x14ac:dyDescent="0.3">
      <c r="A1424" t="s">
        <v>34</v>
      </c>
      <c r="B1424">
        <v>2014</v>
      </c>
      <c r="C1424" t="s">
        <v>39</v>
      </c>
      <c r="D1424" s="2">
        <v>41791</v>
      </c>
      <c r="E1424" t="s">
        <v>12</v>
      </c>
      <c r="F1424">
        <v>114.3</v>
      </c>
      <c r="G1424" t="str">
        <f>VLOOKUP(Table1_2[[#This Row],[Categories]],Sheet3!$A$1:$B$27,2,FALSE)</f>
        <v>Food &amp;Beverage</v>
      </c>
    </row>
    <row r="1425" spans="1:7" x14ac:dyDescent="0.3">
      <c r="A1425" t="s">
        <v>34</v>
      </c>
      <c r="B1425">
        <v>2014</v>
      </c>
      <c r="C1425" t="s">
        <v>39</v>
      </c>
      <c r="D1425" s="2">
        <v>41791</v>
      </c>
      <c r="E1425" t="s">
        <v>13</v>
      </c>
      <c r="F1425">
        <v>114.2</v>
      </c>
      <c r="G1425" t="str">
        <f>VLOOKUP(Table1_2[[#This Row],[Categories]],Sheet3!$A$1:$B$27,2,FALSE)</f>
        <v>Food &amp;Beverage</v>
      </c>
    </row>
    <row r="1426" spans="1:7" x14ac:dyDescent="0.3">
      <c r="A1426" t="s">
        <v>34</v>
      </c>
      <c r="B1426">
        <v>2014</v>
      </c>
      <c r="C1426" t="s">
        <v>39</v>
      </c>
      <c r="D1426" s="2">
        <v>41791</v>
      </c>
      <c r="E1426" t="s">
        <v>14</v>
      </c>
      <c r="F1426">
        <v>121.2</v>
      </c>
      <c r="G1426" t="str">
        <f>VLOOKUP(Table1_2[[#This Row],[Categories]],Sheet3!$A$1:$B$27,2,FALSE)</f>
        <v>Food &amp;Beverage</v>
      </c>
    </row>
    <row r="1427" spans="1:7" x14ac:dyDescent="0.3">
      <c r="A1427" t="s">
        <v>34</v>
      </c>
      <c r="B1427">
        <v>2014</v>
      </c>
      <c r="C1427" t="s">
        <v>39</v>
      </c>
      <c r="D1427" s="2">
        <v>41791</v>
      </c>
      <c r="E1427" t="s">
        <v>15</v>
      </c>
      <c r="F1427">
        <v>120.4</v>
      </c>
      <c r="G1427" t="str">
        <f>VLOOKUP(Table1_2[[#This Row],[Categories]],Sheet3!$A$1:$B$27,2,FALSE)</f>
        <v>Food &amp;Beverage</v>
      </c>
    </row>
    <row r="1428" spans="1:7" x14ac:dyDescent="0.3">
      <c r="A1428" t="s">
        <v>34</v>
      </c>
      <c r="B1428">
        <v>2014</v>
      </c>
      <c r="C1428" t="s">
        <v>39</v>
      </c>
      <c r="D1428" s="2">
        <v>41791</v>
      </c>
      <c r="E1428" t="s">
        <v>16</v>
      </c>
      <c r="F1428">
        <v>117.8</v>
      </c>
      <c r="G1428" t="str">
        <f>VLOOKUP(Table1_2[[#This Row],[Categories]],Sheet3!$A$1:$B$27,2,FALSE)</f>
        <v>Recreation and amusement</v>
      </c>
    </row>
    <row r="1429" spans="1:7" x14ac:dyDescent="0.3">
      <c r="A1429" t="s">
        <v>34</v>
      </c>
      <c r="B1429">
        <v>2014</v>
      </c>
      <c r="C1429" t="s">
        <v>39</v>
      </c>
      <c r="D1429" s="2">
        <v>41791</v>
      </c>
      <c r="E1429" t="s">
        <v>17</v>
      </c>
      <c r="F1429">
        <v>118.8</v>
      </c>
      <c r="G1429" t="str">
        <f>VLOOKUP(Table1_2[[#This Row],[Categories]],Sheet3!$A$1:$B$27,2,FALSE)</f>
        <v>Clothing and footwear</v>
      </c>
    </row>
    <row r="1430" spans="1:7" x14ac:dyDescent="0.3">
      <c r="A1430" t="s">
        <v>34</v>
      </c>
      <c r="B1430">
        <v>2014</v>
      </c>
      <c r="C1430" t="s">
        <v>39</v>
      </c>
      <c r="D1430" s="2">
        <v>41791</v>
      </c>
      <c r="E1430" t="s">
        <v>18</v>
      </c>
      <c r="F1430">
        <v>115.6</v>
      </c>
      <c r="G1430" t="str">
        <f>VLOOKUP(Table1_2[[#This Row],[Categories]],Sheet3!$A$1:$B$27,2,FALSE)</f>
        <v>Clothing and footwear</v>
      </c>
    </row>
    <row r="1431" spans="1:7" x14ac:dyDescent="0.3">
      <c r="A1431" t="s">
        <v>34</v>
      </c>
      <c r="B1431">
        <v>2014</v>
      </c>
      <c r="C1431" t="s">
        <v>39</v>
      </c>
      <c r="D1431" s="2">
        <v>41791</v>
      </c>
      <c r="E1431" t="s">
        <v>19</v>
      </c>
      <c r="F1431">
        <v>118.3</v>
      </c>
      <c r="G1431" t="str">
        <f>VLOOKUP(Table1_2[[#This Row],[Categories]],Sheet3!$A$1:$B$27,2,FALSE)</f>
        <v>Clothing and footwear</v>
      </c>
    </row>
    <row r="1432" spans="1:7" x14ac:dyDescent="0.3">
      <c r="A1432" t="s">
        <v>34</v>
      </c>
      <c r="B1432">
        <v>2014</v>
      </c>
      <c r="C1432" t="s">
        <v>39</v>
      </c>
      <c r="D1432" s="2">
        <v>41791</v>
      </c>
      <c r="E1432" t="s">
        <v>20</v>
      </c>
      <c r="F1432">
        <v>113.9</v>
      </c>
      <c r="G1432" t="str">
        <f>VLOOKUP(Table1_2[[#This Row],[Categories]],Sheet3!$A$1:$B$27,2,FALSE)</f>
        <v>Housing</v>
      </c>
    </row>
    <row r="1433" spans="1:7" x14ac:dyDescent="0.3">
      <c r="A1433" t="s">
        <v>34</v>
      </c>
      <c r="B1433">
        <v>2014</v>
      </c>
      <c r="C1433" t="s">
        <v>39</v>
      </c>
      <c r="D1433" s="2">
        <v>41791</v>
      </c>
      <c r="E1433" t="s">
        <v>21</v>
      </c>
      <c r="F1433">
        <v>113.2</v>
      </c>
      <c r="G1433" t="str">
        <f>VLOOKUP(Table1_2[[#This Row],[Categories]],Sheet3!$A$1:$B$27,2,FALSE)</f>
        <v>Fuel and light</v>
      </c>
    </row>
    <row r="1434" spans="1:7" x14ac:dyDescent="0.3">
      <c r="A1434" t="s">
        <v>34</v>
      </c>
      <c r="B1434">
        <v>2014</v>
      </c>
      <c r="C1434" t="s">
        <v>39</v>
      </c>
      <c r="D1434" s="2">
        <v>41791</v>
      </c>
      <c r="E1434" t="s">
        <v>22</v>
      </c>
      <c r="F1434">
        <v>114.6</v>
      </c>
      <c r="G1434" t="str">
        <f>VLOOKUP(Table1_2[[#This Row],[Categories]],Sheet3!$A$1:$B$27,2,FALSE)</f>
        <v>Household Items</v>
      </c>
    </row>
    <row r="1435" spans="1:7" x14ac:dyDescent="0.3">
      <c r="A1435" t="s">
        <v>34</v>
      </c>
      <c r="B1435">
        <v>2014</v>
      </c>
      <c r="C1435" t="s">
        <v>39</v>
      </c>
      <c r="D1435" s="2">
        <v>41791</v>
      </c>
      <c r="E1435" t="s">
        <v>23</v>
      </c>
      <c r="F1435">
        <v>112.3</v>
      </c>
      <c r="G1435" t="str">
        <f>VLOOKUP(Table1_2[[#This Row],[Categories]],Sheet3!$A$1:$B$27,2,FALSE)</f>
        <v>Health</v>
      </c>
    </row>
    <row r="1436" spans="1:7" x14ac:dyDescent="0.3">
      <c r="A1436" t="s">
        <v>34</v>
      </c>
      <c r="B1436">
        <v>2014</v>
      </c>
      <c r="C1436" t="s">
        <v>39</v>
      </c>
      <c r="D1436" s="2">
        <v>41791</v>
      </c>
      <c r="E1436" t="s">
        <v>24</v>
      </c>
      <c r="F1436">
        <v>111.8</v>
      </c>
      <c r="G1436" t="str">
        <f>VLOOKUP(Table1_2[[#This Row],[Categories]],Sheet3!$A$1:$B$27,2,FALSE)</f>
        <v>Transport and communication</v>
      </c>
    </row>
    <row r="1437" spans="1:7" x14ac:dyDescent="0.3">
      <c r="A1437" t="s">
        <v>34</v>
      </c>
      <c r="B1437">
        <v>2014</v>
      </c>
      <c r="C1437" t="s">
        <v>39</v>
      </c>
      <c r="D1437" s="2">
        <v>41791</v>
      </c>
      <c r="E1437" t="s">
        <v>25</v>
      </c>
      <c r="F1437">
        <v>111.6</v>
      </c>
      <c r="G1437" t="str">
        <f>VLOOKUP(Table1_2[[#This Row],[Categories]],Sheet3!$A$1:$B$27,2,FALSE)</f>
        <v>Recreation and amusement</v>
      </c>
    </row>
    <row r="1438" spans="1:7" x14ac:dyDescent="0.3">
      <c r="A1438" t="s">
        <v>34</v>
      </c>
      <c r="B1438">
        <v>2014</v>
      </c>
      <c r="C1438" t="s">
        <v>39</v>
      </c>
      <c r="D1438" s="2">
        <v>41791</v>
      </c>
      <c r="E1438" t="s">
        <v>26</v>
      </c>
      <c r="F1438">
        <v>114.8</v>
      </c>
      <c r="G1438" t="str">
        <f>VLOOKUP(Table1_2[[#This Row],[Categories]],Sheet3!$A$1:$B$27,2,FALSE)</f>
        <v>Education</v>
      </c>
    </row>
    <row r="1439" spans="1:7" x14ac:dyDescent="0.3">
      <c r="A1439" t="s">
        <v>34</v>
      </c>
      <c r="B1439">
        <v>2014</v>
      </c>
      <c r="C1439" t="s">
        <v>39</v>
      </c>
      <c r="D1439" s="2">
        <v>41791</v>
      </c>
      <c r="E1439" t="s">
        <v>27</v>
      </c>
      <c r="F1439">
        <v>108.3</v>
      </c>
      <c r="G1439" t="str">
        <f>VLOOKUP(Table1_2[[#This Row],[Categories]],Sheet3!$A$1:$B$27,2,FALSE)</f>
        <v>Household Items</v>
      </c>
    </row>
    <row r="1440" spans="1:7" x14ac:dyDescent="0.3">
      <c r="A1440" t="s">
        <v>34</v>
      </c>
      <c r="B1440">
        <v>2014</v>
      </c>
      <c r="C1440" t="s">
        <v>39</v>
      </c>
      <c r="D1440" s="2">
        <v>41791</v>
      </c>
      <c r="E1440" t="s">
        <v>28</v>
      </c>
      <c r="F1440">
        <v>112.3</v>
      </c>
      <c r="G1440" t="str">
        <f>VLOOKUP(Table1_2[[#This Row],[Categories]],Sheet3!$A$1:$B$27,2,FALSE)</f>
        <v>Miscellaneous</v>
      </c>
    </row>
    <row r="1441" spans="1:7" x14ac:dyDescent="0.3">
      <c r="A1441" t="s">
        <v>34</v>
      </c>
      <c r="B1441">
        <v>2014</v>
      </c>
      <c r="C1441" t="s">
        <v>39</v>
      </c>
      <c r="D1441" s="2">
        <v>41791</v>
      </c>
      <c r="E1441" t="s">
        <v>29</v>
      </c>
      <c r="F1441">
        <v>116.7</v>
      </c>
      <c r="G1441" t="str">
        <f>VLOOKUP(Table1_2[[#This Row],[Categories]],Sheet3!$A$1:$B$27,2,FALSE)</f>
        <v>General index</v>
      </c>
    </row>
    <row r="1442" spans="1:7" x14ac:dyDescent="0.3">
      <c r="A1442" t="s">
        <v>30</v>
      </c>
      <c r="B1442">
        <v>2014</v>
      </c>
      <c r="C1442" t="s">
        <v>40</v>
      </c>
      <c r="D1442" s="2">
        <v>41821</v>
      </c>
      <c r="E1442" t="s">
        <v>3</v>
      </c>
      <c r="F1442">
        <v>121.7</v>
      </c>
      <c r="G1442" t="str">
        <f>VLOOKUP(Table1_2[[#This Row],[Categories]],Sheet3!$A$1:$B$27,2,FALSE)</f>
        <v>Food &amp;Beverage</v>
      </c>
    </row>
    <row r="1443" spans="1:7" x14ac:dyDescent="0.3">
      <c r="A1443" t="s">
        <v>30</v>
      </c>
      <c r="B1443">
        <v>2014</v>
      </c>
      <c r="C1443" t="s">
        <v>40</v>
      </c>
      <c r="D1443" s="2">
        <v>41821</v>
      </c>
      <c r="E1443" t="s">
        <v>4</v>
      </c>
      <c r="F1443">
        <v>122.5</v>
      </c>
      <c r="G1443" t="str">
        <f>VLOOKUP(Table1_2[[#This Row],[Categories]],Sheet3!$A$1:$B$27,2,FALSE)</f>
        <v>Food &amp;Beverage</v>
      </c>
    </row>
    <row r="1444" spans="1:7" x14ac:dyDescent="0.3">
      <c r="A1444" t="s">
        <v>30</v>
      </c>
      <c r="B1444">
        <v>2014</v>
      </c>
      <c r="C1444" t="s">
        <v>40</v>
      </c>
      <c r="D1444" s="2">
        <v>41821</v>
      </c>
      <c r="E1444" t="s">
        <v>5</v>
      </c>
      <c r="F1444">
        <v>117.7</v>
      </c>
      <c r="G1444" t="str">
        <f>VLOOKUP(Table1_2[[#This Row],[Categories]],Sheet3!$A$1:$B$27,2,FALSE)</f>
        <v>Food &amp;Beverage</v>
      </c>
    </row>
    <row r="1445" spans="1:7" x14ac:dyDescent="0.3">
      <c r="A1445" t="s">
        <v>30</v>
      </c>
      <c r="B1445">
        <v>2014</v>
      </c>
      <c r="C1445" t="s">
        <v>40</v>
      </c>
      <c r="D1445" s="2">
        <v>41821</v>
      </c>
      <c r="E1445" t="s">
        <v>6</v>
      </c>
      <c r="F1445">
        <v>120.6</v>
      </c>
      <c r="G1445" t="str">
        <f>VLOOKUP(Table1_2[[#This Row],[Categories]],Sheet3!$A$1:$B$27,2,FALSE)</f>
        <v>Food &amp;Beverage</v>
      </c>
    </row>
    <row r="1446" spans="1:7" x14ac:dyDescent="0.3">
      <c r="A1446" t="s">
        <v>30</v>
      </c>
      <c r="B1446">
        <v>2014</v>
      </c>
      <c r="C1446" t="s">
        <v>40</v>
      </c>
      <c r="D1446" s="2">
        <v>41821</v>
      </c>
      <c r="E1446" t="s">
        <v>7</v>
      </c>
      <c r="F1446">
        <v>110.4</v>
      </c>
      <c r="G1446" t="str">
        <f>VLOOKUP(Table1_2[[#This Row],[Categories]],Sheet3!$A$1:$B$27,2,FALSE)</f>
        <v>Food &amp;Beverage</v>
      </c>
    </row>
    <row r="1447" spans="1:7" x14ac:dyDescent="0.3">
      <c r="A1447" t="s">
        <v>30</v>
      </c>
      <c r="B1447">
        <v>2014</v>
      </c>
      <c r="C1447" t="s">
        <v>40</v>
      </c>
      <c r="D1447" s="2">
        <v>41821</v>
      </c>
      <c r="E1447" t="s">
        <v>8</v>
      </c>
      <c r="F1447">
        <v>129.1</v>
      </c>
      <c r="G1447" t="str">
        <f>VLOOKUP(Table1_2[[#This Row],[Categories]],Sheet3!$A$1:$B$27,2,FALSE)</f>
        <v>Food &amp;Beverage</v>
      </c>
    </row>
    <row r="1448" spans="1:7" x14ac:dyDescent="0.3">
      <c r="A1448" t="s">
        <v>30</v>
      </c>
      <c r="B1448">
        <v>2014</v>
      </c>
      <c r="C1448" t="s">
        <v>40</v>
      </c>
      <c r="D1448" s="2">
        <v>41821</v>
      </c>
      <c r="E1448" t="s">
        <v>9</v>
      </c>
      <c r="F1448">
        <v>150.1</v>
      </c>
      <c r="G1448" t="str">
        <f>VLOOKUP(Table1_2[[#This Row],[Categories]],Sheet3!$A$1:$B$27,2,FALSE)</f>
        <v>Food &amp;Beverage</v>
      </c>
    </row>
    <row r="1449" spans="1:7" x14ac:dyDescent="0.3">
      <c r="A1449" t="s">
        <v>30</v>
      </c>
      <c r="B1449">
        <v>2014</v>
      </c>
      <c r="C1449" t="s">
        <v>40</v>
      </c>
      <c r="D1449" s="2">
        <v>41821</v>
      </c>
      <c r="E1449" t="s">
        <v>10</v>
      </c>
      <c r="F1449">
        <v>113.2</v>
      </c>
      <c r="G1449" t="str">
        <f>VLOOKUP(Table1_2[[#This Row],[Categories]],Sheet3!$A$1:$B$27,2,FALSE)</f>
        <v>Food &amp;Beverage</v>
      </c>
    </row>
    <row r="1450" spans="1:7" x14ac:dyDescent="0.3">
      <c r="A1450" t="s">
        <v>30</v>
      </c>
      <c r="B1450">
        <v>2014</v>
      </c>
      <c r="C1450" t="s">
        <v>40</v>
      </c>
      <c r="D1450" s="2">
        <v>41821</v>
      </c>
      <c r="E1450" t="s">
        <v>11</v>
      </c>
      <c r="F1450">
        <v>104.8</v>
      </c>
      <c r="G1450" t="str">
        <f>VLOOKUP(Table1_2[[#This Row],[Categories]],Sheet3!$A$1:$B$27,2,FALSE)</f>
        <v>Food &amp;Beverage</v>
      </c>
    </row>
    <row r="1451" spans="1:7" x14ac:dyDescent="0.3">
      <c r="A1451" t="s">
        <v>30</v>
      </c>
      <c r="B1451">
        <v>2014</v>
      </c>
      <c r="C1451" t="s">
        <v>40</v>
      </c>
      <c r="D1451" s="2">
        <v>41821</v>
      </c>
      <c r="E1451" t="s">
        <v>12</v>
      </c>
      <c r="F1451">
        <v>113.3</v>
      </c>
      <c r="G1451" t="str">
        <f>VLOOKUP(Table1_2[[#This Row],[Categories]],Sheet3!$A$1:$B$27,2,FALSE)</f>
        <v>Food &amp;Beverage</v>
      </c>
    </row>
    <row r="1452" spans="1:7" x14ac:dyDescent="0.3">
      <c r="A1452" t="s">
        <v>30</v>
      </c>
      <c r="B1452">
        <v>2014</v>
      </c>
      <c r="C1452" t="s">
        <v>40</v>
      </c>
      <c r="D1452" s="2">
        <v>41821</v>
      </c>
      <c r="E1452" t="s">
        <v>13</v>
      </c>
      <c r="F1452">
        <v>115.6</v>
      </c>
      <c r="G1452" t="str">
        <f>VLOOKUP(Table1_2[[#This Row],[Categories]],Sheet3!$A$1:$B$27,2,FALSE)</f>
        <v>Food &amp;Beverage</v>
      </c>
    </row>
    <row r="1453" spans="1:7" x14ac:dyDescent="0.3">
      <c r="A1453" t="s">
        <v>30</v>
      </c>
      <c r="B1453">
        <v>2014</v>
      </c>
      <c r="C1453" t="s">
        <v>40</v>
      </c>
      <c r="D1453" s="2">
        <v>41821</v>
      </c>
      <c r="E1453" t="s">
        <v>14</v>
      </c>
      <c r="F1453">
        <v>120.9</v>
      </c>
      <c r="G1453" t="str">
        <f>VLOOKUP(Table1_2[[#This Row],[Categories]],Sheet3!$A$1:$B$27,2,FALSE)</f>
        <v>Food &amp;Beverage</v>
      </c>
    </row>
    <row r="1454" spans="1:7" x14ac:dyDescent="0.3">
      <c r="A1454" t="s">
        <v>30</v>
      </c>
      <c r="B1454">
        <v>2014</v>
      </c>
      <c r="C1454" t="s">
        <v>40</v>
      </c>
      <c r="D1454" s="2">
        <v>41821</v>
      </c>
      <c r="E1454" t="s">
        <v>15</v>
      </c>
      <c r="F1454">
        <v>123.3</v>
      </c>
      <c r="G1454" t="str">
        <f>VLOOKUP(Table1_2[[#This Row],[Categories]],Sheet3!$A$1:$B$27,2,FALSE)</f>
        <v>Food &amp;Beverage</v>
      </c>
    </row>
    <row r="1455" spans="1:7" x14ac:dyDescent="0.3">
      <c r="A1455" t="s">
        <v>30</v>
      </c>
      <c r="B1455">
        <v>2014</v>
      </c>
      <c r="C1455" t="s">
        <v>40</v>
      </c>
      <c r="D1455" s="2">
        <v>41821</v>
      </c>
      <c r="E1455" t="s">
        <v>16</v>
      </c>
      <c r="F1455">
        <v>118</v>
      </c>
      <c r="G1455" t="str">
        <f>VLOOKUP(Table1_2[[#This Row],[Categories]],Sheet3!$A$1:$B$27,2,FALSE)</f>
        <v>Recreation and amusement</v>
      </c>
    </row>
    <row r="1456" spans="1:7" x14ac:dyDescent="0.3">
      <c r="A1456" t="s">
        <v>30</v>
      </c>
      <c r="B1456">
        <v>2014</v>
      </c>
      <c r="C1456" t="s">
        <v>40</v>
      </c>
      <c r="D1456" s="2">
        <v>41821</v>
      </c>
      <c r="E1456" t="s">
        <v>17</v>
      </c>
      <c r="F1456">
        <v>120.7</v>
      </c>
      <c r="G1456" t="str">
        <f>VLOOKUP(Table1_2[[#This Row],[Categories]],Sheet3!$A$1:$B$27,2,FALSE)</f>
        <v>Clothing and footwear</v>
      </c>
    </row>
    <row r="1457" spans="1:7" x14ac:dyDescent="0.3">
      <c r="A1457" t="s">
        <v>30</v>
      </c>
      <c r="B1457">
        <v>2014</v>
      </c>
      <c r="C1457" t="s">
        <v>40</v>
      </c>
      <c r="D1457" s="2">
        <v>41821</v>
      </c>
      <c r="E1457" t="s">
        <v>18</v>
      </c>
      <c r="F1457">
        <v>118.3</v>
      </c>
      <c r="G1457" t="str">
        <f>VLOOKUP(Table1_2[[#This Row],[Categories]],Sheet3!$A$1:$B$27,2,FALSE)</f>
        <v>Clothing and footwear</v>
      </c>
    </row>
    <row r="1458" spans="1:7" x14ac:dyDescent="0.3">
      <c r="A1458" t="s">
        <v>30</v>
      </c>
      <c r="B1458">
        <v>2014</v>
      </c>
      <c r="C1458" t="s">
        <v>40</v>
      </c>
      <c r="D1458" s="2">
        <v>41821</v>
      </c>
      <c r="E1458" t="s">
        <v>19</v>
      </c>
      <c r="F1458">
        <v>120.3</v>
      </c>
      <c r="G1458" t="str">
        <f>VLOOKUP(Table1_2[[#This Row],[Categories]],Sheet3!$A$1:$B$27,2,FALSE)</f>
        <v>Clothing and footwear</v>
      </c>
    </row>
    <row r="1459" spans="1:7" x14ac:dyDescent="0.3">
      <c r="A1459" t="s">
        <v>30</v>
      </c>
      <c r="B1459">
        <v>2014</v>
      </c>
      <c r="C1459" t="s">
        <v>40</v>
      </c>
      <c r="D1459" s="2">
        <v>41821</v>
      </c>
      <c r="E1459" t="s">
        <v>21</v>
      </c>
      <c r="F1459">
        <v>115.3</v>
      </c>
      <c r="G1459" t="str">
        <f>VLOOKUP(Table1_2[[#This Row],[Categories]],Sheet3!$A$1:$B$27,2,FALSE)</f>
        <v>Fuel and light</v>
      </c>
    </row>
    <row r="1460" spans="1:7" x14ac:dyDescent="0.3">
      <c r="A1460" t="s">
        <v>30</v>
      </c>
      <c r="B1460">
        <v>2014</v>
      </c>
      <c r="C1460" t="s">
        <v>40</v>
      </c>
      <c r="D1460" s="2">
        <v>41821</v>
      </c>
      <c r="E1460" t="s">
        <v>22</v>
      </c>
      <c r="F1460">
        <v>115.4</v>
      </c>
      <c r="G1460" t="str">
        <f>VLOOKUP(Table1_2[[#This Row],[Categories]],Sheet3!$A$1:$B$27,2,FALSE)</f>
        <v>Household Items</v>
      </c>
    </row>
    <row r="1461" spans="1:7" x14ac:dyDescent="0.3">
      <c r="A1461" t="s">
        <v>30</v>
      </c>
      <c r="B1461">
        <v>2014</v>
      </c>
      <c r="C1461" t="s">
        <v>40</v>
      </c>
      <c r="D1461" s="2">
        <v>41821</v>
      </c>
      <c r="E1461" t="s">
        <v>23</v>
      </c>
      <c r="F1461">
        <v>113.4</v>
      </c>
      <c r="G1461" t="str">
        <f>VLOOKUP(Table1_2[[#This Row],[Categories]],Sheet3!$A$1:$B$27,2,FALSE)</f>
        <v>Health</v>
      </c>
    </row>
    <row r="1462" spans="1:7" x14ac:dyDescent="0.3">
      <c r="A1462" t="s">
        <v>30</v>
      </c>
      <c r="B1462">
        <v>2014</v>
      </c>
      <c r="C1462" t="s">
        <v>40</v>
      </c>
      <c r="D1462" s="2">
        <v>41821</v>
      </c>
      <c r="E1462" t="s">
        <v>24</v>
      </c>
      <c r="F1462">
        <v>113.2</v>
      </c>
      <c r="G1462" t="str">
        <f>VLOOKUP(Table1_2[[#This Row],[Categories]],Sheet3!$A$1:$B$27,2,FALSE)</f>
        <v>Transport and communication</v>
      </c>
    </row>
    <row r="1463" spans="1:7" x14ac:dyDescent="0.3">
      <c r="A1463" t="s">
        <v>30</v>
      </c>
      <c r="B1463">
        <v>2014</v>
      </c>
      <c r="C1463" t="s">
        <v>40</v>
      </c>
      <c r="D1463" s="2">
        <v>41821</v>
      </c>
      <c r="E1463" t="s">
        <v>25</v>
      </c>
      <c r="F1463">
        <v>111.8</v>
      </c>
      <c r="G1463" t="str">
        <f>VLOOKUP(Table1_2[[#This Row],[Categories]],Sheet3!$A$1:$B$27,2,FALSE)</f>
        <v>Recreation and amusement</v>
      </c>
    </row>
    <row r="1464" spans="1:7" x14ac:dyDescent="0.3">
      <c r="A1464" t="s">
        <v>30</v>
      </c>
      <c r="B1464">
        <v>2014</v>
      </c>
      <c r="C1464" t="s">
        <v>40</v>
      </c>
      <c r="D1464" s="2">
        <v>41821</v>
      </c>
      <c r="E1464" t="s">
        <v>26</v>
      </c>
      <c r="F1464">
        <v>115.5</v>
      </c>
      <c r="G1464" t="str">
        <f>VLOOKUP(Table1_2[[#This Row],[Categories]],Sheet3!$A$1:$B$27,2,FALSE)</f>
        <v>Education</v>
      </c>
    </row>
    <row r="1465" spans="1:7" x14ac:dyDescent="0.3">
      <c r="A1465" t="s">
        <v>30</v>
      </c>
      <c r="B1465">
        <v>2014</v>
      </c>
      <c r="C1465" t="s">
        <v>40</v>
      </c>
      <c r="D1465" s="2">
        <v>41821</v>
      </c>
      <c r="E1465" t="s">
        <v>27</v>
      </c>
      <c r="F1465">
        <v>108.8</v>
      </c>
      <c r="G1465" t="str">
        <f>VLOOKUP(Table1_2[[#This Row],[Categories]],Sheet3!$A$1:$B$27,2,FALSE)</f>
        <v>Household Items</v>
      </c>
    </row>
    <row r="1466" spans="1:7" x14ac:dyDescent="0.3">
      <c r="A1466" t="s">
        <v>30</v>
      </c>
      <c r="B1466">
        <v>2014</v>
      </c>
      <c r="C1466" t="s">
        <v>40</v>
      </c>
      <c r="D1466" s="2">
        <v>41821</v>
      </c>
      <c r="E1466" t="s">
        <v>28</v>
      </c>
      <c r="F1466">
        <v>113.1</v>
      </c>
      <c r="G1466" t="str">
        <f>VLOOKUP(Table1_2[[#This Row],[Categories]],Sheet3!$A$1:$B$27,2,FALSE)</f>
        <v>Miscellaneous</v>
      </c>
    </row>
    <row r="1467" spans="1:7" x14ac:dyDescent="0.3">
      <c r="A1467" t="s">
        <v>30</v>
      </c>
      <c r="B1467">
        <v>2014</v>
      </c>
      <c r="C1467" t="s">
        <v>40</v>
      </c>
      <c r="D1467" s="2">
        <v>41821</v>
      </c>
      <c r="E1467" t="s">
        <v>29</v>
      </c>
      <c r="F1467">
        <v>119.5</v>
      </c>
      <c r="G1467" t="str">
        <f>VLOOKUP(Table1_2[[#This Row],[Categories]],Sheet3!$A$1:$B$27,2,FALSE)</f>
        <v>General index</v>
      </c>
    </row>
    <row r="1468" spans="1:7" x14ac:dyDescent="0.3">
      <c r="A1468" t="s">
        <v>33</v>
      </c>
      <c r="B1468">
        <v>2014</v>
      </c>
      <c r="C1468" t="s">
        <v>40</v>
      </c>
      <c r="D1468" s="2">
        <v>41821</v>
      </c>
      <c r="E1468" t="s">
        <v>3</v>
      </c>
      <c r="F1468">
        <v>123.8</v>
      </c>
      <c r="G1468" t="str">
        <f>VLOOKUP(Table1_2[[#This Row],[Categories]],Sheet3!$A$1:$B$27,2,FALSE)</f>
        <v>Food &amp;Beverage</v>
      </c>
    </row>
    <row r="1469" spans="1:7" x14ac:dyDescent="0.3">
      <c r="A1469" t="s">
        <v>33</v>
      </c>
      <c r="B1469">
        <v>2014</v>
      </c>
      <c r="C1469" t="s">
        <v>40</v>
      </c>
      <c r="D1469" s="2">
        <v>41821</v>
      </c>
      <c r="E1469" t="s">
        <v>4</v>
      </c>
      <c r="F1469">
        <v>126.4</v>
      </c>
      <c r="G1469" t="str">
        <f>VLOOKUP(Table1_2[[#This Row],[Categories]],Sheet3!$A$1:$B$27,2,FALSE)</f>
        <v>Food &amp;Beverage</v>
      </c>
    </row>
    <row r="1470" spans="1:7" x14ac:dyDescent="0.3">
      <c r="A1470" t="s">
        <v>33</v>
      </c>
      <c r="B1470">
        <v>2014</v>
      </c>
      <c r="C1470" t="s">
        <v>40</v>
      </c>
      <c r="D1470" s="2">
        <v>41821</v>
      </c>
      <c r="E1470" t="s">
        <v>5</v>
      </c>
      <c r="F1470">
        <v>118</v>
      </c>
      <c r="G1470" t="str">
        <f>VLOOKUP(Table1_2[[#This Row],[Categories]],Sheet3!$A$1:$B$27,2,FALSE)</f>
        <v>Food &amp;Beverage</v>
      </c>
    </row>
    <row r="1471" spans="1:7" x14ac:dyDescent="0.3">
      <c r="A1471" t="s">
        <v>33</v>
      </c>
      <c r="B1471">
        <v>2014</v>
      </c>
      <c r="C1471" t="s">
        <v>40</v>
      </c>
      <c r="D1471" s="2">
        <v>41821</v>
      </c>
      <c r="E1471" t="s">
        <v>6</v>
      </c>
      <c r="F1471">
        <v>121.6</v>
      </c>
      <c r="G1471" t="str">
        <f>VLOOKUP(Table1_2[[#This Row],[Categories]],Sheet3!$A$1:$B$27,2,FALSE)</f>
        <v>Food &amp;Beverage</v>
      </c>
    </row>
    <row r="1472" spans="1:7" x14ac:dyDescent="0.3">
      <c r="A1472" t="s">
        <v>33</v>
      </c>
      <c r="B1472">
        <v>2014</v>
      </c>
      <c r="C1472" t="s">
        <v>40</v>
      </c>
      <c r="D1472" s="2">
        <v>41821</v>
      </c>
      <c r="E1472" t="s">
        <v>7</v>
      </c>
      <c r="F1472">
        <v>103.5</v>
      </c>
      <c r="G1472" t="str">
        <f>VLOOKUP(Table1_2[[#This Row],[Categories]],Sheet3!$A$1:$B$27,2,FALSE)</f>
        <v>Food &amp;Beverage</v>
      </c>
    </row>
    <row r="1473" spans="1:7" x14ac:dyDescent="0.3">
      <c r="A1473" t="s">
        <v>33</v>
      </c>
      <c r="B1473">
        <v>2014</v>
      </c>
      <c r="C1473" t="s">
        <v>40</v>
      </c>
      <c r="D1473" s="2">
        <v>41821</v>
      </c>
      <c r="E1473" t="s">
        <v>8</v>
      </c>
      <c r="F1473">
        <v>133.69999999999999</v>
      </c>
      <c r="G1473" t="str">
        <f>VLOOKUP(Table1_2[[#This Row],[Categories]],Sheet3!$A$1:$B$27,2,FALSE)</f>
        <v>Food &amp;Beverage</v>
      </c>
    </row>
    <row r="1474" spans="1:7" x14ac:dyDescent="0.3">
      <c r="A1474" t="s">
        <v>33</v>
      </c>
      <c r="B1474">
        <v>2014</v>
      </c>
      <c r="C1474" t="s">
        <v>40</v>
      </c>
      <c r="D1474" s="2">
        <v>41821</v>
      </c>
      <c r="E1474" t="s">
        <v>9</v>
      </c>
      <c r="F1474">
        <v>172.4</v>
      </c>
      <c r="G1474" t="str">
        <f>VLOOKUP(Table1_2[[#This Row],[Categories]],Sheet3!$A$1:$B$27,2,FALSE)</f>
        <v>Food &amp;Beverage</v>
      </c>
    </row>
    <row r="1475" spans="1:7" x14ac:dyDescent="0.3">
      <c r="A1475" t="s">
        <v>33</v>
      </c>
      <c r="B1475">
        <v>2014</v>
      </c>
      <c r="C1475" t="s">
        <v>40</v>
      </c>
      <c r="D1475" s="2">
        <v>41821</v>
      </c>
      <c r="E1475" t="s">
        <v>10</v>
      </c>
      <c r="F1475">
        <v>113.1</v>
      </c>
      <c r="G1475" t="str">
        <f>VLOOKUP(Table1_2[[#This Row],[Categories]],Sheet3!$A$1:$B$27,2,FALSE)</f>
        <v>Food &amp;Beverage</v>
      </c>
    </row>
    <row r="1476" spans="1:7" x14ac:dyDescent="0.3">
      <c r="A1476" t="s">
        <v>33</v>
      </c>
      <c r="B1476">
        <v>2014</v>
      </c>
      <c r="C1476" t="s">
        <v>40</v>
      </c>
      <c r="D1476" s="2">
        <v>41821</v>
      </c>
      <c r="E1476" t="s">
        <v>11</v>
      </c>
      <c r="F1476">
        <v>102.7</v>
      </c>
      <c r="G1476" t="str">
        <f>VLOOKUP(Table1_2[[#This Row],[Categories]],Sheet3!$A$1:$B$27,2,FALSE)</f>
        <v>Food &amp;Beverage</v>
      </c>
    </row>
    <row r="1477" spans="1:7" x14ac:dyDescent="0.3">
      <c r="A1477" t="s">
        <v>33</v>
      </c>
      <c r="B1477">
        <v>2014</v>
      </c>
      <c r="C1477" t="s">
        <v>40</v>
      </c>
      <c r="D1477" s="2">
        <v>41821</v>
      </c>
      <c r="E1477" t="s">
        <v>12</v>
      </c>
      <c r="F1477">
        <v>120</v>
      </c>
      <c r="G1477" t="str">
        <f>VLOOKUP(Table1_2[[#This Row],[Categories]],Sheet3!$A$1:$B$27,2,FALSE)</f>
        <v>Food &amp;Beverage</v>
      </c>
    </row>
    <row r="1478" spans="1:7" x14ac:dyDescent="0.3">
      <c r="A1478" t="s">
        <v>33</v>
      </c>
      <c r="B1478">
        <v>2014</v>
      </c>
      <c r="C1478" t="s">
        <v>40</v>
      </c>
      <c r="D1478" s="2">
        <v>41821</v>
      </c>
      <c r="E1478" t="s">
        <v>13</v>
      </c>
      <c r="F1478">
        <v>113.8</v>
      </c>
      <c r="G1478" t="str">
        <f>VLOOKUP(Table1_2[[#This Row],[Categories]],Sheet3!$A$1:$B$27,2,FALSE)</f>
        <v>Food &amp;Beverage</v>
      </c>
    </row>
    <row r="1479" spans="1:7" x14ac:dyDescent="0.3">
      <c r="A1479" t="s">
        <v>33</v>
      </c>
      <c r="B1479">
        <v>2014</v>
      </c>
      <c r="C1479" t="s">
        <v>40</v>
      </c>
      <c r="D1479" s="2">
        <v>41821</v>
      </c>
      <c r="E1479" t="s">
        <v>14</v>
      </c>
      <c r="F1479">
        <v>123.4</v>
      </c>
      <c r="G1479" t="str">
        <f>VLOOKUP(Table1_2[[#This Row],[Categories]],Sheet3!$A$1:$B$27,2,FALSE)</f>
        <v>Food &amp;Beverage</v>
      </c>
    </row>
    <row r="1480" spans="1:7" x14ac:dyDescent="0.3">
      <c r="A1480" t="s">
        <v>33</v>
      </c>
      <c r="B1480">
        <v>2014</v>
      </c>
      <c r="C1480" t="s">
        <v>40</v>
      </c>
      <c r="D1480" s="2">
        <v>41821</v>
      </c>
      <c r="E1480" t="s">
        <v>15</v>
      </c>
      <c r="F1480">
        <v>127.1</v>
      </c>
      <c r="G1480" t="str">
        <f>VLOOKUP(Table1_2[[#This Row],[Categories]],Sheet3!$A$1:$B$27,2,FALSE)</f>
        <v>Food &amp;Beverage</v>
      </c>
    </row>
    <row r="1481" spans="1:7" x14ac:dyDescent="0.3">
      <c r="A1481" t="s">
        <v>33</v>
      </c>
      <c r="B1481">
        <v>2014</v>
      </c>
      <c r="C1481" t="s">
        <v>40</v>
      </c>
      <c r="D1481" s="2">
        <v>41821</v>
      </c>
      <c r="E1481" t="s">
        <v>16</v>
      </c>
      <c r="F1481">
        <v>121</v>
      </c>
      <c r="G1481" t="str">
        <f>VLOOKUP(Table1_2[[#This Row],[Categories]],Sheet3!$A$1:$B$27,2,FALSE)</f>
        <v>Recreation and amusement</v>
      </c>
    </row>
    <row r="1482" spans="1:7" x14ac:dyDescent="0.3">
      <c r="A1482" t="s">
        <v>33</v>
      </c>
      <c r="B1482">
        <v>2014</v>
      </c>
      <c r="C1482" t="s">
        <v>40</v>
      </c>
      <c r="D1482" s="2">
        <v>41821</v>
      </c>
      <c r="E1482" t="s">
        <v>17</v>
      </c>
      <c r="F1482">
        <v>118</v>
      </c>
      <c r="G1482" t="str">
        <f>VLOOKUP(Table1_2[[#This Row],[Categories]],Sheet3!$A$1:$B$27,2,FALSE)</f>
        <v>Clothing and footwear</v>
      </c>
    </row>
    <row r="1483" spans="1:7" x14ac:dyDescent="0.3">
      <c r="A1483" t="s">
        <v>33</v>
      </c>
      <c r="B1483">
        <v>2014</v>
      </c>
      <c r="C1483" t="s">
        <v>40</v>
      </c>
      <c r="D1483" s="2">
        <v>41821</v>
      </c>
      <c r="E1483" t="s">
        <v>18</v>
      </c>
      <c r="F1483">
        <v>113.6</v>
      </c>
      <c r="G1483" t="str">
        <f>VLOOKUP(Table1_2[[#This Row],[Categories]],Sheet3!$A$1:$B$27,2,FALSE)</f>
        <v>Clothing and footwear</v>
      </c>
    </row>
    <row r="1484" spans="1:7" x14ac:dyDescent="0.3">
      <c r="A1484" t="s">
        <v>33</v>
      </c>
      <c r="B1484">
        <v>2014</v>
      </c>
      <c r="C1484" t="s">
        <v>40</v>
      </c>
      <c r="D1484" s="2">
        <v>41821</v>
      </c>
      <c r="E1484" t="s">
        <v>19</v>
      </c>
      <c r="F1484">
        <v>117.4</v>
      </c>
      <c r="G1484" t="str">
        <f>VLOOKUP(Table1_2[[#This Row],[Categories]],Sheet3!$A$1:$B$27,2,FALSE)</f>
        <v>Clothing and footwear</v>
      </c>
    </row>
    <row r="1485" spans="1:7" x14ac:dyDescent="0.3">
      <c r="A1485" t="s">
        <v>33</v>
      </c>
      <c r="B1485">
        <v>2014</v>
      </c>
      <c r="C1485" t="s">
        <v>40</v>
      </c>
      <c r="D1485" s="2">
        <v>41821</v>
      </c>
      <c r="E1485" t="s">
        <v>20</v>
      </c>
      <c r="F1485">
        <v>114.8</v>
      </c>
      <c r="G1485" t="str">
        <f>VLOOKUP(Table1_2[[#This Row],[Categories]],Sheet3!$A$1:$B$27,2,FALSE)</f>
        <v>Housing</v>
      </c>
    </row>
    <row r="1486" spans="1:7" x14ac:dyDescent="0.3">
      <c r="A1486" t="s">
        <v>33</v>
      </c>
      <c r="B1486">
        <v>2014</v>
      </c>
      <c r="C1486" t="s">
        <v>40</v>
      </c>
      <c r="D1486" s="2">
        <v>41821</v>
      </c>
      <c r="E1486" t="s">
        <v>21</v>
      </c>
      <c r="F1486">
        <v>111.6</v>
      </c>
      <c r="G1486" t="str">
        <f>VLOOKUP(Table1_2[[#This Row],[Categories]],Sheet3!$A$1:$B$27,2,FALSE)</f>
        <v>Fuel and light</v>
      </c>
    </row>
    <row r="1487" spans="1:7" x14ac:dyDescent="0.3">
      <c r="A1487" t="s">
        <v>33</v>
      </c>
      <c r="B1487">
        <v>2014</v>
      </c>
      <c r="C1487" t="s">
        <v>40</v>
      </c>
      <c r="D1487" s="2">
        <v>41821</v>
      </c>
      <c r="E1487" t="s">
        <v>22</v>
      </c>
      <c r="F1487">
        <v>114.9</v>
      </c>
      <c r="G1487" t="str">
        <f>VLOOKUP(Table1_2[[#This Row],[Categories]],Sheet3!$A$1:$B$27,2,FALSE)</f>
        <v>Household Items</v>
      </c>
    </row>
    <row r="1488" spans="1:7" x14ac:dyDescent="0.3">
      <c r="A1488" t="s">
        <v>33</v>
      </c>
      <c r="B1488">
        <v>2014</v>
      </c>
      <c r="C1488" t="s">
        <v>40</v>
      </c>
      <c r="D1488" s="2">
        <v>41821</v>
      </c>
      <c r="E1488" t="s">
        <v>23</v>
      </c>
      <c r="F1488">
        <v>111.5</v>
      </c>
      <c r="G1488" t="str">
        <f>VLOOKUP(Table1_2[[#This Row],[Categories]],Sheet3!$A$1:$B$27,2,FALSE)</f>
        <v>Health</v>
      </c>
    </row>
    <row r="1489" spans="1:7" x14ac:dyDescent="0.3">
      <c r="A1489" t="s">
        <v>33</v>
      </c>
      <c r="B1489">
        <v>2014</v>
      </c>
      <c r="C1489" t="s">
        <v>40</v>
      </c>
      <c r="D1489" s="2">
        <v>41821</v>
      </c>
      <c r="E1489" t="s">
        <v>24</v>
      </c>
      <c r="F1489">
        <v>113</v>
      </c>
      <c r="G1489" t="str">
        <f>VLOOKUP(Table1_2[[#This Row],[Categories]],Sheet3!$A$1:$B$27,2,FALSE)</f>
        <v>Transport and communication</v>
      </c>
    </row>
    <row r="1490" spans="1:7" x14ac:dyDescent="0.3">
      <c r="A1490" t="s">
        <v>33</v>
      </c>
      <c r="B1490">
        <v>2014</v>
      </c>
      <c r="C1490" t="s">
        <v>40</v>
      </c>
      <c r="D1490" s="2">
        <v>41821</v>
      </c>
      <c r="E1490" t="s">
        <v>25</v>
      </c>
      <c r="F1490">
        <v>112.4</v>
      </c>
      <c r="G1490" t="str">
        <f>VLOOKUP(Table1_2[[#This Row],[Categories]],Sheet3!$A$1:$B$27,2,FALSE)</f>
        <v>Recreation and amusement</v>
      </c>
    </row>
    <row r="1491" spans="1:7" x14ac:dyDescent="0.3">
      <c r="A1491" t="s">
        <v>33</v>
      </c>
      <c r="B1491">
        <v>2014</v>
      </c>
      <c r="C1491" t="s">
        <v>40</v>
      </c>
      <c r="D1491" s="2">
        <v>41821</v>
      </c>
      <c r="E1491" t="s">
        <v>26</v>
      </c>
      <c r="F1491">
        <v>117.8</v>
      </c>
      <c r="G1491" t="str">
        <f>VLOOKUP(Table1_2[[#This Row],[Categories]],Sheet3!$A$1:$B$27,2,FALSE)</f>
        <v>Education</v>
      </c>
    </row>
    <row r="1492" spans="1:7" x14ac:dyDescent="0.3">
      <c r="A1492" t="s">
        <v>33</v>
      </c>
      <c r="B1492">
        <v>2014</v>
      </c>
      <c r="C1492" t="s">
        <v>40</v>
      </c>
      <c r="D1492" s="2">
        <v>41821</v>
      </c>
      <c r="E1492" t="s">
        <v>27</v>
      </c>
      <c r="F1492">
        <v>109.7</v>
      </c>
      <c r="G1492" t="str">
        <f>VLOOKUP(Table1_2[[#This Row],[Categories]],Sheet3!$A$1:$B$27,2,FALSE)</f>
        <v>Household Items</v>
      </c>
    </row>
    <row r="1493" spans="1:7" x14ac:dyDescent="0.3">
      <c r="A1493" t="s">
        <v>33</v>
      </c>
      <c r="B1493">
        <v>2014</v>
      </c>
      <c r="C1493" t="s">
        <v>40</v>
      </c>
      <c r="D1493" s="2">
        <v>41821</v>
      </c>
      <c r="E1493" t="s">
        <v>28</v>
      </c>
      <c r="F1493">
        <v>113.5</v>
      </c>
      <c r="G1493" t="str">
        <f>VLOOKUP(Table1_2[[#This Row],[Categories]],Sheet3!$A$1:$B$27,2,FALSE)</f>
        <v>Miscellaneous</v>
      </c>
    </row>
    <row r="1494" spans="1:7" x14ac:dyDescent="0.3">
      <c r="A1494" t="s">
        <v>33</v>
      </c>
      <c r="B1494">
        <v>2014</v>
      </c>
      <c r="C1494" t="s">
        <v>40</v>
      </c>
      <c r="D1494" s="2">
        <v>41821</v>
      </c>
      <c r="E1494" t="s">
        <v>29</v>
      </c>
      <c r="F1494">
        <v>118.9</v>
      </c>
      <c r="G1494" t="str">
        <f>VLOOKUP(Table1_2[[#This Row],[Categories]],Sheet3!$A$1:$B$27,2,FALSE)</f>
        <v>General index</v>
      </c>
    </row>
    <row r="1495" spans="1:7" x14ac:dyDescent="0.3">
      <c r="A1495" t="s">
        <v>34</v>
      </c>
      <c r="B1495">
        <v>2014</v>
      </c>
      <c r="C1495" t="s">
        <v>40</v>
      </c>
      <c r="D1495" s="2">
        <v>41821</v>
      </c>
      <c r="E1495" t="s">
        <v>3</v>
      </c>
      <c r="F1495">
        <v>122.4</v>
      </c>
      <c r="G1495" t="str">
        <f>VLOOKUP(Table1_2[[#This Row],[Categories]],Sheet3!$A$1:$B$27,2,FALSE)</f>
        <v>Food &amp;Beverage</v>
      </c>
    </row>
    <row r="1496" spans="1:7" x14ac:dyDescent="0.3">
      <c r="A1496" t="s">
        <v>34</v>
      </c>
      <c r="B1496">
        <v>2014</v>
      </c>
      <c r="C1496" t="s">
        <v>40</v>
      </c>
      <c r="D1496" s="2">
        <v>41821</v>
      </c>
      <c r="E1496" t="s">
        <v>4</v>
      </c>
      <c r="F1496">
        <v>123.9</v>
      </c>
      <c r="G1496" t="str">
        <f>VLOOKUP(Table1_2[[#This Row],[Categories]],Sheet3!$A$1:$B$27,2,FALSE)</f>
        <v>Food &amp;Beverage</v>
      </c>
    </row>
    <row r="1497" spans="1:7" x14ac:dyDescent="0.3">
      <c r="A1497" t="s">
        <v>34</v>
      </c>
      <c r="B1497">
        <v>2014</v>
      </c>
      <c r="C1497" t="s">
        <v>40</v>
      </c>
      <c r="D1497" s="2">
        <v>41821</v>
      </c>
      <c r="E1497" t="s">
        <v>5</v>
      </c>
      <c r="F1497">
        <v>117.8</v>
      </c>
      <c r="G1497" t="str">
        <f>VLOOKUP(Table1_2[[#This Row],[Categories]],Sheet3!$A$1:$B$27,2,FALSE)</f>
        <v>Food &amp;Beverage</v>
      </c>
    </row>
    <row r="1498" spans="1:7" x14ac:dyDescent="0.3">
      <c r="A1498" t="s">
        <v>34</v>
      </c>
      <c r="B1498">
        <v>2014</v>
      </c>
      <c r="C1498" t="s">
        <v>40</v>
      </c>
      <c r="D1498" s="2">
        <v>41821</v>
      </c>
      <c r="E1498" t="s">
        <v>6</v>
      </c>
      <c r="F1498">
        <v>121</v>
      </c>
      <c r="G1498" t="str">
        <f>VLOOKUP(Table1_2[[#This Row],[Categories]],Sheet3!$A$1:$B$27,2,FALSE)</f>
        <v>Food &amp;Beverage</v>
      </c>
    </row>
    <row r="1499" spans="1:7" x14ac:dyDescent="0.3">
      <c r="A1499" t="s">
        <v>34</v>
      </c>
      <c r="B1499">
        <v>2014</v>
      </c>
      <c r="C1499" t="s">
        <v>40</v>
      </c>
      <c r="D1499" s="2">
        <v>41821</v>
      </c>
      <c r="E1499" t="s">
        <v>7</v>
      </c>
      <c r="F1499">
        <v>107.9</v>
      </c>
      <c r="G1499" t="str">
        <f>VLOOKUP(Table1_2[[#This Row],[Categories]],Sheet3!$A$1:$B$27,2,FALSE)</f>
        <v>Food &amp;Beverage</v>
      </c>
    </row>
    <row r="1500" spans="1:7" x14ac:dyDescent="0.3">
      <c r="A1500" t="s">
        <v>34</v>
      </c>
      <c r="B1500">
        <v>2014</v>
      </c>
      <c r="C1500" t="s">
        <v>40</v>
      </c>
      <c r="D1500" s="2">
        <v>41821</v>
      </c>
      <c r="E1500" t="s">
        <v>8</v>
      </c>
      <c r="F1500">
        <v>131.19999999999999</v>
      </c>
      <c r="G1500" t="str">
        <f>VLOOKUP(Table1_2[[#This Row],[Categories]],Sheet3!$A$1:$B$27,2,FALSE)</f>
        <v>Food &amp;Beverage</v>
      </c>
    </row>
    <row r="1501" spans="1:7" x14ac:dyDescent="0.3">
      <c r="A1501" t="s">
        <v>34</v>
      </c>
      <c r="B1501">
        <v>2014</v>
      </c>
      <c r="C1501" t="s">
        <v>40</v>
      </c>
      <c r="D1501" s="2">
        <v>41821</v>
      </c>
      <c r="E1501" t="s">
        <v>9</v>
      </c>
      <c r="F1501">
        <v>157.69999999999999</v>
      </c>
      <c r="G1501" t="str">
        <f>VLOOKUP(Table1_2[[#This Row],[Categories]],Sheet3!$A$1:$B$27,2,FALSE)</f>
        <v>Food &amp;Beverage</v>
      </c>
    </row>
    <row r="1502" spans="1:7" x14ac:dyDescent="0.3">
      <c r="A1502" t="s">
        <v>34</v>
      </c>
      <c r="B1502">
        <v>2014</v>
      </c>
      <c r="C1502" t="s">
        <v>40</v>
      </c>
      <c r="D1502" s="2">
        <v>41821</v>
      </c>
      <c r="E1502" t="s">
        <v>10</v>
      </c>
      <c r="F1502">
        <v>113.2</v>
      </c>
      <c r="G1502" t="str">
        <f>VLOOKUP(Table1_2[[#This Row],[Categories]],Sheet3!$A$1:$B$27,2,FALSE)</f>
        <v>Food &amp;Beverage</v>
      </c>
    </row>
    <row r="1503" spans="1:7" x14ac:dyDescent="0.3">
      <c r="A1503" t="s">
        <v>34</v>
      </c>
      <c r="B1503">
        <v>2014</v>
      </c>
      <c r="C1503" t="s">
        <v>40</v>
      </c>
      <c r="D1503" s="2">
        <v>41821</v>
      </c>
      <c r="E1503" t="s">
        <v>11</v>
      </c>
      <c r="F1503">
        <v>104.1</v>
      </c>
      <c r="G1503" t="str">
        <f>VLOOKUP(Table1_2[[#This Row],[Categories]],Sheet3!$A$1:$B$27,2,FALSE)</f>
        <v>Food &amp;Beverage</v>
      </c>
    </row>
    <row r="1504" spans="1:7" x14ac:dyDescent="0.3">
      <c r="A1504" t="s">
        <v>34</v>
      </c>
      <c r="B1504">
        <v>2014</v>
      </c>
      <c r="C1504" t="s">
        <v>40</v>
      </c>
      <c r="D1504" s="2">
        <v>41821</v>
      </c>
      <c r="E1504" t="s">
        <v>12</v>
      </c>
      <c r="F1504">
        <v>115.5</v>
      </c>
      <c r="G1504" t="str">
        <f>VLOOKUP(Table1_2[[#This Row],[Categories]],Sheet3!$A$1:$B$27,2,FALSE)</f>
        <v>Food &amp;Beverage</v>
      </c>
    </row>
    <row r="1505" spans="1:7" x14ac:dyDescent="0.3">
      <c r="A1505" t="s">
        <v>34</v>
      </c>
      <c r="B1505">
        <v>2014</v>
      </c>
      <c r="C1505" t="s">
        <v>40</v>
      </c>
      <c r="D1505" s="2">
        <v>41821</v>
      </c>
      <c r="E1505" t="s">
        <v>13</v>
      </c>
      <c r="F1505">
        <v>114.8</v>
      </c>
      <c r="G1505" t="str">
        <f>VLOOKUP(Table1_2[[#This Row],[Categories]],Sheet3!$A$1:$B$27,2,FALSE)</f>
        <v>Food &amp;Beverage</v>
      </c>
    </row>
    <row r="1506" spans="1:7" x14ac:dyDescent="0.3">
      <c r="A1506" t="s">
        <v>34</v>
      </c>
      <c r="B1506">
        <v>2014</v>
      </c>
      <c r="C1506" t="s">
        <v>40</v>
      </c>
      <c r="D1506" s="2">
        <v>41821</v>
      </c>
      <c r="E1506" t="s">
        <v>14</v>
      </c>
      <c r="F1506">
        <v>122.1</v>
      </c>
      <c r="G1506" t="str">
        <f>VLOOKUP(Table1_2[[#This Row],[Categories]],Sheet3!$A$1:$B$27,2,FALSE)</f>
        <v>Food &amp;Beverage</v>
      </c>
    </row>
    <row r="1507" spans="1:7" x14ac:dyDescent="0.3">
      <c r="A1507" t="s">
        <v>34</v>
      </c>
      <c r="B1507">
        <v>2014</v>
      </c>
      <c r="C1507" t="s">
        <v>40</v>
      </c>
      <c r="D1507" s="2">
        <v>41821</v>
      </c>
      <c r="E1507" t="s">
        <v>15</v>
      </c>
      <c r="F1507">
        <v>124.7</v>
      </c>
      <c r="G1507" t="str">
        <f>VLOOKUP(Table1_2[[#This Row],[Categories]],Sheet3!$A$1:$B$27,2,FALSE)</f>
        <v>Food &amp;Beverage</v>
      </c>
    </row>
    <row r="1508" spans="1:7" x14ac:dyDescent="0.3">
      <c r="A1508" t="s">
        <v>34</v>
      </c>
      <c r="B1508">
        <v>2014</v>
      </c>
      <c r="C1508" t="s">
        <v>40</v>
      </c>
      <c r="D1508" s="2">
        <v>41821</v>
      </c>
      <c r="E1508" t="s">
        <v>16</v>
      </c>
      <c r="F1508">
        <v>118.8</v>
      </c>
      <c r="G1508" t="str">
        <f>VLOOKUP(Table1_2[[#This Row],[Categories]],Sheet3!$A$1:$B$27,2,FALSE)</f>
        <v>Recreation and amusement</v>
      </c>
    </row>
    <row r="1509" spans="1:7" x14ac:dyDescent="0.3">
      <c r="A1509" t="s">
        <v>34</v>
      </c>
      <c r="B1509">
        <v>2014</v>
      </c>
      <c r="C1509" t="s">
        <v>40</v>
      </c>
      <c r="D1509" s="2">
        <v>41821</v>
      </c>
      <c r="E1509" t="s">
        <v>17</v>
      </c>
      <c r="F1509">
        <v>119.6</v>
      </c>
      <c r="G1509" t="str">
        <f>VLOOKUP(Table1_2[[#This Row],[Categories]],Sheet3!$A$1:$B$27,2,FALSE)</f>
        <v>Clothing and footwear</v>
      </c>
    </row>
    <row r="1510" spans="1:7" x14ac:dyDescent="0.3">
      <c r="A1510" t="s">
        <v>34</v>
      </c>
      <c r="B1510">
        <v>2014</v>
      </c>
      <c r="C1510" t="s">
        <v>40</v>
      </c>
      <c r="D1510" s="2">
        <v>41821</v>
      </c>
      <c r="E1510" t="s">
        <v>18</v>
      </c>
      <c r="F1510">
        <v>116.3</v>
      </c>
      <c r="G1510" t="str">
        <f>VLOOKUP(Table1_2[[#This Row],[Categories]],Sheet3!$A$1:$B$27,2,FALSE)</f>
        <v>Clothing and footwear</v>
      </c>
    </row>
    <row r="1511" spans="1:7" x14ac:dyDescent="0.3">
      <c r="A1511" t="s">
        <v>34</v>
      </c>
      <c r="B1511">
        <v>2014</v>
      </c>
      <c r="C1511" t="s">
        <v>40</v>
      </c>
      <c r="D1511" s="2">
        <v>41821</v>
      </c>
      <c r="E1511" t="s">
        <v>19</v>
      </c>
      <c r="F1511">
        <v>119.1</v>
      </c>
      <c r="G1511" t="str">
        <f>VLOOKUP(Table1_2[[#This Row],[Categories]],Sheet3!$A$1:$B$27,2,FALSE)</f>
        <v>Clothing and footwear</v>
      </c>
    </row>
    <row r="1512" spans="1:7" x14ac:dyDescent="0.3">
      <c r="A1512" t="s">
        <v>34</v>
      </c>
      <c r="B1512">
        <v>2014</v>
      </c>
      <c r="C1512" t="s">
        <v>40</v>
      </c>
      <c r="D1512" s="2">
        <v>41821</v>
      </c>
      <c r="E1512" t="s">
        <v>20</v>
      </c>
      <c r="F1512">
        <v>114.8</v>
      </c>
      <c r="G1512" t="str">
        <f>VLOOKUP(Table1_2[[#This Row],[Categories]],Sheet3!$A$1:$B$27,2,FALSE)</f>
        <v>Housing</v>
      </c>
    </row>
    <row r="1513" spans="1:7" x14ac:dyDescent="0.3">
      <c r="A1513" t="s">
        <v>34</v>
      </c>
      <c r="B1513">
        <v>2014</v>
      </c>
      <c r="C1513" t="s">
        <v>40</v>
      </c>
      <c r="D1513" s="2">
        <v>41821</v>
      </c>
      <c r="E1513" t="s">
        <v>21</v>
      </c>
      <c r="F1513">
        <v>113.9</v>
      </c>
      <c r="G1513" t="str">
        <f>VLOOKUP(Table1_2[[#This Row],[Categories]],Sheet3!$A$1:$B$27,2,FALSE)</f>
        <v>Fuel and light</v>
      </c>
    </row>
    <row r="1514" spans="1:7" x14ac:dyDescent="0.3">
      <c r="A1514" t="s">
        <v>34</v>
      </c>
      <c r="B1514">
        <v>2014</v>
      </c>
      <c r="C1514" t="s">
        <v>40</v>
      </c>
      <c r="D1514" s="2">
        <v>41821</v>
      </c>
      <c r="E1514" t="s">
        <v>22</v>
      </c>
      <c r="F1514">
        <v>115.2</v>
      </c>
      <c r="G1514" t="str">
        <f>VLOOKUP(Table1_2[[#This Row],[Categories]],Sheet3!$A$1:$B$27,2,FALSE)</f>
        <v>Household Items</v>
      </c>
    </row>
    <row r="1515" spans="1:7" x14ac:dyDescent="0.3">
      <c r="A1515" t="s">
        <v>34</v>
      </c>
      <c r="B1515">
        <v>2014</v>
      </c>
      <c r="C1515" t="s">
        <v>40</v>
      </c>
      <c r="D1515" s="2">
        <v>41821</v>
      </c>
      <c r="E1515" t="s">
        <v>23</v>
      </c>
      <c r="F1515">
        <v>112.7</v>
      </c>
      <c r="G1515" t="str">
        <f>VLOOKUP(Table1_2[[#This Row],[Categories]],Sheet3!$A$1:$B$27,2,FALSE)</f>
        <v>Health</v>
      </c>
    </row>
    <row r="1516" spans="1:7" x14ac:dyDescent="0.3">
      <c r="A1516" t="s">
        <v>34</v>
      </c>
      <c r="B1516">
        <v>2014</v>
      </c>
      <c r="C1516" t="s">
        <v>40</v>
      </c>
      <c r="D1516" s="2">
        <v>41821</v>
      </c>
      <c r="E1516" t="s">
        <v>24</v>
      </c>
      <c r="F1516">
        <v>113.1</v>
      </c>
      <c r="G1516" t="str">
        <f>VLOOKUP(Table1_2[[#This Row],[Categories]],Sheet3!$A$1:$B$27,2,FALSE)</f>
        <v>Transport and communication</v>
      </c>
    </row>
    <row r="1517" spans="1:7" x14ac:dyDescent="0.3">
      <c r="A1517" t="s">
        <v>34</v>
      </c>
      <c r="B1517">
        <v>2014</v>
      </c>
      <c r="C1517" t="s">
        <v>40</v>
      </c>
      <c r="D1517" s="2">
        <v>41821</v>
      </c>
      <c r="E1517" t="s">
        <v>25</v>
      </c>
      <c r="F1517">
        <v>112.1</v>
      </c>
      <c r="G1517" t="str">
        <f>VLOOKUP(Table1_2[[#This Row],[Categories]],Sheet3!$A$1:$B$27,2,FALSE)</f>
        <v>Recreation and amusement</v>
      </c>
    </row>
    <row r="1518" spans="1:7" x14ac:dyDescent="0.3">
      <c r="A1518" t="s">
        <v>34</v>
      </c>
      <c r="B1518">
        <v>2014</v>
      </c>
      <c r="C1518" t="s">
        <v>40</v>
      </c>
      <c r="D1518" s="2">
        <v>41821</v>
      </c>
      <c r="E1518" t="s">
        <v>26</v>
      </c>
      <c r="F1518">
        <v>116.8</v>
      </c>
      <c r="G1518" t="str">
        <f>VLOOKUP(Table1_2[[#This Row],[Categories]],Sheet3!$A$1:$B$27,2,FALSE)</f>
        <v>Education</v>
      </c>
    </row>
    <row r="1519" spans="1:7" x14ac:dyDescent="0.3">
      <c r="A1519" t="s">
        <v>34</v>
      </c>
      <c r="B1519">
        <v>2014</v>
      </c>
      <c r="C1519" t="s">
        <v>40</v>
      </c>
      <c r="D1519" s="2">
        <v>41821</v>
      </c>
      <c r="E1519" t="s">
        <v>27</v>
      </c>
      <c r="F1519">
        <v>109.2</v>
      </c>
      <c r="G1519" t="str">
        <f>VLOOKUP(Table1_2[[#This Row],[Categories]],Sheet3!$A$1:$B$27,2,FALSE)</f>
        <v>Household Items</v>
      </c>
    </row>
    <row r="1520" spans="1:7" x14ac:dyDescent="0.3">
      <c r="A1520" t="s">
        <v>34</v>
      </c>
      <c r="B1520">
        <v>2014</v>
      </c>
      <c r="C1520" t="s">
        <v>40</v>
      </c>
      <c r="D1520" s="2">
        <v>41821</v>
      </c>
      <c r="E1520" t="s">
        <v>28</v>
      </c>
      <c r="F1520">
        <v>113.3</v>
      </c>
      <c r="G1520" t="str">
        <f>VLOOKUP(Table1_2[[#This Row],[Categories]],Sheet3!$A$1:$B$27,2,FALSE)</f>
        <v>Miscellaneous</v>
      </c>
    </row>
    <row r="1521" spans="1:7" x14ac:dyDescent="0.3">
      <c r="A1521" t="s">
        <v>34</v>
      </c>
      <c r="B1521">
        <v>2014</v>
      </c>
      <c r="C1521" t="s">
        <v>40</v>
      </c>
      <c r="D1521" s="2">
        <v>41821</v>
      </c>
      <c r="E1521" t="s">
        <v>29</v>
      </c>
      <c r="F1521">
        <v>119.2</v>
      </c>
      <c r="G1521" t="str">
        <f>VLOOKUP(Table1_2[[#This Row],[Categories]],Sheet3!$A$1:$B$27,2,FALSE)</f>
        <v>General index</v>
      </c>
    </row>
    <row r="1522" spans="1:7" x14ac:dyDescent="0.3">
      <c r="A1522" t="s">
        <v>30</v>
      </c>
      <c r="B1522">
        <v>2014</v>
      </c>
      <c r="C1522" t="s">
        <v>41</v>
      </c>
      <c r="D1522" s="2">
        <v>41852</v>
      </c>
      <c r="E1522" t="s">
        <v>3</v>
      </c>
      <c r="F1522">
        <v>121.8</v>
      </c>
      <c r="G1522" t="str">
        <f>VLOOKUP(Table1_2[[#This Row],[Categories]],Sheet3!$A$1:$B$27,2,FALSE)</f>
        <v>Food &amp;Beverage</v>
      </c>
    </row>
    <row r="1523" spans="1:7" x14ac:dyDescent="0.3">
      <c r="A1523" t="s">
        <v>30</v>
      </c>
      <c r="B1523">
        <v>2014</v>
      </c>
      <c r="C1523" t="s">
        <v>41</v>
      </c>
      <c r="D1523" s="2">
        <v>41852</v>
      </c>
      <c r="E1523" t="s">
        <v>4</v>
      </c>
      <c r="F1523">
        <v>122.8</v>
      </c>
      <c r="G1523" t="str">
        <f>VLOOKUP(Table1_2[[#This Row],[Categories]],Sheet3!$A$1:$B$27,2,FALSE)</f>
        <v>Food &amp;Beverage</v>
      </c>
    </row>
    <row r="1524" spans="1:7" x14ac:dyDescent="0.3">
      <c r="A1524" t="s">
        <v>30</v>
      </c>
      <c r="B1524">
        <v>2014</v>
      </c>
      <c r="C1524" t="s">
        <v>41</v>
      </c>
      <c r="D1524" s="2">
        <v>41852</v>
      </c>
      <c r="E1524" t="s">
        <v>5</v>
      </c>
      <c r="F1524">
        <v>117.8</v>
      </c>
      <c r="G1524" t="str">
        <f>VLOOKUP(Table1_2[[#This Row],[Categories]],Sheet3!$A$1:$B$27,2,FALSE)</f>
        <v>Food &amp;Beverage</v>
      </c>
    </row>
    <row r="1525" spans="1:7" x14ac:dyDescent="0.3">
      <c r="A1525" t="s">
        <v>30</v>
      </c>
      <c r="B1525">
        <v>2014</v>
      </c>
      <c r="C1525" t="s">
        <v>41</v>
      </c>
      <c r="D1525" s="2">
        <v>41852</v>
      </c>
      <c r="E1525" t="s">
        <v>6</v>
      </c>
      <c r="F1525">
        <v>121.9</v>
      </c>
      <c r="G1525" t="str">
        <f>VLOOKUP(Table1_2[[#This Row],[Categories]],Sheet3!$A$1:$B$27,2,FALSE)</f>
        <v>Food &amp;Beverage</v>
      </c>
    </row>
    <row r="1526" spans="1:7" x14ac:dyDescent="0.3">
      <c r="A1526" t="s">
        <v>30</v>
      </c>
      <c r="B1526">
        <v>2014</v>
      </c>
      <c r="C1526" t="s">
        <v>41</v>
      </c>
      <c r="D1526" s="2">
        <v>41852</v>
      </c>
      <c r="E1526" t="s">
        <v>7</v>
      </c>
      <c r="F1526">
        <v>110.6</v>
      </c>
      <c r="G1526" t="str">
        <f>VLOOKUP(Table1_2[[#This Row],[Categories]],Sheet3!$A$1:$B$27,2,FALSE)</f>
        <v>Food &amp;Beverage</v>
      </c>
    </row>
    <row r="1527" spans="1:7" x14ac:dyDescent="0.3">
      <c r="A1527" t="s">
        <v>30</v>
      </c>
      <c r="B1527">
        <v>2014</v>
      </c>
      <c r="C1527" t="s">
        <v>41</v>
      </c>
      <c r="D1527" s="2">
        <v>41852</v>
      </c>
      <c r="E1527" t="s">
        <v>8</v>
      </c>
      <c r="F1527">
        <v>129.69999999999999</v>
      </c>
      <c r="G1527" t="str">
        <f>VLOOKUP(Table1_2[[#This Row],[Categories]],Sheet3!$A$1:$B$27,2,FALSE)</f>
        <v>Food &amp;Beverage</v>
      </c>
    </row>
    <row r="1528" spans="1:7" x14ac:dyDescent="0.3">
      <c r="A1528" t="s">
        <v>30</v>
      </c>
      <c r="B1528">
        <v>2014</v>
      </c>
      <c r="C1528" t="s">
        <v>41</v>
      </c>
      <c r="D1528" s="2">
        <v>41852</v>
      </c>
      <c r="E1528" t="s">
        <v>9</v>
      </c>
      <c r="F1528">
        <v>161.1</v>
      </c>
      <c r="G1528" t="str">
        <f>VLOOKUP(Table1_2[[#This Row],[Categories]],Sheet3!$A$1:$B$27,2,FALSE)</f>
        <v>Food &amp;Beverage</v>
      </c>
    </row>
    <row r="1529" spans="1:7" x14ac:dyDescent="0.3">
      <c r="A1529" t="s">
        <v>30</v>
      </c>
      <c r="B1529">
        <v>2014</v>
      </c>
      <c r="C1529" t="s">
        <v>41</v>
      </c>
      <c r="D1529" s="2">
        <v>41852</v>
      </c>
      <c r="E1529" t="s">
        <v>10</v>
      </c>
      <c r="F1529">
        <v>114.1</v>
      </c>
      <c r="G1529" t="str">
        <f>VLOOKUP(Table1_2[[#This Row],[Categories]],Sheet3!$A$1:$B$27,2,FALSE)</f>
        <v>Food &amp;Beverage</v>
      </c>
    </row>
    <row r="1530" spans="1:7" x14ac:dyDescent="0.3">
      <c r="A1530" t="s">
        <v>30</v>
      </c>
      <c r="B1530">
        <v>2014</v>
      </c>
      <c r="C1530" t="s">
        <v>41</v>
      </c>
      <c r="D1530" s="2">
        <v>41852</v>
      </c>
      <c r="E1530" t="s">
        <v>11</v>
      </c>
      <c r="F1530">
        <v>105.1</v>
      </c>
      <c r="G1530" t="str">
        <f>VLOOKUP(Table1_2[[#This Row],[Categories]],Sheet3!$A$1:$B$27,2,FALSE)</f>
        <v>Food &amp;Beverage</v>
      </c>
    </row>
    <row r="1531" spans="1:7" x14ac:dyDescent="0.3">
      <c r="A1531" t="s">
        <v>30</v>
      </c>
      <c r="B1531">
        <v>2014</v>
      </c>
      <c r="C1531" t="s">
        <v>41</v>
      </c>
      <c r="D1531" s="2">
        <v>41852</v>
      </c>
      <c r="E1531" t="s">
        <v>12</v>
      </c>
      <c r="F1531">
        <v>114.6</v>
      </c>
      <c r="G1531" t="str">
        <f>VLOOKUP(Table1_2[[#This Row],[Categories]],Sheet3!$A$1:$B$27,2,FALSE)</f>
        <v>Food &amp;Beverage</v>
      </c>
    </row>
    <row r="1532" spans="1:7" x14ac:dyDescent="0.3">
      <c r="A1532" t="s">
        <v>30</v>
      </c>
      <c r="B1532">
        <v>2014</v>
      </c>
      <c r="C1532" t="s">
        <v>41</v>
      </c>
      <c r="D1532" s="2">
        <v>41852</v>
      </c>
      <c r="E1532" t="s">
        <v>13</v>
      </c>
      <c r="F1532">
        <v>115.8</v>
      </c>
      <c r="G1532" t="str">
        <f>VLOOKUP(Table1_2[[#This Row],[Categories]],Sheet3!$A$1:$B$27,2,FALSE)</f>
        <v>Food &amp;Beverage</v>
      </c>
    </row>
    <row r="1533" spans="1:7" x14ac:dyDescent="0.3">
      <c r="A1533" t="s">
        <v>30</v>
      </c>
      <c r="B1533">
        <v>2014</v>
      </c>
      <c r="C1533" t="s">
        <v>41</v>
      </c>
      <c r="D1533" s="2">
        <v>41852</v>
      </c>
      <c r="E1533" t="s">
        <v>14</v>
      </c>
      <c r="F1533">
        <v>121.7</v>
      </c>
      <c r="G1533" t="str">
        <f>VLOOKUP(Table1_2[[#This Row],[Categories]],Sheet3!$A$1:$B$27,2,FALSE)</f>
        <v>Food &amp;Beverage</v>
      </c>
    </row>
    <row r="1534" spans="1:7" x14ac:dyDescent="0.3">
      <c r="A1534" t="s">
        <v>30</v>
      </c>
      <c r="B1534">
        <v>2014</v>
      </c>
      <c r="C1534" t="s">
        <v>41</v>
      </c>
      <c r="D1534" s="2">
        <v>41852</v>
      </c>
      <c r="E1534" t="s">
        <v>15</v>
      </c>
      <c r="F1534">
        <v>125.3</v>
      </c>
      <c r="G1534" t="str">
        <f>VLOOKUP(Table1_2[[#This Row],[Categories]],Sheet3!$A$1:$B$27,2,FALSE)</f>
        <v>Food &amp;Beverage</v>
      </c>
    </row>
    <row r="1535" spans="1:7" x14ac:dyDescent="0.3">
      <c r="A1535" t="s">
        <v>30</v>
      </c>
      <c r="B1535">
        <v>2014</v>
      </c>
      <c r="C1535" t="s">
        <v>41</v>
      </c>
      <c r="D1535" s="2">
        <v>41852</v>
      </c>
      <c r="E1535" t="s">
        <v>16</v>
      </c>
      <c r="F1535">
        <v>118.8</v>
      </c>
      <c r="G1535" t="str">
        <f>VLOOKUP(Table1_2[[#This Row],[Categories]],Sheet3!$A$1:$B$27,2,FALSE)</f>
        <v>Recreation and amusement</v>
      </c>
    </row>
    <row r="1536" spans="1:7" x14ac:dyDescent="0.3">
      <c r="A1536" t="s">
        <v>30</v>
      </c>
      <c r="B1536">
        <v>2014</v>
      </c>
      <c r="C1536" t="s">
        <v>41</v>
      </c>
      <c r="D1536" s="2">
        <v>41852</v>
      </c>
      <c r="E1536" t="s">
        <v>17</v>
      </c>
      <c r="F1536">
        <v>120.9</v>
      </c>
      <c r="G1536" t="str">
        <f>VLOOKUP(Table1_2[[#This Row],[Categories]],Sheet3!$A$1:$B$27,2,FALSE)</f>
        <v>Clothing and footwear</v>
      </c>
    </row>
    <row r="1537" spans="1:7" x14ac:dyDescent="0.3">
      <c r="A1537" t="s">
        <v>30</v>
      </c>
      <c r="B1537">
        <v>2014</v>
      </c>
      <c r="C1537" t="s">
        <v>41</v>
      </c>
      <c r="D1537" s="2">
        <v>41852</v>
      </c>
      <c r="E1537" t="s">
        <v>18</v>
      </c>
      <c r="F1537">
        <v>118.8</v>
      </c>
      <c r="G1537" t="str">
        <f>VLOOKUP(Table1_2[[#This Row],[Categories]],Sheet3!$A$1:$B$27,2,FALSE)</f>
        <v>Clothing and footwear</v>
      </c>
    </row>
    <row r="1538" spans="1:7" x14ac:dyDescent="0.3">
      <c r="A1538" t="s">
        <v>30</v>
      </c>
      <c r="B1538">
        <v>2014</v>
      </c>
      <c r="C1538" t="s">
        <v>41</v>
      </c>
      <c r="D1538" s="2">
        <v>41852</v>
      </c>
      <c r="E1538" t="s">
        <v>19</v>
      </c>
      <c r="F1538">
        <v>120.7</v>
      </c>
      <c r="G1538" t="str">
        <f>VLOOKUP(Table1_2[[#This Row],[Categories]],Sheet3!$A$1:$B$27,2,FALSE)</f>
        <v>Clothing and footwear</v>
      </c>
    </row>
    <row r="1539" spans="1:7" x14ac:dyDescent="0.3">
      <c r="A1539" t="s">
        <v>30</v>
      </c>
      <c r="B1539">
        <v>2014</v>
      </c>
      <c r="C1539" t="s">
        <v>41</v>
      </c>
      <c r="D1539" s="2">
        <v>41852</v>
      </c>
      <c r="E1539" t="s">
        <v>21</v>
      </c>
      <c r="F1539">
        <v>115.4</v>
      </c>
      <c r="G1539" t="str">
        <f>VLOOKUP(Table1_2[[#This Row],[Categories]],Sheet3!$A$1:$B$27,2,FALSE)</f>
        <v>Fuel and light</v>
      </c>
    </row>
    <row r="1540" spans="1:7" x14ac:dyDescent="0.3">
      <c r="A1540" t="s">
        <v>30</v>
      </c>
      <c r="B1540">
        <v>2014</v>
      </c>
      <c r="C1540" t="s">
        <v>41</v>
      </c>
      <c r="D1540" s="2">
        <v>41852</v>
      </c>
      <c r="E1540" t="s">
        <v>22</v>
      </c>
      <c r="F1540">
        <v>115.9</v>
      </c>
      <c r="G1540" t="str">
        <f>VLOOKUP(Table1_2[[#This Row],[Categories]],Sheet3!$A$1:$B$27,2,FALSE)</f>
        <v>Household Items</v>
      </c>
    </row>
    <row r="1541" spans="1:7" x14ac:dyDescent="0.3">
      <c r="A1541" t="s">
        <v>30</v>
      </c>
      <c r="B1541">
        <v>2014</v>
      </c>
      <c r="C1541" t="s">
        <v>41</v>
      </c>
      <c r="D1541" s="2">
        <v>41852</v>
      </c>
      <c r="E1541" t="s">
        <v>23</v>
      </c>
      <c r="F1541">
        <v>114</v>
      </c>
      <c r="G1541" t="str">
        <f>VLOOKUP(Table1_2[[#This Row],[Categories]],Sheet3!$A$1:$B$27,2,FALSE)</f>
        <v>Health</v>
      </c>
    </row>
    <row r="1542" spans="1:7" x14ac:dyDescent="0.3">
      <c r="A1542" t="s">
        <v>30</v>
      </c>
      <c r="B1542">
        <v>2014</v>
      </c>
      <c r="C1542" t="s">
        <v>41</v>
      </c>
      <c r="D1542" s="2">
        <v>41852</v>
      </c>
      <c r="E1542" t="s">
        <v>24</v>
      </c>
      <c r="F1542">
        <v>113.2</v>
      </c>
      <c r="G1542" t="str">
        <f>VLOOKUP(Table1_2[[#This Row],[Categories]],Sheet3!$A$1:$B$27,2,FALSE)</f>
        <v>Transport and communication</v>
      </c>
    </row>
    <row r="1543" spans="1:7" x14ac:dyDescent="0.3">
      <c r="A1543" t="s">
        <v>30</v>
      </c>
      <c r="B1543">
        <v>2014</v>
      </c>
      <c r="C1543" t="s">
        <v>41</v>
      </c>
      <c r="D1543" s="2">
        <v>41852</v>
      </c>
      <c r="E1543" t="s">
        <v>25</v>
      </c>
      <c r="F1543">
        <v>112.2</v>
      </c>
      <c r="G1543" t="str">
        <f>VLOOKUP(Table1_2[[#This Row],[Categories]],Sheet3!$A$1:$B$27,2,FALSE)</f>
        <v>Recreation and amusement</v>
      </c>
    </row>
    <row r="1544" spans="1:7" x14ac:dyDescent="0.3">
      <c r="A1544" t="s">
        <v>30</v>
      </c>
      <c r="B1544">
        <v>2014</v>
      </c>
      <c r="C1544" t="s">
        <v>41</v>
      </c>
      <c r="D1544" s="2">
        <v>41852</v>
      </c>
      <c r="E1544" t="s">
        <v>26</v>
      </c>
      <c r="F1544">
        <v>116.2</v>
      </c>
      <c r="G1544" t="str">
        <f>VLOOKUP(Table1_2[[#This Row],[Categories]],Sheet3!$A$1:$B$27,2,FALSE)</f>
        <v>Education</v>
      </c>
    </row>
    <row r="1545" spans="1:7" x14ac:dyDescent="0.3">
      <c r="A1545" t="s">
        <v>30</v>
      </c>
      <c r="B1545">
        <v>2014</v>
      </c>
      <c r="C1545" t="s">
        <v>41</v>
      </c>
      <c r="D1545" s="2">
        <v>41852</v>
      </c>
      <c r="E1545" t="s">
        <v>27</v>
      </c>
      <c r="F1545">
        <v>109.4</v>
      </c>
      <c r="G1545" t="str">
        <f>VLOOKUP(Table1_2[[#This Row],[Categories]],Sheet3!$A$1:$B$27,2,FALSE)</f>
        <v>Household Items</v>
      </c>
    </row>
    <row r="1546" spans="1:7" x14ac:dyDescent="0.3">
      <c r="A1546" t="s">
        <v>30</v>
      </c>
      <c r="B1546">
        <v>2014</v>
      </c>
      <c r="C1546" t="s">
        <v>41</v>
      </c>
      <c r="D1546" s="2">
        <v>41852</v>
      </c>
      <c r="E1546" t="s">
        <v>28</v>
      </c>
      <c r="F1546">
        <v>113.5</v>
      </c>
      <c r="G1546" t="str">
        <f>VLOOKUP(Table1_2[[#This Row],[Categories]],Sheet3!$A$1:$B$27,2,FALSE)</f>
        <v>Miscellaneous</v>
      </c>
    </row>
    <row r="1547" spans="1:7" x14ac:dyDescent="0.3">
      <c r="A1547" t="s">
        <v>30</v>
      </c>
      <c r="B1547">
        <v>2014</v>
      </c>
      <c r="C1547" t="s">
        <v>41</v>
      </c>
      <c r="D1547" s="2">
        <v>41852</v>
      </c>
      <c r="E1547" t="s">
        <v>29</v>
      </c>
      <c r="F1547">
        <v>120.7</v>
      </c>
      <c r="G1547" t="str">
        <f>VLOOKUP(Table1_2[[#This Row],[Categories]],Sheet3!$A$1:$B$27,2,FALSE)</f>
        <v>General index</v>
      </c>
    </row>
    <row r="1548" spans="1:7" x14ac:dyDescent="0.3">
      <c r="A1548" t="s">
        <v>33</v>
      </c>
      <c r="B1548">
        <v>2014</v>
      </c>
      <c r="C1548" t="s">
        <v>41</v>
      </c>
      <c r="D1548" s="2">
        <v>41852</v>
      </c>
      <c r="E1548" t="s">
        <v>3</v>
      </c>
      <c r="F1548">
        <v>124.8</v>
      </c>
      <c r="G1548" t="str">
        <f>VLOOKUP(Table1_2[[#This Row],[Categories]],Sheet3!$A$1:$B$27,2,FALSE)</f>
        <v>Food &amp;Beverage</v>
      </c>
    </row>
    <row r="1549" spans="1:7" x14ac:dyDescent="0.3">
      <c r="A1549" t="s">
        <v>33</v>
      </c>
      <c r="B1549">
        <v>2014</v>
      </c>
      <c r="C1549" t="s">
        <v>41</v>
      </c>
      <c r="D1549" s="2">
        <v>41852</v>
      </c>
      <c r="E1549" t="s">
        <v>4</v>
      </c>
      <c r="F1549">
        <v>127.3</v>
      </c>
      <c r="G1549" t="str">
        <f>VLOOKUP(Table1_2[[#This Row],[Categories]],Sheet3!$A$1:$B$27,2,FALSE)</f>
        <v>Food &amp;Beverage</v>
      </c>
    </row>
    <row r="1550" spans="1:7" x14ac:dyDescent="0.3">
      <c r="A1550" t="s">
        <v>33</v>
      </c>
      <c r="B1550">
        <v>2014</v>
      </c>
      <c r="C1550" t="s">
        <v>41</v>
      </c>
      <c r="D1550" s="2">
        <v>41852</v>
      </c>
      <c r="E1550" t="s">
        <v>5</v>
      </c>
      <c r="F1550">
        <v>116.5</v>
      </c>
      <c r="G1550" t="str">
        <f>VLOOKUP(Table1_2[[#This Row],[Categories]],Sheet3!$A$1:$B$27,2,FALSE)</f>
        <v>Food &amp;Beverage</v>
      </c>
    </row>
    <row r="1551" spans="1:7" x14ac:dyDescent="0.3">
      <c r="A1551" t="s">
        <v>33</v>
      </c>
      <c r="B1551">
        <v>2014</v>
      </c>
      <c r="C1551" t="s">
        <v>41</v>
      </c>
      <c r="D1551" s="2">
        <v>41852</v>
      </c>
      <c r="E1551" t="s">
        <v>6</v>
      </c>
      <c r="F1551">
        <v>122.2</v>
      </c>
      <c r="G1551" t="str">
        <f>VLOOKUP(Table1_2[[#This Row],[Categories]],Sheet3!$A$1:$B$27,2,FALSE)</f>
        <v>Food &amp;Beverage</v>
      </c>
    </row>
    <row r="1552" spans="1:7" x14ac:dyDescent="0.3">
      <c r="A1552" t="s">
        <v>33</v>
      </c>
      <c r="B1552">
        <v>2014</v>
      </c>
      <c r="C1552" t="s">
        <v>41</v>
      </c>
      <c r="D1552" s="2">
        <v>41852</v>
      </c>
      <c r="E1552" t="s">
        <v>7</v>
      </c>
      <c r="F1552">
        <v>103.6</v>
      </c>
      <c r="G1552" t="str">
        <f>VLOOKUP(Table1_2[[#This Row],[Categories]],Sheet3!$A$1:$B$27,2,FALSE)</f>
        <v>Food &amp;Beverage</v>
      </c>
    </row>
    <row r="1553" spans="1:7" x14ac:dyDescent="0.3">
      <c r="A1553" t="s">
        <v>33</v>
      </c>
      <c r="B1553">
        <v>2014</v>
      </c>
      <c r="C1553" t="s">
        <v>41</v>
      </c>
      <c r="D1553" s="2">
        <v>41852</v>
      </c>
      <c r="E1553" t="s">
        <v>8</v>
      </c>
      <c r="F1553">
        <v>132.69999999999999</v>
      </c>
      <c r="G1553" t="str">
        <f>VLOOKUP(Table1_2[[#This Row],[Categories]],Sheet3!$A$1:$B$27,2,FALSE)</f>
        <v>Food &amp;Beverage</v>
      </c>
    </row>
    <row r="1554" spans="1:7" x14ac:dyDescent="0.3">
      <c r="A1554" t="s">
        <v>33</v>
      </c>
      <c r="B1554">
        <v>2014</v>
      </c>
      <c r="C1554" t="s">
        <v>41</v>
      </c>
      <c r="D1554" s="2">
        <v>41852</v>
      </c>
      <c r="E1554" t="s">
        <v>9</v>
      </c>
      <c r="F1554">
        <v>181.9</v>
      </c>
      <c r="G1554" t="str">
        <f>VLOOKUP(Table1_2[[#This Row],[Categories]],Sheet3!$A$1:$B$27,2,FALSE)</f>
        <v>Food &amp;Beverage</v>
      </c>
    </row>
    <row r="1555" spans="1:7" x14ac:dyDescent="0.3">
      <c r="A1555" t="s">
        <v>33</v>
      </c>
      <c r="B1555">
        <v>2014</v>
      </c>
      <c r="C1555" t="s">
        <v>41</v>
      </c>
      <c r="D1555" s="2">
        <v>41852</v>
      </c>
      <c r="E1555" t="s">
        <v>10</v>
      </c>
      <c r="F1555">
        <v>115.2</v>
      </c>
      <c r="G1555" t="str">
        <f>VLOOKUP(Table1_2[[#This Row],[Categories]],Sheet3!$A$1:$B$27,2,FALSE)</f>
        <v>Food &amp;Beverage</v>
      </c>
    </row>
    <row r="1556" spans="1:7" x14ac:dyDescent="0.3">
      <c r="A1556" t="s">
        <v>33</v>
      </c>
      <c r="B1556">
        <v>2014</v>
      </c>
      <c r="C1556" t="s">
        <v>41</v>
      </c>
      <c r="D1556" s="2">
        <v>41852</v>
      </c>
      <c r="E1556" t="s">
        <v>11</v>
      </c>
      <c r="F1556">
        <v>102.7</v>
      </c>
      <c r="G1556" t="str">
        <f>VLOOKUP(Table1_2[[#This Row],[Categories]],Sheet3!$A$1:$B$27,2,FALSE)</f>
        <v>Food &amp;Beverage</v>
      </c>
    </row>
    <row r="1557" spans="1:7" x14ac:dyDescent="0.3">
      <c r="A1557" t="s">
        <v>33</v>
      </c>
      <c r="B1557">
        <v>2014</v>
      </c>
      <c r="C1557" t="s">
        <v>41</v>
      </c>
      <c r="D1557" s="2">
        <v>41852</v>
      </c>
      <c r="E1557" t="s">
        <v>12</v>
      </c>
      <c r="F1557">
        <v>122.1</v>
      </c>
      <c r="G1557" t="str">
        <f>VLOOKUP(Table1_2[[#This Row],[Categories]],Sheet3!$A$1:$B$27,2,FALSE)</f>
        <v>Food &amp;Beverage</v>
      </c>
    </row>
    <row r="1558" spans="1:7" x14ac:dyDescent="0.3">
      <c r="A1558" t="s">
        <v>33</v>
      </c>
      <c r="B1558">
        <v>2014</v>
      </c>
      <c r="C1558" t="s">
        <v>41</v>
      </c>
      <c r="D1558" s="2">
        <v>41852</v>
      </c>
      <c r="E1558" t="s">
        <v>13</v>
      </c>
      <c r="F1558">
        <v>114.4</v>
      </c>
      <c r="G1558" t="str">
        <f>VLOOKUP(Table1_2[[#This Row],[Categories]],Sheet3!$A$1:$B$27,2,FALSE)</f>
        <v>Food &amp;Beverage</v>
      </c>
    </row>
    <row r="1559" spans="1:7" x14ac:dyDescent="0.3">
      <c r="A1559" t="s">
        <v>33</v>
      </c>
      <c r="B1559">
        <v>2014</v>
      </c>
      <c r="C1559" t="s">
        <v>41</v>
      </c>
      <c r="D1559" s="2">
        <v>41852</v>
      </c>
      <c r="E1559" t="s">
        <v>14</v>
      </c>
      <c r="F1559">
        <v>124.7</v>
      </c>
      <c r="G1559" t="str">
        <f>VLOOKUP(Table1_2[[#This Row],[Categories]],Sheet3!$A$1:$B$27,2,FALSE)</f>
        <v>Food &amp;Beverage</v>
      </c>
    </row>
    <row r="1560" spans="1:7" x14ac:dyDescent="0.3">
      <c r="A1560" t="s">
        <v>33</v>
      </c>
      <c r="B1560">
        <v>2014</v>
      </c>
      <c r="C1560" t="s">
        <v>41</v>
      </c>
      <c r="D1560" s="2">
        <v>41852</v>
      </c>
      <c r="E1560" t="s">
        <v>15</v>
      </c>
      <c r="F1560">
        <v>128.9</v>
      </c>
      <c r="G1560" t="str">
        <f>VLOOKUP(Table1_2[[#This Row],[Categories]],Sheet3!$A$1:$B$27,2,FALSE)</f>
        <v>Food &amp;Beverage</v>
      </c>
    </row>
    <row r="1561" spans="1:7" x14ac:dyDescent="0.3">
      <c r="A1561" t="s">
        <v>33</v>
      </c>
      <c r="B1561">
        <v>2014</v>
      </c>
      <c r="C1561" t="s">
        <v>41</v>
      </c>
      <c r="D1561" s="2">
        <v>41852</v>
      </c>
      <c r="E1561" t="s">
        <v>16</v>
      </c>
      <c r="F1561">
        <v>123</v>
      </c>
      <c r="G1561" t="str">
        <f>VLOOKUP(Table1_2[[#This Row],[Categories]],Sheet3!$A$1:$B$27,2,FALSE)</f>
        <v>Recreation and amusement</v>
      </c>
    </row>
    <row r="1562" spans="1:7" x14ac:dyDescent="0.3">
      <c r="A1562" t="s">
        <v>33</v>
      </c>
      <c r="B1562">
        <v>2014</v>
      </c>
      <c r="C1562" t="s">
        <v>41</v>
      </c>
      <c r="D1562" s="2">
        <v>41852</v>
      </c>
      <c r="E1562" t="s">
        <v>17</v>
      </c>
      <c r="F1562">
        <v>118.6</v>
      </c>
      <c r="G1562" t="str">
        <f>VLOOKUP(Table1_2[[#This Row],[Categories]],Sheet3!$A$1:$B$27,2,FALSE)</f>
        <v>Clothing and footwear</v>
      </c>
    </row>
    <row r="1563" spans="1:7" x14ac:dyDescent="0.3">
      <c r="A1563" t="s">
        <v>33</v>
      </c>
      <c r="B1563">
        <v>2014</v>
      </c>
      <c r="C1563" t="s">
        <v>41</v>
      </c>
      <c r="D1563" s="2">
        <v>41852</v>
      </c>
      <c r="E1563" t="s">
        <v>18</v>
      </c>
      <c r="F1563">
        <v>114.1</v>
      </c>
      <c r="G1563" t="str">
        <f>VLOOKUP(Table1_2[[#This Row],[Categories]],Sheet3!$A$1:$B$27,2,FALSE)</f>
        <v>Clothing and footwear</v>
      </c>
    </row>
    <row r="1564" spans="1:7" x14ac:dyDescent="0.3">
      <c r="A1564" t="s">
        <v>33</v>
      </c>
      <c r="B1564">
        <v>2014</v>
      </c>
      <c r="C1564" t="s">
        <v>41</v>
      </c>
      <c r="D1564" s="2">
        <v>41852</v>
      </c>
      <c r="E1564" t="s">
        <v>19</v>
      </c>
      <c r="F1564">
        <v>117.9</v>
      </c>
      <c r="G1564" t="str">
        <f>VLOOKUP(Table1_2[[#This Row],[Categories]],Sheet3!$A$1:$B$27,2,FALSE)</f>
        <v>Clothing and footwear</v>
      </c>
    </row>
    <row r="1565" spans="1:7" x14ac:dyDescent="0.3">
      <c r="A1565" t="s">
        <v>33</v>
      </c>
      <c r="B1565">
        <v>2014</v>
      </c>
      <c r="C1565" t="s">
        <v>41</v>
      </c>
      <c r="D1565" s="2">
        <v>41852</v>
      </c>
      <c r="E1565" t="s">
        <v>20</v>
      </c>
      <c r="F1565">
        <v>115.5</v>
      </c>
      <c r="G1565" t="str">
        <f>VLOOKUP(Table1_2[[#This Row],[Categories]],Sheet3!$A$1:$B$27,2,FALSE)</f>
        <v>Housing</v>
      </c>
    </row>
    <row r="1566" spans="1:7" x14ac:dyDescent="0.3">
      <c r="A1566" t="s">
        <v>33</v>
      </c>
      <c r="B1566">
        <v>2014</v>
      </c>
      <c r="C1566" t="s">
        <v>41</v>
      </c>
      <c r="D1566" s="2">
        <v>41852</v>
      </c>
      <c r="E1566" t="s">
        <v>21</v>
      </c>
      <c r="F1566">
        <v>111.8</v>
      </c>
      <c r="G1566" t="str">
        <f>VLOOKUP(Table1_2[[#This Row],[Categories]],Sheet3!$A$1:$B$27,2,FALSE)</f>
        <v>Fuel and light</v>
      </c>
    </row>
    <row r="1567" spans="1:7" x14ac:dyDescent="0.3">
      <c r="A1567" t="s">
        <v>33</v>
      </c>
      <c r="B1567">
        <v>2014</v>
      </c>
      <c r="C1567" t="s">
        <v>41</v>
      </c>
      <c r="D1567" s="2">
        <v>41852</v>
      </c>
      <c r="E1567" t="s">
        <v>22</v>
      </c>
      <c r="F1567">
        <v>115.3</v>
      </c>
      <c r="G1567" t="str">
        <f>VLOOKUP(Table1_2[[#This Row],[Categories]],Sheet3!$A$1:$B$27,2,FALSE)</f>
        <v>Household Items</v>
      </c>
    </row>
    <row r="1568" spans="1:7" x14ac:dyDescent="0.3">
      <c r="A1568" t="s">
        <v>33</v>
      </c>
      <c r="B1568">
        <v>2014</v>
      </c>
      <c r="C1568" t="s">
        <v>41</v>
      </c>
      <c r="D1568" s="2">
        <v>41852</v>
      </c>
      <c r="E1568" t="s">
        <v>23</v>
      </c>
      <c r="F1568">
        <v>112.2</v>
      </c>
      <c r="G1568" t="str">
        <f>VLOOKUP(Table1_2[[#This Row],[Categories]],Sheet3!$A$1:$B$27,2,FALSE)</f>
        <v>Health</v>
      </c>
    </row>
    <row r="1569" spans="1:7" x14ac:dyDescent="0.3">
      <c r="A1569" t="s">
        <v>33</v>
      </c>
      <c r="B1569">
        <v>2014</v>
      </c>
      <c r="C1569" t="s">
        <v>41</v>
      </c>
      <c r="D1569" s="2">
        <v>41852</v>
      </c>
      <c r="E1569" t="s">
        <v>24</v>
      </c>
      <c r="F1569">
        <v>112.5</v>
      </c>
      <c r="G1569" t="str">
        <f>VLOOKUP(Table1_2[[#This Row],[Categories]],Sheet3!$A$1:$B$27,2,FALSE)</f>
        <v>Transport and communication</v>
      </c>
    </row>
    <row r="1570" spans="1:7" x14ac:dyDescent="0.3">
      <c r="A1570" t="s">
        <v>33</v>
      </c>
      <c r="B1570">
        <v>2014</v>
      </c>
      <c r="C1570" t="s">
        <v>41</v>
      </c>
      <c r="D1570" s="2">
        <v>41852</v>
      </c>
      <c r="E1570" t="s">
        <v>25</v>
      </c>
      <c r="F1570">
        <v>112.9</v>
      </c>
      <c r="G1570" t="str">
        <f>VLOOKUP(Table1_2[[#This Row],[Categories]],Sheet3!$A$1:$B$27,2,FALSE)</f>
        <v>Recreation and amusement</v>
      </c>
    </row>
    <row r="1571" spans="1:7" x14ac:dyDescent="0.3">
      <c r="A1571" t="s">
        <v>33</v>
      </c>
      <c r="B1571">
        <v>2014</v>
      </c>
      <c r="C1571" t="s">
        <v>41</v>
      </c>
      <c r="D1571" s="2">
        <v>41852</v>
      </c>
      <c r="E1571" t="s">
        <v>26</v>
      </c>
      <c r="F1571">
        <v>119.2</v>
      </c>
      <c r="G1571" t="str">
        <f>VLOOKUP(Table1_2[[#This Row],[Categories]],Sheet3!$A$1:$B$27,2,FALSE)</f>
        <v>Education</v>
      </c>
    </row>
    <row r="1572" spans="1:7" x14ac:dyDescent="0.3">
      <c r="A1572" t="s">
        <v>33</v>
      </c>
      <c r="B1572">
        <v>2014</v>
      </c>
      <c r="C1572" t="s">
        <v>41</v>
      </c>
      <c r="D1572" s="2">
        <v>41852</v>
      </c>
      <c r="E1572" t="s">
        <v>27</v>
      </c>
      <c r="F1572">
        <v>110.5</v>
      </c>
      <c r="G1572" t="str">
        <f>VLOOKUP(Table1_2[[#This Row],[Categories]],Sheet3!$A$1:$B$27,2,FALSE)</f>
        <v>Household Items</v>
      </c>
    </row>
    <row r="1573" spans="1:7" x14ac:dyDescent="0.3">
      <c r="A1573" t="s">
        <v>33</v>
      </c>
      <c r="B1573">
        <v>2014</v>
      </c>
      <c r="C1573" t="s">
        <v>41</v>
      </c>
      <c r="D1573" s="2">
        <v>41852</v>
      </c>
      <c r="E1573" t="s">
        <v>28</v>
      </c>
      <c r="F1573">
        <v>113.9</v>
      </c>
      <c r="G1573" t="str">
        <f>VLOOKUP(Table1_2[[#This Row],[Categories]],Sheet3!$A$1:$B$27,2,FALSE)</f>
        <v>Miscellaneous</v>
      </c>
    </row>
    <row r="1574" spans="1:7" x14ac:dyDescent="0.3">
      <c r="A1574" t="s">
        <v>33</v>
      </c>
      <c r="B1574">
        <v>2014</v>
      </c>
      <c r="C1574" t="s">
        <v>41</v>
      </c>
      <c r="D1574" s="2">
        <v>41852</v>
      </c>
      <c r="E1574" t="s">
        <v>29</v>
      </c>
      <c r="F1574">
        <v>119.9</v>
      </c>
      <c r="G1574" t="str">
        <f>VLOOKUP(Table1_2[[#This Row],[Categories]],Sheet3!$A$1:$B$27,2,FALSE)</f>
        <v>General index</v>
      </c>
    </row>
    <row r="1575" spans="1:7" x14ac:dyDescent="0.3">
      <c r="A1575" t="s">
        <v>34</v>
      </c>
      <c r="B1575">
        <v>2014</v>
      </c>
      <c r="C1575" t="s">
        <v>41</v>
      </c>
      <c r="D1575" s="2">
        <v>41852</v>
      </c>
      <c r="E1575" t="s">
        <v>3</v>
      </c>
      <c r="F1575">
        <v>122.7</v>
      </c>
      <c r="G1575" t="str">
        <f>VLOOKUP(Table1_2[[#This Row],[Categories]],Sheet3!$A$1:$B$27,2,FALSE)</f>
        <v>Food &amp;Beverage</v>
      </c>
    </row>
    <row r="1576" spans="1:7" x14ac:dyDescent="0.3">
      <c r="A1576" t="s">
        <v>34</v>
      </c>
      <c r="B1576">
        <v>2014</v>
      </c>
      <c r="C1576" t="s">
        <v>41</v>
      </c>
      <c r="D1576" s="2">
        <v>41852</v>
      </c>
      <c r="E1576" t="s">
        <v>4</v>
      </c>
      <c r="F1576">
        <v>124.4</v>
      </c>
      <c r="G1576" t="str">
        <f>VLOOKUP(Table1_2[[#This Row],[Categories]],Sheet3!$A$1:$B$27,2,FALSE)</f>
        <v>Food &amp;Beverage</v>
      </c>
    </row>
    <row r="1577" spans="1:7" x14ac:dyDescent="0.3">
      <c r="A1577" t="s">
        <v>34</v>
      </c>
      <c r="B1577">
        <v>2014</v>
      </c>
      <c r="C1577" t="s">
        <v>41</v>
      </c>
      <c r="D1577" s="2">
        <v>41852</v>
      </c>
      <c r="E1577" t="s">
        <v>5</v>
      </c>
      <c r="F1577">
        <v>117.3</v>
      </c>
      <c r="G1577" t="str">
        <f>VLOOKUP(Table1_2[[#This Row],[Categories]],Sheet3!$A$1:$B$27,2,FALSE)</f>
        <v>Food &amp;Beverage</v>
      </c>
    </row>
    <row r="1578" spans="1:7" x14ac:dyDescent="0.3">
      <c r="A1578" t="s">
        <v>34</v>
      </c>
      <c r="B1578">
        <v>2014</v>
      </c>
      <c r="C1578" t="s">
        <v>41</v>
      </c>
      <c r="D1578" s="2">
        <v>41852</v>
      </c>
      <c r="E1578" t="s">
        <v>6</v>
      </c>
      <c r="F1578">
        <v>122</v>
      </c>
      <c r="G1578" t="str">
        <f>VLOOKUP(Table1_2[[#This Row],[Categories]],Sheet3!$A$1:$B$27,2,FALSE)</f>
        <v>Food &amp;Beverage</v>
      </c>
    </row>
    <row r="1579" spans="1:7" x14ac:dyDescent="0.3">
      <c r="A1579" t="s">
        <v>34</v>
      </c>
      <c r="B1579">
        <v>2014</v>
      </c>
      <c r="C1579" t="s">
        <v>41</v>
      </c>
      <c r="D1579" s="2">
        <v>41852</v>
      </c>
      <c r="E1579" t="s">
        <v>7</v>
      </c>
      <c r="F1579">
        <v>108</v>
      </c>
      <c r="G1579" t="str">
        <f>VLOOKUP(Table1_2[[#This Row],[Categories]],Sheet3!$A$1:$B$27,2,FALSE)</f>
        <v>Food &amp;Beverage</v>
      </c>
    </row>
    <row r="1580" spans="1:7" x14ac:dyDescent="0.3">
      <c r="A1580" t="s">
        <v>34</v>
      </c>
      <c r="B1580">
        <v>2014</v>
      </c>
      <c r="C1580" t="s">
        <v>41</v>
      </c>
      <c r="D1580" s="2">
        <v>41852</v>
      </c>
      <c r="E1580" t="s">
        <v>8</v>
      </c>
      <c r="F1580">
        <v>131.1</v>
      </c>
      <c r="G1580" t="str">
        <f>VLOOKUP(Table1_2[[#This Row],[Categories]],Sheet3!$A$1:$B$27,2,FALSE)</f>
        <v>Food &amp;Beverage</v>
      </c>
    </row>
    <row r="1581" spans="1:7" x14ac:dyDescent="0.3">
      <c r="A1581" t="s">
        <v>34</v>
      </c>
      <c r="B1581">
        <v>2014</v>
      </c>
      <c r="C1581" t="s">
        <v>41</v>
      </c>
      <c r="D1581" s="2">
        <v>41852</v>
      </c>
      <c r="E1581" t="s">
        <v>9</v>
      </c>
      <c r="F1581">
        <v>168.2</v>
      </c>
      <c r="G1581" t="str">
        <f>VLOOKUP(Table1_2[[#This Row],[Categories]],Sheet3!$A$1:$B$27,2,FALSE)</f>
        <v>Food &amp;Beverage</v>
      </c>
    </row>
    <row r="1582" spans="1:7" x14ac:dyDescent="0.3">
      <c r="A1582" t="s">
        <v>34</v>
      </c>
      <c r="B1582">
        <v>2014</v>
      </c>
      <c r="C1582" t="s">
        <v>41</v>
      </c>
      <c r="D1582" s="2">
        <v>41852</v>
      </c>
      <c r="E1582" t="s">
        <v>10</v>
      </c>
      <c r="F1582">
        <v>114.5</v>
      </c>
      <c r="G1582" t="str">
        <f>VLOOKUP(Table1_2[[#This Row],[Categories]],Sheet3!$A$1:$B$27,2,FALSE)</f>
        <v>Food &amp;Beverage</v>
      </c>
    </row>
    <row r="1583" spans="1:7" x14ac:dyDescent="0.3">
      <c r="A1583" t="s">
        <v>34</v>
      </c>
      <c r="B1583">
        <v>2014</v>
      </c>
      <c r="C1583" t="s">
        <v>41</v>
      </c>
      <c r="D1583" s="2">
        <v>41852</v>
      </c>
      <c r="E1583" t="s">
        <v>11</v>
      </c>
      <c r="F1583">
        <v>104.3</v>
      </c>
      <c r="G1583" t="str">
        <f>VLOOKUP(Table1_2[[#This Row],[Categories]],Sheet3!$A$1:$B$27,2,FALSE)</f>
        <v>Food &amp;Beverage</v>
      </c>
    </row>
    <row r="1584" spans="1:7" x14ac:dyDescent="0.3">
      <c r="A1584" t="s">
        <v>34</v>
      </c>
      <c r="B1584">
        <v>2014</v>
      </c>
      <c r="C1584" t="s">
        <v>41</v>
      </c>
      <c r="D1584" s="2">
        <v>41852</v>
      </c>
      <c r="E1584" t="s">
        <v>12</v>
      </c>
      <c r="F1584">
        <v>117.1</v>
      </c>
      <c r="G1584" t="str">
        <f>VLOOKUP(Table1_2[[#This Row],[Categories]],Sheet3!$A$1:$B$27,2,FALSE)</f>
        <v>Food &amp;Beverage</v>
      </c>
    </row>
    <row r="1585" spans="1:7" x14ac:dyDescent="0.3">
      <c r="A1585" t="s">
        <v>34</v>
      </c>
      <c r="B1585">
        <v>2014</v>
      </c>
      <c r="C1585" t="s">
        <v>41</v>
      </c>
      <c r="D1585" s="2">
        <v>41852</v>
      </c>
      <c r="E1585" t="s">
        <v>13</v>
      </c>
      <c r="F1585">
        <v>115.2</v>
      </c>
      <c r="G1585" t="str">
        <f>VLOOKUP(Table1_2[[#This Row],[Categories]],Sheet3!$A$1:$B$27,2,FALSE)</f>
        <v>Food &amp;Beverage</v>
      </c>
    </row>
    <row r="1586" spans="1:7" x14ac:dyDescent="0.3">
      <c r="A1586" t="s">
        <v>34</v>
      </c>
      <c r="B1586">
        <v>2014</v>
      </c>
      <c r="C1586" t="s">
        <v>41</v>
      </c>
      <c r="D1586" s="2">
        <v>41852</v>
      </c>
      <c r="E1586" t="s">
        <v>14</v>
      </c>
      <c r="F1586">
        <v>123.1</v>
      </c>
      <c r="G1586" t="str">
        <f>VLOOKUP(Table1_2[[#This Row],[Categories]],Sheet3!$A$1:$B$27,2,FALSE)</f>
        <v>Food &amp;Beverage</v>
      </c>
    </row>
    <row r="1587" spans="1:7" x14ac:dyDescent="0.3">
      <c r="A1587" t="s">
        <v>34</v>
      </c>
      <c r="B1587">
        <v>2014</v>
      </c>
      <c r="C1587" t="s">
        <v>41</v>
      </c>
      <c r="D1587" s="2">
        <v>41852</v>
      </c>
      <c r="E1587" t="s">
        <v>15</v>
      </c>
      <c r="F1587">
        <v>126.6</v>
      </c>
      <c r="G1587" t="str">
        <f>VLOOKUP(Table1_2[[#This Row],[Categories]],Sheet3!$A$1:$B$27,2,FALSE)</f>
        <v>Food &amp;Beverage</v>
      </c>
    </row>
    <row r="1588" spans="1:7" x14ac:dyDescent="0.3">
      <c r="A1588" t="s">
        <v>34</v>
      </c>
      <c r="B1588">
        <v>2014</v>
      </c>
      <c r="C1588" t="s">
        <v>41</v>
      </c>
      <c r="D1588" s="2">
        <v>41852</v>
      </c>
      <c r="E1588" t="s">
        <v>16</v>
      </c>
      <c r="F1588">
        <v>119.9</v>
      </c>
      <c r="G1588" t="str">
        <f>VLOOKUP(Table1_2[[#This Row],[Categories]],Sheet3!$A$1:$B$27,2,FALSE)</f>
        <v>Recreation and amusement</v>
      </c>
    </row>
    <row r="1589" spans="1:7" x14ac:dyDescent="0.3">
      <c r="A1589" t="s">
        <v>34</v>
      </c>
      <c r="B1589">
        <v>2014</v>
      </c>
      <c r="C1589" t="s">
        <v>41</v>
      </c>
      <c r="D1589" s="2">
        <v>41852</v>
      </c>
      <c r="E1589" t="s">
        <v>17</v>
      </c>
      <c r="F1589">
        <v>120</v>
      </c>
      <c r="G1589" t="str">
        <f>VLOOKUP(Table1_2[[#This Row],[Categories]],Sheet3!$A$1:$B$27,2,FALSE)</f>
        <v>Clothing and footwear</v>
      </c>
    </row>
    <row r="1590" spans="1:7" x14ac:dyDescent="0.3">
      <c r="A1590" t="s">
        <v>34</v>
      </c>
      <c r="B1590">
        <v>2014</v>
      </c>
      <c r="C1590" t="s">
        <v>41</v>
      </c>
      <c r="D1590" s="2">
        <v>41852</v>
      </c>
      <c r="E1590" t="s">
        <v>18</v>
      </c>
      <c r="F1590">
        <v>116.8</v>
      </c>
      <c r="G1590" t="str">
        <f>VLOOKUP(Table1_2[[#This Row],[Categories]],Sheet3!$A$1:$B$27,2,FALSE)</f>
        <v>Clothing and footwear</v>
      </c>
    </row>
    <row r="1591" spans="1:7" x14ac:dyDescent="0.3">
      <c r="A1591" t="s">
        <v>34</v>
      </c>
      <c r="B1591">
        <v>2014</v>
      </c>
      <c r="C1591" t="s">
        <v>41</v>
      </c>
      <c r="D1591" s="2">
        <v>41852</v>
      </c>
      <c r="E1591" t="s">
        <v>19</v>
      </c>
      <c r="F1591">
        <v>119.6</v>
      </c>
      <c r="G1591" t="str">
        <f>VLOOKUP(Table1_2[[#This Row],[Categories]],Sheet3!$A$1:$B$27,2,FALSE)</f>
        <v>Clothing and footwear</v>
      </c>
    </row>
    <row r="1592" spans="1:7" x14ac:dyDescent="0.3">
      <c r="A1592" t="s">
        <v>34</v>
      </c>
      <c r="B1592">
        <v>2014</v>
      </c>
      <c r="C1592" t="s">
        <v>41</v>
      </c>
      <c r="D1592" s="2">
        <v>41852</v>
      </c>
      <c r="E1592" t="s">
        <v>20</v>
      </c>
      <c r="F1592">
        <v>115.5</v>
      </c>
      <c r="G1592" t="str">
        <f>VLOOKUP(Table1_2[[#This Row],[Categories]],Sheet3!$A$1:$B$27,2,FALSE)</f>
        <v>Housing</v>
      </c>
    </row>
    <row r="1593" spans="1:7" x14ac:dyDescent="0.3">
      <c r="A1593" t="s">
        <v>34</v>
      </c>
      <c r="B1593">
        <v>2014</v>
      </c>
      <c r="C1593" t="s">
        <v>41</v>
      </c>
      <c r="D1593" s="2">
        <v>41852</v>
      </c>
      <c r="E1593" t="s">
        <v>21</v>
      </c>
      <c r="F1593">
        <v>114</v>
      </c>
      <c r="G1593" t="str">
        <f>VLOOKUP(Table1_2[[#This Row],[Categories]],Sheet3!$A$1:$B$27,2,FALSE)</f>
        <v>Fuel and light</v>
      </c>
    </row>
    <row r="1594" spans="1:7" x14ac:dyDescent="0.3">
      <c r="A1594" t="s">
        <v>34</v>
      </c>
      <c r="B1594">
        <v>2014</v>
      </c>
      <c r="C1594" t="s">
        <v>41</v>
      </c>
      <c r="D1594" s="2">
        <v>41852</v>
      </c>
      <c r="E1594" t="s">
        <v>22</v>
      </c>
      <c r="F1594">
        <v>115.6</v>
      </c>
      <c r="G1594" t="str">
        <f>VLOOKUP(Table1_2[[#This Row],[Categories]],Sheet3!$A$1:$B$27,2,FALSE)</f>
        <v>Household Items</v>
      </c>
    </row>
    <row r="1595" spans="1:7" x14ac:dyDescent="0.3">
      <c r="A1595" t="s">
        <v>34</v>
      </c>
      <c r="B1595">
        <v>2014</v>
      </c>
      <c r="C1595" t="s">
        <v>41</v>
      </c>
      <c r="D1595" s="2">
        <v>41852</v>
      </c>
      <c r="E1595" t="s">
        <v>23</v>
      </c>
      <c r="F1595">
        <v>113.3</v>
      </c>
      <c r="G1595" t="str">
        <f>VLOOKUP(Table1_2[[#This Row],[Categories]],Sheet3!$A$1:$B$27,2,FALSE)</f>
        <v>Health</v>
      </c>
    </row>
    <row r="1596" spans="1:7" x14ac:dyDescent="0.3">
      <c r="A1596" t="s">
        <v>34</v>
      </c>
      <c r="B1596">
        <v>2014</v>
      </c>
      <c r="C1596" t="s">
        <v>41</v>
      </c>
      <c r="D1596" s="2">
        <v>41852</v>
      </c>
      <c r="E1596" t="s">
        <v>24</v>
      </c>
      <c r="F1596">
        <v>112.8</v>
      </c>
      <c r="G1596" t="str">
        <f>VLOOKUP(Table1_2[[#This Row],[Categories]],Sheet3!$A$1:$B$27,2,FALSE)</f>
        <v>Transport and communication</v>
      </c>
    </row>
    <row r="1597" spans="1:7" x14ac:dyDescent="0.3">
      <c r="A1597" t="s">
        <v>34</v>
      </c>
      <c r="B1597">
        <v>2014</v>
      </c>
      <c r="C1597" t="s">
        <v>41</v>
      </c>
      <c r="D1597" s="2">
        <v>41852</v>
      </c>
      <c r="E1597" t="s">
        <v>25</v>
      </c>
      <c r="F1597">
        <v>112.6</v>
      </c>
      <c r="G1597" t="str">
        <f>VLOOKUP(Table1_2[[#This Row],[Categories]],Sheet3!$A$1:$B$27,2,FALSE)</f>
        <v>Recreation and amusement</v>
      </c>
    </row>
    <row r="1598" spans="1:7" x14ac:dyDescent="0.3">
      <c r="A1598" t="s">
        <v>34</v>
      </c>
      <c r="B1598">
        <v>2014</v>
      </c>
      <c r="C1598" t="s">
        <v>41</v>
      </c>
      <c r="D1598" s="2">
        <v>41852</v>
      </c>
      <c r="E1598" t="s">
        <v>26</v>
      </c>
      <c r="F1598">
        <v>118</v>
      </c>
      <c r="G1598" t="str">
        <f>VLOOKUP(Table1_2[[#This Row],[Categories]],Sheet3!$A$1:$B$27,2,FALSE)</f>
        <v>Education</v>
      </c>
    </row>
    <row r="1599" spans="1:7" x14ac:dyDescent="0.3">
      <c r="A1599" t="s">
        <v>34</v>
      </c>
      <c r="B1599">
        <v>2014</v>
      </c>
      <c r="C1599" t="s">
        <v>41</v>
      </c>
      <c r="D1599" s="2">
        <v>41852</v>
      </c>
      <c r="E1599" t="s">
        <v>27</v>
      </c>
      <c r="F1599">
        <v>109.9</v>
      </c>
      <c r="G1599" t="str">
        <f>VLOOKUP(Table1_2[[#This Row],[Categories]],Sheet3!$A$1:$B$27,2,FALSE)</f>
        <v>Household Items</v>
      </c>
    </row>
    <row r="1600" spans="1:7" x14ac:dyDescent="0.3">
      <c r="A1600" t="s">
        <v>34</v>
      </c>
      <c r="B1600">
        <v>2014</v>
      </c>
      <c r="C1600" t="s">
        <v>41</v>
      </c>
      <c r="D1600" s="2">
        <v>41852</v>
      </c>
      <c r="E1600" t="s">
        <v>28</v>
      </c>
      <c r="F1600">
        <v>113.7</v>
      </c>
      <c r="G1600" t="str">
        <f>VLOOKUP(Table1_2[[#This Row],[Categories]],Sheet3!$A$1:$B$27,2,FALSE)</f>
        <v>Miscellaneous</v>
      </c>
    </row>
    <row r="1601" spans="1:7" x14ac:dyDescent="0.3">
      <c r="A1601" t="s">
        <v>34</v>
      </c>
      <c r="B1601">
        <v>2014</v>
      </c>
      <c r="C1601" t="s">
        <v>41</v>
      </c>
      <c r="D1601" s="2">
        <v>41852</v>
      </c>
      <c r="E1601" t="s">
        <v>29</v>
      </c>
      <c r="F1601">
        <v>120.3</v>
      </c>
      <c r="G1601" t="str">
        <f>VLOOKUP(Table1_2[[#This Row],[Categories]],Sheet3!$A$1:$B$27,2,FALSE)</f>
        <v>General index</v>
      </c>
    </row>
    <row r="1602" spans="1:7" x14ac:dyDescent="0.3">
      <c r="A1602" t="s">
        <v>30</v>
      </c>
      <c r="B1602">
        <v>2014</v>
      </c>
      <c r="C1602" t="s">
        <v>42</v>
      </c>
      <c r="D1602" s="2">
        <v>41883</v>
      </c>
      <c r="E1602" t="s">
        <v>3</v>
      </c>
      <c r="F1602">
        <v>122.3</v>
      </c>
      <c r="G1602" t="str">
        <f>VLOOKUP(Table1_2[[#This Row],[Categories]],Sheet3!$A$1:$B$27,2,FALSE)</f>
        <v>Food &amp;Beverage</v>
      </c>
    </row>
    <row r="1603" spans="1:7" x14ac:dyDescent="0.3">
      <c r="A1603" t="s">
        <v>30</v>
      </c>
      <c r="B1603">
        <v>2014</v>
      </c>
      <c r="C1603" t="s">
        <v>42</v>
      </c>
      <c r="D1603" s="2">
        <v>41883</v>
      </c>
      <c r="E1603" t="s">
        <v>4</v>
      </c>
      <c r="F1603">
        <v>122.4</v>
      </c>
      <c r="G1603" t="str">
        <f>VLOOKUP(Table1_2[[#This Row],[Categories]],Sheet3!$A$1:$B$27,2,FALSE)</f>
        <v>Food &amp;Beverage</v>
      </c>
    </row>
    <row r="1604" spans="1:7" x14ac:dyDescent="0.3">
      <c r="A1604" t="s">
        <v>30</v>
      </c>
      <c r="B1604">
        <v>2014</v>
      </c>
      <c r="C1604" t="s">
        <v>42</v>
      </c>
      <c r="D1604" s="2">
        <v>41883</v>
      </c>
      <c r="E1604" t="s">
        <v>5</v>
      </c>
      <c r="F1604">
        <v>117.8</v>
      </c>
      <c r="G1604" t="str">
        <f>VLOOKUP(Table1_2[[#This Row],[Categories]],Sheet3!$A$1:$B$27,2,FALSE)</f>
        <v>Food &amp;Beverage</v>
      </c>
    </row>
    <row r="1605" spans="1:7" x14ac:dyDescent="0.3">
      <c r="A1605" t="s">
        <v>30</v>
      </c>
      <c r="B1605">
        <v>2014</v>
      </c>
      <c r="C1605" t="s">
        <v>42</v>
      </c>
      <c r="D1605" s="2">
        <v>41883</v>
      </c>
      <c r="E1605" t="s">
        <v>6</v>
      </c>
      <c r="F1605">
        <v>122.7</v>
      </c>
      <c r="G1605" t="str">
        <f>VLOOKUP(Table1_2[[#This Row],[Categories]],Sheet3!$A$1:$B$27,2,FALSE)</f>
        <v>Food &amp;Beverage</v>
      </c>
    </row>
    <row r="1606" spans="1:7" x14ac:dyDescent="0.3">
      <c r="A1606" t="s">
        <v>30</v>
      </c>
      <c r="B1606">
        <v>2014</v>
      </c>
      <c r="C1606" t="s">
        <v>42</v>
      </c>
      <c r="D1606" s="2">
        <v>41883</v>
      </c>
      <c r="E1606" t="s">
        <v>7</v>
      </c>
      <c r="F1606">
        <v>110.4</v>
      </c>
      <c r="G1606" t="str">
        <f>VLOOKUP(Table1_2[[#This Row],[Categories]],Sheet3!$A$1:$B$27,2,FALSE)</f>
        <v>Food &amp;Beverage</v>
      </c>
    </row>
    <row r="1607" spans="1:7" x14ac:dyDescent="0.3">
      <c r="A1607" t="s">
        <v>30</v>
      </c>
      <c r="B1607">
        <v>2014</v>
      </c>
      <c r="C1607" t="s">
        <v>42</v>
      </c>
      <c r="D1607" s="2">
        <v>41883</v>
      </c>
      <c r="E1607" t="s">
        <v>8</v>
      </c>
      <c r="F1607">
        <v>129.80000000000001</v>
      </c>
      <c r="G1607" t="str">
        <f>VLOOKUP(Table1_2[[#This Row],[Categories]],Sheet3!$A$1:$B$27,2,FALSE)</f>
        <v>Food &amp;Beverage</v>
      </c>
    </row>
    <row r="1608" spans="1:7" x14ac:dyDescent="0.3">
      <c r="A1608" t="s">
        <v>30</v>
      </c>
      <c r="B1608">
        <v>2014</v>
      </c>
      <c r="C1608" t="s">
        <v>42</v>
      </c>
      <c r="D1608" s="2">
        <v>41883</v>
      </c>
      <c r="E1608" t="s">
        <v>9</v>
      </c>
      <c r="F1608">
        <v>158.80000000000001</v>
      </c>
      <c r="G1608" t="str">
        <f>VLOOKUP(Table1_2[[#This Row],[Categories]],Sheet3!$A$1:$B$27,2,FALSE)</f>
        <v>Food &amp;Beverage</v>
      </c>
    </row>
    <row r="1609" spans="1:7" x14ac:dyDescent="0.3">
      <c r="A1609" t="s">
        <v>30</v>
      </c>
      <c r="B1609">
        <v>2014</v>
      </c>
      <c r="C1609" t="s">
        <v>42</v>
      </c>
      <c r="D1609" s="2">
        <v>41883</v>
      </c>
      <c r="E1609" t="s">
        <v>10</v>
      </c>
      <c r="F1609">
        <v>115</v>
      </c>
      <c r="G1609" t="str">
        <f>VLOOKUP(Table1_2[[#This Row],[Categories]],Sheet3!$A$1:$B$27,2,FALSE)</f>
        <v>Food &amp;Beverage</v>
      </c>
    </row>
    <row r="1610" spans="1:7" x14ac:dyDescent="0.3">
      <c r="A1610" t="s">
        <v>30</v>
      </c>
      <c r="B1610">
        <v>2014</v>
      </c>
      <c r="C1610" t="s">
        <v>42</v>
      </c>
      <c r="D1610" s="2">
        <v>41883</v>
      </c>
      <c r="E1610" t="s">
        <v>11</v>
      </c>
      <c r="F1610">
        <v>104.7</v>
      </c>
      <c r="G1610" t="str">
        <f>VLOOKUP(Table1_2[[#This Row],[Categories]],Sheet3!$A$1:$B$27,2,FALSE)</f>
        <v>Food &amp;Beverage</v>
      </c>
    </row>
    <row r="1611" spans="1:7" x14ac:dyDescent="0.3">
      <c r="A1611" t="s">
        <v>30</v>
      </c>
      <c r="B1611">
        <v>2014</v>
      </c>
      <c r="C1611" t="s">
        <v>42</v>
      </c>
      <c r="D1611" s="2">
        <v>41883</v>
      </c>
      <c r="E1611" t="s">
        <v>12</v>
      </c>
      <c r="F1611">
        <v>114.9</v>
      </c>
      <c r="G1611" t="str">
        <f>VLOOKUP(Table1_2[[#This Row],[Categories]],Sheet3!$A$1:$B$27,2,FALSE)</f>
        <v>Food &amp;Beverage</v>
      </c>
    </row>
    <row r="1612" spans="1:7" x14ac:dyDescent="0.3">
      <c r="A1612" t="s">
        <v>30</v>
      </c>
      <c r="B1612">
        <v>2014</v>
      </c>
      <c r="C1612" t="s">
        <v>42</v>
      </c>
      <c r="D1612" s="2">
        <v>41883</v>
      </c>
      <c r="E1612" t="s">
        <v>13</v>
      </c>
      <c r="F1612">
        <v>116.5</v>
      </c>
      <c r="G1612" t="str">
        <f>VLOOKUP(Table1_2[[#This Row],[Categories]],Sheet3!$A$1:$B$27,2,FALSE)</f>
        <v>Food &amp;Beverage</v>
      </c>
    </row>
    <row r="1613" spans="1:7" x14ac:dyDescent="0.3">
      <c r="A1613" t="s">
        <v>30</v>
      </c>
      <c r="B1613">
        <v>2014</v>
      </c>
      <c r="C1613" t="s">
        <v>42</v>
      </c>
      <c r="D1613" s="2">
        <v>41883</v>
      </c>
      <c r="E1613" t="s">
        <v>14</v>
      </c>
      <c r="F1613">
        <v>122.6</v>
      </c>
      <c r="G1613" t="str">
        <f>VLOOKUP(Table1_2[[#This Row],[Categories]],Sheet3!$A$1:$B$27,2,FALSE)</f>
        <v>Food &amp;Beverage</v>
      </c>
    </row>
    <row r="1614" spans="1:7" x14ac:dyDescent="0.3">
      <c r="A1614" t="s">
        <v>30</v>
      </c>
      <c r="B1614">
        <v>2014</v>
      </c>
      <c r="C1614" t="s">
        <v>42</v>
      </c>
      <c r="D1614" s="2">
        <v>41883</v>
      </c>
      <c r="E1614" t="s">
        <v>15</v>
      </c>
      <c r="F1614">
        <v>125.3</v>
      </c>
      <c r="G1614" t="str">
        <f>VLOOKUP(Table1_2[[#This Row],[Categories]],Sheet3!$A$1:$B$27,2,FALSE)</f>
        <v>Food &amp;Beverage</v>
      </c>
    </row>
    <row r="1615" spans="1:7" x14ac:dyDescent="0.3">
      <c r="A1615" t="s">
        <v>30</v>
      </c>
      <c r="B1615">
        <v>2014</v>
      </c>
      <c r="C1615" t="s">
        <v>42</v>
      </c>
      <c r="D1615" s="2">
        <v>41883</v>
      </c>
      <c r="E1615" t="s">
        <v>16</v>
      </c>
      <c r="F1615">
        <v>119.5</v>
      </c>
      <c r="G1615" t="str">
        <f>VLOOKUP(Table1_2[[#This Row],[Categories]],Sheet3!$A$1:$B$27,2,FALSE)</f>
        <v>Recreation and amusement</v>
      </c>
    </row>
    <row r="1616" spans="1:7" x14ac:dyDescent="0.3">
      <c r="A1616" t="s">
        <v>30</v>
      </c>
      <c r="B1616">
        <v>2014</v>
      </c>
      <c r="C1616" t="s">
        <v>42</v>
      </c>
      <c r="D1616" s="2">
        <v>41883</v>
      </c>
      <c r="E1616" t="s">
        <v>17</v>
      </c>
      <c r="F1616">
        <v>121.7</v>
      </c>
      <c r="G1616" t="str">
        <f>VLOOKUP(Table1_2[[#This Row],[Categories]],Sheet3!$A$1:$B$27,2,FALSE)</f>
        <v>Clothing and footwear</v>
      </c>
    </row>
    <row r="1617" spans="1:7" x14ac:dyDescent="0.3">
      <c r="A1617" t="s">
        <v>30</v>
      </c>
      <c r="B1617">
        <v>2014</v>
      </c>
      <c r="C1617" t="s">
        <v>42</v>
      </c>
      <c r="D1617" s="2">
        <v>41883</v>
      </c>
      <c r="E1617" t="s">
        <v>18</v>
      </c>
      <c r="F1617">
        <v>119.2</v>
      </c>
      <c r="G1617" t="str">
        <f>VLOOKUP(Table1_2[[#This Row],[Categories]],Sheet3!$A$1:$B$27,2,FALSE)</f>
        <v>Clothing and footwear</v>
      </c>
    </row>
    <row r="1618" spans="1:7" x14ac:dyDescent="0.3">
      <c r="A1618" t="s">
        <v>30</v>
      </c>
      <c r="B1618">
        <v>2014</v>
      </c>
      <c r="C1618" t="s">
        <v>42</v>
      </c>
      <c r="D1618" s="2">
        <v>41883</v>
      </c>
      <c r="E1618" t="s">
        <v>19</v>
      </c>
      <c r="F1618">
        <v>121.3</v>
      </c>
      <c r="G1618" t="str">
        <f>VLOOKUP(Table1_2[[#This Row],[Categories]],Sheet3!$A$1:$B$27,2,FALSE)</f>
        <v>Clothing and footwear</v>
      </c>
    </row>
    <row r="1619" spans="1:7" x14ac:dyDescent="0.3">
      <c r="A1619" t="s">
        <v>30</v>
      </c>
      <c r="B1619">
        <v>2014</v>
      </c>
      <c r="C1619" t="s">
        <v>42</v>
      </c>
      <c r="D1619" s="2">
        <v>41883</v>
      </c>
      <c r="E1619" t="s">
        <v>21</v>
      </c>
      <c r="F1619">
        <v>115.8</v>
      </c>
      <c r="G1619" t="str">
        <f>VLOOKUP(Table1_2[[#This Row],[Categories]],Sheet3!$A$1:$B$27,2,FALSE)</f>
        <v>Fuel and light</v>
      </c>
    </row>
    <row r="1620" spans="1:7" x14ac:dyDescent="0.3">
      <c r="A1620" t="s">
        <v>30</v>
      </c>
      <c r="B1620">
        <v>2014</v>
      </c>
      <c r="C1620" t="s">
        <v>42</v>
      </c>
      <c r="D1620" s="2">
        <v>41883</v>
      </c>
      <c r="E1620" t="s">
        <v>22</v>
      </c>
      <c r="F1620">
        <v>116.7</v>
      </c>
      <c r="G1620" t="str">
        <f>VLOOKUP(Table1_2[[#This Row],[Categories]],Sheet3!$A$1:$B$27,2,FALSE)</f>
        <v>Household Items</v>
      </c>
    </row>
    <row r="1621" spans="1:7" x14ac:dyDescent="0.3">
      <c r="A1621" t="s">
        <v>30</v>
      </c>
      <c r="B1621">
        <v>2014</v>
      </c>
      <c r="C1621" t="s">
        <v>42</v>
      </c>
      <c r="D1621" s="2">
        <v>41883</v>
      </c>
      <c r="E1621" t="s">
        <v>23</v>
      </c>
      <c r="F1621">
        <v>114.5</v>
      </c>
      <c r="G1621" t="str">
        <f>VLOOKUP(Table1_2[[#This Row],[Categories]],Sheet3!$A$1:$B$27,2,FALSE)</f>
        <v>Health</v>
      </c>
    </row>
    <row r="1622" spans="1:7" x14ac:dyDescent="0.3">
      <c r="A1622" t="s">
        <v>30</v>
      </c>
      <c r="B1622">
        <v>2014</v>
      </c>
      <c r="C1622" t="s">
        <v>42</v>
      </c>
      <c r="D1622" s="2">
        <v>41883</v>
      </c>
      <c r="E1622" t="s">
        <v>24</v>
      </c>
      <c r="F1622">
        <v>112.8</v>
      </c>
      <c r="G1622" t="str">
        <f>VLOOKUP(Table1_2[[#This Row],[Categories]],Sheet3!$A$1:$B$27,2,FALSE)</f>
        <v>Transport and communication</v>
      </c>
    </row>
    <row r="1623" spans="1:7" x14ac:dyDescent="0.3">
      <c r="A1623" t="s">
        <v>30</v>
      </c>
      <c r="B1623">
        <v>2014</v>
      </c>
      <c r="C1623" t="s">
        <v>42</v>
      </c>
      <c r="D1623" s="2">
        <v>41883</v>
      </c>
      <c r="E1623" t="s">
        <v>25</v>
      </c>
      <c r="F1623">
        <v>112.6</v>
      </c>
      <c r="G1623" t="str">
        <f>VLOOKUP(Table1_2[[#This Row],[Categories]],Sheet3!$A$1:$B$27,2,FALSE)</f>
        <v>Recreation and amusement</v>
      </c>
    </row>
    <row r="1624" spans="1:7" x14ac:dyDescent="0.3">
      <c r="A1624" t="s">
        <v>30</v>
      </c>
      <c r="B1624">
        <v>2014</v>
      </c>
      <c r="C1624" t="s">
        <v>42</v>
      </c>
      <c r="D1624" s="2">
        <v>41883</v>
      </c>
      <c r="E1624" t="s">
        <v>26</v>
      </c>
      <c r="F1624">
        <v>116.6</v>
      </c>
      <c r="G1624" t="str">
        <f>VLOOKUP(Table1_2[[#This Row],[Categories]],Sheet3!$A$1:$B$27,2,FALSE)</f>
        <v>Education</v>
      </c>
    </row>
    <row r="1625" spans="1:7" x14ac:dyDescent="0.3">
      <c r="A1625" t="s">
        <v>30</v>
      </c>
      <c r="B1625">
        <v>2014</v>
      </c>
      <c r="C1625" t="s">
        <v>42</v>
      </c>
      <c r="D1625" s="2">
        <v>41883</v>
      </c>
      <c r="E1625" t="s">
        <v>27</v>
      </c>
      <c r="F1625">
        <v>109.1</v>
      </c>
      <c r="G1625" t="str">
        <f>VLOOKUP(Table1_2[[#This Row],[Categories]],Sheet3!$A$1:$B$27,2,FALSE)</f>
        <v>Household Items</v>
      </c>
    </row>
    <row r="1626" spans="1:7" x14ac:dyDescent="0.3">
      <c r="A1626" t="s">
        <v>30</v>
      </c>
      <c r="B1626">
        <v>2014</v>
      </c>
      <c r="C1626" t="s">
        <v>42</v>
      </c>
      <c r="D1626" s="2">
        <v>41883</v>
      </c>
      <c r="E1626" t="s">
        <v>28</v>
      </c>
      <c r="F1626">
        <v>113.7</v>
      </c>
      <c r="G1626" t="str">
        <f>VLOOKUP(Table1_2[[#This Row],[Categories]],Sheet3!$A$1:$B$27,2,FALSE)</f>
        <v>Miscellaneous</v>
      </c>
    </row>
    <row r="1627" spans="1:7" x14ac:dyDescent="0.3">
      <c r="A1627" t="s">
        <v>30</v>
      </c>
      <c r="B1627">
        <v>2014</v>
      </c>
      <c r="C1627" t="s">
        <v>42</v>
      </c>
      <c r="D1627" s="2">
        <v>41883</v>
      </c>
      <c r="E1627" t="s">
        <v>29</v>
      </c>
      <c r="F1627">
        <v>120.9</v>
      </c>
      <c r="G1627" t="str">
        <f>VLOOKUP(Table1_2[[#This Row],[Categories]],Sheet3!$A$1:$B$27,2,FALSE)</f>
        <v>General index</v>
      </c>
    </row>
    <row r="1628" spans="1:7" x14ac:dyDescent="0.3">
      <c r="A1628" t="s">
        <v>33</v>
      </c>
      <c r="B1628">
        <v>2014</v>
      </c>
      <c r="C1628" t="s">
        <v>42</v>
      </c>
      <c r="D1628" s="2">
        <v>41883</v>
      </c>
      <c r="E1628" t="s">
        <v>3</v>
      </c>
      <c r="F1628">
        <v>124.2</v>
      </c>
      <c r="G1628" t="str">
        <f>VLOOKUP(Table1_2[[#This Row],[Categories]],Sheet3!$A$1:$B$27,2,FALSE)</f>
        <v>Food &amp;Beverage</v>
      </c>
    </row>
    <row r="1629" spans="1:7" x14ac:dyDescent="0.3">
      <c r="A1629" t="s">
        <v>33</v>
      </c>
      <c r="B1629">
        <v>2014</v>
      </c>
      <c r="C1629" t="s">
        <v>42</v>
      </c>
      <c r="D1629" s="2">
        <v>41883</v>
      </c>
      <c r="E1629" t="s">
        <v>4</v>
      </c>
      <c r="F1629">
        <v>125.4</v>
      </c>
      <c r="G1629" t="str">
        <f>VLOOKUP(Table1_2[[#This Row],[Categories]],Sheet3!$A$1:$B$27,2,FALSE)</f>
        <v>Food &amp;Beverage</v>
      </c>
    </row>
    <row r="1630" spans="1:7" x14ac:dyDescent="0.3">
      <c r="A1630" t="s">
        <v>33</v>
      </c>
      <c r="B1630">
        <v>2014</v>
      </c>
      <c r="C1630" t="s">
        <v>42</v>
      </c>
      <c r="D1630" s="2">
        <v>41883</v>
      </c>
      <c r="E1630" t="s">
        <v>5</v>
      </c>
      <c r="F1630">
        <v>116.4</v>
      </c>
      <c r="G1630" t="str">
        <f>VLOOKUP(Table1_2[[#This Row],[Categories]],Sheet3!$A$1:$B$27,2,FALSE)</f>
        <v>Food &amp;Beverage</v>
      </c>
    </row>
    <row r="1631" spans="1:7" x14ac:dyDescent="0.3">
      <c r="A1631" t="s">
        <v>33</v>
      </c>
      <c r="B1631">
        <v>2014</v>
      </c>
      <c r="C1631" t="s">
        <v>42</v>
      </c>
      <c r="D1631" s="2">
        <v>41883</v>
      </c>
      <c r="E1631" t="s">
        <v>6</v>
      </c>
      <c r="F1631">
        <v>122.7</v>
      </c>
      <c r="G1631" t="str">
        <f>VLOOKUP(Table1_2[[#This Row],[Categories]],Sheet3!$A$1:$B$27,2,FALSE)</f>
        <v>Food &amp;Beverage</v>
      </c>
    </row>
    <row r="1632" spans="1:7" x14ac:dyDescent="0.3">
      <c r="A1632" t="s">
        <v>33</v>
      </c>
      <c r="B1632">
        <v>2014</v>
      </c>
      <c r="C1632" t="s">
        <v>42</v>
      </c>
      <c r="D1632" s="2">
        <v>41883</v>
      </c>
      <c r="E1632" t="s">
        <v>7</v>
      </c>
      <c r="F1632">
        <v>103.5</v>
      </c>
      <c r="G1632" t="str">
        <f>VLOOKUP(Table1_2[[#This Row],[Categories]],Sheet3!$A$1:$B$27,2,FALSE)</f>
        <v>Food &amp;Beverage</v>
      </c>
    </row>
    <row r="1633" spans="1:7" x14ac:dyDescent="0.3">
      <c r="A1633" t="s">
        <v>33</v>
      </c>
      <c r="B1633">
        <v>2014</v>
      </c>
      <c r="C1633" t="s">
        <v>42</v>
      </c>
      <c r="D1633" s="2">
        <v>41883</v>
      </c>
      <c r="E1633" t="s">
        <v>8</v>
      </c>
      <c r="F1633">
        <v>124.5</v>
      </c>
      <c r="G1633" t="str">
        <f>VLOOKUP(Table1_2[[#This Row],[Categories]],Sheet3!$A$1:$B$27,2,FALSE)</f>
        <v>Food &amp;Beverage</v>
      </c>
    </row>
    <row r="1634" spans="1:7" x14ac:dyDescent="0.3">
      <c r="A1634" t="s">
        <v>33</v>
      </c>
      <c r="B1634">
        <v>2014</v>
      </c>
      <c r="C1634" t="s">
        <v>42</v>
      </c>
      <c r="D1634" s="2">
        <v>41883</v>
      </c>
      <c r="E1634" t="s">
        <v>9</v>
      </c>
      <c r="F1634">
        <v>168.6</v>
      </c>
      <c r="G1634" t="str">
        <f>VLOOKUP(Table1_2[[#This Row],[Categories]],Sheet3!$A$1:$B$27,2,FALSE)</f>
        <v>Food &amp;Beverage</v>
      </c>
    </row>
    <row r="1635" spans="1:7" x14ac:dyDescent="0.3">
      <c r="A1635" t="s">
        <v>33</v>
      </c>
      <c r="B1635">
        <v>2014</v>
      </c>
      <c r="C1635" t="s">
        <v>42</v>
      </c>
      <c r="D1635" s="2">
        <v>41883</v>
      </c>
      <c r="E1635" t="s">
        <v>10</v>
      </c>
      <c r="F1635">
        <v>116.9</v>
      </c>
      <c r="G1635" t="str">
        <f>VLOOKUP(Table1_2[[#This Row],[Categories]],Sheet3!$A$1:$B$27,2,FALSE)</f>
        <v>Food &amp;Beverage</v>
      </c>
    </row>
    <row r="1636" spans="1:7" x14ac:dyDescent="0.3">
      <c r="A1636" t="s">
        <v>33</v>
      </c>
      <c r="B1636">
        <v>2014</v>
      </c>
      <c r="C1636" t="s">
        <v>42</v>
      </c>
      <c r="D1636" s="2">
        <v>41883</v>
      </c>
      <c r="E1636" t="s">
        <v>11</v>
      </c>
      <c r="F1636">
        <v>101.9</v>
      </c>
      <c r="G1636" t="str">
        <f>VLOOKUP(Table1_2[[#This Row],[Categories]],Sheet3!$A$1:$B$27,2,FALSE)</f>
        <v>Food &amp;Beverage</v>
      </c>
    </row>
    <row r="1637" spans="1:7" x14ac:dyDescent="0.3">
      <c r="A1637" t="s">
        <v>33</v>
      </c>
      <c r="B1637">
        <v>2014</v>
      </c>
      <c r="C1637" t="s">
        <v>42</v>
      </c>
      <c r="D1637" s="2">
        <v>41883</v>
      </c>
      <c r="E1637" t="s">
        <v>12</v>
      </c>
      <c r="F1637">
        <v>122.9</v>
      </c>
      <c r="G1637" t="str">
        <f>VLOOKUP(Table1_2[[#This Row],[Categories]],Sheet3!$A$1:$B$27,2,FALSE)</f>
        <v>Food &amp;Beverage</v>
      </c>
    </row>
    <row r="1638" spans="1:7" x14ac:dyDescent="0.3">
      <c r="A1638" t="s">
        <v>33</v>
      </c>
      <c r="B1638">
        <v>2014</v>
      </c>
      <c r="C1638" t="s">
        <v>42</v>
      </c>
      <c r="D1638" s="2">
        <v>41883</v>
      </c>
      <c r="E1638" t="s">
        <v>13</v>
      </c>
      <c r="F1638">
        <v>114.8</v>
      </c>
      <c r="G1638" t="str">
        <f>VLOOKUP(Table1_2[[#This Row],[Categories]],Sheet3!$A$1:$B$27,2,FALSE)</f>
        <v>Food &amp;Beverage</v>
      </c>
    </row>
    <row r="1639" spans="1:7" x14ac:dyDescent="0.3">
      <c r="A1639" t="s">
        <v>33</v>
      </c>
      <c r="B1639">
        <v>2014</v>
      </c>
      <c r="C1639" t="s">
        <v>42</v>
      </c>
      <c r="D1639" s="2">
        <v>41883</v>
      </c>
      <c r="E1639" t="s">
        <v>14</v>
      </c>
      <c r="F1639">
        <v>125.2</v>
      </c>
      <c r="G1639" t="str">
        <f>VLOOKUP(Table1_2[[#This Row],[Categories]],Sheet3!$A$1:$B$27,2,FALSE)</f>
        <v>Food &amp;Beverage</v>
      </c>
    </row>
    <row r="1640" spans="1:7" x14ac:dyDescent="0.3">
      <c r="A1640" t="s">
        <v>33</v>
      </c>
      <c r="B1640">
        <v>2014</v>
      </c>
      <c r="C1640" t="s">
        <v>42</v>
      </c>
      <c r="D1640" s="2">
        <v>41883</v>
      </c>
      <c r="E1640" t="s">
        <v>15</v>
      </c>
      <c r="F1640">
        <v>126.7</v>
      </c>
      <c r="G1640" t="str">
        <f>VLOOKUP(Table1_2[[#This Row],[Categories]],Sheet3!$A$1:$B$27,2,FALSE)</f>
        <v>Food &amp;Beverage</v>
      </c>
    </row>
    <row r="1641" spans="1:7" x14ac:dyDescent="0.3">
      <c r="A1641" t="s">
        <v>33</v>
      </c>
      <c r="B1641">
        <v>2014</v>
      </c>
      <c r="C1641" t="s">
        <v>42</v>
      </c>
      <c r="D1641" s="2">
        <v>41883</v>
      </c>
      <c r="E1641" t="s">
        <v>16</v>
      </c>
      <c r="F1641">
        <v>124.3</v>
      </c>
      <c r="G1641" t="str">
        <f>VLOOKUP(Table1_2[[#This Row],[Categories]],Sheet3!$A$1:$B$27,2,FALSE)</f>
        <v>Recreation and amusement</v>
      </c>
    </row>
    <row r="1642" spans="1:7" x14ac:dyDescent="0.3">
      <c r="A1642" t="s">
        <v>33</v>
      </c>
      <c r="B1642">
        <v>2014</v>
      </c>
      <c r="C1642" t="s">
        <v>42</v>
      </c>
      <c r="D1642" s="2">
        <v>41883</v>
      </c>
      <c r="E1642" t="s">
        <v>17</v>
      </c>
      <c r="F1642">
        <v>119.2</v>
      </c>
      <c r="G1642" t="str">
        <f>VLOOKUP(Table1_2[[#This Row],[Categories]],Sheet3!$A$1:$B$27,2,FALSE)</f>
        <v>Clothing and footwear</v>
      </c>
    </row>
    <row r="1643" spans="1:7" x14ac:dyDescent="0.3">
      <c r="A1643" t="s">
        <v>33</v>
      </c>
      <c r="B1643">
        <v>2014</v>
      </c>
      <c r="C1643" t="s">
        <v>42</v>
      </c>
      <c r="D1643" s="2">
        <v>41883</v>
      </c>
      <c r="E1643" t="s">
        <v>18</v>
      </c>
      <c r="F1643">
        <v>114.5</v>
      </c>
      <c r="G1643" t="str">
        <f>VLOOKUP(Table1_2[[#This Row],[Categories]],Sheet3!$A$1:$B$27,2,FALSE)</f>
        <v>Clothing and footwear</v>
      </c>
    </row>
    <row r="1644" spans="1:7" x14ac:dyDescent="0.3">
      <c r="A1644" t="s">
        <v>33</v>
      </c>
      <c r="B1644">
        <v>2014</v>
      </c>
      <c r="C1644" t="s">
        <v>42</v>
      </c>
      <c r="D1644" s="2">
        <v>41883</v>
      </c>
      <c r="E1644" t="s">
        <v>19</v>
      </c>
      <c r="F1644">
        <v>118.4</v>
      </c>
      <c r="G1644" t="str">
        <f>VLOOKUP(Table1_2[[#This Row],[Categories]],Sheet3!$A$1:$B$27,2,FALSE)</f>
        <v>Clothing and footwear</v>
      </c>
    </row>
    <row r="1645" spans="1:7" x14ac:dyDescent="0.3">
      <c r="A1645" t="s">
        <v>33</v>
      </c>
      <c r="B1645">
        <v>2014</v>
      </c>
      <c r="C1645" t="s">
        <v>42</v>
      </c>
      <c r="D1645" s="2">
        <v>41883</v>
      </c>
      <c r="E1645" t="s">
        <v>20</v>
      </c>
      <c r="F1645">
        <v>116.1</v>
      </c>
      <c r="G1645" t="str">
        <f>VLOOKUP(Table1_2[[#This Row],[Categories]],Sheet3!$A$1:$B$27,2,FALSE)</f>
        <v>Housing</v>
      </c>
    </row>
    <row r="1646" spans="1:7" x14ac:dyDescent="0.3">
      <c r="A1646" t="s">
        <v>33</v>
      </c>
      <c r="B1646">
        <v>2014</v>
      </c>
      <c r="C1646" t="s">
        <v>42</v>
      </c>
      <c r="D1646" s="2">
        <v>41883</v>
      </c>
      <c r="E1646" t="s">
        <v>21</v>
      </c>
      <c r="F1646">
        <v>111.8</v>
      </c>
      <c r="G1646" t="str">
        <f>VLOOKUP(Table1_2[[#This Row],[Categories]],Sheet3!$A$1:$B$27,2,FALSE)</f>
        <v>Fuel and light</v>
      </c>
    </row>
    <row r="1647" spans="1:7" x14ac:dyDescent="0.3">
      <c r="A1647" t="s">
        <v>33</v>
      </c>
      <c r="B1647">
        <v>2014</v>
      </c>
      <c r="C1647" t="s">
        <v>42</v>
      </c>
      <c r="D1647" s="2">
        <v>41883</v>
      </c>
      <c r="E1647" t="s">
        <v>22</v>
      </c>
      <c r="F1647">
        <v>115.5</v>
      </c>
      <c r="G1647" t="str">
        <f>VLOOKUP(Table1_2[[#This Row],[Categories]],Sheet3!$A$1:$B$27,2,FALSE)</f>
        <v>Household Items</v>
      </c>
    </row>
    <row r="1648" spans="1:7" x14ac:dyDescent="0.3">
      <c r="A1648" t="s">
        <v>33</v>
      </c>
      <c r="B1648">
        <v>2014</v>
      </c>
      <c r="C1648" t="s">
        <v>42</v>
      </c>
      <c r="D1648" s="2">
        <v>41883</v>
      </c>
      <c r="E1648" t="s">
        <v>23</v>
      </c>
      <c r="F1648">
        <v>112.3</v>
      </c>
      <c r="G1648" t="str">
        <f>VLOOKUP(Table1_2[[#This Row],[Categories]],Sheet3!$A$1:$B$27,2,FALSE)</f>
        <v>Health</v>
      </c>
    </row>
    <row r="1649" spans="1:7" x14ac:dyDescent="0.3">
      <c r="A1649" t="s">
        <v>33</v>
      </c>
      <c r="B1649">
        <v>2014</v>
      </c>
      <c r="C1649" t="s">
        <v>42</v>
      </c>
      <c r="D1649" s="2">
        <v>41883</v>
      </c>
      <c r="E1649" t="s">
        <v>24</v>
      </c>
      <c r="F1649">
        <v>111.2</v>
      </c>
      <c r="G1649" t="str">
        <f>VLOOKUP(Table1_2[[#This Row],[Categories]],Sheet3!$A$1:$B$27,2,FALSE)</f>
        <v>Transport and communication</v>
      </c>
    </row>
    <row r="1650" spans="1:7" x14ac:dyDescent="0.3">
      <c r="A1650" t="s">
        <v>33</v>
      </c>
      <c r="B1650">
        <v>2014</v>
      </c>
      <c r="C1650" t="s">
        <v>42</v>
      </c>
      <c r="D1650" s="2">
        <v>41883</v>
      </c>
      <c r="E1650" t="s">
        <v>25</v>
      </c>
      <c r="F1650">
        <v>113.4</v>
      </c>
      <c r="G1650" t="str">
        <f>VLOOKUP(Table1_2[[#This Row],[Categories]],Sheet3!$A$1:$B$27,2,FALSE)</f>
        <v>Recreation and amusement</v>
      </c>
    </row>
    <row r="1651" spans="1:7" x14ac:dyDescent="0.3">
      <c r="A1651" t="s">
        <v>33</v>
      </c>
      <c r="B1651">
        <v>2014</v>
      </c>
      <c r="C1651" t="s">
        <v>42</v>
      </c>
      <c r="D1651" s="2">
        <v>41883</v>
      </c>
      <c r="E1651" t="s">
        <v>26</v>
      </c>
      <c r="F1651">
        <v>120</v>
      </c>
      <c r="G1651" t="str">
        <f>VLOOKUP(Table1_2[[#This Row],[Categories]],Sheet3!$A$1:$B$27,2,FALSE)</f>
        <v>Education</v>
      </c>
    </row>
    <row r="1652" spans="1:7" x14ac:dyDescent="0.3">
      <c r="A1652" t="s">
        <v>33</v>
      </c>
      <c r="B1652">
        <v>2014</v>
      </c>
      <c r="C1652" t="s">
        <v>42</v>
      </c>
      <c r="D1652" s="2">
        <v>41883</v>
      </c>
      <c r="E1652" t="s">
        <v>27</v>
      </c>
      <c r="F1652">
        <v>110</v>
      </c>
      <c r="G1652" t="str">
        <f>VLOOKUP(Table1_2[[#This Row],[Categories]],Sheet3!$A$1:$B$27,2,FALSE)</f>
        <v>Household Items</v>
      </c>
    </row>
    <row r="1653" spans="1:7" x14ac:dyDescent="0.3">
      <c r="A1653" t="s">
        <v>33</v>
      </c>
      <c r="B1653">
        <v>2014</v>
      </c>
      <c r="C1653" t="s">
        <v>42</v>
      </c>
      <c r="D1653" s="2">
        <v>41883</v>
      </c>
      <c r="E1653" t="s">
        <v>28</v>
      </c>
      <c r="F1653">
        <v>113.6</v>
      </c>
      <c r="G1653" t="str">
        <f>VLOOKUP(Table1_2[[#This Row],[Categories]],Sheet3!$A$1:$B$27,2,FALSE)</f>
        <v>Miscellaneous</v>
      </c>
    </row>
    <row r="1654" spans="1:7" x14ac:dyDescent="0.3">
      <c r="A1654" t="s">
        <v>33</v>
      </c>
      <c r="B1654">
        <v>2014</v>
      </c>
      <c r="C1654" t="s">
        <v>42</v>
      </c>
      <c r="D1654" s="2">
        <v>41883</v>
      </c>
      <c r="E1654" t="s">
        <v>29</v>
      </c>
      <c r="F1654">
        <v>119.2</v>
      </c>
      <c r="G1654" t="str">
        <f>VLOOKUP(Table1_2[[#This Row],[Categories]],Sheet3!$A$1:$B$27,2,FALSE)</f>
        <v>General index</v>
      </c>
    </row>
    <row r="1655" spans="1:7" x14ac:dyDescent="0.3">
      <c r="A1655" t="s">
        <v>34</v>
      </c>
      <c r="B1655">
        <v>2014</v>
      </c>
      <c r="C1655" t="s">
        <v>42</v>
      </c>
      <c r="D1655" s="2">
        <v>41883</v>
      </c>
      <c r="E1655" t="s">
        <v>3</v>
      </c>
      <c r="F1655">
        <v>122.9</v>
      </c>
      <c r="G1655" t="str">
        <f>VLOOKUP(Table1_2[[#This Row],[Categories]],Sheet3!$A$1:$B$27,2,FALSE)</f>
        <v>Food &amp;Beverage</v>
      </c>
    </row>
    <row r="1656" spans="1:7" x14ac:dyDescent="0.3">
      <c r="A1656" t="s">
        <v>34</v>
      </c>
      <c r="B1656">
        <v>2014</v>
      </c>
      <c r="C1656" t="s">
        <v>42</v>
      </c>
      <c r="D1656" s="2">
        <v>41883</v>
      </c>
      <c r="E1656" t="s">
        <v>4</v>
      </c>
      <c r="F1656">
        <v>123.5</v>
      </c>
      <c r="G1656" t="str">
        <f>VLOOKUP(Table1_2[[#This Row],[Categories]],Sheet3!$A$1:$B$27,2,FALSE)</f>
        <v>Food &amp;Beverage</v>
      </c>
    </row>
    <row r="1657" spans="1:7" x14ac:dyDescent="0.3">
      <c r="A1657" t="s">
        <v>34</v>
      </c>
      <c r="B1657">
        <v>2014</v>
      </c>
      <c r="C1657" t="s">
        <v>42</v>
      </c>
      <c r="D1657" s="2">
        <v>41883</v>
      </c>
      <c r="E1657" t="s">
        <v>5</v>
      </c>
      <c r="F1657">
        <v>117.3</v>
      </c>
      <c r="G1657" t="str">
        <f>VLOOKUP(Table1_2[[#This Row],[Categories]],Sheet3!$A$1:$B$27,2,FALSE)</f>
        <v>Food &amp;Beverage</v>
      </c>
    </row>
    <row r="1658" spans="1:7" x14ac:dyDescent="0.3">
      <c r="A1658" t="s">
        <v>34</v>
      </c>
      <c r="B1658">
        <v>2014</v>
      </c>
      <c r="C1658" t="s">
        <v>42</v>
      </c>
      <c r="D1658" s="2">
        <v>41883</v>
      </c>
      <c r="E1658" t="s">
        <v>6</v>
      </c>
      <c r="F1658">
        <v>122.7</v>
      </c>
      <c r="G1658" t="str">
        <f>VLOOKUP(Table1_2[[#This Row],[Categories]],Sheet3!$A$1:$B$27,2,FALSE)</f>
        <v>Food &amp;Beverage</v>
      </c>
    </row>
    <row r="1659" spans="1:7" x14ac:dyDescent="0.3">
      <c r="A1659" t="s">
        <v>34</v>
      </c>
      <c r="B1659">
        <v>2014</v>
      </c>
      <c r="C1659" t="s">
        <v>42</v>
      </c>
      <c r="D1659" s="2">
        <v>41883</v>
      </c>
      <c r="E1659" t="s">
        <v>7</v>
      </c>
      <c r="F1659">
        <v>107.9</v>
      </c>
      <c r="G1659" t="str">
        <f>VLOOKUP(Table1_2[[#This Row],[Categories]],Sheet3!$A$1:$B$27,2,FALSE)</f>
        <v>Food &amp;Beverage</v>
      </c>
    </row>
    <row r="1660" spans="1:7" x14ac:dyDescent="0.3">
      <c r="A1660" t="s">
        <v>34</v>
      </c>
      <c r="B1660">
        <v>2014</v>
      </c>
      <c r="C1660" t="s">
        <v>42</v>
      </c>
      <c r="D1660" s="2">
        <v>41883</v>
      </c>
      <c r="E1660" t="s">
        <v>8</v>
      </c>
      <c r="F1660">
        <v>127.3</v>
      </c>
      <c r="G1660" t="str">
        <f>VLOOKUP(Table1_2[[#This Row],[Categories]],Sheet3!$A$1:$B$27,2,FALSE)</f>
        <v>Food &amp;Beverage</v>
      </c>
    </row>
    <row r="1661" spans="1:7" x14ac:dyDescent="0.3">
      <c r="A1661" t="s">
        <v>34</v>
      </c>
      <c r="B1661">
        <v>2014</v>
      </c>
      <c r="C1661" t="s">
        <v>42</v>
      </c>
      <c r="D1661" s="2">
        <v>41883</v>
      </c>
      <c r="E1661" t="s">
        <v>9</v>
      </c>
      <c r="F1661">
        <v>162.1</v>
      </c>
      <c r="G1661" t="str">
        <f>VLOOKUP(Table1_2[[#This Row],[Categories]],Sheet3!$A$1:$B$27,2,FALSE)</f>
        <v>Food &amp;Beverage</v>
      </c>
    </row>
    <row r="1662" spans="1:7" x14ac:dyDescent="0.3">
      <c r="A1662" t="s">
        <v>34</v>
      </c>
      <c r="B1662">
        <v>2014</v>
      </c>
      <c r="C1662" t="s">
        <v>42</v>
      </c>
      <c r="D1662" s="2">
        <v>41883</v>
      </c>
      <c r="E1662" t="s">
        <v>10</v>
      </c>
      <c r="F1662">
        <v>115.6</v>
      </c>
      <c r="G1662" t="str">
        <f>VLOOKUP(Table1_2[[#This Row],[Categories]],Sheet3!$A$1:$B$27,2,FALSE)</f>
        <v>Food &amp;Beverage</v>
      </c>
    </row>
    <row r="1663" spans="1:7" x14ac:dyDescent="0.3">
      <c r="A1663" t="s">
        <v>34</v>
      </c>
      <c r="B1663">
        <v>2014</v>
      </c>
      <c r="C1663" t="s">
        <v>42</v>
      </c>
      <c r="D1663" s="2">
        <v>41883</v>
      </c>
      <c r="E1663" t="s">
        <v>11</v>
      </c>
      <c r="F1663">
        <v>103.8</v>
      </c>
      <c r="G1663" t="str">
        <f>VLOOKUP(Table1_2[[#This Row],[Categories]],Sheet3!$A$1:$B$27,2,FALSE)</f>
        <v>Food &amp;Beverage</v>
      </c>
    </row>
    <row r="1664" spans="1:7" x14ac:dyDescent="0.3">
      <c r="A1664" t="s">
        <v>34</v>
      </c>
      <c r="B1664">
        <v>2014</v>
      </c>
      <c r="C1664" t="s">
        <v>42</v>
      </c>
      <c r="D1664" s="2">
        <v>41883</v>
      </c>
      <c r="E1664" t="s">
        <v>12</v>
      </c>
      <c r="F1664">
        <v>117.6</v>
      </c>
      <c r="G1664" t="str">
        <f>VLOOKUP(Table1_2[[#This Row],[Categories]],Sheet3!$A$1:$B$27,2,FALSE)</f>
        <v>Food &amp;Beverage</v>
      </c>
    </row>
    <row r="1665" spans="1:7" x14ac:dyDescent="0.3">
      <c r="A1665" t="s">
        <v>34</v>
      </c>
      <c r="B1665">
        <v>2014</v>
      </c>
      <c r="C1665" t="s">
        <v>42</v>
      </c>
      <c r="D1665" s="2">
        <v>41883</v>
      </c>
      <c r="E1665" t="s">
        <v>13</v>
      </c>
      <c r="F1665">
        <v>115.8</v>
      </c>
      <c r="G1665" t="str">
        <f>VLOOKUP(Table1_2[[#This Row],[Categories]],Sheet3!$A$1:$B$27,2,FALSE)</f>
        <v>Food &amp;Beverage</v>
      </c>
    </row>
    <row r="1666" spans="1:7" x14ac:dyDescent="0.3">
      <c r="A1666" t="s">
        <v>34</v>
      </c>
      <c r="B1666">
        <v>2014</v>
      </c>
      <c r="C1666" t="s">
        <v>42</v>
      </c>
      <c r="D1666" s="2">
        <v>41883</v>
      </c>
      <c r="E1666" t="s">
        <v>14</v>
      </c>
      <c r="F1666">
        <v>123.8</v>
      </c>
      <c r="G1666" t="str">
        <f>VLOOKUP(Table1_2[[#This Row],[Categories]],Sheet3!$A$1:$B$27,2,FALSE)</f>
        <v>Food &amp;Beverage</v>
      </c>
    </row>
    <row r="1667" spans="1:7" x14ac:dyDescent="0.3">
      <c r="A1667" t="s">
        <v>34</v>
      </c>
      <c r="B1667">
        <v>2014</v>
      </c>
      <c r="C1667" t="s">
        <v>42</v>
      </c>
      <c r="D1667" s="2">
        <v>41883</v>
      </c>
      <c r="E1667" t="s">
        <v>15</v>
      </c>
      <c r="F1667">
        <v>125.8</v>
      </c>
      <c r="G1667" t="str">
        <f>VLOOKUP(Table1_2[[#This Row],[Categories]],Sheet3!$A$1:$B$27,2,FALSE)</f>
        <v>Food &amp;Beverage</v>
      </c>
    </row>
    <row r="1668" spans="1:7" x14ac:dyDescent="0.3">
      <c r="A1668" t="s">
        <v>34</v>
      </c>
      <c r="B1668">
        <v>2014</v>
      </c>
      <c r="C1668" t="s">
        <v>42</v>
      </c>
      <c r="D1668" s="2">
        <v>41883</v>
      </c>
      <c r="E1668" t="s">
        <v>16</v>
      </c>
      <c r="F1668">
        <v>120.8</v>
      </c>
      <c r="G1668" t="str">
        <f>VLOOKUP(Table1_2[[#This Row],[Categories]],Sheet3!$A$1:$B$27,2,FALSE)</f>
        <v>Recreation and amusement</v>
      </c>
    </row>
    <row r="1669" spans="1:7" x14ac:dyDescent="0.3">
      <c r="A1669" t="s">
        <v>34</v>
      </c>
      <c r="B1669">
        <v>2014</v>
      </c>
      <c r="C1669" t="s">
        <v>42</v>
      </c>
      <c r="D1669" s="2">
        <v>41883</v>
      </c>
      <c r="E1669" t="s">
        <v>17</v>
      </c>
      <c r="F1669">
        <v>120.7</v>
      </c>
      <c r="G1669" t="str">
        <f>VLOOKUP(Table1_2[[#This Row],[Categories]],Sheet3!$A$1:$B$27,2,FALSE)</f>
        <v>Clothing and footwear</v>
      </c>
    </row>
    <row r="1670" spans="1:7" x14ac:dyDescent="0.3">
      <c r="A1670" t="s">
        <v>34</v>
      </c>
      <c r="B1670">
        <v>2014</v>
      </c>
      <c r="C1670" t="s">
        <v>42</v>
      </c>
      <c r="D1670" s="2">
        <v>41883</v>
      </c>
      <c r="E1670" t="s">
        <v>18</v>
      </c>
      <c r="F1670">
        <v>117.2</v>
      </c>
      <c r="G1670" t="str">
        <f>VLOOKUP(Table1_2[[#This Row],[Categories]],Sheet3!$A$1:$B$27,2,FALSE)</f>
        <v>Clothing and footwear</v>
      </c>
    </row>
    <row r="1671" spans="1:7" x14ac:dyDescent="0.3">
      <c r="A1671" t="s">
        <v>34</v>
      </c>
      <c r="B1671">
        <v>2014</v>
      </c>
      <c r="C1671" t="s">
        <v>42</v>
      </c>
      <c r="D1671" s="2">
        <v>41883</v>
      </c>
      <c r="E1671" t="s">
        <v>19</v>
      </c>
      <c r="F1671">
        <v>120.1</v>
      </c>
      <c r="G1671" t="str">
        <f>VLOOKUP(Table1_2[[#This Row],[Categories]],Sheet3!$A$1:$B$27,2,FALSE)</f>
        <v>Clothing and footwear</v>
      </c>
    </row>
    <row r="1672" spans="1:7" x14ac:dyDescent="0.3">
      <c r="A1672" t="s">
        <v>34</v>
      </c>
      <c r="B1672">
        <v>2014</v>
      </c>
      <c r="C1672" t="s">
        <v>42</v>
      </c>
      <c r="D1672" s="2">
        <v>41883</v>
      </c>
      <c r="E1672" t="s">
        <v>20</v>
      </c>
      <c r="F1672">
        <v>116.1</v>
      </c>
      <c r="G1672" t="str">
        <f>VLOOKUP(Table1_2[[#This Row],[Categories]],Sheet3!$A$1:$B$27,2,FALSE)</f>
        <v>Housing</v>
      </c>
    </row>
    <row r="1673" spans="1:7" x14ac:dyDescent="0.3">
      <c r="A1673" t="s">
        <v>34</v>
      </c>
      <c r="B1673">
        <v>2014</v>
      </c>
      <c r="C1673" t="s">
        <v>42</v>
      </c>
      <c r="D1673" s="2">
        <v>41883</v>
      </c>
      <c r="E1673" t="s">
        <v>21</v>
      </c>
      <c r="F1673">
        <v>114.3</v>
      </c>
      <c r="G1673" t="str">
        <f>VLOOKUP(Table1_2[[#This Row],[Categories]],Sheet3!$A$1:$B$27,2,FALSE)</f>
        <v>Fuel and light</v>
      </c>
    </row>
    <row r="1674" spans="1:7" x14ac:dyDescent="0.3">
      <c r="A1674" t="s">
        <v>34</v>
      </c>
      <c r="B1674">
        <v>2014</v>
      </c>
      <c r="C1674" t="s">
        <v>42</v>
      </c>
      <c r="D1674" s="2">
        <v>41883</v>
      </c>
      <c r="E1674" t="s">
        <v>22</v>
      </c>
      <c r="F1674">
        <v>116.1</v>
      </c>
      <c r="G1674" t="str">
        <f>VLOOKUP(Table1_2[[#This Row],[Categories]],Sheet3!$A$1:$B$27,2,FALSE)</f>
        <v>Household Items</v>
      </c>
    </row>
    <row r="1675" spans="1:7" x14ac:dyDescent="0.3">
      <c r="A1675" t="s">
        <v>34</v>
      </c>
      <c r="B1675">
        <v>2014</v>
      </c>
      <c r="C1675" t="s">
        <v>42</v>
      </c>
      <c r="D1675" s="2">
        <v>41883</v>
      </c>
      <c r="E1675" t="s">
        <v>23</v>
      </c>
      <c r="F1675">
        <v>113.7</v>
      </c>
      <c r="G1675" t="str">
        <f>VLOOKUP(Table1_2[[#This Row],[Categories]],Sheet3!$A$1:$B$27,2,FALSE)</f>
        <v>Health</v>
      </c>
    </row>
    <row r="1676" spans="1:7" x14ac:dyDescent="0.3">
      <c r="A1676" t="s">
        <v>34</v>
      </c>
      <c r="B1676">
        <v>2014</v>
      </c>
      <c r="C1676" t="s">
        <v>42</v>
      </c>
      <c r="D1676" s="2">
        <v>41883</v>
      </c>
      <c r="E1676" t="s">
        <v>24</v>
      </c>
      <c r="F1676">
        <v>112</v>
      </c>
      <c r="G1676" t="str">
        <f>VLOOKUP(Table1_2[[#This Row],[Categories]],Sheet3!$A$1:$B$27,2,FALSE)</f>
        <v>Transport and communication</v>
      </c>
    </row>
    <row r="1677" spans="1:7" x14ac:dyDescent="0.3">
      <c r="A1677" t="s">
        <v>34</v>
      </c>
      <c r="B1677">
        <v>2014</v>
      </c>
      <c r="C1677" t="s">
        <v>42</v>
      </c>
      <c r="D1677" s="2">
        <v>41883</v>
      </c>
      <c r="E1677" t="s">
        <v>25</v>
      </c>
      <c r="F1677">
        <v>113.1</v>
      </c>
      <c r="G1677" t="str">
        <f>VLOOKUP(Table1_2[[#This Row],[Categories]],Sheet3!$A$1:$B$27,2,FALSE)</f>
        <v>Recreation and amusement</v>
      </c>
    </row>
    <row r="1678" spans="1:7" x14ac:dyDescent="0.3">
      <c r="A1678" t="s">
        <v>34</v>
      </c>
      <c r="B1678">
        <v>2014</v>
      </c>
      <c r="C1678" t="s">
        <v>42</v>
      </c>
      <c r="D1678" s="2">
        <v>41883</v>
      </c>
      <c r="E1678" t="s">
        <v>26</v>
      </c>
      <c r="F1678">
        <v>118.6</v>
      </c>
      <c r="G1678" t="str">
        <f>VLOOKUP(Table1_2[[#This Row],[Categories]],Sheet3!$A$1:$B$27,2,FALSE)</f>
        <v>Education</v>
      </c>
    </row>
    <row r="1679" spans="1:7" x14ac:dyDescent="0.3">
      <c r="A1679" t="s">
        <v>34</v>
      </c>
      <c r="B1679">
        <v>2014</v>
      </c>
      <c r="C1679" t="s">
        <v>42</v>
      </c>
      <c r="D1679" s="2">
        <v>41883</v>
      </c>
      <c r="E1679" t="s">
        <v>27</v>
      </c>
      <c r="F1679">
        <v>109.5</v>
      </c>
      <c r="G1679" t="str">
        <f>VLOOKUP(Table1_2[[#This Row],[Categories]],Sheet3!$A$1:$B$27,2,FALSE)</f>
        <v>Household Items</v>
      </c>
    </row>
    <row r="1680" spans="1:7" x14ac:dyDescent="0.3">
      <c r="A1680" t="s">
        <v>34</v>
      </c>
      <c r="B1680">
        <v>2014</v>
      </c>
      <c r="C1680" t="s">
        <v>42</v>
      </c>
      <c r="D1680" s="2">
        <v>41883</v>
      </c>
      <c r="E1680" t="s">
        <v>28</v>
      </c>
      <c r="F1680">
        <v>113.7</v>
      </c>
      <c r="G1680" t="str">
        <f>VLOOKUP(Table1_2[[#This Row],[Categories]],Sheet3!$A$1:$B$27,2,FALSE)</f>
        <v>Miscellaneous</v>
      </c>
    </row>
    <row r="1681" spans="1:7" x14ac:dyDescent="0.3">
      <c r="A1681" t="s">
        <v>34</v>
      </c>
      <c r="B1681">
        <v>2014</v>
      </c>
      <c r="C1681" t="s">
        <v>42</v>
      </c>
      <c r="D1681" s="2">
        <v>41883</v>
      </c>
      <c r="E1681" t="s">
        <v>29</v>
      </c>
      <c r="F1681">
        <v>120.1</v>
      </c>
      <c r="G1681" t="str">
        <f>VLOOKUP(Table1_2[[#This Row],[Categories]],Sheet3!$A$1:$B$27,2,FALSE)</f>
        <v>General index</v>
      </c>
    </row>
    <row r="1682" spans="1:7" x14ac:dyDescent="0.3">
      <c r="A1682" t="s">
        <v>30</v>
      </c>
      <c r="B1682">
        <v>2014</v>
      </c>
      <c r="C1682" t="s">
        <v>43</v>
      </c>
      <c r="D1682" s="2">
        <v>41913</v>
      </c>
      <c r="E1682" t="s">
        <v>3</v>
      </c>
      <c r="F1682">
        <v>122.6</v>
      </c>
      <c r="G1682" t="str">
        <f>VLOOKUP(Table1_2[[#This Row],[Categories]],Sheet3!$A$1:$B$27,2,FALSE)</f>
        <v>Food &amp;Beverage</v>
      </c>
    </row>
    <row r="1683" spans="1:7" x14ac:dyDescent="0.3">
      <c r="A1683" t="s">
        <v>30</v>
      </c>
      <c r="B1683">
        <v>2014</v>
      </c>
      <c r="C1683" t="s">
        <v>43</v>
      </c>
      <c r="D1683" s="2">
        <v>41913</v>
      </c>
      <c r="E1683" t="s">
        <v>4</v>
      </c>
      <c r="F1683">
        <v>122.5</v>
      </c>
      <c r="G1683" t="str">
        <f>VLOOKUP(Table1_2[[#This Row],[Categories]],Sheet3!$A$1:$B$27,2,FALSE)</f>
        <v>Food &amp;Beverage</v>
      </c>
    </row>
    <row r="1684" spans="1:7" x14ac:dyDescent="0.3">
      <c r="A1684" t="s">
        <v>30</v>
      </c>
      <c r="B1684">
        <v>2014</v>
      </c>
      <c r="C1684" t="s">
        <v>43</v>
      </c>
      <c r="D1684" s="2">
        <v>41913</v>
      </c>
      <c r="E1684" t="s">
        <v>5</v>
      </c>
      <c r="F1684">
        <v>118.3</v>
      </c>
      <c r="G1684" t="str">
        <f>VLOOKUP(Table1_2[[#This Row],[Categories]],Sheet3!$A$1:$B$27,2,FALSE)</f>
        <v>Food &amp;Beverage</v>
      </c>
    </row>
    <row r="1685" spans="1:7" x14ac:dyDescent="0.3">
      <c r="A1685" t="s">
        <v>30</v>
      </c>
      <c r="B1685">
        <v>2014</v>
      </c>
      <c r="C1685" t="s">
        <v>43</v>
      </c>
      <c r="D1685" s="2">
        <v>41913</v>
      </c>
      <c r="E1685" t="s">
        <v>6</v>
      </c>
      <c r="F1685">
        <v>123.2</v>
      </c>
      <c r="G1685" t="str">
        <f>VLOOKUP(Table1_2[[#This Row],[Categories]],Sheet3!$A$1:$B$27,2,FALSE)</f>
        <v>Food &amp;Beverage</v>
      </c>
    </row>
    <row r="1686" spans="1:7" x14ac:dyDescent="0.3">
      <c r="A1686" t="s">
        <v>30</v>
      </c>
      <c r="B1686">
        <v>2014</v>
      </c>
      <c r="C1686" t="s">
        <v>43</v>
      </c>
      <c r="D1686" s="2">
        <v>41913</v>
      </c>
      <c r="E1686" t="s">
        <v>7</v>
      </c>
      <c r="F1686">
        <v>110.5</v>
      </c>
      <c r="G1686" t="str">
        <f>VLOOKUP(Table1_2[[#This Row],[Categories]],Sheet3!$A$1:$B$27,2,FALSE)</f>
        <v>Food &amp;Beverage</v>
      </c>
    </row>
    <row r="1687" spans="1:7" x14ac:dyDescent="0.3">
      <c r="A1687" t="s">
        <v>30</v>
      </c>
      <c r="B1687">
        <v>2014</v>
      </c>
      <c r="C1687" t="s">
        <v>43</v>
      </c>
      <c r="D1687" s="2">
        <v>41913</v>
      </c>
      <c r="E1687" t="s">
        <v>8</v>
      </c>
      <c r="F1687">
        <v>128.9</v>
      </c>
      <c r="G1687" t="str">
        <f>VLOOKUP(Table1_2[[#This Row],[Categories]],Sheet3!$A$1:$B$27,2,FALSE)</f>
        <v>Food &amp;Beverage</v>
      </c>
    </row>
    <row r="1688" spans="1:7" x14ac:dyDescent="0.3">
      <c r="A1688" t="s">
        <v>30</v>
      </c>
      <c r="B1688">
        <v>2014</v>
      </c>
      <c r="C1688" t="s">
        <v>43</v>
      </c>
      <c r="D1688" s="2">
        <v>41913</v>
      </c>
      <c r="E1688" t="s">
        <v>9</v>
      </c>
      <c r="F1688">
        <v>155.30000000000001</v>
      </c>
      <c r="G1688" t="str">
        <f>VLOOKUP(Table1_2[[#This Row],[Categories]],Sheet3!$A$1:$B$27,2,FALSE)</f>
        <v>Food &amp;Beverage</v>
      </c>
    </row>
    <row r="1689" spans="1:7" x14ac:dyDescent="0.3">
      <c r="A1689" t="s">
        <v>30</v>
      </c>
      <c r="B1689">
        <v>2014</v>
      </c>
      <c r="C1689" t="s">
        <v>43</v>
      </c>
      <c r="D1689" s="2">
        <v>41913</v>
      </c>
      <c r="E1689" t="s">
        <v>10</v>
      </c>
      <c r="F1689">
        <v>115.5</v>
      </c>
      <c r="G1689" t="str">
        <f>VLOOKUP(Table1_2[[#This Row],[Categories]],Sheet3!$A$1:$B$27,2,FALSE)</f>
        <v>Food &amp;Beverage</v>
      </c>
    </row>
    <row r="1690" spans="1:7" x14ac:dyDescent="0.3">
      <c r="A1690" t="s">
        <v>30</v>
      </c>
      <c r="B1690">
        <v>2014</v>
      </c>
      <c r="C1690" t="s">
        <v>43</v>
      </c>
      <c r="D1690" s="2">
        <v>41913</v>
      </c>
      <c r="E1690" t="s">
        <v>11</v>
      </c>
      <c r="F1690">
        <v>104</v>
      </c>
      <c r="G1690" t="str">
        <f>VLOOKUP(Table1_2[[#This Row],[Categories]],Sheet3!$A$1:$B$27,2,FALSE)</f>
        <v>Food &amp;Beverage</v>
      </c>
    </row>
    <row r="1691" spans="1:7" x14ac:dyDescent="0.3">
      <c r="A1691" t="s">
        <v>30</v>
      </c>
      <c r="B1691">
        <v>2014</v>
      </c>
      <c r="C1691" t="s">
        <v>43</v>
      </c>
      <c r="D1691" s="2">
        <v>41913</v>
      </c>
      <c r="E1691" t="s">
        <v>12</v>
      </c>
      <c r="F1691">
        <v>115.3</v>
      </c>
      <c r="G1691" t="str">
        <f>VLOOKUP(Table1_2[[#This Row],[Categories]],Sheet3!$A$1:$B$27,2,FALSE)</f>
        <v>Food &amp;Beverage</v>
      </c>
    </row>
    <row r="1692" spans="1:7" x14ac:dyDescent="0.3">
      <c r="A1692" t="s">
        <v>30</v>
      </c>
      <c r="B1692">
        <v>2014</v>
      </c>
      <c r="C1692" t="s">
        <v>43</v>
      </c>
      <c r="D1692" s="2">
        <v>41913</v>
      </c>
      <c r="E1692" t="s">
        <v>13</v>
      </c>
      <c r="F1692">
        <v>116.8</v>
      </c>
      <c r="G1692" t="str">
        <f>VLOOKUP(Table1_2[[#This Row],[Categories]],Sheet3!$A$1:$B$27,2,FALSE)</f>
        <v>Food &amp;Beverage</v>
      </c>
    </row>
    <row r="1693" spans="1:7" x14ac:dyDescent="0.3">
      <c r="A1693" t="s">
        <v>30</v>
      </c>
      <c r="B1693">
        <v>2014</v>
      </c>
      <c r="C1693" t="s">
        <v>43</v>
      </c>
      <c r="D1693" s="2">
        <v>41913</v>
      </c>
      <c r="E1693" t="s">
        <v>14</v>
      </c>
      <c r="F1693">
        <v>123.2</v>
      </c>
      <c r="G1693" t="str">
        <f>VLOOKUP(Table1_2[[#This Row],[Categories]],Sheet3!$A$1:$B$27,2,FALSE)</f>
        <v>Food &amp;Beverage</v>
      </c>
    </row>
    <row r="1694" spans="1:7" x14ac:dyDescent="0.3">
      <c r="A1694" t="s">
        <v>30</v>
      </c>
      <c r="B1694">
        <v>2014</v>
      </c>
      <c r="C1694" t="s">
        <v>43</v>
      </c>
      <c r="D1694" s="2">
        <v>41913</v>
      </c>
      <c r="E1694" t="s">
        <v>15</v>
      </c>
      <c r="F1694">
        <v>125.1</v>
      </c>
      <c r="G1694" t="str">
        <f>VLOOKUP(Table1_2[[#This Row],[Categories]],Sheet3!$A$1:$B$27,2,FALSE)</f>
        <v>Food &amp;Beverage</v>
      </c>
    </row>
    <row r="1695" spans="1:7" x14ac:dyDescent="0.3">
      <c r="A1695" t="s">
        <v>30</v>
      </c>
      <c r="B1695">
        <v>2014</v>
      </c>
      <c r="C1695" t="s">
        <v>43</v>
      </c>
      <c r="D1695" s="2">
        <v>41913</v>
      </c>
      <c r="E1695" t="s">
        <v>16</v>
      </c>
      <c r="F1695">
        <v>120</v>
      </c>
      <c r="G1695" t="str">
        <f>VLOOKUP(Table1_2[[#This Row],[Categories]],Sheet3!$A$1:$B$27,2,FALSE)</f>
        <v>Recreation and amusement</v>
      </c>
    </row>
    <row r="1696" spans="1:7" x14ac:dyDescent="0.3">
      <c r="A1696" t="s">
        <v>30</v>
      </c>
      <c r="B1696">
        <v>2014</v>
      </c>
      <c r="C1696" t="s">
        <v>43</v>
      </c>
      <c r="D1696" s="2">
        <v>41913</v>
      </c>
      <c r="E1696" t="s">
        <v>17</v>
      </c>
      <c r="F1696">
        <v>122.7</v>
      </c>
      <c r="G1696" t="str">
        <f>VLOOKUP(Table1_2[[#This Row],[Categories]],Sheet3!$A$1:$B$27,2,FALSE)</f>
        <v>Clothing and footwear</v>
      </c>
    </row>
    <row r="1697" spans="1:7" x14ac:dyDescent="0.3">
      <c r="A1697" t="s">
        <v>30</v>
      </c>
      <c r="B1697">
        <v>2014</v>
      </c>
      <c r="C1697" t="s">
        <v>43</v>
      </c>
      <c r="D1697" s="2">
        <v>41913</v>
      </c>
      <c r="E1697" t="s">
        <v>18</v>
      </c>
      <c r="F1697">
        <v>120.3</v>
      </c>
      <c r="G1697" t="str">
        <f>VLOOKUP(Table1_2[[#This Row],[Categories]],Sheet3!$A$1:$B$27,2,FALSE)</f>
        <v>Clothing and footwear</v>
      </c>
    </row>
    <row r="1698" spans="1:7" x14ac:dyDescent="0.3">
      <c r="A1698" t="s">
        <v>30</v>
      </c>
      <c r="B1698">
        <v>2014</v>
      </c>
      <c r="C1698" t="s">
        <v>43</v>
      </c>
      <c r="D1698" s="2">
        <v>41913</v>
      </c>
      <c r="E1698" t="s">
        <v>19</v>
      </c>
      <c r="F1698">
        <v>122.3</v>
      </c>
      <c r="G1698" t="str">
        <f>VLOOKUP(Table1_2[[#This Row],[Categories]],Sheet3!$A$1:$B$27,2,FALSE)</f>
        <v>Clothing and footwear</v>
      </c>
    </row>
    <row r="1699" spans="1:7" x14ac:dyDescent="0.3">
      <c r="A1699" t="s">
        <v>30</v>
      </c>
      <c r="B1699">
        <v>2014</v>
      </c>
      <c r="C1699" t="s">
        <v>43</v>
      </c>
      <c r="D1699" s="2">
        <v>41913</v>
      </c>
      <c r="E1699" t="s">
        <v>21</v>
      </c>
      <c r="F1699">
        <v>116.4</v>
      </c>
      <c r="G1699" t="str">
        <f>VLOOKUP(Table1_2[[#This Row],[Categories]],Sheet3!$A$1:$B$27,2,FALSE)</f>
        <v>Fuel and light</v>
      </c>
    </row>
    <row r="1700" spans="1:7" x14ac:dyDescent="0.3">
      <c r="A1700" t="s">
        <v>30</v>
      </c>
      <c r="B1700">
        <v>2014</v>
      </c>
      <c r="C1700" t="s">
        <v>43</v>
      </c>
      <c r="D1700" s="2">
        <v>41913</v>
      </c>
      <c r="E1700" t="s">
        <v>22</v>
      </c>
      <c r="F1700">
        <v>117.5</v>
      </c>
      <c r="G1700" t="str">
        <f>VLOOKUP(Table1_2[[#This Row],[Categories]],Sheet3!$A$1:$B$27,2,FALSE)</f>
        <v>Household Items</v>
      </c>
    </row>
    <row r="1701" spans="1:7" x14ac:dyDescent="0.3">
      <c r="A1701" t="s">
        <v>30</v>
      </c>
      <c r="B1701">
        <v>2014</v>
      </c>
      <c r="C1701" t="s">
        <v>43</v>
      </c>
      <c r="D1701" s="2">
        <v>41913</v>
      </c>
      <c r="E1701" t="s">
        <v>23</v>
      </c>
      <c r="F1701">
        <v>115.3</v>
      </c>
      <c r="G1701" t="str">
        <f>VLOOKUP(Table1_2[[#This Row],[Categories]],Sheet3!$A$1:$B$27,2,FALSE)</f>
        <v>Health</v>
      </c>
    </row>
    <row r="1702" spans="1:7" x14ac:dyDescent="0.3">
      <c r="A1702" t="s">
        <v>30</v>
      </c>
      <c r="B1702">
        <v>2014</v>
      </c>
      <c r="C1702" t="s">
        <v>43</v>
      </c>
      <c r="D1702" s="2">
        <v>41913</v>
      </c>
      <c r="E1702" t="s">
        <v>24</v>
      </c>
      <c r="F1702">
        <v>112.6</v>
      </c>
      <c r="G1702" t="str">
        <f>VLOOKUP(Table1_2[[#This Row],[Categories]],Sheet3!$A$1:$B$27,2,FALSE)</f>
        <v>Transport and communication</v>
      </c>
    </row>
    <row r="1703" spans="1:7" x14ac:dyDescent="0.3">
      <c r="A1703" t="s">
        <v>30</v>
      </c>
      <c r="B1703">
        <v>2014</v>
      </c>
      <c r="C1703" t="s">
        <v>43</v>
      </c>
      <c r="D1703" s="2">
        <v>41913</v>
      </c>
      <c r="E1703" t="s">
        <v>25</v>
      </c>
      <c r="F1703">
        <v>113</v>
      </c>
      <c r="G1703" t="str">
        <f>VLOOKUP(Table1_2[[#This Row],[Categories]],Sheet3!$A$1:$B$27,2,FALSE)</f>
        <v>Recreation and amusement</v>
      </c>
    </row>
    <row r="1704" spans="1:7" x14ac:dyDescent="0.3">
      <c r="A1704" t="s">
        <v>30</v>
      </c>
      <c r="B1704">
        <v>2014</v>
      </c>
      <c r="C1704" t="s">
        <v>43</v>
      </c>
      <c r="D1704" s="2">
        <v>41913</v>
      </c>
      <c r="E1704" t="s">
        <v>26</v>
      </c>
      <c r="F1704">
        <v>116.9</v>
      </c>
      <c r="G1704" t="str">
        <f>VLOOKUP(Table1_2[[#This Row],[Categories]],Sheet3!$A$1:$B$27,2,FALSE)</f>
        <v>Education</v>
      </c>
    </row>
    <row r="1705" spans="1:7" x14ac:dyDescent="0.3">
      <c r="A1705" t="s">
        <v>30</v>
      </c>
      <c r="B1705">
        <v>2014</v>
      </c>
      <c r="C1705" t="s">
        <v>43</v>
      </c>
      <c r="D1705" s="2">
        <v>41913</v>
      </c>
      <c r="E1705" t="s">
        <v>27</v>
      </c>
      <c r="F1705">
        <v>109.3</v>
      </c>
      <c r="G1705" t="str">
        <f>VLOOKUP(Table1_2[[#This Row],[Categories]],Sheet3!$A$1:$B$27,2,FALSE)</f>
        <v>Household Items</v>
      </c>
    </row>
    <row r="1706" spans="1:7" x14ac:dyDescent="0.3">
      <c r="A1706" t="s">
        <v>30</v>
      </c>
      <c r="B1706">
        <v>2014</v>
      </c>
      <c r="C1706" t="s">
        <v>43</v>
      </c>
      <c r="D1706" s="2">
        <v>41913</v>
      </c>
      <c r="E1706" t="s">
        <v>28</v>
      </c>
      <c r="F1706">
        <v>114</v>
      </c>
      <c r="G1706" t="str">
        <f>VLOOKUP(Table1_2[[#This Row],[Categories]],Sheet3!$A$1:$B$27,2,FALSE)</f>
        <v>Miscellaneous</v>
      </c>
    </row>
    <row r="1707" spans="1:7" x14ac:dyDescent="0.3">
      <c r="A1707" t="s">
        <v>30</v>
      </c>
      <c r="B1707">
        <v>2014</v>
      </c>
      <c r="C1707" t="s">
        <v>43</v>
      </c>
      <c r="D1707" s="2">
        <v>41913</v>
      </c>
      <c r="E1707" t="s">
        <v>29</v>
      </c>
      <c r="F1707">
        <v>121</v>
      </c>
      <c r="G1707" t="str">
        <f>VLOOKUP(Table1_2[[#This Row],[Categories]],Sheet3!$A$1:$B$27,2,FALSE)</f>
        <v>General index</v>
      </c>
    </row>
    <row r="1708" spans="1:7" x14ac:dyDescent="0.3">
      <c r="A1708" t="s">
        <v>33</v>
      </c>
      <c r="B1708">
        <v>2014</v>
      </c>
      <c r="C1708" t="s">
        <v>43</v>
      </c>
      <c r="D1708" s="2">
        <v>41913</v>
      </c>
      <c r="E1708" t="s">
        <v>3</v>
      </c>
      <c r="F1708">
        <v>124.6</v>
      </c>
      <c r="G1708" t="str">
        <f>VLOOKUP(Table1_2[[#This Row],[Categories]],Sheet3!$A$1:$B$27,2,FALSE)</f>
        <v>Food &amp;Beverage</v>
      </c>
    </row>
    <row r="1709" spans="1:7" x14ac:dyDescent="0.3">
      <c r="A1709" t="s">
        <v>33</v>
      </c>
      <c r="B1709">
        <v>2014</v>
      </c>
      <c r="C1709" t="s">
        <v>43</v>
      </c>
      <c r="D1709" s="2">
        <v>41913</v>
      </c>
      <c r="E1709" t="s">
        <v>4</v>
      </c>
      <c r="F1709">
        <v>126.1</v>
      </c>
      <c r="G1709" t="str">
        <f>VLOOKUP(Table1_2[[#This Row],[Categories]],Sheet3!$A$1:$B$27,2,FALSE)</f>
        <v>Food &amp;Beverage</v>
      </c>
    </row>
    <row r="1710" spans="1:7" x14ac:dyDescent="0.3">
      <c r="A1710" t="s">
        <v>33</v>
      </c>
      <c r="B1710">
        <v>2014</v>
      </c>
      <c r="C1710" t="s">
        <v>43</v>
      </c>
      <c r="D1710" s="2">
        <v>41913</v>
      </c>
      <c r="E1710" t="s">
        <v>5</v>
      </c>
      <c r="F1710">
        <v>117.8</v>
      </c>
      <c r="G1710" t="str">
        <f>VLOOKUP(Table1_2[[#This Row],[Categories]],Sheet3!$A$1:$B$27,2,FALSE)</f>
        <v>Food &amp;Beverage</v>
      </c>
    </row>
    <row r="1711" spans="1:7" x14ac:dyDescent="0.3">
      <c r="A1711" t="s">
        <v>33</v>
      </c>
      <c r="B1711">
        <v>2014</v>
      </c>
      <c r="C1711" t="s">
        <v>43</v>
      </c>
      <c r="D1711" s="2">
        <v>41913</v>
      </c>
      <c r="E1711" t="s">
        <v>6</v>
      </c>
      <c r="F1711">
        <v>123.1</v>
      </c>
      <c r="G1711" t="str">
        <f>VLOOKUP(Table1_2[[#This Row],[Categories]],Sheet3!$A$1:$B$27,2,FALSE)</f>
        <v>Food &amp;Beverage</v>
      </c>
    </row>
    <row r="1712" spans="1:7" x14ac:dyDescent="0.3">
      <c r="A1712" t="s">
        <v>33</v>
      </c>
      <c r="B1712">
        <v>2014</v>
      </c>
      <c r="C1712" t="s">
        <v>43</v>
      </c>
      <c r="D1712" s="2">
        <v>41913</v>
      </c>
      <c r="E1712" t="s">
        <v>7</v>
      </c>
      <c r="F1712">
        <v>103.5</v>
      </c>
      <c r="G1712" t="str">
        <f>VLOOKUP(Table1_2[[#This Row],[Categories]],Sheet3!$A$1:$B$27,2,FALSE)</f>
        <v>Food &amp;Beverage</v>
      </c>
    </row>
    <row r="1713" spans="1:7" x14ac:dyDescent="0.3">
      <c r="A1713" t="s">
        <v>33</v>
      </c>
      <c r="B1713">
        <v>2014</v>
      </c>
      <c r="C1713" t="s">
        <v>43</v>
      </c>
      <c r="D1713" s="2">
        <v>41913</v>
      </c>
      <c r="E1713" t="s">
        <v>8</v>
      </c>
      <c r="F1713">
        <v>123.5</v>
      </c>
      <c r="G1713" t="str">
        <f>VLOOKUP(Table1_2[[#This Row],[Categories]],Sheet3!$A$1:$B$27,2,FALSE)</f>
        <v>Food &amp;Beverage</v>
      </c>
    </row>
    <row r="1714" spans="1:7" x14ac:dyDescent="0.3">
      <c r="A1714" t="s">
        <v>33</v>
      </c>
      <c r="B1714">
        <v>2014</v>
      </c>
      <c r="C1714" t="s">
        <v>43</v>
      </c>
      <c r="D1714" s="2">
        <v>41913</v>
      </c>
      <c r="E1714" t="s">
        <v>9</v>
      </c>
      <c r="F1714">
        <v>159.6</v>
      </c>
      <c r="G1714" t="str">
        <f>VLOOKUP(Table1_2[[#This Row],[Categories]],Sheet3!$A$1:$B$27,2,FALSE)</f>
        <v>Food &amp;Beverage</v>
      </c>
    </row>
    <row r="1715" spans="1:7" x14ac:dyDescent="0.3">
      <c r="A1715" t="s">
        <v>33</v>
      </c>
      <c r="B1715">
        <v>2014</v>
      </c>
      <c r="C1715" t="s">
        <v>43</v>
      </c>
      <c r="D1715" s="2">
        <v>41913</v>
      </c>
      <c r="E1715" t="s">
        <v>10</v>
      </c>
      <c r="F1715">
        <v>117.4</v>
      </c>
      <c r="G1715" t="str">
        <f>VLOOKUP(Table1_2[[#This Row],[Categories]],Sheet3!$A$1:$B$27,2,FALSE)</f>
        <v>Food &amp;Beverage</v>
      </c>
    </row>
    <row r="1716" spans="1:7" x14ac:dyDescent="0.3">
      <c r="A1716" t="s">
        <v>33</v>
      </c>
      <c r="B1716">
        <v>2014</v>
      </c>
      <c r="C1716" t="s">
        <v>43</v>
      </c>
      <c r="D1716" s="2">
        <v>41913</v>
      </c>
      <c r="E1716" t="s">
        <v>11</v>
      </c>
      <c r="F1716">
        <v>101.2</v>
      </c>
      <c r="G1716" t="str">
        <f>VLOOKUP(Table1_2[[#This Row],[Categories]],Sheet3!$A$1:$B$27,2,FALSE)</f>
        <v>Food &amp;Beverage</v>
      </c>
    </row>
    <row r="1717" spans="1:7" x14ac:dyDescent="0.3">
      <c r="A1717" t="s">
        <v>33</v>
      </c>
      <c r="B1717">
        <v>2014</v>
      </c>
      <c r="C1717" t="s">
        <v>43</v>
      </c>
      <c r="D1717" s="2">
        <v>41913</v>
      </c>
      <c r="E1717" t="s">
        <v>12</v>
      </c>
      <c r="F1717">
        <v>123.8</v>
      </c>
      <c r="G1717" t="str">
        <f>VLOOKUP(Table1_2[[#This Row],[Categories]],Sheet3!$A$1:$B$27,2,FALSE)</f>
        <v>Food &amp;Beverage</v>
      </c>
    </row>
    <row r="1718" spans="1:7" x14ac:dyDescent="0.3">
      <c r="A1718" t="s">
        <v>33</v>
      </c>
      <c r="B1718">
        <v>2014</v>
      </c>
      <c r="C1718" t="s">
        <v>43</v>
      </c>
      <c r="D1718" s="2">
        <v>41913</v>
      </c>
      <c r="E1718" t="s">
        <v>13</v>
      </c>
      <c r="F1718">
        <v>115.2</v>
      </c>
      <c r="G1718" t="str">
        <f>VLOOKUP(Table1_2[[#This Row],[Categories]],Sheet3!$A$1:$B$27,2,FALSE)</f>
        <v>Food &amp;Beverage</v>
      </c>
    </row>
    <row r="1719" spans="1:7" x14ac:dyDescent="0.3">
      <c r="A1719" t="s">
        <v>33</v>
      </c>
      <c r="B1719">
        <v>2014</v>
      </c>
      <c r="C1719" t="s">
        <v>43</v>
      </c>
      <c r="D1719" s="2">
        <v>41913</v>
      </c>
      <c r="E1719" t="s">
        <v>14</v>
      </c>
      <c r="F1719">
        <v>125.9</v>
      </c>
      <c r="G1719" t="str">
        <f>VLOOKUP(Table1_2[[#This Row],[Categories]],Sheet3!$A$1:$B$27,2,FALSE)</f>
        <v>Food &amp;Beverage</v>
      </c>
    </row>
    <row r="1720" spans="1:7" x14ac:dyDescent="0.3">
      <c r="A1720" t="s">
        <v>33</v>
      </c>
      <c r="B1720">
        <v>2014</v>
      </c>
      <c r="C1720" t="s">
        <v>43</v>
      </c>
      <c r="D1720" s="2">
        <v>41913</v>
      </c>
      <c r="E1720" t="s">
        <v>15</v>
      </c>
      <c r="F1720">
        <v>125.8</v>
      </c>
      <c r="G1720" t="str">
        <f>VLOOKUP(Table1_2[[#This Row],[Categories]],Sheet3!$A$1:$B$27,2,FALSE)</f>
        <v>Food &amp;Beverage</v>
      </c>
    </row>
    <row r="1721" spans="1:7" x14ac:dyDescent="0.3">
      <c r="A1721" t="s">
        <v>33</v>
      </c>
      <c r="B1721">
        <v>2014</v>
      </c>
      <c r="C1721" t="s">
        <v>43</v>
      </c>
      <c r="D1721" s="2">
        <v>41913</v>
      </c>
      <c r="E1721" t="s">
        <v>16</v>
      </c>
      <c r="F1721">
        <v>124.3</v>
      </c>
      <c r="G1721" t="str">
        <f>VLOOKUP(Table1_2[[#This Row],[Categories]],Sheet3!$A$1:$B$27,2,FALSE)</f>
        <v>Recreation and amusement</v>
      </c>
    </row>
    <row r="1722" spans="1:7" x14ac:dyDescent="0.3">
      <c r="A1722" t="s">
        <v>33</v>
      </c>
      <c r="B1722">
        <v>2014</v>
      </c>
      <c r="C1722" t="s">
        <v>43</v>
      </c>
      <c r="D1722" s="2">
        <v>41913</v>
      </c>
      <c r="E1722" t="s">
        <v>17</v>
      </c>
      <c r="F1722">
        <v>119.6</v>
      </c>
      <c r="G1722" t="str">
        <f>VLOOKUP(Table1_2[[#This Row],[Categories]],Sheet3!$A$1:$B$27,2,FALSE)</f>
        <v>Clothing and footwear</v>
      </c>
    </row>
    <row r="1723" spans="1:7" x14ac:dyDescent="0.3">
      <c r="A1723" t="s">
        <v>33</v>
      </c>
      <c r="B1723">
        <v>2014</v>
      </c>
      <c r="C1723" t="s">
        <v>43</v>
      </c>
      <c r="D1723" s="2">
        <v>41913</v>
      </c>
      <c r="E1723" t="s">
        <v>18</v>
      </c>
      <c r="F1723">
        <v>114.9</v>
      </c>
      <c r="G1723" t="str">
        <f>VLOOKUP(Table1_2[[#This Row],[Categories]],Sheet3!$A$1:$B$27,2,FALSE)</f>
        <v>Clothing and footwear</v>
      </c>
    </row>
    <row r="1724" spans="1:7" x14ac:dyDescent="0.3">
      <c r="A1724" t="s">
        <v>33</v>
      </c>
      <c r="B1724">
        <v>2014</v>
      </c>
      <c r="C1724" t="s">
        <v>43</v>
      </c>
      <c r="D1724" s="2">
        <v>41913</v>
      </c>
      <c r="E1724" t="s">
        <v>19</v>
      </c>
      <c r="F1724">
        <v>118.9</v>
      </c>
      <c r="G1724" t="str">
        <f>VLOOKUP(Table1_2[[#This Row],[Categories]],Sheet3!$A$1:$B$27,2,FALSE)</f>
        <v>Clothing and footwear</v>
      </c>
    </row>
    <row r="1725" spans="1:7" x14ac:dyDescent="0.3">
      <c r="A1725" t="s">
        <v>33</v>
      </c>
      <c r="B1725">
        <v>2014</v>
      </c>
      <c r="C1725" t="s">
        <v>43</v>
      </c>
      <c r="D1725" s="2">
        <v>41913</v>
      </c>
      <c r="E1725" t="s">
        <v>20</v>
      </c>
      <c r="F1725">
        <v>116.7</v>
      </c>
      <c r="G1725" t="str">
        <f>VLOOKUP(Table1_2[[#This Row],[Categories]],Sheet3!$A$1:$B$27,2,FALSE)</f>
        <v>Housing</v>
      </c>
    </row>
    <row r="1726" spans="1:7" x14ac:dyDescent="0.3">
      <c r="A1726" t="s">
        <v>33</v>
      </c>
      <c r="B1726">
        <v>2014</v>
      </c>
      <c r="C1726" t="s">
        <v>43</v>
      </c>
      <c r="D1726" s="2">
        <v>41913</v>
      </c>
      <c r="E1726" t="s">
        <v>21</v>
      </c>
      <c r="F1726">
        <v>112</v>
      </c>
      <c r="G1726" t="str">
        <f>VLOOKUP(Table1_2[[#This Row],[Categories]],Sheet3!$A$1:$B$27,2,FALSE)</f>
        <v>Fuel and light</v>
      </c>
    </row>
    <row r="1727" spans="1:7" x14ac:dyDescent="0.3">
      <c r="A1727" t="s">
        <v>33</v>
      </c>
      <c r="B1727">
        <v>2014</v>
      </c>
      <c r="C1727" t="s">
        <v>43</v>
      </c>
      <c r="D1727" s="2">
        <v>41913</v>
      </c>
      <c r="E1727" t="s">
        <v>22</v>
      </c>
      <c r="F1727">
        <v>115.8</v>
      </c>
      <c r="G1727" t="str">
        <f>VLOOKUP(Table1_2[[#This Row],[Categories]],Sheet3!$A$1:$B$27,2,FALSE)</f>
        <v>Household Items</v>
      </c>
    </row>
    <row r="1728" spans="1:7" x14ac:dyDescent="0.3">
      <c r="A1728" t="s">
        <v>33</v>
      </c>
      <c r="B1728">
        <v>2014</v>
      </c>
      <c r="C1728" t="s">
        <v>43</v>
      </c>
      <c r="D1728" s="2">
        <v>41913</v>
      </c>
      <c r="E1728" t="s">
        <v>23</v>
      </c>
      <c r="F1728">
        <v>112.6</v>
      </c>
      <c r="G1728" t="str">
        <f>VLOOKUP(Table1_2[[#This Row],[Categories]],Sheet3!$A$1:$B$27,2,FALSE)</f>
        <v>Health</v>
      </c>
    </row>
    <row r="1729" spans="1:7" x14ac:dyDescent="0.3">
      <c r="A1729" t="s">
        <v>33</v>
      </c>
      <c r="B1729">
        <v>2014</v>
      </c>
      <c r="C1729" t="s">
        <v>43</v>
      </c>
      <c r="D1729" s="2">
        <v>41913</v>
      </c>
      <c r="E1729" t="s">
        <v>24</v>
      </c>
      <c r="F1729">
        <v>111</v>
      </c>
      <c r="G1729" t="str">
        <f>VLOOKUP(Table1_2[[#This Row],[Categories]],Sheet3!$A$1:$B$27,2,FALSE)</f>
        <v>Transport and communication</v>
      </c>
    </row>
    <row r="1730" spans="1:7" x14ac:dyDescent="0.3">
      <c r="A1730" t="s">
        <v>33</v>
      </c>
      <c r="B1730">
        <v>2014</v>
      </c>
      <c r="C1730" t="s">
        <v>43</v>
      </c>
      <c r="D1730" s="2">
        <v>41913</v>
      </c>
      <c r="E1730" t="s">
        <v>25</v>
      </c>
      <c r="F1730">
        <v>113.6</v>
      </c>
      <c r="G1730" t="str">
        <f>VLOOKUP(Table1_2[[#This Row],[Categories]],Sheet3!$A$1:$B$27,2,FALSE)</f>
        <v>Recreation and amusement</v>
      </c>
    </row>
    <row r="1731" spans="1:7" x14ac:dyDescent="0.3">
      <c r="A1731" t="s">
        <v>33</v>
      </c>
      <c r="B1731">
        <v>2014</v>
      </c>
      <c r="C1731" t="s">
        <v>43</v>
      </c>
      <c r="D1731" s="2">
        <v>41913</v>
      </c>
      <c r="E1731" t="s">
        <v>26</v>
      </c>
      <c r="F1731">
        <v>120.2</v>
      </c>
      <c r="G1731" t="str">
        <f>VLOOKUP(Table1_2[[#This Row],[Categories]],Sheet3!$A$1:$B$27,2,FALSE)</f>
        <v>Education</v>
      </c>
    </row>
    <row r="1732" spans="1:7" x14ac:dyDescent="0.3">
      <c r="A1732" t="s">
        <v>33</v>
      </c>
      <c r="B1732">
        <v>2014</v>
      </c>
      <c r="C1732" t="s">
        <v>43</v>
      </c>
      <c r="D1732" s="2">
        <v>41913</v>
      </c>
      <c r="E1732" t="s">
        <v>27</v>
      </c>
      <c r="F1732">
        <v>110.1</v>
      </c>
      <c r="G1732" t="str">
        <f>VLOOKUP(Table1_2[[#This Row],[Categories]],Sheet3!$A$1:$B$27,2,FALSE)</f>
        <v>Household Items</v>
      </c>
    </row>
    <row r="1733" spans="1:7" x14ac:dyDescent="0.3">
      <c r="A1733" t="s">
        <v>33</v>
      </c>
      <c r="B1733">
        <v>2014</v>
      </c>
      <c r="C1733" t="s">
        <v>43</v>
      </c>
      <c r="D1733" s="2">
        <v>41913</v>
      </c>
      <c r="E1733" t="s">
        <v>28</v>
      </c>
      <c r="F1733">
        <v>113.7</v>
      </c>
      <c r="G1733" t="str">
        <f>VLOOKUP(Table1_2[[#This Row],[Categories]],Sheet3!$A$1:$B$27,2,FALSE)</f>
        <v>Miscellaneous</v>
      </c>
    </row>
    <row r="1734" spans="1:7" x14ac:dyDescent="0.3">
      <c r="A1734" t="s">
        <v>33</v>
      </c>
      <c r="B1734">
        <v>2014</v>
      </c>
      <c r="C1734" t="s">
        <v>43</v>
      </c>
      <c r="D1734" s="2">
        <v>41913</v>
      </c>
      <c r="E1734" t="s">
        <v>29</v>
      </c>
      <c r="F1734">
        <v>119.1</v>
      </c>
      <c r="G1734" t="str">
        <f>VLOOKUP(Table1_2[[#This Row],[Categories]],Sheet3!$A$1:$B$27,2,FALSE)</f>
        <v>General index</v>
      </c>
    </row>
    <row r="1735" spans="1:7" x14ac:dyDescent="0.3">
      <c r="A1735" t="s">
        <v>34</v>
      </c>
      <c r="B1735">
        <v>2014</v>
      </c>
      <c r="C1735" t="s">
        <v>43</v>
      </c>
      <c r="D1735" s="2">
        <v>41913</v>
      </c>
      <c r="E1735" t="s">
        <v>3</v>
      </c>
      <c r="F1735">
        <v>123.2</v>
      </c>
      <c r="G1735" t="str">
        <f>VLOOKUP(Table1_2[[#This Row],[Categories]],Sheet3!$A$1:$B$27,2,FALSE)</f>
        <v>Food &amp;Beverage</v>
      </c>
    </row>
    <row r="1736" spans="1:7" x14ac:dyDescent="0.3">
      <c r="A1736" t="s">
        <v>34</v>
      </c>
      <c r="B1736">
        <v>2014</v>
      </c>
      <c r="C1736" t="s">
        <v>43</v>
      </c>
      <c r="D1736" s="2">
        <v>41913</v>
      </c>
      <c r="E1736" t="s">
        <v>4</v>
      </c>
      <c r="F1736">
        <v>123.8</v>
      </c>
      <c r="G1736" t="str">
        <f>VLOOKUP(Table1_2[[#This Row],[Categories]],Sheet3!$A$1:$B$27,2,FALSE)</f>
        <v>Food &amp;Beverage</v>
      </c>
    </row>
    <row r="1737" spans="1:7" x14ac:dyDescent="0.3">
      <c r="A1737" t="s">
        <v>34</v>
      </c>
      <c r="B1737">
        <v>2014</v>
      </c>
      <c r="C1737" t="s">
        <v>43</v>
      </c>
      <c r="D1737" s="2">
        <v>41913</v>
      </c>
      <c r="E1737" t="s">
        <v>5</v>
      </c>
      <c r="F1737">
        <v>118.1</v>
      </c>
      <c r="G1737" t="str">
        <f>VLOOKUP(Table1_2[[#This Row],[Categories]],Sheet3!$A$1:$B$27,2,FALSE)</f>
        <v>Food &amp;Beverage</v>
      </c>
    </row>
    <row r="1738" spans="1:7" x14ac:dyDescent="0.3">
      <c r="A1738" t="s">
        <v>34</v>
      </c>
      <c r="B1738">
        <v>2014</v>
      </c>
      <c r="C1738" t="s">
        <v>43</v>
      </c>
      <c r="D1738" s="2">
        <v>41913</v>
      </c>
      <c r="E1738" t="s">
        <v>6</v>
      </c>
      <c r="F1738">
        <v>123.2</v>
      </c>
      <c r="G1738" t="str">
        <f>VLOOKUP(Table1_2[[#This Row],[Categories]],Sheet3!$A$1:$B$27,2,FALSE)</f>
        <v>Food &amp;Beverage</v>
      </c>
    </row>
    <row r="1739" spans="1:7" x14ac:dyDescent="0.3">
      <c r="A1739" t="s">
        <v>34</v>
      </c>
      <c r="B1739">
        <v>2014</v>
      </c>
      <c r="C1739" t="s">
        <v>43</v>
      </c>
      <c r="D1739" s="2">
        <v>41913</v>
      </c>
      <c r="E1739" t="s">
        <v>7</v>
      </c>
      <c r="F1739">
        <v>107.9</v>
      </c>
      <c r="G1739" t="str">
        <f>VLOOKUP(Table1_2[[#This Row],[Categories]],Sheet3!$A$1:$B$27,2,FALSE)</f>
        <v>Food &amp;Beverage</v>
      </c>
    </row>
    <row r="1740" spans="1:7" x14ac:dyDescent="0.3">
      <c r="A1740" t="s">
        <v>34</v>
      </c>
      <c r="B1740">
        <v>2014</v>
      </c>
      <c r="C1740" t="s">
        <v>43</v>
      </c>
      <c r="D1740" s="2">
        <v>41913</v>
      </c>
      <c r="E1740" t="s">
        <v>8</v>
      </c>
      <c r="F1740">
        <v>126.4</v>
      </c>
      <c r="G1740" t="str">
        <f>VLOOKUP(Table1_2[[#This Row],[Categories]],Sheet3!$A$1:$B$27,2,FALSE)</f>
        <v>Food &amp;Beverage</v>
      </c>
    </row>
    <row r="1741" spans="1:7" x14ac:dyDescent="0.3">
      <c r="A1741" t="s">
        <v>34</v>
      </c>
      <c r="B1741">
        <v>2014</v>
      </c>
      <c r="C1741" t="s">
        <v>43</v>
      </c>
      <c r="D1741" s="2">
        <v>41913</v>
      </c>
      <c r="E1741" t="s">
        <v>9</v>
      </c>
      <c r="F1741">
        <v>156.80000000000001</v>
      </c>
      <c r="G1741" t="str">
        <f>VLOOKUP(Table1_2[[#This Row],[Categories]],Sheet3!$A$1:$B$27,2,FALSE)</f>
        <v>Food &amp;Beverage</v>
      </c>
    </row>
    <row r="1742" spans="1:7" x14ac:dyDescent="0.3">
      <c r="A1742" t="s">
        <v>34</v>
      </c>
      <c r="B1742">
        <v>2014</v>
      </c>
      <c r="C1742" t="s">
        <v>43</v>
      </c>
      <c r="D1742" s="2">
        <v>41913</v>
      </c>
      <c r="E1742" t="s">
        <v>10</v>
      </c>
      <c r="F1742">
        <v>116.1</v>
      </c>
      <c r="G1742" t="str">
        <f>VLOOKUP(Table1_2[[#This Row],[Categories]],Sheet3!$A$1:$B$27,2,FALSE)</f>
        <v>Food &amp;Beverage</v>
      </c>
    </row>
    <row r="1743" spans="1:7" x14ac:dyDescent="0.3">
      <c r="A1743" t="s">
        <v>34</v>
      </c>
      <c r="B1743">
        <v>2014</v>
      </c>
      <c r="C1743" t="s">
        <v>43</v>
      </c>
      <c r="D1743" s="2">
        <v>41913</v>
      </c>
      <c r="E1743" t="s">
        <v>11</v>
      </c>
      <c r="F1743">
        <v>103.1</v>
      </c>
      <c r="G1743" t="str">
        <f>VLOOKUP(Table1_2[[#This Row],[Categories]],Sheet3!$A$1:$B$27,2,FALSE)</f>
        <v>Food &amp;Beverage</v>
      </c>
    </row>
    <row r="1744" spans="1:7" x14ac:dyDescent="0.3">
      <c r="A1744" t="s">
        <v>34</v>
      </c>
      <c r="B1744">
        <v>2014</v>
      </c>
      <c r="C1744" t="s">
        <v>43</v>
      </c>
      <c r="D1744" s="2">
        <v>41913</v>
      </c>
      <c r="E1744" t="s">
        <v>12</v>
      </c>
      <c r="F1744">
        <v>118.1</v>
      </c>
      <c r="G1744" t="str">
        <f>VLOOKUP(Table1_2[[#This Row],[Categories]],Sheet3!$A$1:$B$27,2,FALSE)</f>
        <v>Food &amp;Beverage</v>
      </c>
    </row>
    <row r="1745" spans="1:7" x14ac:dyDescent="0.3">
      <c r="A1745" t="s">
        <v>34</v>
      </c>
      <c r="B1745">
        <v>2014</v>
      </c>
      <c r="C1745" t="s">
        <v>43</v>
      </c>
      <c r="D1745" s="2">
        <v>41913</v>
      </c>
      <c r="E1745" t="s">
        <v>13</v>
      </c>
      <c r="F1745">
        <v>116.1</v>
      </c>
      <c r="G1745" t="str">
        <f>VLOOKUP(Table1_2[[#This Row],[Categories]],Sheet3!$A$1:$B$27,2,FALSE)</f>
        <v>Food &amp;Beverage</v>
      </c>
    </row>
    <row r="1746" spans="1:7" x14ac:dyDescent="0.3">
      <c r="A1746" t="s">
        <v>34</v>
      </c>
      <c r="B1746">
        <v>2014</v>
      </c>
      <c r="C1746" t="s">
        <v>43</v>
      </c>
      <c r="D1746" s="2">
        <v>41913</v>
      </c>
      <c r="E1746" t="s">
        <v>14</v>
      </c>
      <c r="F1746">
        <v>124.5</v>
      </c>
      <c r="G1746" t="str">
        <f>VLOOKUP(Table1_2[[#This Row],[Categories]],Sheet3!$A$1:$B$27,2,FALSE)</f>
        <v>Food &amp;Beverage</v>
      </c>
    </row>
    <row r="1747" spans="1:7" x14ac:dyDescent="0.3">
      <c r="A1747" t="s">
        <v>34</v>
      </c>
      <c r="B1747">
        <v>2014</v>
      </c>
      <c r="C1747" t="s">
        <v>43</v>
      </c>
      <c r="D1747" s="2">
        <v>41913</v>
      </c>
      <c r="E1747" t="s">
        <v>15</v>
      </c>
      <c r="F1747">
        <v>125.4</v>
      </c>
      <c r="G1747" t="str">
        <f>VLOOKUP(Table1_2[[#This Row],[Categories]],Sheet3!$A$1:$B$27,2,FALSE)</f>
        <v>Food &amp;Beverage</v>
      </c>
    </row>
    <row r="1748" spans="1:7" x14ac:dyDescent="0.3">
      <c r="A1748" t="s">
        <v>34</v>
      </c>
      <c r="B1748">
        <v>2014</v>
      </c>
      <c r="C1748" t="s">
        <v>43</v>
      </c>
      <c r="D1748" s="2">
        <v>41913</v>
      </c>
      <c r="E1748" t="s">
        <v>16</v>
      </c>
      <c r="F1748">
        <v>121.1</v>
      </c>
      <c r="G1748" t="str">
        <f>VLOOKUP(Table1_2[[#This Row],[Categories]],Sheet3!$A$1:$B$27,2,FALSE)</f>
        <v>Recreation and amusement</v>
      </c>
    </row>
    <row r="1749" spans="1:7" x14ac:dyDescent="0.3">
      <c r="A1749" t="s">
        <v>34</v>
      </c>
      <c r="B1749">
        <v>2014</v>
      </c>
      <c r="C1749" t="s">
        <v>43</v>
      </c>
      <c r="D1749" s="2">
        <v>41913</v>
      </c>
      <c r="E1749" t="s">
        <v>17</v>
      </c>
      <c r="F1749">
        <v>121.5</v>
      </c>
      <c r="G1749" t="str">
        <f>VLOOKUP(Table1_2[[#This Row],[Categories]],Sheet3!$A$1:$B$27,2,FALSE)</f>
        <v>Clothing and footwear</v>
      </c>
    </row>
    <row r="1750" spans="1:7" x14ac:dyDescent="0.3">
      <c r="A1750" t="s">
        <v>34</v>
      </c>
      <c r="B1750">
        <v>2014</v>
      </c>
      <c r="C1750" t="s">
        <v>43</v>
      </c>
      <c r="D1750" s="2">
        <v>41913</v>
      </c>
      <c r="E1750" t="s">
        <v>18</v>
      </c>
      <c r="F1750">
        <v>118.1</v>
      </c>
      <c r="G1750" t="str">
        <f>VLOOKUP(Table1_2[[#This Row],[Categories]],Sheet3!$A$1:$B$27,2,FALSE)</f>
        <v>Clothing and footwear</v>
      </c>
    </row>
    <row r="1751" spans="1:7" x14ac:dyDescent="0.3">
      <c r="A1751" t="s">
        <v>34</v>
      </c>
      <c r="B1751">
        <v>2014</v>
      </c>
      <c r="C1751" t="s">
        <v>43</v>
      </c>
      <c r="D1751" s="2">
        <v>41913</v>
      </c>
      <c r="E1751" t="s">
        <v>19</v>
      </c>
      <c r="F1751">
        <v>121</v>
      </c>
      <c r="G1751" t="str">
        <f>VLOOKUP(Table1_2[[#This Row],[Categories]],Sheet3!$A$1:$B$27,2,FALSE)</f>
        <v>Clothing and footwear</v>
      </c>
    </row>
    <row r="1752" spans="1:7" x14ac:dyDescent="0.3">
      <c r="A1752" t="s">
        <v>34</v>
      </c>
      <c r="B1752">
        <v>2014</v>
      </c>
      <c r="C1752" t="s">
        <v>43</v>
      </c>
      <c r="D1752" s="2">
        <v>41913</v>
      </c>
      <c r="E1752" t="s">
        <v>20</v>
      </c>
      <c r="F1752">
        <v>116.7</v>
      </c>
      <c r="G1752" t="str">
        <f>VLOOKUP(Table1_2[[#This Row],[Categories]],Sheet3!$A$1:$B$27,2,FALSE)</f>
        <v>Housing</v>
      </c>
    </row>
    <row r="1753" spans="1:7" x14ac:dyDescent="0.3">
      <c r="A1753" t="s">
        <v>34</v>
      </c>
      <c r="B1753">
        <v>2014</v>
      </c>
      <c r="C1753" t="s">
        <v>43</v>
      </c>
      <c r="D1753" s="2">
        <v>41913</v>
      </c>
      <c r="E1753" t="s">
        <v>21</v>
      </c>
      <c r="F1753">
        <v>114.7</v>
      </c>
      <c r="G1753" t="str">
        <f>VLOOKUP(Table1_2[[#This Row],[Categories]],Sheet3!$A$1:$B$27,2,FALSE)</f>
        <v>Fuel and light</v>
      </c>
    </row>
    <row r="1754" spans="1:7" x14ac:dyDescent="0.3">
      <c r="A1754" t="s">
        <v>34</v>
      </c>
      <c r="B1754">
        <v>2014</v>
      </c>
      <c r="C1754" t="s">
        <v>43</v>
      </c>
      <c r="D1754" s="2">
        <v>41913</v>
      </c>
      <c r="E1754" t="s">
        <v>22</v>
      </c>
      <c r="F1754">
        <v>116.7</v>
      </c>
      <c r="G1754" t="str">
        <f>VLOOKUP(Table1_2[[#This Row],[Categories]],Sheet3!$A$1:$B$27,2,FALSE)</f>
        <v>Household Items</v>
      </c>
    </row>
    <row r="1755" spans="1:7" x14ac:dyDescent="0.3">
      <c r="A1755" t="s">
        <v>34</v>
      </c>
      <c r="B1755">
        <v>2014</v>
      </c>
      <c r="C1755" t="s">
        <v>43</v>
      </c>
      <c r="D1755" s="2">
        <v>41913</v>
      </c>
      <c r="E1755" t="s">
        <v>23</v>
      </c>
      <c r="F1755">
        <v>114.3</v>
      </c>
      <c r="G1755" t="str">
        <f>VLOOKUP(Table1_2[[#This Row],[Categories]],Sheet3!$A$1:$B$27,2,FALSE)</f>
        <v>Health</v>
      </c>
    </row>
    <row r="1756" spans="1:7" x14ac:dyDescent="0.3">
      <c r="A1756" t="s">
        <v>34</v>
      </c>
      <c r="B1756">
        <v>2014</v>
      </c>
      <c r="C1756" t="s">
        <v>43</v>
      </c>
      <c r="D1756" s="2">
        <v>41913</v>
      </c>
      <c r="E1756" t="s">
        <v>24</v>
      </c>
      <c r="F1756">
        <v>111.8</v>
      </c>
      <c r="G1756" t="str">
        <f>VLOOKUP(Table1_2[[#This Row],[Categories]],Sheet3!$A$1:$B$27,2,FALSE)</f>
        <v>Transport and communication</v>
      </c>
    </row>
    <row r="1757" spans="1:7" x14ac:dyDescent="0.3">
      <c r="A1757" t="s">
        <v>34</v>
      </c>
      <c r="B1757">
        <v>2014</v>
      </c>
      <c r="C1757" t="s">
        <v>43</v>
      </c>
      <c r="D1757" s="2">
        <v>41913</v>
      </c>
      <c r="E1757" t="s">
        <v>25</v>
      </c>
      <c r="F1757">
        <v>113.3</v>
      </c>
      <c r="G1757" t="str">
        <f>VLOOKUP(Table1_2[[#This Row],[Categories]],Sheet3!$A$1:$B$27,2,FALSE)</f>
        <v>Recreation and amusement</v>
      </c>
    </row>
    <row r="1758" spans="1:7" x14ac:dyDescent="0.3">
      <c r="A1758" t="s">
        <v>34</v>
      </c>
      <c r="B1758">
        <v>2014</v>
      </c>
      <c r="C1758" t="s">
        <v>43</v>
      </c>
      <c r="D1758" s="2">
        <v>41913</v>
      </c>
      <c r="E1758" t="s">
        <v>26</v>
      </c>
      <c r="F1758">
        <v>118.8</v>
      </c>
      <c r="G1758" t="str">
        <f>VLOOKUP(Table1_2[[#This Row],[Categories]],Sheet3!$A$1:$B$27,2,FALSE)</f>
        <v>Education</v>
      </c>
    </row>
    <row r="1759" spans="1:7" x14ac:dyDescent="0.3">
      <c r="A1759" t="s">
        <v>34</v>
      </c>
      <c r="B1759">
        <v>2014</v>
      </c>
      <c r="C1759" t="s">
        <v>43</v>
      </c>
      <c r="D1759" s="2">
        <v>41913</v>
      </c>
      <c r="E1759" t="s">
        <v>27</v>
      </c>
      <c r="F1759">
        <v>109.6</v>
      </c>
      <c r="G1759" t="str">
        <f>VLOOKUP(Table1_2[[#This Row],[Categories]],Sheet3!$A$1:$B$27,2,FALSE)</f>
        <v>Household Items</v>
      </c>
    </row>
    <row r="1760" spans="1:7" x14ac:dyDescent="0.3">
      <c r="A1760" t="s">
        <v>34</v>
      </c>
      <c r="B1760">
        <v>2014</v>
      </c>
      <c r="C1760" t="s">
        <v>43</v>
      </c>
      <c r="D1760" s="2">
        <v>41913</v>
      </c>
      <c r="E1760" t="s">
        <v>28</v>
      </c>
      <c r="F1760">
        <v>113.9</v>
      </c>
      <c r="G1760" t="str">
        <f>VLOOKUP(Table1_2[[#This Row],[Categories]],Sheet3!$A$1:$B$27,2,FALSE)</f>
        <v>Miscellaneous</v>
      </c>
    </row>
    <row r="1761" spans="1:7" x14ac:dyDescent="0.3">
      <c r="A1761" t="s">
        <v>34</v>
      </c>
      <c r="B1761">
        <v>2014</v>
      </c>
      <c r="C1761" t="s">
        <v>43</v>
      </c>
      <c r="D1761" s="2">
        <v>41913</v>
      </c>
      <c r="E1761" t="s">
        <v>29</v>
      </c>
      <c r="F1761">
        <v>120.1</v>
      </c>
      <c r="G1761" t="str">
        <f>VLOOKUP(Table1_2[[#This Row],[Categories]],Sheet3!$A$1:$B$27,2,FALSE)</f>
        <v>General index</v>
      </c>
    </row>
    <row r="1762" spans="1:7" x14ac:dyDescent="0.3">
      <c r="A1762" t="s">
        <v>30</v>
      </c>
      <c r="B1762">
        <v>2014</v>
      </c>
      <c r="C1762" t="s">
        <v>45</v>
      </c>
      <c r="D1762" s="2">
        <v>41944</v>
      </c>
      <c r="E1762" t="s">
        <v>3</v>
      </c>
      <c r="F1762">
        <v>122.7</v>
      </c>
      <c r="G1762" t="str">
        <f>VLOOKUP(Table1_2[[#This Row],[Categories]],Sheet3!$A$1:$B$27,2,FALSE)</f>
        <v>Food &amp;Beverage</v>
      </c>
    </row>
    <row r="1763" spans="1:7" x14ac:dyDescent="0.3">
      <c r="A1763" t="s">
        <v>30</v>
      </c>
      <c r="B1763">
        <v>2014</v>
      </c>
      <c r="C1763" t="s">
        <v>45</v>
      </c>
      <c r="D1763" s="2">
        <v>41944</v>
      </c>
      <c r="E1763" t="s">
        <v>4</v>
      </c>
      <c r="F1763">
        <v>122.6</v>
      </c>
      <c r="G1763" t="str">
        <f>VLOOKUP(Table1_2[[#This Row],[Categories]],Sheet3!$A$1:$B$27,2,FALSE)</f>
        <v>Food &amp;Beverage</v>
      </c>
    </row>
    <row r="1764" spans="1:7" x14ac:dyDescent="0.3">
      <c r="A1764" t="s">
        <v>30</v>
      </c>
      <c r="B1764">
        <v>2014</v>
      </c>
      <c r="C1764" t="s">
        <v>45</v>
      </c>
      <c r="D1764" s="2">
        <v>41944</v>
      </c>
      <c r="E1764" t="s">
        <v>5</v>
      </c>
      <c r="F1764">
        <v>119.9</v>
      </c>
      <c r="G1764" t="str">
        <f>VLOOKUP(Table1_2[[#This Row],[Categories]],Sheet3!$A$1:$B$27,2,FALSE)</f>
        <v>Food &amp;Beverage</v>
      </c>
    </row>
    <row r="1765" spans="1:7" x14ac:dyDescent="0.3">
      <c r="A1765" t="s">
        <v>30</v>
      </c>
      <c r="B1765">
        <v>2014</v>
      </c>
      <c r="C1765" t="s">
        <v>45</v>
      </c>
      <c r="D1765" s="2">
        <v>41944</v>
      </c>
      <c r="E1765" t="s">
        <v>6</v>
      </c>
      <c r="F1765">
        <v>124</v>
      </c>
      <c r="G1765" t="str">
        <f>VLOOKUP(Table1_2[[#This Row],[Categories]],Sheet3!$A$1:$B$27,2,FALSE)</f>
        <v>Food &amp;Beverage</v>
      </c>
    </row>
    <row r="1766" spans="1:7" x14ac:dyDescent="0.3">
      <c r="A1766" t="s">
        <v>30</v>
      </c>
      <c r="B1766">
        <v>2014</v>
      </c>
      <c r="C1766" t="s">
        <v>45</v>
      </c>
      <c r="D1766" s="2">
        <v>41944</v>
      </c>
      <c r="E1766" t="s">
        <v>7</v>
      </c>
      <c r="F1766">
        <v>110.5</v>
      </c>
      <c r="G1766" t="str">
        <f>VLOOKUP(Table1_2[[#This Row],[Categories]],Sheet3!$A$1:$B$27,2,FALSE)</f>
        <v>Food &amp;Beverage</v>
      </c>
    </row>
    <row r="1767" spans="1:7" x14ac:dyDescent="0.3">
      <c r="A1767" t="s">
        <v>30</v>
      </c>
      <c r="B1767">
        <v>2014</v>
      </c>
      <c r="C1767" t="s">
        <v>45</v>
      </c>
      <c r="D1767" s="2">
        <v>41944</v>
      </c>
      <c r="E1767" t="s">
        <v>8</v>
      </c>
      <c r="F1767">
        <v>128.80000000000001</v>
      </c>
      <c r="G1767" t="str">
        <f>VLOOKUP(Table1_2[[#This Row],[Categories]],Sheet3!$A$1:$B$27,2,FALSE)</f>
        <v>Food &amp;Beverage</v>
      </c>
    </row>
    <row r="1768" spans="1:7" x14ac:dyDescent="0.3">
      <c r="A1768" t="s">
        <v>30</v>
      </c>
      <c r="B1768">
        <v>2014</v>
      </c>
      <c r="C1768" t="s">
        <v>45</v>
      </c>
      <c r="D1768" s="2">
        <v>41944</v>
      </c>
      <c r="E1768" t="s">
        <v>9</v>
      </c>
      <c r="F1768">
        <v>152</v>
      </c>
      <c r="G1768" t="str">
        <f>VLOOKUP(Table1_2[[#This Row],[Categories]],Sheet3!$A$1:$B$27,2,FALSE)</f>
        <v>Food &amp;Beverage</v>
      </c>
    </row>
    <row r="1769" spans="1:7" x14ac:dyDescent="0.3">
      <c r="A1769" t="s">
        <v>30</v>
      </c>
      <c r="B1769">
        <v>2014</v>
      </c>
      <c r="C1769" t="s">
        <v>45</v>
      </c>
      <c r="D1769" s="2">
        <v>41944</v>
      </c>
      <c r="E1769" t="s">
        <v>10</v>
      </c>
      <c r="F1769">
        <v>116.2</v>
      </c>
      <c r="G1769" t="str">
        <f>VLOOKUP(Table1_2[[#This Row],[Categories]],Sheet3!$A$1:$B$27,2,FALSE)</f>
        <v>Food &amp;Beverage</v>
      </c>
    </row>
    <row r="1770" spans="1:7" x14ac:dyDescent="0.3">
      <c r="A1770" t="s">
        <v>30</v>
      </c>
      <c r="B1770">
        <v>2014</v>
      </c>
      <c r="C1770" t="s">
        <v>45</v>
      </c>
      <c r="D1770" s="2">
        <v>41944</v>
      </c>
      <c r="E1770" t="s">
        <v>11</v>
      </c>
      <c r="F1770">
        <v>103.3</v>
      </c>
      <c r="G1770" t="str">
        <f>VLOOKUP(Table1_2[[#This Row],[Categories]],Sheet3!$A$1:$B$27,2,FALSE)</f>
        <v>Food &amp;Beverage</v>
      </c>
    </row>
    <row r="1771" spans="1:7" x14ac:dyDescent="0.3">
      <c r="A1771" t="s">
        <v>30</v>
      </c>
      <c r="B1771">
        <v>2014</v>
      </c>
      <c r="C1771" t="s">
        <v>45</v>
      </c>
      <c r="D1771" s="2">
        <v>41944</v>
      </c>
      <c r="E1771" t="s">
        <v>12</v>
      </c>
      <c r="F1771">
        <v>115.8</v>
      </c>
      <c r="G1771" t="str">
        <f>VLOOKUP(Table1_2[[#This Row],[Categories]],Sheet3!$A$1:$B$27,2,FALSE)</f>
        <v>Food &amp;Beverage</v>
      </c>
    </row>
    <row r="1772" spans="1:7" x14ac:dyDescent="0.3">
      <c r="A1772" t="s">
        <v>30</v>
      </c>
      <c r="B1772">
        <v>2014</v>
      </c>
      <c r="C1772" t="s">
        <v>45</v>
      </c>
      <c r="D1772" s="2">
        <v>41944</v>
      </c>
      <c r="E1772" t="s">
        <v>13</v>
      </c>
      <c r="F1772">
        <v>116.8</v>
      </c>
      <c r="G1772" t="str">
        <f>VLOOKUP(Table1_2[[#This Row],[Categories]],Sheet3!$A$1:$B$27,2,FALSE)</f>
        <v>Food &amp;Beverage</v>
      </c>
    </row>
    <row r="1773" spans="1:7" x14ac:dyDescent="0.3">
      <c r="A1773" t="s">
        <v>30</v>
      </c>
      <c r="B1773">
        <v>2014</v>
      </c>
      <c r="C1773" t="s">
        <v>45</v>
      </c>
      <c r="D1773" s="2">
        <v>41944</v>
      </c>
      <c r="E1773" t="s">
        <v>14</v>
      </c>
      <c r="F1773">
        <v>124.5</v>
      </c>
      <c r="G1773" t="str">
        <f>VLOOKUP(Table1_2[[#This Row],[Categories]],Sheet3!$A$1:$B$27,2,FALSE)</f>
        <v>Food &amp;Beverage</v>
      </c>
    </row>
    <row r="1774" spans="1:7" x14ac:dyDescent="0.3">
      <c r="A1774" t="s">
        <v>30</v>
      </c>
      <c r="B1774">
        <v>2014</v>
      </c>
      <c r="C1774" t="s">
        <v>45</v>
      </c>
      <c r="D1774" s="2">
        <v>41944</v>
      </c>
      <c r="E1774" t="s">
        <v>15</v>
      </c>
      <c r="F1774">
        <v>124.9</v>
      </c>
      <c r="G1774" t="str">
        <f>VLOOKUP(Table1_2[[#This Row],[Categories]],Sheet3!$A$1:$B$27,2,FALSE)</f>
        <v>Food &amp;Beverage</v>
      </c>
    </row>
    <row r="1775" spans="1:7" x14ac:dyDescent="0.3">
      <c r="A1775" t="s">
        <v>30</v>
      </c>
      <c r="B1775">
        <v>2014</v>
      </c>
      <c r="C1775" t="s">
        <v>45</v>
      </c>
      <c r="D1775" s="2">
        <v>41944</v>
      </c>
      <c r="E1775" t="s">
        <v>16</v>
      </c>
      <c r="F1775">
        <v>120.8</v>
      </c>
      <c r="G1775" t="str">
        <f>VLOOKUP(Table1_2[[#This Row],[Categories]],Sheet3!$A$1:$B$27,2,FALSE)</f>
        <v>Recreation and amusement</v>
      </c>
    </row>
    <row r="1776" spans="1:7" x14ac:dyDescent="0.3">
      <c r="A1776" t="s">
        <v>30</v>
      </c>
      <c r="B1776">
        <v>2014</v>
      </c>
      <c r="C1776" t="s">
        <v>45</v>
      </c>
      <c r="D1776" s="2">
        <v>41944</v>
      </c>
      <c r="E1776" t="s">
        <v>17</v>
      </c>
      <c r="F1776">
        <v>123.3</v>
      </c>
      <c r="G1776" t="str">
        <f>VLOOKUP(Table1_2[[#This Row],[Categories]],Sheet3!$A$1:$B$27,2,FALSE)</f>
        <v>Clothing and footwear</v>
      </c>
    </row>
    <row r="1777" spans="1:7" x14ac:dyDescent="0.3">
      <c r="A1777" t="s">
        <v>30</v>
      </c>
      <c r="B1777">
        <v>2014</v>
      </c>
      <c r="C1777" t="s">
        <v>45</v>
      </c>
      <c r="D1777" s="2">
        <v>41944</v>
      </c>
      <c r="E1777" t="s">
        <v>18</v>
      </c>
      <c r="F1777">
        <v>120.5</v>
      </c>
      <c r="G1777" t="str">
        <f>VLOOKUP(Table1_2[[#This Row],[Categories]],Sheet3!$A$1:$B$27,2,FALSE)</f>
        <v>Clothing and footwear</v>
      </c>
    </row>
    <row r="1778" spans="1:7" x14ac:dyDescent="0.3">
      <c r="A1778" t="s">
        <v>30</v>
      </c>
      <c r="B1778">
        <v>2014</v>
      </c>
      <c r="C1778" t="s">
        <v>45</v>
      </c>
      <c r="D1778" s="2">
        <v>41944</v>
      </c>
      <c r="E1778" t="s">
        <v>19</v>
      </c>
      <c r="F1778">
        <v>122.9</v>
      </c>
      <c r="G1778" t="str">
        <f>VLOOKUP(Table1_2[[#This Row],[Categories]],Sheet3!$A$1:$B$27,2,FALSE)</f>
        <v>Clothing and footwear</v>
      </c>
    </row>
    <row r="1779" spans="1:7" x14ac:dyDescent="0.3">
      <c r="A1779" t="s">
        <v>30</v>
      </c>
      <c r="B1779">
        <v>2014</v>
      </c>
      <c r="C1779" t="s">
        <v>45</v>
      </c>
      <c r="D1779" s="2">
        <v>41944</v>
      </c>
      <c r="E1779" t="s">
        <v>21</v>
      </c>
      <c r="F1779">
        <v>117.3</v>
      </c>
      <c r="G1779" t="str">
        <f>VLOOKUP(Table1_2[[#This Row],[Categories]],Sheet3!$A$1:$B$27,2,FALSE)</f>
        <v>Fuel and light</v>
      </c>
    </row>
    <row r="1780" spans="1:7" x14ac:dyDescent="0.3">
      <c r="A1780" t="s">
        <v>30</v>
      </c>
      <c r="B1780">
        <v>2014</v>
      </c>
      <c r="C1780" t="s">
        <v>45</v>
      </c>
      <c r="D1780" s="2">
        <v>41944</v>
      </c>
      <c r="E1780" t="s">
        <v>22</v>
      </c>
      <c r="F1780">
        <v>118.1</v>
      </c>
      <c r="G1780" t="str">
        <f>VLOOKUP(Table1_2[[#This Row],[Categories]],Sheet3!$A$1:$B$27,2,FALSE)</f>
        <v>Household Items</v>
      </c>
    </row>
    <row r="1781" spans="1:7" x14ac:dyDescent="0.3">
      <c r="A1781" t="s">
        <v>30</v>
      </c>
      <c r="B1781">
        <v>2014</v>
      </c>
      <c r="C1781" t="s">
        <v>45</v>
      </c>
      <c r="D1781" s="2">
        <v>41944</v>
      </c>
      <c r="E1781" t="s">
        <v>23</v>
      </c>
      <c r="F1781">
        <v>115.9</v>
      </c>
      <c r="G1781" t="str">
        <f>VLOOKUP(Table1_2[[#This Row],[Categories]],Sheet3!$A$1:$B$27,2,FALSE)</f>
        <v>Health</v>
      </c>
    </row>
    <row r="1782" spans="1:7" x14ac:dyDescent="0.3">
      <c r="A1782" t="s">
        <v>30</v>
      </c>
      <c r="B1782">
        <v>2014</v>
      </c>
      <c r="C1782" t="s">
        <v>45</v>
      </c>
      <c r="D1782" s="2">
        <v>41944</v>
      </c>
      <c r="E1782" t="s">
        <v>24</v>
      </c>
      <c r="F1782">
        <v>112</v>
      </c>
      <c r="G1782" t="str">
        <f>VLOOKUP(Table1_2[[#This Row],[Categories]],Sheet3!$A$1:$B$27,2,FALSE)</f>
        <v>Transport and communication</v>
      </c>
    </row>
    <row r="1783" spans="1:7" x14ac:dyDescent="0.3">
      <c r="A1783" t="s">
        <v>30</v>
      </c>
      <c r="B1783">
        <v>2014</v>
      </c>
      <c r="C1783" t="s">
        <v>45</v>
      </c>
      <c r="D1783" s="2">
        <v>41944</v>
      </c>
      <c r="E1783" t="s">
        <v>25</v>
      </c>
      <c r="F1783">
        <v>113.3</v>
      </c>
      <c r="G1783" t="str">
        <f>VLOOKUP(Table1_2[[#This Row],[Categories]],Sheet3!$A$1:$B$27,2,FALSE)</f>
        <v>Recreation and amusement</v>
      </c>
    </row>
    <row r="1784" spans="1:7" x14ac:dyDescent="0.3">
      <c r="A1784" t="s">
        <v>30</v>
      </c>
      <c r="B1784">
        <v>2014</v>
      </c>
      <c r="C1784" t="s">
        <v>45</v>
      </c>
      <c r="D1784" s="2">
        <v>41944</v>
      </c>
      <c r="E1784" t="s">
        <v>26</v>
      </c>
      <c r="F1784">
        <v>117.2</v>
      </c>
      <c r="G1784" t="str">
        <f>VLOOKUP(Table1_2[[#This Row],[Categories]],Sheet3!$A$1:$B$27,2,FALSE)</f>
        <v>Education</v>
      </c>
    </row>
    <row r="1785" spans="1:7" x14ac:dyDescent="0.3">
      <c r="A1785" t="s">
        <v>30</v>
      </c>
      <c r="B1785">
        <v>2014</v>
      </c>
      <c r="C1785" t="s">
        <v>45</v>
      </c>
      <c r="D1785" s="2">
        <v>41944</v>
      </c>
      <c r="E1785" t="s">
        <v>27</v>
      </c>
      <c r="F1785">
        <v>108.8</v>
      </c>
      <c r="G1785" t="str">
        <f>VLOOKUP(Table1_2[[#This Row],[Categories]],Sheet3!$A$1:$B$27,2,FALSE)</f>
        <v>Household Items</v>
      </c>
    </row>
    <row r="1786" spans="1:7" x14ac:dyDescent="0.3">
      <c r="A1786" t="s">
        <v>30</v>
      </c>
      <c r="B1786">
        <v>2014</v>
      </c>
      <c r="C1786" t="s">
        <v>45</v>
      </c>
      <c r="D1786" s="2">
        <v>41944</v>
      </c>
      <c r="E1786" t="s">
        <v>28</v>
      </c>
      <c r="F1786">
        <v>114.1</v>
      </c>
      <c r="G1786" t="str">
        <f>VLOOKUP(Table1_2[[#This Row],[Categories]],Sheet3!$A$1:$B$27,2,FALSE)</f>
        <v>Miscellaneous</v>
      </c>
    </row>
    <row r="1787" spans="1:7" x14ac:dyDescent="0.3">
      <c r="A1787" t="s">
        <v>30</v>
      </c>
      <c r="B1787">
        <v>2014</v>
      </c>
      <c r="C1787" t="s">
        <v>45</v>
      </c>
      <c r="D1787" s="2">
        <v>41944</v>
      </c>
      <c r="E1787" t="s">
        <v>29</v>
      </c>
      <c r="F1787">
        <v>121.1</v>
      </c>
      <c r="G1787" t="str">
        <f>VLOOKUP(Table1_2[[#This Row],[Categories]],Sheet3!$A$1:$B$27,2,FALSE)</f>
        <v>General index</v>
      </c>
    </row>
    <row r="1788" spans="1:7" x14ac:dyDescent="0.3">
      <c r="A1788" t="s">
        <v>33</v>
      </c>
      <c r="B1788">
        <v>2014</v>
      </c>
      <c r="C1788" t="s">
        <v>45</v>
      </c>
      <c r="D1788" s="2">
        <v>41944</v>
      </c>
      <c r="E1788" t="s">
        <v>3</v>
      </c>
      <c r="F1788">
        <v>124.5</v>
      </c>
      <c r="G1788" t="str">
        <f>VLOOKUP(Table1_2[[#This Row],[Categories]],Sheet3!$A$1:$B$27,2,FALSE)</f>
        <v>Food &amp;Beverage</v>
      </c>
    </row>
    <row r="1789" spans="1:7" x14ac:dyDescent="0.3">
      <c r="A1789" t="s">
        <v>33</v>
      </c>
      <c r="B1789">
        <v>2014</v>
      </c>
      <c r="C1789" t="s">
        <v>45</v>
      </c>
      <c r="D1789" s="2">
        <v>41944</v>
      </c>
      <c r="E1789" t="s">
        <v>4</v>
      </c>
      <c r="F1789">
        <v>125.6</v>
      </c>
      <c r="G1789" t="str">
        <f>VLOOKUP(Table1_2[[#This Row],[Categories]],Sheet3!$A$1:$B$27,2,FALSE)</f>
        <v>Food &amp;Beverage</v>
      </c>
    </row>
    <row r="1790" spans="1:7" x14ac:dyDescent="0.3">
      <c r="A1790" t="s">
        <v>33</v>
      </c>
      <c r="B1790">
        <v>2014</v>
      </c>
      <c r="C1790" t="s">
        <v>45</v>
      </c>
      <c r="D1790" s="2">
        <v>41944</v>
      </c>
      <c r="E1790" t="s">
        <v>5</v>
      </c>
      <c r="F1790">
        <v>122.7</v>
      </c>
      <c r="G1790" t="str">
        <f>VLOOKUP(Table1_2[[#This Row],[Categories]],Sheet3!$A$1:$B$27,2,FALSE)</f>
        <v>Food &amp;Beverage</v>
      </c>
    </row>
    <row r="1791" spans="1:7" x14ac:dyDescent="0.3">
      <c r="A1791" t="s">
        <v>33</v>
      </c>
      <c r="B1791">
        <v>2014</v>
      </c>
      <c r="C1791" t="s">
        <v>45</v>
      </c>
      <c r="D1791" s="2">
        <v>41944</v>
      </c>
      <c r="E1791" t="s">
        <v>6</v>
      </c>
      <c r="F1791">
        <v>124.6</v>
      </c>
      <c r="G1791" t="str">
        <f>VLOOKUP(Table1_2[[#This Row],[Categories]],Sheet3!$A$1:$B$27,2,FALSE)</f>
        <v>Food &amp;Beverage</v>
      </c>
    </row>
    <row r="1792" spans="1:7" x14ac:dyDescent="0.3">
      <c r="A1792" t="s">
        <v>33</v>
      </c>
      <c r="B1792">
        <v>2014</v>
      </c>
      <c r="C1792" t="s">
        <v>45</v>
      </c>
      <c r="D1792" s="2">
        <v>41944</v>
      </c>
      <c r="E1792" t="s">
        <v>7</v>
      </c>
      <c r="F1792">
        <v>103.2</v>
      </c>
      <c r="G1792" t="str">
        <f>VLOOKUP(Table1_2[[#This Row],[Categories]],Sheet3!$A$1:$B$27,2,FALSE)</f>
        <v>Food &amp;Beverage</v>
      </c>
    </row>
    <row r="1793" spans="1:7" x14ac:dyDescent="0.3">
      <c r="A1793" t="s">
        <v>33</v>
      </c>
      <c r="B1793">
        <v>2014</v>
      </c>
      <c r="C1793" t="s">
        <v>45</v>
      </c>
      <c r="D1793" s="2">
        <v>41944</v>
      </c>
      <c r="E1793" t="s">
        <v>8</v>
      </c>
      <c r="F1793">
        <v>122.2</v>
      </c>
      <c r="G1793" t="str">
        <f>VLOOKUP(Table1_2[[#This Row],[Categories]],Sheet3!$A$1:$B$27,2,FALSE)</f>
        <v>Food &amp;Beverage</v>
      </c>
    </row>
    <row r="1794" spans="1:7" x14ac:dyDescent="0.3">
      <c r="A1794" t="s">
        <v>33</v>
      </c>
      <c r="B1794">
        <v>2014</v>
      </c>
      <c r="C1794" t="s">
        <v>45</v>
      </c>
      <c r="D1794" s="2">
        <v>41944</v>
      </c>
      <c r="E1794" t="s">
        <v>9</v>
      </c>
      <c r="F1794">
        <v>153.19999999999999</v>
      </c>
      <c r="G1794" t="str">
        <f>VLOOKUP(Table1_2[[#This Row],[Categories]],Sheet3!$A$1:$B$27,2,FALSE)</f>
        <v>Food &amp;Beverage</v>
      </c>
    </row>
    <row r="1795" spans="1:7" x14ac:dyDescent="0.3">
      <c r="A1795" t="s">
        <v>33</v>
      </c>
      <c r="B1795">
        <v>2014</v>
      </c>
      <c r="C1795" t="s">
        <v>45</v>
      </c>
      <c r="D1795" s="2">
        <v>41944</v>
      </c>
      <c r="E1795" t="s">
        <v>10</v>
      </c>
      <c r="F1795">
        <v>119.3</v>
      </c>
      <c r="G1795" t="str">
        <f>VLOOKUP(Table1_2[[#This Row],[Categories]],Sheet3!$A$1:$B$27,2,FALSE)</f>
        <v>Food &amp;Beverage</v>
      </c>
    </row>
    <row r="1796" spans="1:7" x14ac:dyDescent="0.3">
      <c r="A1796" t="s">
        <v>33</v>
      </c>
      <c r="B1796">
        <v>2014</v>
      </c>
      <c r="C1796" t="s">
        <v>45</v>
      </c>
      <c r="D1796" s="2">
        <v>41944</v>
      </c>
      <c r="E1796" t="s">
        <v>11</v>
      </c>
      <c r="F1796">
        <v>99.8</v>
      </c>
      <c r="G1796" t="str">
        <f>VLOOKUP(Table1_2[[#This Row],[Categories]],Sheet3!$A$1:$B$27,2,FALSE)</f>
        <v>Food &amp;Beverage</v>
      </c>
    </row>
    <row r="1797" spans="1:7" x14ac:dyDescent="0.3">
      <c r="A1797" t="s">
        <v>33</v>
      </c>
      <c r="B1797">
        <v>2014</v>
      </c>
      <c r="C1797" t="s">
        <v>45</v>
      </c>
      <c r="D1797" s="2">
        <v>41944</v>
      </c>
      <c r="E1797" t="s">
        <v>12</v>
      </c>
      <c r="F1797">
        <v>124.6</v>
      </c>
      <c r="G1797" t="str">
        <f>VLOOKUP(Table1_2[[#This Row],[Categories]],Sheet3!$A$1:$B$27,2,FALSE)</f>
        <v>Food &amp;Beverage</v>
      </c>
    </row>
    <row r="1798" spans="1:7" x14ac:dyDescent="0.3">
      <c r="A1798" t="s">
        <v>33</v>
      </c>
      <c r="B1798">
        <v>2014</v>
      </c>
      <c r="C1798" t="s">
        <v>45</v>
      </c>
      <c r="D1798" s="2">
        <v>41944</v>
      </c>
      <c r="E1798" t="s">
        <v>13</v>
      </c>
      <c r="F1798">
        <v>115.8</v>
      </c>
      <c r="G1798" t="str">
        <f>VLOOKUP(Table1_2[[#This Row],[Categories]],Sheet3!$A$1:$B$27,2,FALSE)</f>
        <v>Food &amp;Beverage</v>
      </c>
    </row>
    <row r="1799" spans="1:7" x14ac:dyDescent="0.3">
      <c r="A1799" t="s">
        <v>33</v>
      </c>
      <c r="B1799">
        <v>2014</v>
      </c>
      <c r="C1799" t="s">
        <v>45</v>
      </c>
      <c r="D1799" s="2">
        <v>41944</v>
      </c>
      <c r="E1799" t="s">
        <v>14</v>
      </c>
      <c r="F1799">
        <v>126.9</v>
      </c>
      <c r="G1799" t="str">
        <f>VLOOKUP(Table1_2[[#This Row],[Categories]],Sheet3!$A$1:$B$27,2,FALSE)</f>
        <v>Food &amp;Beverage</v>
      </c>
    </row>
    <row r="1800" spans="1:7" x14ac:dyDescent="0.3">
      <c r="A1800" t="s">
        <v>33</v>
      </c>
      <c r="B1800">
        <v>2014</v>
      </c>
      <c r="C1800" t="s">
        <v>45</v>
      </c>
      <c r="D1800" s="2">
        <v>41944</v>
      </c>
      <c r="E1800" t="s">
        <v>15</v>
      </c>
      <c r="F1800">
        <v>125.4</v>
      </c>
      <c r="G1800" t="str">
        <f>VLOOKUP(Table1_2[[#This Row],[Categories]],Sheet3!$A$1:$B$27,2,FALSE)</f>
        <v>Food &amp;Beverage</v>
      </c>
    </row>
    <row r="1801" spans="1:7" x14ac:dyDescent="0.3">
      <c r="A1801" t="s">
        <v>33</v>
      </c>
      <c r="B1801">
        <v>2014</v>
      </c>
      <c r="C1801" t="s">
        <v>45</v>
      </c>
      <c r="D1801" s="2">
        <v>41944</v>
      </c>
      <c r="E1801" t="s">
        <v>16</v>
      </c>
      <c r="F1801">
        <v>125.8</v>
      </c>
      <c r="G1801" t="str">
        <f>VLOOKUP(Table1_2[[#This Row],[Categories]],Sheet3!$A$1:$B$27,2,FALSE)</f>
        <v>Recreation and amusement</v>
      </c>
    </row>
    <row r="1802" spans="1:7" x14ac:dyDescent="0.3">
      <c r="A1802" t="s">
        <v>33</v>
      </c>
      <c r="B1802">
        <v>2014</v>
      </c>
      <c r="C1802" t="s">
        <v>45</v>
      </c>
      <c r="D1802" s="2">
        <v>41944</v>
      </c>
      <c r="E1802" t="s">
        <v>17</v>
      </c>
      <c r="F1802">
        <v>120.3</v>
      </c>
      <c r="G1802" t="str">
        <f>VLOOKUP(Table1_2[[#This Row],[Categories]],Sheet3!$A$1:$B$27,2,FALSE)</f>
        <v>Clothing and footwear</v>
      </c>
    </row>
    <row r="1803" spans="1:7" x14ac:dyDescent="0.3">
      <c r="A1803" t="s">
        <v>33</v>
      </c>
      <c r="B1803">
        <v>2014</v>
      </c>
      <c r="C1803" t="s">
        <v>45</v>
      </c>
      <c r="D1803" s="2">
        <v>41944</v>
      </c>
      <c r="E1803" t="s">
        <v>18</v>
      </c>
      <c r="F1803">
        <v>115.4</v>
      </c>
      <c r="G1803" t="str">
        <f>VLOOKUP(Table1_2[[#This Row],[Categories]],Sheet3!$A$1:$B$27,2,FALSE)</f>
        <v>Clothing and footwear</v>
      </c>
    </row>
    <row r="1804" spans="1:7" x14ac:dyDescent="0.3">
      <c r="A1804" t="s">
        <v>33</v>
      </c>
      <c r="B1804">
        <v>2014</v>
      </c>
      <c r="C1804" t="s">
        <v>45</v>
      </c>
      <c r="D1804" s="2">
        <v>41944</v>
      </c>
      <c r="E1804" t="s">
        <v>19</v>
      </c>
      <c r="F1804">
        <v>119.5</v>
      </c>
      <c r="G1804" t="str">
        <f>VLOOKUP(Table1_2[[#This Row],[Categories]],Sheet3!$A$1:$B$27,2,FALSE)</f>
        <v>Clothing and footwear</v>
      </c>
    </row>
    <row r="1805" spans="1:7" x14ac:dyDescent="0.3">
      <c r="A1805" t="s">
        <v>33</v>
      </c>
      <c r="B1805">
        <v>2014</v>
      </c>
      <c r="C1805" t="s">
        <v>45</v>
      </c>
      <c r="D1805" s="2">
        <v>41944</v>
      </c>
      <c r="E1805" t="s">
        <v>20</v>
      </c>
      <c r="F1805">
        <v>117.1</v>
      </c>
      <c r="G1805" t="str">
        <f>VLOOKUP(Table1_2[[#This Row],[Categories]],Sheet3!$A$1:$B$27,2,FALSE)</f>
        <v>Housing</v>
      </c>
    </row>
    <row r="1806" spans="1:7" x14ac:dyDescent="0.3">
      <c r="A1806" t="s">
        <v>33</v>
      </c>
      <c r="B1806">
        <v>2014</v>
      </c>
      <c r="C1806" t="s">
        <v>45</v>
      </c>
      <c r="D1806" s="2">
        <v>41944</v>
      </c>
      <c r="E1806" t="s">
        <v>21</v>
      </c>
      <c r="F1806">
        <v>112.6</v>
      </c>
      <c r="G1806" t="str">
        <f>VLOOKUP(Table1_2[[#This Row],[Categories]],Sheet3!$A$1:$B$27,2,FALSE)</f>
        <v>Fuel and light</v>
      </c>
    </row>
    <row r="1807" spans="1:7" x14ac:dyDescent="0.3">
      <c r="A1807" t="s">
        <v>33</v>
      </c>
      <c r="B1807">
        <v>2014</v>
      </c>
      <c r="C1807" t="s">
        <v>45</v>
      </c>
      <c r="D1807" s="2">
        <v>41944</v>
      </c>
      <c r="E1807" t="s">
        <v>22</v>
      </c>
      <c r="F1807">
        <v>116.4</v>
      </c>
      <c r="G1807" t="str">
        <f>VLOOKUP(Table1_2[[#This Row],[Categories]],Sheet3!$A$1:$B$27,2,FALSE)</f>
        <v>Household Items</v>
      </c>
    </row>
    <row r="1808" spans="1:7" x14ac:dyDescent="0.3">
      <c r="A1808" t="s">
        <v>33</v>
      </c>
      <c r="B1808">
        <v>2014</v>
      </c>
      <c r="C1808" t="s">
        <v>45</v>
      </c>
      <c r="D1808" s="2">
        <v>41944</v>
      </c>
      <c r="E1808" t="s">
        <v>23</v>
      </c>
      <c r="F1808">
        <v>113</v>
      </c>
      <c r="G1808" t="str">
        <f>VLOOKUP(Table1_2[[#This Row],[Categories]],Sheet3!$A$1:$B$27,2,FALSE)</f>
        <v>Health</v>
      </c>
    </row>
    <row r="1809" spans="1:7" x14ac:dyDescent="0.3">
      <c r="A1809" t="s">
        <v>33</v>
      </c>
      <c r="B1809">
        <v>2014</v>
      </c>
      <c r="C1809" t="s">
        <v>45</v>
      </c>
      <c r="D1809" s="2">
        <v>41944</v>
      </c>
      <c r="E1809" t="s">
        <v>24</v>
      </c>
      <c r="F1809">
        <v>109.7</v>
      </c>
      <c r="G1809" t="str">
        <f>VLOOKUP(Table1_2[[#This Row],[Categories]],Sheet3!$A$1:$B$27,2,FALSE)</f>
        <v>Transport and communication</v>
      </c>
    </row>
    <row r="1810" spans="1:7" x14ac:dyDescent="0.3">
      <c r="A1810" t="s">
        <v>33</v>
      </c>
      <c r="B1810">
        <v>2014</v>
      </c>
      <c r="C1810" t="s">
        <v>45</v>
      </c>
      <c r="D1810" s="2">
        <v>41944</v>
      </c>
      <c r="E1810" t="s">
        <v>25</v>
      </c>
      <c r="F1810">
        <v>114</v>
      </c>
      <c r="G1810" t="str">
        <f>VLOOKUP(Table1_2[[#This Row],[Categories]],Sheet3!$A$1:$B$27,2,FALSE)</f>
        <v>Recreation and amusement</v>
      </c>
    </row>
    <row r="1811" spans="1:7" x14ac:dyDescent="0.3">
      <c r="A1811" t="s">
        <v>33</v>
      </c>
      <c r="B1811">
        <v>2014</v>
      </c>
      <c r="C1811" t="s">
        <v>45</v>
      </c>
      <c r="D1811" s="2">
        <v>41944</v>
      </c>
      <c r="E1811" t="s">
        <v>26</v>
      </c>
      <c r="F1811">
        <v>120.3</v>
      </c>
      <c r="G1811" t="str">
        <f>VLOOKUP(Table1_2[[#This Row],[Categories]],Sheet3!$A$1:$B$27,2,FALSE)</f>
        <v>Education</v>
      </c>
    </row>
    <row r="1812" spans="1:7" x14ac:dyDescent="0.3">
      <c r="A1812" t="s">
        <v>33</v>
      </c>
      <c r="B1812">
        <v>2014</v>
      </c>
      <c r="C1812" t="s">
        <v>45</v>
      </c>
      <c r="D1812" s="2">
        <v>41944</v>
      </c>
      <c r="E1812" t="s">
        <v>27</v>
      </c>
      <c r="F1812">
        <v>109.6</v>
      </c>
      <c r="G1812" t="str">
        <f>VLOOKUP(Table1_2[[#This Row],[Categories]],Sheet3!$A$1:$B$27,2,FALSE)</f>
        <v>Household Items</v>
      </c>
    </row>
    <row r="1813" spans="1:7" x14ac:dyDescent="0.3">
      <c r="A1813" t="s">
        <v>33</v>
      </c>
      <c r="B1813">
        <v>2014</v>
      </c>
      <c r="C1813" t="s">
        <v>45</v>
      </c>
      <c r="D1813" s="2">
        <v>41944</v>
      </c>
      <c r="E1813" t="s">
        <v>28</v>
      </c>
      <c r="F1813">
        <v>113.4</v>
      </c>
      <c r="G1813" t="str">
        <f>VLOOKUP(Table1_2[[#This Row],[Categories]],Sheet3!$A$1:$B$27,2,FALSE)</f>
        <v>Miscellaneous</v>
      </c>
    </row>
    <row r="1814" spans="1:7" x14ac:dyDescent="0.3">
      <c r="A1814" t="s">
        <v>33</v>
      </c>
      <c r="B1814">
        <v>2014</v>
      </c>
      <c r="C1814" t="s">
        <v>45</v>
      </c>
      <c r="D1814" s="2">
        <v>41944</v>
      </c>
      <c r="E1814" t="s">
        <v>29</v>
      </c>
      <c r="F1814">
        <v>119</v>
      </c>
      <c r="G1814" t="str">
        <f>VLOOKUP(Table1_2[[#This Row],[Categories]],Sheet3!$A$1:$B$27,2,FALSE)</f>
        <v>General index</v>
      </c>
    </row>
    <row r="1815" spans="1:7" x14ac:dyDescent="0.3">
      <c r="A1815" t="s">
        <v>34</v>
      </c>
      <c r="B1815">
        <v>2014</v>
      </c>
      <c r="C1815" t="s">
        <v>45</v>
      </c>
      <c r="D1815" s="2">
        <v>41944</v>
      </c>
      <c r="E1815" t="s">
        <v>3</v>
      </c>
      <c r="F1815">
        <v>123.3</v>
      </c>
      <c r="G1815" t="str">
        <f>VLOOKUP(Table1_2[[#This Row],[Categories]],Sheet3!$A$1:$B$27,2,FALSE)</f>
        <v>Food &amp;Beverage</v>
      </c>
    </row>
    <row r="1816" spans="1:7" x14ac:dyDescent="0.3">
      <c r="A1816" t="s">
        <v>34</v>
      </c>
      <c r="B1816">
        <v>2014</v>
      </c>
      <c r="C1816" t="s">
        <v>45</v>
      </c>
      <c r="D1816" s="2">
        <v>41944</v>
      </c>
      <c r="E1816" t="s">
        <v>4</v>
      </c>
      <c r="F1816">
        <v>123.7</v>
      </c>
      <c r="G1816" t="str">
        <f>VLOOKUP(Table1_2[[#This Row],[Categories]],Sheet3!$A$1:$B$27,2,FALSE)</f>
        <v>Food &amp;Beverage</v>
      </c>
    </row>
    <row r="1817" spans="1:7" x14ac:dyDescent="0.3">
      <c r="A1817" t="s">
        <v>34</v>
      </c>
      <c r="B1817">
        <v>2014</v>
      </c>
      <c r="C1817" t="s">
        <v>45</v>
      </c>
      <c r="D1817" s="2">
        <v>41944</v>
      </c>
      <c r="E1817" t="s">
        <v>5</v>
      </c>
      <c r="F1817">
        <v>121</v>
      </c>
      <c r="G1817" t="str">
        <f>VLOOKUP(Table1_2[[#This Row],[Categories]],Sheet3!$A$1:$B$27,2,FALSE)</f>
        <v>Food &amp;Beverage</v>
      </c>
    </row>
    <row r="1818" spans="1:7" x14ac:dyDescent="0.3">
      <c r="A1818" t="s">
        <v>34</v>
      </c>
      <c r="B1818">
        <v>2014</v>
      </c>
      <c r="C1818" t="s">
        <v>45</v>
      </c>
      <c r="D1818" s="2">
        <v>41944</v>
      </c>
      <c r="E1818" t="s">
        <v>6</v>
      </c>
      <c r="F1818">
        <v>124.2</v>
      </c>
      <c r="G1818" t="str">
        <f>VLOOKUP(Table1_2[[#This Row],[Categories]],Sheet3!$A$1:$B$27,2,FALSE)</f>
        <v>Food &amp;Beverage</v>
      </c>
    </row>
    <row r="1819" spans="1:7" x14ac:dyDescent="0.3">
      <c r="A1819" t="s">
        <v>34</v>
      </c>
      <c r="B1819">
        <v>2014</v>
      </c>
      <c r="C1819" t="s">
        <v>45</v>
      </c>
      <c r="D1819" s="2">
        <v>41944</v>
      </c>
      <c r="E1819" t="s">
        <v>7</v>
      </c>
      <c r="F1819">
        <v>107.8</v>
      </c>
      <c r="G1819" t="str">
        <f>VLOOKUP(Table1_2[[#This Row],[Categories]],Sheet3!$A$1:$B$27,2,FALSE)</f>
        <v>Food &amp;Beverage</v>
      </c>
    </row>
    <row r="1820" spans="1:7" x14ac:dyDescent="0.3">
      <c r="A1820" t="s">
        <v>34</v>
      </c>
      <c r="B1820">
        <v>2014</v>
      </c>
      <c r="C1820" t="s">
        <v>45</v>
      </c>
      <c r="D1820" s="2">
        <v>41944</v>
      </c>
      <c r="E1820" t="s">
        <v>8</v>
      </c>
      <c r="F1820">
        <v>125.7</v>
      </c>
      <c r="G1820" t="str">
        <f>VLOOKUP(Table1_2[[#This Row],[Categories]],Sheet3!$A$1:$B$27,2,FALSE)</f>
        <v>Food &amp;Beverage</v>
      </c>
    </row>
    <row r="1821" spans="1:7" x14ac:dyDescent="0.3">
      <c r="A1821" t="s">
        <v>34</v>
      </c>
      <c r="B1821">
        <v>2014</v>
      </c>
      <c r="C1821" t="s">
        <v>45</v>
      </c>
      <c r="D1821" s="2">
        <v>41944</v>
      </c>
      <c r="E1821" t="s">
        <v>9</v>
      </c>
      <c r="F1821">
        <v>152.4</v>
      </c>
      <c r="G1821" t="str">
        <f>VLOOKUP(Table1_2[[#This Row],[Categories]],Sheet3!$A$1:$B$27,2,FALSE)</f>
        <v>Food &amp;Beverage</v>
      </c>
    </row>
    <row r="1822" spans="1:7" x14ac:dyDescent="0.3">
      <c r="A1822" t="s">
        <v>34</v>
      </c>
      <c r="B1822">
        <v>2014</v>
      </c>
      <c r="C1822" t="s">
        <v>45</v>
      </c>
      <c r="D1822" s="2">
        <v>41944</v>
      </c>
      <c r="E1822" t="s">
        <v>10</v>
      </c>
      <c r="F1822">
        <v>117.2</v>
      </c>
      <c r="G1822" t="str">
        <f>VLOOKUP(Table1_2[[#This Row],[Categories]],Sheet3!$A$1:$B$27,2,FALSE)</f>
        <v>Food &amp;Beverage</v>
      </c>
    </row>
    <row r="1823" spans="1:7" x14ac:dyDescent="0.3">
      <c r="A1823" t="s">
        <v>34</v>
      </c>
      <c r="B1823">
        <v>2014</v>
      </c>
      <c r="C1823" t="s">
        <v>45</v>
      </c>
      <c r="D1823" s="2">
        <v>41944</v>
      </c>
      <c r="E1823" t="s">
        <v>11</v>
      </c>
      <c r="F1823">
        <v>102.1</v>
      </c>
      <c r="G1823" t="str">
        <f>VLOOKUP(Table1_2[[#This Row],[Categories]],Sheet3!$A$1:$B$27,2,FALSE)</f>
        <v>Food &amp;Beverage</v>
      </c>
    </row>
    <row r="1824" spans="1:7" x14ac:dyDescent="0.3">
      <c r="A1824" t="s">
        <v>34</v>
      </c>
      <c r="B1824">
        <v>2014</v>
      </c>
      <c r="C1824" t="s">
        <v>45</v>
      </c>
      <c r="D1824" s="2">
        <v>41944</v>
      </c>
      <c r="E1824" t="s">
        <v>12</v>
      </c>
      <c r="F1824">
        <v>118.7</v>
      </c>
      <c r="G1824" t="str">
        <f>VLOOKUP(Table1_2[[#This Row],[Categories]],Sheet3!$A$1:$B$27,2,FALSE)</f>
        <v>Food &amp;Beverage</v>
      </c>
    </row>
    <row r="1825" spans="1:7" x14ac:dyDescent="0.3">
      <c r="A1825" t="s">
        <v>34</v>
      </c>
      <c r="B1825">
        <v>2014</v>
      </c>
      <c r="C1825" t="s">
        <v>45</v>
      </c>
      <c r="D1825" s="2">
        <v>41944</v>
      </c>
      <c r="E1825" t="s">
        <v>13</v>
      </c>
      <c r="F1825">
        <v>116.4</v>
      </c>
      <c r="G1825" t="str">
        <f>VLOOKUP(Table1_2[[#This Row],[Categories]],Sheet3!$A$1:$B$27,2,FALSE)</f>
        <v>Food &amp;Beverage</v>
      </c>
    </row>
    <row r="1826" spans="1:7" x14ac:dyDescent="0.3">
      <c r="A1826" t="s">
        <v>34</v>
      </c>
      <c r="B1826">
        <v>2014</v>
      </c>
      <c r="C1826" t="s">
        <v>45</v>
      </c>
      <c r="D1826" s="2">
        <v>41944</v>
      </c>
      <c r="E1826" t="s">
        <v>14</v>
      </c>
      <c r="F1826">
        <v>125.6</v>
      </c>
      <c r="G1826" t="str">
        <f>VLOOKUP(Table1_2[[#This Row],[Categories]],Sheet3!$A$1:$B$27,2,FALSE)</f>
        <v>Food &amp;Beverage</v>
      </c>
    </row>
    <row r="1827" spans="1:7" x14ac:dyDescent="0.3">
      <c r="A1827" t="s">
        <v>34</v>
      </c>
      <c r="B1827">
        <v>2014</v>
      </c>
      <c r="C1827" t="s">
        <v>45</v>
      </c>
      <c r="D1827" s="2">
        <v>41944</v>
      </c>
      <c r="E1827" t="s">
        <v>15</v>
      </c>
      <c r="F1827">
        <v>125.1</v>
      </c>
      <c r="G1827" t="str">
        <f>VLOOKUP(Table1_2[[#This Row],[Categories]],Sheet3!$A$1:$B$27,2,FALSE)</f>
        <v>Food &amp;Beverage</v>
      </c>
    </row>
    <row r="1828" spans="1:7" x14ac:dyDescent="0.3">
      <c r="A1828" t="s">
        <v>34</v>
      </c>
      <c r="B1828">
        <v>2014</v>
      </c>
      <c r="C1828" t="s">
        <v>45</v>
      </c>
      <c r="D1828" s="2">
        <v>41944</v>
      </c>
      <c r="E1828" t="s">
        <v>16</v>
      </c>
      <c r="F1828">
        <v>122.1</v>
      </c>
      <c r="G1828" t="str">
        <f>VLOOKUP(Table1_2[[#This Row],[Categories]],Sheet3!$A$1:$B$27,2,FALSE)</f>
        <v>Recreation and amusement</v>
      </c>
    </row>
    <row r="1829" spans="1:7" x14ac:dyDescent="0.3">
      <c r="A1829" t="s">
        <v>34</v>
      </c>
      <c r="B1829">
        <v>2014</v>
      </c>
      <c r="C1829" t="s">
        <v>45</v>
      </c>
      <c r="D1829" s="2">
        <v>41944</v>
      </c>
      <c r="E1829" t="s">
        <v>17</v>
      </c>
      <c r="F1829">
        <v>122.1</v>
      </c>
      <c r="G1829" t="str">
        <f>VLOOKUP(Table1_2[[#This Row],[Categories]],Sheet3!$A$1:$B$27,2,FALSE)</f>
        <v>Clothing and footwear</v>
      </c>
    </row>
    <row r="1830" spans="1:7" x14ac:dyDescent="0.3">
      <c r="A1830" t="s">
        <v>34</v>
      </c>
      <c r="B1830">
        <v>2014</v>
      </c>
      <c r="C1830" t="s">
        <v>45</v>
      </c>
      <c r="D1830" s="2">
        <v>41944</v>
      </c>
      <c r="E1830" t="s">
        <v>18</v>
      </c>
      <c r="F1830">
        <v>118.4</v>
      </c>
      <c r="G1830" t="str">
        <f>VLOOKUP(Table1_2[[#This Row],[Categories]],Sheet3!$A$1:$B$27,2,FALSE)</f>
        <v>Clothing and footwear</v>
      </c>
    </row>
    <row r="1831" spans="1:7" x14ac:dyDescent="0.3">
      <c r="A1831" t="s">
        <v>34</v>
      </c>
      <c r="B1831">
        <v>2014</v>
      </c>
      <c r="C1831" t="s">
        <v>45</v>
      </c>
      <c r="D1831" s="2">
        <v>41944</v>
      </c>
      <c r="E1831" t="s">
        <v>19</v>
      </c>
      <c r="F1831">
        <v>121.6</v>
      </c>
      <c r="G1831" t="str">
        <f>VLOOKUP(Table1_2[[#This Row],[Categories]],Sheet3!$A$1:$B$27,2,FALSE)</f>
        <v>Clothing and footwear</v>
      </c>
    </row>
    <row r="1832" spans="1:7" x14ac:dyDescent="0.3">
      <c r="A1832" t="s">
        <v>34</v>
      </c>
      <c r="B1832">
        <v>2014</v>
      </c>
      <c r="C1832" t="s">
        <v>45</v>
      </c>
      <c r="D1832" s="2">
        <v>41944</v>
      </c>
      <c r="E1832" t="s">
        <v>20</v>
      </c>
      <c r="F1832">
        <v>117.1</v>
      </c>
      <c r="G1832" t="str">
        <f>VLOOKUP(Table1_2[[#This Row],[Categories]],Sheet3!$A$1:$B$27,2,FALSE)</f>
        <v>Housing</v>
      </c>
    </row>
    <row r="1833" spans="1:7" x14ac:dyDescent="0.3">
      <c r="A1833" t="s">
        <v>34</v>
      </c>
      <c r="B1833">
        <v>2014</v>
      </c>
      <c r="C1833" t="s">
        <v>45</v>
      </c>
      <c r="D1833" s="2">
        <v>41944</v>
      </c>
      <c r="E1833" t="s">
        <v>21</v>
      </c>
      <c r="F1833">
        <v>115.5</v>
      </c>
      <c r="G1833" t="str">
        <f>VLOOKUP(Table1_2[[#This Row],[Categories]],Sheet3!$A$1:$B$27,2,FALSE)</f>
        <v>Fuel and light</v>
      </c>
    </row>
    <row r="1834" spans="1:7" x14ac:dyDescent="0.3">
      <c r="A1834" t="s">
        <v>34</v>
      </c>
      <c r="B1834">
        <v>2014</v>
      </c>
      <c r="C1834" t="s">
        <v>45</v>
      </c>
      <c r="D1834" s="2">
        <v>41944</v>
      </c>
      <c r="E1834" t="s">
        <v>22</v>
      </c>
      <c r="F1834">
        <v>117.3</v>
      </c>
      <c r="G1834" t="str">
        <f>VLOOKUP(Table1_2[[#This Row],[Categories]],Sheet3!$A$1:$B$27,2,FALSE)</f>
        <v>Household Items</v>
      </c>
    </row>
    <row r="1835" spans="1:7" x14ac:dyDescent="0.3">
      <c r="A1835" t="s">
        <v>34</v>
      </c>
      <c r="B1835">
        <v>2014</v>
      </c>
      <c r="C1835" t="s">
        <v>45</v>
      </c>
      <c r="D1835" s="2">
        <v>41944</v>
      </c>
      <c r="E1835" t="s">
        <v>23</v>
      </c>
      <c r="F1835">
        <v>114.8</v>
      </c>
      <c r="G1835" t="str">
        <f>VLOOKUP(Table1_2[[#This Row],[Categories]],Sheet3!$A$1:$B$27,2,FALSE)</f>
        <v>Health</v>
      </c>
    </row>
    <row r="1836" spans="1:7" x14ac:dyDescent="0.3">
      <c r="A1836" t="s">
        <v>34</v>
      </c>
      <c r="B1836">
        <v>2014</v>
      </c>
      <c r="C1836" t="s">
        <v>45</v>
      </c>
      <c r="D1836" s="2">
        <v>41944</v>
      </c>
      <c r="E1836" t="s">
        <v>24</v>
      </c>
      <c r="F1836">
        <v>110.8</v>
      </c>
      <c r="G1836" t="str">
        <f>VLOOKUP(Table1_2[[#This Row],[Categories]],Sheet3!$A$1:$B$27,2,FALSE)</f>
        <v>Transport and communication</v>
      </c>
    </row>
    <row r="1837" spans="1:7" x14ac:dyDescent="0.3">
      <c r="A1837" t="s">
        <v>34</v>
      </c>
      <c r="B1837">
        <v>2014</v>
      </c>
      <c r="C1837" t="s">
        <v>45</v>
      </c>
      <c r="D1837" s="2">
        <v>41944</v>
      </c>
      <c r="E1837" t="s">
        <v>25</v>
      </c>
      <c r="F1837">
        <v>113.7</v>
      </c>
      <c r="G1837" t="str">
        <f>VLOOKUP(Table1_2[[#This Row],[Categories]],Sheet3!$A$1:$B$27,2,FALSE)</f>
        <v>Recreation and amusement</v>
      </c>
    </row>
    <row r="1838" spans="1:7" x14ac:dyDescent="0.3">
      <c r="A1838" t="s">
        <v>34</v>
      </c>
      <c r="B1838">
        <v>2014</v>
      </c>
      <c r="C1838" t="s">
        <v>45</v>
      </c>
      <c r="D1838" s="2">
        <v>41944</v>
      </c>
      <c r="E1838" t="s">
        <v>26</v>
      </c>
      <c r="F1838">
        <v>119</v>
      </c>
      <c r="G1838" t="str">
        <f>VLOOKUP(Table1_2[[#This Row],[Categories]],Sheet3!$A$1:$B$27,2,FALSE)</f>
        <v>Education</v>
      </c>
    </row>
    <row r="1839" spans="1:7" x14ac:dyDescent="0.3">
      <c r="A1839" t="s">
        <v>34</v>
      </c>
      <c r="B1839">
        <v>2014</v>
      </c>
      <c r="C1839" t="s">
        <v>45</v>
      </c>
      <c r="D1839" s="2">
        <v>41944</v>
      </c>
      <c r="E1839" t="s">
        <v>27</v>
      </c>
      <c r="F1839">
        <v>109.1</v>
      </c>
      <c r="G1839" t="str">
        <f>VLOOKUP(Table1_2[[#This Row],[Categories]],Sheet3!$A$1:$B$27,2,FALSE)</f>
        <v>Household Items</v>
      </c>
    </row>
    <row r="1840" spans="1:7" x14ac:dyDescent="0.3">
      <c r="A1840" t="s">
        <v>34</v>
      </c>
      <c r="B1840">
        <v>2014</v>
      </c>
      <c r="C1840" t="s">
        <v>45</v>
      </c>
      <c r="D1840" s="2">
        <v>41944</v>
      </c>
      <c r="E1840" t="s">
        <v>28</v>
      </c>
      <c r="F1840">
        <v>113.8</v>
      </c>
      <c r="G1840" t="str">
        <f>VLOOKUP(Table1_2[[#This Row],[Categories]],Sheet3!$A$1:$B$27,2,FALSE)</f>
        <v>Miscellaneous</v>
      </c>
    </row>
    <row r="1841" spans="1:7" x14ac:dyDescent="0.3">
      <c r="A1841" t="s">
        <v>34</v>
      </c>
      <c r="B1841">
        <v>2014</v>
      </c>
      <c r="C1841" t="s">
        <v>45</v>
      </c>
      <c r="D1841" s="2">
        <v>41944</v>
      </c>
      <c r="E1841" t="s">
        <v>29</v>
      </c>
      <c r="F1841">
        <v>120.1</v>
      </c>
      <c r="G1841" t="str">
        <f>VLOOKUP(Table1_2[[#This Row],[Categories]],Sheet3!$A$1:$B$27,2,FALSE)</f>
        <v>General index</v>
      </c>
    </row>
    <row r="1842" spans="1:7" x14ac:dyDescent="0.3">
      <c r="A1842" t="s">
        <v>30</v>
      </c>
      <c r="B1842">
        <v>2014</v>
      </c>
      <c r="C1842" t="s">
        <v>46</v>
      </c>
      <c r="D1842" s="2">
        <v>41974</v>
      </c>
      <c r="E1842" t="s">
        <v>3</v>
      </c>
      <c r="F1842">
        <v>122.4</v>
      </c>
      <c r="G1842" t="str">
        <f>VLOOKUP(Table1_2[[#This Row],[Categories]],Sheet3!$A$1:$B$27,2,FALSE)</f>
        <v>Food &amp;Beverage</v>
      </c>
    </row>
    <row r="1843" spans="1:7" x14ac:dyDescent="0.3">
      <c r="A1843" t="s">
        <v>30</v>
      </c>
      <c r="B1843">
        <v>2014</v>
      </c>
      <c r="C1843" t="s">
        <v>46</v>
      </c>
      <c r="D1843" s="2">
        <v>41974</v>
      </c>
      <c r="E1843" t="s">
        <v>4</v>
      </c>
      <c r="F1843">
        <v>122.4</v>
      </c>
      <c r="G1843" t="str">
        <f>VLOOKUP(Table1_2[[#This Row],[Categories]],Sheet3!$A$1:$B$27,2,FALSE)</f>
        <v>Food &amp;Beverage</v>
      </c>
    </row>
    <row r="1844" spans="1:7" x14ac:dyDescent="0.3">
      <c r="A1844" t="s">
        <v>30</v>
      </c>
      <c r="B1844">
        <v>2014</v>
      </c>
      <c r="C1844" t="s">
        <v>46</v>
      </c>
      <c r="D1844" s="2">
        <v>41974</v>
      </c>
      <c r="E1844" t="s">
        <v>5</v>
      </c>
      <c r="F1844">
        <v>121.8</v>
      </c>
      <c r="G1844" t="str">
        <f>VLOOKUP(Table1_2[[#This Row],[Categories]],Sheet3!$A$1:$B$27,2,FALSE)</f>
        <v>Food &amp;Beverage</v>
      </c>
    </row>
    <row r="1845" spans="1:7" x14ac:dyDescent="0.3">
      <c r="A1845" t="s">
        <v>30</v>
      </c>
      <c r="B1845">
        <v>2014</v>
      </c>
      <c r="C1845" t="s">
        <v>46</v>
      </c>
      <c r="D1845" s="2">
        <v>41974</v>
      </c>
      <c r="E1845" t="s">
        <v>6</v>
      </c>
      <c r="F1845">
        <v>124.2</v>
      </c>
      <c r="G1845" t="str">
        <f>VLOOKUP(Table1_2[[#This Row],[Categories]],Sheet3!$A$1:$B$27,2,FALSE)</f>
        <v>Food &amp;Beverage</v>
      </c>
    </row>
    <row r="1846" spans="1:7" x14ac:dyDescent="0.3">
      <c r="A1846" t="s">
        <v>30</v>
      </c>
      <c r="B1846">
        <v>2014</v>
      </c>
      <c r="C1846" t="s">
        <v>46</v>
      </c>
      <c r="D1846" s="2">
        <v>41974</v>
      </c>
      <c r="E1846" t="s">
        <v>7</v>
      </c>
      <c r="F1846">
        <v>110.2</v>
      </c>
      <c r="G1846" t="str">
        <f>VLOOKUP(Table1_2[[#This Row],[Categories]],Sheet3!$A$1:$B$27,2,FALSE)</f>
        <v>Food &amp;Beverage</v>
      </c>
    </row>
    <row r="1847" spans="1:7" x14ac:dyDescent="0.3">
      <c r="A1847" t="s">
        <v>30</v>
      </c>
      <c r="B1847">
        <v>2014</v>
      </c>
      <c r="C1847" t="s">
        <v>46</v>
      </c>
      <c r="D1847" s="2">
        <v>41974</v>
      </c>
      <c r="E1847" t="s">
        <v>8</v>
      </c>
      <c r="F1847">
        <v>128.6</v>
      </c>
      <c r="G1847" t="str">
        <f>VLOOKUP(Table1_2[[#This Row],[Categories]],Sheet3!$A$1:$B$27,2,FALSE)</f>
        <v>Food &amp;Beverage</v>
      </c>
    </row>
    <row r="1848" spans="1:7" x14ac:dyDescent="0.3">
      <c r="A1848" t="s">
        <v>30</v>
      </c>
      <c r="B1848">
        <v>2014</v>
      </c>
      <c r="C1848" t="s">
        <v>46</v>
      </c>
      <c r="D1848" s="2">
        <v>41974</v>
      </c>
      <c r="E1848" t="s">
        <v>9</v>
      </c>
      <c r="F1848">
        <v>140.30000000000001</v>
      </c>
      <c r="G1848" t="str">
        <f>VLOOKUP(Table1_2[[#This Row],[Categories]],Sheet3!$A$1:$B$27,2,FALSE)</f>
        <v>Food &amp;Beverage</v>
      </c>
    </row>
    <row r="1849" spans="1:7" x14ac:dyDescent="0.3">
      <c r="A1849" t="s">
        <v>30</v>
      </c>
      <c r="B1849">
        <v>2014</v>
      </c>
      <c r="C1849" t="s">
        <v>46</v>
      </c>
      <c r="D1849" s="2">
        <v>41974</v>
      </c>
      <c r="E1849" t="s">
        <v>10</v>
      </c>
      <c r="F1849">
        <v>116.3</v>
      </c>
      <c r="G1849" t="str">
        <f>VLOOKUP(Table1_2[[#This Row],[Categories]],Sheet3!$A$1:$B$27,2,FALSE)</f>
        <v>Food &amp;Beverage</v>
      </c>
    </row>
    <row r="1850" spans="1:7" x14ac:dyDescent="0.3">
      <c r="A1850" t="s">
        <v>30</v>
      </c>
      <c r="B1850">
        <v>2014</v>
      </c>
      <c r="C1850" t="s">
        <v>46</v>
      </c>
      <c r="D1850" s="2">
        <v>41974</v>
      </c>
      <c r="E1850" t="s">
        <v>11</v>
      </c>
      <c r="F1850">
        <v>102</v>
      </c>
      <c r="G1850" t="str">
        <f>VLOOKUP(Table1_2[[#This Row],[Categories]],Sheet3!$A$1:$B$27,2,FALSE)</f>
        <v>Food &amp;Beverage</v>
      </c>
    </row>
    <row r="1851" spans="1:7" x14ac:dyDescent="0.3">
      <c r="A1851" t="s">
        <v>30</v>
      </c>
      <c r="B1851">
        <v>2014</v>
      </c>
      <c r="C1851" t="s">
        <v>46</v>
      </c>
      <c r="D1851" s="2">
        <v>41974</v>
      </c>
      <c r="E1851" t="s">
        <v>12</v>
      </c>
      <c r="F1851">
        <v>116</v>
      </c>
      <c r="G1851" t="str">
        <f>VLOOKUP(Table1_2[[#This Row],[Categories]],Sheet3!$A$1:$B$27,2,FALSE)</f>
        <v>Food &amp;Beverage</v>
      </c>
    </row>
    <row r="1852" spans="1:7" x14ac:dyDescent="0.3">
      <c r="A1852" t="s">
        <v>30</v>
      </c>
      <c r="B1852">
        <v>2014</v>
      </c>
      <c r="C1852" t="s">
        <v>46</v>
      </c>
      <c r="D1852" s="2">
        <v>41974</v>
      </c>
      <c r="E1852" t="s">
        <v>13</v>
      </c>
      <c r="F1852">
        <v>117.3</v>
      </c>
      <c r="G1852" t="str">
        <f>VLOOKUP(Table1_2[[#This Row],[Categories]],Sheet3!$A$1:$B$27,2,FALSE)</f>
        <v>Food &amp;Beverage</v>
      </c>
    </row>
    <row r="1853" spans="1:7" x14ac:dyDescent="0.3">
      <c r="A1853" t="s">
        <v>30</v>
      </c>
      <c r="B1853">
        <v>2014</v>
      </c>
      <c r="C1853" t="s">
        <v>46</v>
      </c>
      <c r="D1853" s="2">
        <v>41974</v>
      </c>
      <c r="E1853" t="s">
        <v>14</v>
      </c>
      <c r="F1853">
        <v>124.8</v>
      </c>
      <c r="G1853" t="str">
        <f>VLOOKUP(Table1_2[[#This Row],[Categories]],Sheet3!$A$1:$B$27,2,FALSE)</f>
        <v>Food &amp;Beverage</v>
      </c>
    </row>
    <row r="1854" spans="1:7" x14ac:dyDescent="0.3">
      <c r="A1854" t="s">
        <v>30</v>
      </c>
      <c r="B1854">
        <v>2014</v>
      </c>
      <c r="C1854" t="s">
        <v>46</v>
      </c>
      <c r="D1854" s="2">
        <v>41974</v>
      </c>
      <c r="E1854" t="s">
        <v>15</v>
      </c>
      <c r="F1854">
        <v>123.3</v>
      </c>
      <c r="G1854" t="str">
        <f>VLOOKUP(Table1_2[[#This Row],[Categories]],Sheet3!$A$1:$B$27,2,FALSE)</f>
        <v>Food &amp;Beverage</v>
      </c>
    </row>
    <row r="1855" spans="1:7" x14ac:dyDescent="0.3">
      <c r="A1855" t="s">
        <v>30</v>
      </c>
      <c r="B1855">
        <v>2014</v>
      </c>
      <c r="C1855" t="s">
        <v>46</v>
      </c>
      <c r="D1855" s="2">
        <v>41974</v>
      </c>
      <c r="E1855" t="s">
        <v>16</v>
      </c>
      <c r="F1855">
        <v>121.7</v>
      </c>
      <c r="G1855" t="str">
        <f>VLOOKUP(Table1_2[[#This Row],[Categories]],Sheet3!$A$1:$B$27,2,FALSE)</f>
        <v>Recreation and amusement</v>
      </c>
    </row>
    <row r="1856" spans="1:7" x14ac:dyDescent="0.3">
      <c r="A1856" t="s">
        <v>30</v>
      </c>
      <c r="B1856">
        <v>2014</v>
      </c>
      <c r="C1856" t="s">
        <v>46</v>
      </c>
      <c r="D1856" s="2">
        <v>41974</v>
      </c>
      <c r="E1856" t="s">
        <v>17</v>
      </c>
      <c r="F1856">
        <v>123.8</v>
      </c>
      <c r="G1856" t="str">
        <f>VLOOKUP(Table1_2[[#This Row],[Categories]],Sheet3!$A$1:$B$27,2,FALSE)</f>
        <v>Clothing and footwear</v>
      </c>
    </row>
    <row r="1857" spans="1:7" x14ac:dyDescent="0.3">
      <c r="A1857" t="s">
        <v>30</v>
      </c>
      <c r="B1857">
        <v>2014</v>
      </c>
      <c r="C1857" t="s">
        <v>46</v>
      </c>
      <c r="D1857" s="2">
        <v>41974</v>
      </c>
      <c r="E1857" t="s">
        <v>18</v>
      </c>
      <c r="F1857">
        <v>120.6</v>
      </c>
      <c r="G1857" t="str">
        <f>VLOOKUP(Table1_2[[#This Row],[Categories]],Sheet3!$A$1:$B$27,2,FALSE)</f>
        <v>Clothing and footwear</v>
      </c>
    </row>
    <row r="1858" spans="1:7" x14ac:dyDescent="0.3">
      <c r="A1858" t="s">
        <v>30</v>
      </c>
      <c r="B1858">
        <v>2014</v>
      </c>
      <c r="C1858" t="s">
        <v>46</v>
      </c>
      <c r="D1858" s="2">
        <v>41974</v>
      </c>
      <c r="E1858" t="s">
        <v>19</v>
      </c>
      <c r="F1858">
        <v>123.3</v>
      </c>
      <c r="G1858" t="str">
        <f>VLOOKUP(Table1_2[[#This Row],[Categories]],Sheet3!$A$1:$B$27,2,FALSE)</f>
        <v>Clothing and footwear</v>
      </c>
    </row>
    <row r="1859" spans="1:7" x14ac:dyDescent="0.3">
      <c r="A1859" t="s">
        <v>30</v>
      </c>
      <c r="B1859">
        <v>2014</v>
      </c>
      <c r="C1859" t="s">
        <v>46</v>
      </c>
      <c r="D1859" s="2">
        <v>41974</v>
      </c>
      <c r="E1859" t="s">
        <v>21</v>
      </c>
      <c r="F1859">
        <v>117.4</v>
      </c>
      <c r="G1859" t="str">
        <f>VLOOKUP(Table1_2[[#This Row],[Categories]],Sheet3!$A$1:$B$27,2,FALSE)</f>
        <v>Fuel and light</v>
      </c>
    </row>
    <row r="1860" spans="1:7" x14ac:dyDescent="0.3">
      <c r="A1860" t="s">
        <v>30</v>
      </c>
      <c r="B1860">
        <v>2014</v>
      </c>
      <c r="C1860" t="s">
        <v>46</v>
      </c>
      <c r="D1860" s="2">
        <v>41974</v>
      </c>
      <c r="E1860" t="s">
        <v>22</v>
      </c>
      <c r="F1860">
        <v>118.2</v>
      </c>
      <c r="G1860" t="str">
        <f>VLOOKUP(Table1_2[[#This Row],[Categories]],Sheet3!$A$1:$B$27,2,FALSE)</f>
        <v>Household Items</v>
      </c>
    </row>
    <row r="1861" spans="1:7" x14ac:dyDescent="0.3">
      <c r="A1861" t="s">
        <v>30</v>
      </c>
      <c r="B1861">
        <v>2014</v>
      </c>
      <c r="C1861" t="s">
        <v>46</v>
      </c>
      <c r="D1861" s="2">
        <v>41974</v>
      </c>
      <c r="E1861" t="s">
        <v>23</v>
      </c>
      <c r="F1861">
        <v>116.2</v>
      </c>
      <c r="G1861" t="str">
        <f>VLOOKUP(Table1_2[[#This Row],[Categories]],Sheet3!$A$1:$B$27,2,FALSE)</f>
        <v>Health</v>
      </c>
    </row>
    <row r="1862" spans="1:7" x14ac:dyDescent="0.3">
      <c r="A1862" t="s">
        <v>30</v>
      </c>
      <c r="B1862">
        <v>2014</v>
      </c>
      <c r="C1862" t="s">
        <v>46</v>
      </c>
      <c r="D1862" s="2">
        <v>41974</v>
      </c>
      <c r="E1862" t="s">
        <v>24</v>
      </c>
      <c r="F1862">
        <v>111.5</v>
      </c>
      <c r="G1862" t="str">
        <f>VLOOKUP(Table1_2[[#This Row],[Categories]],Sheet3!$A$1:$B$27,2,FALSE)</f>
        <v>Transport and communication</v>
      </c>
    </row>
    <row r="1863" spans="1:7" x14ac:dyDescent="0.3">
      <c r="A1863" t="s">
        <v>30</v>
      </c>
      <c r="B1863">
        <v>2014</v>
      </c>
      <c r="C1863" t="s">
        <v>46</v>
      </c>
      <c r="D1863" s="2">
        <v>41974</v>
      </c>
      <c r="E1863" t="s">
        <v>25</v>
      </c>
      <c r="F1863">
        <v>113.3</v>
      </c>
      <c r="G1863" t="str">
        <f>VLOOKUP(Table1_2[[#This Row],[Categories]],Sheet3!$A$1:$B$27,2,FALSE)</f>
        <v>Recreation and amusement</v>
      </c>
    </row>
    <row r="1864" spans="1:7" x14ac:dyDescent="0.3">
      <c r="A1864" t="s">
        <v>30</v>
      </c>
      <c r="B1864">
        <v>2014</v>
      </c>
      <c r="C1864" t="s">
        <v>46</v>
      </c>
      <c r="D1864" s="2">
        <v>41974</v>
      </c>
      <c r="E1864" t="s">
        <v>26</v>
      </c>
      <c r="F1864">
        <v>117.7</v>
      </c>
      <c r="G1864" t="str">
        <f>VLOOKUP(Table1_2[[#This Row],[Categories]],Sheet3!$A$1:$B$27,2,FALSE)</f>
        <v>Education</v>
      </c>
    </row>
    <row r="1865" spans="1:7" x14ac:dyDescent="0.3">
      <c r="A1865" t="s">
        <v>30</v>
      </c>
      <c r="B1865">
        <v>2014</v>
      </c>
      <c r="C1865" t="s">
        <v>46</v>
      </c>
      <c r="D1865" s="2">
        <v>41974</v>
      </c>
      <c r="E1865" t="s">
        <v>27</v>
      </c>
      <c r="F1865">
        <v>109.4</v>
      </c>
      <c r="G1865" t="str">
        <f>VLOOKUP(Table1_2[[#This Row],[Categories]],Sheet3!$A$1:$B$27,2,FALSE)</f>
        <v>Household Items</v>
      </c>
    </row>
    <row r="1866" spans="1:7" x14ac:dyDescent="0.3">
      <c r="A1866" t="s">
        <v>30</v>
      </c>
      <c r="B1866">
        <v>2014</v>
      </c>
      <c r="C1866" t="s">
        <v>46</v>
      </c>
      <c r="D1866" s="2">
        <v>41974</v>
      </c>
      <c r="E1866" t="s">
        <v>28</v>
      </c>
      <c r="F1866">
        <v>114.2</v>
      </c>
      <c r="G1866" t="str">
        <f>VLOOKUP(Table1_2[[#This Row],[Categories]],Sheet3!$A$1:$B$27,2,FALSE)</f>
        <v>Miscellaneous</v>
      </c>
    </row>
    <row r="1867" spans="1:7" x14ac:dyDescent="0.3">
      <c r="A1867" t="s">
        <v>30</v>
      </c>
      <c r="B1867">
        <v>2014</v>
      </c>
      <c r="C1867" t="s">
        <v>46</v>
      </c>
      <c r="D1867" s="2">
        <v>41974</v>
      </c>
      <c r="E1867" t="s">
        <v>29</v>
      </c>
      <c r="F1867">
        <v>120.3</v>
      </c>
      <c r="G1867" t="str">
        <f>VLOOKUP(Table1_2[[#This Row],[Categories]],Sheet3!$A$1:$B$27,2,FALSE)</f>
        <v>General index</v>
      </c>
    </row>
    <row r="1868" spans="1:7" x14ac:dyDescent="0.3">
      <c r="A1868" t="s">
        <v>33</v>
      </c>
      <c r="B1868">
        <v>2014</v>
      </c>
      <c r="C1868" t="s">
        <v>46</v>
      </c>
      <c r="D1868" s="2">
        <v>41974</v>
      </c>
      <c r="E1868" t="s">
        <v>3</v>
      </c>
      <c r="F1868">
        <v>124</v>
      </c>
      <c r="G1868" t="str">
        <f>VLOOKUP(Table1_2[[#This Row],[Categories]],Sheet3!$A$1:$B$27,2,FALSE)</f>
        <v>Food &amp;Beverage</v>
      </c>
    </row>
    <row r="1869" spans="1:7" x14ac:dyDescent="0.3">
      <c r="A1869" t="s">
        <v>33</v>
      </c>
      <c r="B1869">
        <v>2014</v>
      </c>
      <c r="C1869" t="s">
        <v>46</v>
      </c>
      <c r="D1869" s="2">
        <v>41974</v>
      </c>
      <c r="E1869" t="s">
        <v>4</v>
      </c>
      <c r="F1869">
        <v>124.7</v>
      </c>
      <c r="G1869" t="str">
        <f>VLOOKUP(Table1_2[[#This Row],[Categories]],Sheet3!$A$1:$B$27,2,FALSE)</f>
        <v>Food &amp;Beverage</v>
      </c>
    </row>
    <row r="1870" spans="1:7" x14ac:dyDescent="0.3">
      <c r="A1870" t="s">
        <v>33</v>
      </c>
      <c r="B1870">
        <v>2014</v>
      </c>
      <c r="C1870" t="s">
        <v>46</v>
      </c>
      <c r="D1870" s="2">
        <v>41974</v>
      </c>
      <c r="E1870" t="s">
        <v>5</v>
      </c>
      <c r="F1870">
        <v>126.3</v>
      </c>
      <c r="G1870" t="str">
        <f>VLOOKUP(Table1_2[[#This Row],[Categories]],Sheet3!$A$1:$B$27,2,FALSE)</f>
        <v>Food &amp;Beverage</v>
      </c>
    </row>
    <row r="1871" spans="1:7" x14ac:dyDescent="0.3">
      <c r="A1871" t="s">
        <v>33</v>
      </c>
      <c r="B1871">
        <v>2014</v>
      </c>
      <c r="C1871" t="s">
        <v>46</v>
      </c>
      <c r="D1871" s="2">
        <v>41974</v>
      </c>
      <c r="E1871" t="s">
        <v>6</v>
      </c>
      <c r="F1871">
        <v>124.9</v>
      </c>
      <c r="G1871" t="str">
        <f>VLOOKUP(Table1_2[[#This Row],[Categories]],Sheet3!$A$1:$B$27,2,FALSE)</f>
        <v>Food &amp;Beverage</v>
      </c>
    </row>
    <row r="1872" spans="1:7" x14ac:dyDescent="0.3">
      <c r="A1872" t="s">
        <v>33</v>
      </c>
      <c r="B1872">
        <v>2014</v>
      </c>
      <c r="C1872" t="s">
        <v>46</v>
      </c>
      <c r="D1872" s="2">
        <v>41974</v>
      </c>
      <c r="E1872" t="s">
        <v>7</v>
      </c>
      <c r="F1872">
        <v>103</v>
      </c>
      <c r="G1872" t="str">
        <f>VLOOKUP(Table1_2[[#This Row],[Categories]],Sheet3!$A$1:$B$27,2,FALSE)</f>
        <v>Food &amp;Beverage</v>
      </c>
    </row>
    <row r="1873" spans="1:7" x14ac:dyDescent="0.3">
      <c r="A1873" t="s">
        <v>33</v>
      </c>
      <c r="B1873">
        <v>2014</v>
      </c>
      <c r="C1873" t="s">
        <v>46</v>
      </c>
      <c r="D1873" s="2">
        <v>41974</v>
      </c>
      <c r="E1873" t="s">
        <v>8</v>
      </c>
      <c r="F1873">
        <v>122.3</v>
      </c>
      <c r="G1873" t="str">
        <f>VLOOKUP(Table1_2[[#This Row],[Categories]],Sheet3!$A$1:$B$27,2,FALSE)</f>
        <v>Food &amp;Beverage</v>
      </c>
    </row>
    <row r="1874" spans="1:7" x14ac:dyDescent="0.3">
      <c r="A1874" t="s">
        <v>33</v>
      </c>
      <c r="B1874">
        <v>2014</v>
      </c>
      <c r="C1874" t="s">
        <v>46</v>
      </c>
      <c r="D1874" s="2">
        <v>41974</v>
      </c>
      <c r="E1874" t="s">
        <v>9</v>
      </c>
      <c r="F1874">
        <v>141</v>
      </c>
      <c r="G1874" t="str">
        <f>VLOOKUP(Table1_2[[#This Row],[Categories]],Sheet3!$A$1:$B$27,2,FALSE)</f>
        <v>Food &amp;Beverage</v>
      </c>
    </row>
    <row r="1875" spans="1:7" x14ac:dyDescent="0.3">
      <c r="A1875" t="s">
        <v>33</v>
      </c>
      <c r="B1875">
        <v>2014</v>
      </c>
      <c r="C1875" t="s">
        <v>46</v>
      </c>
      <c r="D1875" s="2">
        <v>41974</v>
      </c>
      <c r="E1875" t="s">
        <v>10</v>
      </c>
      <c r="F1875">
        <v>120.1</v>
      </c>
      <c r="G1875" t="str">
        <f>VLOOKUP(Table1_2[[#This Row],[Categories]],Sheet3!$A$1:$B$27,2,FALSE)</f>
        <v>Food &amp;Beverage</v>
      </c>
    </row>
    <row r="1876" spans="1:7" x14ac:dyDescent="0.3">
      <c r="A1876" t="s">
        <v>33</v>
      </c>
      <c r="B1876">
        <v>2014</v>
      </c>
      <c r="C1876" t="s">
        <v>46</v>
      </c>
      <c r="D1876" s="2">
        <v>41974</v>
      </c>
      <c r="E1876" t="s">
        <v>11</v>
      </c>
      <c r="F1876">
        <v>97.8</v>
      </c>
      <c r="G1876" t="str">
        <f>VLOOKUP(Table1_2[[#This Row],[Categories]],Sheet3!$A$1:$B$27,2,FALSE)</f>
        <v>Food &amp;Beverage</v>
      </c>
    </row>
    <row r="1877" spans="1:7" x14ac:dyDescent="0.3">
      <c r="A1877" t="s">
        <v>33</v>
      </c>
      <c r="B1877">
        <v>2014</v>
      </c>
      <c r="C1877" t="s">
        <v>46</v>
      </c>
      <c r="D1877" s="2">
        <v>41974</v>
      </c>
      <c r="E1877" t="s">
        <v>12</v>
      </c>
      <c r="F1877">
        <v>125.4</v>
      </c>
      <c r="G1877" t="str">
        <f>VLOOKUP(Table1_2[[#This Row],[Categories]],Sheet3!$A$1:$B$27,2,FALSE)</f>
        <v>Food &amp;Beverage</v>
      </c>
    </row>
    <row r="1878" spans="1:7" x14ac:dyDescent="0.3">
      <c r="A1878" t="s">
        <v>33</v>
      </c>
      <c r="B1878">
        <v>2014</v>
      </c>
      <c r="C1878" t="s">
        <v>46</v>
      </c>
      <c r="D1878" s="2">
        <v>41974</v>
      </c>
      <c r="E1878" t="s">
        <v>13</v>
      </c>
      <c r="F1878">
        <v>116.1</v>
      </c>
      <c r="G1878" t="str">
        <f>VLOOKUP(Table1_2[[#This Row],[Categories]],Sheet3!$A$1:$B$27,2,FALSE)</f>
        <v>Food &amp;Beverage</v>
      </c>
    </row>
    <row r="1879" spans="1:7" x14ac:dyDescent="0.3">
      <c r="A1879" t="s">
        <v>33</v>
      </c>
      <c r="B1879">
        <v>2014</v>
      </c>
      <c r="C1879" t="s">
        <v>46</v>
      </c>
      <c r="D1879" s="2">
        <v>41974</v>
      </c>
      <c r="E1879" t="s">
        <v>14</v>
      </c>
      <c r="F1879">
        <v>127.6</v>
      </c>
      <c r="G1879" t="str">
        <f>VLOOKUP(Table1_2[[#This Row],[Categories]],Sheet3!$A$1:$B$27,2,FALSE)</f>
        <v>Food &amp;Beverage</v>
      </c>
    </row>
    <row r="1880" spans="1:7" x14ac:dyDescent="0.3">
      <c r="A1880" t="s">
        <v>33</v>
      </c>
      <c r="B1880">
        <v>2014</v>
      </c>
      <c r="C1880" t="s">
        <v>46</v>
      </c>
      <c r="D1880" s="2">
        <v>41974</v>
      </c>
      <c r="E1880" t="s">
        <v>15</v>
      </c>
      <c r="F1880">
        <v>124</v>
      </c>
      <c r="G1880" t="str">
        <f>VLOOKUP(Table1_2[[#This Row],[Categories]],Sheet3!$A$1:$B$27,2,FALSE)</f>
        <v>Food &amp;Beverage</v>
      </c>
    </row>
    <row r="1881" spans="1:7" x14ac:dyDescent="0.3">
      <c r="A1881" t="s">
        <v>33</v>
      </c>
      <c r="B1881">
        <v>2014</v>
      </c>
      <c r="C1881" t="s">
        <v>46</v>
      </c>
      <c r="D1881" s="2">
        <v>41974</v>
      </c>
      <c r="E1881" t="s">
        <v>16</v>
      </c>
      <c r="F1881">
        <v>126.4</v>
      </c>
      <c r="G1881" t="str">
        <f>VLOOKUP(Table1_2[[#This Row],[Categories]],Sheet3!$A$1:$B$27,2,FALSE)</f>
        <v>Recreation and amusement</v>
      </c>
    </row>
    <row r="1882" spans="1:7" x14ac:dyDescent="0.3">
      <c r="A1882" t="s">
        <v>33</v>
      </c>
      <c r="B1882">
        <v>2014</v>
      </c>
      <c r="C1882" t="s">
        <v>46</v>
      </c>
      <c r="D1882" s="2">
        <v>41974</v>
      </c>
      <c r="E1882" t="s">
        <v>17</v>
      </c>
      <c r="F1882">
        <v>120.7</v>
      </c>
      <c r="G1882" t="str">
        <f>VLOOKUP(Table1_2[[#This Row],[Categories]],Sheet3!$A$1:$B$27,2,FALSE)</f>
        <v>Clothing and footwear</v>
      </c>
    </row>
    <row r="1883" spans="1:7" x14ac:dyDescent="0.3">
      <c r="A1883" t="s">
        <v>33</v>
      </c>
      <c r="B1883">
        <v>2014</v>
      </c>
      <c r="C1883" t="s">
        <v>46</v>
      </c>
      <c r="D1883" s="2">
        <v>41974</v>
      </c>
      <c r="E1883" t="s">
        <v>18</v>
      </c>
      <c r="F1883">
        <v>115.8</v>
      </c>
      <c r="G1883" t="str">
        <f>VLOOKUP(Table1_2[[#This Row],[Categories]],Sheet3!$A$1:$B$27,2,FALSE)</f>
        <v>Clothing and footwear</v>
      </c>
    </row>
    <row r="1884" spans="1:7" x14ac:dyDescent="0.3">
      <c r="A1884" t="s">
        <v>33</v>
      </c>
      <c r="B1884">
        <v>2014</v>
      </c>
      <c r="C1884" t="s">
        <v>46</v>
      </c>
      <c r="D1884" s="2">
        <v>41974</v>
      </c>
      <c r="E1884" t="s">
        <v>19</v>
      </c>
      <c r="F1884">
        <v>120</v>
      </c>
      <c r="G1884" t="str">
        <f>VLOOKUP(Table1_2[[#This Row],[Categories]],Sheet3!$A$1:$B$27,2,FALSE)</f>
        <v>Clothing and footwear</v>
      </c>
    </row>
    <row r="1885" spans="1:7" x14ac:dyDescent="0.3">
      <c r="A1885" t="s">
        <v>33</v>
      </c>
      <c r="B1885">
        <v>2014</v>
      </c>
      <c r="C1885" t="s">
        <v>46</v>
      </c>
      <c r="D1885" s="2">
        <v>41974</v>
      </c>
      <c r="E1885" t="s">
        <v>20</v>
      </c>
      <c r="F1885">
        <v>116.5</v>
      </c>
      <c r="G1885" t="str">
        <f>VLOOKUP(Table1_2[[#This Row],[Categories]],Sheet3!$A$1:$B$27,2,FALSE)</f>
        <v>Housing</v>
      </c>
    </row>
    <row r="1886" spans="1:7" x14ac:dyDescent="0.3">
      <c r="A1886" t="s">
        <v>33</v>
      </c>
      <c r="B1886">
        <v>2014</v>
      </c>
      <c r="C1886" t="s">
        <v>46</v>
      </c>
      <c r="D1886" s="2">
        <v>41974</v>
      </c>
      <c r="E1886" t="s">
        <v>21</v>
      </c>
      <c r="F1886">
        <v>113</v>
      </c>
      <c r="G1886" t="str">
        <f>VLOOKUP(Table1_2[[#This Row],[Categories]],Sheet3!$A$1:$B$27,2,FALSE)</f>
        <v>Fuel and light</v>
      </c>
    </row>
    <row r="1887" spans="1:7" x14ac:dyDescent="0.3">
      <c r="A1887" t="s">
        <v>33</v>
      </c>
      <c r="B1887">
        <v>2014</v>
      </c>
      <c r="C1887" t="s">
        <v>46</v>
      </c>
      <c r="D1887" s="2">
        <v>41974</v>
      </c>
      <c r="E1887" t="s">
        <v>22</v>
      </c>
      <c r="F1887">
        <v>116.8</v>
      </c>
      <c r="G1887" t="str">
        <f>VLOOKUP(Table1_2[[#This Row],[Categories]],Sheet3!$A$1:$B$27,2,FALSE)</f>
        <v>Household Items</v>
      </c>
    </row>
    <row r="1888" spans="1:7" x14ac:dyDescent="0.3">
      <c r="A1888" t="s">
        <v>33</v>
      </c>
      <c r="B1888">
        <v>2014</v>
      </c>
      <c r="C1888" t="s">
        <v>46</v>
      </c>
      <c r="D1888" s="2">
        <v>41974</v>
      </c>
      <c r="E1888" t="s">
        <v>23</v>
      </c>
      <c r="F1888">
        <v>113.2</v>
      </c>
      <c r="G1888" t="str">
        <f>VLOOKUP(Table1_2[[#This Row],[Categories]],Sheet3!$A$1:$B$27,2,FALSE)</f>
        <v>Health</v>
      </c>
    </row>
    <row r="1889" spans="1:7" x14ac:dyDescent="0.3">
      <c r="A1889" t="s">
        <v>33</v>
      </c>
      <c r="B1889">
        <v>2014</v>
      </c>
      <c r="C1889" t="s">
        <v>46</v>
      </c>
      <c r="D1889" s="2">
        <v>41974</v>
      </c>
      <c r="E1889" t="s">
        <v>24</v>
      </c>
      <c r="F1889">
        <v>108.8</v>
      </c>
      <c r="G1889" t="str">
        <f>VLOOKUP(Table1_2[[#This Row],[Categories]],Sheet3!$A$1:$B$27,2,FALSE)</f>
        <v>Transport and communication</v>
      </c>
    </row>
    <row r="1890" spans="1:7" x14ac:dyDescent="0.3">
      <c r="A1890" t="s">
        <v>33</v>
      </c>
      <c r="B1890">
        <v>2014</v>
      </c>
      <c r="C1890" t="s">
        <v>46</v>
      </c>
      <c r="D1890" s="2">
        <v>41974</v>
      </c>
      <c r="E1890" t="s">
        <v>25</v>
      </c>
      <c r="F1890">
        <v>114.3</v>
      </c>
      <c r="G1890" t="str">
        <f>VLOOKUP(Table1_2[[#This Row],[Categories]],Sheet3!$A$1:$B$27,2,FALSE)</f>
        <v>Recreation and amusement</v>
      </c>
    </row>
    <row r="1891" spans="1:7" x14ac:dyDescent="0.3">
      <c r="A1891" t="s">
        <v>33</v>
      </c>
      <c r="B1891">
        <v>2014</v>
      </c>
      <c r="C1891" t="s">
        <v>46</v>
      </c>
      <c r="D1891" s="2">
        <v>41974</v>
      </c>
      <c r="E1891" t="s">
        <v>26</v>
      </c>
      <c r="F1891">
        <v>120.7</v>
      </c>
      <c r="G1891" t="str">
        <f>VLOOKUP(Table1_2[[#This Row],[Categories]],Sheet3!$A$1:$B$27,2,FALSE)</f>
        <v>Education</v>
      </c>
    </row>
    <row r="1892" spans="1:7" x14ac:dyDescent="0.3">
      <c r="A1892" t="s">
        <v>33</v>
      </c>
      <c r="B1892">
        <v>2014</v>
      </c>
      <c r="C1892" t="s">
        <v>46</v>
      </c>
      <c r="D1892" s="2">
        <v>41974</v>
      </c>
      <c r="E1892" t="s">
        <v>27</v>
      </c>
      <c r="F1892">
        <v>110.4</v>
      </c>
      <c r="G1892" t="str">
        <f>VLOOKUP(Table1_2[[#This Row],[Categories]],Sheet3!$A$1:$B$27,2,FALSE)</f>
        <v>Household Items</v>
      </c>
    </row>
    <row r="1893" spans="1:7" x14ac:dyDescent="0.3">
      <c r="A1893" t="s">
        <v>33</v>
      </c>
      <c r="B1893">
        <v>2014</v>
      </c>
      <c r="C1893" t="s">
        <v>46</v>
      </c>
      <c r="D1893" s="2">
        <v>41974</v>
      </c>
      <c r="E1893" t="s">
        <v>28</v>
      </c>
      <c r="F1893">
        <v>113.4</v>
      </c>
      <c r="G1893" t="str">
        <f>VLOOKUP(Table1_2[[#This Row],[Categories]],Sheet3!$A$1:$B$27,2,FALSE)</f>
        <v>Miscellaneous</v>
      </c>
    </row>
    <row r="1894" spans="1:7" x14ac:dyDescent="0.3">
      <c r="A1894" t="s">
        <v>33</v>
      </c>
      <c r="B1894">
        <v>2014</v>
      </c>
      <c r="C1894" t="s">
        <v>46</v>
      </c>
      <c r="D1894" s="2">
        <v>41974</v>
      </c>
      <c r="E1894" t="s">
        <v>29</v>
      </c>
      <c r="F1894">
        <v>118.4</v>
      </c>
      <c r="G1894" t="str">
        <f>VLOOKUP(Table1_2[[#This Row],[Categories]],Sheet3!$A$1:$B$27,2,FALSE)</f>
        <v>General index</v>
      </c>
    </row>
    <row r="1895" spans="1:7" x14ac:dyDescent="0.3">
      <c r="A1895" t="s">
        <v>34</v>
      </c>
      <c r="B1895">
        <v>2014</v>
      </c>
      <c r="C1895" t="s">
        <v>46</v>
      </c>
      <c r="D1895" s="2">
        <v>41974</v>
      </c>
      <c r="E1895" t="s">
        <v>3</v>
      </c>
      <c r="F1895">
        <v>122.9</v>
      </c>
      <c r="G1895" t="str">
        <f>VLOOKUP(Table1_2[[#This Row],[Categories]],Sheet3!$A$1:$B$27,2,FALSE)</f>
        <v>Food &amp;Beverage</v>
      </c>
    </row>
    <row r="1896" spans="1:7" x14ac:dyDescent="0.3">
      <c r="A1896" t="s">
        <v>34</v>
      </c>
      <c r="B1896">
        <v>2014</v>
      </c>
      <c r="C1896" t="s">
        <v>46</v>
      </c>
      <c r="D1896" s="2">
        <v>41974</v>
      </c>
      <c r="E1896" t="s">
        <v>4</v>
      </c>
      <c r="F1896">
        <v>123.2</v>
      </c>
      <c r="G1896" t="str">
        <f>VLOOKUP(Table1_2[[#This Row],[Categories]],Sheet3!$A$1:$B$27,2,FALSE)</f>
        <v>Food &amp;Beverage</v>
      </c>
    </row>
    <row r="1897" spans="1:7" x14ac:dyDescent="0.3">
      <c r="A1897" t="s">
        <v>34</v>
      </c>
      <c r="B1897">
        <v>2014</v>
      </c>
      <c r="C1897" t="s">
        <v>46</v>
      </c>
      <c r="D1897" s="2">
        <v>41974</v>
      </c>
      <c r="E1897" t="s">
        <v>5</v>
      </c>
      <c r="F1897">
        <v>123.5</v>
      </c>
      <c r="G1897" t="str">
        <f>VLOOKUP(Table1_2[[#This Row],[Categories]],Sheet3!$A$1:$B$27,2,FALSE)</f>
        <v>Food &amp;Beverage</v>
      </c>
    </row>
    <row r="1898" spans="1:7" x14ac:dyDescent="0.3">
      <c r="A1898" t="s">
        <v>34</v>
      </c>
      <c r="B1898">
        <v>2014</v>
      </c>
      <c r="C1898" t="s">
        <v>46</v>
      </c>
      <c r="D1898" s="2">
        <v>41974</v>
      </c>
      <c r="E1898" t="s">
        <v>6</v>
      </c>
      <c r="F1898">
        <v>124.5</v>
      </c>
      <c r="G1898" t="str">
        <f>VLOOKUP(Table1_2[[#This Row],[Categories]],Sheet3!$A$1:$B$27,2,FALSE)</f>
        <v>Food &amp;Beverage</v>
      </c>
    </row>
    <row r="1899" spans="1:7" x14ac:dyDescent="0.3">
      <c r="A1899" t="s">
        <v>34</v>
      </c>
      <c r="B1899">
        <v>2014</v>
      </c>
      <c r="C1899" t="s">
        <v>46</v>
      </c>
      <c r="D1899" s="2">
        <v>41974</v>
      </c>
      <c r="E1899" t="s">
        <v>7</v>
      </c>
      <c r="F1899">
        <v>107.6</v>
      </c>
      <c r="G1899" t="str">
        <f>VLOOKUP(Table1_2[[#This Row],[Categories]],Sheet3!$A$1:$B$27,2,FALSE)</f>
        <v>Food &amp;Beverage</v>
      </c>
    </row>
    <row r="1900" spans="1:7" x14ac:dyDescent="0.3">
      <c r="A1900" t="s">
        <v>34</v>
      </c>
      <c r="B1900">
        <v>2014</v>
      </c>
      <c r="C1900" t="s">
        <v>46</v>
      </c>
      <c r="D1900" s="2">
        <v>41974</v>
      </c>
      <c r="E1900" t="s">
        <v>8</v>
      </c>
      <c r="F1900">
        <v>125.7</v>
      </c>
      <c r="G1900" t="str">
        <f>VLOOKUP(Table1_2[[#This Row],[Categories]],Sheet3!$A$1:$B$27,2,FALSE)</f>
        <v>Food &amp;Beverage</v>
      </c>
    </row>
    <row r="1901" spans="1:7" x14ac:dyDescent="0.3">
      <c r="A1901" t="s">
        <v>34</v>
      </c>
      <c r="B1901">
        <v>2014</v>
      </c>
      <c r="C1901" t="s">
        <v>46</v>
      </c>
      <c r="D1901" s="2">
        <v>41974</v>
      </c>
      <c r="E1901" t="s">
        <v>9</v>
      </c>
      <c r="F1901">
        <v>140.5</v>
      </c>
      <c r="G1901" t="str">
        <f>VLOOKUP(Table1_2[[#This Row],[Categories]],Sheet3!$A$1:$B$27,2,FALSE)</f>
        <v>Food &amp;Beverage</v>
      </c>
    </row>
    <row r="1902" spans="1:7" x14ac:dyDescent="0.3">
      <c r="A1902" t="s">
        <v>34</v>
      </c>
      <c r="B1902">
        <v>2014</v>
      </c>
      <c r="C1902" t="s">
        <v>46</v>
      </c>
      <c r="D1902" s="2">
        <v>41974</v>
      </c>
      <c r="E1902" t="s">
        <v>10</v>
      </c>
      <c r="F1902">
        <v>117.6</v>
      </c>
      <c r="G1902" t="str">
        <f>VLOOKUP(Table1_2[[#This Row],[Categories]],Sheet3!$A$1:$B$27,2,FALSE)</f>
        <v>Food &amp;Beverage</v>
      </c>
    </row>
    <row r="1903" spans="1:7" x14ac:dyDescent="0.3">
      <c r="A1903" t="s">
        <v>34</v>
      </c>
      <c r="B1903">
        <v>2014</v>
      </c>
      <c r="C1903" t="s">
        <v>46</v>
      </c>
      <c r="D1903" s="2">
        <v>41974</v>
      </c>
      <c r="E1903" t="s">
        <v>11</v>
      </c>
      <c r="F1903">
        <v>100.6</v>
      </c>
      <c r="G1903" t="str">
        <f>VLOOKUP(Table1_2[[#This Row],[Categories]],Sheet3!$A$1:$B$27,2,FALSE)</f>
        <v>Food &amp;Beverage</v>
      </c>
    </row>
    <row r="1904" spans="1:7" x14ac:dyDescent="0.3">
      <c r="A1904" t="s">
        <v>34</v>
      </c>
      <c r="B1904">
        <v>2014</v>
      </c>
      <c r="C1904" t="s">
        <v>46</v>
      </c>
      <c r="D1904" s="2">
        <v>41974</v>
      </c>
      <c r="E1904" t="s">
        <v>12</v>
      </c>
      <c r="F1904">
        <v>119.1</v>
      </c>
      <c r="G1904" t="str">
        <f>VLOOKUP(Table1_2[[#This Row],[Categories]],Sheet3!$A$1:$B$27,2,FALSE)</f>
        <v>Food &amp;Beverage</v>
      </c>
    </row>
    <row r="1905" spans="1:7" x14ac:dyDescent="0.3">
      <c r="A1905" t="s">
        <v>34</v>
      </c>
      <c r="B1905">
        <v>2014</v>
      </c>
      <c r="C1905" t="s">
        <v>46</v>
      </c>
      <c r="D1905" s="2">
        <v>41974</v>
      </c>
      <c r="E1905" t="s">
        <v>13</v>
      </c>
      <c r="F1905">
        <v>116.8</v>
      </c>
      <c r="G1905" t="str">
        <f>VLOOKUP(Table1_2[[#This Row],[Categories]],Sheet3!$A$1:$B$27,2,FALSE)</f>
        <v>Food &amp;Beverage</v>
      </c>
    </row>
    <row r="1906" spans="1:7" x14ac:dyDescent="0.3">
      <c r="A1906" t="s">
        <v>34</v>
      </c>
      <c r="B1906">
        <v>2014</v>
      </c>
      <c r="C1906" t="s">
        <v>46</v>
      </c>
      <c r="D1906" s="2">
        <v>41974</v>
      </c>
      <c r="E1906" t="s">
        <v>14</v>
      </c>
      <c r="F1906">
        <v>126.1</v>
      </c>
      <c r="G1906" t="str">
        <f>VLOOKUP(Table1_2[[#This Row],[Categories]],Sheet3!$A$1:$B$27,2,FALSE)</f>
        <v>Food &amp;Beverage</v>
      </c>
    </row>
    <row r="1907" spans="1:7" x14ac:dyDescent="0.3">
      <c r="A1907" t="s">
        <v>34</v>
      </c>
      <c r="B1907">
        <v>2014</v>
      </c>
      <c r="C1907" t="s">
        <v>46</v>
      </c>
      <c r="D1907" s="2">
        <v>41974</v>
      </c>
      <c r="E1907" t="s">
        <v>15</v>
      </c>
      <c r="F1907">
        <v>123.6</v>
      </c>
      <c r="G1907" t="str">
        <f>VLOOKUP(Table1_2[[#This Row],[Categories]],Sheet3!$A$1:$B$27,2,FALSE)</f>
        <v>Food &amp;Beverage</v>
      </c>
    </row>
    <row r="1908" spans="1:7" x14ac:dyDescent="0.3">
      <c r="A1908" t="s">
        <v>34</v>
      </c>
      <c r="B1908">
        <v>2014</v>
      </c>
      <c r="C1908" t="s">
        <v>46</v>
      </c>
      <c r="D1908" s="2">
        <v>41974</v>
      </c>
      <c r="E1908" t="s">
        <v>16</v>
      </c>
      <c r="F1908">
        <v>123</v>
      </c>
      <c r="G1908" t="str">
        <f>VLOOKUP(Table1_2[[#This Row],[Categories]],Sheet3!$A$1:$B$27,2,FALSE)</f>
        <v>Recreation and amusement</v>
      </c>
    </row>
    <row r="1909" spans="1:7" x14ac:dyDescent="0.3">
      <c r="A1909" t="s">
        <v>34</v>
      </c>
      <c r="B1909">
        <v>2014</v>
      </c>
      <c r="C1909" t="s">
        <v>46</v>
      </c>
      <c r="D1909" s="2">
        <v>41974</v>
      </c>
      <c r="E1909" t="s">
        <v>17</v>
      </c>
      <c r="F1909">
        <v>122.6</v>
      </c>
      <c r="G1909" t="str">
        <f>VLOOKUP(Table1_2[[#This Row],[Categories]],Sheet3!$A$1:$B$27,2,FALSE)</f>
        <v>Clothing and footwear</v>
      </c>
    </row>
    <row r="1910" spans="1:7" x14ac:dyDescent="0.3">
      <c r="A1910" t="s">
        <v>34</v>
      </c>
      <c r="B1910">
        <v>2014</v>
      </c>
      <c r="C1910" t="s">
        <v>46</v>
      </c>
      <c r="D1910" s="2">
        <v>41974</v>
      </c>
      <c r="E1910" t="s">
        <v>18</v>
      </c>
      <c r="F1910">
        <v>118.6</v>
      </c>
      <c r="G1910" t="str">
        <f>VLOOKUP(Table1_2[[#This Row],[Categories]],Sheet3!$A$1:$B$27,2,FALSE)</f>
        <v>Clothing and footwear</v>
      </c>
    </row>
    <row r="1911" spans="1:7" x14ac:dyDescent="0.3">
      <c r="A1911" t="s">
        <v>34</v>
      </c>
      <c r="B1911">
        <v>2014</v>
      </c>
      <c r="C1911" t="s">
        <v>46</v>
      </c>
      <c r="D1911" s="2">
        <v>41974</v>
      </c>
      <c r="E1911" t="s">
        <v>19</v>
      </c>
      <c r="F1911">
        <v>122</v>
      </c>
      <c r="G1911" t="str">
        <f>VLOOKUP(Table1_2[[#This Row],[Categories]],Sheet3!$A$1:$B$27,2,FALSE)</f>
        <v>Clothing and footwear</v>
      </c>
    </row>
    <row r="1912" spans="1:7" x14ac:dyDescent="0.3">
      <c r="A1912" t="s">
        <v>34</v>
      </c>
      <c r="B1912">
        <v>2014</v>
      </c>
      <c r="C1912" t="s">
        <v>46</v>
      </c>
      <c r="D1912" s="2">
        <v>41974</v>
      </c>
      <c r="E1912" t="s">
        <v>20</v>
      </c>
      <c r="F1912">
        <v>116.5</v>
      </c>
      <c r="G1912" t="str">
        <f>VLOOKUP(Table1_2[[#This Row],[Categories]],Sheet3!$A$1:$B$27,2,FALSE)</f>
        <v>Housing</v>
      </c>
    </row>
    <row r="1913" spans="1:7" x14ac:dyDescent="0.3">
      <c r="A1913" t="s">
        <v>34</v>
      </c>
      <c r="B1913">
        <v>2014</v>
      </c>
      <c r="C1913" t="s">
        <v>46</v>
      </c>
      <c r="D1913" s="2">
        <v>41974</v>
      </c>
      <c r="E1913" t="s">
        <v>21</v>
      </c>
      <c r="F1913">
        <v>115.7</v>
      </c>
      <c r="G1913" t="str">
        <f>VLOOKUP(Table1_2[[#This Row],[Categories]],Sheet3!$A$1:$B$27,2,FALSE)</f>
        <v>Fuel and light</v>
      </c>
    </row>
    <row r="1914" spans="1:7" x14ac:dyDescent="0.3">
      <c r="A1914" t="s">
        <v>34</v>
      </c>
      <c r="B1914">
        <v>2014</v>
      </c>
      <c r="C1914" t="s">
        <v>46</v>
      </c>
      <c r="D1914" s="2">
        <v>41974</v>
      </c>
      <c r="E1914" t="s">
        <v>22</v>
      </c>
      <c r="F1914">
        <v>117.5</v>
      </c>
      <c r="G1914" t="str">
        <f>VLOOKUP(Table1_2[[#This Row],[Categories]],Sheet3!$A$1:$B$27,2,FALSE)</f>
        <v>Household Items</v>
      </c>
    </row>
    <row r="1915" spans="1:7" x14ac:dyDescent="0.3">
      <c r="A1915" t="s">
        <v>34</v>
      </c>
      <c r="B1915">
        <v>2014</v>
      </c>
      <c r="C1915" t="s">
        <v>46</v>
      </c>
      <c r="D1915" s="2">
        <v>41974</v>
      </c>
      <c r="E1915" t="s">
        <v>23</v>
      </c>
      <c r="F1915">
        <v>115.1</v>
      </c>
      <c r="G1915" t="str">
        <f>VLOOKUP(Table1_2[[#This Row],[Categories]],Sheet3!$A$1:$B$27,2,FALSE)</f>
        <v>Health</v>
      </c>
    </row>
    <row r="1916" spans="1:7" x14ac:dyDescent="0.3">
      <c r="A1916" t="s">
        <v>34</v>
      </c>
      <c r="B1916">
        <v>2014</v>
      </c>
      <c r="C1916" t="s">
        <v>46</v>
      </c>
      <c r="D1916" s="2">
        <v>41974</v>
      </c>
      <c r="E1916" t="s">
        <v>24</v>
      </c>
      <c r="F1916">
        <v>110.1</v>
      </c>
      <c r="G1916" t="str">
        <f>VLOOKUP(Table1_2[[#This Row],[Categories]],Sheet3!$A$1:$B$27,2,FALSE)</f>
        <v>Transport and communication</v>
      </c>
    </row>
    <row r="1917" spans="1:7" x14ac:dyDescent="0.3">
      <c r="A1917" t="s">
        <v>34</v>
      </c>
      <c r="B1917">
        <v>2014</v>
      </c>
      <c r="C1917" t="s">
        <v>46</v>
      </c>
      <c r="D1917" s="2">
        <v>41974</v>
      </c>
      <c r="E1917" t="s">
        <v>25</v>
      </c>
      <c r="F1917">
        <v>113.9</v>
      </c>
      <c r="G1917" t="str">
        <f>VLOOKUP(Table1_2[[#This Row],[Categories]],Sheet3!$A$1:$B$27,2,FALSE)</f>
        <v>Recreation and amusement</v>
      </c>
    </row>
    <row r="1918" spans="1:7" x14ac:dyDescent="0.3">
      <c r="A1918" t="s">
        <v>34</v>
      </c>
      <c r="B1918">
        <v>2014</v>
      </c>
      <c r="C1918" t="s">
        <v>46</v>
      </c>
      <c r="D1918" s="2">
        <v>41974</v>
      </c>
      <c r="E1918" t="s">
        <v>26</v>
      </c>
      <c r="F1918">
        <v>119.5</v>
      </c>
      <c r="G1918" t="str">
        <f>VLOOKUP(Table1_2[[#This Row],[Categories]],Sheet3!$A$1:$B$27,2,FALSE)</f>
        <v>Education</v>
      </c>
    </row>
    <row r="1919" spans="1:7" x14ac:dyDescent="0.3">
      <c r="A1919" t="s">
        <v>34</v>
      </c>
      <c r="B1919">
        <v>2014</v>
      </c>
      <c r="C1919" t="s">
        <v>46</v>
      </c>
      <c r="D1919" s="2">
        <v>41974</v>
      </c>
      <c r="E1919" t="s">
        <v>27</v>
      </c>
      <c r="F1919">
        <v>109.8</v>
      </c>
      <c r="G1919" t="str">
        <f>VLOOKUP(Table1_2[[#This Row],[Categories]],Sheet3!$A$1:$B$27,2,FALSE)</f>
        <v>Household Items</v>
      </c>
    </row>
    <row r="1920" spans="1:7" x14ac:dyDescent="0.3">
      <c r="A1920" t="s">
        <v>34</v>
      </c>
      <c r="B1920">
        <v>2014</v>
      </c>
      <c r="C1920" t="s">
        <v>46</v>
      </c>
      <c r="D1920" s="2">
        <v>41974</v>
      </c>
      <c r="E1920" t="s">
        <v>28</v>
      </c>
      <c r="F1920">
        <v>113.8</v>
      </c>
      <c r="G1920" t="str">
        <f>VLOOKUP(Table1_2[[#This Row],[Categories]],Sheet3!$A$1:$B$27,2,FALSE)</f>
        <v>Miscellaneous</v>
      </c>
    </row>
    <row r="1921" spans="1:7" x14ac:dyDescent="0.3">
      <c r="A1921" t="s">
        <v>34</v>
      </c>
      <c r="B1921">
        <v>2014</v>
      </c>
      <c r="C1921" t="s">
        <v>46</v>
      </c>
      <c r="D1921" s="2">
        <v>41974</v>
      </c>
      <c r="E1921" t="s">
        <v>29</v>
      </c>
      <c r="F1921">
        <v>119.4</v>
      </c>
      <c r="G1921" t="str">
        <f>VLOOKUP(Table1_2[[#This Row],[Categories]],Sheet3!$A$1:$B$27,2,FALSE)</f>
        <v>General index</v>
      </c>
    </row>
    <row r="1922" spans="1:7" x14ac:dyDescent="0.3">
      <c r="A1922" t="s">
        <v>30</v>
      </c>
      <c r="B1922">
        <v>2015</v>
      </c>
      <c r="C1922" t="s">
        <v>31</v>
      </c>
      <c r="D1922" s="2">
        <v>42005</v>
      </c>
      <c r="E1922" t="s">
        <v>3</v>
      </c>
      <c r="F1922">
        <v>123.1</v>
      </c>
      <c r="G1922" t="str">
        <f>VLOOKUP(Table1_2[[#This Row],[Categories]],Sheet3!$A$1:$B$27,2,FALSE)</f>
        <v>Food &amp;Beverage</v>
      </c>
    </row>
    <row r="1923" spans="1:7" x14ac:dyDescent="0.3">
      <c r="A1923" t="s">
        <v>30</v>
      </c>
      <c r="B1923">
        <v>2015</v>
      </c>
      <c r="C1923" t="s">
        <v>31</v>
      </c>
      <c r="D1923" s="2">
        <v>42005</v>
      </c>
      <c r="E1923" t="s">
        <v>4</v>
      </c>
      <c r="F1923">
        <v>123.1</v>
      </c>
      <c r="G1923" t="str">
        <f>VLOOKUP(Table1_2[[#This Row],[Categories]],Sheet3!$A$1:$B$27,2,FALSE)</f>
        <v>Food &amp;Beverage</v>
      </c>
    </row>
    <row r="1924" spans="1:7" x14ac:dyDescent="0.3">
      <c r="A1924" t="s">
        <v>30</v>
      </c>
      <c r="B1924">
        <v>2015</v>
      </c>
      <c r="C1924" t="s">
        <v>31</v>
      </c>
      <c r="D1924" s="2">
        <v>42005</v>
      </c>
      <c r="E1924" t="s">
        <v>5</v>
      </c>
      <c r="F1924">
        <v>122.1</v>
      </c>
      <c r="G1924" t="str">
        <f>VLOOKUP(Table1_2[[#This Row],[Categories]],Sheet3!$A$1:$B$27,2,FALSE)</f>
        <v>Food &amp;Beverage</v>
      </c>
    </row>
    <row r="1925" spans="1:7" x14ac:dyDescent="0.3">
      <c r="A1925" t="s">
        <v>30</v>
      </c>
      <c r="B1925">
        <v>2015</v>
      </c>
      <c r="C1925" t="s">
        <v>31</v>
      </c>
      <c r="D1925" s="2">
        <v>42005</v>
      </c>
      <c r="E1925" t="s">
        <v>6</v>
      </c>
      <c r="F1925">
        <v>124.9</v>
      </c>
      <c r="G1925" t="str">
        <f>VLOOKUP(Table1_2[[#This Row],[Categories]],Sheet3!$A$1:$B$27,2,FALSE)</f>
        <v>Food &amp;Beverage</v>
      </c>
    </row>
    <row r="1926" spans="1:7" x14ac:dyDescent="0.3">
      <c r="A1926" t="s">
        <v>30</v>
      </c>
      <c r="B1926">
        <v>2015</v>
      </c>
      <c r="C1926" t="s">
        <v>31</v>
      </c>
      <c r="D1926" s="2">
        <v>42005</v>
      </c>
      <c r="E1926" t="s">
        <v>7</v>
      </c>
      <c r="F1926">
        <v>111</v>
      </c>
      <c r="G1926" t="str">
        <f>VLOOKUP(Table1_2[[#This Row],[Categories]],Sheet3!$A$1:$B$27,2,FALSE)</f>
        <v>Food &amp;Beverage</v>
      </c>
    </row>
    <row r="1927" spans="1:7" x14ac:dyDescent="0.3">
      <c r="A1927" t="s">
        <v>30</v>
      </c>
      <c r="B1927">
        <v>2015</v>
      </c>
      <c r="C1927" t="s">
        <v>31</v>
      </c>
      <c r="D1927" s="2">
        <v>42005</v>
      </c>
      <c r="E1927" t="s">
        <v>8</v>
      </c>
      <c r="F1927">
        <v>130.4</v>
      </c>
      <c r="G1927" t="str">
        <f>VLOOKUP(Table1_2[[#This Row],[Categories]],Sheet3!$A$1:$B$27,2,FALSE)</f>
        <v>Food &amp;Beverage</v>
      </c>
    </row>
    <row r="1928" spans="1:7" x14ac:dyDescent="0.3">
      <c r="A1928" t="s">
        <v>30</v>
      </c>
      <c r="B1928">
        <v>2015</v>
      </c>
      <c r="C1928" t="s">
        <v>31</v>
      </c>
      <c r="D1928" s="2">
        <v>42005</v>
      </c>
      <c r="E1928" t="s">
        <v>9</v>
      </c>
      <c r="F1928">
        <v>132.30000000000001</v>
      </c>
      <c r="G1928" t="str">
        <f>VLOOKUP(Table1_2[[#This Row],[Categories]],Sheet3!$A$1:$B$27,2,FALSE)</f>
        <v>Food &amp;Beverage</v>
      </c>
    </row>
    <row r="1929" spans="1:7" x14ac:dyDescent="0.3">
      <c r="A1929" t="s">
        <v>30</v>
      </c>
      <c r="B1929">
        <v>2015</v>
      </c>
      <c r="C1929" t="s">
        <v>31</v>
      </c>
      <c r="D1929" s="2">
        <v>42005</v>
      </c>
      <c r="E1929" t="s">
        <v>10</v>
      </c>
      <c r="F1929">
        <v>117.2</v>
      </c>
      <c r="G1929" t="str">
        <f>VLOOKUP(Table1_2[[#This Row],[Categories]],Sheet3!$A$1:$B$27,2,FALSE)</f>
        <v>Food &amp;Beverage</v>
      </c>
    </row>
    <row r="1930" spans="1:7" x14ac:dyDescent="0.3">
      <c r="A1930" t="s">
        <v>30</v>
      </c>
      <c r="B1930">
        <v>2015</v>
      </c>
      <c r="C1930" t="s">
        <v>31</v>
      </c>
      <c r="D1930" s="2">
        <v>42005</v>
      </c>
      <c r="E1930" t="s">
        <v>11</v>
      </c>
      <c r="F1930">
        <v>100.5</v>
      </c>
      <c r="G1930" t="str">
        <f>VLOOKUP(Table1_2[[#This Row],[Categories]],Sheet3!$A$1:$B$27,2,FALSE)</f>
        <v>Food &amp;Beverage</v>
      </c>
    </row>
    <row r="1931" spans="1:7" x14ac:dyDescent="0.3">
      <c r="A1931" t="s">
        <v>30</v>
      </c>
      <c r="B1931">
        <v>2015</v>
      </c>
      <c r="C1931" t="s">
        <v>31</v>
      </c>
      <c r="D1931" s="2">
        <v>42005</v>
      </c>
      <c r="E1931" t="s">
        <v>12</v>
      </c>
      <c r="F1931">
        <v>117.2</v>
      </c>
      <c r="G1931" t="str">
        <f>VLOOKUP(Table1_2[[#This Row],[Categories]],Sheet3!$A$1:$B$27,2,FALSE)</f>
        <v>Food &amp;Beverage</v>
      </c>
    </row>
    <row r="1932" spans="1:7" x14ac:dyDescent="0.3">
      <c r="A1932" t="s">
        <v>30</v>
      </c>
      <c r="B1932">
        <v>2015</v>
      </c>
      <c r="C1932" t="s">
        <v>31</v>
      </c>
      <c r="D1932" s="2">
        <v>42005</v>
      </c>
      <c r="E1932" t="s">
        <v>13</v>
      </c>
      <c r="F1932">
        <v>117.9</v>
      </c>
      <c r="G1932" t="str">
        <f>VLOOKUP(Table1_2[[#This Row],[Categories]],Sheet3!$A$1:$B$27,2,FALSE)</f>
        <v>Food &amp;Beverage</v>
      </c>
    </row>
    <row r="1933" spans="1:7" x14ac:dyDescent="0.3">
      <c r="A1933" t="s">
        <v>30</v>
      </c>
      <c r="B1933">
        <v>2015</v>
      </c>
      <c r="C1933" t="s">
        <v>31</v>
      </c>
      <c r="D1933" s="2">
        <v>42005</v>
      </c>
      <c r="E1933" t="s">
        <v>14</v>
      </c>
      <c r="F1933">
        <v>125.6</v>
      </c>
      <c r="G1933" t="str">
        <f>VLOOKUP(Table1_2[[#This Row],[Categories]],Sheet3!$A$1:$B$27,2,FALSE)</f>
        <v>Food &amp;Beverage</v>
      </c>
    </row>
    <row r="1934" spans="1:7" x14ac:dyDescent="0.3">
      <c r="A1934" t="s">
        <v>30</v>
      </c>
      <c r="B1934">
        <v>2015</v>
      </c>
      <c r="C1934" t="s">
        <v>31</v>
      </c>
      <c r="D1934" s="2">
        <v>42005</v>
      </c>
      <c r="E1934" t="s">
        <v>15</v>
      </c>
      <c r="F1934">
        <v>122.8</v>
      </c>
      <c r="G1934" t="str">
        <f>VLOOKUP(Table1_2[[#This Row],[Categories]],Sheet3!$A$1:$B$27,2,FALSE)</f>
        <v>Food &amp;Beverage</v>
      </c>
    </row>
    <row r="1935" spans="1:7" x14ac:dyDescent="0.3">
      <c r="A1935" t="s">
        <v>30</v>
      </c>
      <c r="B1935">
        <v>2015</v>
      </c>
      <c r="C1935" t="s">
        <v>31</v>
      </c>
      <c r="D1935" s="2">
        <v>42005</v>
      </c>
      <c r="E1935" t="s">
        <v>16</v>
      </c>
      <c r="F1935">
        <v>122.7</v>
      </c>
      <c r="G1935" t="str">
        <f>VLOOKUP(Table1_2[[#This Row],[Categories]],Sheet3!$A$1:$B$27,2,FALSE)</f>
        <v>Recreation and amusement</v>
      </c>
    </row>
    <row r="1936" spans="1:7" x14ac:dyDescent="0.3">
      <c r="A1936" t="s">
        <v>30</v>
      </c>
      <c r="B1936">
        <v>2015</v>
      </c>
      <c r="C1936" t="s">
        <v>31</v>
      </c>
      <c r="D1936" s="2">
        <v>42005</v>
      </c>
      <c r="E1936" t="s">
        <v>17</v>
      </c>
      <c r="F1936">
        <v>124.4</v>
      </c>
      <c r="G1936" t="str">
        <f>VLOOKUP(Table1_2[[#This Row],[Categories]],Sheet3!$A$1:$B$27,2,FALSE)</f>
        <v>Clothing and footwear</v>
      </c>
    </row>
    <row r="1937" spans="1:7" x14ac:dyDescent="0.3">
      <c r="A1937" t="s">
        <v>30</v>
      </c>
      <c r="B1937">
        <v>2015</v>
      </c>
      <c r="C1937" t="s">
        <v>31</v>
      </c>
      <c r="D1937" s="2">
        <v>42005</v>
      </c>
      <c r="E1937" t="s">
        <v>18</v>
      </c>
      <c r="F1937">
        <v>121.6</v>
      </c>
      <c r="G1937" t="str">
        <f>VLOOKUP(Table1_2[[#This Row],[Categories]],Sheet3!$A$1:$B$27,2,FALSE)</f>
        <v>Clothing and footwear</v>
      </c>
    </row>
    <row r="1938" spans="1:7" x14ac:dyDescent="0.3">
      <c r="A1938" t="s">
        <v>30</v>
      </c>
      <c r="B1938">
        <v>2015</v>
      </c>
      <c r="C1938" t="s">
        <v>31</v>
      </c>
      <c r="D1938" s="2">
        <v>42005</v>
      </c>
      <c r="E1938" t="s">
        <v>19</v>
      </c>
      <c r="F1938">
        <v>124</v>
      </c>
      <c r="G1938" t="str">
        <f>VLOOKUP(Table1_2[[#This Row],[Categories]],Sheet3!$A$1:$B$27,2,FALSE)</f>
        <v>Clothing and footwear</v>
      </c>
    </row>
    <row r="1939" spans="1:7" x14ac:dyDescent="0.3">
      <c r="A1939" t="s">
        <v>30</v>
      </c>
      <c r="B1939">
        <v>2015</v>
      </c>
      <c r="C1939" t="s">
        <v>31</v>
      </c>
      <c r="D1939" s="2">
        <v>42005</v>
      </c>
      <c r="E1939" t="s">
        <v>21</v>
      </c>
      <c r="F1939">
        <v>118.4</v>
      </c>
      <c r="G1939" t="str">
        <f>VLOOKUP(Table1_2[[#This Row],[Categories]],Sheet3!$A$1:$B$27,2,FALSE)</f>
        <v>Fuel and light</v>
      </c>
    </row>
    <row r="1940" spans="1:7" x14ac:dyDescent="0.3">
      <c r="A1940" t="s">
        <v>30</v>
      </c>
      <c r="B1940">
        <v>2015</v>
      </c>
      <c r="C1940" t="s">
        <v>31</v>
      </c>
      <c r="D1940" s="2">
        <v>42005</v>
      </c>
      <c r="E1940" t="s">
        <v>22</v>
      </c>
      <c r="F1940">
        <v>118.9</v>
      </c>
      <c r="G1940" t="str">
        <f>VLOOKUP(Table1_2[[#This Row],[Categories]],Sheet3!$A$1:$B$27,2,FALSE)</f>
        <v>Household Items</v>
      </c>
    </row>
    <row r="1941" spans="1:7" x14ac:dyDescent="0.3">
      <c r="A1941" t="s">
        <v>30</v>
      </c>
      <c r="B1941">
        <v>2015</v>
      </c>
      <c r="C1941" t="s">
        <v>31</v>
      </c>
      <c r="D1941" s="2">
        <v>42005</v>
      </c>
      <c r="E1941" t="s">
        <v>23</v>
      </c>
      <c r="F1941">
        <v>116.6</v>
      </c>
      <c r="G1941" t="str">
        <f>VLOOKUP(Table1_2[[#This Row],[Categories]],Sheet3!$A$1:$B$27,2,FALSE)</f>
        <v>Health</v>
      </c>
    </row>
    <row r="1942" spans="1:7" x14ac:dyDescent="0.3">
      <c r="A1942" t="s">
        <v>30</v>
      </c>
      <c r="B1942">
        <v>2015</v>
      </c>
      <c r="C1942" t="s">
        <v>31</v>
      </c>
      <c r="D1942" s="2">
        <v>42005</v>
      </c>
      <c r="E1942" t="s">
        <v>24</v>
      </c>
      <c r="F1942">
        <v>111</v>
      </c>
      <c r="G1942" t="str">
        <f>VLOOKUP(Table1_2[[#This Row],[Categories]],Sheet3!$A$1:$B$27,2,FALSE)</f>
        <v>Transport and communication</v>
      </c>
    </row>
    <row r="1943" spans="1:7" x14ac:dyDescent="0.3">
      <c r="A1943" t="s">
        <v>30</v>
      </c>
      <c r="B1943">
        <v>2015</v>
      </c>
      <c r="C1943" t="s">
        <v>31</v>
      </c>
      <c r="D1943" s="2">
        <v>42005</v>
      </c>
      <c r="E1943" t="s">
        <v>25</v>
      </c>
      <c r="F1943">
        <v>114</v>
      </c>
      <c r="G1943" t="str">
        <f>VLOOKUP(Table1_2[[#This Row],[Categories]],Sheet3!$A$1:$B$27,2,FALSE)</f>
        <v>Recreation and amusement</v>
      </c>
    </row>
    <row r="1944" spans="1:7" x14ac:dyDescent="0.3">
      <c r="A1944" t="s">
        <v>30</v>
      </c>
      <c r="B1944">
        <v>2015</v>
      </c>
      <c r="C1944" t="s">
        <v>31</v>
      </c>
      <c r="D1944" s="2">
        <v>42005</v>
      </c>
      <c r="E1944" t="s">
        <v>26</v>
      </c>
      <c r="F1944">
        <v>118.2</v>
      </c>
      <c r="G1944" t="str">
        <f>VLOOKUP(Table1_2[[#This Row],[Categories]],Sheet3!$A$1:$B$27,2,FALSE)</f>
        <v>Education</v>
      </c>
    </row>
    <row r="1945" spans="1:7" x14ac:dyDescent="0.3">
      <c r="A1945" t="s">
        <v>30</v>
      </c>
      <c r="B1945">
        <v>2015</v>
      </c>
      <c r="C1945" t="s">
        <v>31</v>
      </c>
      <c r="D1945" s="2">
        <v>42005</v>
      </c>
      <c r="E1945" t="s">
        <v>27</v>
      </c>
      <c r="F1945">
        <v>110.2</v>
      </c>
      <c r="G1945" t="str">
        <f>VLOOKUP(Table1_2[[#This Row],[Categories]],Sheet3!$A$1:$B$27,2,FALSE)</f>
        <v>Household Items</v>
      </c>
    </row>
    <row r="1946" spans="1:7" x14ac:dyDescent="0.3">
      <c r="A1946" t="s">
        <v>30</v>
      </c>
      <c r="B1946">
        <v>2015</v>
      </c>
      <c r="C1946" t="s">
        <v>31</v>
      </c>
      <c r="D1946" s="2">
        <v>42005</v>
      </c>
      <c r="E1946" t="s">
        <v>28</v>
      </c>
      <c r="F1946">
        <v>114.5</v>
      </c>
      <c r="G1946" t="str">
        <f>VLOOKUP(Table1_2[[#This Row],[Categories]],Sheet3!$A$1:$B$27,2,FALSE)</f>
        <v>Miscellaneous</v>
      </c>
    </row>
    <row r="1947" spans="1:7" x14ac:dyDescent="0.3">
      <c r="A1947" t="s">
        <v>30</v>
      </c>
      <c r="B1947">
        <v>2015</v>
      </c>
      <c r="C1947" t="s">
        <v>31</v>
      </c>
      <c r="D1947" s="2">
        <v>42005</v>
      </c>
      <c r="E1947" t="s">
        <v>29</v>
      </c>
      <c r="F1947">
        <v>120.3</v>
      </c>
      <c r="G1947" t="str">
        <f>VLOOKUP(Table1_2[[#This Row],[Categories]],Sheet3!$A$1:$B$27,2,FALSE)</f>
        <v>General index</v>
      </c>
    </row>
    <row r="1948" spans="1:7" x14ac:dyDescent="0.3">
      <c r="A1948" t="s">
        <v>33</v>
      </c>
      <c r="B1948">
        <v>2015</v>
      </c>
      <c r="C1948" t="s">
        <v>31</v>
      </c>
      <c r="D1948" s="2">
        <v>42005</v>
      </c>
      <c r="E1948" t="s">
        <v>3</v>
      </c>
      <c r="F1948">
        <v>124</v>
      </c>
      <c r="G1948" t="str">
        <f>VLOOKUP(Table1_2[[#This Row],[Categories]],Sheet3!$A$1:$B$27,2,FALSE)</f>
        <v>Food &amp;Beverage</v>
      </c>
    </row>
    <row r="1949" spans="1:7" x14ac:dyDescent="0.3">
      <c r="A1949" t="s">
        <v>33</v>
      </c>
      <c r="B1949">
        <v>2015</v>
      </c>
      <c r="C1949" t="s">
        <v>31</v>
      </c>
      <c r="D1949" s="2">
        <v>42005</v>
      </c>
      <c r="E1949" t="s">
        <v>4</v>
      </c>
      <c r="F1949">
        <v>125.5</v>
      </c>
      <c r="G1949" t="str">
        <f>VLOOKUP(Table1_2[[#This Row],[Categories]],Sheet3!$A$1:$B$27,2,FALSE)</f>
        <v>Food &amp;Beverage</v>
      </c>
    </row>
    <row r="1950" spans="1:7" x14ac:dyDescent="0.3">
      <c r="A1950" t="s">
        <v>33</v>
      </c>
      <c r="B1950">
        <v>2015</v>
      </c>
      <c r="C1950" t="s">
        <v>31</v>
      </c>
      <c r="D1950" s="2">
        <v>42005</v>
      </c>
      <c r="E1950" t="s">
        <v>5</v>
      </c>
      <c r="F1950">
        <v>126.6</v>
      </c>
      <c r="G1950" t="str">
        <f>VLOOKUP(Table1_2[[#This Row],[Categories]],Sheet3!$A$1:$B$27,2,FALSE)</f>
        <v>Food &amp;Beverage</v>
      </c>
    </row>
    <row r="1951" spans="1:7" x14ac:dyDescent="0.3">
      <c r="A1951" t="s">
        <v>33</v>
      </c>
      <c r="B1951">
        <v>2015</v>
      </c>
      <c r="C1951" t="s">
        <v>31</v>
      </c>
      <c r="D1951" s="2">
        <v>42005</v>
      </c>
      <c r="E1951" t="s">
        <v>6</v>
      </c>
      <c r="F1951">
        <v>125.2</v>
      </c>
      <c r="G1951" t="str">
        <f>VLOOKUP(Table1_2[[#This Row],[Categories]],Sheet3!$A$1:$B$27,2,FALSE)</f>
        <v>Food &amp;Beverage</v>
      </c>
    </row>
    <row r="1952" spans="1:7" x14ac:dyDescent="0.3">
      <c r="A1952" t="s">
        <v>33</v>
      </c>
      <c r="B1952">
        <v>2015</v>
      </c>
      <c r="C1952" t="s">
        <v>31</v>
      </c>
      <c r="D1952" s="2">
        <v>42005</v>
      </c>
      <c r="E1952" t="s">
        <v>7</v>
      </c>
      <c r="F1952">
        <v>104.3</v>
      </c>
      <c r="G1952" t="str">
        <f>VLOOKUP(Table1_2[[#This Row],[Categories]],Sheet3!$A$1:$B$27,2,FALSE)</f>
        <v>Food &amp;Beverage</v>
      </c>
    </row>
    <row r="1953" spans="1:7" x14ac:dyDescent="0.3">
      <c r="A1953" t="s">
        <v>33</v>
      </c>
      <c r="B1953">
        <v>2015</v>
      </c>
      <c r="C1953" t="s">
        <v>31</v>
      </c>
      <c r="D1953" s="2">
        <v>42005</v>
      </c>
      <c r="E1953" t="s">
        <v>8</v>
      </c>
      <c r="F1953">
        <v>121.3</v>
      </c>
      <c r="G1953" t="str">
        <f>VLOOKUP(Table1_2[[#This Row],[Categories]],Sheet3!$A$1:$B$27,2,FALSE)</f>
        <v>Food &amp;Beverage</v>
      </c>
    </row>
    <row r="1954" spans="1:7" x14ac:dyDescent="0.3">
      <c r="A1954" t="s">
        <v>33</v>
      </c>
      <c r="B1954">
        <v>2015</v>
      </c>
      <c r="C1954" t="s">
        <v>31</v>
      </c>
      <c r="D1954" s="2">
        <v>42005</v>
      </c>
      <c r="E1954" t="s">
        <v>9</v>
      </c>
      <c r="F1954">
        <v>134.4</v>
      </c>
      <c r="G1954" t="str">
        <f>VLOOKUP(Table1_2[[#This Row],[Categories]],Sheet3!$A$1:$B$27,2,FALSE)</f>
        <v>Food &amp;Beverage</v>
      </c>
    </row>
    <row r="1955" spans="1:7" x14ac:dyDescent="0.3">
      <c r="A1955" t="s">
        <v>33</v>
      </c>
      <c r="B1955">
        <v>2015</v>
      </c>
      <c r="C1955" t="s">
        <v>31</v>
      </c>
      <c r="D1955" s="2">
        <v>42005</v>
      </c>
      <c r="E1955" t="s">
        <v>10</v>
      </c>
      <c r="F1955">
        <v>122.9</v>
      </c>
      <c r="G1955" t="str">
        <f>VLOOKUP(Table1_2[[#This Row],[Categories]],Sheet3!$A$1:$B$27,2,FALSE)</f>
        <v>Food &amp;Beverage</v>
      </c>
    </row>
    <row r="1956" spans="1:7" x14ac:dyDescent="0.3">
      <c r="A1956" t="s">
        <v>33</v>
      </c>
      <c r="B1956">
        <v>2015</v>
      </c>
      <c r="C1956" t="s">
        <v>31</v>
      </c>
      <c r="D1956" s="2">
        <v>42005</v>
      </c>
      <c r="E1956" t="s">
        <v>11</v>
      </c>
      <c r="F1956">
        <v>96.1</v>
      </c>
      <c r="G1956" t="str">
        <f>VLOOKUP(Table1_2[[#This Row],[Categories]],Sheet3!$A$1:$B$27,2,FALSE)</f>
        <v>Food &amp;Beverage</v>
      </c>
    </row>
    <row r="1957" spans="1:7" x14ac:dyDescent="0.3">
      <c r="A1957" t="s">
        <v>33</v>
      </c>
      <c r="B1957">
        <v>2015</v>
      </c>
      <c r="C1957" t="s">
        <v>31</v>
      </c>
      <c r="D1957" s="2">
        <v>42005</v>
      </c>
      <c r="E1957" t="s">
        <v>12</v>
      </c>
      <c r="F1957">
        <v>126.6</v>
      </c>
      <c r="G1957" t="str">
        <f>VLOOKUP(Table1_2[[#This Row],[Categories]],Sheet3!$A$1:$B$27,2,FALSE)</f>
        <v>Food &amp;Beverage</v>
      </c>
    </row>
    <row r="1958" spans="1:7" x14ac:dyDescent="0.3">
      <c r="A1958" t="s">
        <v>33</v>
      </c>
      <c r="B1958">
        <v>2015</v>
      </c>
      <c r="C1958" t="s">
        <v>31</v>
      </c>
      <c r="D1958" s="2">
        <v>42005</v>
      </c>
      <c r="E1958" t="s">
        <v>13</v>
      </c>
      <c r="F1958">
        <v>116.5</v>
      </c>
      <c r="G1958" t="str">
        <f>VLOOKUP(Table1_2[[#This Row],[Categories]],Sheet3!$A$1:$B$27,2,FALSE)</f>
        <v>Food &amp;Beverage</v>
      </c>
    </row>
    <row r="1959" spans="1:7" x14ac:dyDescent="0.3">
      <c r="A1959" t="s">
        <v>33</v>
      </c>
      <c r="B1959">
        <v>2015</v>
      </c>
      <c r="C1959" t="s">
        <v>31</v>
      </c>
      <c r="D1959" s="2">
        <v>42005</v>
      </c>
      <c r="E1959" t="s">
        <v>14</v>
      </c>
      <c r="F1959">
        <v>128</v>
      </c>
      <c r="G1959" t="str">
        <f>VLOOKUP(Table1_2[[#This Row],[Categories]],Sheet3!$A$1:$B$27,2,FALSE)</f>
        <v>Food &amp;Beverage</v>
      </c>
    </row>
    <row r="1960" spans="1:7" x14ac:dyDescent="0.3">
      <c r="A1960" t="s">
        <v>33</v>
      </c>
      <c r="B1960">
        <v>2015</v>
      </c>
      <c r="C1960" t="s">
        <v>31</v>
      </c>
      <c r="D1960" s="2">
        <v>42005</v>
      </c>
      <c r="E1960" t="s">
        <v>15</v>
      </c>
      <c r="F1960">
        <v>123.5</v>
      </c>
      <c r="G1960" t="str">
        <f>VLOOKUP(Table1_2[[#This Row],[Categories]],Sheet3!$A$1:$B$27,2,FALSE)</f>
        <v>Food &amp;Beverage</v>
      </c>
    </row>
    <row r="1961" spans="1:7" x14ac:dyDescent="0.3">
      <c r="A1961" t="s">
        <v>33</v>
      </c>
      <c r="B1961">
        <v>2015</v>
      </c>
      <c r="C1961" t="s">
        <v>31</v>
      </c>
      <c r="D1961" s="2">
        <v>42005</v>
      </c>
      <c r="E1961" t="s">
        <v>16</v>
      </c>
      <c r="F1961">
        <v>127.4</v>
      </c>
      <c r="G1961" t="str">
        <f>VLOOKUP(Table1_2[[#This Row],[Categories]],Sheet3!$A$1:$B$27,2,FALSE)</f>
        <v>Recreation and amusement</v>
      </c>
    </row>
    <row r="1962" spans="1:7" x14ac:dyDescent="0.3">
      <c r="A1962" t="s">
        <v>33</v>
      </c>
      <c r="B1962">
        <v>2015</v>
      </c>
      <c r="C1962" t="s">
        <v>31</v>
      </c>
      <c r="D1962" s="2">
        <v>42005</v>
      </c>
      <c r="E1962" t="s">
        <v>17</v>
      </c>
      <c r="F1962">
        <v>121</v>
      </c>
      <c r="G1962" t="str">
        <f>VLOOKUP(Table1_2[[#This Row],[Categories]],Sheet3!$A$1:$B$27,2,FALSE)</f>
        <v>Clothing and footwear</v>
      </c>
    </row>
    <row r="1963" spans="1:7" x14ac:dyDescent="0.3">
      <c r="A1963" t="s">
        <v>33</v>
      </c>
      <c r="B1963">
        <v>2015</v>
      </c>
      <c r="C1963" t="s">
        <v>31</v>
      </c>
      <c r="D1963" s="2">
        <v>42005</v>
      </c>
      <c r="E1963" t="s">
        <v>18</v>
      </c>
      <c r="F1963">
        <v>116.1</v>
      </c>
      <c r="G1963" t="str">
        <f>VLOOKUP(Table1_2[[#This Row],[Categories]],Sheet3!$A$1:$B$27,2,FALSE)</f>
        <v>Clothing and footwear</v>
      </c>
    </row>
    <row r="1964" spans="1:7" x14ac:dyDescent="0.3">
      <c r="A1964" t="s">
        <v>33</v>
      </c>
      <c r="B1964">
        <v>2015</v>
      </c>
      <c r="C1964" t="s">
        <v>31</v>
      </c>
      <c r="D1964" s="2">
        <v>42005</v>
      </c>
      <c r="E1964" t="s">
        <v>19</v>
      </c>
      <c r="F1964">
        <v>120.2</v>
      </c>
      <c r="G1964" t="str">
        <f>VLOOKUP(Table1_2[[#This Row],[Categories]],Sheet3!$A$1:$B$27,2,FALSE)</f>
        <v>Clothing and footwear</v>
      </c>
    </row>
    <row r="1965" spans="1:7" x14ac:dyDescent="0.3">
      <c r="A1965" t="s">
        <v>33</v>
      </c>
      <c r="B1965">
        <v>2015</v>
      </c>
      <c r="C1965" t="s">
        <v>31</v>
      </c>
      <c r="D1965" s="2">
        <v>42005</v>
      </c>
      <c r="E1965" t="s">
        <v>20</v>
      </c>
      <c r="F1965">
        <v>117.3</v>
      </c>
      <c r="G1965" t="str">
        <f>VLOOKUP(Table1_2[[#This Row],[Categories]],Sheet3!$A$1:$B$27,2,FALSE)</f>
        <v>Housing</v>
      </c>
    </row>
    <row r="1966" spans="1:7" x14ac:dyDescent="0.3">
      <c r="A1966" t="s">
        <v>33</v>
      </c>
      <c r="B1966">
        <v>2015</v>
      </c>
      <c r="C1966" t="s">
        <v>31</v>
      </c>
      <c r="D1966" s="2">
        <v>42005</v>
      </c>
      <c r="E1966" t="s">
        <v>21</v>
      </c>
      <c r="F1966">
        <v>113.4</v>
      </c>
      <c r="G1966" t="str">
        <f>VLOOKUP(Table1_2[[#This Row],[Categories]],Sheet3!$A$1:$B$27,2,FALSE)</f>
        <v>Fuel and light</v>
      </c>
    </row>
    <row r="1967" spans="1:7" x14ac:dyDescent="0.3">
      <c r="A1967" t="s">
        <v>33</v>
      </c>
      <c r="B1967">
        <v>2015</v>
      </c>
      <c r="C1967" t="s">
        <v>31</v>
      </c>
      <c r="D1967" s="2">
        <v>42005</v>
      </c>
      <c r="E1967" t="s">
        <v>22</v>
      </c>
      <c r="F1967">
        <v>117.2</v>
      </c>
      <c r="G1967" t="str">
        <f>VLOOKUP(Table1_2[[#This Row],[Categories]],Sheet3!$A$1:$B$27,2,FALSE)</f>
        <v>Household Items</v>
      </c>
    </row>
    <row r="1968" spans="1:7" x14ac:dyDescent="0.3">
      <c r="A1968" t="s">
        <v>33</v>
      </c>
      <c r="B1968">
        <v>2015</v>
      </c>
      <c r="C1968" t="s">
        <v>31</v>
      </c>
      <c r="D1968" s="2">
        <v>42005</v>
      </c>
      <c r="E1968" t="s">
        <v>23</v>
      </c>
      <c r="F1968">
        <v>113.7</v>
      </c>
      <c r="G1968" t="str">
        <f>VLOOKUP(Table1_2[[#This Row],[Categories]],Sheet3!$A$1:$B$27,2,FALSE)</f>
        <v>Health</v>
      </c>
    </row>
    <row r="1969" spans="1:7" x14ac:dyDescent="0.3">
      <c r="A1969" t="s">
        <v>33</v>
      </c>
      <c r="B1969">
        <v>2015</v>
      </c>
      <c r="C1969" t="s">
        <v>31</v>
      </c>
      <c r="D1969" s="2">
        <v>42005</v>
      </c>
      <c r="E1969" t="s">
        <v>24</v>
      </c>
      <c r="F1969">
        <v>107.9</v>
      </c>
      <c r="G1969" t="str">
        <f>VLOOKUP(Table1_2[[#This Row],[Categories]],Sheet3!$A$1:$B$27,2,FALSE)</f>
        <v>Transport and communication</v>
      </c>
    </row>
    <row r="1970" spans="1:7" x14ac:dyDescent="0.3">
      <c r="A1970" t="s">
        <v>33</v>
      </c>
      <c r="B1970">
        <v>2015</v>
      </c>
      <c r="C1970" t="s">
        <v>31</v>
      </c>
      <c r="D1970" s="2">
        <v>42005</v>
      </c>
      <c r="E1970" t="s">
        <v>25</v>
      </c>
      <c r="F1970">
        <v>114.6</v>
      </c>
      <c r="G1970" t="str">
        <f>VLOOKUP(Table1_2[[#This Row],[Categories]],Sheet3!$A$1:$B$27,2,FALSE)</f>
        <v>Recreation and amusement</v>
      </c>
    </row>
    <row r="1971" spans="1:7" x14ac:dyDescent="0.3">
      <c r="A1971" t="s">
        <v>33</v>
      </c>
      <c r="B1971">
        <v>2015</v>
      </c>
      <c r="C1971" t="s">
        <v>31</v>
      </c>
      <c r="D1971" s="2">
        <v>42005</v>
      </c>
      <c r="E1971" t="s">
        <v>26</v>
      </c>
      <c r="F1971">
        <v>120.8</v>
      </c>
      <c r="G1971" t="str">
        <f>VLOOKUP(Table1_2[[#This Row],[Categories]],Sheet3!$A$1:$B$27,2,FALSE)</f>
        <v>Education</v>
      </c>
    </row>
    <row r="1972" spans="1:7" x14ac:dyDescent="0.3">
      <c r="A1972" t="s">
        <v>33</v>
      </c>
      <c r="B1972">
        <v>2015</v>
      </c>
      <c r="C1972" t="s">
        <v>31</v>
      </c>
      <c r="D1972" s="2">
        <v>42005</v>
      </c>
      <c r="E1972" t="s">
        <v>27</v>
      </c>
      <c r="F1972">
        <v>111.4</v>
      </c>
      <c r="G1972" t="str">
        <f>VLOOKUP(Table1_2[[#This Row],[Categories]],Sheet3!$A$1:$B$27,2,FALSE)</f>
        <v>Household Items</v>
      </c>
    </row>
    <row r="1973" spans="1:7" x14ac:dyDescent="0.3">
      <c r="A1973" t="s">
        <v>33</v>
      </c>
      <c r="B1973">
        <v>2015</v>
      </c>
      <c r="C1973" t="s">
        <v>31</v>
      </c>
      <c r="D1973" s="2">
        <v>42005</v>
      </c>
      <c r="E1973" t="s">
        <v>28</v>
      </c>
      <c r="F1973">
        <v>113.4</v>
      </c>
      <c r="G1973" t="str">
        <f>VLOOKUP(Table1_2[[#This Row],[Categories]],Sheet3!$A$1:$B$27,2,FALSE)</f>
        <v>Miscellaneous</v>
      </c>
    </row>
    <row r="1974" spans="1:7" x14ac:dyDescent="0.3">
      <c r="A1974" t="s">
        <v>33</v>
      </c>
      <c r="B1974">
        <v>2015</v>
      </c>
      <c r="C1974" t="s">
        <v>31</v>
      </c>
      <c r="D1974" s="2">
        <v>42005</v>
      </c>
      <c r="E1974" t="s">
        <v>29</v>
      </c>
      <c r="F1974">
        <v>118.5</v>
      </c>
      <c r="G1974" t="str">
        <f>VLOOKUP(Table1_2[[#This Row],[Categories]],Sheet3!$A$1:$B$27,2,FALSE)</f>
        <v>General index</v>
      </c>
    </row>
    <row r="1975" spans="1:7" x14ac:dyDescent="0.3">
      <c r="A1975" t="s">
        <v>34</v>
      </c>
      <c r="B1975">
        <v>2015</v>
      </c>
      <c r="C1975" t="s">
        <v>31</v>
      </c>
      <c r="D1975" s="2">
        <v>42005</v>
      </c>
      <c r="E1975" t="s">
        <v>3</v>
      </c>
      <c r="F1975">
        <v>123.4</v>
      </c>
      <c r="G1975" t="str">
        <f>VLOOKUP(Table1_2[[#This Row],[Categories]],Sheet3!$A$1:$B$27,2,FALSE)</f>
        <v>Food &amp;Beverage</v>
      </c>
    </row>
    <row r="1976" spans="1:7" x14ac:dyDescent="0.3">
      <c r="A1976" t="s">
        <v>34</v>
      </c>
      <c r="B1976">
        <v>2015</v>
      </c>
      <c r="C1976" t="s">
        <v>31</v>
      </c>
      <c r="D1976" s="2">
        <v>42005</v>
      </c>
      <c r="E1976" t="s">
        <v>4</v>
      </c>
      <c r="F1976">
        <v>123.9</v>
      </c>
      <c r="G1976" t="str">
        <f>VLOOKUP(Table1_2[[#This Row],[Categories]],Sheet3!$A$1:$B$27,2,FALSE)</f>
        <v>Food &amp;Beverage</v>
      </c>
    </row>
    <row r="1977" spans="1:7" x14ac:dyDescent="0.3">
      <c r="A1977" t="s">
        <v>34</v>
      </c>
      <c r="B1977">
        <v>2015</v>
      </c>
      <c r="C1977" t="s">
        <v>31</v>
      </c>
      <c r="D1977" s="2">
        <v>42005</v>
      </c>
      <c r="E1977" t="s">
        <v>5</v>
      </c>
      <c r="F1977">
        <v>123.8</v>
      </c>
      <c r="G1977" t="str">
        <f>VLOOKUP(Table1_2[[#This Row],[Categories]],Sheet3!$A$1:$B$27,2,FALSE)</f>
        <v>Food &amp;Beverage</v>
      </c>
    </row>
    <row r="1978" spans="1:7" x14ac:dyDescent="0.3">
      <c r="A1978" t="s">
        <v>34</v>
      </c>
      <c r="B1978">
        <v>2015</v>
      </c>
      <c r="C1978" t="s">
        <v>31</v>
      </c>
      <c r="D1978" s="2">
        <v>42005</v>
      </c>
      <c r="E1978" t="s">
        <v>6</v>
      </c>
      <c r="F1978">
        <v>125</v>
      </c>
      <c r="G1978" t="str">
        <f>VLOOKUP(Table1_2[[#This Row],[Categories]],Sheet3!$A$1:$B$27,2,FALSE)</f>
        <v>Food &amp;Beverage</v>
      </c>
    </row>
    <row r="1979" spans="1:7" x14ac:dyDescent="0.3">
      <c r="A1979" t="s">
        <v>34</v>
      </c>
      <c r="B1979">
        <v>2015</v>
      </c>
      <c r="C1979" t="s">
        <v>31</v>
      </c>
      <c r="D1979" s="2">
        <v>42005</v>
      </c>
      <c r="E1979" t="s">
        <v>7</v>
      </c>
      <c r="F1979">
        <v>108.5</v>
      </c>
      <c r="G1979" t="str">
        <f>VLOOKUP(Table1_2[[#This Row],[Categories]],Sheet3!$A$1:$B$27,2,FALSE)</f>
        <v>Food &amp;Beverage</v>
      </c>
    </row>
    <row r="1980" spans="1:7" x14ac:dyDescent="0.3">
      <c r="A1980" t="s">
        <v>34</v>
      </c>
      <c r="B1980">
        <v>2015</v>
      </c>
      <c r="C1980" t="s">
        <v>31</v>
      </c>
      <c r="D1980" s="2">
        <v>42005</v>
      </c>
      <c r="E1980" t="s">
        <v>8</v>
      </c>
      <c r="F1980">
        <v>126.2</v>
      </c>
      <c r="G1980" t="str">
        <f>VLOOKUP(Table1_2[[#This Row],[Categories]],Sheet3!$A$1:$B$27,2,FALSE)</f>
        <v>Food &amp;Beverage</v>
      </c>
    </row>
    <row r="1981" spans="1:7" x14ac:dyDescent="0.3">
      <c r="A1981" t="s">
        <v>34</v>
      </c>
      <c r="B1981">
        <v>2015</v>
      </c>
      <c r="C1981" t="s">
        <v>31</v>
      </c>
      <c r="D1981" s="2">
        <v>42005</v>
      </c>
      <c r="E1981" t="s">
        <v>9</v>
      </c>
      <c r="F1981">
        <v>133</v>
      </c>
      <c r="G1981" t="str">
        <f>VLOOKUP(Table1_2[[#This Row],[Categories]],Sheet3!$A$1:$B$27,2,FALSE)</f>
        <v>Food &amp;Beverage</v>
      </c>
    </row>
    <row r="1982" spans="1:7" x14ac:dyDescent="0.3">
      <c r="A1982" t="s">
        <v>34</v>
      </c>
      <c r="B1982">
        <v>2015</v>
      </c>
      <c r="C1982" t="s">
        <v>31</v>
      </c>
      <c r="D1982" s="2">
        <v>42005</v>
      </c>
      <c r="E1982" t="s">
        <v>10</v>
      </c>
      <c r="F1982">
        <v>119.1</v>
      </c>
      <c r="G1982" t="str">
        <f>VLOOKUP(Table1_2[[#This Row],[Categories]],Sheet3!$A$1:$B$27,2,FALSE)</f>
        <v>Food &amp;Beverage</v>
      </c>
    </row>
    <row r="1983" spans="1:7" x14ac:dyDescent="0.3">
      <c r="A1983" t="s">
        <v>34</v>
      </c>
      <c r="B1983">
        <v>2015</v>
      </c>
      <c r="C1983" t="s">
        <v>31</v>
      </c>
      <c r="D1983" s="2">
        <v>42005</v>
      </c>
      <c r="E1983" t="s">
        <v>11</v>
      </c>
      <c r="F1983">
        <v>99</v>
      </c>
      <c r="G1983" t="str">
        <f>VLOOKUP(Table1_2[[#This Row],[Categories]],Sheet3!$A$1:$B$27,2,FALSE)</f>
        <v>Food &amp;Beverage</v>
      </c>
    </row>
    <row r="1984" spans="1:7" x14ac:dyDescent="0.3">
      <c r="A1984" t="s">
        <v>34</v>
      </c>
      <c r="B1984">
        <v>2015</v>
      </c>
      <c r="C1984" t="s">
        <v>31</v>
      </c>
      <c r="D1984" s="2">
        <v>42005</v>
      </c>
      <c r="E1984" t="s">
        <v>12</v>
      </c>
      <c r="F1984">
        <v>120.3</v>
      </c>
      <c r="G1984" t="str">
        <f>VLOOKUP(Table1_2[[#This Row],[Categories]],Sheet3!$A$1:$B$27,2,FALSE)</f>
        <v>Food &amp;Beverage</v>
      </c>
    </row>
    <row r="1985" spans="1:7" x14ac:dyDescent="0.3">
      <c r="A1985" t="s">
        <v>34</v>
      </c>
      <c r="B1985">
        <v>2015</v>
      </c>
      <c r="C1985" t="s">
        <v>31</v>
      </c>
      <c r="D1985" s="2">
        <v>42005</v>
      </c>
      <c r="E1985" t="s">
        <v>13</v>
      </c>
      <c r="F1985">
        <v>117.3</v>
      </c>
      <c r="G1985" t="str">
        <f>VLOOKUP(Table1_2[[#This Row],[Categories]],Sheet3!$A$1:$B$27,2,FALSE)</f>
        <v>Food &amp;Beverage</v>
      </c>
    </row>
    <row r="1986" spans="1:7" x14ac:dyDescent="0.3">
      <c r="A1986" t="s">
        <v>34</v>
      </c>
      <c r="B1986">
        <v>2015</v>
      </c>
      <c r="C1986" t="s">
        <v>31</v>
      </c>
      <c r="D1986" s="2">
        <v>42005</v>
      </c>
      <c r="E1986" t="s">
        <v>14</v>
      </c>
      <c r="F1986">
        <v>126.7</v>
      </c>
      <c r="G1986" t="str">
        <f>VLOOKUP(Table1_2[[#This Row],[Categories]],Sheet3!$A$1:$B$27,2,FALSE)</f>
        <v>Food &amp;Beverage</v>
      </c>
    </row>
    <row r="1987" spans="1:7" x14ac:dyDescent="0.3">
      <c r="A1987" t="s">
        <v>34</v>
      </c>
      <c r="B1987">
        <v>2015</v>
      </c>
      <c r="C1987" t="s">
        <v>31</v>
      </c>
      <c r="D1987" s="2">
        <v>42005</v>
      </c>
      <c r="E1987" t="s">
        <v>15</v>
      </c>
      <c r="F1987">
        <v>123.1</v>
      </c>
      <c r="G1987" t="str">
        <f>VLOOKUP(Table1_2[[#This Row],[Categories]],Sheet3!$A$1:$B$27,2,FALSE)</f>
        <v>Food &amp;Beverage</v>
      </c>
    </row>
    <row r="1988" spans="1:7" x14ac:dyDescent="0.3">
      <c r="A1988" t="s">
        <v>34</v>
      </c>
      <c r="B1988">
        <v>2015</v>
      </c>
      <c r="C1988" t="s">
        <v>31</v>
      </c>
      <c r="D1988" s="2">
        <v>42005</v>
      </c>
      <c r="E1988" t="s">
        <v>16</v>
      </c>
      <c r="F1988">
        <v>124</v>
      </c>
      <c r="G1988" t="str">
        <f>VLOOKUP(Table1_2[[#This Row],[Categories]],Sheet3!$A$1:$B$27,2,FALSE)</f>
        <v>Recreation and amusement</v>
      </c>
    </row>
    <row r="1989" spans="1:7" x14ac:dyDescent="0.3">
      <c r="A1989" t="s">
        <v>34</v>
      </c>
      <c r="B1989">
        <v>2015</v>
      </c>
      <c r="C1989" t="s">
        <v>31</v>
      </c>
      <c r="D1989" s="2">
        <v>42005</v>
      </c>
      <c r="E1989" t="s">
        <v>17</v>
      </c>
      <c r="F1989">
        <v>123.1</v>
      </c>
      <c r="G1989" t="str">
        <f>VLOOKUP(Table1_2[[#This Row],[Categories]],Sheet3!$A$1:$B$27,2,FALSE)</f>
        <v>Clothing and footwear</v>
      </c>
    </row>
    <row r="1990" spans="1:7" x14ac:dyDescent="0.3">
      <c r="A1990" t="s">
        <v>34</v>
      </c>
      <c r="B1990">
        <v>2015</v>
      </c>
      <c r="C1990" t="s">
        <v>31</v>
      </c>
      <c r="D1990" s="2">
        <v>42005</v>
      </c>
      <c r="E1990" t="s">
        <v>18</v>
      </c>
      <c r="F1990">
        <v>119.3</v>
      </c>
      <c r="G1990" t="str">
        <f>VLOOKUP(Table1_2[[#This Row],[Categories]],Sheet3!$A$1:$B$27,2,FALSE)</f>
        <v>Clothing and footwear</v>
      </c>
    </row>
    <row r="1991" spans="1:7" x14ac:dyDescent="0.3">
      <c r="A1991" t="s">
        <v>34</v>
      </c>
      <c r="B1991">
        <v>2015</v>
      </c>
      <c r="C1991" t="s">
        <v>31</v>
      </c>
      <c r="D1991" s="2">
        <v>42005</v>
      </c>
      <c r="E1991" t="s">
        <v>19</v>
      </c>
      <c r="F1991">
        <v>122.5</v>
      </c>
      <c r="G1991" t="str">
        <f>VLOOKUP(Table1_2[[#This Row],[Categories]],Sheet3!$A$1:$B$27,2,FALSE)</f>
        <v>Clothing and footwear</v>
      </c>
    </row>
    <row r="1992" spans="1:7" x14ac:dyDescent="0.3">
      <c r="A1992" t="s">
        <v>34</v>
      </c>
      <c r="B1992">
        <v>2015</v>
      </c>
      <c r="C1992" t="s">
        <v>31</v>
      </c>
      <c r="D1992" s="2">
        <v>42005</v>
      </c>
      <c r="E1992" t="s">
        <v>20</v>
      </c>
      <c r="F1992">
        <v>117.3</v>
      </c>
      <c r="G1992" t="str">
        <f>VLOOKUP(Table1_2[[#This Row],[Categories]],Sheet3!$A$1:$B$27,2,FALSE)</f>
        <v>Housing</v>
      </c>
    </row>
    <row r="1993" spans="1:7" x14ac:dyDescent="0.3">
      <c r="A1993" t="s">
        <v>34</v>
      </c>
      <c r="B1993">
        <v>2015</v>
      </c>
      <c r="C1993" t="s">
        <v>31</v>
      </c>
      <c r="D1993" s="2">
        <v>42005</v>
      </c>
      <c r="E1993" t="s">
        <v>21</v>
      </c>
      <c r="F1993">
        <v>116.5</v>
      </c>
      <c r="G1993" t="str">
        <f>VLOOKUP(Table1_2[[#This Row],[Categories]],Sheet3!$A$1:$B$27,2,FALSE)</f>
        <v>Fuel and light</v>
      </c>
    </row>
    <row r="1994" spans="1:7" x14ac:dyDescent="0.3">
      <c r="A1994" t="s">
        <v>34</v>
      </c>
      <c r="B1994">
        <v>2015</v>
      </c>
      <c r="C1994" t="s">
        <v>31</v>
      </c>
      <c r="D1994" s="2">
        <v>42005</v>
      </c>
      <c r="E1994" t="s">
        <v>22</v>
      </c>
      <c r="F1994">
        <v>118.1</v>
      </c>
      <c r="G1994" t="str">
        <f>VLOOKUP(Table1_2[[#This Row],[Categories]],Sheet3!$A$1:$B$27,2,FALSE)</f>
        <v>Household Items</v>
      </c>
    </row>
    <row r="1995" spans="1:7" x14ac:dyDescent="0.3">
      <c r="A1995" t="s">
        <v>34</v>
      </c>
      <c r="B1995">
        <v>2015</v>
      </c>
      <c r="C1995" t="s">
        <v>31</v>
      </c>
      <c r="D1995" s="2">
        <v>42005</v>
      </c>
      <c r="E1995" t="s">
        <v>23</v>
      </c>
      <c r="F1995">
        <v>115.5</v>
      </c>
      <c r="G1995" t="str">
        <f>VLOOKUP(Table1_2[[#This Row],[Categories]],Sheet3!$A$1:$B$27,2,FALSE)</f>
        <v>Health</v>
      </c>
    </row>
    <row r="1996" spans="1:7" x14ac:dyDescent="0.3">
      <c r="A1996" t="s">
        <v>34</v>
      </c>
      <c r="B1996">
        <v>2015</v>
      </c>
      <c r="C1996" t="s">
        <v>31</v>
      </c>
      <c r="D1996" s="2">
        <v>42005</v>
      </c>
      <c r="E1996" t="s">
        <v>24</v>
      </c>
      <c r="F1996">
        <v>109.4</v>
      </c>
      <c r="G1996" t="str">
        <f>VLOOKUP(Table1_2[[#This Row],[Categories]],Sheet3!$A$1:$B$27,2,FALSE)</f>
        <v>Transport and communication</v>
      </c>
    </row>
    <row r="1997" spans="1:7" x14ac:dyDescent="0.3">
      <c r="A1997" t="s">
        <v>34</v>
      </c>
      <c r="B1997">
        <v>2015</v>
      </c>
      <c r="C1997" t="s">
        <v>31</v>
      </c>
      <c r="D1997" s="2">
        <v>42005</v>
      </c>
      <c r="E1997" t="s">
        <v>25</v>
      </c>
      <c r="F1997">
        <v>114.3</v>
      </c>
      <c r="G1997" t="str">
        <f>VLOOKUP(Table1_2[[#This Row],[Categories]],Sheet3!$A$1:$B$27,2,FALSE)</f>
        <v>Recreation and amusement</v>
      </c>
    </row>
    <row r="1998" spans="1:7" x14ac:dyDescent="0.3">
      <c r="A1998" t="s">
        <v>34</v>
      </c>
      <c r="B1998">
        <v>2015</v>
      </c>
      <c r="C1998" t="s">
        <v>31</v>
      </c>
      <c r="D1998" s="2">
        <v>42005</v>
      </c>
      <c r="E1998" t="s">
        <v>26</v>
      </c>
      <c r="F1998">
        <v>119.7</v>
      </c>
      <c r="G1998" t="str">
        <f>VLOOKUP(Table1_2[[#This Row],[Categories]],Sheet3!$A$1:$B$27,2,FALSE)</f>
        <v>Education</v>
      </c>
    </row>
    <row r="1999" spans="1:7" x14ac:dyDescent="0.3">
      <c r="A1999" t="s">
        <v>34</v>
      </c>
      <c r="B1999">
        <v>2015</v>
      </c>
      <c r="C1999" t="s">
        <v>31</v>
      </c>
      <c r="D1999" s="2">
        <v>42005</v>
      </c>
      <c r="E1999" t="s">
        <v>27</v>
      </c>
      <c r="F1999">
        <v>110.7</v>
      </c>
      <c r="G1999" t="str">
        <f>VLOOKUP(Table1_2[[#This Row],[Categories]],Sheet3!$A$1:$B$27,2,FALSE)</f>
        <v>Household Items</v>
      </c>
    </row>
    <row r="2000" spans="1:7" x14ac:dyDescent="0.3">
      <c r="A2000" t="s">
        <v>34</v>
      </c>
      <c r="B2000">
        <v>2015</v>
      </c>
      <c r="C2000" t="s">
        <v>31</v>
      </c>
      <c r="D2000" s="2">
        <v>42005</v>
      </c>
      <c r="E2000" t="s">
        <v>28</v>
      </c>
      <c r="F2000">
        <v>114</v>
      </c>
      <c r="G2000" t="str">
        <f>VLOOKUP(Table1_2[[#This Row],[Categories]],Sheet3!$A$1:$B$27,2,FALSE)</f>
        <v>Miscellaneous</v>
      </c>
    </row>
    <row r="2001" spans="1:7" x14ac:dyDescent="0.3">
      <c r="A2001" t="s">
        <v>34</v>
      </c>
      <c r="B2001">
        <v>2015</v>
      </c>
      <c r="C2001" t="s">
        <v>31</v>
      </c>
      <c r="D2001" s="2">
        <v>42005</v>
      </c>
      <c r="E2001" t="s">
        <v>29</v>
      </c>
      <c r="F2001">
        <v>119.5</v>
      </c>
      <c r="G2001" t="str">
        <f>VLOOKUP(Table1_2[[#This Row],[Categories]],Sheet3!$A$1:$B$27,2,FALSE)</f>
        <v>General index</v>
      </c>
    </row>
    <row r="2002" spans="1:7" x14ac:dyDescent="0.3">
      <c r="A2002" t="s">
        <v>30</v>
      </c>
      <c r="B2002">
        <v>2015</v>
      </c>
      <c r="C2002" t="s">
        <v>35</v>
      </c>
      <c r="D2002" s="2">
        <v>42036</v>
      </c>
      <c r="E2002" t="s">
        <v>3</v>
      </c>
      <c r="F2002">
        <v>123.4</v>
      </c>
      <c r="G2002" t="str">
        <f>VLOOKUP(Table1_2[[#This Row],[Categories]],Sheet3!$A$1:$B$27,2,FALSE)</f>
        <v>Food &amp;Beverage</v>
      </c>
    </row>
    <row r="2003" spans="1:7" x14ac:dyDescent="0.3">
      <c r="A2003" t="s">
        <v>30</v>
      </c>
      <c r="B2003">
        <v>2015</v>
      </c>
      <c r="C2003" t="s">
        <v>35</v>
      </c>
      <c r="D2003" s="2">
        <v>42036</v>
      </c>
      <c r="E2003" t="s">
        <v>4</v>
      </c>
      <c r="F2003">
        <v>124.4</v>
      </c>
      <c r="G2003" t="str">
        <f>VLOOKUP(Table1_2[[#This Row],[Categories]],Sheet3!$A$1:$B$27,2,FALSE)</f>
        <v>Food &amp;Beverage</v>
      </c>
    </row>
    <row r="2004" spans="1:7" x14ac:dyDescent="0.3">
      <c r="A2004" t="s">
        <v>30</v>
      </c>
      <c r="B2004">
        <v>2015</v>
      </c>
      <c r="C2004" t="s">
        <v>35</v>
      </c>
      <c r="D2004" s="2">
        <v>42036</v>
      </c>
      <c r="E2004" t="s">
        <v>5</v>
      </c>
      <c r="F2004">
        <v>122.1</v>
      </c>
      <c r="G2004" t="str">
        <f>VLOOKUP(Table1_2[[#This Row],[Categories]],Sheet3!$A$1:$B$27,2,FALSE)</f>
        <v>Food &amp;Beverage</v>
      </c>
    </row>
    <row r="2005" spans="1:7" x14ac:dyDescent="0.3">
      <c r="A2005" t="s">
        <v>30</v>
      </c>
      <c r="B2005">
        <v>2015</v>
      </c>
      <c r="C2005" t="s">
        <v>35</v>
      </c>
      <c r="D2005" s="2">
        <v>42036</v>
      </c>
      <c r="E2005" t="s">
        <v>6</v>
      </c>
      <c r="F2005">
        <v>125.8</v>
      </c>
      <c r="G2005" t="str">
        <f>VLOOKUP(Table1_2[[#This Row],[Categories]],Sheet3!$A$1:$B$27,2,FALSE)</f>
        <v>Food &amp;Beverage</v>
      </c>
    </row>
    <row r="2006" spans="1:7" x14ac:dyDescent="0.3">
      <c r="A2006" t="s">
        <v>30</v>
      </c>
      <c r="B2006">
        <v>2015</v>
      </c>
      <c r="C2006" t="s">
        <v>35</v>
      </c>
      <c r="D2006" s="2">
        <v>42036</v>
      </c>
      <c r="E2006" t="s">
        <v>7</v>
      </c>
      <c r="F2006">
        <v>111.5</v>
      </c>
      <c r="G2006" t="str">
        <f>VLOOKUP(Table1_2[[#This Row],[Categories]],Sheet3!$A$1:$B$27,2,FALSE)</f>
        <v>Food &amp;Beverage</v>
      </c>
    </row>
    <row r="2007" spans="1:7" x14ac:dyDescent="0.3">
      <c r="A2007" t="s">
        <v>30</v>
      </c>
      <c r="B2007">
        <v>2015</v>
      </c>
      <c r="C2007" t="s">
        <v>35</v>
      </c>
      <c r="D2007" s="2">
        <v>42036</v>
      </c>
      <c r="E2007" t="s">
        <v>8</v>
      </c>
      <c r="F2007">
        <v>129.4</v>
      </c>
      <c r="G2007" t="str">
        <f>VLOOKUP(Table1_2[[#This Row],[Categories]],Sheet3!$A$1:$B$27,2,FALSE)</f>
        <v>Food &amp;Beverage</v>
      </c>
    </row>
    <row r="2008" spans="1:7" x14ac:dyDescent="0.3">
      <c r="A2008" t="s">
        <v>30</v>
      </c>
      <c r="B2008">
        <v>2015</v>
      </c>
      <c r="C2008" t="s">
        <v>35</v>
      </c>
      <c r="D2008" s="2">
        <v>42036</v>
      </c>
      <c r="E2008" t="s">
        <v>9</v>
      </c>
      <c r="F2008">
        <v>128.19999999999999</v>
      </c>
      <c r="G2008" t="str">
        <f>VLOOKUP(Table1_2[[#This Row],[Categories]],Sheet3!$A$1:$B$27,2,FALSE)</f>
        <v>Food &amp;Beverage</v>
      </c>
    </row>
    <row r="2009" spans="1:7" x14ac:dyDescent="0.3">
      <c r="A2009" t="s">
        <v>30</v>
      </c>
      <c r="B2009">
        <v>2015</v>
      </c>
      <c r="C2009" t="s">
        <v>35</v>
      </c>
      <c r="D2009" s="2">
        <v>42036</v>
      </c>
      <c r="E2009" t="s">
        <v>10</v>
      </c>
      <c r="F2009">
        <v>118.8</v>
      </c>
      <c r="G2009" t="str">
        <f>VLOOKUP(Table1_2[[#This Row],[Categories]],Sheet3!$A$1:$B$27,2,FALSE)</f>
        <v>Food &amp;Beverage</v>
      </c>
    </row>
    <row r="2010" spans="1:7" x14ac:dyDescent="0.3">
      <c r="A2010" t="s">
        <v>30</v>
      </c>
      <c r="B2010">
        <v>2015</v>
      </c>
      <c r="C2010" t="s">
        <v>35</v>
      </c>
      <c r="D2010" s="2">
        <v>42036</v>
      </c>
      <c r="E2010" t="s">
        <v>11</v>
      </c>
      <c r="F2010">
        <v>100</v>
      </c>
      <c r="G2010" t="str">
        <f>VLOOKUP(Table1_2[[#This Row],[Categories]],Sheet3!$A$1:$B$27,2,FALSE)</f>
        <v>Food &amp;Beverage</v>
      </c>
    </row>
    <row r="2011" spans="1:7" x14ac:dyDescent="0.3">
      <c r="A2011" t="s">
        <v>30</v>
      </c>
      <c r="B2011">
        <v>2015</v>
      </c>
      <c r="C2011" t="s">
        <v>35</v>
      </c>
      <c r="D2011" s="2">
        <v>42036</v>
      </c>
      <c r="E2011" t="s">
        <v>12</v>
      </c>
      <c r="F2011">
        <v>118.6</v>
      </c>
      <c r="G2011" t="str">
        <f>VLOOKUP(Table1_2[[#This Row],[Categories]],Sheet3!$A$1:$B$27,2,FALSE)</f>
        <v>Food &amp;Beverage</v>
      </c>
    </row>
    <row r="2012" spans="1:7" x14ac:dyDescent="0.3">
      <c r="A2012" t="s">
        <v>30</v>
      </c>
      <c r="B2012">
        <v>2015</v>
      </c>
      <c r="C2012" t="s">
        <v>35</v>
      </c>
      <c r="D2012" s="2">
        <v>42036</v>
      </c>
      <c r="E2012" t="s">
        <v>13</v>
      </c>
      <c r="F2012">
        <v>118.8</v>
      </c>
      <c r="G2012" t="str">
        <f>VLOOKUP(Table1_2[[#This Row],[Categories]],Sheet3!$A$1:$B$27,2,FALSE)</f>
        <v>Food &amp;Beverage</v>
      </c>
    </row>
    <row r="2013" spans="1:7" x14ac:dyDescent="0.3">
      <c r="A2013" t="s">
        <v>30</v>
      </c>
      <c r="B2013">
        <v>2015</v>
      </c>
      <c r="C2013" t="s">
        <v>35</v>
      </c>
      <c r="D2013" s="2">
        <v>42036</v>
      </c>
      <c r="E2013" t="s">
        <v>14</v>
      </c>
      <c r="F2013">
        <v>126.8</v>
      </c>
      <c r="G2013" t="str">
        <f>VLOOKUP(Table1_2[[#This Row],[Categories]],Sheet3!$A$1:$B$27,2,FALSE)</f>
        <v>Food &amp;Beverage</v>
      </c>
    </row>
    <row r="2014" spans="1:7" x14ac:dyDescent="0.3">
      <c r="A2014" t="s">
        <v>30</v>
      </c>
      <c r="B2014">
        <v>2015</v>
      </c>
      <c r="C2014" t="s">
        <v>35</v>
      </c>
      <c r="D2014" s="2">
        <v>42036</v>
      </c>
      <c r="E2014" t="s">
        <v>15</v>
      </c>
      <c r="F2014">
        <v>122.8</v>
      </c>
      <c r="G2014" t="str">
        <f>VLOOKUP(Table1_2[[#This Row],[Categories]],Sheet3!$A$1:$B$27,2,FALSE)</f>
        <v>Food &amp;Beverage</v>
      </c>
    </row>
    <row r="2015" spans="1:7" x14ac:dyDescent="0.3">
      <c r="A2015" t="s">
        <v>30</v>
      </c>
      <c r="B2015">
        <v>2015</v>
      </c>
      <c r="C2015" t="s">
        <v>35</v>
      </c>
      <c r="D2015" s="2">
        <v>42036</v>
      </c>
      <c r="E2015" t="s">
        <v>16</v>
      </c>
      <c r="F2015">
        <v>124.2</v>
      </c>
      <c r="G2015" t="str">
        <f>VLOOKUP(Table1_2[[#This Row],[Categories]],Sheet3!$A$1:$B$27,2,FALSE)</f>
        <v>Recreation and amusement</v>
      </c>
    </row>
    <row r="2016" spans="1:7" x14ac:dyDescent="0.3">
      <c r="A2016" t="s">
        <v>30</v>
      </c>
      <c r="B2016">
        <v>2015</v>
      </c>
      <c r="C2016" t="s">
        <v>35</v>
      </c>
      <c r="D2016" s="2">
        <v>42036</v>
      </c>
      <c r="E2016" t="s">
        <v>17</v>
      </c>
      <c r="F2016">
        <v>125.4</v>
      </c>
      <c r="G2016" t="str">
        <f>VLOOKUP(Table1_2[[#This Row],[Categories]],Sheet3!$A$1:$B$27,2,FALSE)</f>
        <v>Clothing and footwear</v>
      </c>
    </row>
    <row r="2017" spans="1:7" x14ac:dyDescent="0.3">
      <c r="A2017" t="s">
        <v>30</v>
      </c>
      <c r="B2017">
        <v>2015</v>
      </c>
      <c r="C2017" t="s">
        <v>35</v>
      </c>
      <c r="D2017" s="2">
        <v>42036</v>
      </c>
      <c r="E2017" t="s">
        <v>18</v>
      </c>
      <c r="F2017">
        <v>122.7</v>
      </c>
      <c r="G2017" t="str">
        <f>VLOOKUP(Table1_2[[#This Row],[Categories]],Sheet3!$A$1:$B$27,2,FALSE)</f>
        <v>Clothing and footwear</v>
      </c>
    </row>
    <row r="2018" spans="1:7" x14ac:dyDescent="0.3">
      <c r="A2018" t="s">
        <v>30</v>
      </c>
      <c r="B2018">
        <v>2015</v>
      </c>
      <c r="C2018" t="s">
        <v>35</v>
      </c>
      <c r="D2018" s="2">
        <v>42036</v>
      </c>
      <c r="E2018" t="s">
        <v>19</v>
      </c>
      <c r="F2018">
        <v>125</v>
      </c>
      <c r="G2018" t="str">
        <f>VLOOKUP(Table1_2[[#This Row],[Categories]],Sheet3!$A$1:$B$27,2,FALSE)</f>
        <v>Clothing and footwear</v>
      </c>
    </row>
    <row r="2019" spans="1:7" x14ac:dyDescent="0.3">
      <c r="A2019" t="s">
        <v>30</v>
      </c>
      <c r="B2019">
        <v>2015</v>
      </c>
      <c r="C2019" t="s">
        <v>35</v>
      </c>
      <c r="D2019" s="2">
        <v>42036</v>
      </c>
      <c r="E2019" t="s">
        <v>21</v>
      </c>
      <c r="F2019">
        <v>120</v>
      </c>
      <c r="G2019" t="str">
        <f>VLOOKUP(Table1_2[[#This Row],[Categories]],Sheet3!$A$1:$B$27,2,FALSE)</f>
        <v>Fuel and light</v>
      </c>
    </row>
    <row r="2020" spans="1:7" x14ac:dyDescent="0.3">
      <c r="A2020" t="s">
        <v>30</v>
      </c>
      <c r="B2020">
        <v>2015</v>
      </c>
      <c r="C2020" t="s">
        <v>35</v>
      </c>
      <c r="D2020" s="2">
        <v>42036</v>
      </c>
      <c r="E2020" t="s">
        <v>22</v>
      </c>
      <c r="F2020">
        <v>119.6</v>
      </c>
      <c r="G2020" t="str">
        <f>VLOOKUP(Table1_2[[#This Row],[Categories]],Sheet3!$A$1:$B$27,2,FALSE)</f>
        <v>Household Items</v>
      </c>
    </row>
    <row r="2021" spans="1:7" x14ac:dyDescent="0.3">
      <c r="A2021" t="s">
        <v>30</v>
      </c>
      <c r="B2021">
        <v>2015</v>
      </c>
      <c r="C2021" t="s">
        <v>35</v>
      </c>
      <c r="D2021" s="2">
        <v>42036</v>
      </c>
      <c r="E2021" t="s">
        <v>23</v>
      </c>
      <c r="F2021">
        <v>117.7</v>
      </c>
      <c r="G2021" t="str">
        <f>VLOOKUP(Table1_2[[#This Row],[Categories]],Sheet3!$A$1:$B$27,2,FALSE)</f>
        <v>Health</v>
      </c>
    </row>
    <row r="2022" spans="1:7" x14ac:dyDescent="0.3">
      <c r="A2022" t="s">
        <v>30</v>
      </c>
      <c r="B2022">
        <v>2015</v>
      </c>
      <c r="C2022" t="s">
        <v>35</v>
      </c>
      <c r="D2022" s="2">
        <v>42036</v>
      </c>
      <c r="E2022" t="s">
        <v>24</v>
      </c>
      <c r="F2022">
        <v>110.9</v>
      </c>
      <c r="G2022" t="str">
        <f>VLOOKUP(Table1_2[[#This Row],[Categories]],Sheet3!$A$1:$B$27,2,FALSE)</f>
        <v>Transport and communication</v>
      </c>
    </row>
    <row r="2023" spans="1:7" x14ac:dyDescent="0.3">
      <c r="A2023" t="s">
        <v>30</v>
      </c>
      <c r="B2023">
        <v>2015</v>
      </c>
      <c r="C2023" t="s">
        <v>35</v>
      </c>
      <c r="D2023" s="2">
        <v>42036</v>
      </c>
      <c r="E2023" t="s">
        <v>25</v>
      </c>
      <c r="F2023">
        <v>114.8</v>
      </c>
      <c r="G2023" t="str">
        <f>VLOOKUP(Table1_2[[#This Row],[Categories]],Sheet3!$A$1:$B$27,2,FALSE)</f>
        <v>Recreation and amusement</v>
      </c>
    </row>
    <row r="2024" spans="1:7" x14ac:dyDescent="0.3">
      <c r="A2024" t="s">
        <v>30</v>
      </c>
      <c r="B2024">
        <v>2015</v>
      </c>
      <c r="C2024" t="s">
        <v>35</v>
      </c>
      <c r="D2024" s="2">
        <v>42036</v>
      </c>
      <c r="E2024" t="s">
        <v>26</v>
      </c>
      <c r="F2024">
        <v>118.7</v>
      </c>
      <c r="G2024" t="str">
        <f>VLOOKUP(Table1_2[[#This Row],[Categories]],Sheet3!$A$1:$B$27,2,FALSE)</f>
        <v>Education</v>
      </c>
    </row>
    <row r="2025" spans="1:7" x14ac:dyDescent="0.3">
      <c r="A2025" t="s">
        <v>30</v>
      </c>
      <c r="B2025">
        <v>2015</v>
      </c>
      <c r="C2025" t="s">
        <v>35</v>
      </c>
      <c r="D2025" s="2">
        <v>42036</v>
      </c>
      <c r="E2025" t="s">
        <v>27</v>
      </c>
      <c r="F2025">
        <v>110.8</v>
      </c>
      <c r="G2025" t="str">
        <f>VLOOKUP(Table1_2[[#This Row],[Categories]],Sheet3!$A$1:$B$27,2,FALSE)</f>
        <v>Household Items</v>
      </c>
    </row>
    <row r="2026" spans="1:7" x14ac:dyDescent="0.3">
      <c r="A2026" t="s">
        <v>30</v>
      </c>
      <c r="B2026">
        <v>2015</v>
      </c>
      <c r="C2026" t="s">
        <v>35</v>
      </c>
      <c r="D2026" s="2">
        <v>42036</v>
      </c>
      <c r="E2026" t="s">
        <v>28</v>
      </c>
      <c r="F2026">
        <v>115</v>
      </c>
      <c r="G2026" t="str">
        <f>VLOOKUP(Table1_2[[#This Row],[Categories]],Sheet3!$A$1:$B$27,2,FALSE)</f>
        <v>Miscellaneous</v>
      </c>
    </row>
    <row r="2027" spans="1:7" x14ac:dyDescent="0.3">
      <c r="A2027" t="s">
        <v>30</v>
      </c>
      <c r="B2027">
        <v>2015</v>
      </c>
      <c r="C2027" t="s">
        <v>35</v>
      </c>
      <c r="D2027" s="2">
        <v>42036</v>
      </c>
      <c r="E2027" t="s">
        <v>29</v>
      </c>
      <c r="F2027">
        <v>120.6</v>
      </c>
      <c r="G2027" t="str">
        <f>VLOOKUP(Table1_2[[#This Row],[Categories]],Sheet3!$A$1:$B$27,2,FALSE)</f>
        <v>General index</v>
      </c>
    </row>
    <row r="2028" spans="1:7" x14ac:dyDescent="0.3">
      <c r="A2028" t="s">
        <v>33</v>
      </c>
      <c r="B2028">
        <v>2015</v>
      </c>
      <c r="C2028" t="s">
        <v>35</v>
      </c>
      <c r="D2028" s="2">
        <v>42036</v>
      </c>
      <c r="E2028" t="s">
        <v>3</v>
      </c>
      <c r="F2028">
        <v>124.3</v>
      </c>
      <c r="G2028" t="str">
        <f>VLOOKUP(Table1_2[[#This Row],[Categories]],Sheet3!$A$1:$B$27,2,FALSE)</f>
        <v>Food &amp;Beverage</v>
      </c>
    </row>
    <row r="2029" spans="1:7" x14ac:dyDescent="0.3">
      <c r="A2029" t="s">
        <v>33</v>
      </c>
      <c r="B2029">
        <v>2015</v>
      </c>
      <c r="C2029" t="s">
        <v>35</v>
      </c>
      <c r="D2029" s="2">
        <v>42036</v>
      </c>
      <c r="E2029" t="s">
        <v>4</v>
      </c>
      <c r="F2029">
        <v>126.5</v>
      </c>
      <c r="G2029" t="str">
        <f>VLOOKUP(Table1_2[[#This Row],[Categories]],Sheet3!$A$1:$B$27,2,FALSE)</f>
        <v>Food &amp;Beverage</v>
      </c>
    </row>
    <row r="2030" spans="1:7" x14ac:dyDescent="0.3">
      <c r="A2030" t="s">
        <v>33</v>
      </c>
      <c r="B2030">
        <v>2015</v>
      </c>
      <c r="C2030" t="s">
        <v>35</v>
      </c>
      <c r="D2030" s="2">
        <v>42036</v>
      </c>
      <c r="E2030" t="s">
        <v>5</v>
      </c>
      <c r="F2030">
        <v>119.5</v>
      </c>
      <c r="G2030" t="str">
        <f>VLOOKUP(Table1_2[[#This Row],[Categories]],Sheet3!$A$1:$B$27,2,FALSE)</f>
        <v>Food &amp;Beverage</v>
      </c>
    </row>
    <row r="2031" spans="1:7" x14ac:dyDescent="0.3">
      <c r="A2031" t="s">
        <v>33</v>
      </c>
      <c r="B2031">
        <v>2015</v>
      </c>
      <c r="C2031" t="s">
        <v>35</v>
      </c>
      <c r="D2031" s="2">
        <v>42036</v>
      </c>
      <c r="E2031" t="s">
        <v>6</v>
      </c>
      <c r="F2031">
        <v>125.6</v>
      </c>
      <c r="G2031" t="str">
        <f>VLOOKUP(Table1_2[[#This Row],[Categories]],Sheet3!$A$1:$B$27,2,FALSE)</f>
        <v>Food &amp;Beverage</v>
      </c>
    </row>
    <row r="2032" spans="1:7" x14ac:dyDescent="0.3">
      <c r="A2032" t="s">
        <v>33</v>
      </c>
      <c r="B2032">
        <v>2015</v>
      </c>
      <c r="C2032" t="s">
        <v>35</v>
      </c>
      <c r="D2032" s="2">
        <v>42036</v>
      </c>
      <c r="E2032" t="s">
        <v>7</v>
      </c>
      <c r="F2032">
        <v>104.9</v>
      </c>
      <c r="G2032" t="str">
        <f>VLOOKUP(Table1_2[[#This Row],[Categories]],Sheet3!$A$1:$B$27,2,FALSE)</f>
        <v>Food &amp;Beverage</v>
      </c>
    </row>
    <row r="2033" spans="1:7" x14ac:dyDescent="0.3">
      <c r="A2033" t="s">
        <v>33</v>
      </c>
      <c r="B2033">
        <v>2015</v>
      </c>
      <c r="C2033" t="s">
        <v>35</v>
      </c>
      <c r="D2033" s="2">
        <v>42036</v>
      </c>
      <c r="E2033" t="s">
        <v>8</v>
      </c>
      <c r="F2033">
        <v>121.6</v>
      </c>
      <c r="G2033" t="str">
        <f>VLOOKUP(Table1_2[[#This Row],[Categories]],Sheet3!$A$1:$B$27,2,FALSE)</f>
        <v>Food &amp;Beverage</v>
      </c>
    </row>
    <row r="2034" spans="1:7" x14ac:dyDescent="0.3">
      <c r="A2034" t="s">
        <v>33</v>
      </c>
      <c r="B2034">
        <v>2015</v>
      </c>
      <c r="C2034" t="s">
        <v>35</v>
      </c>
      <c r="D2034" s="2">
        <v>42036</v>
      </c>
      <c r="E2034" t="s">
        <v>9</v>
      </c>
      <c r="F2034">
        <v>131.80000000000001</v>
      </c>
      <c r="G2034" t="str">
        <f>VLOOKUP(Table1_2[[#This Row],[Categories]],Sheet3!$A$1:$B$27,2,FALSE)</f>
        <v>Food &amp;Beverage</v>
      </c>
    </row>
    <row r="2035" spans="1:7" x14ac:dyDescent="0.3">
      <c r="A2035" t="s">
        <v>33</v>
      </c>
      <c r="B2035">
        <v>2015</v>
      </c>
      <c r="C2035" t="s">
        <v>35</v>
      </c>
      <c r="D2035" s="2">
        <v>42036</v>
      </c>
      <c r="E2035" t="s">
        <v>10</v>
      </c>
      <c r="F2035">
        <v>125.1</v>
      </c>
      <c r="G2035" t="str">
        <f>VLOOKUP(Table1_2[[#This Row],[Categories]],Sheet3!$A$1:$B$27,2,FALSE)</f>
        <v>Food &amp;Beverage</v>
      </c>
    </row>
    <row r="2036" spans="1:7" x14ac:dyDescent="0.3">
      <c r="A2036" t="s">
        <v>33</v>
      </c>
      <c r="B2036">
        <v>2015</v>
      </c>
      <c r="C2036" t="s">
        <v>35</v>
      </c>
      <c r="D2036" s="2">
        <v>42036</v>
      </c>
      <c r="E2036" t="s">
        <v>11</v>
      </c>
      <c r="F2036">
        <v>95</v>
      </c>
      <c r="G2036" t="str">
        <f>VLOOKUP(Table1_2[[#This Row],[Categories]],Sheet3!$A$1:$B$27,2,FALSE)</f>
        <v>Food &amp;Beverage</v>
      </c>
    </row>
    <row r="2037" spans="1:7" x14ac:dyDescent="0.3">
      <c r="A2037" t="s">
        <v>33</v>
      </c>
      <c r="B2037">
        <v>2015</v>
      </c>
      <c r="C2037" t="s">
        <v>35</v>
      </c>
      <c r="D2037" s="2">
        <v>42036</v>
      </c>
      <c r="E2037" t="s">
        <v>12</v>
      </c>
      <c r="F2037">
        <v>127.7</v>
      </c>
      <c r="G2037" t="str">
        <f>VLOOKUP(Table1_2[[#This Row],[Categories]],Sheet3!$A$1:$B$27,2,FALSE)</f>
        <v>Food &amp;Beverage</v>
      </c>
    </row>
    <row r="2038" spans="1:7" x14ac:dyDescent="0.3">
      <c r="A2038" t="s">
        <v>33</v>
      </c>
      <c r="B2038">
        <v>2015</v>
      </c>
      <c r="C2038" t="s">
        <v>35</v>
      </c>
      <c r="D2038" s="2">
        <v>42036</v>
      </c>
      <c r="E2038" t="s">
        <v>13</v>
      </c>
      <c r="F2038">
        <v>116.8</v>
      </c>
      <c r="G2038" t="str">
        <f>VLOOKUP(Table1_2[[#This Row],[Categories]],Sheet3!$A$1:$B$27,2,FALSE)</f>
        <v>Food &amp;Beverage</v>
      </c>
    </row>
    <row r="2039" spans="1:7" x14ac:dyDescent="0.3">
      <c r="A2039" t="s">
        <v>33</v>
      </c>
      <c r="B2039">
        <v>2015</v>
      </c>
      <c r="C2039" t="s">
        <v>35</v>
      </c>
      <c r="D2039" s="2">
        <v>42036</v>
      </c>
      <c r="E2039" t="s">
        <v>14</v>
      </c>
      <c r="F2039">
        <v>128.6</v>
      </c>
      <c r="G2039" t="str">
        <f>VLOOKUP(Table1_2[[#This Row],[Categories]],Sheet3!$A$1:$B$27,2,FALSE)</f>
        <v>Food &amp;Beverage</v>
      </c>
    </row>
    <row r="2040" spans="1:7" x14ac:dyDescent="0.3">
      <c r="A2040" t="s">
        <v>33</v>
      </c>
      <c r="B2040">
        <v>2015</v>
      </c>
      <c r="C2040" t="s">
        <v>35</v>
      </c>
      <c r="D2040" s="2">
        <v>42036</v>
      </c>
      <c r="E2040" t="s">
        <v>15</v>
      </c>
      <c r="F2040">
        <v>123.7</v>
      </c>
      <c r="G2040" t="str">
        <f>VLOOKUP(Table1_2[[#This Row],[Categories]],Sheet3!$A$1:$B$27,2,FALSE)</f>
        <v>Food &amp;Beverage</v>
      </c>
    </row>
    <row r="2041" spans="1:7" x14ac:dyDescent="0.3">
      <c r="A2041" t="s">
        <v>33</v>
      </c>
      <c r="B2041">
        <v>2015</v>
      </c>
      <c r="C2041" t="s">
        <v>35</v>
      </c>
      <c r="D2041" s="2">
        <v>42036</v>
      </c>
      <c r="E2041" t="s">
        <v>16</v>
      </c>
      <c r="F2041">
        <v>128.1</v>
      </c>
      <c r="G2041" t="str">
        <f>VLOOKUP(Table1_2[[#This Row],[Categories]],Sheet3!$A$1:$B$27,2,FALSE)</f>
        <v>Recreation and amusement</v>
      </c>
    </row>
    <row r="2042" spans="1:7" x14ac:dyDescent="0.3">
      <c r="A2042" t="s">
        <v>33</v>
      </c>
      <c r="B2042">
        <v>2015</v>
      </c>
      <c r="C2042" t="s">
        <v>35</v>
      </c>
      <c r="D2042" s="2">
        <v>42036</v>
      </c>
      <c r="E2042" t="s">
        <v>17</v>
      </c>
      <c r="F2042">
        <v>121.3</v>
      </c>
      <c r="G2042" t="str">
        <f>VLOOKUP(Table1_2[[#This Row],[Categories]],Sheet3!$A$1:$B$27,2,FALSE)</f>
        <v>Clothing and footwear</v>
      </c>
    </row>
    <row r="2043" spans="1:7" x14ac:dyDescent="0.3">
      <c r="A2043" t="s">
        <v>33</v>
      </c>
      <c r="B2043">
        <v>2015</v>
      </c>
      <c r="C2043" t="s">
        <v>35</v>
      </c>
      <c r="D2043" s="2">
        <v>42036</v>
      </c>
      <c r="E2043" t="s">
        <v>18</v>
      </c>
      <c r="F2043">
        <v>116.5</v>
      </c>
      <c r="G2043" t="str">
        <f>VLOOKUP(Table1_2[[#This Row],[Categories]],Sheet3!$A$1:$B$27,2,FALSE)</f>
        <v>Clothing and footwear</v>
      </c>
    </row>
    <row r="2044" spans="1:7" x14ac:dyDescent="0.3">
      <c r="A2044" t="s">
        <v>33</v>
      </c>
      <c r="B2044">
        <v>2015</v>
      </c>
      <c r="C2044" t="s">
        <v>35</v>
      </c>
      <c r="D2044" s="2">
        <v>42036</v>
      </c>
      <c r="E2044" t="s">
        <v>19</v>
      </c>
      <c r="F2044">
        <v>120.6</v>
      </c>
      <c r="G2044" t="str">
        <f>VLOOKUP(Table1_2[[#This Row],[Categories]],Sheet3!$A$1:$B$27,2,FALSE)</f>
        <v>Clothing and footwear</v>
      </c>
    </row>
    <row r="2045" spans="1:7" x14ac:dyDescent="0.3">
      <c r="A2045" t="s">
        <v>33</v>
      </c>
      <c r="B2045">
        <v>2015</v>
      </c>
      <c r="C2045" t="s">
        <v>35</v>
      </c>
      <c r="D2045" s="2">
        <v>42036</v>
      </c>
      <c r="E2045" t="s">
        <v>20</v>
      </c>
      <c r="F2045">
        <v>118.1</v>
      </c>
      <c r="G2045" t="str">
        <f>VLOOKUP(Table1_2[[#This Row],[Categories]],Sheet3!$A$1:$B$27,2,FALSE)</f>
        <v>Housing</v>
      </c>
    </row>
    <row r="2046" spans="1:7" x14ac:dyDescent="0.3">
      <c r="A2046" t="s">
        <v>33</v>
      </c>
      <c r="B2046">
        <v>2015</v>
      </c>
      <c r="C2046" t="s">
        <v>35</v>
      </c>
      <c r="D2046" s="2">
        <v>42036</v>
      </c>
      <c r="E2046" t="s">
        <v>21</v>
      </c>
      <c r="F2046">
        <v>114</v>
      </c>
      <c r="G2046" t="str">
        <f>VLOOKUP(Table1_2[[#This Row],[Categories]],Sheet3!$A$1:$B$27,2,FALSE)</f>
        <v>Fuel and light</v>
      </c>
    </row>
    <row r="2047" spans="1:7" x14ac:dyDescent="0.3">
      <c r="A2047" t="s">
        <v>33</v>
      </c>
      <c r="B2047">
        <v>2015</v>
      </c>
      <c r="C2047" t="s">
        <v>35</v>
      </c>
      <c r="D2047" s="2">
        <v>42036</v>
      </c>
      <c r="E2047" t="s">
        <v>22</v>
      </c>
      <c r="F2047">
        <v>117.7</v>
      </c>
      <c r="G2047" t="str">
        <f>VLOOKUP(Table1_2[[#This Row],[Categories]],Sheet3!$A$1:$B$27,2,FALSE)</f>
        <v>Household Items</v>
      </c>
    </row>
    <row r="2048" spans="1:7" x14ac:dyDescent="0.3">
      <c r="A2048" t="s">
        <v>33</v>
      </c>
      <c r="B2048">
        <v>2015</v>
      </c>
      <c r="C2048" t="s">
        <v>35</v>
      </c>
      <c r="D2048" s="2">
        <v>42036</v>
      </c>
      <c r="E2048" t="s">
        <v>23</v>
      </c>
      <c r="F2048">
        <v>114.1</v>
      </c>
      <c r="G2048" t="str">
        <f>VLOOKUP(Table1_2[[#This Row],[Categories]],Sheet3!$A$1:$B$27,2,FALSE)</f>
        <v>Health</v>
      </c>
    </row>
    <row r="2049" spans="1:7" x14ac:dyDescent="0.3">
      <c r="A2049" t="s">
        <v>33</v>
      </c>
      <c r="B2049">
        <v>2015</v>
      </c>
      <c r="C2049" t="s">
        <v>35</v>
      </c>
      <c r="D2049" s="2">
        <v>42036</v>
      </c>
      <c r="E2049" t="s">
        <v>24</v>
      </c>
      <c r="F2049">
        <v>106.8</v>
      </c>
      <c r="G2049" t="str">
        <f>VLOOKUP(Table1_2[[#This Row],[Categories]],Sheet3!$A$1:$B$27,2,FALSE)</f>
        <v>Transport and communication</v>
      </c>
    </row>
    <row r="2050" spans="1:7" x14ac:dyDescent="0.3">
      <c r="A2050" t="s">
        <v>33</v>
      </c>
      <c r="B2050">
        <v>2015</v>
      </c>
      <c r="C2050" t="s">
        <v>35</v>
      </c>
      <c r="D2050" s="2">
        <v>42036</v>
      </c>
      <c r="E2050" t="s">
        <v>25</v>
      </c>
      <c r="F2050">
        <v>114.9</v>
      </c>
      <c r="G2050" t="str">
        <f>VLOOKUP(Table1_2[[#This Row],[Categories]],Sheet3!$A$1:$B$27,2,FALSE)</f>
        <v>Recreation and amusement</v>
      </c>
    </row>
    <row r="2051" spans="1:7" x14ac:dyDescent="0.3">
      <c r="A2051" t="s">
        <v>33</v>
      </c>
      <c r="B2051">
        <v>2015</v>
      </c>
      <c r="C2051" t="s">
        <v>35</v>
      </c>
      <c r="D2051" s="2">
        <v>42036</v>
      </c>
      <c r="E2051" t="s">
        <v>26</v>
      </c>
      <c r="F2051">
        <v>120.4</v>
      </c>
      <c r="G2051" t="str">
        <f>VLOOKUP(Table1_2[[#This Row],[Categories]],Sheet3!$A$1:$B$27,2,FALSE)</f>
        <v>Education</v>
      </c>
    </row>
    <row r="2052" spans="1:7" x14ac:dyDescent="0.3">
      <c r="A2052" t="s">
        <v>33</v>
      </c>
      <c r="B2052">
        <v>2015</v>
      </c>
      <c r="C2052" t="s">
        <v>35</v>
      </c>
      <c r="D2052" s="2">
        <v>42036</v>
      </c>
      <c r="E2052" t="s">
        <v>27</v>
      </c>
      <c r="F2052">
        <v>111.7</v>
      </c>
      <c r="G2052" t="str">
        <f>VLOOKUP(Table1_2[[#This Row],[Categories]],Sheet3!$A$1:$B$27,2,FALSE)</f>
        <v>Household Items</v>
      </c>
    </row>
    <row r="2053" spans="1:7" x14ac:dyDescent="0.3">
      <c r="A2053" t="s">
        <v>33</v>
      </c>
      <c r="B2053">
        <v>2015</v>
      </c>
      <c r="C2053" t="s">
        <v>35</v>
      </c>
      <c r="D2053" s="2">
        <v>42036</v>
      </c>
      <c r="E2053" t="s">
        <v>28</v>
      </c>
      <c r="F2053">
        <v>113.2</v>
      </c>
      <c r="G2053" t="str">
        <f>VLOOKUP(Table1_2[[#This Row],[Categories]],Sheet3!$A$1:$B$27,2,FALSE)</f>
        <v>Miscellaneous</v>
      </c>
    </row>
    <row r="2054" spans="1:7" x14ac:dyDescent="0.3">
      <c r="A2054" t="s">
        <v>33</v>
      </c>
      <c r="B2054">
        <v>2015</v>
      </c>
      <c r="C2054" t="s">
        <v>35</v>
      </c>
      <c r="D2054" s="2">
        <v>42036</v>
      </c>
      <c r="E2054" t="s">
        <v>29</v>
      </c>
      <c r="F2054">
        <v>118.7</v>
      </c>
      <c r="G2054" t="str">
        <f>VLOOKUP(Table1_2[[#This Row],[Categories]],Sheet3!$A$1:$B$27,2,FALSE)</f>
        <v>General index</v>
      </c>
    </row>
    <row r="2055" spans="1:7" x14ac:dyDescent="0.3">
      <c r="A2055" t="s">
        <v>34</v>
      </c>
      <c r="B2055">
        <v>2015</v>
      </c>
      <c r="C2055" t="s">
        <v>35</v>
      </c>
      <c r="D2055" s="2">
        <v>42036</v>
      </c>
      <c r="E2055" t="s">
        <v>3</v>
      </c>
      <c r="F2055">
        <v>123.7</v>
      </c>
      <c r="G2055" t="str">
        <f>VLOOKUP(Table1_2[[#This Row],[Categories]],Sheet3!$A$1:$B$27,2,FALSE)</f>
        <v>Food &amp;Beverage</v>
      </c>
    </row>
    <row r="2056" spans="1:7" x14ac:dyDescent="0.3">
      <c r="A2056" t="s">
        <v>34</v>
      </c>
      <c r="B2056">
        <v>2015</v>
      </c>
      <c r="C2056" t="s">
        <v>35</v>
      </c>
      <c r="D2056" s="2">
        <v>42036</v>
      </c>
      <c r="E2056" t="s">
        <v>4</v>
      </c>
      <c r="F2056">
        <v>125.1</v>
      </c>
      <c r="G2056" t="str">
        <f>VLOOKUP(Table1_2[[#This Row],[Categories]],Sheet3!$A$1:$B$27,2,FALSE)</f>
        <v>Food &amp;Beverage</v>
      </c>
    </row>
    <row r="2057" spans="1:7" x14ac:dyDescent="0.3">
      <c r="A2057" t="s">
        <v>34</v>
      </c>
      <c r="B2057">
        <v>2015</v>
      </c>
      <c r="C2057" t="s">
        <v>35</v>
      </c>
      <c r="D2057" s="2">
        <v>42036</v>
      </c>
      <c r="E2057" t="s">
        <v>5</v>
      </c>
      <c r="F2057">
        <v>121.1</v>
      </c>
      <c r="G2057" t="str">
        <f>VLOOKUP(Table1_2[[#This Row],[Categories]],Sheet3!$A$1:$B$27,2,FALSE)</f>
        <v>Food &amp;Beverage</v>
      </c>
    </row>
    <row r="2058" spans="1:7" x14ac:dyDescent="0.3">
      <c r="A2058" t="s">
        <v>34</v>
      </c>
      <c r="B2058">
        <v>2015</v>
      </c>
      <c r="C2058" t="s">
        <v>35</v>
      </c>
      <c r="D2058" s="2">
        <v>42036</v>
      </c>
      <c r="E2058" t="s">
        <v>6</v>
      </c>
      <c r="F2058">
        <v>125.7</v>
      </c>
      <c r="G2058" t="str">
        <f>VLOOKUP(Table1_2[[#This Row],[Categories]],Sheet3!$A$1:$B$27,2,FALSE)</f>
        <v>Food &amp;Beverage</v>
      </c>
    </row>
    <row r="2059" spans="1:7" x14ac:dyDescent="0.3">
      <c r="A2059" t="s">
        <v>34</v>
      </c>
      <c r="B2059">
        <v>2015</v>
      </c>
      <c r="C2059" t="s">
        <v>35</v>
      </c>
      <c r="D2059" s="2">
        <v>42036</v>
      </c>
      <c r="E2059" t="s">
        <v>7</v>
      </c>
      <c r="F2059">
        <v>109.1</v>
      </c>
      <c r="G2059" t="str">
        <f>VLOOKUP(Table1_2[[#This Row],[Categories]],Sheet3!$A$1:$B$27,2,FALSE)</f>
        <v>Food &amp;Beverage</v>
      </c>
    </row>
    <row r="2060" spans="1:7" x14ac:dyDescent="0.3">
      <c r="A2060" t="s">
        <v>34</v>
      </c>
      <c r="B2060">
        <v>2015</v>
      </c>
      <c r="C2060" t="s">
        <v>35</v>
      </c>
      <c r="D2060" s="2">
        <v>42036</v>
      </c>
      <c r="E2060" t="s">
        <v>8</v>
      </c>
      <c r="F2060">
        <v>125.8</v>
      </c>
      <c r="G2060" t="str">
        <f>VLOOKUP(Table1_2[[#This Row],[Categories]],Sheet3!$A$1:$B$27,2,FALSE)</f>
        <v>Food &amp;Beverage</v>
      </c>
    </row>
    <row r="2061" spans="1:7" x14ac:dyDescent="0.3">
      <c r="A2061" t="s">
        <v>34</v>
      </c>
      <c r="B2061">
        <v>2015</v>
      </c>
      <c r="C2061" t="s">
        <v>35</v>
      </c>
      <c r="D2061" s="2">
        <v>42036</v>
      </c>
      <c r="E2061" t="s">
        <v>9</v>
      </c>
      <c r="F2061">
        <v>129.4</v>
      </c>
      <c r="G2061" t="str">
        <f>VLOOKUP(Table1_2[[#This Row],[Categories]],Sheet3!$A$1:$B$27,2,FALSE)</f>
        <v>Food &amp;Beverage</v>
      </c>
    </row>
    <row r="2062" spans="1:7" x14ac:dyDescent="0.3">
      <c r="A2062" t="s">
        <v>34</v>
      </c>
      <c r="B2062">
        <v>2015</v>
      </c>
      <c r="C2062" t="s">
        <v>35</v>
      </c>
      <c r="D2062" s="2">
        <v>42036</v>
      </c>
      <c r="E2062" t="s">
        <v>10</v>
      </c>
      <c r="F2062">
        <v>120.9</v>
      </c>
      <c r="G2062" t="str">
        <f>VLOOKUP(Table1_2[[#This Row],[Categories]],Sheet3!$A$1:$B$27,2,FALSE)</f>
        <v>Food &amp;Beverage</v>
      </c>
    </row>
    <row r="2063" spans="1:7" x14ac:dyDescent="0.3">
      <c r="A2063" t="s">
        <v>34</v>
      </c>
      <c r="B2063">
        <v>2015</v>
      </c>
      <c r="C2063" t="s">
        <v>35</v>
      </c>
      <c r="D2063" s="2">
        <v>42036</v>
      </c>
      <c r="E2063" t="s">
        <v>11</v>
      </c>
      <c r="F2063">
        <v>98.3</v>
      </c>
      <c r="G2063" t="str">
        <f>VLOOKUP(Table1_2[[#This Row],[Categories]],Sheet3!$A$1:$B$27,2,FALSE)</f>
        <v>Food &amp;Beverage</v>
      </c>
    </row>
    <row r="2064" spans="1:7" x14ac:dyDescent="0.3">
      <c r="A2064" t="s">
        <v>34</v>
      </c>
      <c r="B2064">
        <v>2015</v>
      </c>
      <c r="C2064" t="s">
        <v>35</v>
      </c>
      <c r="D2064" s="2">
        <v>42036</v>
      </c>
      <c r="E2064" t="s">
        <v>12</v>
      </c>
      <c r="F2064">
        <v>121.6</v>
      </c>
      <c r="G2064" t="str">
        <f>VLOOKUP(Table1_2[[#This Row],[Categories]],Sheet3!$A$1:$B$27,2,FALSE)</f>
        <v>Food &amp;Beverage</v>
      </c>
    </row>
    <row r="2065" spans="1:7" x14ac:dyDescent="0.3">
      <c r="A2065" t="s">
        <v>34</v>
      </c>
      <c r="B2065">
        <v>2015</v>
      </c>
      <c r="C2065" t="s">
        <v>35</v>
      </c>
      <c r="D2065" s="2">
        <v>42036</v>
      </c>
      <c r="E2065" t="s">
        <v>13</v>
      </c>
      <c r="F2065">
        <v>118</v>
      </c>
      <c r="G2065" t="str">
        <f>VLOOKUP(Table1_2[[#This Row],[Categories]],Sheet3!$A$1:$B$27,2,FALSE)</f>
        <v>Food &amp;Beverage</v>
      </c>
    </row>
    <row r="2066" spans="1:7" x14ac:dyDescent="0.3">
      <c r="A2066" t="s">
        <v>34</v>
      </c>
      <c r="B2066">
        <v>2015</v>
      </c>
      <c r="C2066" t="s">
        <v>35</v>
      </c>
      <c r="D2066" s="2">
        <v>42036</v>
      </c>
      <c r="E2066" t="s">
        <v>14</v>
      </c>
      <c r="F2066">
        <v>127.6</v>
      </c>
      <c r="G2066" t="str">
        <f>VLOOKUP(Table1_2[[#This Row],[Categories]],Sheet3!$A$1:$B$27,2,FALSE)</f>
        <v>Food &amp;Beverage</v>
      </c>
    </row>
    <row r="2067" spans="1:7" x14ac:dyDescent="0.3">
      <c r="A2067" t="s">
        <v>34</v>
      </c>
      <c r="B2067">
        <v>2015</v>
      </c>
      <c r="C2067" t="s">
        <v>35</v>
      </c>
      <c r="D2067" s="2">
        <v>42036</v>
      </c>
      <c r="E2067" t="s">
        <v>15</v>
      </c>
      <c r="F2067">
        <v>123.1</v>
      </c>
      <c r="G2067" t="str">
        <f>VLOOKUP(Table1_2[[#This Row],[Categories]],Sheet3!$A$1:$B$27,2,FALSE)</f>
        <v>Food &amp;Beverage</v>
      </c>
    </row>
    <row r="2068" spans="1:7" x14ac:dyDescent="0.3">
      <c r="A2068" t="s">
        <v>34</v>
      </c>
      <c r="B2068">
        <v>2015</v>
      </c>
      <c r="C2068" t="s">
        <v>35</v>
      </c>
      <c r="D2068" s="2">
        <v>42036</v>
      </c>
      <c r="E2068" t="s">
        <v>16</v>
      </c>
      <c r="F2068">
        <v>125.2</v>
      </c>
      <c r="G2068" t="str">
        <f>VLOOKUP(Table1_2[[#This Row],[Categories]],Sheet3!$A$1:$B$27,2,FALSE)</f>
        <v>Recreation and amusement</v>
      </c>
    </row>
    <row r="2069" spans="1:7" x14ac:dyDescent="0.3">
      <c r="A2069" t="s">
        <v>34</v>
      </c>
      <c r="B2069">
        <v>2015</v>
      </c>
      <c r="C2069" t="s">
        <v>35</v>
      </c>
      <c r="D2069" s="2">
        <v>42036</v>
      </c>
      <c r="E2069" t="s">
        <v>17</v>
      </c>
      <c r="F2069">
        <v>123.8</v>
      </c>
      <c r="G2069" t="str">
        <f>VLOOKUP(Table1_2[[#This Row],[Categories]],Sheet3!$A$1:$B$27,2,FALSE)</f>
        <v>Clothing and footwear</v>
      </c>
    </row>
    <row r="2070" spans="1:7" x14ac:dyDescent="0.3">
      <c r="A2070" t="s">
        <v>34</v>
      </c>
      <c r="B2070">
        <v>2015</v>
      </c>
      <c r="C2070" t="s">
        <v>35</v>
      </c>
      <c r="D2070" s="2">
        <v>42036</v>
      </c>
      <c r="E2070" t="s">
        <v>18</v>
      </c>
      <c r="F2070">
        <v>120.1</v>
      </c>
      <c r="G2070" t="str">
        <f>VLOOKUP(Table1_2[[#This Row],[Categories]],Sheet3!$A$1:$B$27,2,FALSE)</f>
        <v>Clothing and footwear</v>
      </c>
    </row>
    <row r="2071" spans="1:7" x14ac:dyDescent="0.3">
      <c r="A2071" t="s">
        <v>34</v>
      </c>
      <c r="B2071">
        <v>2015</v>
      </c>
      <c r="C2071" t="s">
        <v>35</v>
      </c>
      <c r="D2071" s="2">
        <v>42036</v>
      </c>
      <c r="E2071" t="s">
        <v>19</v>
      </c>
      <c r="F2071">
        <v>123.3</v>
      </c>
      <c r="G2071" t="str">
        <f>VLOOKUP(Table1_2[[#This Row],[Categories]],Sheet3!$A$1:$B$27,2,FALSE)</f>
        <v>Clothing and footwear</v>
      </c>
    </row>
    <row r="2072" spans="1:7" x14ac:dyDescent="0.3">
      <c r="A2072" t="s">
        <v>34</v>
      </c>
      <c r="B2072">
        <v>2015</v>
      </c>
      <c r="C2072" t="s">
        <v>35</v>
      </c>
      <c r="D2072" s="2">
        <v>42036</v>
      </c>
      <c r="E2072" t="s">
        <v>20</v>
      </c>
      <c r="F2072">
        <v>118.1</v>
      </c>
      <c r="G2072" t="str">
        <f>VLOOKUP(Table1_2[[#This Row],[Categories]],Sheet3!$A$1:$B$27,2,FALSE)</f>
        <v>Housing</v>
      </c>
    </row>
    <row r="2073" spans="1:7" x14ac:dyDescent="0.3">
      <c r="A2073" t="s">
        <v>34</v>
      </c>
      <c r="B2073">
        <v>2015</v>
      </c>
      <c r="C2073" t="s">
        <v>35</v>
      </c>
      <c r="D2073" s="2">
        <v>42036</v>
      </c>
      <c r="E2073" t="s">
        <v>21</v>
      </c>
      <c r="F2073">
        <v>117.7</v>
      </c>
      <c r="G2073" t="str">
        <f>VLOOKUP(Table1_2[[#This Row],[Categories]],Sheet3!$A$1:$B$27,2,FALSE)</f>
        <v>Fuel and light</v>
      </c>
    </row>
    <row r="2074" spans="1:7" x14ac:dyDescent="0.3">
      <c r="A2074" t="s">
        <v>34</v>
      </c>
      <c r="B2074">
        <v>2015</v>
      </c>
      <c r="C2074" t="s">
        <v>35</v>
      </c>
      <c r="D2074" s="2">
        <v>42036</v>
      </c>
      <c r="E2074" t="s">
        <v>22</v>
      </c>
      <c r="F2074">
        <v>118.7</v>
      </c>
      <c r="G2074" t="str">
        <f>VLOOKUP(Table1_2[[#This Row],[Categories]],Sheet3!$A$1:$B$27,2,FALSE)</f>
        <v>Household Items</v>
      </c>
    </row>
    <row r="2075" spans="1:7" x14ac:dyDescent="0.3">
      <c r="A2075" t="s">
        <v>34</v>
      </c>
      <c r="B2075">
        <v>2015</v>
      </c>
      <c r="C2075" t="s">
        <v>35</v>
      </c>
      <c r="D2075" s="2">
        <v>42036</v>
      </c>
      <c r="E2075" t="s">
        <v>23</v>
      </c>
      <c r="F2075">
        <v>116.3</v>
      </c>
      <c r="G2075" t="str">
        <f>VLOOKUP(Table1_2[[#This Row],[Categories]],Sheet3!$A$1:$B$27,2,FALSE)</f>
        <v>Health</v>
      </c>
    </row>
    <row r="2076" spans="1:7" x14ac:dyDescent="0.3">
      <c r="A2076" t="s">
        <v>34</v>
      </c>
      <c r="B2076">
        <v>2015</v>
      </c>
      <c r="C2076" t="s">
        <v>35</v>
      </c>
      <c r="D2076" s="2">
        <v>42036</v>
      </c>
      <c r="E2076" t="s">
        <v>24</v>
      </c>
      <c r="F2076">
        <v>108.7</v>
      </c>
      <c r="G2076" t="str">
        <f>VLOOKUP(Table1_2[[#This Row],[Categories]],Sheet3!$A$1:$B$27,2,FALSE)</f>
        <v>Transport and communication</v>
      </c>
    </row>
    <row r="2077" spans="1:7" x14ac:dyDescent="0.3">
      <c r="A2077" t="s">
        <v>34</v>
      </c>
      <c r="B2077">
        <v>2015</v>
      </c>
      <c r="C2077" t="s">
        <v>35</v>
      </c>
      <c r="D2077" s="2">
        <v>42036</v>
      </c>
      <c r="E2077" t="s">
        <v>25</v>
      </c>
      <c r="F2077">
        <v>114.9</v>
      </c>
      <c r="G2077" t="str">
        <f>VLOOKUP(Table1_2[[#This Row],[Categories]],Sheet3!$A$1:$B$27,2,FALSE)</f>
        <v>Recreation and amusement</v>
      </c>
    </row>
    <row r="2078" spans="1:7" x14ac:dyDescent="0.3">
      <c r="A2078" t="s">
        <v>34</v>
      </c>
      <c r="B2078">
        <v>2015</v>
      </c>
      <c r="C2078" t="s">
        <v>35</v>
      </c>
      <c r="D2078" s="2">
        <v>42036</v>
      </c>
      <c r="E2078" t="s">
        <v>26</v>
      </c>
      <c r="F2078">
        <v>119.7</v>
      </c>
      <c r="G2078" t="str">
        <f>VLOOKUP(Table1_2[[#This Row],[Categories]],Sheet3!$A$1:$B$27,2,FALSE)</f>
        <v>Education</v>
      </c>
    </row>
    <row r="2079" spans="1:7" x14ac:dyDescent="0.3">
      <c r="A2079" t="s">
        <v>34</v>
      </c>
      <c r="B2079">
        <v>2015</v>
      </c>
      <c r="C2079" t="s">
        <v>35</v>
      </c>
      <c r="D2079" s="2">
        <v>42036</v>
      </c>
      <c r="E2079" t="s">
        <v>27</v>
      </c>
      <c r="F2079">
        <v>111.2</v>
      </c>
      <c r="G2079" t="str">
        <f>VLOOKUP(Table1_2[[#This Row],[Categories]],Sheet3!$A$1:$B$27,2,FALSE)</f>
        <v>Household Items</v>
      </c>
    </row>
    <row r="2080" spans="1:7" x14ac:dyDescent="0.3">
      <c r="A2080" t="s">
        <v>34</v>
      </c>
      <c r="B2080">
        <v>2015</v>
      </c>
      <c r="C2080" t="s">
        <v>35</v>
      </c>
      <c r="D2080" s="2">
        <v>42036</v>
      </c>
      <c r="E2080" t="s">
        <v>28</v>
      </c>
      <c r="F2080">
        <v>114.1</v>
      </c>
      <c r="G2080" t="str">
        <f>VLOOKUP(Table1_2[[#This Row],[Categories]],Sheet3!$A$1:$B$27,2,FALSE)</f>
        <v>Miscellaneous</v>
      </c>
    </row>
    <row r="2081" spans="1:7" x14ac:dyDescent="0.3">
      <c r="A2081" t="s">
        <v>34</v>
      </c>
      <c r="B2081">
        <v>2015</v>
      </c>
      <c r="C2081" t="s">
        <v>35</v>
      </c>
      <c r="D2081" s="2">
        <v>42036</v>
      </c>
      <c r="E2081" t="s">
        <v>29</v>
      </c>
      <c r="F2081">
        <v>119.7</v>
      </c>
      <c r="G2081" t="str">
        <f>VLOOKUP(Table1_2[[#This Row],[Categories]],Sheet3!$A$1:$B$27,2,FALSE)</f>
        <v>General index</v>
      </c>
    </row>
    <row r="2082" spans="1:7" x14ac:dyDescent="0.3">
      <c r="A2082" t="s">
        <v>30</v>
      </c>
      <c r="B2082">
        <v>2015</v>
      </c>
      <c r="C2082" t="s">
        <v>36</v>
      </c>
      <c r="D2082" s="2">
        <v>42064</v>
      </c>
      <c r="E2082" t="s">
        <v>3</v>
      </c>
      <c r="F2082">
        <v>123.3</v>
      </c>
      <c r="G2082" t="str">
        <f>VLOOKUP(Table1_2[[#This Row],[Categories]],Sheet3!$A$1:$B$27,2,FALSE)</f>
        <v>Food &amp;Beverage</v>
      </c>
    </row>
    <row r="2083" spans="1:7" x14ac:dyDescent="0.3">
      <c r="A2083" t="s">
        <v>30</v>
      </c>
      <c r="B2083">
        <v>2015</v>
      </c>
      <c r="C2083" t="s">
        <v>36</v>
      </c>
      <c r="D2083" s="2">
        <v>42064</v>
      </c>
      <c r="E2083" t="s">
        <v>4</v>
      </c>
      <c r="F2083">
        <v>124.7</v>
      </c>
      <c r="G2083" t="str">
        <f>VLOOKUP(Table1_2[[#This Row],[Categories]],Sheet3!$A$1:$B$27,2,FALSE)</f>
        <v>Food &amp;Beverage</v>
      </c>
    </row>
    <row r="2084" spans="1:7" x14ac:dyDescent="0.3">
      <c r="A2084" t="s">
        <v>30</v>
      </c>
      <c r="B2084">
        <v>2015</v>
      </c>
      <c r="C2084" t="s">
        <v>36</v>
      </c>
      <c r="D2084" s="2">
        <v>42064</v>
      </c>
      <c r="E2084" t="s">
        <v>5</v>
      </c>
      <c r="F2084">
        <v>118.9</v>
      </c>
      <c r="G2084" t="str">
        <f>VLOOKUP(Table1_2[[#This Row],[Categories]],Sheet3!$A$1:$B$27,2,FALSE)</f>
        <v>Food &amp;Beverage</v>
      </c>
    </row>
    <row r="2085" spans="1:7" x14ac:dyDescent="0.3">
      <c r="A2085" t="s">
        <v>30</v>
      </c>
      <c r="B2085">
        <v>2015</v>
      </c>
      <c r="C2085" t="s">
        <v>36</v>
      </c>
      <c r="D2085" s="2">
        <v>42064</v>
      </c>
      <c r="E2085" t="s">
        <v>6</v>
      </c>
      <c r="F2085">
        <v>126</v>
      </c>
      <c r="G2085" t="str">
        <f>VLOOKUP(Table1_2[[#This Row],[Categories]],Sheet3!$A$1:$B$27,2,FALSE)</f>
        <v>Food &amp;Beverage</v>
      </c>
    </row>
    <row r="2086" spans="1:7" x14ac:dyDescent="0.3">
      <c r="A2086" t="s">
        <v>30</v>
      </c>
      <c r="B2086">
        <v>2015</v>
      </c>
      <c r="C2086" t="s">
        <v>36</v>
      </c>
      <c r="D2086" s="2">
        <v>42064</v>
      </c>
      <c r="E2086" t="s">
        <v>7</v>
      </c>
      <c r="F2086">
        <v>111.8</v>
      </c>
      <c r="G2086" t="str">
        <f>VLOOKUP(Table1_2[[#This Row],[Categories]],Sheet3!$A$1:$B$27,2,FALSE)</f>
        <v>Food &amp;Beverage</v>
      </c>
    </row>
    <row r="2087" spans="1:7" x14ac:dyDescent="0.3">
      <c r="A2087" t="s">
        <v>30</v>
      </c>
      <c r="B2087">
        <v>2015</v>
      </c>
      <c r="C2087" t="s">
        <v>36</v>
      </c>
      <c r="D2087" s="2">
        <v>42064</v>
      </c>
      <c r="E2087" t="s">
        <v>8</v>
      </c>
      <c r="F2087">
        <v>130.9</v>
      </c>
      <c r="G2087" t="str">
        <f>VLOOKUP(Table1_2[[#This Row],[Categories]],Sheet3!$A$1:$B$27,2,FALSE)</f>
        <v>Food &amp;Beverage</v>
      </c>
    </row>
    <row r="2088" spans="1:7" x14ac:dyDescent="0.3">
      <c r="A2088" t="s">
        <v>30</v>
      </c>
      <c r="B2088">
        <v>2015</v>
      </c>
      <c r="C2088" t="s">
        <v>36</v>
      </c>
      <c r="D2088" s="2">
        <v>42064</v>
      </c>
      <c r="E2088" t="s">
        <v>9</v>
      </c>
      <c r="F2088">
        <v>128</v>
      </c>
      <c r="G2088" t="str">
        <f>VLOOKUP(Table1_2[[#This Row],[Categories]],Sheet3!$A$1:$B$27,2,FALSE)</f>
        <v>Food &amp;Beverage</v>
      </c>
    </row>
    <row r="2089" spans="1:7" x14ac:dyDescent="0.3">
      <c r="A2089" t="s">
        <v>30</v>
      </c>
      <c r="B2089">
        <v>2015</v>
      </c>
      <c r="C2089" t="s">
        <v>36</v>
      </c>
      <c r="D2089" s="2">
        <v>42064</v>
      </c>
      <c r="E2089" t="s">
        <v>10</v>
      </c>
      <c r="F2089">
        <v>119.9</v>
      </c>
      <c r="G2089" t="str">
        <f>VLOOKUP(Table1_2[[#This Row],[Categories]],Sheet3!$A$1:$B$27,2,FALSE)</f>
        <v>Food &amp;Beverage</v>
      </c>
    </row>
    <row r="2090" spans="1:7" x14ac:dyDescent="0.3">
      <c r="A2090" t="s">
        <v>30</v>
      </c>
      <c r="B2090">
        <v>2015</v>
      </c>
      <c r="C2090" t="s">
        <v>36</v>
      </c>
      <c r="D2090" s="2">
        <v>42064</v>
      </c>
      <c r="E2090" t="s">
        <v>11</v>
      </c>
      <c r="F2090">
        <v>98.9</v>
      </c>
      <c r="G2090" t="str">
        <f>VLOOKUP(Table1_2[[#This Row],[Categories]],Sheet3!$A$1:$B$27,2,FALSE)</f>
        <v>Food &amp;Beverage</v>
      </c>
    </row>
    <row r="2091" spans="1:7" x14ac:dyDescent="0.3">
      <c r="A2091" t="s">
        <v>30</v>
      </c>
      <c r="B2091">
        <v>2015</v>
      </c>
      <c r="C2091" t="s">
        <v>36</v>
      </c>
      <c r="D2091" s="2">
        <v>42064</v>
      </c>
      <c r="E2091" t="s">
        <v>12</v>
      </c>
      <c r="F2091">
        <v>119.4</v>
      </c>
      <c r="G2091" t="str">
        <f>VLOOKUP(Table1_2[[#This Row],[Categories]],Sheet3!$A$1:$B$27,2,FALSE)</f>
        <v>Food &amp;Beverage</v>
      </c>
    </row>
    <row r="2092" spans="1:7" x14ac:dyDescent="0.3">
      <c r="A2092" t="s">
        <v>30</v>
      </c>
      <c r="B2092">
        <v>2015</v>
      </c>
      <c r="C2092" t="s">
        <v>36</v>
      </c>
      <c r="D2092" s="2">
        <v>42064</v>
      </c>
      <c r="E2092" t="s">
        <v>13</v>
      </c>
      <c r="F2092">
        <v>118.9</v>
      </c>
      <c r="G2092" t="str">
        <f>VLOOKUP(Table1_2[[#This Row],[Categories]],Sheet3!$A$1:$B$27,2,FALSE)</f>
        <v>Food &amp;Beverage</v>
      </c>
    </row>
    <row r="2093" spans="1:7" x14ac:dyDescent="0.3">
      <c r="A2093" t="s">
        <v>30</v>
      </c>
      <c r="B2093">
        <v>2015</v>
      </c>
      <c r="C2093" t="s">
        <v>36</v>
      </c>
      <c r="D2093" s="2">
        <v>42064</v>
      </c>
      <c r="E2093" t="s">
        <v>14</v>
      </c>
      <c r="F2093">
        <v>127.7</v>
      </c>
      <c r="G2093" t="str">
        <f>VLOOKUP(Table1_2[[#This Row],[Categories]],Sheet3!$A$1:$B$27,2,FALSE)</f>
        <v>Food &amp;Beverage</v>
      </c>
    </row>
    <row r="2094" spans="1:7" x14ac:dyDescent="0.3">
      <c r="A2094" t="s">
        <v>30</v>
      </c>
      <c r="B2094">
        <v>2015</v>
      </c>
      <c r="C2094" t="s">
        <v>36</v>
      </c>
      <c r="D2094" s="2">
        <v>42064</v>
      </c>
      <c r="E2094" t="s">
        <v>15</v>
      </c>
      <c r="F2094">
        <v>123.1</v>
      </c>
      <c r="G2094" t="str">
        <f>VLOOKUP(Table1_2[[#This Row],[Categories]],Sheet3!$A$1:$B$27,2,FALSE)</f>
        <v>Food &amp;Beverage</v>
      </c>
    </row>
    <row r="2095" spans="1:7" x14ac:dyDescent="0.3">
      <c r="A2095" t="s">
        <v>30</v>
      </c>
      <c r="B2095">
        <v>2015</v>
      </c>
      <c r="C2095" t="s">
        <v>36</v>
      </c>
      <c r="D2095" s="2">
        <v>42064</v>
      </c>
      <c r="E2095" t="s">
        <v>16</v>
      </c>
      <c r="F2095">
        <v>124.7</v>
      </c>
      <c r="G2095" t="str">
        <f>VLOOKUP(Table1_2[[#This Row],[Categories]],Sheet3!$A$1:$B$27,2,FALSE)</f>
        <v>Recreation and amusement</v>
      </c>
    </row>
    <row r="2096" spans="1:7" x14ac:dyDescent="0.3">
      <c r="A2096" t="s">
        <v>30</v>
      </c>
      <c r="B2096">
        <v>2015</v>
      </c>
      <c r="C2096" t="s">
        <v>36</v>
      </c>
      <c r="D2096" s="2">
        <v>42064</v>
      </c>
      <c r="E2096" t="s">
        <v>17</v>
      </c>
      <c r="F2096">
        <v>126</v>
      </c>
      <c r="G2096" t="str">
        <f>VLOOKUP(Table1_2[[#This Row],[Categories]],Sheet3!$A$1:$B$27,2,FALSE)</f>
        <v>Clothing and footwear</v>
      </c>
    </row>
    <row r="2097" spans="1:7" x14ac:dyDescent="0.3">
      <c r="A2097" t="s">
        <v>30</v>
      </c>
      <c r="B2097">
        <v>2015</v>
      </c>
      <c r="C2097" t="s">
        <v>36</v>
      </c>
      <c r="D2097" s="2">
        <v>42064</v>
      </c>
      <c r="E2097" t="s">
        <v>18</v>
      </c>
      <c r="F2097">
        <v>122.9</v>
      </c>
      <c r="G2097" t="str">
        <f>VLOOKUP(Table1_2[[#This Row],[Categories]],Sheet3!$A$1:$B$27,2,FALSE)</f>
        <v>Clothing and footwear</v>
      </c>
    </row>
    <row r="2098" spans="1:7" x14ac:dyDescent="0.3">
      <c r="A2098" t="s">
        <v>30</v>
      </c>
      <c r="B2098">
        <v>2015</v>
      </c>
      <c r="C2098" t="s">
        <v>36</v>
      </c>
      <c r="D2098" s="2">
        <v>42064</v>
      </c>
      <c r="E2098" t="s">
        <v>19</v>
      </c>
      <c r="F2098">
        <v>125.5</v>
      </c>
      <c r="G2098" t="str">
        <f>VLOOKUP(Table1_2[[#This Row],[Categories]],Sheet3!$A$1:$B$27,2,FALSE)</f>
        <v>Clothing and footwear</v>
      </c>
    </row>
    <row r="2099" spans="1:7" x14ac:dyDescent="0.3">
      <c r="A2099" t="s">
        <v>30</v>
      </c>
      <c r="B2099">
        <v>2015</v>
      </c>
      <c r="C2099" t="s">
        <v>36</v>
      </c>
      <c r="D2099" s="2">
        <v>42064</v>
      </c>
      <c r="E2099" t="s">
        <v>21</v>
      </c>
      <c r="F2099">
        <v>120.6</v>
      </c>
      <c r="G2099" t="str">
        <f>VLOOKUP(Table1_2[[#This Row],[Categories]],Sheet3!$A$1:$B$27,2,FALSE)</f>
        <v>Fuel and light</v>
      </c>
    </row>
    <row r="2100" spans="1:7" x14ac:dyDescent="0.3">
      <c r="A2100" t="s">
        <v>30</v>
      </c>
      <c r="B2100">
        <v>2015</v>
      </c>
      <c r="C2100" t="s">
        <v>36</v>
      </c>
      <c r="D2100" s="2">
        <v>42064</v>
      </c>
      <c r="E2100" t="s">
        <v>22</v>
      </c>
      <c r="F2100">
        <v>120.2</v>
      </c>
      <c r="G2100" t="str">
        <f>VLOOKUP(Table1_2[[#This Row],[Categories]],Sheet3!$A$1:$B$27,2,FALSE)</f>
        <v>Household Items</v>
      </c>
    </row>
    <row r="2101" spans="1:7" x14ac:dyDescent="0.3">
      <c r="A2101" t="s">
        <v>30</v>
      </c>
      <c r="B2101">
        <v>2015</v>
      </c>
      <c r="C2101" t="s">
        <v>36</v>
      </c>
      <c r="D2101" s="2">
        <v>42064</v>
      </c>
      <c r="E2101" t="s">
        <v>23</v>
      </c>
      <c r="F2101">
        <v>118.2</v>
      </c>
      <c r="G2101" t="str">
        <f>VLOOKUP(Table1_2[[#This Row],[Categories]],Sheet3!$A$1:$B$27,2,FALSE)</f>
        <v>Health</v>
      </c>
    </row>
    <row r="2102" spans="1:7" x14ac:dyDescent="0.3">
      <c r="A2102" t="s">
        <v>30</v>
      </c>
      <c r="B2102">
        <v>2015</v>
      </c>
      <c r="C2102" t="s">
        <v>36</v>
      </c>
      <c r="D2102" s="2">
        <v>42064</v>
      </c>
      <c r="E2102" t="s">
        <v>24</v>
      </c>
      <c r="F2102">
        <v>111.6</v>
      </c>
      <c r="G2102" t="str">
        <f>VLOOKUP(Table1_2[[#This Row],[Categories]],Sheet3!$A$1:$B$27,2,FALSE)</f>
        <v>Transport and communication</v>
      </c>
    </row>
    <row r="2103" spans="1:7" x14ac:dyDescent="0.3">
      <c r="A2103" t="s">
        <v>30</v>
      </c>
      <c r="B2103">
        <v>2015</v>
      </c>
      <c r="C2103" t="s">
        <v>36</v>
      </c>
      <c r="D2103" s="2">
        <v>42064</v>
      </c>
      <c r="E2103" t="s">
        <v>25</v>
      </c>
      <c r="F2103">
        <v>115.5</v>
      </c>
      <c r="G2103" t="str">
        <f>VLOOKUP(Table1_2[[#This Row],[Categories]],Sheet3!$A$1:$B$27,2,FALSE)</f>
        <v>Recreation and amusement</v>
      </c>
    </row>
    <row r="2104" spans="1:7" x14ac:dyDescent="0.3">
      <c r="A2104" t="s">
        <v>30</v>
      </c>
      <c r="B2104">
        <v>2015</v>
      </c>
      <c r="C2104" t="s">
        <v>36</v>
      </c>
      <c r="D2104" s="2">
        <v>42064</v>
      </c>
      <c r="E2104" t="s">
        <v>26</v>
      </c>
      <c r="F2104">
        <v>119.4</v>
      </c>
      <c r="G2104" t="str">
        <f>VLOOKUP(Table1_2[[#This Row],[Categories]],Sheet3!$A$1:$B$27,2,FALSE)</f>
        <v>Education</v>
      </c>
    </row>
    <row r="2105" spans="1:7" x14ac:dyDescent="0.3">
      <c r="A2105" t="s">
        <v>30</v>
      </c>
      <c r="B2105">
        <v>2015</v>
      </c>
      <c r="C2105" t="s">
        <v>36</v>
      </c>
      <c r="D2105" s="2">
        <v>42064</v>
      </c>
      <c r="E2105" t="s">
        <v>27</v>
      </c>
      <c r="F2105">
        <v>110.8</v>
      </c>
      <c r="G2105" t="str">
        <f>VLOOKUP(Table1_2[[#This Row],[Categories]],Sheet3!$A$1:$B$27,2,FALSE)</f>
        <v>Household Items</v>
      </c>
    </row>
    <row r="2106" spans="1:7" x14ac:dyDescent="0.3">
      <c r="A2106" t="s">
        <v>30</v>
      </c>
      <c r="B2106">
        <v>2015</v>
      </c>
      <c r="C2106" t="s">
        <v>36</v>
      </c>
      <c r="D2106" s="2">
        <v>42064</v>
      </c>
      <c r="E2106" t="s">
        <v>28</v>
      </c>
      <c r="F2106">
        <v>115.5</v>
      </c>
      <c r="G2106" t="str">
        <f>VLOOKUP(Table1_2[[#This Row],[Categories]],Sheet3!$A$1:$B$27,2,FALSE)</f>
        <v>Miscellaneous</v>
      </c>
    </row>
    <row r="2107" spans="1:7" x14ac:dyDescent="0.3">
      <c r="A2107" t="s">
        <v>30</v>
      </c>
      <c r="B2107">
        <v>2015</v>
      </c>
      <c r="C2107" t="s">
        <v>36</v>
      </c>
      <c r="D2107" s="2">
        <v>42064</v>
      </c>
      <c r="E2107" t="s">
        <v>29</v>
      </c>
      <c r="F2107">
        <v>121.1</v>
      </c>
      <c r="G2107" t="str">
        <f>VLOOKUP(Table1_2[[#This Row],[Categories]],Sheet3!$A$1:$B$27,2,FALSE)</f>
        <v>General index</v>
      </c>
    </row>
    <row r="2108" spans="1:7" x14ac:dyDescent="0.3">
      <c r="A2108" t="s">
        <v>33</v>
      </c>
      <c r="B2108">
        <v>2015</v>
      </c>
      <c r="C2108" t="s">
        <v>36</v>
      </c>
      <c r="D2108" s="2">
        <v>42064</v>
      </c>
      <c r="E2108" t="s">
        <v>3</v>
      </c>
      <c r="F2108">
        <v>124</v>
      </c>
      <c r="G2108" t="str">
        <f>VLOOKUP(Table1_2[[#This Row],[Categories]],Sheet3!$A$1:$B$27,2,FALSE)</f>
        <v>Food &amp;Beverage</v>
      </c>
    </row>
    <row r="2109" spans="1:7" x14ac:dyDescent="0.3">
      <c r="A2109" t="s">
        <v>33</v>
      </c>
      <c r="B2109">
        <v>2015</v>
      </c>
      <c r="C2109" t="s">
        <v>36</v>
      </c>
      <c r="D2109" s="2">
        <v>42064</v>
      </c>
      <c r="E2109" t="s">
        <v>4</v>
      </c>
      <c r="F2109">
        <v>126.7</v>
      </c>
      <c r="G2109" t="str">
        <f>VLOOKUP(Table1_2[[#This Row],[Categories]],Sheet3!$A$1:$B$27,2,FALSE)</f>
        <v>Food &amp;Beverage</v>
      </c>
    </row>
    <row r="2110" spans="1:7" x14ac:dyDescent="0.3">
      <c r="A2110" t="s">
        <v>33</v>
      </c>
      <c r="B2110">
        <v>2015</v>
      </c>
      <c r="C2110" t="s">
        <v>36</v>
      </c>
      <c r="D2110" s="2">
        <v>42064</v>
      </c>
      <c r="E2110" t="s">
        <v>5</v>
      </c>
      <c r="F2110">
        <v>113.5</v>
      </c>
      <c r="G2110" t="str">
        <f>VLOOKUP(Table1_2[[#This Row],[Categories]],Sheet3!$A$1:$B$27,2,FALSE)</f>
        <v>Food &amp;Beverage</v>
      </c>
    </row>
    <row r="2111" spans="1:7" x14ac:dyDescent="0.3">
      <c r="A2111" t="s">
        <v>33</v>
      </c>
      <c r="B2111">
        <v>2015</v>
      </c>
      <c r="C2111" t="s">
        <v>36</v>
      </c>
      <c r="D2111" s="2">
        <v>42064</v>
      </c>
      <c r="E2111" t="s">
        <v>6</v>
      </c>
      <c r="F2111">
        <v>125.9</v>
      </c>
      <c r="G2111" t="str">
        <f>VLOOKUP(Table1_2[[#This Row],[Categories]],Sheet3!$A$1:$B$27,2,FALSE)</f>
        <v>Food &amp;Beverage</v>
      </c>
    </row>
    <row r="2112" spans="1:7" x14ac:dyDescent="0.3">
      <c r="A2112" t="s">
        <v>33</v>
      </c>
      <c r="B2112">
        <v>2015</v>
      </c>
      <c r="C2112" t="s">
        <v>36</v>
      </c>
      <c r="D2112" s="2">
        <v>42064</v>
      </c>
      <c r="E2112" t="s">
        <v>7</v>
      </c>
      <c r="F2112">
        <v>104.8</v>
      </c>
      <c r="G2112" t="str">
        <f>VLOOKUP(Table1_2[[#This Row],[Categories]],Sheet3!$A$1:$B$27,2,FALSE)</f>
        <v>Food &amp;Beverage</v>
      </c>
    </row>
    <row r="2113" spans="1:7" x14ac:dyDescent="0.3">
      <c r="A2113" t="s">
        <v>33</v>
      </c>
      <c r="B2113">
        <v>2015</v>
      </c>
      <c r="C2113" t="s">
        <v>36</v>
      </c>
      <c r="D2113" s="2">
        <v>42064</v>
      </c>
      <c r="E2113" t="s">
        <v>8</v>
      </c>
      <c r="F2113">
        <v>123.8</v>
      </c>
      <c r="G2113" t="str">
        <f>VLOOKUP(Table1_2[[#This Row],[Categories]],Sheet3!$A$1:$B$27,2,FALSE)</f>
        <v>Food &amp;Beverage</v>
      </c>
    </row>
    <row r="2114" spans="1:7" x14ac:dyDescent="0.3">
      <c r="A2114" t="s">
        <v>33</v>
      </c>
      <c r="B2114">
        <v>2015</v>
      </c>
      <c r="C2114" t="s">
        <v>36</v>
      </c>
      <c r="D2114" s="2">
        <v>42064</v>
      </c>
      <c r="E2114" t="s">
        <v>9</v>
      </c>
      <c r="F2114">
        <v>131.4</v>
      </c>
      <c r="G2114" t="str">
        <f>VLOOKUP(Table1_2[[#This Row],[Categories]],Sheet3!$A$1:$B$27,2,FALSE)</f>
        <v>Food &amp;Beverage</v>
      </c>
    </row>
    <row r="2115" spans="1:7" x14ac:dyDescent="0.3">
      <c r="A2115" t="s">
        <v>33</v>
      </c>
      <c r="B2115">
        <v>2015</v>
      </c>
      <c r="C2115" t="s">
        <v>36</v>
      </c>
      <c r="D2115" s="2">
        <v>42064</v>
      </c>
      <c r="E2115" t="s">
        <v>10</v>
      </c>
      <c r="F2115">
        <v>127.2</v>
      </c>
      <c r="G2115" t="str">
        <f>VLOOKUP(Table1_2[[#This Row],[Categories]],Sheet3!$A$1:$B$27,2,FALSE)</f>
        <v>Food &amp;Beverage</v>
      </c>
    </row>
    <row r="2116" spans="1:7" x14ac:dyDescent="0.3">
      <c r="A2116" t="s">
        <v>33</v>
      </c>
      <c r="B2116">
        <v>2015</v>
      </c>
      <c r="C2116" t="s">
        <v>36</v>
      </c>
      <c r="D2116" s="2">
        <v>42064</v>
      </c>
      <c r="E2116" t="s">
        <v>11</v>
      </c>
      <c r="F2116">
        <v>93.2</v>
      </c>
      <c r="G2116" t="str">
        <f>VLOOKUP(Table1_2[[#This Row],[Categories]],Sheet3!$A$1:$B$27,2,FALSE)</f>
        <v>Food &amp;Beverage</v>
      </c>
    </row>
    <row r="2117" spans="1:7" x14ac:dyDescent="0.3">
      <c r="A2117" t="s">
        <v>33</v>
      </c>
      <c r="B2117">
        <v>2015</v>
      </c>
      <c r="C2117" t="s">
        <v>36</v>
      </c>
      <c r="D2117" s="2">
        <v>42064</v>
      </c>
      <c r="E2117" t="s">
        <v>12</v>
      </c>
      <c r="F2117">
        <v>127.4</v>
      </c>
      <c r="G2117" t="str">
        <f>VLOOKUP(Table1_2[[#This Row],[Categories]],Sheet3!$A$1:$B$27,2,FALSE)</f>
        <v>Food &amp;Beverage</v>
      </c>
    </row>
    <row r="2118" spans="1:7" x14ac:dyDescent="0.3">
      <c r="A2118" t="s">
        <v>33</v>
      </c>
      <c r="B2118">
        <v>2015</v>
      </c>
      <c r="C2118" t="s">
        <v>36</v>
      </c>
      <c r="D2118" s="2">
        <v>42064</v>
      </c>
      <c r="E2118" t="s">
        <v>13</v>
      </c>
      <c r="F2118">
        <v>117</v>
      </c>
      <c r="G2118" t="str">
        <f>VLOOKUP(Table1_2[[#This Row],[Categories]],Sheet3!$A$1:$B$27,2,FALSE)</f>
        <v>Food &amp;Beverage</v>
      </c>
    </row>
    <row r="2119" spans="1:7" x14ac:dyDescent="0.3">
      <c r="A2119" t="s">
        <v>33</v>
      </c>
      <c r="B2119">
        <v>2015</v>
      </c>
      <c r="C2119" t="s">
        <v>36</v>
      </c>
      <c r="D2119" s="2">
        <v>42064</v>
      </c>
      <c r="E2119" t="s">
        <v>14</v>
      </c>
      <c r="F2119">
        <v>129.19999999999999</v>
      </c>
      <c r="G2119" t="str">
        <f>VLOOKUP(Table1_2[[#This Row],[Categories]],Sheet3!$A$1:$B$27,2,FALSE)</f>
        <v>Food &amp;Beverage</v>
      </c>
    </row>
    <row r="2120" spans="1:7" x14ac:dyDescent="0.3">
      <c r="A2120" t="s">
        <v>33</v>
      </c>
      <c r="B2120">
        <v>2015</v>
      </c>
      <c r="C2120" t="s">
        <v>36</v>
      </c>
      <c r="D2120" s="2">
        <v>42064</v>
      </c>
      <c r="E2120" t="s">
        <v>15</v>
      </c>
      <c r="F2120">
        <v>123.9</v>
      </c>
      <c r="G2120" t="str">
        <f>VLOOKUP(Table1_2[[#This Row],[Categories]],Sheet3!$A$1:$B$27,2,FALSE)</f>
        <v>Food &amp;Beverage</v>
      </c>
    </row>
    <row r="2121" spans="1:7" x14ac:dyDescent="0.3">
      <c r="A2121" t="s">
        <v>33</v>
      </c>
      <c r="B2121">
        <v>2015</v>
      </c>
      <c r="C2121" t="s">
        <v>36</v>
      </c>
      <c r="D2121" s="2">
        <v>42064</v>
      </c>
      <c r="E2121" t="s">
        <v>16</v>
      </c>
      <c r="F2121">
        <v>128.80000000000001</v>
      </c>
      <c r="G2121" t="str">
        <f>VLOOKUP(Table1_2[[#This Row],[Categories]],Sheet3!$A$1:$B$27,2,FALSE)</f>
        <v>Recreation and amusement</v>
      </c>
    </row>
    <row r="2122" spans="1:7" x14ac:dyDescent="0.3">
      <c r="A2122" t="s">
        <v>33</v>
      </c>
      <c r="B2122">
        <v>2015</v>
      </c>
      <c r="C2122" t="s">
        <v>36</v>
      </c>
      <c r="D2122" s="2">
        <v>42064</v>
      </c>
      <c r="E2122" t="s">
        <v>17</v>
      </c>
      <c r="F2122">
        <v>121.7</v>
      </c>
      <c r="G2122" t="str">
        <f>VLOOKUP(Table1_2[[#This Row],[Categories]],Sheet3!$A$1:$B$27,2,FALSE)</f>
        <v>Clothing and footwear</v>
      </c>
    </row>
    <row r="2123" spans="1:7" x14ac:dyDescent="0.3">
      <c r="A2123" t="s">
        <v>33</v>
      </c>
      <c r="B2123">
        <v>2015</v>
      </c>
      <c r="C2123" t="s">
        <v>36</v>
      </c>
      <c r="D2123" s="2">
        <v>42064</v>
      </c>
      <c r="E2123" t="s">
        <v>18</v>
      </c>
      <c r="F2123">
        <v>116.9</v>
      </c>
      <c r="G2123" t="str">
        <f>VLOOKUP(Table1_2[[#This Row],[Categories]],Sheet3!$A$1:$B$27,2,FALSE)</f>
        <v>Clothing and footwear</v>
      </c>
    </row>
    <row r="2124" spans="1:7" x14ac:dyDescent="0.3">
      <c r="A2124" t="s">
        <v>33</v>
      </c>
      <c r="B2124">
        <v>2015</v>
      </c>
      <c r="C2124" t="s">
        <v>36</v>
      </c>
      <c r="D2124" s="2">
        <v>42064</v>
      </c>
      <c r="E2124" t="s">
        <v>19</v>
      </c>
      <c r="F2124">
        <v>120.9</v>
      </c>
      <c r="G2124" t="str">
        <f>VLOOKUP(Table1_2[[#This Row],[Categories]],Sheet3!$A$1:$B$27,2,FALSE)</f>
        <v>Clothing and footwear</v>
      </c>
    </row>
    <row r="2125" spans="1:7" x14ac:dyDescent="0.3">
      <c r="A2125" t="s">
        <v>33</v>
      </c>
      <c r="B2125">
        <v>2015</v>
      </c>
      <c r="C2125" t="s">
        <v>36</v>
      </c>
      <c r="D2125" s="2">
        <v>42064</v>
      </c>
      <c r="E2125" t="s">
        <v>20</v>
      </c>
      <c r="F2125">
        <v>118.6</v>
      </c>
      <c r="G2125" t="str">
        <f>VLOOKUP(Table1_2[[#This Row],[Categories]],Sheet3!$A$1:$B$27,2,FALSE)</f>
        <v>Housing</v>
      </c>
    </row>
    <row r="2126" spans="1:7" x14ac:dyDescent="0.3">
      <c r="A2126" t="s">
        <v>33</v>
      </c>
      <c r="B2126">
        <v>2015</v>
      </c>
      <c r="C2126" t="s">
        <v>36</v>
      </c>
      <c r="D2126" s="2">
        <v>42064</v>
      </c>
      <c r="E2126" t="s">
        <v>21</v>
      </c>
      <c r="F2126">
        <v>114.4</v>
      </c>
      <c r="G2126" t="str">
        <f>VLOOKUP(Table1_2[[#This Row],[Categories]],Sheet3!$A$1:$B$27,2,FALSE)</f>
        <v>Fuel and light</v>
      </c>
    </row>
    <row r="2127" spans="1:7" x14ac:dyDescent="0.3">
      <c r="A2127" t="s">
        <v>33</v>
      </c>
      <c r="B2127">
        <v>2015</v>
      </c>
      <c r="C2127" t="s">
        <v>36</v>
      </c>
      <c r="D2127" s="2">
        <v>42064</v>
      </c>
      <c r="E2127" t="s">
        <v>22</v>
      </c>
      <c r="F2127">
        <v>118</v>
      </c>
      <c r="G2127" t="str">
        <f>VLOOKUP(Table1_2[[#This Row],[Categories]],Sheet3!$A$1:$B$27,2,FALSE)</f>
        <v>Household Items</v>
      </c>
    </row>
    <row r="2128" spans="1:7" x14ac:dyDescent="0.3">
      <c r="A2128" t="s">
        <v>33</v>
      </c>
      <c r="B2128">
        <v>2015</v>
      </c>
      <c r="C2128" t="s">
        <v>36</v>
      </c>
      <c r="D2128" s="2">
        <v>42064</v>
      </c>
      <c r="E2128" t="s">
        <v>23</v>
      </c>
      <c r="F2128">
        <v>114.3</v>
      </c>
      <c r="G2128" t="str">
        <f>VLOOKUP(Table1_2[[#This Row],[Categories]],Sheet3!$A$1:$B$27,2,FALSE)</f>
        <v>Health</v>
      </c>
    </row>
    <row r="2129" spans="1:7" x14ac:dyDescent="0.3">
      <c r="A2129" t="s">
        <v>33</v>
      </c>
      <c r="B2129">
        <v>2015</v>
      </c>
      <c r="C2129" t="s">
        <v>36</v>
      </c>
      <c r="D2129" s="2">
        <v>42064</v>
      </c>
      <c r="E2129" t="s">
        <v>24</v>
      </c>
      <c r="F2129">
        <v>108.4</v>
      </c>
      <c r="G2129" t="str">
        <f>VLOOKUP(Table1_2[[#This Row],[Categories]],Sheet3!$A$1:$B$27,2,FALSE)</f>
        <v>Transport and communication</v>
      </c>
    </row>
    <row r="2130" spans="1:7" x14ac:dyDescent="0.3">
      <c r="A2130" t="s">
        <v>33</v>
      </c>
      <c r="B2130">
        <v>2015</v>
      </c>
      <c r="C2130" t="s">
        <v>36</v>
      </c>
      <c r="D2130" s="2">
        <v>42064</v>
      </c>
      <c r="E2130" t="s">
        <v>25</v>
      </c>
      <c r="F2130">
        <v>115.4</v>
      </c>
      <c r="G2130" t="str">
        <f>VLOOKUP(Table1_2[[#This Row],[Categories]],Sheet3!$A$1:$B$27,2,FALSE)</f>
        <v>Recreation and amusement</v>
      </c>
    </row>
    <row r="2131" spans="1:7" x14ac:dyDescent="0.3">
      <c r="A2131" t="s">
        <v>33</v>
      </c>
      <c r="B2131">
        <v>2015</v>
      </c>
      <c r="C2131" t="s">
        <v>36</v>
      </c>
      <c r="D2131" s="2">
        <v>42064</v>
      </c>
      <c r="E2131" t="s">
        <v>26</v>
      </c>
      <c r="F2131">
        <v>120.6</v>
      </c>
      <c r="G2131" t="str">
        <f>VLOOKUP(Table1_2[[#This Row],[Categories]],Sheet3!$A$1:$B$27,2,FALSE)</f>
        <v>Education</v>
      </c>
    </row>
    <row r="2132" spans="1:7" x14ac:dyDescent="0.3">
      <c r="A2132" t="s">
        <v>33</v>
      </c>
      <c r="B2132">
        <v>2015</v>
      </c>
      <c r="C2132" t="s">
        <v>36</v>
      </c>
      <c r="D2132" s="2">
        <v>42064</v>
      </c>
      <c r="E2132" t="s">
        <v>27</v>
      </c>
      <c r="F2132">
        <v>111.3</v>
      </c>
      <c r="G2132" t="str">
        <f>VLOOKUP(Table1_2[[#This Row],[Categories]],Sheet3!$A$1:$B$27,2,FALSE)</f>
        <v>Household Items</v>
      </c>
    </row>
    <row r="2133" spans="1:7" x14ac:dyDescent="0.3">
      <c r="A2133" t="s">
        <v>33</v>
      </c>
      <c r="B2133">
        <v>2015</v>
      </c>
      <c r="C2133" t="s">
        <v>36</v>
      </c>
      <c r="D2133" s="2">
        <v>42064</v>
      </c>
      <c r="E2133" t="s">
        <v>28</v>
      </c>
      <c r="F2133">
        <v>113.8</v>
      </c>
      <c r="G2133" t="str">
        <f>VLOOKUP(Table1_2[[#This Row],[Categories]],Sheet3!$A$1:$B$27,2,FALSE)</f>
        <v>Miscellaneous</v>
      </c>
    </row>
    <row r="2134" spans="1:7" x14ac:dyDescent="0.3">
      <c r="A2134" t="s">
        <v>33</v>
      </c>
      <c r="B2134">
        <v>2015</v>
      </c>
      <c r="C2134" t="s">
        <v>36</v>
      </c>
      <c r="D2134" s="2">
        <v>42064</v>
      </c>
      <c r="E2134" t="s">
        <v>29</v>
      </c>
      <c r="F2134">
        <v>119.1</v>
      </c>
      <c r="G2134" t="str">
        <f>VLOOKUP(Table1_2[[#This Row],[Categories]],Sheet3!$A$1:$B$27,2,FALSE)</f>
        <v>General index</v>
      </c>
    </row>
    <row r="2135" spans="1:7" x14ac:dyDescent="0.3">
      <c r="A2135" t="s">
        <v>34</v>
      </c>
      <c r="B2135">
        <v>2015</v>
      </c>
      <c r="C2135" t="s">
        <v>36</v>
      </c>
      <c r="D2135" s="2">
        <v>42064</v>
      </c>
      <c r="E2135" t="s">
        <v>3</v>
      </c>
      <c r="F2135">
        <v>123.5</v>
      </c>
      <c r="G2135" t="str">
        <f>VLOOKUP(Table1_2[[#This Row],[Categories]],Sheet3!$A$1:$B$27,2,FALSE)</f>
        <v>Food &amp;Beverage</v>
      </c>
    </row>
    <row r="2136" spans="1:7" x14ac:dyDescent="0.3">
      <c r="A2136" t="s">
        <v>34</v>
      </c>
      <c r="B2136">
        <v>2015</v>
      </c>
      <c r="C2136" t="s">
        <v>36</v>
      </c>
      <c r="D2136" s="2">
        <v>42064</v>
      </c>
      <c r="E2136" t="s">
        <v>4</v>
      </c>
      <c r="F2136">
        <v>125.4</v>
      </c>
      <c r="G2136" t="str">
        <f>VLOOKUP(Table1_2[[#This Row],[Categories]],Sheet3!$A$1:$B$27,2,FALSE)</f>
        <v>Food &amp;Beverage</v>
      </c>
    </row>
    <row r="2137" spans="1:7" x14ac:dyDescent="0.3">
      <c r="A2137" t="s">
        <v>34</v>
      </c>
      <c r="B2137">
        <v>2015</v>
      </c>
      <c r="C2137" t="s">
        <v>36</v>
      </c>
      <c r="D2137" s="2">
        <v>42064</v>
      </c>
      <c r="E2137" t="s">
        <v>5</v>
      </c>
      <c r="F2137">
        <v>116.8</v>
      </c>
      <c r="G2137" t="str">
        <f>VLOOKUP(Table1_2[[#This Row],[Categories]],Sheet3!$A$1:$B$27,2,FALSE)</f>
        <v>Food &amp;Beverage</v>
      </c>
    </row>
    <row r="2138" spans="1:7" x14ac:dyDescent="0.3">
      <c r="A2138" t="s">
        <v>34</v>
      </c>
      <c r="B2138">
        <v>2015</v>
      </c>
      <c r="C2138" t="s">
        <v>36</v>
      </c>
      <c r="D2138" s="2">
        <v>42064</v>
      </c>
      <c r="E2138" t="s">
        <v>6</v>
      </c>
      <c r="F2138">
        <v>126</v>
      </c>
      <c r="G2138" t="str">
        <f>VLOOKUP(Table1_2[[#This Row],[Categories]],Sheet3!$A$1:$B$27,2,FALSE)</f>
        <v>Food &amp;Beverage</v>
      </c>
    </row>
    <row r="2139" spans="1:7" x14ac:dyDescent="0.3">
      <c r="A2139" t="s">
        <v>34</v>
      </c>
      <c r="B2139">
        <v>2015</v>
      </c>
      <c r="C2139" t="s">
        <v>36</v>
      </c>
      <c r="D2139" s="2">
        <v>42064</v>
      </c>
      <c r="E2139" t="s">
        <v>7</v>
      </c>
      <c r="F2139">
        <v>109.2</v>
      </c>
      <c r="G2139" t="str">
        <f>VLOOKUP(Table1_2[[#This Row],[Categories]],Sheet3!$A$1:$B$27,2,FALSE)</f>
        <v>Food &amp;Beverage</v>
      </c>
    </row>
    <row r="2140" spans="1:7" x14ac:dyDescent="0.3">
      <c r="A2140" t="s">
        <v>34</v>
      </c>
      <c r="B2140">
        <v>2015</v>
      </c>
      <c r="C2140" t="s">
        <v>36</v>
      </c>
      <c r="D2140" s="2">
        <v>42064</v>
      </c>
      <c r="E2140" t="s">
        <v>8</v>
      </c>
      <c r="F2140">
        <v>127.6</v>
      </c>
      <c r="G2140" t="str">
        <f>VLOOKUP(Table1_2[[#This Row],[Categories]],Sheet3!$A$1:$B$27,2,FALSE)</f>
        <v>Food &amp;Beverage</v>
      </c>
    </row>
    <row r="2141" spans="1:7" x14ac:dyDescent="0.3">
      <c r="A2141" t="s">
        <v>34</v>
      </c>
      <c r="B2141">
        <v>2015</v>
      </c>
      <c r="C2141" t="s">
        <v>36</v>
      </c>
      <c r="D2141" s="2">
        <v>42064</v>
      </c>
      <c r="E2141" t="s">
        <v>9</v>
      </c>
      <c r="F2141">
        <v>129.19999999999999</v>
      </c>
      <c r="G2141" t="str">
        <f>VLOOKUP(Table1_2[[#This Row],[Categories]],Sheet3!$A$1:$B$27,2,FALSE)</f>
        <v>Food &amp;Beverage</v>
      </c>
    </row>
    <row r="2142" spans="1:7" x14ac:dyDescent="0.3">
      <c r="A2142" t="s">
        <v>34</v>
      </c>
      <c r="B2142">
        <v>2015</v>
      </c>
      <c r="C2142" t="s">
        <v>36</v>
      </c>
      <c r="D2142" s="2">
        <v>42064</v>
      </c>
      <c r="E2142" t="s">
        <v>10</v>
      </c>
      <c r="F2142">
        <v>122.4</v>
      </c>
      <c r="G2142" t="str">
        <f>VLOOKUP(Table1_2[[#This Row],[Categories]],Sheet3!$A$1:$B$27,2,FALSE)</f>
        <v>Food &amp;Beverage</v>
      </c>
    </row>
    <row r="2143" spans="1:7" x14ac:dyDescent="0.3">
      <c r="A2143" t="s">
        <v>34</v>
      </c>
      <c r="B2143">
        <v>2015</v>
      </c>
      <c r="C2143" t="s">
        <v>36</v>
      </c>
      <c r="D2143" s="2">
        <v>42064</v>
      </c>
      <c r="E2143" t="s">
        <v>11</v>
      </c>
      <c r="F2143">
        <v>97</v>
      </c>
      <c r="G2143" t="str">
        <f>VLOOKUP(Table1_2[[#This Row],[Categories]],Sheet3!$A$1:$B$27,2,FALSE)</f>
        <v>Food &amp;Beverage</v>
      </c>
    </row>
    <row r="2144" spans="1:7" x14ac:dyDescent="0.3">
      <c r="A2144" t="s">
        <v>34</v>
      </c>
      <c r="B2144">
        <v>2015</v>
      </c>
      <c r="C2144" t="s">
        <v>36</v>
      </c>
      <c r="D2144" s="2">
        <v>42064</v>
      </c>
      <c r="E2144" t="s">
        <v>12</v>
      </c>
      <c r="F2144">
        <v>122.1</v>
      </c>
      <c r="G2144" t="str">
        <f>VLOOKUP(Table1_2[[#This Row],[Categories]],Sheet3!$A$1:$B$27,2,FALSE)</f>
        <v>Food &amp;Beverage</v>
      </c>
    </row>
    <row r="2145" spans="1:7" x14ac:dyDescent="0.3">
      <c r="A2145" t="s">
        <v>34</v>
      </c>
      <c r="B2145">
        <v>2015</v>
      </c>
      <c r="C2145" t="s">
        <v>36</v>
      </c>
      <c r="D2145" s="2">
        <v>42064</v>
      </c>
      <c r="E2145" t="s">
        <v>13</v>
      </c>
      <c r="F2145">
        <v>118.1</v>
      </c>
      <c r="G2145" t="str">
        <f>VLOOKUP(Table1_2[[#This Row],[Categories]],Sheet3!$A$1:$B$27,2,FALSE)</f>
        <v>Food &amp;Beverage</v>
      </c>
    </row>
    <row r="2146" spans="1:7" x14ac:dyDescent="0.3">
      <c r="A2146" t="s">
        <v>34</v>
      </c>
      <c r="B2146">
        <v>2015</v>
      </c>
      <c r="C2146" t="s">
        <v>36</v>
      </c>
      <c r="D2146" s="2">
        <v>42064</v>
      </c>
      <c r="E2146" t="s">
        <v>14</v>
      </c>
      <c r="F2146">
        <v>128.4</v>
      </c>
      <c r="G2146" t="str">
        <f>VLOOKUP(Table1_2[[#This Row],[Categories]],Sheet3!$A$1:$B$27,2,FALSE)</f>
        <v>Food &amp;Beverage</v>
      </c>
    </row>
    <row r="2147" spans="1:7" x14ac:dyDescent="0.3">
      <c r="A2147" t="s">
        <v>34</v>
      </c>
      <c r="B2147">
        <v>2015</v>
      </c>
      <c r="C2147" t="s">
        <v>36</v>
      </c>
      <c r="D2147" s="2">
        <v>42064</v>
      </c>
      <c r="E2147" t="s">
        <v>15</v>
      </c>
      <c r="F2147">
        <v>123.4</v>
      </c>
      <c r="G2147" t="str">
        <f>VLOOKUP(Table1_2[[#This Row],[Categories]],Sheet3!$A$1:$B$27,2,FALSE)</f>
        <v>Food &amp;Beverage</v>
      </c>
    </row>
    <row r="2148" spans="1:7" x14ac:dyDescent="0.3">
      <c r="A2148" t="s">
        <v>34</v>
      </c>
      <c r="B2148">
        <v>2015</v>
      </c>
      <c r="C2148" t="s">
        <v>36</v>
      </c>
      <c r="D2148" s="2">
        <v>42064</v>
      </c>
      <c r="E2148" t="s">
        <v>16</v>
      </c>
      <c r="F2148">
        <v>125.8</v>
      </c>
      <c r="G2148" t="str">
        <f>VLOOKUP(Table1_2[[#This Row],[Categories]],Sheet3!$A$1:$B$27,2,FALSE)</f>
        <v>Recreation and amusement</v>
      </c>
    </row>
    <row r="2149" spans="1:7" x14ac:dyDescent="0.3">
      <c r="A2149" t="s">
        <v>34</v>
      </c>
      <c r="B2149">
        <v>2015</v>
      </c>
      <c r="C2149" t="s">
        <v>36</v>
      </c>
      <c r="D2149" s="2">
        <v>42064</v>
      </c>
      <c r="E2149" t="s">
        <v>17</v>
      </c>
      <c r="F2149">
        <v>124.3</v>
      </c>
      <c r="G2149" t="str">
        <f>VLOOKUP(Table1_2[[#This Row],[Categories]],Sheet3!$A$1:$B$27,2,FALSE)</f>
        <v>Clothing and footwear</v>
      </c>
    </row>
    <row r="2150" spans="1:7" x14ac:dyDescent="0.3">
      <c r="A2150" t="s">
        <v>34</v>
      </c>
      <c r="B2150">
        <v>2015</v>
      </c>
      <c r="C2150" t="s">
        <v>36</v>
      </c>
      <c r="D2150" s="2">
        <v>42064</v>
      </c>
      <c r="E2150" t="s">
        <v>18</v>
      </c>
      <c r="F2150">
        <v>120.4</v>
      </c>
      <c r="G2150" t="str">
        <f>VLOOKUP(Table1_2[[#This Row],[Categories]],Sheet3!$A$1:$B$27,2,FALSE)</f>
        <v>Clothing and footwear</v>
      </c>
    </row>
    <row r="2151" spans="1:7" x14ac:dyDescent="0.3">
      <c r="A2151" t="s">
        <v>34</v>
      </c>
      <c r="B2151">
        <v>2015</v>
      </c>
      <c r="C2151" t="s">
        <v>36</v>
      </c>
      <c r="D2151" s="2">
        <v>42064</v>
      </c>
      <c r="E2151" t="s">
        <v>19</v>
      </c>
      <c r="F2151">
        <v>123.7</v>
      </c>
      <c r="G2151" t="str">
        <f>VLOOKUP(Table1_2[[#This Row],[Categories]],Sheet3!$A$1:$B$27,2,FALSE)</f>
        <v>Clothing and footwear</v>
      </c>
    </row>
    <row r="2152" spans="1:7" x14ac:dyDescent="0.3">
      <c r="A2152" t="s">
        <v>34</v>
      </c>
      <c r="B2152">
        <v>2015</v>
      </c>
      <c r="C2152" t="s">
        <v>36</v>
      </c>
      <c r="D2152" s="2">
        <v>42064</v>
      </c>
      <c r="E2152" t="s">
        <v>20</v>
      </c>
      <c r="F2152">
        <v>118.6</v>
      </c>
      <c r="G2152" t="str">
        <f>VLOOKUP(Table1_2[[#This Row],[Categories]],Sheet3!$A$1:$B$27,2,FALSE)</f>
        <v>Housing</v>
      </c>
    </row>
    <row r="2153" spans="1:7" x14ac:dyDescent="0.3">
      <c r="A2153" t="s">
        <v>34</v>
      </c>
      <c r="B2153">
        <v>2015</v>
      </c>
      <c r="C2153" t="s">
        <v>36</v>
      </c>
      <c r="D2153" s="2">
        <v>42064</v>
      </c>
      <c r="E2153" t="s">
        <v>21</v>
      </c>
      <c r="F2153">
        <v>118.3</v>
      </c>
      <c r="G2153" t="str">
        <f>VLOOKUP(Table1_2[[#This Row],[Categories]],Sheet3!$A$1:$B$27,2,FALSE)</f>
        <v>Fuel and light</v>
      </c>
    </row>
    <row r="2154" spans="1:7" x14ac:dyDescent="0.3">
      <c r="A2154" t="s">
        <v>34</v>
      </c>
      <c r="B2154">
        <v>2015</v>
      </c>
      <c r="C2154" t="s">
        <v>36</v>
      </c>
      <c r="D2154" s="2">
        <v>42064</v>
      </c>
      <c r="E2154" t="s">
        <v>22</v>
      </c>
      <c r="F2154">
        <v>119.2</v>
      </c>
      <c r="G2154" t="str">
        <f>VLOOKUP(Table1_2[[#This Row],[Categories]],Sheet3!$A$1:$B$27,2,FALSE)</f>
        <v>Household Items</v>
      </c>
    </row>
    <row r="2155" spans="1:7" x14ac:dyDescent="0.3">
      <c r="A2155" t="s">
        <v>34</v>
      </c>
      <c r="B2155">
        <v>2015</v>
      </c>
      <c r="C2155" t="s">
        <v>36</v>
      </c>
      <c r="D2155" s="2">
        <v>42064</v>
      </c>
      <c r="E2155" t="s">
        <v>23</v>
      </c>
      <c r="F2155">
        <v>116.7</v>
      </c>
      <c r="G2155" t="str">
        <f>VLOOKUP(Table1_2[[#This Row],[Categories]],Sheet3!$A$1:$B$27,2,FALSE)</f>
        <v>Health</v>
      </c>
    </row>
    <row r="2156" spans="1:7" x14ac:dyDescent="0.3">
      <c r="A2156" t="s">
        <v>34</v>
      </c>
      <c r="B2156">
        <v>2015</v>
      </c>
      <c r="C2156" t="s">
        <v>36</v>
      </c>
      <c r="D2156" s="2">
        <v>42064</v>
      </c>
      <c r="E2156" t="s">
        <v>24</v>
      </c>
      <c r="F2156">
        <v>109.9</v>
      </c>
      <c r="G2156" t="str">
        <f>VLOOKUP(Table1_2[[#This Row],[Categories]],Sheet3!$A$1:$B$27,2,FALSE)</f>
        <v>Transport and communication</v>
      </c>
    </row>
    <row r="2157" spans="1:7" x14ac:dyDescent="0.3">
      <c r="A2157" t="s">
        <v>34</v>
      </c>
      <c r="B2157">
        <v>2015</v>
      </c>
      <c r="C2157" t="s">
        <v>36</v>
      </c>
      <c r="D2157" s="2">
        <v>42064</v>
      </c>
      <c r="E2157" t="s">
        <v>25</v>
      </c>
      <c r="F2157">
        <v>115.4</v>
      </c>
      <c r="G2157" t="str">
        <f>VLOOKUP(Table1_2[[#This Row],[Categories]],Sheet3!$A$1:$B$27,2,FALSE)</f>
        <v>Recreation and amusement</v>
      </c>
    </row>
    <row r="2158" spans="1:7" x14ac:dyDescent="0.3">
      <c r="A2158" t="s">
        <v>34</v>
      </c>
      <c r="B2158">
        <v>2015</v>
      </c>
      <c r="C2158" t="s">
        <v>36</v>
      </c>
      <c r="D2158" s="2">
        <v>42064</v>
      </c>
      <c r="E2158" t="s">
        <v>26</v>
      </c>
      <c r="F2158">
        <v>120.1</v>
      </c>
      <c r="G2158" t="str">
        <f>VLOOKUP(Table1_2[[#This Row],[Categories]],Sheet3!$A$1:$B$27,2,FALSE)</f>
        <v>Education</v>
      </c>
    </row>
    <row r="2159" spans="1:7" x14ac:dyDescent="0.3">
      <c r="A2159" t="s">
        <v>34</v>
      </c>
      <c r="B2159">
        <v>2015</v>
      </c>
      <c r="C2159" t="s">
        <v>36</v>
      </c>
      <c r="D2159" s="2">
        <v>42064</v>
      </c>
      <c r="E2159" t="s">
        <v>27</v>
      </c>
      <c r="F2159">
        <v>111</v>
      </c>
      <c r="G2159" t="str">
        <f>VLOOKUP(Table1_2[[#This Row],[Categories]],Sheet3!$A$1:$B$27,2,FALSE)</f>
        <v>Household Items</v>
      </c>
    </row>
    <row r="2160" spans="1:7" x14ac:dyDescent="0.3">
      <c r="A2160" t="s">
        <v>34</v>
      </c>
      <c r="B2160">
        <v>2015</v>
      </c>
      <c r="C2160" t="s">
        <v>36</v>
      </c>
      <c r="D2160" s="2">
        <v>42064</v>
      </c>
      <c r="E2160" t="s">
        <v>28</v>
      </c>
      <c r="F2160">
        <v>114.7</v>
      </c>
      <c r="G2160" t="str">
        <f>VLOOKUP(Table1_2[[#This Row],[Categories]],Sheet3!$A$1:$B$27,2,FALSE)</f>
        <v>Miscellaneous</v>
      </c>
    </row>
    <row r="2161" spans="1:7" x14ac:dyDescent="0.3">
      <c r="A2161" t="s">
        <v>34</v>
      </c>
      <c r="B2161">
        <v>2015</v>
      </c>
      <c r="C2161" t="s">
        <v>36</v>
      </c>
      <c r="D2161" s="2">
        <v>42064</v>
      </c>
      <c r="E2161" t="s">
        <v>29</v>
      </c>
      <c r="F2161">
        <v>120.2</v>
      </c>
      <c r="G2161" t="str">
        <f>VLOOKUP(Table1_2[[#This Row],[Categories]],Sheet3!$A$1:$B$27,2,FALSE)</f>
        <v>General index</v>
      </c>
    </row>
    <row r="2162" spans="1:7" x14ac:dyDescent="0.3">
      <c r="A2162" t="s">
        <v>30</v>
      </c>
      <c r="B2162">
        <v>2015</v>
      </c>
      <c r="C2162" t="s">
        <v>37</v>
      </c>
      <c r="D2162" s="2">
        <v>42095</v>
      </c>
      <c r="E2162" t="s">
        <v>3</v>
      </c>
      <c r="F2162">
        <v>123.3</v>
      </c>
      <c r="G2162" t="str">
        <f>VLOOKUP(Table1_2[[#This Row],[Categories]],Sheet3!$A$1:$B$27,2,FALSE)</f>
        <v>Food &amp;Beverage</v>
      </c>
    </row>
    <row r="2163" spans="1:7" x14ac:dyDescent="0.3">
      <c r="A2163" t="s">
        <v>30</v>
      </c>
      <c r="B2163">
        <v>2015</v>
      </c>
      <c r="C2163" t="s">
        <v>37</v>
      </c>
      <c r="D2163" s="2">
        <v>42095</v>
      </c>
      <c r="E2163" t="s">
        <v>4</v>
      </c>
      <c r="F2163">
        <v>125.5</v>
      </c>
      <c r="G2163" t="str">
        <f>VLOOKUP(Table1_2[[#This Row],[Categories]],Sheet3!$A$1:$B$27,2,FALSE)</f>
        <v>Food &amp;Beverage</v>
      </c>
    </row>
    <row r="2164" spans="1:7" x14ac:dyDescent="0.3">
      <c r="A2164" t="s">
        <v>30</v>
      </c>
      <c r="B2164">
        <v>2015</v>
      </c>
      <c r="C2164" t="s">
        <v>37</v>
      </c>
      <c r="D2164" s="2">
        <v>42095</v>
      </c>
      <c r="E2164" t="s">
        <v>5</v>
      </c>
      <c r="F2164">
        <v>117.2</v>
      </c>
      <c r="G2164" t="str">
        <f>VLOOKUP(Table1_2[[#This Row],[Categories]],Sheet3!$A$1:$B$27,2,FALSE)</f>
        <v>Food &amp;Beverage</v>
      </c>
    </row>
    <row r="2165" spans="1:7" x14ac:dyDescent="0.3">
      <c r="A2165" t="s">
        <v>30</v>
      </c>
      <c r="B2165">
        <v>2015</v>
      </c>
      <c r="C2165" t="s">
        <v>37</v>
      </c>
      <c r="D2165" s="2">
        <v>42095</v>
      </c>
      <c r="E2165" t="s">
        <v>6</v>
      </c>
      <c r="F2165">
        <v>126.8</v>
      </c>
      <c r="G2165" t="str">
        <f>VLOOKUP(Table1_2[[#This Row],[Categories]],Sheet3!$A$1:$B$27,2,FALSE)</f>
        <v>Food &amp;Beverage</v>
      </c>
    </row>
    <row r="2166" spans="1:7" x14ac:dyDescent="0.3">
      <c r="A2166" t="s">
        <v>30</v>
      </c>
      <c r="B2166">
        <v>2015</v>
      </c>
      <c r="C2166" t="s">
        <v>37</v>
      </c>
      <c r="D2166" s="2">
        <v>42095</v>
      </c>
      <c r="E2166" t="s">
        <v>7</v>
      </c>
      <c r="F2166">
        <v>111.9</v>
      </c>
      <c r="G2166" t="str">
        <f>VLOOKUP(Table1_2[[#This Row],[Categories]],Sheet3!$A$1:$B$27,2,FALSE)</f>
        <v>Food &amp;Beverage</v>
      </c>
    </row>
    <row r="2167" spans="1:7" x14ac:dyDescent="0.3">
      <c r="A2167" t="s">
        <v>30</v>
      </c>
      <c r="B2167">
        <v>2015</v>
      </c>
      <c r="C2167" t="s">
        <v>37</v>
      </c>
      <c r="D2167" s="2">
        <v>42095</v>
      </c>
      <c r="E2167" t="s">
        <v>8</v>
      </c>
      <c r="F2167">
        <v>134.19999999999999</v>
      </c>
      <c r="G2167" t="str">
        <f>VLOOKUP(Table1_2[[#This Row],[Categories]],Sheet3!$A$1:$B$27,2,FALSE)</f>
        <v>Food &amp;Beverage</v>
      </c>
    </row>
    <row r="2168" spans="1:7" x14ac:dyDescent="0.3">
      <c r="A2168" t="s">
        <v>30</v>
      </c>
      <c r="B2168">
        <v>2015</v>
      </c>
      <c r="C2168" t="s">
        <v>37</v>
      </c>
      <c r="D2168" s="2">
        <v>42095</v>
      </c>
      <c r="E2168" t="s">
        <v>9</v>
      </c>
      <c r="F2168">
        <v>127.5</v>
      </c>
      <c r="G2168" t="str">
        <f>VLOOKUP(Table1_2[[#This Row],[Categories]],Sheet3!$A$1:$B$27,2,FALSE)</f>
        <v>Food &amp;Beverage</v>
      </c>
    </row>
    <row r="2169" spans="1:7" x14ac:dyDescent="0.3">
      <c r="A2169" t="s">
        <v>30</v>
      </c>
      <c r="B2169">
        <v>2015</v>
      </c>
      <c r="C2169" t="s">
        <v>37</v>
      </c>
      <c r="D2169" s="2">
        <v>42095</v>
      </c>
      <c r="E2169" t="s">
        <v>10</v>
      </c>
      <c r="F2169">
        <v>121.5</v>
      </c>
      <c r="G2169" t="str">
        <f>VLOOKUP(Table1_2[[#This Row],[Categories]],Sheet3!$A$1:$B$27,2,FALSE)</f>
        <v>Food &amp;Beverage</v>
      </c>
    </row>
    <row r="2170" spans="1:7" x14ac:dyDescent="0.3">
      <c r="A2170" t="s">
        <v>30</v>
      </c>
      <c r="B2170">
        <v>2015</v>
      </c>
      <c r="C2170" t="s">
        <v>37</v>
      </c>
      <c r="D2170" s="2">
        <v>42095</v>
      </c>
      <c r="E2170" t="s">
        <v>11</v>
      </c>
      <c r="F2170">
        <v>97.8</v>
      </c>
      <c r="G2170" t="str">
        <f>VLOOKUP(Table1_2[[#This Row],[Categories]],Sheet3!$A$1:$B$27,2,FALSE)</f>
        <v>Food &amp;Beverage</v>
      </c>
    </row>
    <row r="2171" spans="1:7" x14ac:dyDescent="0.3">
      <c r="A2171" t="s">
        <v>30</v>
      </c>
      <c r="B2171">
        <v>2015</v>
      </c>
      <c r="C2171" t="s">
        <v>37</v>
      </c>
      <c r="D2171" s="2">
        <v>42095</v>
      </c>
      <c r="E2171" t="s">
        <v>12</v>
      </c>
      <c r="F2171">
        <v>119.8</v>
      </c>
      <c r="G2171" t="str">
        <f>VLOOKUP(Table1_2[[#This Row],[Categories]],Sheet3!$A$1:$B$27,2,FALSE)</f>
        <v>Food &amp;Beverage</v>
      </c>
    </row>
    <row r="2172" spans="1:7" x14ac:dyDescent="0.3">
      <c r="A2172" t="s">
        <v>30</v>
      </c>
      <c r="B2172">
        <v>2015</v>
      </c>
      <c r="C2172" t="s">
        <v>37</v>
      </c>
      <c r="D2172" s="2">
        <v>42095</v>
      </c>
      <c r="E2172" t="s">
        <v>13</v>
      </c>
      <c r="F2172">
        <v>119.4</v>
      </c>
      <c r="G2172" t="str">
        <f>VLOOKUP(Table1_2[[#This Row],[Categories]],Sheet3!$A$1:$B$27,2,FALSE)</f>
        <v>Food &amp;Beverage</v>
      </c>
    </row>
    <row r="2173" spans="1:7" x14ac:dyDescent="0.3">
      <c r="A2173" t="s">
        <v>30</v>
      </c>
      <c r="B2173">
        <v>2015</v>
      </c>
      <c r="C2173" t="s">
        <v>37</v>
      </c>
      <c r="D2173" s="2">
        <v>42095</v>
      </c>
      <c r="E2173" t="s">
        <v>14</v>
      </c>
      <c r="F2173">
        <v>128.69999999999999</v>
      </c>
      <c r="G2173" t="str">
        <f>VLOOKUP(Table1_2[[#This Row],[Categories]],Sheet3!$A$1:$B$27,2,FALSE)</f>
        <v>Food &amp;Beverage</v>
      </c>
    </row>
    <row r="2174" spans="1:7" x14ac:dyDescent="0.3">
      <c r="A2174" t="s">
        <v>30</v>
      </c>
      <c r="B2174">
        <v>2015</v>
      </c>
      <c r="C2174" t="s">
        <v>37</v>
      </c>
      <c r="D2174" s="2">
        <v>42095</v>
      </c>
      <c r="E2174" t="s">
        <v>15</v>
      </c>
      <c r="F2174">
        <v>123.6</v>
      </c>
      <c r="G2174" t="str">
        <f>VLOOKUP(Table1_2[[#This Row],[Categories]],Sheet3!$A$1:$B$27,2,FALSE)</f>
        <v>Food &amp;Beverage</v>
      </c>
    </row>
    <row r="2175" spans="1:7" x14ac:dyDescent="0.3">
      <c r="A2175" t="s">
        <v>30</v>
      </c>
      <c r="B2175">
        <v>2015</v>
      </c>
      <c r="C2175" t="s">
        <v>37</v>
      </c>
      <c r="D2175" s="2">
        <v>42095</v>
      </c>
      <c r="E2175" t="s">
        <v>16</v>
      </c>
      <c r="F2175">
        <v>125.7</v>
      </c>
      <c r="G2175" t="str">
        <f>VLOOKUP(Table1_2[[#This Row],[Categories]],Sheet3!$A$1:$B$27,2,FALSE)</f>
        <v>Recreation and amusement</v>
      </c>
    </row>
    <row r="2176" spans="1:7" x14ac:dyDescent="0.3">
      <c r="A2176" t="s">
        <v>30</v>
      </c>
      <c r="B2176">
        <v>2015</v>
      </c>
      <c r="C2176" t="s">
        <v>37</v>
      </c>
      <c r="D2176" s="2">
        <v>42095</v>
      </c>
      <c r="E2176" t="s">
        <v>17</v>
      </c>
      <c r="F2176">
        <v>126.4</v>
      </c>
      <c r="G2176" t="str">
        <f>VLOOKUP(Table1_2[[#This Row],[Categories]],Sheet3!$A$1:$B$27,2,FALSE)</f>
        <v>Clothing and footwear</v>
      </c>
    </row>
    <row r="2177" spans="1:7" x14ac:dyDescent="0.3">
      <c r="A2177" t="s">
        <v>30</v>
      </c>
      <c r="B2177">
        <v>2015</v>
      </c>
      <c r="C2177" t="s">
        <v>37</v>
      </c>
      <c r="D2177" s="2">
        <v>42095</v>
      </c>
      <c r="E2177" t="s">
        <v>18</v>
      </c>
      <c r="F2177">
        <v>123.3</v>
      </c>
      <c r="G2177" t="str">
        <f>VLOOKUP(Table1_2[[#This Row],[Categories]],Sheet3!$A$1:$B$27,2,FALSE)</f>
        <v>Clothing and footwear</v>
      </c>
    </row>
    <row r="2178" spans="1:7" x14ac:dyDescent="0.3">
      <c r="A2178" t="s">
        <v>30</v>
      </c>
      <c r="B2178">
        <v>2015</v>
      </c>
      <c r="C2178" t="s">
        <v>37</v>
      </c>
      <c r="D2178" s="2">
        <v>42095</v>
      </c>
      <c r="E2178" t="s">
        <v>19</v>
      </c>
      <c r="F2178">
        <v>126</v>
      </c>
      <c r="G2178" t="str">
        <f>VLOOKUP(Table1_2[[#This Row],[Categories]],Sheet3!$A$1:$B$27,2,FALSE)</f>
        <v>Clothing and footwear</v>
      </c>
    </row>
    <row r="2179" spans="1:7" x14ac:dyDescent="0.3">
      <c r="A2179" t="s">
        <v>30</v>
      </c>
      <c r="B2179">
        <v>2015</v>
      </c>
      <c r="C2179" t="s">
        <v>37</v>
      </c>
      <c r="D2179" s="2">
        <v>42095</v>
      </c>
      <c r="E2179" t="s">
        <v>21</v>
      </c>
      <c r="F2179">
        <v>121.2</v>
      </c>
      <c r="G2179" t="str">
        <f>VLOOKUP(Table1_2[[#This Row],[Categories]],Sheet3!$A$1:$B$27,2,FALSE)</f>
        <v>Fuel and light</v>
      </c>
    </row>
    <row r="2180" spans="1:7" x14ac:dyDescent="0.3">
      <c r="A2180" t="s">
        <v>30</v>
      </c>
      <c r="B2180">
        <v>2015</v>
      </c>
      <c r="C2180" t="s">
        <v>37</v>
      </c>
      <c r="D2180" s="2">
        <v>42095</v>
      </c>
      <c r="E2180" t="s">
        <v>22</v>
      </c>
      <c r="F2180">
        <v>120.9</v>
      </c>
      <c r="G2180" t="str">
        <f>VLOOKUP(Table1_2[[#This Row],[Categories]],Sheet3!$A$1:$B$27,2,FALSE)</f>
        <v>Household Items</v>
      </c>
    </row>
    <row r="2181" spans="1:7" x14ac:dyDescent="0.3">
      <c r="A2181" t="s">
        <v>30</v>
      </c>
      <c r="B2181">
        <v>2015</v>
      </c>
      <c r="C2181" t="s">
        <v>37</v>
      </c>
      <c r="D2181" s="2">
        <v>42095</v>
      </c>
      <c r="E2181" t="s">
        <v>23</v>
      </c>
      <c r="F2181">
        <v>118.6</v>
      </c>
      <c r="G2181" t="str">
        <f>VLOOKUP(Table1_2[[#This Row],[Categories]],Sheet3!$A$1:$B$27,2,FALSE)</f>
        <v>Health</v>
      </c>
    </row>
    <row r="2182" spans="1:7" x14ac:dyDescent="0.3">
      <c r="A2182" t="s">
        <v>30</v>
      </c>
      <c r="B2182">
        <v>2015</v>
      </c>
      <c r="C2182" t="s">
        <v>37</v>
      </c>
      <c r="D2182" s="2">
        <v>42095</v>
      </c>
      <c r="E2182" t="s">
        <v>24</v>
      </c>
      <c r="F2182">
        <v>111.9</v>
      </c>
      <c r="G2182" t="str">
        <f>VLOOKUP(Table1_2[[#This Row],[Categories]],Sheet3!$A$1:$B$27,2,FALSE)</f>
        <v>Transport and communication</v>
      </c>
    </row>
    <row r="2183" spans="1:7" x14ac:dyDescent="0.3">
      <c r="A2183" t="s">
        <v>30</v>
      </c>
      <c r="B2183">
        <v>2015</v>
      </c>
      <c r="C2183" t="s">
        <v>37</v>
      </c>
      <c r="D2183" s="2">
        <v>42095</v>
      </c>
      <c r="E2183" t="s">
        <v>25</v>
      </c>
      <c r="F2183">
        <v>116.2</v>
      </c>
      <c r="G2183" t="str">
        <f>VLOOKUP(Table1_2[[#This Row],[Categories]],Sheet3!$A$1:$B$27,2,FALSE)</f>
        <v>Recreation and amusement</v>
      </c>
    </row>
    <row r="2184" spans="1:7" x14ac:dyDescent="0.3">
      <c r="A2184" t="s">
        <v>30</v>
      </c>
      <c r="B2184">
        <v>2015</v>
      </c>
      <c r="C2184" t="s">
        <v>37</v>
      </c>
      <c r="D2184" s="2">
        <v>42095</v>
      </c>
      <c r="E2184" t="s">
        <v>26</v>
      </c>
      <c r="F2184">
        <v>119.9</v>
      </c>
      <c r="G2184" t="str">
        <f>VLOOKUP(Table1_2[[#This Row],[Categories]],Sheet3!$A$1:$B$27,2,FALSE)</f>
        <v>Education</v>
      </c>
    </row>
    <row r="2185" spans="1:7" x14ac:dyDescent="0.3">
      <c r="A2185" t="s">
        <v>30</v>
      </c>
      <c r="B2185">
        <v>2015</v>
      </c>
      <c r="C2185" t="s">
        <v>37</v>
      </c>
      <c r="D2185" s="2">
        <v>42095</v>
      </c>
      <c r="E2185" t="s">
        <v>27</v>
      </c>
      <c r="F2185">
        <v>111.6</v>
      </c>
      <c r="G2185" t="str">
        <f>VLOOKUP(Table1_2[[#This Row],[Categories]],Sheet3!$A$1:$B$27,2,FALSE)</f>
        <v>Household Items</v>
      </c>
    </row>
    <row r="2186" spans="1:7" x14ac:dyDescent="0.3">
      <c r="A2186" t="s">
        <v>30</v>
      </c>
      <c r="B2186">
        <v>2015</v>
      </c>
      <c r="C2186" t="s">
        <v>37</v>
      </c>
      <c r="D2186" s="2">
        <v>42095</v>
      </c>
      <c r="E2186" t="s">
        <v>28</v>
      </c>
      <c r="F2186">
        <v>116</v>
      </c>
      <c r="G2186" t="str">
        <f>VLOOKUP(Table1_2[[#This Row],[Categories]],Sheet3!$A$1:$B$27,2,FALSE)</f>
        <v>Miscellaneous</v>
      </c>
    </row>
    <row r="2187" spans="1:7" x14ac:dyDescent="0.3">
      <c r="A2187" t="s">
        <v>30</v>
      </c>
      <c r="B2187">
        <v>2015</v>
      </c>
      <c r="C2187" t="s">
        <v>37</v>
      </c>
      <c r="D2187" s="2">
        <v>42095</v>
      </c>
      <c r="E2187" t="s">
        <v>29</v>
      </c>
      <c r="F2187">
        <v>121.5</v>
      </c>
      <c r="G2187" t="str">
        <f>VLOOKUP(Table1_2[[#This Row],[Categories]],Sheet3!$A$1:$B$27,2,FALSE)</f>
        <v>General index</v>
      </c>
    </row>
    <row r="2188" spans="1:7" x14ac:dyDescent="0.3">
      <c r="A2188" t="s">
        <v>33</v>
      </c>
      <c r="B2188">
        <v>2015</v>
      </c>
      <c r="C2188" t="s">
        <v>37</v>
      </c>
      <c r="D2188" s="2">
        <v>42095</v>
      </c>
      <c r="E2188" t="s">
        <v>3</v>
      </c>
      <c r="F2188">
        <v>123.8</v>
      </c>
      <c r="G2188" t="str">
        <f>VLOOKUP(Table1_2[[#This Row],[Categories]],Sheet3!$A$1:$B$27,2,FALSE)</f>
        <v>Food &amp;Beverage</v>
      </c>
    </row>
    <row r="2189" spans="1:7" x14ac:dyDescent="0.3">
      <c r="A2189" t="s">
        <v>33</v>
      </c>
      <c r="B2189">
        <v>2015</v>
      </c>
      <c r="C2189" t="s">
        <v>37</v>
      </c>
      <c r="D2189" s="2">
        <v>42095</v>
      </c>
      <c r="E2189" t="s">
        <v>4</v>
      </c>
      <c r="F2189">
        <v>128.19999999999999</v>
      </c>
      <c r="G2189" t="str">
        <f>VLOOKUP(Table1_2[[#This Row],[Categories]],Sheet3!$A$1:$B$27,2,FALSE)</f>
        <v>Food &amp;Beverage</v>
      </c>
    </row>
    <row r="2190" spans="1:7" x14ac:dyDescent="0.3">
      <c r="A2190" t="s">
        <v>33</v>
      </c>
      <c r="B2190">
        <v>2015</v>
      </c>
      <c r="C2190" t="s">
        <v>37</v>
      </c>
      <c r="D2190" s="2">
        <v>42095</v>
      </c>
      <c r="E2190" t="s">
        <v>5</v>
      </c>
      <c r="F2190">
        <v>110</v>
      </c>
      <c r="G2190" t="str">
        <f>VLOOKUP(Table1_2[[#This Row],[Categories]],Sheet3!$A$1:$B$27,2,FALSE)</f>
        <v>Food &amp;Beverage</v>
      </c>
    </row>
    <row r="2191" spans="1:7" x14ac:dyDescent="0.3">
      <c r="A2191" t="s">
        <v>33</v>
      </c>
      <c r="B2191">
        <v>2015</v>
      </c>
      <c r="C2191" t="s">
        <v>37</v>
      </c>
      <c r="D2191" s="2">
        <v>42095</v>
      </c>
      <c r="E2191" t="s">
        <v>6</v>
      </c>
      <c r="F2191">
        <v>126.3</v>
      </c>
      <c r="G2191" t="str">
        <f>VLOOKUP(Table1_2[[#This Row],[Categories]],Sheet3!$A$1:$B$27,2,FALSE)</f>
        <v>Food &amp;Beverage</v>
      </c>
    </row>
    <row r="2192" spans="1:7" x14ac:dyDescent="0.3">
      <c r="A2192" t="s">
        <v>33</v>
      </c>
      <c r="B2192">
        <v>2015</v>
      </c>
      <c r="C2192" t="s">
        <v>37</v>
      </c>
      <c r="D2192" s="2">
        <v>42095</v>
      </c>
      <c r="E2192" t="s">
        <v>7</v>
      </c>
      <c r="F2192">
        <v>104.5</v>
      </c>
      <c r="G2192" t="str">
        <f>VLOOKUP(Table1_2[[#This Row],[Categories]],Sheet3!$A$1:$B$27,2,FALSE)</f>
        <v>Food &amp;Beverage</v>
      </c>
    </row>
    <row r="2193" spans="1:7" x14ac:dyDescent="0.3">
      <c r="A2193" t="s">
        <v>33</v>
      </c>
      <c r="B2193">
        <v>2015</v>
      </c>
      <c r="C2193" t="s">
        <v>37</v>
      </c>
      <c r="D2193" s="2">
        <v>42095</v>
      </c>
      <c r="E2193" t="s">
        <v>8</v>
      </c>
      <c r="F2193">
        <v>130.6</v>
      </c>
      <c r="G2193" t="str">
        <f>VLOOKUP(Table1_2[[#This Row],[Categories]],Sheet3!$A$1:$B$27,2,FALSE)</f>
        <v>Food &amp;Beverage</v>
      </c>
    </row>
    <row r="2194" spans="1:7" x14ac:dyDescent="0.3">
      <c r="A2194" t="s">
        <v>33</v>
      </c>
      <c r="B2194">
        <v>2015</v>
      </c>
      <c r="C2194" t="s">
        <v>37</v>
      </c>
      <c r="D2194" s="2">
        <v>42095</v>
      </c>
      <c r="E2194" t="s">
        <v>9</v>
      </c>
      <c r="F2194">
        <v>130.80000000000001</v>
      </c>
      <c r="G2194" t="str">
        <f>VLOOKUP(Table1_2[[#This Row],[Categories]],Sheet3!$A$1:$B$27,2,FALSE)</f>
        <v>Food &amp;Beverage</v>
      </c>
    </row>
    <row r="2195" spans="1:7" x14ac:dyDescent="0.3">
      <c r="A2195" t="s">
        <v>33</v>
      </c>
      <c r="B2195">
        <v>2015</v>
      </c>
      <c r="C2195" t="s">
        <v>37</v>
      </c>
      <c r="D2195" s="2">
        <v>42095</v>
      </c>
      <c r="E2195" t="s">
        <v>10</v>
      </c>
      <c r="F2195">
        <v>131.30000000000001</v>
      </c>
      <c r="G2195" t="str">
        <f>VLOOKUP(Table1_2[[#This Row],[Categories]],Sheet3!$A$1:$B$27,2,FALSE)</f>
        <v>Food &amp;Beverage</v>
      </c>
    </row>
    <row r="2196" spans="1:7" x14ac:dyDescent="0.3">
      <c r="A2196" t="s">
        <v>33</v>
      </c>
      <c r="B2196">
        <v>2015</v>
      </c>
      <c r="C2196" t="s">
        <v>37</v>
      </c>
      <c r="D2196" s="2">
        <v>42095</v>
      </c>
      <c r="E2196" t="s">
        <v>11</v>
      </c>
      <c r="F2196">
        <v>91.6</v>
      </c>
      <c r="G2196" t="str">
        <f>VLOOKUP(Table1_2[[#This Row],[Categories]],Sheet3!$A$1:$B$27,2,FALSE)</f>
        <v>Food &amp;Beverage</v>
      </c>
    </row>
    <row r="2197" spans="1:7" x14ac:dyDescent="0.3">
      <c r="A2197" t="s">
        <v>33</v>
      </c>
      <c r="B2197">
        <v>2015</v>
      </c>
      <c r="C2197" t="s">
        <v>37</v>
      </c>
      <c r="D2197" s="2">
        <v>42095</v>
      </c>
      <c r="E2197" t="s">
        <v>12</v>
      </c>
      <c r="F2197">
        <v>127.7</v>
      </c>
      <c r="G2197" t="str">
        <f>VLOOKUP(Table1_2[[#This Row],[Categories]],Sheet3!$A$1:$B$27,2,FALSE)</f>
        <v>Food &amp;Beverage</v>
      </c>
    </row>
    <row r="2198" spans="1:7" x14ac:dyDescent="0.3">
      <c r="A2198" t="s">
        <v>33</v>
      </c>
      <c r="B2198">
        <v>2015</v>
      </c>
      <c r="C2198" t="s">
        <v>37</v>
      </c>
      <c r="D2198" s="2">
        <v>42095</v>
      </c>
      <c r="E2198" t="s">
        <v>13</v>
      </c>
      <c r="F2198">
        <v>117.2</v>
      </c>
      <c r="G2198" t="str">
        <f>VLOOKUP(Table1_2[[#This Row],[Categories]],Sheet3!$A$1:$B$27,2,FALSE)</f>
        <v>Food &amp;Beverage</v>
      </c>
    </row>
    <row r="2199" spans="1:7" x14ac:dyDescent="0.3">
      <c r="A2199" t="s">
        <v>33</v>
      </c>
      <c r="B2199">
        <v>2015</v>
      </c>
      <c r="C2199" t="s">
        <v>37</v>
      </c>
      <c r="D2199" s="2">
        <v>42095</v>
      </c>
      <c r="E2199" t="s">
        <v>14</v>
      </c>
      <c r="F2199">
        <v>129.5</v>
      </c>
      <c r="G2199" t="str">
        <f>VLOOKUP(Table1_2[[#This Row],[Categories]],Sheet3!$A$1:$B$27,2,FALSE)</f>
        <v>Food &amp;Beverage</v>
      </c>
    </row>
    <row r="2200" spans="1:7" x14ac:dyDescent="0.3">
      <c r="A2200" t="s">
        <v>33</v>
      </c>
      <c r="B2200">
        <v>2015</v>
      </c>
      <c r="C2200" t="s">
        <v>37</v>
      </c>
      <c r="D2200" s="2">
        <v>42095</v>
      </c>
      <c r="E2200" t="s">
        <v>15</v>
      </c>
      <c r="F2200">
        <v>124.6</v>
      </c>
      <c r="G2200" t="str">
        <f>VLOOKUP(Table1_2[[#This Row],[Categories]],Sheet3!$A$1:$B$27,2,FALSE)</f>
        <v>Food &amp;Beverage</v>
      </c>
    </row>
    <row r="2201" spans="1:7" x14ac:dyDescent="0.3">
      <c r="A2201" t="s">
        <v>33</v>
      </c>
      <c r="B2201">
        <v>2015</v>
      </c>
      <c r="C2201" t="s">
        <v>37</v>
      </c>
      <c r="D2201" s="2">
        <v>42095</v>
      </c>
      <c r="E2201" t="s">
        <v>16</v>
      </c>
      <c r="F2201">
        <v>130.1</v>
      </c>
      <c r="G2201" t="str">
        <f>VLOOKUP(Table1_2[[#This Row],[Categories]],Sheet3!$A$1:$B$27,2,FALSE)</f>
        <v>Recreation and amusement</v>
      </c>
    </row>
    <row r="2202" spans="1:7" x14ac:dyDescent="0.3">
      <c r="A2202" t="s">
        <v>33</v>
      </c>
      <c r="B2202">
        <v>2015</v>
      </c>
      <c r="C2202" t="s">
        <v>37</v>
      </c>
      <c r="D2202" s="2">
        <v>42095</v>
      </c>
      <c r="E2202" t="s">
        <v>17</v>
      </c>
      <c r="F2202">
        <v>122.1</v>
      </c>
      <c r="G2202" t="str">
        <f>VLOOKUP(Table1_2[[#This Row],[Categories]],Sheet3!$A$1:$B$27,2,FALSE)</f>
        <v>Clothing and footwear</v>
      </c>
    </row>
    <row r="2203" spans="1:7" x14ac:dyDescent="0.3">
      <c r="A2203" t="s">
        <v>33</v>
      </c>
      <c r="B2203">
        <v>2015</v>
      </c>
      <c r="C2203" t="s">
        <v>37</v>
      </c>
      <c r="D2203" s="2">
        <v>42095</v>
      </c>
      <c r="E2203" t="s">
        <v>18</v>
      </c>
      <c r="F2203">
        <v>117.2</v>
      </c>
      <c r="G2203" t="str">
        <f>VLOOKUP(Table1_2[[#This Row],[Categories]],Sheet3!$A$1:$B$27,2,FALSE)</f>
        <v>Clothing and footwear</v>
      </c>
    </row>
    <row r="2204" spans="1:7" x14ac:dyDescent="0.3">
      <c r="A2204" t="s">
        <v>33</v>
      </c>
      <c r="B2204">
        <v>2015</v>
      </c>
      <c r="C2204" t="s">
        <v>37</v>
      </c>
      <c r="D2204" s="2">
        <v>42095</v>
      </c>
      <c r="E2204" t="s">
        <v>19</v>
      </c>
      <c r="F2204">
        <v>121.3</v>
      </c>
      <c r="G2204" t="str">
        <f>VLOOKUP(Table1_2[[#This Row],[Categories]],Sheet3!$A$1:$B$27,2,FALSE)</f>
        <v>Clothing and footwear</v>
      </c>
    </row>
    <row r="2205" spans="1:7" x14ac:dyDescent="0.3">
      <c r="A2205" t="s">
        <v>33</v>
      </c>
      <c r="B2205">
        <v>2015</v>
      </c>
      <c r="C2205" t="s">
        <v>37</v>
      </c>
      <c r="D2205" s="2">
        <v>42095</v>
      </c>
      <c r="E2205" t="s">
        <v>20</v>
      </c>
      <c r="F2205">
        <v>119.2</v>
      </c>
      <c r="G2205" t="str">
        <f>VLOOKUP(Table1_2[[#This Row],[Categories]],Sheet3!$A$1:$B$27,2,FALSE)</f>
        <v>Housing</v>
      </c>
    </row>
    <row r="2206" spans="1:7" x14ac:dyDescent="0.3">
      <c r="A2206" t="s">
        <v>33</v>
      </c>
      <c r="B2206">
        <v>2015</v>
      </c>
      <c r="C2206" t="s">
        <v>37</v>
      </c>
      <c r="D2206" s="2">
        <v>42095</v>
      </c>
      <c r="E2206" t="s">
        <v>21</v>
      </c>
      <c r="F2206">
        <v>114.7</v>
      </c>
      <c r="G2206" t="str">
        <f>VLOOKUP(Table1_2[[#This Row],[Categories]],Sheet3!$A$1:$B$27,2,FALSE)</f>
        <v>Fuel and light</v>
      </c>
    </row>
    <row r="2207" spans="1:7" x14ac:dyDescent="0.3">
      <c r="A2207" t="s">
        <v>33</v>
      </c>
      <c r="B2207">
        <v>2015</v>
      </c>
      <c r="C2207" t="s">
        <v>37</v>
      </c>
      <c r="D2207" s="2">
        <v>42095</v>
      </c>
      <c r="E2207" t="s">
        <v>22</v>
      </c>
      <c r="F2207">
        <v>118.4</v>
      </c>
      <c r="G2207" t="str">
        <f>VLOOKUP(Table1_2[[#This Row],[Categories]],Sheet3!$A$1:$B$27,2,FALSE)</f>
        <v>Household Items</v>
      </c>
    </row>
    <row r="2208" spans="1:7" x14ac:dyDescent="0.3">
      <c r="A2208" t="s">
        <v>33</v>
      </c>
      <c r="B2208">
        <v>2015</v>
      </c>
      <c r="C2208" t="s">
        <v>37</v>
      </c>
      <c r="D2208" s="2">
        <v>42095</v>
      </c>
      <c r="E2208" t="s">
        <v>23</v>
      </c>
      <c r="F2208">
        <v>114.6</v>
      </c>
      <c r="G2208" t="str">
        <f>VLOOKUP(Table1_2[[#This Row],[Categories]],Sheet3!$A$1:$B$27,2,FALSE)</f>
        <v>Health</v>
      </c>
    </row>
    <row r="2209" spans="1:7" x14ac:dyDescent="0.3">
      <c r="A2209" t="s">
        <v>33</v>
      </c>
      <c r="B2209">
        <v>2015</v>
      </c>
      <c r="C2209" t="s">
        <v>37</v>
      </c>
      <c r="D2209" s="2">
        <v>42095</v>
      </c>
      <c r="E2209" t="s">
        <v>24</v>
      </c>
      <c r="F2209">
        <v>108.4</v>
      </c>
      <c r="G2209" t="str">
        <f>VLOOKUP(Table1_2[[#This Row],[Categories]],Sheet3!$A$1:$B$27,2,FALSE)</f>
        <v>Transport and communication</v>
      </c>
    </row>
    <row r="2210" spans="1:7" x14ac:dyDescent="0.3">
      <c r="A2210" t="s">
        <v>33</v>
      </c>
      <c r="B2210">
        <v>2015</v>
      </c>
      <c r="C2210" t="s">
        <v>37</v>
      </c>
      <c r="D2210" s="2">
        <v>42095</v>
      </c>
      <c r="E2210" t="s">
        <v>25</v>
      </c>
      <c r="F2210">
        <v>115.6</v>
      </c>
      <c r="G2210" t="str">
        <f>VLOOKUP(Table1_2[[#This Row],[Categories]],Sheet3!$A$1:$B$27,2,FALSE)</f>
        <v>Recreation and amusement</v>
      </c>
    </row>
    <row r="2211" spans="1:7" x14ac:dyDescent="0.3">
      <c r="A2211" t="s">
        <v>33</v>
      </c>
      <c r="B2211">
        <v>2015</v>
      </c>
      <c r="C2211" t="s">
        <v>37</v>
      </c>
      <c r="D2211" s="2">
        <v>42095</v>
      </c>
      <c r="E2211" t="s">
        <v>26</v>
      </c>
      <c r="F2211">
        <v>121.7</v>
      </c>
      <c r="G2211" t="str">
        <f>VLOOKUP(Table1_2[[#This Row],[Categories]],Sheet3!$A$1:$B$27,2,FALSE)</f>
        <v>Education</v>
      </c>
    </row>
    <row r="2212" spans="1:7" x14ac:dyDescent="0.3">
      <c r="A2212" t="s">
        <v>33</v>
      </c>
      <c r="B2212">
        <v>2015</v>
      </c>
      <c r="C2212" t="s">
        <v>37</v>
      </c>
      <c r="D2212" s="2">
        <v>42095</v>
      </c>
      <c r="E2212" t="s">
        <v>27</v>
      </c>
      <c r="F2212">
        <v>111.8</v>
      </c>
      <c r="G2212" t="str">
        <f>VLOOKUP(Table1_2[[#This Row],[Categories]],Sheet3!$A$1:$B$27,2,FALSE)</f>
        <v>Household Items</v>
      </c>
    </row>
    <row r="2213" spans="1:7" x14ac:dyDescent="0.3">
      <c r="A2213" t="s">
        <v>33</v>
      </c>
      <c r="B2213">
        <v>2015</v>
      </c>
      <c r="C2213" t="s">
        <v>37</v>
      </c>
      <c r="D2213" s="2">
        <v>42095</v>
      </c>
      <c r="E2213" t="s">
        <v>28</v>
      </c>
      <c r="F2213">
        <v>114.2</v>
      </c>
      <c r="G2213" t="str">
        <f>VLOOKUP(Table1_2[[#This Row],[Categories]],Sheet3!$A$1:$B$27,2,FALSE)</f>
        <v>Miscellaneous</v>
      </c>
    </row>
    <row r="2214" spans="1:7" x14ac:dyDescent="0.3">
      <c r="A2214" t="s">
        <v>33</v>
      </c>
      <c r="B2214">
        <v>2015</v>
      </c>
      <c r="C2214" t="s">
        <v>37</v>
      </c>
      <c r="D2214" s="2">
        <v>42095</v>
      </c>
      <c r="E2214" t="s">
        <v>29</v>
      </c>
      <c r="F2214">
        <v>119.7</v>
      </c>
      <c r="G2214" t="str">
        <f>VLOOKUP(Table1_2[[#This Row],[Categories]],Sheet3!$A$1:$B$27,2,FALSE)</f>
        <v>General index</v>
      </c>
    </row>
    <row r="2215" spans="1:7" x14ac:dyDescent="0.3">
      <c r="A2215" t="s">
        <v>34</v>
      </c>
      <c r="B2215">
        <v>2015</v>
      </c>
      <c r="C2215" t="s">
        <v>37</v>
      </c>
      <c r="D2215" s="2">
        <v>42095</v>
      </c>
      <c r="E2215" t="s">
        <v>3</v>
      </c>
      <c r="F2215">
        <v>123.5</v>
      </c>
      <c r="G2215" t="str">
        <f>VLOOKUP(Table1_2[[#This Row],[Categories]],Sheet3!$A$1:$B$27,2,FALSE)</f>
        <v>Food &amp;Beverage</v>
      </c>
    </row>
    <row r="2216" spans="1:7" x14ac:dyDescent="0.3">
      <c r="A2216" t="s">
        <v>34</v>
      </c>
      <c r="B2216">
        <v>2015</v>
      </c>
      <c r="C2216" t="s">
        <v>37</v>
      </c>
      <c r="D2216" s="2">
        <v>42095</v>
      </c>
      <c r="E2216" t="s">
        <v>4</v>
      </c>
      <c r="F2216">
        <v>126.4</v>
      </c>
      <c r="G2216" t="str">
        <f>VLOOKUP(Table1_2[[#This Row],[Categories]],Sheet3!$A$1:$B$27,2,FALSE)</f>
        <v>Food &amp;Beverage</v>
      </c>
    </row>
    <row r="2217" spans="1:7" x14ac:dyDescent="0.3">
      <c r="A2217" t="s">
        <v>34</v>
      </c>
      <c r="B2217">
        <v>2015</v>
      </c>
      <c r="C2217" t="s">
        <v>37</v>
      </c>
      <c r="D2217" s="2">
        <v>42095</v>
      </c>
      <c r="E2217" t="s">
        <v>5</v>
      </c>
      <c r="F2217">
        <v>114.4</v>
      </c>
      <c r="G2217" t="str">
        <f>VLOOKUP(Table1_2[[#This Row],[Categories]],Sheet3!$A$1:$B$27,2,FALSE)</f>
        <v>Food &amp;Beverage</v>
      </c>
    </row>
    <row r="2218" spans="1:7" x14ac:dyDescent="0.3">
      <c r="A2218" t="s">
        <v>34</v>
      </c>
      <c r="B2218">
        <v>2015</v>
      </c>
      <c r="C2218" t="s">
        <v>37</v>
      </c>
      <c r="D2218" s="2">
        <v>42095</v>
      </c>
      <c r="E2218" t="s">
        <v>6</v>
      </c>
      <c r="F2218">
        <v>126.6</v>
      </c>
      <c r="G2218" t="str">
        <f>VLOOKUP(Table1_2[[#This Row],[Categories]],Sheet3!$A$1:$B$27,2,FALSE)</f>
        <v>Food &amp;Beverage</v>
      </c>
    </row>
    <row r="2219" spans="1:7" x14ac:dyDescent="0.3">
      <c r="A2219" t="s">
        <v>34</v>
      </c>
      <c r="B2219">
        <v>2015</v>
      </c>
      <c r="C2219" t="s">
        <v>37</v>
      </c>
      <c r="D2219" s="2">
        <v>42095</v>
      </c>
      <c r="E2219" t="s">
        <v>7</v>
      </c>
      <c r="F2219">
        <v>109.2</v>
      </c>
      <c r="G2219" t="str">
        <f>VLOOKUP(Table1_2[[#This Row],[Categories]],Sheet3!$A$1:$B$27,2,FALSE)</f>
        <v>Food &amp;Beverage</v>
      </c>
    </row>
    <row r="2220" spans="1:7" x14ac:dyDescent="0.3">
      <c r="A2220" t="s">
        <v>34</v>
      </c>
      <c r="B2220">
        <v>2015</v>
      </c>
      <c r="C2220" t="s">
        <v>37</v>
      </c>
      <c r="D2220" s="2">
        <v>42095</v>
      </c>
      <c r="E2220" t="s">
        <v>8</v>
      </c>
      <c r="F2220">
        <v>132.5</v>
      </c>
      <c r="G2220" t="str">
        <f>VLOOKUP(Table1_2[[#This Row],[Categories]],Sheet3!$A$1:$B$27,2,FALSE)</f>
        <v>Food &amp;Beverage</v>
      </c>
    </row>
    <row r="2221" spans="1:7" x14ac:dyDescent="0.3">
      <c r="A2221" t="s">
        <v>34</v>
      </c>
      <c r="B2221">
        <v>2015</v>
      </c>
      <c r="C2221" t="s">
        <v>37</v>
      </c>
      <c r="D2221" s="2">
        <v>42095</v>
      </c>
      <c r="E2221" t="s">
        <v>9</v>
      </c>
      <c r="F2221">
        <v>128.6</v>
      </c>
      <c r="G2221" t="str">
        <f>VLOOKUP(Table1_2[[#This Row],[Categories]],Sheet3!$A$1:$B$27,2,FALSE)</f>
        <v>Food &amp;Beverage</v>
      </c>
    </row>
    <row r="2222" spans="1:7" x14ac:dyDescent="0.3">
      <c r="A2222" t="s">
        <v>34</v>
      </c>
      <c r="B2222">
        <v>2015</v>
      </c>
      <c r="C2222" t="s">
        <v>37</v>
      </c>
      <c r="D2222" s="2">
        <v>42095</v>
      </c>
      <c r="E2222" t="s">
        <v>10</v>
      </c>
      <c r="F2222">
        <v>124.8</v>
      </c>
      <c r="G2222" t="str">
        <f>VLOOKUP(Table1_2[[#This Row],[Categories]],Sheet3!$A$1:$B$27,2,FALSE)</f>
        <v>Food &amp;Beverage</v>
      </c>
    </row>
    <row r="2223" spans="1:7" x14ac:dyDescent="0.3">
      <c r="A2223" t="s">
        <v>34</v>
      </c>
      <c r="B2223">
        <v>2015</v>
      </c>
      <c r="C2223" t="s">
        <v>37</v>
      </c>
      <c r="D2223" s="2">
        <v>42095</v>
      </c>
      <c r="E2223" t="s">
        <v>11</v>
      </c>
      <c r="F2223">
        <v>95.7</v>
      </c>
      <c r="G2223" t="str">
        <f>VLOOKUP(Table1_2[[#This Row],[Categories]],Sheet3!$A$1:$B$27,2,FALSE)</f>
        <v>Food &amp;Beverage</v>
      </c>
    </row>
    <row r="2224" spans="1:7" x14ac:dyDescent="0.3">
      <c r="A2224" t="s">
        <v>34</v>
      </c>
      <c r="B2224">
        <v>2015</v>
      </c>
      <c r="C2224" t="s">
        <v>37</v>
      </c>
      <c r="D2224" s="2">
        <v>42095</v>
      </c>
      <c r="E2224" t="s">
        <v>12</v>
      </c>
      <c r="F2224">
        <v>122.4</v>
      </c>
      <c r="G2224" t="str">
        <f>VLOOKUP(Table1_2[[#This Row],[Categories]],Sheet3!$A$1:$B$27,2,FALSE)</f>
        <v>Food &amp;Beverage</v>
      </c>
    </row>
    <row r="2225" spans="1:7" x14ac:dyDescent="0.3">
      <c r="A2225" t="s">
        <v>34</v>
      </c>
      <c r="B2225">
        <v>2015</v>
      </c>
      <c r="C2225" t="s">
        <v>37</v>
      </c>
      <c r="D2225" s="2">
        <v>42095</v>
      </c>
      <c r="E2225" t="s">
        <v>13</v>
      </c>
      <c r="F2225">
        <v>118.5</v>
      </c>
      <c r="G2225" t="str">
        <f>VLOOKUP(Table1_2[[#This Row],[Categories]],Sheet3!$A$1:$B$27,2,FALSE)</f>
        <v>Food &amp;Beverage</v>
      </c>
    </row>
    <row r="2226" spans="1:7" x14ac:dyDescent="0.3">
      <c r="A2226" t="s">
        <v>34</v>
      </c>
      <c r="B2226">
        <v>2015</v>
      </c>
      <c r="C2226" t="s">
        <v>37</v>
      </c>
      <c r="D2226" s="2">
        <v>42095</v>
      </c>
      <c r="E2226" t="s">
        <v>14</v>
      </c>
      <c r="F2226">
        <v>129.1</v>
      </c>
      <c r="G2226" t="str">
        <f>VLOOKUP(Table1_2[[#This Row],[Categories]],Sheet3!$A$1:$B$27,2,FALSE)</f>
        <v>Food &amp;Beverage</v>
      </c>
    </row>
    <row r="2227" spans="1:7" x14ac:dyDescent="0.3">
      <c r="A2227" t="s">
        <v>34</v>
      </c>
      <c r="B2227">
        <v>2015</v>
      </c>
      <c r="C2227" t="s">
        <v>37</v>
      </c>
      <c r="D2227" s="2">
        <v>42095</v>
      </c>
      <c r="E2227" t="s">
        <v>15</v>
      </c>
      <c r="F2227">
        <v>124</v>
      </c>
      <c r="G2227" t="str">
        <f>VLOOKUP(Table1_2[[#This Row],[Categories]],Sheet3!$A$1:$B$27,2,FALSE)</f>
        <v>Food &amp;Beverage</v>
      </c>
    </row>
    <row r="2228" spans="1:7" x14ac:dyDescent="0.3">
      <c r="A2228" t="s">
        <v>34</v>
      </c>
      <c r="B2228">
        <v>2015</v>
      </c>
      <c r="C2228" t="s">
        <v>37</v>
      </c>
      <c r="D2228" s="2">
        <v>42095</v>
      </c>
      <c r="E2228" t="s">
        <v>16</v>
      </c>
      <c r="F2228">
        <v>126.9</v>
      </c>
      <c r="G2228" t="str">
        <f>VLOOKUP(Table1_2[[#This Row],[Categories]],Sheet3!$A$1:$B$27,2,FALSE)</f>
        <v>Recreation and amusement</v>
      </c>
    </row>
    <row r="2229" spans="1:7" x14ac:dyDescent="0.3">
      <c r="A2229" t="s">
        <v>34</v>
      </c>
      <c r="B2229">
        <v>2015</v>
      </c>
      <c r="C2229" t="s">
        <v>37</v>
      </c>
      <c r="D2229" s="2">
        <v>42095</v>
      </c>
      <c r="E2229" t="s">
        <v>17</v>
      </c>
      <c r="F2229">
        <v>124.7</v>
      </c>
      <c r="G2229" t="str">
        <f>VLOOKUP(Table1_2[[#This Row],[Categories]],Sheet3!$A$1:$B$27,2,FALSE)</f>
        <v>Clothing and footwear</v>
      </c>
    </row>
    <row r="2230" spans="1:7" x14ac:dyDescent="0.3">
      <c r="A2230" t="s">
        <v>34</v>
      </c>
      <c r="B2230">
        <v>2015</v>
      </c>
      <c r="C2230" t="s">
        <v>37</v>
      </c>
      <c r="D2230" s="2">
        <v>42095</v>
      </c>
      <c r="E2230" t="s">
        <v>18</v>
      </c>
      <c r="F2230">
        <v>120.8</v>
      </c>
      <c r="G2230" t="str">
        <f>VLOOKUP(Table1_2[[#This Row],[Categories]],Sheet3!$A$1:$B$27,2,FALSE)</f>
        <v>Clothing and footwear</v>
      </c>
    </row>
    <row r="2231" spans="1:7" x14ac:dyDescent="0.3">
      <c r="A2231" t="s">
        <v>34</v>
      </c>
      <c r="B2231">
        <v>2015</v>
      </c>
      <c r="C2231" t="s">
        <v>37</v>
      </c>
      <c r="D2231" s="2">
        <v>42095</v>
      </c>
      <c r="E2231" t="s">
        <v>19</v>
      </c>
      <c r="F2231">
        <v>124.1</v>
      </c>
      <c r="G2231" t="str">
        <f>VLOOKUP(Table1_2[[#This Row],[Categories]],Sheet3!$A$1:$B$27,2,FALSE)</f>
        <v>Clothing and footwear</v>
      </c>
    </row>
    <row r="2232" spans="1:7" x14ac:dyDescent="0.3">
      <c r="A2232" t="s">
        <v>34</v>
      </c>
      <c r="B2232">
        <v>2015</v>
      </c>
      <c r="C2232" t="s">
        <v>37</v>
      </c>
      <c r="D2232" s="2">
        <v>42095</v>
      </c>
      <c r="E2232" t="s">
        <v>20</v>
      </c>
      <c r="F2232">
        <v>119.2</v>
      </c>
      <c r="G2232" t="str">
        <f>VLOOKUP(Table1_2[[#This Row],[Categories]],Sheet3!$A$1:$B$27,2,FALSE)</f>
        <v>Housing</v>
      </c>
    </row>
    <row r="2233" spans="1:7" x14ac:dyDescent="0.3">
      <c r="A2233" t="s">
        <v>34</v>
      </c>
      <c r="B2233">
        <v>2015</v>
      </c>
      <c r="C2233" t="s">
        <v>37</v>
      </c>
      <c r="D2233" s="2">
        <v>42095</v>
      </c>
      <c r="E2233" t="s">
        <v>21</v>
      </c>
      <c r="F2233">
        <v>118.7</v>
      </c>
      <c r="G2233" t="str">
        <f>VLOOKUP(Table1_2[[#This Row],[Categories]],Sheet3!$A$1:$B$27,2,FALSE)</f>
        <v>Fuel and light</v>
      </c>
    </row>
    <row r="2234" spans="1:7" x14ac:dyDescent="0.3">
      <c r="A2234" t="s">
        <v>34</v>
      </c>
      <c r="B2234">
        <v>2015</v>
      </c>
      <c r="C2234" t="s">
        <v>37</v>
      </c>
      <c r="D2234" s="2">
        <v>42095</v>
      </c>
      <c r="E2234" t="s">
        <v>22</v>
      </c>
      <c r="F2234">
        <v>119.7</v>
      </c>
      <c r="G2234" t="str">
        <f>VLOOKUP(Table1_2[[#This Row],[Categories]],Sheet3!$A$1:$B$27,2,FALSE)</f>
        <v>Household Items</v>
      </c>
    </row>
    <row r="2235" spans="1:7" x14ac:dyDescent="0.3">
      <c r="A2235" t="s">
        <v>34</v>
      </c>
      <c r="B2235">
        <v>2015</v>
      </c>
      <c r="C2235" t="s">
        <v>37</v>
      </c>
      <c r="D2235" s="2">
        <v>42095</v>
      </c>
      <c r="E2235" t="s">
        <v>23</v>
      </c>
      <c r="F2235">
        <v>117.1</v>
      </c>
      <c r="G2235" t="str">
        <f>VLOOKUP(Table1_2[[#This Row],[Categories]],Sheet3!$A$1:$B$27,2,FALSE)</f>
        <v>Health</v>
      </c>
    </row>
    <row r="2236" spans="1:7" x14ac:dyDescent="0.3">
      <c r="A2236" t="s">
        <v>34</v>
      </c>
      <c r="B2236">
        <v>2015</v>
      </c>
      <c r="C2236" t="s">
        <v>37</v>
      </c>
      <c r="D2236" s="2">
        <v>42095</v>
      </c>
      <c r="E2236" t="s">
        <v>24</v>
      </c>
      <c r="F2236">
        <v>110.1</v>
      </c>
      <c r="G2236" t="str">
        <f>VLOOKUP(Table1_2[[#This Row],[Categories]],Sheet3!$A$1:$B$27,2,FALSE)</f>
        <v>Transport and communication</v>
      </c>
    </row>
    <row r="2237" spans="1:7" x14ac:dyDescent="0.3">
      <c r="A2237" t="s">
        <v>34</v>
      </c>
      <c r="B2237">
        <v>2015</v>
      </c>
      <c r="C2237" t="s">
        <v>37</v>
      </c>
      <c r="D2237" s="2">
        <v>42095</v>
      </c>
      <c r="E2237" t="s">
        <v>25</v>
      </c>
      <c r="F2237">
        <v>115.9</v>
      </c>
      <c r="G2237" t="str">
        <f>VLOOKUP(Table1_2[[#This Row],[Categories]],Sheet3!$A$1:$B$27,2,FALSE)</f>
        <v>Recreation and amusement</v>
      </c>
    </row>
    <row r="2238" spans="1:7" x14ac:dyDescent="0.3">
      <c r="A2238" t="s">
        <v>34</v>
      </c>
      <c r="B2238">
        <v>2015</v>
      </c>
      <c r="C2238" t="s">
        <v>37</v>
      </c>
      <c r="D2238" s="2">
        <v>42095</v>
      </c>
      <c r="E2238" t="s">
        <v>26</v>
      </c>
      <c r="F2238">
        <v>121</v>
      </c>
      <c r="G2238" t="str">
        <f>VLOOKUP(Table1_2[[#This Row],[Categories]],Sheet3!$A$1:$B$27,2,FALSE)</f>
        <v>Education</v>
      </c>
    </row>
    <row r="2239" spans="1:7" x14ac:dyDescent="0.3">
      <c r="A2239" t="s">
        <v>34</v>
      </c>
      <c r="B2239">
        <v>2015</v>
      </c>
      <c r="C2239" t="s">
        <v>37</v>
      </c>
      <c r="D2239" s="2">
        <v>42095</v>
      </c>
      <c r="E2239" t="s">
        <v>27</v>
      </c>
      <c r="F2239">
        <v>111.7</v>
      </c>
      <c r="G2239" t="str">
        <f>VLOOKUP(Table1_2[[#This Row],[Categories]],Sheet3!$A$1:$B$27,2,FALSE)</f>
        <v>Household Items</v>
      </c>
    </row>
    <row r="2240" spans="1:7" x14ac:dyDescent="0.3">
      <c r="A2240" t="s">
        <v>34</v>
      </c>
      <c r="B2240">
        <v>2015</v>
      </c>
      <c r="C2240" t="s">
        <v>37</v>
      </c>
      <c r="D2240" s="2">
        <v>42095</v>
      </c>
      <c r="E2240" t="s">
        <v>28</v>
      </c>
      <c r="F2240">
        <v>115.1</v>
      </c>
      <c r="G2240" t="str">
        <f>VLOOKUP(Table1_2[[#This Row],[Categories]],Sheet3!$A$1:$B$27,2,FALSE)</f>
        <v>Miscellaneous</v>
      </c>
    </row>
    <row r="2241" spans="1:7" x14ac:dyDescent="0.3">
      <c r="A2241" t="s">
        <v>34</v>
      </c>
      <c r="B2241">
        <v>2015</v>
      </c>
      <c r="C2241" t="s">
        <v>37</v>
      </c>
      <c r="D2241" s="2">
        <v>42095</v>
      </c>
      <c r="E2241" t="s">
        <v>29</v>
      </c>
      <c r="F2241">
        <v>120.7</v>
      </c>
      <c r="G2241" t="str">
        <f>VLOOKUP(Table1_2[[#This Row],[Categories]],Sheet3!$A$1:$B$27,2,FALSE)</f>
        <v>General index</v>
      </c>
    </row>
    <row r="2242" spans="1:7" x14ac:dyDescent="0.3">
      <c r="A2242" t="s">
        <v>30</v>
      </c>
      <c r="B2242">
        <v>2015</v>
      </c>
      <c r="C2242" t="s">
        <v>38</v>
      </c>
      <c r="D2242" s="2">
        <v>42125</v>
      </c>
      <c r="E2242" t="s">
        <v>3</v>
      </c>
      <c r="F2242">
        <v>123.5</v>
      </c>
      <c r="G2242" t="str">
        <f>VLOOKUP(Table1_2[[#This Row],[Categories]],Sheet3!$A$1:$B$27,2,FALSE)</f>
        <v>Food &amp;Beverage</v>
      </c>
    </row>
    <row r="2243" spans="1:7" x14ac:dyDescent="0.3">
      <c r="A2243" t="s">
        <v>30</v>
      </c>
      <c r="B2243">
        <v>2015</v>
      </c>
      <c r="C2243" t="s">
        <v>38</v>
      </c>
      <c r="D2243" s="2">
        <v>42125</v>
      </c>
      <c r="E2243" t="s">
        <v>4</v>
      </c>
      <c r="F2243">
        <v>127.1</v>
      </c>
      <c r="G2243" t="str">
        <f>VLOOKUP(Table1_2[[#This Row],[Categories]],Sheet3!$A$1:$B$27,2,FALSE)</f>
        <v>Food &amp;Beverage</v>
      </c>
    </row>
    <row r="2244" spans="1:7" x14ac:dyDescent="0.3">
      <c r="A2244" t="s">
        <v>30</v>
      </c>
      <c r="B2244">
        <v>2015</v>
      </c>
      <c r="C2244" t="s">
        <v>38</v>
      </c>
      <c r="D2244" s="2">
        <v>42125</v>
      </c>
      <c r="E2244" t="s">
        <v>5</v>
      </c>
      <c r="F2244">
        <v>117.3</v>
      </c>
      <c r="G2244" t="str">
        <f>VLOOKUP(Table1_2[[#This Row],[Categories]],Sheet3!$A$1:$B$27,2,FALSE)</f>
        <v>Food &amp;Beverage</v>
      </c>
    </row>
    <row r="2245" spans="1:7" x14ac:dyDescent="0.3">
      <c r="A2245" t="s">
        <v>30</v>
      </c>
      <c r="B2245">
        <v>2015</v>
      </c>
      <c r="C2245" t="s">
        <v>38</v>
      </c>
      <c r="D2245" s="2">
        <v>42125</v>
      </c>
      <c r="E2245" t="s">
        <v>6</v>
      </c>
      <c r="F2245">
        <v>127.7</v>
      </c>
      <c r="G2245" t="str">
        <f>VLOOKUP(Table1_2[[#This Row],[Categories]],Sheet3!$A$1:$B$27,2,FALSE)</f>
        <v>Food &amp;Beverage</v>
      </c>
    </row>
    <row r="2246" spans="1:7" x14ac:dyDescent="0.3">
      <c r="A2246" t="s">
        <v>30</v>
      </c>
      <c r="B2246">
        <v>2015</v>
      </c>
      <c r="C2246" t="s">
        <v>38</v>
      </c>
      <c r="D2246" s="2">
        <v>42125</v>
      </c>
      <c r="E2246" t="s">
        <v>7</v>
      </c>
      <c r="F2246">
        <v>112.5</v>
      </c>
      <c r="G2246" t="str">
        <f>VLOOKUP(Table1_2[[#This Row],[Categories]],Sheet3!$A$1:$B$27,2,FALSE)</f>
        <v>Food &amp;Beverage</v>
      </c>
    </row>
    <row r="2247" spans="1:7" x14ac:dyDescent="0.3">
      <c r="A2247" t="s">
        <v>30</v>
      </c>
      <c r="B2247">
        <v>2015</v>
      </c>
      <c r="C2247" t="s">
        <v>38</v>
      </c>
      <c r="D2247" s="2">
        <v>42125</v>
      </c>
      <c r="E2247" t="s">
        <v>8</v>
      </c>
      <c r="F2247">
        <v>134.1</v>
      </c>
      <c r="G2247" t="str">
        <f>VLOOKUP(Table1_2[[#This Row],[Categories]],Sheet3!$A$1:$B$27,2,FALSE)</f>
        <v>Food &amp;Beverage</v>
      </c>
    </row>
    <row r="2248" spans="1:7" x14ac:dyDescent="0.3">
      <c r="A2248" t="s">
        <v>30</v>
      </c>
      <c r="B2248">
        <v>2015</v>
      </c>
      <c r="C2248" t="s">
        <v>38</v>
      </c>
      <c r="D2248" s="2">
        <v>42125</v>
      </c>
      <c r="E2248" t="s">
        <v>9</v>
      </c>
      <c r="F2248">
        <v>128.5</v>
      </c>
      <c r="G2248" t="str">
        <f>VLOOKUP(Table1_2[[#This Row],[Categories]],Sheet3!$A$1:$B$27,2,FALSE)</f>
        <v>Food &amp;Beverage</v>
      </c>
    </row>
    <row r="2249" spans="1:7" x14ac:dyDescent="0.3">
      <c r="A2249" t="s">
        <v>30</v>
      </c>
      <c r="B2249">
        <v>2015</v>
      </c>
      <c r="C2249" t="s">
        <v>38</v>
      </c>
      <c r="D2249" s="2">
        <v>42125</v>
      </c>
      <c r="E2249" t="s">
        <v>10</v>
      </c>
      <c r="F2249">
        <v>124.3</v>
      </c>
      <c r="G2249" t="str">
        <f>VLOOKUP(Table1_2[[#This Row],[Categories]],Sheet3!$A$1:$B$27,2,FALSE)</f>
        <v>Food &amp;Beverage</v>
      </c>
    </row>
    <row r="2250" spans="1:7" x14ac:dyDescent="0.3">
      <c r="A2250" t="s">
        <v>30</v>
      </c>
      <c r="B2250">
        <v>2015</v>
      </c>
      <c r="C2250" t="s">
        <v>38</v>
      </c>
      <c r="D2250" s="2">
        <v>42125</v>
      </c>
      <c r="E2250" t="s">
        <v>11</v>
      </c>
      <c r="F2250">
        <v>97.6</v>
      </c>
      <c r="G2250" t="str">
        <f>VLOOKUP(Table1_2[[#This Row],[Categories]],Sheet3!$A$1:$B$27,2,FALSE)</f>
        <v>Food &amp;Beverage</v>
      </c>
    </row>
    <row r="2251" spans="1:7" x14ac:dyDescent="0.3">
      <c r="A2251" t="s">
        <v>30</v>
      </c>
      <c r="B2251">
        <v>2015</v>
      </c>
      <c r="C2251" t="s">
        <v>38</v>
      </c>
      <c r="D2251" s="2">
        <v>42125</v>
      </c>
      <c r="E2251" t="s">
        <v>12</v>
      </c>
      <c r="F2251">
        <v>120.7</v>
      </c>
      <c r="G2251" t="str">
        <f>VLOOKUP(Table1_2[[#This Row],[Categories]],Sheet3!$A$1:$B$27,2,FALSE)</f>
        <v>Food &amp;Beverage</v>
      </c>
    </row>
    <row r="2252" spans="1:7" x14ac:dyDescent="0.3">
      <c r="A2252" t="s">
        <v>30</v>
      </c>
      <c r="B2252">
        <v>2015</v>
      </c>
      <c r="C2252" t="s">
        <v>38</v>
      </c>
      <c r="D2252" s="2">
        <v>42125</v>
      </c>
      <c r="E2252" t="s">
        <v>13</v>
      </c>
      <c r="F2252">
        <v>120.2</v>
      </c>
      <c r="G2252" t="str">
        <f>VLOOKUP(Table1_2[[#This Row],[Categories]],Sheet3!$A$1:$B$27,2,FALSE)</f>
        <v>Food &amp;Beverage</v>
      </c>
    </row>
    <row r="2253" spans="1:7" x14ac:dyDescent="0.3">
      <c r="A2253" t="s">
        <v>30</v>
      </c>
      <c r="B2253">
        <v>2015</v>
      </c>
      <c r="C2253" t="s">
        <v>38</v>
      </c>
      <c r="D2253" s="2">
        <v>42125</v>
      </c>
      <c r="E2253" t="s">
        <v>14</v>
      </c>
      <c r="F2253">
        <v>129.80000000000001</v>
      </c>
      <c r="G2253" t="str">
        <f>VLOOKUP(Table1_2[[#This Row],[Categories]],Sheet3!$A$1:$B$27,2,FALSE)</f>
        <v>Food &amp;Beverage</v>
      </c>
    </row>
    <row r="2254" spans="1:7" x14ac:dyDescent="0.3">
      <c r="A2254" t="s">
        <v>30</v>
      </c>
      <c r="B2254">
        <v>2015</v>
      </c>
      <c r="C2254" t="s">
        <v>38</v>
      </c>
      <c r="D2254" s="2">
        <v>42125</v>
      </c>
      <c r="E2254" t="s">
        <v>15</v>
      </c>
      <c r="F2254">
        <v>124.4</v>
      </c>
      <c r="G2254" t="str">
        <f>VLOOKUP(Table1_2[[#This Row],[Categories]],Sheet3!$A$1:$B$27,2,FALSE)</f>
        <v>Food &amp;Beverage</v>
      </c>
    </row>
    <row r="2255" spans="1:7" x14ac:dyDescent="0.3">
      <c r="A2255" t="s">
        <v>30</v>
      </c>
      <c r="B2255">
        <v>2015</v>
      </c>
      <c r="C2255" t="s">
        <v>38</v>
      </c>
      <c r="D2255" s="2">
        <v>42125</v>
      </c>
      <c r="E2255" t="s">
        <v>16</v>
      </c>
      <c r="F2255">
        <v>126.7</v>
      </c>
      <c r="G2255" t="str">
        <f>VLOOKUP(Table1_2[[#This Row],[Categories]],Sheet3!$A$1:$B$27,2,FALSE)</f>
        <v>Recreation and amusement</v>
      </c>
    </row>
    <row r="2256" spans="1:7" x14ac:dyDescent="0.3">
      <c r="A2256" t="s">
        <v>30</v>
      </c>
      <c r="B2256">
        <v>2015</v>
      </c>
      <c r="C2256" t="s">
        <v>38</v>
      </c>
      <c r="D2256" s="2">
        <v>42125</v>
      </c>
      <c r="E2256" t="s">
        <v>17</v>
      </c>
      <c r="F2256">
        <v>127.3</v>
      </c>
      <c r="G2256" t="str">
        <f>VLOOKUP(Table1_2[[#This Row],[Categories]],Sheet3!$A$1:$B$27,2,FALSE)</f>
        <v>Clothing and footwear</v>
      </c>
    </row>
    <row r="2257" spans="1:7" x14ac:dyDescent="0.3">
      <c r="A2257" t="s">
        <v>30</v>
      </c>
      <c r="B2257">
        <v>2015</v>
      </c>
      <c r="C2257" t="s">
        <v>38</v>
      </c>
      <c r="D2257" s="2">
        <v>42125</v>
      </c>
      <c r="E2257" t="s">
        <v>18</v>
      </c>
      <c r="F2257">
        <v>124.1</v>
      </c>
      <c r="G2257" t="str">
        <f>VLOOKUP(Table1_2[[#This Row],[Categories]],Sheet3!$A$1:$B$27,2,FALSE)</f>
        <v>Clothing and footwear</v>
      </c>
    </row>
    <row r="2258" spans="1:7" x14ac:dyDescent="0.3">
      <c r="A2258" t="s">
        <v>30</v>
      </c>
      <c r="B2258">
        <v>2015</v>
      </c>
      <c r="C2258" t="s">
        <v>38</v>
      </c>
      <c r="D2258" s="2">
        <v>42125</v>
      </c>
      <c r="E2258" t="s">
        <v>19</v>
      </c>
      <c r="F2258">
        <v>126.8</v>
      </c>
      <c r="G2258" t="str">
        <f>VLOOKUP(Table1_2[[#This Row],[Categories]],Sheet3!$A$1:$B$27,2,FALSE)</f>
        <v>Clothing and footwear</v>
      </c>
    </row>
    <row r="2259" spans="1:7" x14ac:dyDescent="0.3">
      <c r="A2259" t="s">
        <v>30</v>
      </c>
      <c r="B2259">
        <v>2015</v>
      </c>
      <c r="C2259" t="s">
        <v>38</v>
      </c>
      <c r="D2259" s="2">
        <v>42125</v>
      </c>
      <c r="E2259" t="s">
        <v>21</v>
      </c>
      <c r="F2259">
        <v>121.9</v>
      </c>
      <c r="G2259" t="str">
        <f>VLOOKUP(Table1_2[[#This Row],[Categories]],Sheet3!$A$1:$B$27,2,FALSE)</f>
        <v>Fuel and light</v>
      </c>
    </row>
    <row r="2260" spans="1:7" x14ac:dyDescent="0.3">
      <c r="A2260" t="s">
        <v>30</v>
      </c>
      <c r="B2260">
        <v>2015</v>
      </c>
      <c r="C2260" t="s">
        <v>38</v>
      </c>
      <c r="D2260" s="2">
        <v>42125</v>
      </c>
      <c r="E2260" t="s">
        <v>22</v>
      </c>
      <c r="F2260">
        <v>121.5</v>
      </c>
      <c r="G2260" t="str">
        <f>VLOOKUP(Table1_2[[#This Row],[Categories]],Sheet3!$A$1:$B$27,2,FALSE)</f>
        <v>Household Items</v>
      </c>
    </row>
    <row r="2261" spans="1:7" x14ac:dyDescent="0.3">
      <c r="A2261" t="s">
        <v>30</v>
      </c>
      <c r="B2261">
        <v>2015</v>
      </c>
      <c r="C2261" t="s">
        <v>38</v>
      </c>
      <c r="D2261" s="2">
        <v>42125</v>
      </c>
      <c r="E2261" t="s">
        <v>23</v>
      </c>
      <c r="F2261">
        <v>119.4</v>
      </c>
      <c r="G2261" t="str">
        <f>VLOOKUP(Table1_2[[#This Row],[Categories]],Sheet3!$A$1:$B$27,2,FALSE)</f>
        <v>Health</v>
      </c>
    </row>
    <row r="2262" spans="1:7" x14ac:dyDescent="0.3">
      <c r="A2262" t="s">
        <v>30</v>
      </c>
      <c r="B2262">
        <v>2015</v>
      </c>
      <c r="C2262" t="s">
        <v>38</v>
      </c>
      <c r="D2262" s="2">
        <v>42125</v>
      </c>
      <c r="E2262" t="s">
        <v>24</v>
      </c>
      <c r="F2262">
        <v>113.3</v>
      </c>
      <c r="G2262" t="str">
        <f>VLOOKUP(Table1_2[[#This Row],[Categories]],Sheet3!$A$1:$B$27,2,FALSE)</f>
        <v>Transport and communication</v>
      </c>
    </row>
    <row r="2263" spans="1:7" x14ac:dyDescent="0.3">
      <c r="A2263" t="s">
        <v>30</v>
      </c>
      <c r="B2263">
        <v>2015</v>
      </c>
      <c r="C2263" t="s">
        <v>38</v>
      </c>
      <c r="D2263" s="2">
        <v>42125</v>
      </c>
      <c r="E2263" t="s">
        <v>25</v>
      </c>
      <c r="F2263">
        <v>116.7</v>
      </c>
      <c r="G2263" t="str">
        <f>VLOOKUP(Table1_2[[#This Row],[Categories]],Sheet3!$A$1:$B$27,2,FALSE)</f>
        <v>Recreation and amusement</v>
      </c>
    </row>
    <row r="2264" spans="1:7" x14ac:dyDescent="0.3">
      <c r="A2264" t="s">
        <v>30</v>
      </c>
      <c r="B2264">
        <v>2015</v>
      </c>
      <c r="C2264" t="s">
        <v>38</v>
      </c>
      <c r="D2264" s="2">
        <v>42125</v>
      </c>
      <c r="E2264" t="s">
        <v>26</v>
      </c>
      <c r="F2264">
        <v>120.5</v>
      </c>
      <c r="G2264" t="str">
        <f>VLOOKUP(Table1_2[[#This Row],[Categories]],Sheet3!$A$1:$B$27,2,FALSE)</f>
        <v>Education</v>
      </c>
    </row>
    <row r="2265" spans="1:7" x14ac:dyDescent="0.3">
      <c r="A2265" t="s">
        <v>30</v>
      </c>
      <c r="B2265">
        <v>2015</v>
      </c>
      <c r="C2265" t="s">
        <v>38</v>
      </c>
      <c r="D2265" s="2">
        <v>42125</v>
      </c>
      <c r="E2265" t="s">
        <v>27</v>
      </c>
      <c r="F2265">
        <v>112.3</v>
      </c>
      <c r="G2265" t="str">
        <f>VLOOKUP(Table1_2[[#This Row],[Categories]],Sheet3!$A$1:$B$27,2,FALSE)</f>
        <v>Household Items</v>
      </c>
    </row>
    <row r="2266" spans="1:7" x14ac:dyDescent="0.3">
      <c r="A2266" t="s">
        <v>30</v>
      </c>
      <c r="B2266">
        <v>2015</v>
      </c>
      <c r="C2266" t="s">
        <v>38</v>
      </c>
      <c r="D2266" s="2">
        <v>42125</v>
      </c>
      <c r="E2266" t="s">
        <v>28</v>
      </c>
      <c r="F2266">
        <v>116.9</v>
      </c>
      <c r="G2266" t="str">
        <f>VLOOKUP(Table1_2[[#This Row],[Categories]],Sheet3!$A$1:$B$27,2,FALSE)</f>
        <v>Miscellaneous</v>
      </c>
    </row>
    <row r="2267" spans="1:7" x14ac:dyDescent="0.3">
      <c r="A2267" t="s">
        <v>30</v>
      </c>
      <c r="B2267">
        <v>2015</v>
      </c>
      <c r="C2267" t="s">
        <v>38</v>
      </c>
      <c r="D2267" s="2">
        <v>42125</v>
      </c>
      <c r="E2267" t="s">
        <v>29</v>
      </c>
      <c r="F2267">
        <v>122.4</v>
      </c>
      <c r="G2267" t="str">
        <f>VLOOKUP(Table1_2[[#This Row],[Categories]],Sheet3!$A$1:$B$27,2,FALSE)</f>
        <v>General index</v>
      </c>
    </row>
    <row r="2268" spans="1:7" x14ac:dyDescent="0.3">
      <c r="A2268" t="s">
        <v>33</v>
      </c>
      <c r="B2268">
        <v>2015</v>
      </c>
      <c r="C2268" t="s">
        <v>38</v>
      </c>
      <c r="D2268" s="2">
        <v>42125</v>
      </c>
      <c r="E2268" t="s">
        <v>3</v>
      </c>
      <c r="F2268">
        <v>123.8</v>
      </c>
      <c r="G2268" t="str">
        <f>VLOOKUP(Table1_2[[#This Row],[Categories]],Sheet3!$A$1:$B$27,2,FALSE)</f>
        <v>Food &amp;Beverage</v>
      </c>
    </row>
    <row r="2269" spans="1:7" x14ac:dyDescent="0.3">
      <c r="A2269" t="s">
        <v>33</v>
      </c>
      <c r="B2269">
        <v>2015</v>
      </c>
      <c r="C2269" t="s">
        <v>38</v>
      </c>
      <c r="D2269" s="2">
        <v>42125</v>
      </c>
      <c r="E2269" t="s">
        <v>4</v>
      </c>
      <c r="F2269">
        <v>129.69999999999999</v>
      </c>
      <c r="G2269" t="str">
        <f>VLOOKUP(Table1_2[[#This Row],[Categories]],Sheet3!$A$1:$B$27,2,FALSE)</f>
        <v>Food &amp;Beverage</v>
      </c>
    </row>
    <row r="2270" spans="1:7" x14ac:dyDescent="0.3">
      <c r="A2270" t="s">
        <v>33</v>
      </c>
      <c r="B2270">
        <v>2015</v>
      </c>
      <c r="C2270" t="s">
        <v>38</v>
      </c>
      <c r="D2270" s="2">
        <v>42125</v>
      </c>
      <c r="E2270" t="s">
        <v>5</v>
      </c>
      <c r="F2270">
        <v>111.3</v>
      </c>
      <c r="G2270" t="str">
        <f>VLOOKUP(Table1_2[[#This Row],[Categories]],Sheet3!$A$1:$B$27,2,FALSE)</f>
        <v>Food &amp;Beverage</v>
      </c>
    </row>
    <row r="2271" spans="1:7" x14ac:dyDescent="0.3">
      <c r="A2271" t="s">
        <v>33</v>
      </c>
      <c r="B2271">
        <v>2015</v>
      </c>
      <c r="C2271" t="s">
        <v>38</v>
      </c>
      <c r="D2271" s="2">
        <v>42125</v>
      </c>
      <c r="E2271" t="s">
        <v>6</v>
      </c>
      <c r="F2271">
        <v>126.6</v>
      </c>
      <c r="G2271" t="str">
        <f>VLOOKUP(Table1_2[[#This Row],[Categories]],Sheet3!$A$1:$B$27,2,FALSE)</f>
        <v>Food &amp;Beverage</v>
      </c>
    </row>
    <row r="2272" spans="1:7" x14ac:dyDescent="0.3">
      <c r="A2272" t="s">
        <v>33</v>
      </c>
      <c r="B2272">
        <v>2015</v>
      </c>
      <c r="C2272" t="s">
        <v>38</v>
      </c>
      <c r="D2272" s="2">
        <v>42125</v>
      </c>
      <c r="E2272" t="s">
        <v>7</v>
      </c>
      <c r="F2272">
        <v>105.2</v>
      </c>
      <c r="G2272" t="str">
        <f>VLOOKUP(Table1_2[[#This Row],[Categories]],Sheet3!$A$1:$B$27,2,FALSE)</f>
        <v>Food &amp;Beverage</v>
      </c>
    </row>
    <row r="2273" spans="1:7" x14ac:dyDescent="0.3">
      <c r="A2273" t="s">
        <v>33</v>
      </c>
      <c r="B2273">
        <v>2015</v>
      </c>
      <c r="C2273" t="s">
        <v>38</v>
      </c>
      <c r="D2273" s="2">
        <v>42125</v>
      </c>
      <c r="E2273" t="s">
        <v>8</v>
      </c>
      <c r="F2273">
        <v>130.80000000000001</v>
      </c>
      <c r="G2273" t="str">
        <f>VLOOKUP(Table1_2[[#This Row],[Categories]],Sheet3!$A$1:$B$27,2,FALSE)</f>
        <v>Food &amp;Beverage</v>
      </c>
    </row>
    <row r="2274" spans="1:7" x14ac:dyDescent="0.3">
      <c r="A2274" t="s">
        <v>33</v>
      </c>
      <c r="B2274">
        <v>2015</v>
      </c>
      <c r="C2274" t="s">
        <v>38</v>
      </c>
      <c r="D2274" s="2">
        <v>42125</v>
      </c>
      <c r="E2274" t="s">
        <v>9</v>
      </c>
      <c r="F2274">
        <v>135.6</v>
      </c>
      <c r="G2274" t="str">
        <f>VLOOKUP(Table1_2[[#This Row],[Categories]],Sheet3!$A$1:$B$27,2,FALSE)</f>
        <v>Food &amp;Beverage</v>
      </c>
    </row>
    <row r="2275" spans="1:7" x14ac:dyDescent="0.3">
      <c r="A2275" t="s">
        <v>33</v>
      </c>
      <c r="B2275">
        <v>2015</v>
      </c>
      <c r="C2275" t="s">
        <v>38</v>
      </c>
      <c r="D2275" s="2">
        <v>42125</v>
      </c>
      <c r="E2275" t="s">
        <v>10</v>
      </c>
      <c r="F2275">
        <v>142.6</v>
      </c>
      <c r="G2275" t="str">
        <f>VLOOKUP(Table1_2[[#This Row],[Categories]],Sheet3!$A$1:$B$27,2,FALSE)</f>
        <v>Food &amp;Beverage</v>
      </c>
    </row>
    <row r="2276" spans="1:7" x14ac:dyDescent="0.3">
      <c r="A2276" t="s">
        <v>33</v>
      </c>
      <c r="B2276">
        <v>2015</v>
      </c>
      <c r="C2276" t="s">
        <v>38</v>
      </c>
      <c r="D2276" s="2">
        <v>42125</v>
      </c>
      <c r="E2276" t="s">
        <v>11</v>
      </c>
      <c r="F2276">
        <v>90.8</v>
      </c>
      <c r="G2276" t="str">
        <f>VLOOKUP(Table1_2[[#This Row],[Categories]],Sheet3!$A$1:$B$27,2,FALSE)</f>
        <v>Food &amp;Beverage</v>
      </c>
    </row>
    <row r="2277" spans="1:7" x14ac:dyDescent="0.3">
      <c r="A2277" t="s">
        <v>33</v>
      </c>
      <c r="B2277">
        <v>2015</v>
      </c>
      <c r="C2277" t="s">
        <v>38</v>
      </c>
      <c r="D2277" s="2">
        <v>42125</v>
      </c>
      <c r="E2277" t="s">
        <v>12</v>
      </c>
      <c r="F2277">
        <v>128.80000000000001</v>
      </c>
      <c r="G2277" t="str">
        <f>VLOOKUP(Table1_2[[#This Row],[Categories]],Sheet3!$A$1:$B$27,2,FALSE)</f>
        <v>Food &amp;Beverage</v>
      </c>
    </row>
    <row r="2278" spans="1:7" x14ac:dyDescent="0.3">
      <c r="A2278" t="s">
        <v>33</v>
      </c>
      <c r="B2278">
        <v>2015</v>
      </c>
      <c r="C2278" t="s">
        <v>38</v>
      </c>
      <c r="D2278" s="2">
        <v>42125</v>
      </c>
      <c r="E2278" t="s">
        <v>13</v>
      </c>
      <c r="F2278">
        <v>117.7</v>
      </c>
      <c r="G2278" t="str">
        <f>VLOOKUP(Table1_2[[#This Row],[Categories]],Sheet3!$A$1:$B$27,2,FALSE)</f>
        <v>Food &amp;Beverage</v>
      </c>
    </row>
    <row r="2279" spans="1:7" x14ac:dyDescent="0.3">
      <c r="A2279" t="s">
        <v>33</v>
      </c>
      <c r="B2279">
        <v>2015</v>
      </c>
      <c r="C2279" t="s">
        <v>38</v>
      </c>
      <c r="D2279" s="2">
        <v>42125</v>
      </c>
      <c r="E2279" t="s">
        <v>14</v>
      </c>
      <c r="F2279">
        <v>129.9</v>
      </c>
      <c r="G2279" t="str">
        <f>VLOOKUP(Table1_2[[#This Row],[Categories]],Sheet3!$A$1:$B$27,2,FALSE)</f>
        <v>Food &amp;Beverage</v>
      </c>
    </row>
    <row r="2280" spans="1:7" x14ac:dyDescent="0.3">
      <c r="A2280" t="s">
        <v>33</v>
      </c>
      <c r="B2280">
        <v>2015</v>
      </c>
      <c r="C2280" t="s">
        <v>38</v>
      </c>
      <c r="D2280" s="2">
        <v>42125</v>
      </c>
      <c r="E2280" t="s">
        <v>15</v>
      </c>
      <c r="F2280">
        <v>126.1</v>
      </c>
      <c r="G2280" t="str">
        <f>VLOOKUP(Table1_2[[#This Row],[Categories]],Sheet3!$A$1:$B$27,2,FALSE)</f>
        <v>Food &amp;Beverage</v>
      </c>
    </row>
    <row r="2281" spans="1:7" x14ac:dyDescent="0.3">
      <c r="A2281" t="s">
        <v>33</v>
      </c>
      <c r="B2281">
        <v>2015</v>
      </c>
      <c r="C2281" t="s">
        <v>38</v>
      </c>
      <c r="D2281" s="2">
        <v>42125</v>
      </c>
      <c r="E2281" t="s">
        <v>16</v>
      </c>
      <c r="F2281">
        <v>131.30000000000001</v>
      </c>
      <c r="G2281" t="str">
        <f>VLOOKUP(Table1_2[[#This Row],[Categories]],Sheet3!$A$1:$B$27,2,FALSE)</f>
        <v>Recreation and amusement</v>
      </c>
    </row>
    <row r="2282" spans="1:7" x14ac:dyDescent="0.3">
      <c r="A2282" t="s">
        <v>33</v>
      </c>
      <c r="B2282">
        <v>2015</v>
      </c>
      <c r="C2282" t="s">
        <v>38</v>
      </c>
      <c r="D2282" s="2">
        <v>42125</v>
      </c>
      <c r="E2282" t="s">
        <v>17</v>
      </c>
      <c r="F2282">
        <v>122.4</v>
      </c>
      <c r="G2282" t="str">
        <f>VLOOKUP(Table1_2[[#This Row],[Categories]],Sheet3!$A$1:$B$27,2,FALSE)</f>
        <v>Clothing and footwear</v>
      </c>
    </row>
    <row r="2283" spans="1:7" x14ac:dyDescent="0.3">
      <c r="A2283" t="s">
        <v>33</v>
      </c>
      <c r="B2283">
        <v>2015</v>
      </c>
      <c r="C2283" t="s">
        <v>38</v>
      </c>
      <c r="D2283" s="2">
        <v>42125</v>
      </c>
      <c r="E2283" t="s">
        <v>18</v>
      </c>
      <c r="F2283">
        <v>117.4</v>
      </c>
      <c r="G2283" t="str">
        <f>VLOOKUP(Table1_2[[#This Row],[Categories]],Sheet3!$A$1:$B$27,2,FALSE)</f>
        <v>Clothing and footwear</v>
      </c>
    </row>
    <row r="2284" spans="1:7" x14ac:dyDescent="0.3">
      <c r="A2284" t="s">
        <v>33</v>
      </c>
      <c r="B2284">
        <v>2015</v>
      </c>
      <c r="C2284" t="s">
        <v>38</v>
      </c>
      <c r="D2284" s="2">
        <v>42125</v>
      </c>
      <c r="E2284" t="s">
        <v>19</v>
      </c>
      <c r="F2284">
        <v>121.6</v>
      </c>
      <c r="G2284" t="str">
        <f>VLOOKUP(Table1_2[[#This Row],[Categories]],Sheet3!$A$1:$B$27,2,FALSE)</f>
        <v>Clothing and footwear</v>
      </c>
    </row>
    <row r="2285" spans="1:7" x14ac:dyDescent="0.3">
      <c r="A2285" t="s">
        <v>33</v>
      </c>
      <c r="B2285">
        <v>2015</v>
      </c>
      <c r="C2285" t="s">
        <v>38</v>
      </c>
      <c r="D2285" s="2">
        <v>42125</v>
      </c>
      <c r="E2285" t="s">
        <v>20</v>
      </c>
      <c r="F2285">
        <v>119.6</v>
      </c>
      <c r="G2285" t="str">
        <f>VLOOKUP(Table1_2[[#This Row],[Categories]],Sheet3!$A$1:$B$27,2,FALSE)</f>
        <v>Housing</v>
      </c>
    </row>
    <row r="2286" spans="1:7" x14ac:dyDescent="0.3">
      <c r="A2286" t="s">
        <v>33</v>
      </c>
      <c r="B2286">
        <v>2015</v>
      </c>
      <c r="C2286" t="s">
        <v>38</v>
      </c>
      <c r="D2286" s="2">
        <v>42125</v>
      </c>
      <c r="E2286" t="s">
        <v>21</v>
      </c>
      <c r="F2286">
        <v>114.9</v>
      </c>
      <c r="G2286" t="str">
        <f>VLOOKUP(Table1_2[[#This Row],[Categories]],Sheet3!$A$1:$B$27,2,FALSE)</f>
        <v>Fuel and light</v>
      </c>
    </row>
    <row r="2287" spans="1:7" x14ac:dyDescent="0.3">
      <c r="A2287" t="s">
        <v>33</v>
      </c>
      <c r="B2287">
        <v>2015</v>
      </c>
      <c r="C2287" t="s">
        <v>38</v>
      </c>
      <c r="D2287" s="2">
        <v>42125</v>
      </c>
      <c r="E2287" t="s">
        <v>22</v>
      </c>
      <c r="F2287">
        <v>118.7</v>
      </c>
      <c r="G2287" t="str">
        <f>VLOOKUP(Table1_2[[#This Row],[Categories]],Sheet3!$A$1:$B$27,2,FALSE)</f>
        <v>Household Items</v>
      </c>
    </row>
    <row r="2288" spans="1:7" x14ac:dyDescent="0.3">
      <c r="A2288" t="s">
        <v>33</v>
      </c>
      <c r="B2288">
        <v>2015</v>
      </c>
      <c r="C2288" t="s">
        <v>38</v>
      </c>
      <c r="D2288" s="2">
        <v>42125</v>
      </c>
      <c r="E2288" t="s">
        <v>23</v>
      </c>
      <c r="F2288">
        <v>114.9</v>
      </c>
      <c r="G2288" t="str">
        <f>VLOOKUP(Table1_2[[#This Row],[Categories]],Sheet3!$A$1:$B$27,2,FALSE)</f>
        <v>Health</v>
      </c>
    </row>
    <row r="2289" spans="1:7" x14ac:dyDescent="0.3">
      <c r="A2289" t="s">
        <v>33</v>
      </c>
      <c r="B2289">
        <v>2015</v>
      </c>
      <c r="C2289" t="s">
        <v>38</v>
      </c>
      <c r="D2289" s="2">
        <v>42125</v>
      </c>
      <c r="E2289" t="s">
        <v>24</v>
      </c>
      <c r="F2289">
        <v>110.8</v>
      </c>
      <c r="G2289" t="str">
        <f>VLOOKUP(Table1_2[[#This Row],[Categories]],Sheet3!$A$1:$B$27,2,FALSE)</f>
        <v>Transport and communication</v>
      </c>
    </row>
    <row r="2290" spans="1:7" x14ac:dyDescent="0.3">
      <c r="A2290" t="s">
        <v>33</v>
      </c>
      <c r="B2290">
        <v>2015</v>
      </c>
      <c r="C2290" t="s">
        <v>38</v>
      </c>
      <c r="D2290" s="2">
        <v>42125</v>
      </c>
      <c r="E2290" t="s">
        <v>25</v>
      </c>
      <c r="F2290">
        <v>116</v>
      </c>
      <c r="G2290" t="str">
        <f>VLOOKUP(Table1_2[[#This Row],[Categories]],Sheet3!$A$1:$B$27,2,FALSE)</f>
        <v>Recreation and amusement</v>
      </c>
    </row>
    <row r="2291" spans="1:7" x14ac:dyDescent="0.3">
      <c r="A2291" t="s">
        <v>33</v>
      </c>
      <c r="B2291">
        <v>2015</v>
      </c>
      <c r="C2291" t="s">
        <v>38</v>
      </c>
      <c r="D2291" s="2">
        <v>42125</v>
      </c>
      <c r="E2291" t="s">
        <v>26</v>
      </c>
      <c r="F2291">
        <v>122</v>
      </c>
      <c r="G2291" t="str">
        <f>VLOOKUP(Table1_2[[#This Row],[Categories]],Sheet3!$A$1:$B$27,2,FALSE)</f>
        <v>Education</v>
      </c>
    </row>
    <row r="2292" spans="1:7" x14ac:dyDescent="0.3">
      <c r="A2292" t="s">
        <v>33</v>
      </c>
      <c r="B2292">
        <v>2015</v>
      </c>
      <c r="C2292" t="s">
        <v>38</v>
      </c>
      <c r="D2292" s="2">
        <v>42125</v>
      </c>
      <c r="E2292" t="s">
        <v>27</v>
      </c>
      <c r="F2292">
        <v>112.4</v>
      </c>
      <c r="G2292" t="str">
        <f>VLOOKUP(Table1_2[[#This Row],[Categories]],Sheet3!$A$1:$B$27,2,FALSE)</f>
        <v>Household Items</v>
      </c>
    </row>
    <row r="2293" spans="1:7" x14ac:dyDescent="0.3">
      <c r="A2293" t="s">
        <v>33</v>
      </c>
      <c r="B2293">
        <v>2015</v>
      </c>
      <c r="C2293" t="s">
        <v>38</v>
      </c>
      <c r="D2293" s="2">
        <v>42125</v>
      </c>
      <c r="E2293" t="s">
        <v>28</v>
      </c>
      <c r="F2293">
        <v>115.2</v>
      </c>
      <c r="G2293" t="str">
        <f>VLOOKUP(Table1_2[[#This Row],[Categories]],Sheet3!$A$1:$B$27,2,FALSE)</f>
        <v>Miscellaneous</v>
      </c>
    </row>
    <row r="2294" spans="1:7" x14ac:dyDescent="0.3">
      <c r="A2294" t="s">
        <v>33</v>
      </c>
      <c r="B2294">
        <v>2015</v>
      </c>
      <c r="C2294" t="s">
        <v>38</v>
      </c>
      <c r="D2294" s="2">
        <v>42125</v>
      </c>
      <c r="E2294" t="s">
        <v>29</v>
      </c>
      <c r="F2294">
        <v>120.7</v>
      </c>
      <c r="G2294" t="str">
        <f>VLOOKUP(Table1_2[[#This Row],[Categories]],Sheet3!$A$1:$B$27,2,FALSE)</f>
        <v>General index</v>
      </c>
    </row>
    <row r="2295" spans="1:7" x14ac:dyDescent="0.3">
      <c r="A2295" t="s">
        <v>34</v>
      </c>
      <c r="B2295">
        <v>2015</v>
      </c>
      <c r="C2295" t="s">
        <v>38</v>
      </c>
      <c r="D2295" s="2">
        <v>42125</v>
      </c>
      <c r="E2295" t="s">
        <v>3</v>
      </c>
      <c r="F2295">
        <v>123.6</v>
      </c>
      <c r="G2295" t="str">
        <f>VLOOKUP(Table1_2[[#This Row],[Categories]],Sheet3!$A$1:$B$27,2,FALSE)</f>
        <v>Food &amp;Beverage</v>
      </c>
    </row>
    <row r="2296" spans="1:7" x14ac:dyDescent="0.3">
      <c r="A2296" t="s">
        <v>34</v>
      </c>
      <c r="B2296">
        <v>2015</v>
      </c>
      <c r="C2296" t="s">
        <v>38</v>
      </c>
      <c r="D2296" s="2">
        <v>42125</v>
      </c>
      <c r="E2296" t="s">
        <v>4</v>
      </c>
      <c r="F2296">
        <v>128</v>
      </c>
      <c r="G2296" t="str">
        <f>VLOOKUP(Table1_2[[#This Row],[Categories]],Sheet3!$A$1:$B$27,2,FALSE)</f>
        <v>Food &amp;Beverage</v>
      </c>
    </row>
    <row r="2297" spans="1:7" x14ac:dyDescent="0.3">
      <c r="A2297" t="s">
        <v>34</v>
      </c>
      <c r="B2297">
        <v>2015</v>
      </c>
      <c r="C2297" t="s">
        <v>38</v>
      </c>
      <c r="D2297" s="2">
        <v>42125</v>
      </c>
      <c r="E2297" t="s">
        <v>5</v>
      </c>
      <c r="F2297">
        <v>115</v>
      </c>
      <c r="G2297" t="str">
        <f>VLOOKUP(Table1_2[[#This Row],[Categories]],Sheet3!$A$1:$B$27,2,FALSE)</f>
        <v>Food &amp;Beverage</v>
      </c>
    </row>
    <row r="2298" spans="1:7" x14ac:dyDescent="0.3">
      <c r="A2298" t="s">
        <v>34</v>
      </c>
      <c r="B2298">
        <v>2015</v>
      </c>
      <c r="C2298" t="s">
        <v>38</v>
      </c>
      <c r="D2298" s="2">
        <v>42125</v>
      </c>
      <c r="E2298" t="s">
        <v>6</v>
      </c>
      <c r="F2298">
        <v>127.3</v>
      </c>
      <c r="G2298" t="str">
        <f>VLOOKUP(Table1_2[[#This Row],[Categories]],Sheet3!$A$1:$B$27,2,FALSE)</f>
        <v>Food &amp;Beverage</v>
      </c>
    </row>
    <row r="2299" spans="1:7" x14ac:dyDescent="0.3">
      <c r="A2299" t="s">
        <v>34</v>
      </c>
      <c r="B2299">
        <v>2015</v>
      </c>
      <c r="C2299" t="s">
        <v>38</v>
      </c>
      <c r="D2299" s="2">
        <v>42125</v>
      </c>
      <c r="E2299" t="s">
        <v>7</v>
      </c>
      <c r="F2299">
        <v>109.8</v>
      </c>
      <c r="G2299" t="str">
        <f>VLOOKUP(Table1_2[[#This Row],[Categories]],Sheet3!$A$1:$B$27,2,FALSE)</f>
        <v>Food &amp;Beverage</v>
      </c>
    </row>
    <row r="2300" spans="1:7" x14ac:dyDescent="0.3">
      <c r="A2300" t="s">
        <v>34</v>
      </c>
      <c r="B2300">
        <v>2015</v>
      </c>
      <c r="C2300" t="s">
        <v>38</v>
      </c>
      <c r="D2300" s="2">
        <v>42125</v>
      </c>
      <c r="E2300" t="s">
        <v>8</v>
      </c>
      <c r="F2300">
        <v>132.6</v>
      </c>
      <c r="G2300" t="str">
        <f>VLOOKUP(Table1_2[[#This Row],[Categories]],Sheet3!$A$1:$B$27,2,FALSE)</f>
        <v>Food &amp;Beverage</v>
      </c>
    </row>
    <row r="2301" spans="1:7" x14ac:dyDescent="0.3">
      <c r="A2301" t="s">
        <v>34</v>
      </c>
      <c r="B2301">
        <v>2015</v>
      </c>
      <c r="C2301" t="s">
        <v>38</v>
      </c>
      <c r="D2301" s="2">
        <v>42125</v>
      </c>
      <c r="E2301" t="s">
        <v>9</v>
      </c>
      <c r="F2301">
        <v>130.9</v>
      </c>
      <c r="G2301" t="str">
        <f>VLOOKUP(Table1_2[[#This Row],[Categories]],Sheet3!$A$1:$B$27,2,FALSE)</f>
        <v>Food &amp;Beverage</v>
      </c>
    </row>
    <row r="2302" spans="1:7" x14ac:dyDescent="0.3">
      <c r="A2302" t="s">
        <v>34</v>
      </c>
      <c r="B2302">
        <v>2015</v>
      </c>
      <c r="C2302" t="s">
        <v>38</v>
      </c>
      <c r="D2302" s="2">
        <v>42125</v>
      </c>
      <c r="E2302" t="s">
        <v>10</v>
      </c>
      <c r="F2302">
        <v>130.5</v>
      </c>
      <c r="G2302" t="str">
        <f>VLOOKUP(Table1_2[[#This Row],[Categories]],Sheet3!$A$1:$B$27,2,FALSE)</f>
        <v>Food &amp;Beverage</v>
      </c>
    </row>
    <row r="2303" spans="1:7" x14ac:dyDescent="0.3">
      <c r="A2303" t="s">
        <v>34</v>
      </c>
      <c r="B2303">
        <v>2015</v>
      </c>
      <c r="C2303" t="s">
        <v>38</v>
      </c>
      <c r="D2303" s="2">
        <v>42125</v>
      </c>
      <c r="E2303" t="s">
        <v>11</v>
      </c>
      <c r="F2303">
        <v>95.3</v>
      </c>
      <c r="G2303" t="str">
        <f>VLOOKUP(Table1_2[[#This Row],[Categories]],Sheet3!$A$1:$B$27,2,FALSE)</f>
        <v>Food &amp;Beverage</v>
      </c>
    </row>
    <row r="2304" spans="1:7" x14ac:dyDescent="0.3">
      <c r="A2304" t="s">
        <v>34</v>
      </c>
      <c r="B2304">
        <v>2015</v>
      </c>
      <c r="C2304" t="s">
        <v>38</v>
      </c>
      <c r="D2304" s="2">
        <v>42125</v>
      </c>
      <c r="E2304" t="s">
        <v>12</v>
      </c>
      <c r="F2304">
        <v>123.4</v>
      </c>
      <c r="G2304" t="str">
        <f>VLOOKUP(Table1_2[[#This Row],[Categories]],Sheet3!$A$1:$B$27,2,FALSE)</f>
        <v>Food &amp;Beverage</v>
      </c>
    </row>
    <row r="2305" spans="1:7" x14ac:dyDescent="0.3">
      <c r="A2305" t="s">
        <v>34</v>
      </c>
      <c r="B2305">
        <v>2015</v>
      </c>
      <c r="C2305" t="s">
        <v>38</v>
      </c>
      <c r="D2305" s="2">
        <v>42125</v>
      </c>
      <c r="E2305" t="s">
        <v>13</v>
      </c>
      <c r="F2305">
        <v>119.2</v>
      </c>
      <c r="G2305" t="str">
        <f>VLOOKUP(Table1_2[[#This Row],[Categories]],Sheet3!$A$1:$B$27,2,FALSE)</f>
        <v>Food &amp;Beverage</v>
      </c>
    </row>
    <row r="2306" spans="1:7" x14ac:dyDescent="0.3">
      <c r="A2306" t="s">
        <v>34</v>
      </c>
      <c r="B2306">
        <v>2015</v>
      </c>
      <c r="C2306" t="s">
        <v>38</v>
      </c>
      <c r="D2306" s="2">
        <v>42125</v>
      </c>
      <c r="E2306" t="s">
        <v>14</v>
      </c>
      <c r="F2306">
        <v>129.80000000000001</v>
      </c>
      <c r="G2306" t="str">
        <f>VLOOKUP(Table1_2[[#This Row],[Categories]],Sheet3!$A$1:$B$27,2,FALSE)</f>
        <v>Food &amp;Beverage</v>
      </c>
    </row>
    <row r="2307" spans="1:7" x14ac:dyDescent="0.3">
      <c r="A2307" t="s">
        <v>34</v>
      </c>
      <c r="B2307">
        <v>2015</v>
      </c>
      <c r="C2307" t="s">
        <v>38</v>
      </c>
      <c r="D2307" s="2">
        <v>42125</v>
      </c>
      <c r="E2307" t="s">
        <v>15</v>
      </c>
      <c r="F2307">
        <v>125</v>
      </c>
      <c r="G2307" t="str">
        <f>VLOOKUP(Table1_2[[#This Row],[Categories]],Sheet3!$A$1:$B$27,2,FALSE)</f>
        <v>Food &amp;Beverage</v>
      </c>
    </row>
    <row r="2308" spans="1:7" x14ac:dyDescent="0.3">
      <c r="A2308" t="s">
        <v>34</v>
      </c>
      <c r="B2308">
        <v>2015</v>
      </c>
      <c r="C2308" t="s">
        <v>38</v>
      </c>
      <c r="D2308" s="2">
        <v>42125</v>
      </c>
      <c r="E2308" t="s">
        <v>16</v>
      </c>
      <c r="F2308">
        <v>127.9</v>
      </c>
      <c r="G2308" t="str">
        <f>VLOOKUP(Table1_2[[#This Row],[Categories]],Sheet3!$A$1:$B$27,2,FALSE)</f>
        <v>Recreation and amusement</v>
      </c>
    </row>
    <row r="2309" spans="1:7" x14ac:dyDescent="0.3">
      <c r="A2309" t="s">
        <v>34</v>
      </c>
      <c r="B2309">
        <v>2015</v>
      </c>
      <c r="C2309" t="s">
        <v>38</v>
      </c>
      <c r="D2309" s="2">
        <v>42125</v>
      </c>
      <c r="E2309" t="s">
        <v>17</v>
      </c>
      <c r="F2309">
        <v>125.4</v>
      </c>
      <c r="G2309" t="str">
        <f>VLOOKUP(Table1_2[[#This Row],[Categories]],Sheet3!$A$1:$B$27,2,FALSE)</f>
        <v>Clothing and footwear</v>
      </c>
    </row>
    <row r="2310" spans="1:7" x14ac:dyDescent="0.3">
      <c r="A2310" t="s">
        <v>34</v>
      </c>
      <c r="B2310">
        <v>2015</v>
      </c>
      <c r="C2310" t="s">
        <v>38</v>
      </c>
      <c r="D2310" s="2">
        <v>42125</v>
      </c>
      <c r="E2310" t="s">
        <v>18</v>
      </c>
      <c r="F2310">
        <v>121.3</v>
      </c>
      <c r="G2310" t="str">
        <f>VLOOKUP(Table1_2[[#This Row],[Categories]],Sheet3!$A$1:$B$27,2,FALSE)</f>
        <v>Clothing and footwear</v>
      </c>
    </row>
    <row r="2311" spans="1:7" x14ac:dyDescent="0.3">
      <c r="A2311" t="s">
        <v>34</v>
      </c>
      <c r="B2311">
        <v>2015</v>
      </c>
      <c r="C2311" t="s">
        <v>38</v>
      </c>
      <c r="D2311" s="2">
        <v>42125</v>
      </c>
      <c r="E2311" t="s">
        <v>19</v>
      </c>
      <c r="F2311">
        <v>124.7</v>
      </c>
      <c r="G2311" t="str">
        <f>VLOOKUP(Table1_2[[#This Row],[Categories]],Sheet3!$A$1:$B$27,2,FALSE)</f>
        <v>Clothing and footwear</v>
      </c>
    </row>
    <row r="2312" spans="1:7" x14ac:dyDescent="0.3">
      <c r="A2312" t="s">
        <v>34</v>
      </c>
      <c r="B2312">
        <v>2015</v>
      </c>
      <c r="C2312" t="s">
        <v>38</v>
      </c>
      <c r="D2312" s="2">
        <v>42125</v>
      </c>
      <c r="E2312" t="s">
        <v>20</v>
      </c>
      <c r="F2312">
        <v>119.6</v>
      </c>
      <c r="G2312" t="str">
        <f>VLOOKUP(Table1_2[[#This Row],[Categories]],Sheet3!$A$1:$B$27,2,FALSE)</f>
        <v>Housing</v>
      </c>
    </row>
    <row r="2313" spans="1:7" x14ac:dyDescent="0.3">
      <c r="A2313" t="s">
        <v>34</v>
      </c>
      <c r="B2313">
        <v>2015</v>
      </c>
      <c r="C2313" t="s">
        <v>38</v>
      </c>
      <c r="D2313" s="2">
        <v>42125</v>
      </c>
      <c r="E2313" t="s">
        <v>21</v>
      </c>
      <c r="F2313">
        <v>119.2</v>
      </c>
      <c r="G2313" t="str">
        <f>VLOOKUP(Table1_2[[#This Row],[Categories]],Sheet3!$A$1:$B$27,2,FALSE)</f>
        <v>Fuel and light</v>
      </c>
    </row>
    <row r="2314" spans="1:7" x14ac:dyDescent="0.3">
      <c r="A2314" t="s">
        <v>34</v>
      </c>
      <c r="B2314">
        <v>2015</v>
      </c>
      <c r="C2314" t="s">
        <v>38</v>
      </c>
      <c r="D2314" s="2">
        <v>42125</v>
      </c>
      <c r="E2314" t="s">
        <v>22</v>
      </c>
      <c r="F2314">
        <v>120.2</v>
      </c>
      <c r="G2314" t="str">
        <f>VLOOKUP(Table1_2[[#This Row],[Categories]],Sheet3!$A$1:$B$27,2,FALSE)</f>
        <v>Household Items</v>
      </c>
    </row>
    <row r="2315" spans="1:7" x14ac:dyDescent="0.3">
      <c r="A2315" t="s">
        <v>34</v>
      </c>
      <c r="B2315">
        <v>2015</v>
      </c>
      <c r="C2315" t="s">
        <v>38</v>
      </c>
      <c r="D2315" s="2">
        <v>42125</v>
      </c>
      <c r="E2315" t="s">
        <v>23</v>
      </c>
      <c r="F2315">
        <v>117.7</v>
      </c>
      <c r="G2315" t="str">
        <f>VLOOKUP(Table1_2[[#This Row],[Categories]],Sheet3!$A$1:$B$27,2,FALSE)</f>
        <v>Health</v>
      </c>
    </row>
    <row r="2316" spans="1:7" x14ac:dyDescent="0.3">
      <c r="A2316" t="s">
        <v>34</v>
      </c>
      <c r="B2316">
        <v>2015</v>
      </c>
      <c r="C2316" t="s">
        <v>38</v>
      </c>
      <c r="D2316" s="2">
        <v>42125</v>
      </c>
      <c r="E2316" t="s">
        <v>24</v>
      </c>
      <c r="F2316">
        <v>112</v>
      </c>
      <c r="G2316" t="str">
        <f>VLOOKUP(Table1_2[[#This Row],[Categories]],Sheet3!$A$1:$B$27,2,FALSE)</f>
        <v>Transport and communication</v>
      </c>
    </row>
    <row r="2317" spans="1:7" x14ac:dyDescent="0.3">
      <c r="A2317" t="s">
        <v>34</v>
      </c>
      <c r="B2317">
        <v>2015</v>
      </c>
      <c r="C2317" t="s">
        <v>38</v>
      </c>
      <c r="D2317" s="2">
        <v>42125</v>
      </c>
      <c r="E2317" t="s">
        <v>25</v>
      </c>
      <c r="F2317">
        <v>116.3</v>
      </c>
      <c r="G2317" t="str">
        <f>VLOOKUP(Table1_2[[#This Row],[Categories]],Sheet3!$A$1:$B$27,2,FALSE)</f>
        <v>Recreation and amusement</v>
      </c>
    </row>
    <row r="2318" spans="1:7" x14ac:dyDescent="0.3">
      <c r="A2318" t="s">
        <v>34</v>
      </c>
      <c r="B2318">
        <v>2015</v>
      </c>
      <c r="C2318" t="s">
        <v>38</v>
      </c>
      <c r="D2318" s="2">
        <v>42125</v>
      </c>
      <c r="E2318" t="s">
        <v>26</v>
      </c>
      <c r="F2318">
        <v>121.4</v>
      </c>
      <c r="G2318" t="str">
        <f>VLOOKUP(Table1_2[[#This Row],[Categories]],Sheet3!$A$1:$B$27,2,FALSE)</f>
        <v>Education</v>
      </c>
    </row>
    <row r="2319" spans="1:7" x14ac:dyDescent="0.3">
      <c r="A2319" t="s">
        <v>34</v>
      </c>
      <c r="B2319">
        <v>2015</v>
      </c>
      <c r="C2319" t="s">
        <v>38</v>
      </c>
      <c r="D2319" s="2">
        <v>42125</v>
      </c>
      <c r="E2319" t="s">
        <v>27</v>
      </c>
      <c r="F2319">
        <v>112.3</v>
      </c>
      <c r="G2319" t="str">
        <f>VLOOKUP(Table1_2[[#This Row],[Categories]],Sheet3!$A$1:$B$27,2,FALSE)</f>
        <v>Household Items</v>
      </c>
    </row>
    <row r="2320" spans="1:7" x14ac:dyDescent="0.3">
      <c r="A2320" t="s">
        <v>34</v>
      </c>
      <c r="B2320">
        <v>2015</v>
      </c>
      <c r="C2320" t="s">
        <v>38</v>
      </c>
      <c r="D2320" s="2">
        <v>42125</v>
      </c>
      <c r="E2320" t="s">
        <v>28</v>
      </c>
      <c r="F2320">
        <v>116.1</v>
      </c>
      <c r="G2320" t="str">
        <f>VLOOKUP(Table1_2[[#This Row],[Categories]],Sheet3!$A$1:$B$27,2,FALSE)</f>
        <v>Miscellaneous</v>
      </c>
    </row>
    <row r="2321" spans="1:7" x14ac:dyDescent="0.3">
      <c r="A2321" t="s">
        <v>34</v>
      </c>
      <c r="B2321">
        <v>2015</v>
      </c>
      <c r="C2321" t="s">
        <v>38</v>
      </c>
      <c r="D2321" s="2">
        <v>42125</v>
      </c>
      <c r="E2321" t="s">
        <v>29</v>
      </c>
      <c r="F2321">
        <v>121.6</v>
      </c>
      <c r="G2321" t="str">
        <f>VLOOKUP(Table1_2[[#This Row],[Categories]],Sheet3!$A$1:$B$27,2,FALSE)</f>
        <v>General index</v>
      </c>
    </row>
    <row r="2322" spans="1:7" x14ac:dyDescent="0.3">
      <c r="A2322" t="s">
        <v>30</v>
      </c>
      <c r="B2322">
        <v>2015</v>
      </c>
      <c r="C2322" t="s">
        <v>39</v>
      </c>
      <c r="D2322" s="2">
        <v>42156</v>
      </c>
      <c r="E2322" t="s">
        <v>3</v>
      </c>
      <c r="F2322">
        <v>124.1</v>
      </c>
      <c r="G2322" t="str">
        <f>VLOOKUP(Table1_2[[#This Row],[Categories]],Sheet3!$A$1:$B$27,2,FALSE)</f>
        <v>Food &amp;Beverage</v>
      </c>
    </row>
    <row r="2323" spans="1:7" x14ac:dyDescent="0.3">
      <c r="A2323" t="s">
        <v>30</v>
      </c>
      <c r="B2323">
        <v>2015</v>
      </c>
      <c r="C2323" t="s">
        <v>39</v>
      </c>
      <c r="D2323" s="2">
        <v>42156</v>
      </c>
      <c r="E2323" t="s">
        <v>4</v>
      </c>
      <c r="F2323">
        <v>130.4</v>
      </c>
      <c r="G2323" t="str">
        <f>VLOOKUP(Table1_2[[#This Row],[Categories]],Sheet3!$A$1:$B$27,2,FALSE)</f>
        <v>Food &amp;Beverage</v>
      </c>
    </row>
    <row r="2324" spans="1:7" x14ac:dyDescent="0.3">
      <c r="A2324" t="s">
        <v>30</v>
      </c>
      <c r="B2324">
        <v>2015</v>
      </c>
      <c r="C2324" t="s">
        <v>39</v>
      </c>
      <c r="D2324" s="2">
        <v>42156</v>
      </c>
      <c r="E2324" t="s">
        <v>5</v>
      </c>
      <c r="F2324">
        <v>122.1</v>
      </c>
      <c r="G2324" t="str">
        <f>VLOOKUP(Table1_2[[#This Row],[Categories]],Sheet3!$A$1:$B$27,2,FALSE)</f>
        <v>Food &amp;Beverage</v>
      </c>
    </row>
    <row r="2325" spans="1:7" x14ac:dyDescent="0.3">
      <c r="A2325" t="s">
        <v>30</v>
      </c>
      <c r="B2325">
        <v>2015</v>
      </c>
      <c r="C2325" t="s">
        <v>39</v>
      </c>
      <c r="D2325" s="2">
        <v>42156</v>
      </c>
      <c r="E2325" t="s">
        <v>6</v>
      </c>
      <c r="F2325">
        <v>128.69999999999999</v>
      </c>
      <c r="G2325" t="str">
        <f>VLOOKUP(Table1_2[[#This Row],[Categories]],Sheet3!$A$1:$B$27,2,FALSE)</f>
        <v>Food &amp;Beverage</v>
      </c>
    </row>
    <row r="2326" spans="1:7" x14ac:dyDescent="0.3">
      <c r="A2326" t="s">
        <v>30</v>
      </c>
      <c r="B2326">
        <v>2015</v>
      </c>
      <c r="C2326" t="s">
        <v>39</v>
      </c>
      <c r="D2326" s="2">
        <v>42156</v>
      </c>
      <c r="E2326" t="s">
        <v>7</v>
      </c>
      <c r="F2326">
        <v>114.1</v>
      </c>
      <c r="G2326" t="str">
        <f>VLOOKUP(Table1_2[[#This Row],[Categories]],Sheet3!$A$1:$B$27,2,FALSE)</f>
        <v>Food &amp;Beverage</v>
      </c>
    </row>
    <row r="2327" spans="1:7" x14ac:dyDescent="0.3">
      <c r="A2327" t="s">
        <v>30</v>
      </c>
      <c r="B2327">
        <v>2015</v>
      </c>
      <c r="C2327" t="s">
        <v>39</v>
      </c>
      <c r="D2327" s="2">
        <v>42156</v>
      </c>
      <c r="E2327" t="s">
        <v>8</v>
      </c>
      <c r="F2327">
        <v>133.19999999999999</v>
      </c>
      <c r="G2327" t="str">
        <f>VLOOKUP(Table1_2[[#This Row],[Categories]],Sheet3!$A$1:$B$27,2,FALSE)</f>
        <v>Food &amp;Beverage</v>
      </c>
    </row>
    <row r="2328" spans="1:7" x14ac:dyDescent="0.3">
      <c r="A2328" t="s">
        <v>30</v>
      </c>
      <c r="B2328">
        <v>2015</v>
      </c>
      <c r="C2328" t="s">
        <v>39</v>
      </c>
      <c r="D2328" s="2">
        <v>42156</v>
      </c>
      <c r="E2328" t="s">
        <v>9</v>
      </c>
      <c r="F2328">
        <v>135.19999999999999</v>
      </c>
      <c r="G2328" t="str">
        <f>VLOOKUP(Table1_2[[#This Row],[Categories]],Sheet3!$A$1:$B$27,2,FALSE)</f>
        <v>Food &amp;Beverage</v>
      </c>
    </row>
    <row r="2329" spans="1:7" x14ac:dyDescent="0.3">
      <c r="A2329" t="s">
        <v>30</v>
      </c>
      <c r="B2329">
        <v>2015</v>
      </c>
      <c r="C2329" t="s">
        <v>39</v>
      </c>
      <c r="D2329" s="2">
        <v>42156</v>
      </c>
      <c r="E2329" t="s">
        <v>10</v>
      </c>
      <c r="F2329">
        <v>131.9</v>
      </c>
      <c r="G2329" t="str">
        <f>VLOOKUP(Table1_2[[#This Row],[Categories]],Sheet3!$A$1:$B$27,2,FALSE)</f>
        <v>Food &amp;Beverage</v>
      </c>
    </row>
    <row r="2330" spans="1:7" x14ac:dyDescent="0.3">
      <c r="A2330" t="s">
        <v>30</v>
      </c>
      <c r="B2330">
        <v>2015</v>
      </c>
      <c r="C2330" t="s">
        <v>39</v>
      </c>
      <c r="D2330" s="2">
        <v>42156</v>
      </c>
      <c r="E2330" t="s">
        <v>11</v>
      </c>
      <c r="F2330">
        <v>96.3</v>
      </c>
      <c r="G2330" t="str">
        <f>VLOOKUP(Table1_2[[#This Row],[Categories]],Sheet3!$A$1:$B$27,2,FALSE)</f>
        <v>Food &amp;Beverage</v>
      </c>
    </row>
    <row r="2331" spans="1:7" x14ac:dyDescent="0.3">
      <c r="A2331" t="s">
        <v>30</v>
      </c>
      <c r="B2331">
        <v>2015</v>
      </c>
      <c r="C2331" t="s">
        <v>39</v>
      </c>
      <c r="D2331" s="2">
        <v>42156</v>
      </c>
      <c r="E2331" t="s">
        <v>12</v>
      </c>
      <c r="F2331">
        <v>123</v>
      </c>
      <c r="G2331" t="str">
        <f>VLOOKUP(Table1_2[[#This Row],[Categories]],Sheet3!$A$1:$B$27,2,FALSE)</f>
        <v>Food &amp;Beverage</v>
      </c>
    </row>
    <row r="2332" spans="1:7" x14ac:dyDescent="0.3">
      <c r="A2332" t="s">
        <v>30</v>
      </c>
      <c r="B2332">
        <v>2015</v>
      </c>
      <c r="C2332" t="s">
        <v>39</v>
      </c>
      <c r="D2332" s="2">
        <v>42156</v>
      </c>
      <c r="E2332" t="s">
        <v>13</v>
      </c>
      <c r="F2332">
        <v>121.1</v>
      </c>
      <c r="G2332" t="str">
        <f>VLOOKUP(Table1_2[[#This Row],[Categories]],Sheet3!$A$1:$B$27,2,FALSE)</f>
        <v>Food &amp;Beverage</v>
      </c>
    </row>
    <row r="2333" spans="1:7" x14ac:dyDescent="0.3">
      <c r="A2333" t="s">
        <v>30</v>
      </c>
      <c r="B2333">
        <v>2015</v>
      </c>
      <c r="C2333" t="s">
        <v>39</v>
      </c>
      <c r="D2333" s="2">
        <v>42156</v>
      </c>
      <c r="E2333" t="s">
        <v>14</v>
      </c>
      <c r="F2333">
        <v>131.19999999999999</v>
      </c>
      <c r="G2333" t="str">
        <f>VLOOKUP(Table1_2[[#This Row],[Categories]],Sheet3!$A$1:$B$27,2,FALSE)</f>
        <v>Food &amp;Beverage</v>
      </c>
    </row>
    <row r="2334" spans="1:7" x14ac:dyDescent="0.3">
      <c r="A2334" t="s">
        <v>30</v>
      </c>
      <c r="B2334">
        <v>2015</v>
      </c>
      <c r="C2334" t="s">
        <v>39</v>
      </c>
      <c r="D2334" s="2">
        <v>42156</v>
      </c>
      <c r="E2334" t="s">
        <v>15</v>
      </c>
      <c r="F2334">
        <v>126.6</v>
      </c>
      <c r="G2334" t="str">
        <f>VLOOKUP(Table1_2[[#This Row],[Categories]],Sheet3!$A$1:$B$27,2,FALSE)</f>
        <v>Food &amp;Beverage</v>
      </c>
    </row>
    <row r="2335" spans="1:7" x14ac:dyDescent="0.3">
      <c r="A2335" t="s">
        <v>30</v>
      </c>
      <c r="B2335">
        <v>2015</v>
      </c>
      <c r="C2335" t="s">
        <v>39</v>
      </c>
      <c r="D2335" s="2">
        <v>42156</v>
      </c>
      <c r="E2335" t="s">
        <v>16</v>
      </c>
      <c r="F2335">
        <v>128.19999999999999</v>
      </c>
      <c r="G2335" t="str">
        <f>VLOOKUP(Table1_2[[#This Row],[Categories]],Sheet3!$A$1:$B$27,2,FALSE)</f>
        <v>Recreation and amusement</v>
      </c>
    </row>
    <row r="2336" spans="1:7" x14ac:dyDescent="0.3">
      <c r="A2336" t="s">
        <v>30</v>
      </c>
      <c r="B2336">
        <v>2015</v>
      </c>
      <c r="C2336" t="s">
        <v>39</v>
      </c>
      <c r="D2336" s="2">
        <v>42156</v>
      </c>
      <c r="E2336" t="s">
        <v>17</v>
      </c>
      <c r="F2336">
        <v>128.4</v>
      </c>
      <c r="G2336" t="str">
        <f>VLOOKUP(Table1_2[[#This Row],[Categories]],Sheet3!$A$1:$B$27,2,FALSE)</f>
        <v>Clothing and footwear</v>
      </c>
    </row>
    <row r="2337" spans="1:7" x14ac:dyDescent="0.3">
      <c r="A2337" t="s">
        <v>30</v>
      </c>
      <c r="B2337">
        <v>2015</v>
      </c>
      <c r="C2337" t="s">
        <v>39</v>
      </c>
      <c r="D2337" s="2">
        <v>42156</v>
      </c>
      <c r="E2337" t="s">
        <v>18</v>
      </c>
      <c r="F2337">
        <v>125.1</v>
      </c>
      <c r="G2337" t="str">
        <f>VLOOKUP(Table1_2[[#This Row],[Categories]],Sheet3!$A$1:$B$27,2,FALSE)</f>
        <v>Clothing and footwear</v>
      </c>
    </row>
    <row r="2338" spans="1:7" x14ac:dyDescent="0.3">
      <c r="A2338" t="s">
        <v>30</v>
      </c>
      <c r="B2338">
        <v>2015</v>
      </c>
      <c r="C2338" t="s">
        <v>39</v>
      </c>
      <c r="D2338" s="2">
        <v>42156</v>
      </c>
      <c r="E2338" t="s">
        <v>19</v>
      </c>
      <c r="F2338">
        <v>128</v>
      </c>
      <c r="G2338" t="str">
        <f>VLOOKUP(Table1_2[[#This Row],[Categories]],Sheet3!$A$1:$B$27,2,FALSE)</f>
        <v>Clothing and footwear</v>
      </c>
    </row>
    <row r="2339" spans="1:7" x14ac:dyDescent="0.3">
      <c r="A2339" t="s">
        <v>30</v>
      </c>
      <c r="B2339">
        <v>2015</v>
      </c>
      <c r="C2339" t="s">
        <v>39</v>
      </c>
      <c r="D2339" s="2">
        <v>42156</v>
      </c>
      <c r="E2339" t="s">
        <v>21</v>
      </c>
      <c r="F2339">
        <v>122.6</v>
      </c>
      <c r="G2339" t="str">
        <f>VLOOKUP(Table1_2[[#This Row],[Categories]],Sheet3!$A$1:$B$27,2,FALSE)</f>
        <v>Fuel and light</v>
      </c>
    </row>
    <row r="2340" spans="1:7" x14ac:dyDescent="0.3">
      <c r="A2340" t="s">
        <v>30</v>
      </c>
      <c r="B2340">
        <v>2015</v>
      </c>
      <c r="C2340" t="s">
        <v>39</v>
      </c>
      <c r="D2340" s="2">
        <v>42156</v>
      </c>
      <c r="E2340" t="s">
        <v>22</v>
      </c>
      <c r="F2340">
        <v>122.8</v>
      </c>
      <c r="G2340" t="str">
        <f>VLOOKUP(Table1_2[[#This Row],[Categories]],Sheet3!$A$1:$B$27,2,FALSE)</f>
        <v>Household Items</v>
      </c>
    </row>
    <row r="2341" spans="1:7" x14ac:dyDescent="0.3">
      <c r="A2341" t="s">
        <v>30</v>
      </c>
      <c r="B2341">
        <v>2015</v>
      </c>
      <c r="C2341" t="s">
        <v>39</v>
      </c>
      <c r="D2341" s="2">
        <v>42156</v>
      </c>
      <c r="E2341" t="s">
        <v>23</v>
      </c>
      <c r="F2341">
        <v>120.4</v>
      </c>
      <c r="G2341" t="str">
        <f>VLOOKUP(Table1_2[[#This Row],[Categories]],Sheet3!$A$1:$B$27,2,FALSE)</f>
        <v>Health</v>
      </c>
    </row>
    <row r="2342" spans="1:7" x14ac:dyDescent="0.3">
      <c r="A2342" t="s">
        <v>30</v>
      </c>
      <c r="B2342">
        <v>2015</v>
      </c>
      <c r="C2342" t="s">
        <v>39</v>
      </c>
      <c r="D2342" s="2">
        <v>42156</v>
      </c>
      <c r="E2342" t="s">
        <v>24</v>
      </c>
      <c r="F2342">
        <v>114.2</v>
      </c>
      <c r="G2342" t="str">
        <f>VLOOKUP(Table1_2[[#This Row],[Categories]],Sheet3!$A$1:$B$27,2,FALSE)</f>
        <v>Transport and communication</v>
      </c>
    </row>
    <row r="2343" spans="1:7" x14ac:dyDescent="0.3">
      <c r="A2343" t="s">
        <v>30</v>
      </c>
      <c r="B2343">
        <v>2015</v>
      </c>
      <c r="C2343" t="s">
        <v>39</v>
      </c>
      <c r="D2343" s="2">
        <v>42156</v>
      </c>
      <c r="E2343" t="s">
        <v>25</v>
      </c>
      <c r="F2343">
        <v>117.9</v>
      </c>
      <c r="G2343" t="str">
        <f>VLOOKUP(Table1_2[[#This Row],[Categories]],Sheet3!$A$1:$B$27,2,FALSE)</f>
        <v>Recreation and amusement</v>
      </c>
    </row>
    <row r="2344" spans="1:7" x14ac:dyDescent="0.3">
      <c r="A2344" t="s">
        <v>30</v>
      </c>
      <c r="B2344">
        <v>2015</v>
      </c>
      <c r="C2344" t="s">
        <v>39</v>
      </c>
      <c r="D2344" s="2">
        <v>42156</v>
      </c>
      <c r="E2344" t="s">
        <v>26</v>
      </c>
      <c r="F2344">
        <v>122</v>
      </c>
      <c r="G2344" t="str">
        <f>VLOOKUP(Table1_2[[#This Row],[Categories]],Sheet3!$A$1:$B$27,2,FALSE)</f>
        <v>Education</v>
      </c>
    </row>
    <row r="2345" spans="1:7" x14ac:dyDescent="0.3">
      <c r="A2345" t="s">
        <v>30</v>
      </c>
      <c r="B2345">
        <v>2015</v>
      </c>
      <c r="C2345" t="s">
        <v>39</v>
      </c>
      <c r="D2345" s="2">
        <v>42156</v>
      </c>
      <c r="E2345" t="s">
        <v>27</v>
      </c>
      <c r="F2345">
        <v>113</v>
      </c>
      <c r="G2345" t="str">
        <f>VLOOKUP(Table1_2[[#This Row],[Categories]],Sheet3!$A$1:$B$27,2,FALSE)</f>
        <v>Household Items</v>
      </c>
    </row>
    <row r="2346" spans="1:7" x14ac:dyDescent="0.3">
      <c r="A2346" t="s">
        <v>30</v>
      </c>
      <c r="B2346">
        <v>2015</v>
      </c>
      <c r="C2346" t="s">
        <v>39</v>
      </c>
      <c r="D2346" s="2">
        <v>42156</v>
      </c>
      <c r="E2346" t="s">
        <v>28</v>
      </c>
      <c r="F2346">
        <v>117.9</v>
      </c>
      <c r="G2346" t="str">
        <f>VLOOKUP(Table1_2[[#This Row],[Categories]],Sheet3!$A$1:$B$27,2,FALSE)</f>
        <v>Miscellaneous</v>
      </c>
    </row>
    <row r="2347" spans="1:7" x14ac:dyDescent="0.3">
      <c r="A2347" t="s">
        <v>30</v>
      </c>
      <c r="B2347">
        <v>2015</v>
      </c>
      <c r="C2347" t="s">
        <v>39</v>
      </c>
      <c r="D2347" s="2">
        <v>42156</v>
      </c>
      <c r="E2347" t="s">
        <v>29</v>
      </c>
      <c r="F2347">
        <v>124.1</v>
      </c>
      <c r="G2347" t="str">
        <f>VLOOKUP(Table1_2[[#This Row],[Categories]],Sheet3!$A$1:$B$27,2,FALSE)</f>
        <v>General index</v>
      </c>
    </row>
    <row r="2348" spans="1:7" x14ac:dyDescent="0.3">
      <c r="A2348" t="s">
        <v>33</v>
      </c>
      <c r="B2348">
        <v>2015</v>
      </c>
      <c r="C2348" t="s">
        <v>39</v>
      </c>
      <c r="D2348" s="2">
        <v>42156</v>
      </c>
      <c r="E2348" t="s">
        <v>3</v>
      </c>
      <c r="F2348">
        <v>123.6</v>
      </c>
      <c r="G2348" t="str">
        <f>VLOOKUP(Table1_2[[#This Row],[Categories]],Sheet3!$A$1:$B$27,2,FALSE)</f>
        <v>Food &amp;Beverage</v>
      </c>
    </row>
    <row r="2349" spans="1:7" x14ac:dyDescent="0.3">
      <c r="A2349" t="s">
        <v>33</v>
      </c>
      <c r="B2349">
        <v>2015</v>
      </c>
      <c r="C2349" t="s">
        <v>39</v>
      </c>
      <c r="D2349" s="2">
        <v>42156</v>
      </c>
      <c r="E2349" t="s">
        <v>4</v>
      </c>
      <c r="F2349">
        <v>134.4</v>
      </c>
      <c r="G2349" t="str">
        <f>VLOOKUP(Table1_2[[#This Row],[Categories]],Sheet3!$A$1:$B$27,2,FALSE)</f>
        <v>Food &amp;Beverage</v>
      </c>
    </row>
    <row r="2350" spans="1:7" x14ac:dyDescent="0.3">
      <c r="A2350" t="s">
        <v>33</v>
      </c>
      <c r="B2350">
        <v>2015</v>
      </c>
      <c r="C2350" t="s">
        <v>39</v>
      </c>
      <c r="D2350" s="2">
        <v>42156</v>
      </c>
      <c r="E2350" t="s">
        <v>5</v>
      </c>
      <c r="F2350">
        <v>120.9</v>
      </c>
      <c r="G2350" t="str">
        <f>VLOOKUP(Table1_2[[#This Row],[Categories]],Sheet3!$A$1:$B$27,2,FALSE)</f>
        <v>Food &amp;Beverage</v>
      </c>
    </row>
    <row r="2351" spans="1:7" x14ac:dyDescent="0.3">
      <c r="A2351" t="s">
        <v>33</v>
      </c>
      <c r="B2351">
        <v>2015</v>
      </c>
      <c r="C2351" t="s">
        <v>39</v>
      </c>
      <c r="D2351" s="2">
        <v>42156</v>
      </c>
      <c r="E2351" t="s">
        <v>6</v>
      </c>
      <c r="F2351">
        <v>127.3</v>
      </c>
      <c r="G2351" t="str">
        <f>VLOOKUP(Table1_2[[#This Row],[Categories]],Sheet3!$A$1:$B$27,2,FALSE)</f>
        <v>Food &amp;Beverage</v>
      </c>
    </row>
    <row r="2352" spans="1:7" x14ac:dyDescent="0.3">
      <c r="A2352" t="s">
        <v>33</v>
      </c>
      <c r="B2352">
        <v>2015</v>
      </c>
      <c r="C2352" t="s">
        <v>39</v>
      </c>
      <c r="D2352" s="2">
        <v>42156</v>
      </c>
      <c r="E2352" t="s">
        <v>7</v>
      </c>
      <c r="F2352">
        <v>106</v>
      </c>
      <c r="G2352" t="str">
        <f>VLOOKUP(Table1_2[[#This Row],[Categories]],Sheet3!$A$1:$B$27,2,FALSE)</f>
        <v>Food &amp;Beverage</v>
      </c>
    </row>
    <row r="2353" spans="1:7" x14ac:dyDescent="0.3">
      <c r="A2353" t="s">
        <v>33</v>
      </c>
      <c r="B2353">
        <v>2015</v>
      </c>
      <c r="C2353" t="s">
        <v>39</v>
      </c>
      <c r="D2353" s="2">
        <v>42156</v>
      </c>
      <c r="E2353" t="s">
        <v>8</v>
      </c>
      <c r="F2353">
        <v>132.30000000000001</v>
      </c>
      <c r="G2353" t="str">
        <f>VLOOKUP(Table1_2[[#This Row],[Categories]],Sheet3!$A$1:$B$27,2,FALSE)</f>
        <v>Food &amp;Beverage</v>
      </c>
    </row>
    <row r="2354" spans="1:7" x14ac:dyDescent="0.3">
      <c r="A2354" t="s">
        <v>33</v>
      </c>
      <c r="B2354">
        <v>2015</v>
      </c>
      <c r="C2354" t="s">
        <v>39</v>
      </c>
      <c r="D2354" s="2">
        <v>42156</v>
      </c>
      <c r="E2354" t="s">
        <v>9</v>
      </c>
      <c r="F2354">
        <v>146.69999999999999</v>
      </c>
      <c r="G2354" t="str">
        <f>VLOOKUP(Table1_2[[#This Row],[Categories]],Sheet3!$A$1:$B$27,2,FALSE)</f>
        <v>Food &amp;Beverage</v>
      </c>
    </row>
    <row r="2355" spans="1:7" x14ac:dyDescent="0.3">
      <c r="A2355" t="s">
        <v>33</v>
      </c>
      <c r="B2355">
        <v>2015</v>
      </c>
      <c r="C2355" t="s">
        <v>39</v>
      </c>
      <c r="D2355" s="2">
        <v>42156</v>
      </c>
      <c r="E2355" t="s">
        <v>10</v>
      </c>
      <c r="F2355">
        <v>148.1</v>
      </c>
      <c r="G2355" t="str">
        <f>VLOOKUP(Table1_2[[#This Row],[Categories]],Sheet3!$A$1:$B$27,2,FALSE)</f>
        <v>Food &amp;Beverage</v>
      </c>
    </row>
    <row r="2356" spans="1:7" x14ac:dyDescent="0.3">
      <c r="A2356" t="s">
        <v>33</v>
      </c>
      <c r="B2356">
        <v>2015</v>
      </c>
      <c r="C2356" t="s">
        <v>39</v>
      </c>
      <c r="D2356" s="2">
        <v>42156</v>
      </c>
      <c r="E2356" t="s">
        <v>11</v>
      </c>
      <c r="F2356">
        <v>89.8</v>
      </c>
      <c r="G2356" t="str">
        <f>VLOOKUP(Table1_2[[#This Row],[Categories]],Sheet3!$A$1:$B$27,2,FALSE)</f>
        <v>Food &amp;Beverage</v>
      </c>
    </row>
    <row r="2357" spans="1:7" x14ac:dyDescent="0.3">
      <c r="A2357" t="s">
        <v>33</v>
      </c>
      <c r="B2357">
        <v>2015</v>
      </c>
      <c r="C2357" t="s">
        <v>39</v>
      </c>
      <c r="D2357" s="2">
        <v>42156</v>
      </c>
      <c r="E2357" t="s">
        <v>12</v>
      </c>
      <c r="F2357">
        <v>130.5</v>
      </c>
      <c r="G2357" t="str">
        <f>VLOOKUP(Table1_2[[#This Row],[Categories]],Sheet3!$A$1:$B$27,2,FALSE)</f>
        <v>Food &amp;Beverage</v>
      </c>
    </row>
    <row r="2358" spans="1:7" x14ac:dyDescent="0.3">
      <c r="A2358" t="s">
        <v>33</v>
      </c>
      <c r="B2358">
        <v>2015</v>
      </c>
      <c r="C2358" t="s">
        <v>39</v>
      </c>
      <c r="D2358" s="2">
        <v>42156</v>
      </c>
      <c r="E2358" t="s">
        <v>13</v>
      </c>
      <c r="F2358">
        <v>118</v>
      </c>
      <c r="G2358" t="str">
        <f>VLOOKUP(Table1_2[[#This Row],[Categories]],Sheet3!$A$1:$B$27,2,FALSE)</f>
        <v>Food &amp;Beverage</v>
      </c>
    </row>
    <row r="2359" spans="1:7" x14ac:dyDescent="0.3">
      <c r="A2359" t="s">
        <v>33</v>
      </c>
      <c r="B2359">
        <v>2015</v>
      </c>
      <c r="C2359" t="s">
        <v>39</v>
      </c>
      <c r="D2359" s="2">
        <v>42156</v>
      </c>
      <c r="E2359" t="s">
        <v>14</v>
      </c>
      <c r="F2359">
        <v>130.5</v>
      </c>
      <c r="G2359" t="str">
        <f>VLOOKUP(Table1_2[[#This Row],[Categories]],Sheet3!$A$1:$B$27,2,FALSE)</f>
        <v>Food &amp;Beverage</v>
      </c>
    </row>
    <row r="2360" spans="1:7" x14ac:dyDescent="0.3">
      <c r="A2360" t="s">
        <v>33</v>
      </c>
      <c r="B2360">
        <v>2015</v>
      </c>
      <c r="C2360" t="s">
        <v>39</v>
      </c>
      <c r="D2360" s="2">
        <v>42156</v>
      </c>
      <c r="E2360" t="s">
        <v>15</v>
      </c>
      <c r="F2360">
        <v>128.5</v>
      </c>
      <c r="G2360" t="str">
        <f>VLOOKUP(Table1_2[[#This Row],[Categories]],Sheet3!$A$1:$B$27,2,FALSE)</f>
        <v>Food &amp;Beverage</v>
      </c>
    </row>
    <row r="2361" spans="1:7" x14ac:dyDescent="0.3">
      <c r="A2361" t="s">
        <v>33</v>
      </c>
      <c r="B2361">
        <v>2015</v>
      </c>
      <c r="C2361" t="s">
        <v>39</v>
      </c>
      <c r="D2361" s="2">
        <v>42156</v>
      </c>
      <c r="E2361" t="s">
        <v>16</v>
      </c>
      <c r="F2361">
        <v>132.1</v>
      </c>
      <c r="G2361" t="str">
        <f>VLOOKUP(Table1_2[[#This Row],[Categories]],Sheet3!$A$1:$B$27,2,FALSE)</f>
        <v>Recreation and amusement</v>
      </c>
    </row>
    <row r="2362" spans="1:7" x14ac:dyDescent="0.3">
      <c r="A2362" t="s">
        <v>33</v>
      </c>
      <c r="B2362">
        <v>2015</v>
      </c>
      <c r="C2362" t="s">
        <v>39</v>
      </c>
      <c r="D2362" s="2">
        <v>42156</v>
      </c>
      <c r="E2362" t="s">
        <v>17</v>
      </c>
      <c r="F2362">
        <v>123.2</v>
      </c>
      <c r="G2362" t="str">
        <f>VLOOKUP(Table1_2[[#This Row],[Categories]],Sheet3!$A$1:$B$27,2,FALSE)</f>
        <v>Clothing and footwear</v>
      </c>
    </row>
    <row r="2363" spans="1:7" x14ac:dyDescent="0.3">
      <c r="A2363" t="s">
        <v>33</v>
      </c>
      <c r="B2363">
        <v>2015</v>
      </c>
      <c r="C2363" t="s">
        <v>39</v>
      </c>
      <c r="D2363" s="2">
        <v>42156</v>
      </c>
      <c r="E2363" t="s">
        <v>18</v>
      </c>
      <c r="F2363">
        <v>117.6</v>
      </c>
      <c r="G2363" t="str">
        <f>VLOOKUP(Table1_2[[#This Row],[Categories]],Sheet3!$A$1:$B$27,2,FALSE)</f>
        <v>Clothing and footwear</v>
      </c>
    </row>
    <row r="2364" spans="1:7" x14ac:dyDescent="0.3">
      <c r="A2364" t="s">
        <v>33</v>
      </c>
      <c r="B2364">
        <v>2015</v>
      </c>
      <c r="C2364" t="s">
        <v>39</v>
      </c>
      <c r="D2364" s="2">
        <v>42156</v>
      </c>
      <c r="E2364" t="s">
        <v>19</v>
      </c>
      <c r="F2364">
        <v>122.3</v>
      </c>
      <c r="G2364" t="str">
        <f>VLOOKUP(Table1_2[[#This Row],[Categories]],Sheet3!$A$1:$B$27,2,FALSE)</f>
        <v>Clothing and footwear</v>
      </c>
    </row>
    <row r="2365" spans="1:7" x14ac:dyDescent="0.3">
      <c r="A2365" t="s">
        <v>33</v>
      </c>
      <c r="B2365">
        <v>2015</v>
      </c>
      <c r="C2365" t="s">
        <v>39</v>
      </c>
      <c r="D2365" s="2">
        <v>42156</v>
      </c>
      <c r="E2365" t="s">
        <v>20</v>
      </c>
      <c r="F2365">
        <v>119</v>
      </c>
      <c r="G2365" t="str">
        <f>VLOOKUP(Table1_2[[#This Row],[Categories]],Sheet3!$A$1:$B$27,2,FALSE)</f>
        <v>Housing</v>
      </c>
    </row>
    <row r="2366" spans="1:7" x14ac:dyDescent="0.3">
      <c r="A2366" t="s">
        <v>33</v>
      </c>
      <c r="B2366">
        <v>2015</v>
      </c>
      <c r="C2366" t="s">
        <v>39</v>
      </c>
      <c r="D2366" s="2">
        <v>42156</v>
      </c>
      <c r="E2366" t="s">
        <v>21</v>
      </c>
      <c r="F2366">
        <v>115.1</v>
      </c>
      <c r="G2366" t="str">
        <f>VLOOKUP(Table1_2[[#This Row],[Categories]],Sheet3!$A$1:$B$27,2,FALSE)</f>
        <v>Fuel and light</v>
      </c>
    </row>
    <row r="2367" spans="1:7" x14ac:dyDescent="0.3">
      <c r="A2367" t="s">
        <v>33</v>
      </c>
      <c r="B2367">
        <v>2015</v>
      </c>
      <c r="C2367" t="s">
        <v>39</v>
      </c>
      <c r="D2367" s="2">
        <v>42156</v>
      </c>
      <c r="E2367" t="s">
        <v>22</v>
      </c>
      <c r="F2367">
        <v>119.2</v>
      </c>
      <c r="G2367" t="str">
        <f>VLOOKUP(Table1_2[[#This Row],[Categories]],Sheet3!$A$1:$B$27,2,FALSE)</f>
        <v>Household Items</v>
      </c>
    </row>
    <row r="2368" spans="1:7" x14ac:dyDescent="0.3">
      <c r="A2368" t="s">
        <v>33</v>
      </c>
      <c r="B2368">
        <v>2015</v>
      </c>
      <c r="C2368" t="s">
        <v>39</v>
      </c>
      <c r="D2368" s="2">
        <v>42156</v>
      </c>
      <c r="E2368" t="s">
        <v>23</v>
      </c>
      <c r="F2368">
        <v>115.4</v>
      </c>
      <c r="G2368" t="str">
        <f>VLOOKUP(Table1_2[[#This Row],[Categories]],Sheet3!$A$1:$B$27,2,FALSE)</f>
        <v>Health</v>
      </c>
    </row>
    <row r="2369" spans="1:7" x14ac:dyDescent="0.3">
      <c r="A2369" t="s">
        <v>33</v>
      </c>
      <c r="B2369">
        <v>2015</v>
      </c>
      <c r="C2369" t="s">
        <v>39</v>
      </c>
      <c r="D2369" s="2">
        <v>42156</v>
      </c>
      <c r="E2369" t="s">
        <v>24</v>
      </c>
      <c r="F2369">
        <v>111.7</v>
      </c>
      <c r="G2369" t="str">
        <f>VLOOKUP(Table1_2[[#This Row],[Categories]],Sheet3!$A$1:$B$27,2,FALSE)</f>
        <v>Transport and communication</v>
      </c>
    </row>
    <row r="2370" spans="1:7" x14ac:dyDescent="0.3">
      <c r="A2370" t="s">
        <v>33</v>
      </c>
      <c r="B2370">
        <v>2015</v>
      </c>
      <c r="C2370" t="s">
        <v>39</v>
      </c>
      <c r="D2370" s="2">
        <v>42156</v>
      </c>
      <c r="E2370" t="s">
        <v>25</v>
      </c>
      <c r="F2370">
        <v>116.2</v>
      </c>
      <c r="G2370" t="str">
        <f>VLOOKUP(Table1_2[[#This Row],[Categories]],Sheet3!$A$1:$B$27,2,FALSE)</f>
        <v>Recreation and amusement</v>
      </c>
    </row>
    <row r="2371" spans="1:7" x14ac:dyDescent="0.3">
      <c r="A2371" t="s">
        <v>33</v>
      </c>
      <c r="B2371">
        <v>2015</v>
      </c>
      <c r="C2371" t="s">
        <v>39</v>
      </c>
      <c r="D2371" s="2">
        <v>42156</v>
      </c>
      <c r="E2371" t="s">
        <v>26</v>
      </c>
      <c r="F2371">
        <v>123.8</v>
      </c>
      <c r="G2371" t="str">
        <f>VLOOKUP(Table1_2[[#This Row],[Categories]],Sheet3!$A$1:$B$27,2,FALSE)</f>
        <v>Education</v>
      </c>
    </row>
    <row r="2372" spans="1:7" x14ac:dyDescent="0.3">
      <c r="A2372" t="s">
        <v>33</v>
      </c>
      <c r="B2372">
        <v>2015</v>
      </c>
      <c r="C2372" t="s">
        <v>39</v>
      </c>
      <c r="D2372" s="2">
        <v>42156</v>
      </c>
      <c r="E2372" t="s">
        <v>27</v>
      </c>
      <c r="F2372">
        <v>112.5</v>
      </c>
      <c r="G2372" t="str">
        <f>VLOOKUP(Table1_2[[#This Row],[Categories]],Sheet3!$A$1:$B$27,2,FALSE)</f>
        <v>Household Items</v>
      </c>
    </row>
    <row r="2373" spans="1:7" x14ac:dyDescent="0.3">
      <c r="A2373" t="s">
        <v>33</v>
      </c>
      <c r="B2373">
        <v>2015</v>
      </c>
      <c r="C2373" t="s">
        <v>39</v>
      </c>
      <c r="D2373" s="2">
        <v>42156</v>
      </c>
      <c r="E2373" t="s">
        <v>28</v>
      </c>
      <c r="F2373">
        <v>116</v>
      </c>
      <c r="G2373" t="str">
        <f>VLOOKUP(Table1_2[[#This Row],[Categories]],Sheet3!$A$1:$B$27,2,FALSE)</f>
        <v>Miscellaneous</v>
      </c>
    </row>
    <row r="2374" spans="1:7" x14ac:dyDescent="0.3">
      <c r="A2374" t="s">
        <v>33</v>
      </c>
      <c r="B2374">
        <v>2015</v>
      </c>
      <c r="C2374" t="s">
        <v>39</v>
      </c>
      <c r="D2374" s="2">
        <v>42156</v>
      </c>
      <c r="E2374" t="s">
        <v>29</v>
      </c>
      <c r="F2374">
        <v>121.7</v>
      </c>
      <c r="G2374" t="str">
        <f>VLOOKUP(Table1_2[[#This Row],[Categories]],Sheet3!$A$1:$B$27,2,FALSE)</f>
        <v>General index</v>
      </c>
    </row>
    <row r="2375" spans="1:7" x14ac:dyDescent="0.3">
      <c r="A2375" t="s">
        <v>34</v>
      </c>
      <c r="B2375">
        <v>2015</v>
      </c>
      <c r="C2375" t="s">
        <v>39</v>
      </c>
      <c r="D2375" s="2">
        <v>42156</v>
      </c>
      <c r="E2375" t="s">
        <v>3</v>
      </c>
      <c r="F2375">
        <v>123.9</v>
      </c>
      <c r="G2375" t="str">
        <f>VLOOKUP(Table1_2[[#This Row],[Categories]],Sheet3!$A$1:$B$27,2,FALSE)</f>
        <v>Food &amp;Beverage</v>
      </c>
    </row>
    <row r="2376" spans="1:7" x14ac:dyDescent="0.3">
      <c r="A2376" t="s">
        <v>34</v>
      </c>
      <c r="B2376">
        <v>2015</v>
      </c>
      <c r="C2376" t="s">
        <v>39</v>
      </c>
      <c r="D2376" s="2">
        <v>42156</v>
      </c>
      <c r="E2376" t="s">
        <v>4</v>
      </c>
      <c r="F2376">
        <v>131.80000000000001</v>
      </c>
      <c r="G2376" t="str">
        <f>VLOOKUP(Table1_2[[#This Row],[Categories]],Sheet3!$A$1:$B$27,2,FALSE)</f>
        <v>Food &amp;Beverage</v>
      </c>
    </row>
    <row r="2377" spans="1:7" x14ac:dyDescent="0.3">
      <c r="A2377" t="s">
        <v>34</v>
      </c>
      <c r="B2377">
        <v>2015</v>
      </c>
      <c r="C2377" t="s">
        <v>39</v>
      </c>
      <c r="D2377" s="2">
        <v>42156</v>
      </c>
      <c r="E2377" t="s">
        <v>5</v>
      </c>
      <c r="F2377">
        <v>121.6</v>
      </c>
      <c r="G2377" t="str">
        <f>VLOOKUP(Table1_2[[#This Row],[Categories]],Sheet3!$A$1:$B$27,2,FALSE)</f>
        <v>Food &amp;Beverage</v>
      </c>
    </row>
    <row r="2378" spans="1:7" x14ac:dyDescent="0.3">
      <c r="A2378" t="s">
        <v>34</v>
      </c>
      <c r="B2378">
        <v>2015</v>
      </c>
      <c r="C2378" t="s">
        <v>39</v>
      </c>
      <c r="D2378" s="2">
        <v>42156</v>
      </c>
      <c r="E2378" t="s">
        <v>6</v>
      </c>
      <c r="F2378">
        <v>128.19999999999999</v>
      </c>
      <c r="G2378" t="str">
        <f>VLOOKUP(Table1_2[[#This Row],[Categories]],Sheet3!$A$1:$B$27,2,FALSE)</f>
        <v>Food &amp;Beverage</v>
      </c>
    </row>
    <row r="2379" spans="1:7" x14ac:dyDescent="0.3">
      <c r="A2379" t="s">
        <v>34</v>
      </c>
      <c r="B2379">
        <v>2015</v>
      </c>
      <c r="C2379" t="s">
        <v>39</v>
      </c>
      <c r="D2379" s="2">
        <v>42156</v>
      </c>
      <c r="E2379" t="s">
        <v>7</v>
      </c>
      <c r="F2379">
        <v>111.1</v>
      </c>
      <c r="G2379" t="str">
        <f>VLOOKUP(Table1_2[[#This Row],[Categories]],Sheet3!$A$1:$B$27,2,FALSE)</f>
        <v>Food &amp;Beverage</v>
      </c>
    </row>
    <row r="2380" spans="1:7" x14ac:dyDescent="0.3">
      <c r="A2380" t="s">
        <v>34</v>
      </c>
      <c r="B2380">
        <v>2015</v>
      </c>
      <c r="C2380" t="s">
        <v>39</v>
      </c>
      <c r="D2380" s="2">
        <v>42156</v>
      </c>
      <c r="E2380" t="s">
        <v>8</v>
      </c>
      <c r="F2380">
        <v>132.80000000000001</v>
      </c>
      <c r="G2380" t="str">
        <f>VLOOKUP(Table1_2[[#This Row],[Categories]],Sheet3!$A$1:$B$27,2,FALSE)</f>
        <v>Food &amp;Beverage</v>
      </c>
    </row>
    <row r="2381" spans="1:7" x14ac:dyDescent="0.3">
      <c r="A2381" t="s">
        <v>34</v>
      </c>
      <c r="B2381">
        <v>2015</v>
      </c>
      <c r="C2381" t="s">
        <v>39</v>
      </c>
      <c r="D2381" s="2">
        <v>42156</v>
      </c>
      <c r="E2381" t="s">
        <v>9</v>
      </c>
      <c r="F2381">
        <v>139.1</v>
      </c>
      <c r="G2381" t="str">
        <f>VLOOKUP(Table1_2[[#This Row],[Categories]],Sheet3!$A$1:$B$27,2,FALSE)</f>
        <v>Food &amp;Beverage</v>
      </c>
    </row>
    <row r="2382" spans="1:7" x14ac:dyDescent="0.3">
      <c r="A2382" t="s">
        <v>34</v>
      </c>
      <c r="B2382">
        <v>2015</v>
      </c>
      <c r="C2382" t="s">
        <v>39</v>
      </c>
      <c r="D2382" s="2">
        <v>42156</v>
      </c>
      <c r="E2382" t="s">
        <v>10</v>
      </c>
      <c r="F2382">
        <v>137.4</v>
      </c>
      <c r="G2382" t="str">
        <f>VLOOKUP(Table1_2[[#This Row],[Categories]],Sheet3!$A$1:$B$27,2,FALSE)</f>
        <v>Food &amp;Beverage</v>
      </c>
    </row>
    <row r="2383" spans="1:7" x14ac:dyDescent="0.3">
      <c r="A2383" t="s">
        <v>34</v>
      </c>
      <c r="B2383">
        <v>2015</v>
      </c>
      <c r="C2383" t="s">
        <v>39</v>
      </c>
      <c r="D2383" s="2">
        <v>42156</v>
      </c>
      <c r="E2383" t="s">
        <v>11</v>
      </c>
      <c r="F2383">
        <v>94.1</v>
      </c>
      <c r="G2383" t="str">
        <f>VLOOKUP(Table1_2[[#This Row],[Categories]],Sheet3!$A$1:$B$27,2,FALSE)</f>
        <v>Food &amp;Beverage</v>
      </c>
    </row>
    <row r="2384" spans="1:7" x14ac:dyDescent="0.3">
      <c r="A2384" t="s">
        <v>34</v>
      </c>
      <c r="B2384">
        <v>2015</v>
      </c>
      <c r="C2384" t="s">
        <v>39</v>
      </c>
      <c r="D2384" s="2">
        <v>42156</v>
      </c>
      <c r="E2384" t="s">
        <v>12</v>
      </c>
      <c r="F2384">
        <v>125.5</v>
      </c>
      <c r="G2384" t="str">
        <f>VLOOKUP(Table1_2[[#This Row],[Categories]],Sheet3!$A$1:$B$27,2,FALSE)</f>
        <v>Food &amp;Beverage</v>
      </c>
    </row>
    <row r="2385" spans="1:7" x14ac:dyDescent="0.3">
      <c r="A2385" t="s">
        <v>34</v>
      </c>
      <c r="B2385">
        <v>2015</v>
      </c>
      <c r="C2385" t="s">
        <v>39</v>
      </c>
      <c r="D2385" s="2">
        <v>42156</v>
      </c>
      <c r="E2385" t="s">
        <v>13</v>
      </c>
      <c r="F2385">
        <v>119.8</v>
      </c>
      <c r="G2385" t="str">
        <f>VLOOKUP(Table1_2[[#This Row],[Categories]],Sheet3!$A$1:$B$27,2,FALSE)</f>
        <v>Food &amp;Beverage</v>
      </c>
    </row>
    <row r="2386" spans="1:7" x14ac:dyDescent="0.3">
      <c r="A2386" t="s">
        <v>34</v>
      </c>
      <c r="B2386">
        <v>2015</v>
      </c>
      <c r="C2386" t="s">
        <v>39</v>
      </c>
      <c r="D2386" s="2">
        <v>42156</v>
      </c>
      <c r="E2386" t="s">
        <v>14</v>
      </c>
      <c r="F2386">
        <v>130.9</v>
      </c>
      <c r="G2386" t="str">
        <f>VLOOKUP(Table1_2[[#This Row],[Categories]],Sheet3!$A$1:$B$27,2,FALSE)</f>
        <v>Food &amp;Beverage</v>
      </c>
    </row>
    <row r="2387" spans="1:7" x14ac:dyDescent="0.3">
      <c r="A2387" t="s">
        <v>34</v>
      </c>
      <c r="B2387">
        <v>2015</v>
      </c>
      <c r="C2387" t="s">
        <v>39</v>
      </c>
      <c r="D2387" s="2">
        <v>42156</v>
      </c>
      <c r="E2387" t="s">
        <v>15</v>
      </c>
      <c r="F2387">
        <v>127.3</v>
      </c>
      <c r="G2387" t="str">
        <f>VLOOKUP(Table1_2[[#This Row],[Categories]],Sheet3!$A$1:$B$27,2,FALSE)</f>
        <v>Food &amp;Beverage</v>
      </c>
    </row>
    <row r="2388" spans="1:7" x14ac:dyDescent="0.3">
      <c r="A2388" t="s">
        <v>34</v>
      </c>
      <c r="B2388">
        <v>2015</v>
      </c>
      <c r="C2388" t="s">
        <v>39</v>
      </c>
      <c r="D2388" s="2">
        <v>42156</v>
      </c>
      <c r="E2388" t="s">
        <v>16</v>
      </c>
      <c r="F2388">
        <v>129.19999999999999</v>
      </c>
      <c r="G2388" t="str">
        <f>VLOOKUP(Table1_2[[#This Row],[Categories]],Sheet3!$A$1:$B$27,2,FALSE)</f>
        <v>Recreation and amusement</v>
      </c>
    </row>
    <row r="2389" spans="1:7" x14ac:dyDescent="0.3">
      <c r="A2389" t="s">
        <v>34</v>
      </c>
      <c r="B2389">
        <v>2015</v>
      </c>
      <c r="C2389" t="s">
        <v>39</v>
      </c>
      <c r="D2389" s="2">
        <v>42156</v>
      </c>
      <c r="E2389" t="s">
        <v>17</v>
      </c>
      <c r="F2389">
        <v>126.4</v>
      </c>
      <c r="G2389" t="str">
        <f>VLOOKUP(Table1_2[[#This Row],[Categories]],Sheet3!$A$1:$B$27,2,FALSE)</f>
        <v>Clothing and footwear</v>
      </c>
    </row>
    <row r="2390" spans="1:7" x14ac:dyDescent="0.3">
      <c r="A2390" t="s">
        <v>34</v>
      </c>
      <c r="B2390">
        <v>2015</v>
      </c>
      <c r="C2390" t="s">
        <v>39</v>
      </c>
      <c r="D2390" s="2">
        <v>42156</v>
      </c>
      <c r="E2390" t="s">
        <v>18</v>
      </c>
      <c r="F2390">
        <v>122</v>
      </c>
      <c r="G2390" t="str">
        <f>VLOOKUP(Table1_2[[#This Row],[Categories]],Sheet3!$A$1:$B$27,2,FALSE)</f>
        <v>Clothing and footwear</v>
      </c>
    </row>
    <row r="2391" spans="1:7" x14ac:dyDescent="0.3">
      <c r="A2391" t="s">
        <v>34</v>
      </c>
      <c r="B2391">
        <v>2015</v>
      </c>
      <c r="C2391" t="s">
        <v>39</v>
      </c>
      <c r="D2391" s="2">
        <v>42156</v>
      </c>
      <c r="E2391" t="s">
        <v>19</v>
      </c>
      <c r="F2391">
        <v>125.7</v>
      </c>
      <c r="G2391" t="str">
        <f>VLOOKUP(Table1_2[[#This Row],[Categories]],Sheet3!$A$1:$B$27,2,FALSE)</f>
        <v>Clothing and footwear</v>
      </c>
    </row>
    <row r="2392" spans="1:7" x14ac:dyDescent="0.3">
      <c r="A2392" t="s">
        <v>34</v>
      </c>
      <c r="B2392">
        <v>2015</v>
      </c>
      <c r="C2392" t="s">
        <v>39</v>
      </c>
      <c r="D2392" s="2">
        <v>42156</v>
      </c>
      <c r="E2392" t="s">
        <v>20</v>
      </c>
      <c r="F2392">
        <v>119</v>
      </c>
      <c r="G2392" t="str">
        <f>VLOOKUP(Table1_2[[#This Row],[Categories]],Sheet3!$A$1:$B$27,2,FALSE)</f>
        <v>Housing</v>
      </c>
    </row>
    <row r="2393" spans="1:7" x14ac:dyDescent="0.3">
      <c r="A2393" t="s">
        <v>34</v>
      </c>
      <c r="B2393">
        <v>2015</v>
      </c>
      <c r="C2393" t="s">
        <v>39</v>
      </c>
      <c r="D2393" s="2">
        <v>42156</v>
      </c>
      <c r="E2393" t="s">
        <v>21</v>
      </c>
      <c r="F2393">
        <v>119.8</v>
      </c>
      <c r="G2393" t="str">
        <f>VLOOKUP(Table1_2[[#This Row],[Categories]],Sheet3!$A$1:$B$27,2,FALSE)</f>
        <v>Fuel and light</v>
      </c>
    </row>
    <row r="2394" spans="1:7" x14ac:dyDescent="0.3">
      <c r="A2394" t="s">
        <v>34</v>
      </c>
      <c r="B2394">
        <v>2015</v>
      </c>
      <c r="C2394" t="s">
        <v>39</v>
      </c>
      <c r="D2394" s="2">
        <v>42156</v>
      </c>
      <c r="E2394" t="s">
        <v>22</v>
      </c>
      <c r="F2394">
        <v>121.1</v>
      </c>
      <c r="G2394" t="str">
        <f>VLOOKUP(Table1_2[[#This Row],[Categories]],Sheet3!$A$1:$B$27,2,FALSE)</f>
        <v>Household Items</v>
      </c>
    </row>
    <row r="2395" spans="1:7" x14ac:dyDescent="0.3">
      <c r="A2395" t="s">
        <v>34</v>
      </c>
      <c r="B2395">
        <v>2015</v>
      </c>
      <c r="C2395" t="s">
        <v>39</v>
      </c>
      <c r="D2395" s="2">
        <v>42156</v>
      </c>
      <c r="E2395" t="s">
        <v>23</v>
      </c>
      <c r="F2395">
        <v>118.5</v>
      </c>
      <c r="G2395" t="str">
        <f>VLOOKUP(Table1_2[[#This Row],[Categories]],Sheet3!$A$1:$B$27,2,FALSE)</f>
        <v>Health</v>
      </c>
    </row>
    <row r="2396" spans="1:7" x14ac:dyDescent="0.3">
      <c r="A2396" t="s">
        <v>34</v>
      </c>
      <c r="B2396">
        <v>2015</v>
      </c>
      <c r="C2396" t="s">
        <v>39</v>
      </c>
      <c r="D2396" s="2">
        <v>42156</v>
      </c>
      <c r="E2396" t="s">
        <v>24</v>
      </c>
      <c r="F2396">
        <v>112.9</v>
      </c>
      <c r="G2396" t="str">
        <f>VLOOKUP(Table1_2[[#This Row],[Categories]],Sheet3!$A$1:$B$27,2,FALSE)</f>
        <v>Transport and communication</v>
      </c>
    </row>
    <row r="2397" spans="1:7" x14ac:dyDescent="0.3">
      <c r="A2397" t="s">
        <v>34</v>
      </c>
      <c r="B2397">
        <v>2015</v>
      </c>
      <c r="C2397" t="s">
        <v>39</v>
      </c>
      <c r="D2397" s="2">
        <v>42156</v>
      </c>
      <c r="E2397" t="s">
        <v>25</v>
      </c>
      <c r="F2397">
        <v>116.9</v>
      </c>
      <c r="G2397" t="str">
        <f>VLOOKUP(Table1_2[[#This Row],[Categories]],Sheet3!$A$1:$B$27,2,FALSE)</f>
        <v>Recreation and amusement</v>
      </c>
    </row>
    <row r="2398" spans="1:7" x14ac:dyDescent="0.3">
      <c r="A2398" t="s">
        <v>34</v>
      </c>
      <c r="B2398">
        <v>2015</v>
      </c>
      <c r="C2398" t="s">
        <v>39</v>
      </c>
      <c r="D2398" s="2">
        <v>42156</v>
      </c>
      <c r="E2398" t="s">
        <v>26</v>
      </c>
      <c r="F2398">
        <v>123.1</v>
      </c>
      <c r="G2398" t="str">
        <f>VLOOKUP(Table1_2[[#This Row],[Categories]],Sheet3!$A$1:$B$27,2,FALSE)</f>
        <v>Education</v>
      </c>
    </row>
    <row r="2399" spans="1:7" x14ac:dyDescent="0.3">
      <c r="A2399" t="s">
        <v>34</v>
      </c>
      <c r="B2399">
        <v>2015</v>
      </c>
      <c r="C2399" t="s">
        <v>39</v>
      </c>
      <c r="D2399" s="2">
        <v>42156</v>
      </c>
      <c r="E2399" t="s">
        <v>27</v>
      </c>
      <c r="F2399">
        <v>112.8</v>
      </c>
      <c r="G2399" t="str">
        <f>VLOOKUP(Table1_2[[#This Row],[Categories]],Sheet3!$A$1:$B$27,2,FALSE)</f>
        <v>Household Items</v>
      </c>
    </row>
    <row r="2400" spans="1:7" x14ac:dyDescent="0.3">
      <c r="A2400" t="s">
        <v>34</v>
      </c>
      <c r="B2400">
        <v>2015</v>
      </c>
      <c r="C2400" t="s">
        <v>39</v>
      </c>
      <c r="D2400" s="2">
        <v>42156</v>
      </c>
      <c r="E2400" t="s">
        <v>28</v>
      </c>
      <c r="F2400">
        <v>117</v>
      </c>
      <c r="G2400" t="str">
        <f>VLOOKUP(Table1_2[[#This Row],[Categories]],Sheet3!$A$1:$B$27,2,FALSE)</f>
        <v>Miscellaneous</v>
      </c>
    </row>
    <row r="2401" spans="1:7" x14ac:dyDescent="0.3">
      <c r="A2401" t="s">
        <v>34</v>
      </c>
      <c r="B2401">
        <v>2015</v>
      </c>
      <c r="C2401" t="s">
        <v>39</v>
      </c>
      <c r="D2401" s="2">
        <v>42156</v>
      </c>
      <c r="E2401" t="s">
        <v>29</v>
      </c>
      <c r="F2401">
        <v>123</v>
      </c>
      <c r="G2401" t="str">
        <f>VLOOKUP(Table1_2[[#This Row],[Categories]],Sheet3!$A$1:$B$27,2,FALSE)</f>
        <v>General index</v>
      </c>
    </row>
    <row r="2402" spans="1:7" x14ac:dyDescent="0.3">
      <c r="A2402" t="s">
        <v>30</v>
      </c>
      <c r="B2402">
        <v>2015</v>
      </c>
      <c r="C2402" t="s">
        <v>40</v>
      </c>
      <c r="D2402" s="2">
        <v>42186</v>
      </c>
      <c r="E2402" t="s">
        <v>3</v>
      </c>
      <c r="F2402">
        <v>124</v>
      </c>
      <c r="G2402" t="str">
        <f>VLOOKUP(Table1_2[[#This Row],[Categories]],Sheet3!$A$1:$B$27,2,FALSE)</f>
        <v>Food &amp;Beverage</v>
      </c>
    </row>
    <row r="2403" spans="1:7" x14ac:dyDescent="0.3">
      <c r="A2403" t="s">
        <v>30</v>
      </c>
      <c r="B2403">
        <v>2015</v>
      </c>
      <c r="C2403" t="s">
        <v>40</v>
      </c>
      <c r="D2403" s="2">
        <v>42186</v>
      </c>
      <c r="E2403" t="s">
        <v>4</v>
      </c>
      <c r="F2403">
        <v>131.5</v>
      </c>
      <c r="G2403" t="str">
        <f>VLOOKUP(Table1_2[[#This Row],[Categories]],Sheet3!$A$1:$B$27,2,FALSE)</f>
        <v>Food &amp;Beverage</v>
      </c>
    </row>
    <row r="2404" spans="1:7" x14ac:dyDescent="0.3">
      <c r="A2404" t="s">
        <v>30</v>
      </c>
      <c r="B2404">
        <v>2015</v>
      </c>
      <c r="C2404" t="s">
        <v>40</v>
      </c>
      <c r="D2404" s="2">
        <v>42186</v>
      </c>
      <c r="E2404" t="s">
        <v>5</v>
      </c>
      <c r="F2404">
        <v>122</v>
      </c>
      <c r="G2404" t="str">
        <f>VLOOKUP(Table1_2[[#This Row],[Categories]],Sheet3!$A$1:$B$27,2,FALSE)</f>
        <v>Food &amp;Beverage</v>
      </c>
    </row>
    <row r="2405" spans="1:7" x14ac:dyDescent="0.3">
      <c r="A2405" t="s">
        <v>30</v>
      </c>
      <c r="B2405">
        <v>2015</v>
      </c>
      <c r="C2405" t="s">
        <v>40</v>
      </c>
      <c r="D2405" s="2">
        <v>42186</v>
      </c>
      <c r="E2405" t="s">
        <v>6</v>
      </c>
      <c r="F2405">
        <v>128.69999999999999</v>
      </c>
      <c r="G2405" t="str">
        <f>VLOOKUP(Table1_2[[#This Row],[Categories]],Sheet3!$A$1:$B$27,2,FALSE)</f>
        <v>Food &amp;Beverage</v>
      </c>
    </row>
    <row r="2406" spans="1:7" x14ac:dyDescent="0.3">
      <c r="A2406" t="s">
        <v>30</v>
      </c>
      <c r="B2406">
        <v>2015</v>
      </c>
      <c r="C2406" t="s">
        <v>40</v>
      </c>
      <c r="D2406" s="2">
        <v>42186</v>
      </c>
      <c r="E2406" t="s">
        <v>7</v>
      </c>
      <c r="F2406">
        <v>113.5</v>
      </c>
      <c r="G2406" t="str">
        <f>VLOOKUP(Table1_2[[#This Row],[Categories]],Sheet3!$A$1:$B$27,2,FALSE)</f>
        <v>Food &amp;Beverage</v>
      </c>
    </row>
    <row r="2407" spans="1:7" x14ac:dyDescent="0.3">
      <c r="A2407" t="s">
        <v>30</v>
      </c>
      <c r="B2407">
        <v>2015</v>
      </c>
      <c r="C2407" t="s">
        <v>40</v>
      </c>
      <c r="D2407" s="2">
        <v>42186</v>
      </c>
      <c r="E2407" t="s">
        <v>8</v>
      </c>
      <c r="F2407">
        <v>133.30000000000001</v>
      </c>
      <c r="G2407" t="str">
        <f>VLOOKUP(Table1_2[[#This Row],[Categories]],Sheet3!$A$1:$B$27,2,FALSE)</f>
        <v>Food &amp;Beverage</v>
      </c>
    </row>
    <row r="2408" spans="1:7" x14ac:dyDescent="0.3">
      <c r="A2408" t="s">
        <v>30</v>
      </c>
      <c r="B2408">
        <v>2015</v>
      </c>
      <c r="C2408" t="s">
        <v>40</v>
      </c>
      <c r="D2408" s="2">
        <v>42186</v>
      </c>
      <c r="E2408" t="s">
        <v>9</v>
      </c>
      <c r="F2408">
        <v>140.80000000000001</v>
      </c>
      <c r="G2408" t="str">
        <f>VLOOKUP(Table1_2[[#This Row],[Categories]],Sheet3!$A$1:$B$27,2,FALSE)</f>
        <v>Food &amp;Beverage</v>
      </c>
    </row>
    <row r="2409" spans="1:7" x14ac:dyDescent="0.3">
      <c r="A2409" t="s">
        <v>30</v>
      </c>
      <c r="B2409">
        <v>2015</v>
      </c>
      <c r="C2409" t="s">
        <v>40</v>
      </c>
      <c r="D2409" s="2">
        <v>42186</v>
      </c>
      <c r="E2409" t="s">
        <v>10</v>
      </c>
      <c r="F2409">
        <v>133.80000000000001</v>
      </c>
      <c r="G2409" t="str">
        <f>VLOOKUP(Table1_2[[#This Row],[Categories]],Sheet3!$A$1:$B$27,2,FALSE)</f>
        <v>Food &amp;Beverage</v>
      </c>
    </row>
    <row r="2410" spans="1:7" x14ac:dyDescent="0.3">
      <c r="A2410" t="s">
        <v>30</v>
      </c>
      <c r="B2410">
        <v>2015</v>
      </c>
      <c r="C2410" t="s">
        <v>40</v>
      </c>
      <c r="D2410" s="2">
        <v>42186</v>
      </c>
      <c r="E2410" t="s">
        <v>11</v>
      </c>
      <c r="F2410">
        <v>94.1</v>
      </c>
      <c r="G2410" t="str">
        <f>VLOOKUP(Table1_2[[#This Row],[Categories]],Sheet3!$A$1:$B$27,2,FALSE)</f>
        <v>Food &amp;Beverage</v>
      </c>
    </row>
    <row r="2411" spans="1:7" x14ac:dyDescent="0.3">
      <c r="A2411" t="s">
        <v>30</v>
      </c>
      <c r="B2411">
        <v>2015</v>
      </c>
      <c r="C2411" t="s">
        <v>40</v>
      </c>
      <c r="D2411" s="2">
        <v>42186</v>
      </c>
      <c r="E2411" t="s">
        <v>12</v>
      </c>
      <c r="F2411">
        <v>123.4</v>
      </c>
      <c r="G2411" t="str">
        <f>VLOOKUP(Table1_2[[#This Row],[Categories]],Sheet3!$A$1:$B$27,2,FALSE)</f>
        <v>Food &amp;Beverage</v>
      </c>
    </row>
    <row r="2412" spans="1:7" x14ac:dyDescent="0.3">
      <c r="A2412" t="s">
        <v>30</v>
      </c>
      <c r="B2412">
        <v>2015</v>
      </c>
      <c r="C2412" t="s">
        <v>40</v>
      </c>
      <c r="D2412" s="2">
        <v>42186</v>
      </c>
      <c r="E2412" t="s">
        <v>13</v>
      </c>
      <c r="F2412">
        <v>121</v>
      </c>
      <c r="G2412" t="str">
        <f>VLOOKUP(Table1_2[[#This Row],[Categories]],Sheet3!$A$1:$B$27,2,FALSE)</f>
        <v>Food &amp;Beverage</v>
      </c>
    </row>
    <row r="2413" spans="1:7" x14ac:dyDescent="0.3">
      <c r="A2413" t="s">
        <v>30</v>
      </c>
      <c r="B2413">
        <v>2015</v>
      </c>
      <c r="C2413" t="s">
        <v>40</v>
      </c>
      <c r="D2413" s="2">
        <v>42186</v>
      </c>
      <c r="E2413" t="s">
        <v>14</v>
      </c>
      <c r="F2413">
        <v>131.69999999999999</v>
      </c>
      <c r="G2413" t="str">
        <f>VLOOKUP(Table1_2[[#This Row],[Categories]],Sheet3!$A$1:$B$27,2,FALSE)</f>
        <v>Food &amp;Beverage</v>
      </c>
    </row>
    <row r="2414" spans="1:7" x14ac:dyDescent="0.3">
      <c r="A2414" t="s">
        <v>30</v>
      </c>
      <c r="B2414">
        <v>2015</v>
      </c>
      <c r="C2414" t="s">
        <v>40</v>
      </c>
      <c r="D2414" s="2">
        <v>42186</v>
      </c>
      <c r="E2414" t="s">
        <v>15</v>
      </c>
      <c r="F2414">
        <v>127.5</v>
      </c>
      <c r="G2414" t="str">
        <f>VLOOKUP(Table1_2[[#This Row],[Categories]],Sheet3!$A$1:$B$27,2,FALSE)</f>
        <v>Food &amp;Beverage</v>
      </c>
    </row>
    <row r="2415" spans="1:7" x14ac:dyDescent="0.3">
      <c r="A2415" t="s">
        <v>30</v>
      </c>
      <c r="B2415">
        <v>2015</v>
      </c>
      <c r="C2415" t="s">
        <v>40</v>
      </c>
      <c r="D2415" s="2">
        <v>42186</v>
      </c>
      <c r="E2415" t="s">
        <v>16</v>
      </c>
      <c r="F2415">
        <v>129.4</v>
      </c>
      <c r="G2415" t="str">
        <f>VLOOKUP(Table1_2[[#This Row],[Categories]],Sheet3!$A$1:$B$27,2,FALSE)</f>
        <v>Recreation and amusement</v>
      </c>
    </row>
    <row r="2416" spans="1:7" x14ac:dyDescent="0.3">
      <c r="A2416" t="s">
        <v>30</v>
      </c>
      <c r="B2416">
        <v>2015</v>
      </c>
      <c r="C2416" t="s">
        <v>40</v>
      </c>
      <c r="D2416" s="2">
        <v>42186</v>
      </c>
      <c r="E2416" t="s">
        <v>17</v>
      </c>
      <c r="F2416">
        <v>128.80000000000001</v>
      </c>
      <c r="G2416" t="str">
        <f>VLOOKUP(Table1_2[[#This Row],[Categories]],Sheet3!$A$1:$B$27,2,FALSE)</f>
        <v>Clothing and footwear</v>
      </c>
    </row>
    <row r="2417" spans="1:7" x14ac:dyDescent="0.3">
      <c r="A2417" t="s">
        <v>30</v>
      </c>
      <c r="B2417">
        <v>2015</v>
      </c>
      <c r="C2417" t="s">
        <v>40</v>
      </c>
      <c r="D2417" s="2">
        <v>42186</v>
      </c>
      <c r="E2417" t="s">
        <v>18</v>
      </c>
      <c r="F2417">
        <v>125.5</v>
      </c>
      <c r="G2417" t="str">
        <f>VLOOKUP(Table1_2[[#This Row],[Categories]],Sheet3!$A$1:$B$27,2,FALSE)</f>
        <v>Clothing and footwear</v>
      </c>
    </row>
    <row r="2418" spans="1:7" x14ac:dyDescent="0.3">
      <c r="A2418" t="s">
        <v>30</v>
      </c>
      <c r="B2418">
        <v>2015</v>
      </c>
      <c r="C2418" t="s">
        <v>40</v>
      </c>
      <c r="D2418" s="2">
        <v>42186</v>
      </c>
      <c r="E2418" t="s">
        <v>19</v>
      </c>
      <c r="F2418">
        <v>128.30000000000001</v>
      </c>
      <c r="G2418" t="str">
        <f>VLOOKUP(Table1_2[[#This Row],[Categories]],Sheet3!$A$1:$B$27,2,FALSE)</f>
        <v>Clothing and footwear</v>
      </c>
    </row>
    <row r="2419" spans="1:7" x14ac:dyDescent="0.3">
      <c r="A2419" t="s">
        <v>30</v>
      </c>
      <c r="B2419">
        <v>2015</v>
      </c>
      <c r="C2419" t="s">
        <v>40</v>
      </c>
      <c r="D2419" s="2">
        <v>42186</v>
      </c>
      <c r="E2419" t="s">
        <v>21</v>
      </c>
      <c r="F2419">
        <v>123</v>
      </c>
      <c r="G2419" t="str">
        <f>VLOOKUP(Table1_2[[#This Row],[Categories]],Sheet3!$A$1:$B$27,2,FALSE)</f>
        <v>Fuel and light</v>
      </c>
    </row>
    <row r="2420" spans="1:7" x14ac:dyDescent="0.3">
      <c r="A2420" t="s">
        <v>30</v>
      </c>
      <c r="B2420">
        <v>2015</v>
      </c>
      <c r="C2420" t="s">
        <v>40</v>
      </c>
      <c r="D2420" s="2">
        <v>42186</v>
      </c>
      <c r="E2420" t="s">
        <v>22</v>
      </c>
      <c r="F2420">
        <v>123</v>
      </c>
      <c r="G2420" t="str">
        <f>VLOOKUP(Table1_2[[#This Row],[Categories]],Sheet3!$A$1:$B$27,2,FALSE)</f>
        <v>Household Items</v>
      </c>
    </row>
    <row r="2421" spans="1:7" x14ac:dyDescent="0.3">
      <c r="A2421" t="s">
        <v>30</v>
      </c>
      <c r="B2421">
        <v>2015</v>
      </c>
      <c r="C2421" t="s">
        <v>40</v>
      </c>
      <c r="D2421" s="2">
        <v>42186</v>
      </c>
      <c r="E2421" t="s">
        <v>23</v>
      </c>
      <c r="F2421">
        <v>120.8</v>
      </c>
      <c r="G2421" t="str">
        <f>VLOOKUP(Table1_2[[#This Row],[Categories]],Sheet3!$A$1:$B$27,2,FALSE)</f>
        <v>Health</v>
      </c>
    </row>
    <row r="2422" spans="1:7" x14ac:dyDescent="0.3">
      <c r="A2422" t="s">
        <v>30</v>
      </c>
      <c r="B2422">
        <v>2015</v>
      </c>
      <c r="C2422" t="s">
        <v>40</v>
      </c>
      <c r="D2422" s="2">
        <v>42186</v>
      </c>
      <c r="E2422" t="s">
        <v>24</v>
      </c>
      <c r="F2422">
        <v>114.1</v>
      </c>
      <c r="G2422" t="str">
        <f>VLOOKUP(Table1_2[[#This Row],[Categories]],Sheet3!$A$1:$B$27,2,FALSE)</f>
        <v>Transport and communication</v>
      </c>
    </row>
    <row r="2423" spans="1:7" x14ac:dyDescent="0.3">
      <c r="A2423" t="s">
        <v>30</v>
      </c>
      <c r="B2423">
        <v>2015</v>
      </c>
      <c r="C2423" t="s">
        <v>40</v>
      </c>
      <c r="D2423" s="2">
        <v>42186</v>
      </c>
      <c r="E2423" t="s">
        <v>25</v>
      </c>
      <c r="F2423">
        <v>118</v>
      </c>
      <c r="G2423" t="str">
        <f>VLOOKUP(Table1_2[[#This Row],[Categories]],Sheet3!$A$1:$B$27,2,FALSE)</f>
        <v>Recreation and amusement</v>
      </c>
    </row>
    <row r="2424" spans="1:7" x14ac:dyDescent="0.3">
      <c r="A2424" t="s">
        <v>30</v>
      </c>
      <c r="B2424">
        <v>2015</v>
      </c>
      <c r="C2424" t="s">
        <v>40</v>
      </c>
      <c r="D2424" s="2">
        <v>42186</v>
      </c>
      <c r="E2424" t="s">
        <v>26</v>
      </c>
      <c r="F2424">
        <v>122.9</v>
      </c>
      <c r="G2424" t="str">
        <f>VLOOKUP(Table1_2[[#This Row],[Categories]],Sheet3!$A$1:$B$27,2,FALSE)</f>
        <v>Education</v>
      </c>
    </row>
    <row r="2425" spans="1:7" x14ac:dyDescent="0.3">
      <c r="A2425" t="s">
        <v>30</v>
      </c>
      <c r="B2425">
        <v>2015</v>
      </c>
      <c r="C2425" t="s">
        <v>40</v>
      </c>
      <c r="D2425" s="2">
        <v>42186</v>
      </c>
      <c r="E2425" t="s">
        <v>27</v>
      </c>
      <c r="F2425">
        <v>112.7</v>
      </c>
      <c r="G2425" t="str">
        <f>VLOOKUP(Table1_2[[#This Row],[Categories]],Sheet3!$A$1:$B$27,2,FALSE)</f>
        <v>Household Items</v>
      </c>
    </row>
    <row r="2426" spans="1:7" x14ac:dyDescent="0.3">
      <c r="A2426" t="s">
        <v>30</v>
      </c>
      <c r="B2426">
        <v>2015</v>
      </c>
      <c r="C2426" t="s">
        <v>40</v>
      </c>
      <c r="D2426" s="2">
        <v>42186</v>
      </c>
      <c r="E2426" t="s">
        <v>28</v>
      </c>
      <c r="F2426">
        <v>118.1</v>
      </c>
      <c r="G2426" t="str">
        <f>VLOOKUP(Table1_2[[#This Row],[Categories]],Sheet3!$A$1:$B$27,2,FALSE)</f>
        <v>Miscellaneous</v>
      </c>
    </row>
    <row r="2427" spans="1:7" x14ac:dyDescent="0.3">
      <c r="A2427" t="s">
        <v>30</v>
      </c>
      <c r="B2427">
        <v>2015</v>
      </c>
      <c r="C2427" t="s">
        <v>40</v>
      </c>
      <c r="D2427" s="2">
        <v>42186</v>
      </c>
      <c r="E2427" t="s">
        <v>29</v>
      </c>
      <c r="F2427">
        <v>124.7</v>
      </c>
      <c r="G2427" t="str">
        <f>VLOOKUP(Table1_2[[#This Row],[Categories]],Sheet3!$A$1:$B$27,2,FALSE)</f>
        <v>General index</v>
      </c>
    </row>
    <row r="2428" spans="1:7" x14ac:dyDescent="0.3">
      <c r="A2428" t="s">
        <v>33</v>
      </c>
      <c r="B2428">
        <v>2015</v>
      </c>
      <c r="C2428" t="s">
        <v>40</v>
      </c>
      <c r="D2428" s="2">
        <v>42186</v>
      </c>
      <c r="E2428" t="s">
        <v>3</v>
      </c>
      <c r="F2428">
        <v>123.2</v>
      </c>
      <c r="G2428" t="str">
        <f>VLOOKUP(Table1_2[[#This Row],[Categories]],Sheet3!$A$1:$B$27,2,FALSE)</f>
        <v>Food &amp;Beverage</v>
      </c>
    </row>
    <row r="2429" spans="1:7" x14ac:dyDescent="0.3">
      <c r="A2429" t="s">
        <v>33</v>
      </c>
      <c r="B2429">
        <v>2015</v>
      </c>
      <c r="C2429" t="s">
        <v>40</v>
      </c>
      <c r="D2429" s="2">
        <v>42186</v>
      </c>
      <c r="E2429" t="s">
        <v>4</v>
      </c>
      <c r="F2429">
        <v>134.30000000000001</v>
      </c>
      <c r="G2429" t="str">
        <f>VLOOKUP(Table1_2[[#This Row],[Categories]],Sheet3!$A$1:$B$27,2,FALSE)</f>
        <v>Food &amp;Beverage</v>
      </c>
    </row>
    <row r="2430" spans="1:7" x14ac:dyDescent="0.3">
      <c r="A2430" t="s">
        <v>33</v>
      </c>
      <c r="B2430">
        <v>2015</v>
      </c>
      <c r="C2430" t="s">
        <v>40</v>
      </c>
      <c r="D2430" s="2">
        <v>42186</v>
      </c>
      <c r="E2430" t="s">
        <v>5</v>
      </c>
      <c r="F2430">
        <v>119.5</v>
      </c>
      <c r="G2430" t="str">
        <f>VLOOKUP(Table1_2[[#This Row],[Categories]],Sheet3!$A$1:$B$27,2,FALSE)</f>
        <v>Food &amp;Beverage</v>
      </c>
    </row>
    <row r="2431" spans="1:7" x14ac:dyDescent="0.3">
      <c r="A2431" t="s">
        <v>33</v>
      </c>
      <c r="B2431">
        <v>2015</v>
      </c>
      <c r="C2431" t="s">
        <v>40</v>
      </c>
      <c r="D2431" s="2">
        <v>42186</v>
      </c>
      <c r="E2431" t="s">
        <v>6</v>
      </c>
      <c r="F2431">
        <v>127.7</v>
      </c>
      <c r="G2431" t="str">
        <f>VLOOKUP(Table1_2[[#This Row],[Categories]],Sheet3!$A$1:$B$27,2,FALSE)</f>
        <v>Food &amp;Beverage</v>
      </c>
    </row>
    <row r="2432" spans="1:7" x14ac:dyDescent="0.3">
      <c r="A2432" t="s">
        <v>33</v>
      </c>
      <c r="B2432">
        <v>2015</v>
      </c>
      <c r="C2432" t="s">
        <v>40</v>
      </c>
      <c r="D2432" s="2">
        <v>42186</v>
      </c>
      <c r="E2432" t="s">
        <v>7</v>
      </c>
      <c r="F2432">
        <v>106.3</v>
      </c>
      <c r="G2432" t="str">
        <f>VLOOKUP(Table1_2[[#This Row],[Categories]],Sheet3!$A$1:$B$27,2,FALSE)</f>
        <v>Food &amp;Beverage</v>
      </c>
    </row>
    <row r="2433" spans="1:7" x14ac:dyDescent="0.3">
      <c r="A2433" t="s">
        <v>33</v>
      </c>
      <c r="B2433">
        <v>2015</v>
      </c>
      <c r="C2433" t="s">
        <v>40</v>
      </c>
      <c r="D2433" s="2">
        <v>42186</v>
      </c>
      <c r="E2433" t="s">
        <v>8</v>
      </c>
      <c r="F2433">
        <v>132.80000000000001</v>
      </c>
      <c r="G2433" t="str">
        <f>VLOOKUP(Table1_2[[#This Row],[Categories]],Sheet3!$A$1:$B$27,2,FALSE)</f>
        <v>Food &amp;Beverage</v>
      </c>
    </row>
    <row r="2434" spans="1:7" x14ac:dyDescent="0.3">
      <c r="A2434" t="s">
        <v>33</v>
      </c>
      <c r="B2434">
        <v>2015</v>
      </c>
      <c r="C2434" t="s">
        <v>40</v>
      </c>
      <c r="D2434" s="2">
        <v>42186</v>
      </c>
      <c r="E2434" t="s">
        <v>9</v>
      </c>
      <c r="F2434">
        <v>153.5</v>
      </c>
      <c r="G2434" t="str">
        <f>VLOOKUP(Table1_2[[#This Row],[Categories]],Sheet3!$A$1:$B$27,2,FALSE)</f>
        <v>Food &amp;Beverage</v>
      </c>
    </row>
    <row r="2435" spans="1:7" x14ac:dyDescent="0.3">
      <c r="A2435" t="s">
        <v>33</v>
      </c>
      <c r="B2435">
        <v>2015</v>
      </c>
      <c r="C2435" t="s">
        <v>40</v>
      </c>
      <c r="D2435" s="2">
        <v>42186</v>
      </c>
      <c r="E2435" t="s">
        <v>10</v>
      </c>
      <c r="F2435">
        <v>149.5</v>
      </c>
      <c r="G2435" t="str">
        <f>VLOOKUP(Table1_2[[#This Row],[Categories]],Sheet3!$A$1:$B$27,2,FALSE)</f>
        <v>Food &amp;Beverage</v>
      </c>
    </row>
    <row r="2436" spans="1:7" x14ac:dyDescent="0.3">
      <c r="A2436" t="s">
        <v>33</v>
      </c>
      <c r="B2436">
        <v>2015</v>
      </c>
      <c r="C2436" t="s">
        <v>40</v>
      </c>
      <c r="D2436" s="2">
        <v>42186</v>
      </c>
      <c r="E2436" t="s">
        <v>11</v>
      </c>
      <c r="F2436">
        <v>85.7</v>
      </c>
      <c r="G2436" t="str">
        <f>VLOOKUP(Table1_2[[#This Row],[Categories]],Sheet3!$A$1:$B$27,2,FALSE)</f>
        <v>Food &amp;Beverage</v>
      </c>
    </row>
    <row r="2437" spans="1:7" x14ac:dyDescent="0.3">
      <c r="A2437" t="s">
        <v>33</v>
      </c>
      <c r="B2437">
        <v>2015</v>
      </c>
      <c r="C2437" t="s">
        <v>40</v>
      </c>
      <c r="D2437" s="2">
        <v>42186</v>
      </c>
      <c r="E2437" t="s">
        <v>12</v>
      </c>
      <c r="F2437">
        <v>131.5</v>
      </c>
      <c r="G2437" t="str">
        <f>VLOOKUP(Table1_2[[#This Row],[Categories]],Sheet3!$A$1:$B$27,2,FALSE)</f>
        <v>Food &amp;Beverage</v>
      </c>
    </row>
    <row r="2438" spans="1:7" x14ac:dyDescent="0.3">
      <c r="A2438" t="s">
        <v>33</v>
      </c>
      <c r="B2438">
        <v>2015</v>
      </c>
      <c r="C2438" t="s">
        <v>40</v>
      </c>
      <c r="D2438" s="2">
        <v>42186</v>
      </c>
      <c r="E2438" t="s">
        <v>13</v>
      </c>
      <c r="F2438">
        <v>118.3</v>
      </c>
      <c r="G2438" t="str">
        <f>VLOOKUP(Table1_2[[#This Row],[Categories]],Sheet3!$A$1:$B$27,2,FALSE)</f>
        <v>Food &amp;Beverage</v>
      </c>
    </row>
    <row r="2439" spans="1:7" x14ac:dyDescent="0.3">
      <c r="A2439" t="s">
        <v>33</v>
      </c>
      <c r="B2439">
        <v>2015</v>
      </c>
      <c r="C2439" t="s">
        <v>40</v>
      </c>
      <c r="D2439" s="2">
        <v>42186</v>
      </c>
      <c r="E2439" t="s">
        <v>14</v>
      </c>
      <c r="F2439">
        <v>131.1</v>
      </c>
      <c r="G2439" t="str">
        <f>VLOOKUP(Table1_2[[#This Row],[Categories]],Sheet3!$A$1:$B$27,2,FALSE)</f>
        <v>Food &amp;Beverage</v>
      </c>
    </row>
    <row r="2440" spans="1:7" x14ac:dyDescent="0.3">
      <c r="A2440" t="s">
        <v>33</v>
      </c>
      <c r="B2440">
        <v>2015</v>
      </c>
      <c r="C2440" t="s">
        <v>40</v>
      </c>
      <c r="D2440" s="2">
        <v>42186</v>
      </c>
      <c r="E2440" t="s">
        <v>15</v>
      </c>
      <c r="F2440">
        <v>129.5</v>
      </c>
      <c r="G2440" t="str">
        <f>VLOOKUP(Table1_2[[#This Row],[Categories]],Sheet3!$A$1:$B$27,2,FALSE)</f>
        <v>Food &amp;Beverage</v>
      </c>
    </row>
    <row r="2441" spans="1:7" x14ac:dyDescent="0.3">
      <c r="A2441" t="s">
        <v>33</v>
      </c>
      <c r="B2441">
        <v>2015</v>
      </c>
      <c r="C2441" t="s">
        <v>40</v>
      </c>
      <c r="D2441" s="2">
        <v>42186</v>
      </c>
      <c r="E2441" t="s">
        <v>16</v>
      </c>
      <c r="F2441">
        <v>133.1</v>
      </c>
      <c r="G2441" t="str">
        <f>VLOOKUP(Table1_2[[#This Row],[Categories]],Sheet3!$A$1:$B$27,2,FALSE)</f>
        <v>Recreation and amusement</v>
      </c>
    </row>
    <row r="2442" spans="1:7" x14ac:dyDescent="0.3">
      <c r="A2442" t="s">
        <v>33</v>
      </c>
      <c r="B2442">
        <v>2015</v>
      </c>
      <c r="C2442" t="s">
        <v>40</v>
      </c>
      <c r="D2442" s="2">
        <v>42186</v>
      </c>
      <c r="E2442" t="s">
        <v>17</v>
      </c>
      <c r="F2442">
        <v>123.5</v>
      </c>
      <c r="G2442" t="str">
        <f>VLOOKUP(Table1_2[[#This Row],[Categories]],Sheet3!$A$1:$B$27,2,FALSE)</f>
        <v>Clothing and footwear</v>
      </c>
    </row>
    <row r="2443" spans="1:7" x14ac:dyDescent="0.3">
      <c r="A2443" t="s">
        <v>33</v>
      </c>
      <c r="B2443">
        <v>2015</v>
      </c>
      <c r="C2443" t="s">
        <v>40</v>
      </c>
      <c r="D2443" s="2">
        <v>42186</v>
      </c>
      <c r="E2443" t="s">
        <v>18</v>
      </c>
      <c r="F2443">
        <v>117.9</v>
      </c>
      <c r="G2443" t="str">
        <f>VLOOKUP(Table1_2[[#This Row],[Categories]],Sheet3!$A$1:$B$27,2,FALSE)</f>
        <v>Clothing and footwear</v>
      </c>
    </row>
    <row r="2444" spans="1:7" x14ac:dyDescent="0.3">
      <c r="A2444" t="s">
        <v>33</v>
      </c>
      <c r="B2444">
        <v>2015</v>
      </c>
      <c r="C2444" t="s">
        <v>40</v>
      </c>
      <c r="D2444" s="2">
        <v>42186</v>
      </c>
      <c r="E2444" t="s">
        <v>19</v>
      </c>
      <c r="F2444">
        <v>122.7</v>
      </c>
      <c r="G2444" t="str">
        <f>VLOOKUP(Table1_2[[#This Row],[Categories]],Sheet3!$A$1:$B$27,2,FALSE)</f>
        <v>Clothing and footwear</v>
      </c>
    </row>
    <row r="2445" spans="1:7" x14ac:dyDescent="0.3">
      <c r="A2445" t="s">
        <v>33</v>
      </c>
      <c r="B2445">
        <v>2015</v>
      </c>
      <c r="C2445" t="s">
        <v>40</v>
      </c>
      <c r="D2445" s="2">
        <v>42186</v>
      </c>
      <c r="E2445" t="s">
        <v>20</v>
      </c>
      <c r="F2445">
        <v>119.9</v>
      </c>
      <c r="G2445" t="str">
        <f>VLOOKUP(Table1_2[[#This Row],[Categories]],Sheet3!$A$1:$B$27,2,FALSE)</f>
        <v>Housing</v>
      </c>
    </row>
    <row r="2446" spans="1:7" x14ac:dyDescent="0.3">
      <c r="A2446" t="s">
        <v>33</v>
      </c>
      <c r="B2446">
        <v>2015</v>
      </c>
      <c r="C2446" t="s">
        <v>40</v>
      </c>
      <c r="D2446" s="2">
        <v>42186</v>
      </c>
      <c r="E2446" t="s">
        <v>21</v>
      </c>
      <c r="F2446">
        <v>115.3</v>
      </c>
      <c r="G2446" t="str">
        <f>VLOOKUP(Table1_2[[#This Row],[Categories]],Sheet3!$A$1:$B$27,2,FALSE)</f>
        <v>Fuel and light</v>
      </c>
    </row>
    <row r="2447" spans="1:7" x14ac:dyDescent="0.3">
      <c r="A2447" t="s">
        <v>33</v>
      </c>
      <c r="B2447">
        <v>2015</v>
      </c>
      <c r="C2447" t="s">
        <v>40</v>
      </c>
      <c r="D2447" s="2">
        <v>42186</v>
      </c>
      <c r="E2447" t="s">
        <v>22</v>
      </c>
      <c r="F2447">
        <v>119.5</v>
      </c>
      <c r="G2447" t="str">
        <f>VLOOKUP(Table1_2[[#This Row],[Categories]],Sheet3!$A$1:$B$27,2,FALSE)</f>
        <v>Household Items</v>
      </c>
    </row>
    <row r="2448" spans="1:7" x14ac:dyDescent="0.3">
      <c r="A2448" t="s">
        <v>33</v>
      </c>
      <c r="B2448">
        <v>2015</v>
      </c>
      <c r="C2448" t="s">
        <v>40</v>
      </c>
      <c r="D2448" s="2">
        <v>42186</v>
      </c>
      <c r="E2448" t="s">
        <v>23</v>
      </c>
      <c r="F2448">
        <v>116</v>
      </c>
      <c r="G2448" t="str">
        <f>VLOOKUP(Table1_2[[#This Row],[Categories]],Sheet3!$A$1:$B$27,2,FALSE)</f>
        <v>Health</v>
      </c>
    </row>
    <row r="2449" spans="1:7" x14ac:dyDescent="0.3">
      <c r="A2449" t="s">
        <v>33</v>
      </c>
      <c r="B2449">
        <v>2015</v>
      </c>
      <c r="C2449" t="s">
        <v>40</v>
      </c>
      <c r="D2449" s="2">
        <v>42186</v>
      </c>
      <c r="E2449" t="s">
        <v>24</v>
      </c>
      <c r="F2449">
        <v>111.5</v>
      </c>
      <c r="G2449" t="str">
        <f>VLOOKUP(Table1_2[[#This Row],[Categories]],Sheet3!$A$1:$B$27,2,FALSE)</f>
        <v>Transport and communication</v>
      </c>
    </row>
    <row r="2450" spans="1:7" x14ac:dyDescent="0.3">
      <c r="A2450" t="s">
        <v>33</v>
      </c>
      <c r="B2450">
        <v>2015</v>
      </c>
      <c r="C2450" t="s">
        <v>40</v>
      </c>
      <c r="D2450" s="2">
        <v>42186</v>
      </c>
      <c r="E2450" t="s">
        <v>25</v>
      </c>
      <c r="F2450">
        <v>116.6</v>
      </c>
      <c r="G2450" t="str">
        <f>VLOOKUP(Table1_2[[#This Row],[Categories]],Sheet3!$A$1:$B$27,2,FALSE)</f>
        <v>Recreation and amusement</v>
      </c>
    </row>
    <row r="2451" spans="1:7" x14ac:dyDescent="0.3">
      <c r="A2451" t="s">
        <v>33</v>
      </c>
      <c r="B2451">
        <v>2015</v>
      </c>
      <c r="C2451" t="s">
        <v>40</v>
      </c>
      <c r="D2451" s="2">
        <v>42186</v>
      </c>
      <c r="E2451" t="s">
        <v>26</v>
      </c>
      <c r="F2451">
        <v>125.4</v>
      </c>
      <c r="G2451" t="str">
        <f>VLOOKUP(Table1_2[[#This Row],[Categories]],Sheet3!$A$1:$B$27,2,FALSE)</f>
        <v>Education</v>
      </c>
    </row>
    <row r="2452" spans="1:7" x14ac:dyDescent="0.3">
      <c r="A2452" t="s">
        <v>33</v>
      </c>
      <c r="B2452">
        <v>2015</v>
      </c>
      <c r="C2452" t="s">
        <v>40</v>
      </c>
      <c r="D2452" s="2">
        <v>42186</v>
      </c>
      <c r="E2452" t="s">
        <v>27</v>
      </c>
      <c r="F2452">
        <v>111.7</v>
      </c>
      <c r="G2452" t="str">
        <f>VLOOKUP(Table1_2[[#This Row],[Categories]],Sheet3!$A$1:$B$27,2,FALSE)</f>
        <v>Household Items</v>
      </c>
    </row>
    <row r="2453" spans="1:7" x14ac:dyDescent="0.3">
      <c r="A2453" t="s">
        <v>33</v>
      </c>
      <c r="B2453">
        <v>2015</v>
      </c>
      <c r="C2453" t="s">
        <v>40</v>
      </c>
      <c r="D2453" s="2">
        <v>42186</v>
      </c>
      <c r="E2453" t="s">
        <v>28</v>
      </c>
      <c r="F2453">
        <v>116.3</v>
      </c>
      <c r="G2453" t="str">
        <f>VLOOKUP(Table1_2[[#This Row],[Categories]],Sheet3!$A$1:$B$27,2,FALSE)</f>
        <v>Miscellaneous</v>
      </c>
    </row>
    <row r="2454" spans="1:7" x14ac:dyDescent="0.3">
      <c r="A2454" t="s">
        <v>33</v>
      </c>
      <c r="B2454">
        <v>2015</v>
      </c>
      <c r="C2454" t="s">
        <v>40</v>
      </c>
      <c r="D2454" s="2">
        <v>42186</v>
      </c>
      <c r="E2454" t="s">
        <v>29</v>
      </c>
      <c r="F2454">
        <v>122.4</v>
      </c>
      <c r="G2454" t="str">
        <f>VLOOKUP(Table1_2[[#This Row],[Categories]],Sheet3!$A$1:$B$27,2,FALSE)</f>
        <v>General index</v>
      </c>
    </row>
    <row r="2455" spans="1:7" x14ac:dyDescent="0.3">
      <c r="A2455" t="s">
        <v>34</v>
      </c>
      <c r="B2455">
        <v>2015</v>
      </c>
      <c r="C2455" t="s">
        <v>40</v>
      </c>
      <c r="D2455" s="2">
        <v>42186</v>
      </c>
      <c r="E2455" t="s">
        <v>3</v>
      </c>
      <c r="F2455">
        <v>123.7</v>
      </c>
      <c r="G2455" t="str">
        <f>VLOOKUP(Table1_2[[#This Row],[Categories]],Sheet3!$A$1:$B$27,2,FALSE)</f>
        <v>Food &amp;Beverage</v>
      </c>
    </row>
    <row r="2456" spans="1:7" x14ac:dyDescent="0.3">
      <c r="A2456" t="s">
        <v>34</v>
      </c>
      <c r="B2456">
        <v>2015</v>
      </c>
      <c r="C2456" t="s">
        <v>40</v>
      </c>
      <c r="D2456" s="2">
        <v>42186</v>
      </c>
      <c r="E2456" t="s">
        <v>4</v>
      </c>
      <c r="F2456">
        <v>132.5</v>
      </c>
      <c r="G2456" t="str">
        <f>VLOOKUP(Table1_2[[#This Row],[Categories]],Sheet3!$A$1:$B$27,2,FALSE)</f>
        <v>Food &amp;Beverage</v>
      </c>
    </row>
    <row r="2457" spans="1:7" x14ac:dyDescent="0.3">
      <c r="A2457" t="s">
        <v>34</v>
      </c>
      <c r="B2457">
        <v>2015</v>
      </c>
      <c r="C2457" t="s">
        <v>40</v>
      </c>
      <c r="D2457" s="2">
        <v>42186</v>
      </c>
      <c r="E2457" t="s">
        <v>5</v>
      </c>
      <c r="F2457">
        <v>121</v>
      </c>
      <c r="G2457" t="str">
        <f>VLOOKUP(Table1_2[[#This Row],[Categories]],Sheet3!$A$1:$B$27,2,FALSE)</f>
        <v>Food &amp;Beverage</v>
      </c>
    </row>
    <row r="2458" spans="1:7" x14ac:dyDescent="0.3">
      <c r="A2458" t="s">
        <v>34</v>
      </c>
      <c r="B2458">
        <v>2015</v>
      </c>
      <c r="C2458" t="s">
        <v>40</v>
      </c>
      <c r="D2458" s="2">
        <v>42186</v>
      </c>
      <c r="E2458" t="s">
        <v>6</v>
      </c>
      <c r="F2458">
        <v>128.30000000000001</v>
      </c>
      <c r="G2458" t="str">
        <f>VLOOKUP(Table1_2[[#This Row],[Categories]],Sheet3!$A$1:$B$27,2,FALSE)</f>
        <v>Food &amp;Beverage</v>
      </c>
    </row>
    <row r="2459" spans="1:7" x14ac:dyDescent="0.3">
      <c r="A2459" t="s">
        <v>34</v>
      </c>
      <c r="B2459">
        <v>2015</v>
      </c>
      <c r="C2459" t="s">
        <v>40</v>
      </c>
      <c r="D2459" s="2">
        <v>42186</v>
      </c>
      <c r="E2459" t="s">
        <v>7</v>
      </c>
      <c r="F2459">
        <v>110.9</v>
      </c>
      <c r="G2459" t="str">
        <f>VLOOKUP(Table1_2[[#This Row],[Categories]],Sheet3!$A$1:$B$27,2,FALSE)</f>
        <v>Food &amp;Beverage</v>
      </c>
    </row>
    <row r="2460" spans="1:7" x14ac:dyDescent="0.3">
      <c r="A2460" t="s">
        <v>34</v>
      </c>
      <c r="B2460">
        <v>2015</v>
      </c>
      <c r="C2460" t="s">
        <v>40</v>
      </c>
      <c r="D2460" s="2">
        <v>42186</v>
      </c>
      <c r="E2460" t="s">
        <v>8</v>
      </c>
      <c r="F2460">
        <v>133.1</v>
      </c>
      <c r="G2460" t="str">
        <f>VLOOKUP(Table1_2[[#This Row],[Categories]],Sheet3!$A$1:$B$27,2,FALSE)</f>
        <v>Food &amp;Beverage</v>
      </c>
    </row>
    <row r="2461" spans="1:7" x14ac:dyDescent="0.3">
      <c r="A2461" t="s">
        <v>34</v>
      </c>
      <c r="B2461">
        <v>2015</v>
      </c>
      <c r="C2461" t="s">
        <v>40</v>
      </c>
      <c r="D2461" s="2">
        <v>42186</v>
      </c>
      <c r="E2461" t="s">
        <v>9</v>
      </c>
      <c r="F2461">
        <v>145.1</v>
      </c>
      <c r="G2461" t="str">
        <f>VLOOKUP(Table1_2[[#This Row],[Categories]],Sheet3!$A$1:$B$27,2,FALSE)</f>
        <v>Food &amp;Beverage</v>
      </c>
    </row>
    <row r="2462" spans="1:7" x14ac:dyDescent="0.3">
      <c r="A2462" t="s">
        <v>34</v>
      </c>
      <c r="B2462">
        <v>2015</v>
      </c>
      <c r="C2462" t="s">
        <v>40</v>
      </c>
      <c r="D2462" s="2">
        <v>42186</v>
      </c>
      <c r="E2462" t="s">
        <v>10</v>
      </c>
      <c r="F2462">
        <v>139.1</v>
      </c>
      <c r="G2462" t="str">
        <f>VLOOKUP(Table1_2[[#This Row],[Categories]],Sheet3!$A$1:$B$27,2,FALSE)</f>
        <v>Food &amp;Beverage</v>
      </c>
    </row>
    <row r="2463" spans="1:7" x14ac:dyDescent="0.3">
      <c r="A2463" t="s">
        <v>34</v>
      </c>
      <c r="B2463">
        <v>2015</v>
      </c>
      <c r="C2463" t="s">
        <v>40</v>
      </c>
      <c r="D2463" s="2">
        <v>42186</v>
      </c>
      <c r="E2463" t="s">
        <v>11</v>
      </c>
      <c r="F2463">
        <v>91.3</v>
      </c>
      <c r="G2463" t="str">
        <f>VLOOKUP(Table1_2[[#This Row],[Categories]],Sheet3!$A$1:$B$27,2,FALSE)</f>
        <v>Food &amp;Beverage</v>
      </c>
    </row>
    <row r="2464" spans="1:7" x14ac:dyDescent="0.3">
      <c r="A2464" t="s">
        <v>34</v>
      </c>
      <c r="B2464">
        <v>2015</v>
      </c>
      <c r="C2464" t="s">
        <v>40</v>
      </c>
      <c r="D2464" s="2">
        <v>42186</v>
      </c>
      <c r="E2464" t="s">
        <v>12</v>
      </c>
      <c r="F2464">
        <v>126.1</v>
      </c>
      <c r="G2464" t="str">
        <f>VLOOKUP(Table1_2[[#This Row],[Categories]],Sheet3!$A$1:$B$27,2,FALSE)</f>
        <v>Food &amp;Beverage</v>
      </c>
    </row>
    <row r="2465" spans="1:7" x14ac:dyDescent="0.3">
      <c r="A2465" t="s">
        <v>34</v>
      </c>
      <c r="B2465">
        <v>2015</v>
      </c>
      <c r="C2465" t="s">
        <v>40</v>
      </c>
      <c r="D2465" s="2">
        <v>42186</v>
      </c>
      <c r="E2465" t="s">
        <v>13</v>
      </c>
      <c r="F2465">
        <v>119.9</v>
      </c>
      <c r="G2465" t="str">
        <f>VLOOKUP(Table1_2[[#This Row],[Categories]],Sheet3!$A$1:$B$27,2,FALSE)</f>
        <v>Food &amp;Beverage</v>
      </c>
    </row>
    <row r="2466" spans="1:7" x14ac:dyDescent="0.3">
      <c r="A2466" t="s">
        <v>34</v>
      </c>
      <c r="B2466">
        <v>2015</v>
      </c>
      <c r="C2466" t="s">
        <v>40</v>
      </c>
      <c r="D2466" s="2">
        <v>42186</v>
      </c>
      <c r="E2466" t="s">
        <v>14</v>
      </c>
      <c r="F2466">
        <v>131.4</v>
      </c>
      <c r="G2466" t="str">
        <f>VLOOKUP(Table1_2[[#This Row],[Categories]],Sheet3!$A$1:$B$27,2,FALSE)</f>
        <v>Food &amp;Beverage</v>
      </c>
    </row>
    <row r="2467" spans="1:7" x14ac:dyDescent="0.3">
      <c r="A2467" t="s">
        <v>34</v>
      </c>
      <c r="B2467">
        <v>2015</v>
      </c>
      <c r="C2467" t="s">
        <v>40</v>
      </c>
      <c r="D2467" s="2">
        <v>42186</v>
      </c>
      <c r="E2467" t="s">
        <v>15</v>
      </c>
      <c r="F2467">
        <v>128.19999999999999</v>
      </c>
      <c r="G2467" t="str">
        <f>VLOOKUP(Table1_2[[#This Row],[Categories]],Sheet3!$A$1:$B$27,2,FALSE)</f>
        <v>Food &amp;Beverage</v>
      </c>
    </row>
    <row r="2468" spans="1:7" x14ac:dyDescent="0.3">
      <c r="A2468" t="s">
        <v>34</v>
      </c>
      <c r="B2468">
        <v>2015</v>
      </c>
      <c r="C2468" t="s">
        <v>40</v>
      </c>
      <c r="D2468" s="2">
        <v>42186</v>
      </c>
      <c r="E2468" t="s">
        <v>16</v>
      </c>
      <c r="F2468">
        <v>130.4</v>
      </c>
      <c r="G2468" t="str">
        <f>VLOOKUP(Table1_2[[#This Row],[Categories]],Sheet3!$A$1:$B$27,2,FALSE)</f>
        <v>Recreation and amusement</v>
      </c>
    </row>
    <row r="2469" spans="1:7" x14ac:dyDescent="0.3">
      <c r="A2469" t="s">
        <v>34</v>
      </c>
      <c r="B2469">
        <v>2015</v>
      </c>
      <c r="C2469" t="s">
        <v>40</v>
      </c>
      <c r="D2469" s="2">
        <v>42186</v>
      </c>
      <c r="E2469" t="s">
        <v>17</v>
      </c>
      <c r="F2469">
        <v>126.7</v>
      </c>
      <c r="G2469" t="str">
        <f>VLOOKUP(Table1_2[[#This Row],[Categories]],Sheet3!$A$1:$B$27,2,FALSE)</f>
        <v>Clothing and footwear</v>
      </c>
    </row>
    <row r="2470" spans="1:7" x14ac:dyDescent="0.3">
      <c r="A2470" t="s">
        <v>34</v>
      </c>
      <c r="B2470">
        <v>2015</v>
      </c>
      <c r="C2470" t="s">
        <v>40</v>
      </c>
      <c r="D2470" s="2">
        <v>42186</v>
      </c>
      <c r="E2470" t="s">
        <v>18</v>
      </c>
      <c r="F2470">
        <v>122.3</v>
      </c>
      <c r="G2470" t="str">
        <f>VLOOKUP(Table1_2[[#This Row],[Categories]],Sheet3!$A$1:$B$27,2,FALSE)</f>
        <v>Clothing and footwear</v>
      </c>
    </row>
    <row r="2471" spans="1:7" x14ac:dyDescent="0.3">
      <c r="A2471" t="s">
        <v>34</v>
      </c>
      <c r="B2471">
        <v>2015</v>
      </c>
      <c r="C2471" t="s">
        <v>40</v>
      </c>
      <c r="D2471" s="2">
        <v>42186</v>
      </c>
      <c r="E2471" t="s">
        <v>19</v>
      </c>
      <c r="F2471">
        <v>126.1</v>
      </c>
      <c r="G2471" t="str">
        <f>VLOOKUP(Table1_2[[#This Row],[Categories]],Sheet3!$A$1:$B$27,2,FALSE)</f>
        <v>Clothing and footwear</v>
      </c>
    </row>
    <row r="2472" spans="1:7" x14ac:dyDescent="0.3">
      <c r="A2472" t="s">
        <v>34</v>
      </c>
      <c r="B2472">
        <v>2015</v>
      </c>
      <c r="C2472" t="s">
        <v>40</v>
      </c>
      <c r="D2472" s="2">
        <v>42186</v>
      </c>
      <c r="E2472" t="s">
        <v>20</v>
      </c>
      <c r="F2472">
        <v>119.9</v>
      </c>
      <c r="G2472" t="str">
        <f>VLOOKUP(Table1_2[[#This Row],[Categories]],Sheet3!$A$1:$B$27,2,FALSE)</f>
        <v>Housing</v>
      </c>
    </row>
    <row r="2473" spans="1:7" x14ac:dyDescent="0.3">
      <c r="A2473" t="s">
        <v>34</v>
      </c>
      <c r="B2473">
        <v>2015</v>
      </c>
      <c r="C2473" t="s">
        <v>40</v>
      </c>
      <c r="D2473" s="2">
        <v>42186</v>
      </c>
      <c r="E2473" t="s">
        <v>21</v>
      </c>
      <c r="F2473">
        <v>120.1</v>
      </c>
      <c r="G2473" t="str">
        <f>VLOOKUP(Table1_2[[#This Row],[Categories]],Sheet3!$A$1:$B$27,2,FALSE)</f>
        <v>Fuel and light</v>
      </c>
    </row>
    <row r="2474" spans="1:7" x14ac:dyDescent="0.3">
      <c r="A2474" t="s">
        <v>34</v>
      </c>
      <c r="B2474">
        <v>2015</v>
      </c>
      <c r="C2474" t="s">
        <v>40</v>
      </c>
      <c r="D2474" s="2">
        <v>42186</v>
      </c>
      <c r="E2474" t="s">
        <v>22</v>
      </c>
      <c r="F2474">
        <v>121.3</v>
      </c>
      <c r="G2474" t="str">
        <f>VLOOKUP(Table1_2[[#This Row],[Categories]],Sheet3!$A$1:$B$27,2,FALSE)</f>
        <v>Household Items</v>
      </c>
    </row>
    <row r="2475" spans="1:7" x14ac:dyDescent="0.3">
      <c r="A2475" t="s">
        <v>34</v>
      </c>
      <c r="B2475">
        <v>2015</v>
      </c>
      <c r="C2475" t="s">
        <v>40</v>
      </c>
      <c r="D2475" s="2">
        <v>42186</v>
      </c>
      <c r="E2475" t="s">
        <v>23</v>
      </c>
      <c r="F2475">
        <v>119</v>
      </c>
      <c r="G2475" t="str">
        <f>VLOOKUP(Table1_2[[#This Row],[Categories]],Sheet3!$A$1:$B$27,2,FALSE)</f>
        <v>Health</v>
      </c>
    </row>
    <row r="2476" spans="1:7" x14ac:dyDescent="0.3">
      <c r="A2476" t="s">
        <v>34</v>
      </c>
      <c r="B2476">
        <v>2015</v>
      </c>
      <c r="C2476" t="s">
        <v>40</v>
      </c>
      <c r="D2476" s="2">
        <v>42186</v>
      </c>
      <c r="E2476" t="s">
        <v>24</v>
      </c>
      <c r="F2476">
        <v>112.7</v>
      </c>
      <c r="G2476" t="str">
        <f>VLOOKUP(Table1_2[[#This Row],[Categories]],Sheet3!$A$1:$B$27,2,FALSE)</f>
        <v>Transport and communication</v>
      </c>
    </row>
    <row r="2477" spans="1:7" x14ac:dyDescent="0.3">
      <c r="A2477" t="s">
        <v>34</v>
      </c>
      <c r="B2477">
        <v>2015</v>
      </c>
      <c r="C2477" t="s">
        <v>40</v>
      </c>
      <c r="D2477" s="2">
        <v>42186</v>
      </c>
      <c r="E2477" t="s">
        <v>25</v>
      </c>
      <c r="F2477">
        <v>117.2</v>
      </c>
      <c r="G2477" t="str">
        <f>VLOOKUP(Table1_2[[#This Row],[Categories]],Sheet3!$A$1:$B$27,2,FALSE)</f>
        <v>Recreation and amusement</v>
      </c>
    </row>
    <row r="2478" spans="1:7" x14ac:dyDescent="0.3">
      <c r="A2478" t="s">
        <v>34</v>
      </c>
      <c r="B2478">
        <v>2015</v>
      </c>
      <c r="C2478" t="s">
        <v>40</v>
      </c>
      <c r="D2478" s="2">
        <v>42186</v>
      </c>
      <c r="E2478" t="s">
        <v>26</v>
      </c>
      <c r="F2478">
        <v>124.4</v>
      </c>
      <c r="G2478" t="str">
        <f>VLOOKUP(Table1_2[[#This Row],[Categories]],Sheet3!$A$1:$B$27,2,FALSE)</f>
        <v>Education</v>
      </c>
    </row>
    <row r="2479" spans="1:7" x14ac:dyDescent="0.3">
      <c r="A2479" t="s">
        <v>34</v>
      </c>
      <c r="B2479">
        <v>2015</v>
      </c>
      <c r="C2479" t="s">
        <v>40</v>
      </c>
      <c r="D2479" s="2">
        <v>42186</v>
      </c>
      <c r="E2479" t="s">
        <v>27</v>
      </c>
      <c r="F2479">
        <v>112.3</v>
      </c>
      <c r="G2479" t="str">
        <f>VLOOKUP(Table1_2[[#This Row],[Categories]],Sheet3!$A$1:$B$27,2,FALSE)</f>
        <v>Household Items</v>
      </c>
    </row>
    <row r="2480" spans="1:7" x14ac:dyDescent="0.3">
      <c r="A2480" t="s">
        <v>34</v>
      </c>
      <c r="B2480">
        <v>2015</v>
      </c>
      <c r="C2480" t="s">
        <v>40</v>
      </c>
      <c r="D2480" s="2">
        <v>42186</v>
      </c>
      <c r="E2480" t="s">
        <v>28</v>
      </c>
      <c r="F2480">
        <v>117.2</v>
      </c>
      <c r="G2480" t="str">
        <f>VLOOKUP(Table1_2[[#This Row],[Categories]],Sheet3!$A$1:$B$27,2,FALSE)</f>
        <v>Miscellaneous</v>
      </c>
    </row>
    <row r="2481" spans="1:7" x14ac:dyDescent="0.3">
      <c r="A2481" t="s">
        <v>34</v>
      </c>
      <c r="B2481">
        <v>2015</v>
      </c>
      <c r="C2481" t="s">
        <v>40</v>
      </c>
      <c r="D2481" s="2">
        <v>42186</v>
      </c>
      <c r="E2481" t="s">
        <v>29</v>
      </c>
      <c r="F2481">
        <v>123.6</v>
      </c>
      <c r="G2481" t="str">
        <f>VLOOKUP(Table1_2[[#This Row],[Categories]],Sheet3!$A$1:$B$27,2,FALSE)</f>
        <v>General index</v>
      </c>
    </row>
    <row r="2482" spans="1:7" x14ac:dyDescent="0.3">
      <c r="A2482" t="s">
        <v>30</v>
      </c>
      <c r="B2482">
        <v>2015</v>
      </c>
      <c r="C2482" t="s">
        <v>41</v>
      </c>
      <c r="D2482" s="2">
        <v>42217</v>
      </c>
      <c r="E2482" t="s">
        <v>3</v>
      </c>
      <c r="F2482">
        <v>124.7</v>
      </c>
      <c r="G2482" t="str">
        <f>VLOOKUP(Table1_2[[#This Row],[Categories]],Sheet3!$A$1:$B$27,2,FALSE)</f>
        <v>Food &amp;Beverage</v>
      </c>
    </row>
    <row r="2483" spans="1:7" x14ac:dyDescent="0.3">
      <c r="A2483" t="s">
        <v>30</v>
      </c>
      <c r="B2483">
        <v>2015</v>
      </c>
      <c r="C2483" t="s">
        <v>41</v>
      </c>
      <c r="D2483" s="2">
        <v>42217</v>
      </c>
      <c r="E2483" t="s">
        <v>4</v>
      </c>
      <c r="F2483">
        <v>131.30000000000001</v>
      </c>
      <c r="G2483" t="str">
        <f>VLOOKUP(Table1_2[[#This Row],[Categories]],Sheet3!$A$1:$B$27,2,FALSE)</f>
        <v>Food &amp;Beverage</v>
      </c>
    </row>
    <row r="2484" spans="1:7" x14ac:dyDescent="0.3">
      <c r="A2484" t="s">
        <v>30</v>
      </c>
      <c r="B2484">
        <v>2015</v>
      </c>
      <c r="C2484" t="s">
        <v>41</v>
      </c>
      <c r="D2484" s="2">
        <v>42217</v>
      </c>
      <c r="E2484" t="s">
        <v>5</v>
      </c>
      <c r="F2484">
        <v>121.3</v>
      </c>
      <c r="G2484" t="str">
        <f>VLOOKUP(Table1_2[[#This Row],[Categories]],Sheet3!$A$1:$B$27,2,FALSE)</f>
        <v>Food &amp;Beverage</v>
      </c>
    </row>
    <row r="2485" spans="1:7" x14ac:dyDescent="0.3">
      <c r="A2485" t="s">
        <v>30</v>
      </c>
      <c r="B2485">
        <v>2015</v>
      </c>
      <c r="C2485" t="s">
        <v>41</v>
      </c>
      <c r="D2485" s="2">
        <v>42217</v>
      </c>
      <c r="E2485" t="s">
        <v>6</v>
      </c>
      <c r="F2485">
        <v>128.80000000000001</v>
      </c>
      <c r="G2485" t="str">
        <f>VLOOKUP(Table1_2[[#This Row],[Categories]],Sheet3!$A$1:$B$27,2,FALSE)</f>
        <v>Food &amp;Beverage</v>
      </c>
    </row>
    <row r="2486" spans="1:7" x14ac:dyDescent="0.3">
      <c r="A2486" t="s">
        <v>30</v>
      </c>
      <c r="B2486">
        <v>2015</v>
      </c>
      <c r="C2486" t="s">
        <v>41</v>
      </c>
      <c r="D2486" s="2">
        <v>42217</v>
      </c>
      <c r="E2486" t="s">
        <v>7</v>
      </c>
      <c r="F2486">
        <v>114</v>
      </c>
      <c r="G2486" t="str">
        <f>VLOOKUP(Table1_2[[#This Row],[Categories]],Sheet3!$A$1:$B$27,2,FALSE)</f>
        <v>Food &amp;Beverage</v>
      </c>
    </row>
    <row r="2487" spans="1:7" x14ac:dyDescent="0.3">
      <c r="A2487" t="s">
        <v>30</v>
      </c>
      <c r="B2487">
        <v>2015</v>
      </c>
      <c r="C2487" t="s">
        <v>41</v>
      </c>
      <c r="D2487" s="2">
        <v>42217</v>
      </c>
      <c r="E2487" t="s">
        <v>8</v>
      </c>
      <c r="F2487">
        <v>134.19999999999999</v>
      </c>
      <c r="G2487" t="str">
        <f>VLOOKUP(Table1_2[[#This Row],[Categories]],Sheet3!$A$1:$B$27,2,FALSE)</f>
        <v>Food &amp;Beverage</v>
      </c>
    </row>
    <row r="2488" spans="1:7" x14ac:dyDescent="0.3">
      <c r="A2488" t="s">
        <v>30</v>
      </c>
      <c r="B2488">
        <v>2015</v>
      </c>
      <c r="C2488" t="s">
        <v>41</v>
      </c>
      <c r="D2488" s="2">
        <v>42217</v>
      </c>
      <c r="E2488" t="s">
        <v>9</v>
      </c>
      <c r="F2488">
        <v>153.6</v>
      </c>
      <c r="G2488" t="str">
        <f>VLOOKUP(Table1_2[[#This Row],[Categories]],Sheet3!$A$1:$B$27,2,FALSE)</f>
        <v>Food &amp;Beverage</v>
      </c>
    </row>
    <row r="2489" spans="1:7" x14ac:dyDescent="0.3">
      <c r="A2489" t="s">
        <v>30</v>
      </c>
      <c r="B2489">
        <v>2015</v>
      </c>
      <c r="C2489" t="s">
        <v>41</v>
      </c>
      <c r="D2489" s="2">
        <v>42217</v>
      </c>
      <c r="E2489" t="s">
        <v>10</v>
      </c>
      <c r="F2489">
        <v>137.9</v>
      </c>
      <c r="G2489" t="str">
        <f>VLOOKUP(Table1_2[[#This Row],[Categories]],Sheet3!$A$1:$B$27,2,FALSE)</f>
        <v>Food &amp;Beverage</v>
      </c>
    </row>
    <row r="2490" spans="1:7" x14ac:dyDescent="0.3">
      <c r="A2490" t="s">
        <v>30</v>
      </c>
      <c r="B2490">
        <v>2015</v>
      </c>
      <c r="C2490" t="s">
        <v>41</v>
      </c>
      <c r="D2490" s="2">
        <v>42217</v>
      </c>
      <c r="E2490" t="s">
        <v>11</v>
      </c>
      <c r="F2490">
        <v>93.1</v>
      </c>
      <c r="G2490" t="str">
        <f>VLOOKUP(Table1_2[[#This Row],[Categories]],Sheet3!$A$1:$B$27,2,FALSE)</f>
        <v>Food &amp;Beverage</v>
      </c>
    </row>
    <row r="2491" spans="1:7" x14ac:dyDescent="0.3">
      <c r="A2491" t="s">
        <v>30</v>
      </c>
      <c r="B2491">
        <v>2015</v>
      </c>
      <c r="C2491" t="s">
        <v>41</v>
      </c>
      <c r="D2491" s="2">
        <v>42217</v>
      </c>
      <c r="E2491" t="s">
        <v>12</v>
      </c>
      <c r="F2491">
        <v>123.9</v>
      </c>
      <c r="G2491" t="str">
        <f>VLOOKUP(Table1_2[[#This Row],[Categories]],Sheet3!$A$1:$B$27,2,FALSE)</f>
        <v>Food &amp;Beverage</v>
      </c>
    </row>
    <row r="2492" spans="1:7" x14ac:dyDescent="0.3">
      <c r="A2492" t="s">
        <v>30</v>
      </c>
      <c r="B2492">
        <v>2015</v>
      </c>
      <c r="C2492" t="s">
        <v>41</v>
      </c>
      <c r="D2492" s="2">
        <v>42217</v>
      </c>
      <c r="E2492" t="s">
        <v>13</v>
      </c>
      <c r="F2492">
        <v>121.5</v>
      </c>
      <c r="G2492" t="str">
        <f>VLOOKUP(Table1_2[[#This Row],[Categories]],Sheet3!$A$1:$B$27,2,FALSE)</f>
        <v>Food &amp;Beverage</v>
      </c>
    </row>
    <row r="2493" spans="1:7" x14ac:dyDescent="0.3">
      <c r="A2493" t="s">
        <v>30</v>
      </c>
      <c r="B2493">
        <v>2015</v>
      </c>
      <c r="C2493" t="s">
        <v>41</v>
      </c>
      <c r="D2493" s="2">
        <v>42217</v>
      </c>
      <c r="E2493" t="s">
        <v>14</v>
      </c>
      <c r="F2493">
        <v>132.5</v>
      </c>
      <c r="G2493" t="str">
        <f>VLOOKUP(Table1_2[[#This Row],[Categories]],Sheet3!$A$1:$B$27,2,FALSE)</f>
        <v>Food &amp;Beverage</v>
      </c>
    </row>
    <row r="2494" spans="1:7" x14ac:dyDescent="0.3">
      <c r="A2494" t="s">
        <v>30</v>
      </c>
      <c r="B2494">
        <v>2015</v>
      </c>
      <c r="C2494" t="s">
        <v>41</v>
      </c>
      <c r="D2494" s="2">
        <v>42217</v>
      </c>
      <c r="E2494" t="s">
        <v>15</v>
      </c>
      <c r="F2494">
        <v>129.80000000000001</v>
      </c>
      <c r="G2494" t="str">
        <f>VLOOKUP(Table1_2[[#This Row],[Categories]],Sheet3!$A$1:$B$27,2,FALSE)</f>
        <v>Food &amp;Beverage</v>
      </c>
    </row>
    <row r="2495" spans="1:7" x14ac:dyDescent="0.3">
      <c r="A2495" t="s">
        <v>30</v>
      </c>
      <c r="B2495">
        <v>2015</v>
      </c>
      <c r="C2495" t="s">
        <v>41</v>
      </c>
      <c r="D2495" s="2">
        <v>42217</v>
      </c>
      <c r="E2495" t="s">
        <v>16</v>
      </c>
      <c r="F2495">
        <v>130.1</v>
      </c>
      <c r="G2495" t="str">
        <f>VLOOKUP(Table1_2[[#This Row],[Categories]],Sheet3!$A$1:$B$27,2,FALSE)</f>
        <v>Recreation and amusement</v>
      </c>
    </row>
    <row r="2496" spans="1:7" x14ac:dyDescent="0.3">
      <c r="A2496" t="s">
        <v>30</v>
      </c>
      <c r="B2496">
        <v>2015</v>
      </c>
      <c r="C2496" t="s">
        <v>41</v>
      </c>
      <c r="D2496" s="2">
        <v>42217</v>
      </c>
      <c r="E2496" t="s">
        <v>17</v>
      </c>
      <c r="F2496">
        <v>129.5</v>
      </c>
      <c r="G2496" t="str">
        <f>VLOOKUP(Table1_2[[#This Row],[Categories]],Sheet3!$A$1:$B$27,2,FALSE)</f>
        <v>Clothing and footwear</v>
      </c>
    </row>
    <row r="2497" spans="1:7" x14ac:dyDescent="0.3">
      <c r="A2497" t="s">
        <v>30</v>
      </c>
      <c r="B2497">
        <v>2015</v>
      </c>
      <c r="C2497" t="s">
        <v>41</v>
      </c>
      <c r="D2497" s="2">
        <v>42217</v>
      </c>
      <c r="E2497" t="s">
        <v>18</v>
      </c>
      <c r="F2497">
        <v>126.3</v>
      </c>
      <c r="G2497" t="str">
        <f>VLOOKUP(Table1_2[[#This Row],[Categories]],Sheet3!$A$1:$B$27,2,FALSE)</f>
        <v>Clothing and footwear</v>
      </c>
    </row>
    <row r="2498" spans="1:7" x14ac:dyDescent="0.3">
      <c r="A2498" t="s">
        <v>30</v>
      </c>
      <c r="B2498">
        <v>2015</v>
      </c>
      <c r="C2498" t="s">
        <v>41</v>
      </c>
      <c r="D2498" s="2">
        <v>42217</v>
      </c>
      <c r="E2498" t="s">
        <v>19</v>
      </c>
      <c r="F2498">
        <v>129</v>
      </c>
      <c r="G2498" t="str">
        <f>VLOOKUP(Table1_2[[#This Row],[Categories]],Sheet3!$A$1:$B$27,2,FALSE)</f>
        <v>Clothing and footwear</v>
      </c>
    </row>
    <row r="2499" spans="1:7" x14ac:dyDescent="0.3">
      <c r="A2499" t="s">
        <v>30</v>
      </c>
      <c r="B2499">
        <v>2015</v>
      </c>
      <c r="C2499" t="s">
        <v>41</v>
      </c>
      <c r="D2499" s="2">
        <v>42217</v>
      </c>
      <c r="E2499" t="s">
        <v>21</v>
      </c>
      <c r="F2499">
        <v>123.8</v>
      </c>
      <c r="G2499" t="str">
        <f>VLOOKUP(Table1_2[[#This Row],[Categories]],Sheet3!$A$1:$B$27,2,FALSE)</f>
        <v>Fuel and light</v>
      </c>
    </row>
    <row r="2500" spans="1:7" x14ac:dyDescent="0.3">
      <c r="A2500" t="s">
        <v>30</v>
      </c>
      <c r="B2500">
        <v>2015</v>
      </c>
      <c r="C2500" t="s">
        <v>41</v>
      </c>
      <c r="D2500" s="2">
        <v>42217</v>
      </c>
      <c r="E2500" t="s">
        <v>22</v>
      </c>
      <c r="F2500">
        <v>123.7</v>
      </c>
      <c r="G2500" t="str">
        <f>VLOOKUP(Table1_2[[#This Row],[Categories]],Sheet3!$A$1:$B$27,2,FALSE)</f>
        <v>Household Items</v>
      </c>
    </row>
    <row r="2501" spans="1:7" x14ac:dyDescent="0.3">
      <c r="A2501" t="s">
        <v>30</v>
      </c>
      <c r="B2501">
        <v>2015</v>
      </c>
      <c r="C2501" t="s">
        <v>41</v>
      </c>
      <c r="D2501" s="2">
        <v>42217</v>
      </c>
      <c r="E2501" t="s">
        <v>23</v>
      </c>
      <c r="F2501">
        <v>121.1</v>
      </c>
      <c r="G2501" t="str">
        <f>VLOOKUP(Table1_2[[#This Row],[Categories]],Sheet3!$A$1:$B$27,2,FALSE)</f>
        <v>Health</v>
      </c>
    </row>
    <row r="2502" spans="1:7" x14ac:dyDescent="0.3">
      <c r="A2502" t="s">
        <v>30</v>
      </c>
      <c r="B2502">
        <v>2015</v>
      </c>
      <c r="C2502" t="s">
        <v>41</v>
      </c>
      <c r="D2502" s="2">
        <v>42217</v>
      </c>
      <c r="E2502" t="s">
        <v>24</v>
      </c>
      <c r="F2502">
        <v>113.6</v>
      </c>
      <c r="G2502" t="str">
        <f>VLOOKUP(Table1_2[[#This Row],[Categories]],Sheet3!$A$1:$B$27,2,FALSE)</f>
        <v>Transport and communication</v>
      </c>
    </row>
    <row r="2503" spans="1:7" x14ac:dyDescent="0.3">
      <c r="A2503" t="s">
        <v>30</v>
      </c>
      <c r="B2503">
        <v>2015</v>
      </c>
      <c r="C2503" t="s">
        <v>41</v>
      </c>
      <c r="D2503" s="2">
        <v>42217</v>
      </c>
      <c r="E2503" t="s">
        <v>25</v>
      </c>
      <c r="F2503">
        <v>118.5</v>
      </c>
      <c r="G2503" t="str">
        <f>VLOOKUP(Table1_2[[#This Row],[Categories]],Sheet3!$A$1:$B$27,2,FALSE)</f>
        <v>Recreation and amusement</v>
      </c>
    </row>
    <row r="2504" spans="1:7" x14ac:dyDescent="0.3">
      <c r="A2504" t="s">
        <v>30</v>
      </c>
      <c r="B2504">
        <v>2015</v>
      </c>
      <c r="C2504" t="s">
        <v>41</v>
      </c>
      <c r="D2504" s="2">
        <v>42217</v>
      </c>
      <c r="E2504" t="s">
        <v>26</v>
      </c>
      <c r="F2504">
        <v>123.6</v>
      </c>
      <c r="G2504" t="str">
        <f>VLOOKUP(Table1_2[[#This Row],[Categories]],Sheet3!$A$1:$B$27,2,FALSE)</f>
        <v>Education</v>
      </c>
    </row>
    <row r="2505" spans="1:7" x14ac:dyDescent="0.3">
      <c r="A2505" t="s">
        <v>30</v>
      </c>
      <c r="B2505">
        <v>2015</v>
      </c>
      <c r="C2505" t="s">
        <v>41</v>
      </c>
      <c r="D2505" s="2">
        <v>42217</v>
      </c>
      <c r="E2505" t="s">
        <v>27</v>
      </c>
      <c r="F2505">
        <v>112.5</v>
      </c>
      <c r="G2505" t="str">
        <f>VLOOKUP(Table1_2[[#This Row],[Categories]],Sheet3!$A$1:$B$27,2,FALSE)</f>
        <v>Household Items</v>
      </c>
    </row>
    <row r="2506" spans="1:7" x14ac:dyDescent="0.3">
      <c r="A2506" t="s">
        <v>30</v>
      </c>
      <c r="B2506">
        <v>2015</v>
      </c>
      <c r="C2506" t="s">
        <v>41</v>
      </c>
      <c r="D2506" s="2">
        <v>42217</v>
      </c>
      <c r="E2506" t="s">
        <v>28</v>
      </c>
      <c r="F2506">
        <v>118.2</v>
      </c>
      <c r="G2506" t="str">
        <f>VLOOKUP(Table1_2[[#This Row],[Categories]],Sheet3!$A$1:$B$27,2,FALSE)</f>
        <v>Miscellaneous</v>
      </c>
    </row>
    <row r="2507" spans="1:7" x14ac:dyDescent="0.3">
      <c r="A2507" t="s">
        <v>30</v>
      </c>
      <c r="B2507">
        <v>2015</v>
      </c>
      <c r="C2507" t="s">
        <v>41</v>
      </c>
      <c r="D2507" s="2">
        <v>42217</v>
      </c>
      <c r="E2507" t="s">
        <v>29</v>
      </c>
      <c r="F2507">
        <v>126.1</v>
      </c>
      <c r="G2507" t="str">
        <f>VLOOKUP(Table1_2[[#This Row],[Categories]],Sheet3!$A$1:$B$27,2,FALSE)</f>
        <v>General index</v>
      </c>
    </row>
    <row r="2508" spans="1:7" x14ac:dyDescent="0.3">
      <c r="A2508" t="s">
        <v>33</v>
      </c>
      <c r="B2508">
        <v>2015</v>
      </c>
      <c r="C2508" t="s">
        <v>41</v>
      </c>
      <c r="D2508" s="2">
        <v>42217</v>
      </c>
      <c r="E2508" t="s">
        <v>3</v>
      </c>
      <c r="F2508">
        <v>123.1</v>
      </c>
      <c r="G2508" t="str">
        <f>VLOOKUP(Table1_2[[#This Row],[Categories]],Sheet3!$A$1:$B$27,2,FALSE)</f>
        <v>Food &amp;Beverage</v>
      </c>
    </row>
    <row r="2509" spans="1:7" x14ac:dyDescent="0.3">
      <c r="A2509" t="s">
        <v>33</v>
      </c>
      <c r="B2509">
        <v>2015</v>
      </c>
      <c r="C2509" t="s">
        <v>41</v>
      </c>
      <c r="D2509" s="2">
        <v>42217</v>
      </c>
      <c r="E2509" t="s">
        <v>4</v>
      </c>
      <c r="F2509">
        <v>131.69999999999999</v>
      </c>
      <c r="G2509" t="str">
        <f>VLOOKUP(Table1_2[[#This Row],[Categories]],Sheet3!$A$1:$B$27,2,FALSE)</f>
        <v>Food &amp;Beverage</v>
      </c>
    </row>
    <row r="2510" spans="1:7" x14ac:dyDescent="0.3">
      <c r="A2510" t="s">
        <v>33</v>
      </c>
      <c r="B2510">
        <v>2015</v>
      </c>
      <c r="C2510" t="s">
        <v>41</v>
      </c>
      <c r="D2510" s="2">
        <v>42217</v>
      </c>
      <c r="E2510" t="s">
        <v>5</v>
      </c>
      <c r="F2510">
        <v>118.1</v>
      </c>
      <c r="G2510" t="str">
        <f>VLOOKUP(Table1_2[[#This Row],[Categories]],Sheet3!$A$1:$B$27,2,FALSE)</f>
        <v>Food &amp;Beverage</v>
      </c>
    </row>
    <row r="2511" spans="1:7" x14ac:dyDescent="0.3">
      <c r="A2511" t="s">
        <v>33</v>
      </c>
      <c r="B2511">
        <v>2015</v>
      </c>
      <c r="C2511" t="s">
        <v>41</v>
      </c>
      <c r="D2511" s="2">
        <v>42217</v>
      </c>
      <c r="E2511" t="s">
        <v>6</v>
      </c>
      <c r="F2511">
        <v>128</v>
      </c>
      <c r="G2511" t="str">
        <f>VLOOKUP(Table1_2[[#This Row],[Categories]],Sheet3!$A$1:$B$27,2,FALSE)</f>
        <v>Food &amp;Beverage</v>
      </c>
    </row>
    <row r="2512" spans="1:7" x14ac:dyDescent="0.3">
      <c r="A2512" t="s">
        <v>33</v>
      </c>
      <c r="B2512">
        <v>2015</v>
      </c>
      <c r="C2512" t="s">
        <v>41</v>
      </c>
      <c r="D2512" s="2">
        <v>42217</v>
      </c>
      <c r="E2512" t="s">
        <v>7</v>
      </c>
      <c r="F2512">
        <v>106.8</v>
      </c>
      <c r="G2512" t="str">
        <f>VLOOKUP(Table1_2[[#This Row],[Categories]],Sheet3!$A$1:$B$27,2,FALSE)</f>
        <v>Food &amp;Beverage</v>
      </c>
    </row>
    <row r="2513" spans="1:7" x14ac:dyDescent="0.3">
      <c r="A2513" t="s">
        <v>33</v>
      </c>
      <c r="B2513">
        <v>2015</v>
      </c>
      <c r="C2513" t="s">
        <v>41</v>
      </c>
      <c r="D2513" s="2">
        <v>42217</v>
      </c>
      <c r="E2513" t="s">
        <v>8</v>
      </c>
      <c r="F2513">
        <v>130.1</v>
      </c>
      <c r="G2513" t="str">
        <f>VLOOKUP(Table1_2[[#This Row],[Categories]],Sheet3!$A$1:$B$27,2,FALSE)</f>
        <v>Food &amp;Beverage</v>
      </c>
    </row>
    <row r="2514" spans="1:7" x14ac:dyDescent="0.3">
      <c r="A2514" t="s">
        <v>33</v>
      </c>
      <c r="B2514">
        <v>2015</v>
      </c>
      <c r="C2514" t="s">
        <v>41</v>
      </c>
      <c r="D2514" s="2">
        <v>42217</v>
      </c>
      <c r="E2514" t="s">
        <v>9</v>
      </c>
      <c r="F2514">
        <v>165.5</v>
      </c>
      <c r="G2514" t="str">
        <f>VLOOKUP(Table1_2[[#This Row],[Categories]],Sheet3!$A$1:$B$27,2,FALSE)</f>
        <v>Food &amp;Beverage</v>
      </c>
    </row>
    <row r="2515" spans="1:7" x14ac:dyDescent="0.3">
      <c r="A2515" t="s">
        <v>33</v>
      </c>
      <c r="B2515">
        <v>2015</v>
      </c>
      <c r="C2515" t="s">
        <v>41</v>
      </c>
      <c r="D2515" s="2">
        <v>42217</v>
      </c>
      <c r="E2515" t="s">
        <v>10</v>
      </c>
      <c r="F2515">
        <v>156</v>
      </c>
      <c r="G2515" t="str">
        <f>VLOOKUP(Table1_2[[#This Row],[Categories]],Sheet3!$A$1:$B$27,2,FALSE)</f>
        <v>Food &amp;Beverage</v>
      </c>
    </row>
    <row r="2516" spans="1:7" x14ac:dyDescent="0.3">
      <c r="A2516" t="s">
        <v>33</v>
      </c>
      <c r="B2516">
        <v>2015</v>
      </c>
      <c r="C2516" t="s">
        <v>41</v>
      </c>
      <c r="D2516" s="2">
        <v>42217</v>
      </c>
      <c r="E2516" t="s">
        <v>11</v>
      </c>
      <c r="F2516">
        <v>85.3</v>
      </c>
      <c r="G2516" t="str">
        <f>VLOOKUP(Table1_2[[#This Row],[Categories]],Sheet3!$A$1:$B$27,2,FALSE)</f>
        <v>Food &amp;Beverage</v>
      </c>
    </row>
    <row r="2517" spans="1:7" x14ac:dyDescent="0.3">
      <c r="A2517" t="s">
        <v>33</v>
      </c>
      <c r="B2517">
        <v>2015</v>
      </c>
      <c r="C2517" t="s">
        <v>41</v>
      </c>
      <c r="D2517" s="2">
        <v>42217</v>
      </c>
      <c r="E2517" t="s">
        <v>12</v>
      </c>
      <c r="F2517">
        <v>132.69999999999999</v>
      </c>
      <c r="G2517" t="str">
        <f>VLOOKUP(Table1_2[[#This Row],[Categories]],Sheet3!$A$1:$B$27,2,FALSE)</f>
        <v>Food &amp;Beverage</v>
      </c>
    </row>
    <row r="2518" spans="1:7" x14ac:dyDescent="0.3">
      <c r="A2518" t="s">
        <v>33</v>
      </c>
      <c r="B2518">
        <v>2015</v>
      </c>
      <c r="C2518" t="s">
        <v>41</v>
      </c>
      <c r="D2518" s="2">
        <v>42217</v>
      </c>
      <c r="E2518" t="s">
        <v>13</v>
      </c>
      <c r="F2518">
        <v>118.8</v>
      </c>
      <c r="G2518" t="str">
        <f>VLOOKUP(Table1_2[[#This Row],[Categories]],Sheet3!$A$1:$B$27,2,FALSE)</f>
        <v>Food &amp;Beverage</v>
      </c>
    </row>
    <row r="2519" spans="1:7" x14ac:dyDescent="0.3">
      <c r="A2519" t="s">
        <v>33</v>
      </c>
      <c r="B2519">
        <v>2015</v>
      </c>
      <c r="C2519" t="s">
        <v>41</v>
      </c>
      <c r="D2519" s="2">
        <v>42217</v>
      </c>
      <c r="E2519" t="s">
        <v>14</v>
      </c>
      <c r="F2519">
        <v>131.69999999999999</v>
      </c>
      <c r="G2519" t="str">
        <f>VLOOKUP(Table1_2[[#This Row],[Categories]],Sheet3!$A$1:$B$27,2,FALSE)</f>
        <v>Food &amp;Beverage</v>
      </c>
    </row>
    <row r="2520" spans="1:7" x14ac:dyDescent="0.3">
      <c r="A2520" t="s">
        <v>33</v>
      </c>
      <c r="B2520">
        <v>2015</v>
      </c>
      <c r="C2520" t="s">
        <v>41</v>
      </c>
      <c r="D2520" s="2">
        <v>42217</v>
      </c>
      <c r="E2520" t="s">
        <v>15</v>
      </c>
      <c r="F2520">
        <v>131.1</v>
      </c>
      <c r="G2520" t="str">
        <f>VLOOKUP(Table1_2[[#This Row],[Categories]],Sheet3!$A$1:$B$27,2,FALSE)</f>
        <v>Food &amp;Beverage</v>
      </c>
    </row>
    <row r="2521" spans="1:7" x14ac:dyDescent="0.3">
      <c r="A2521" t="s">
        <v>33</v>
      </c>
      <c r="B2521">
        <v>2015</v>
      </c>
      <c r="C2521" t="s">
        <v>41</v>
      </c>
      <c r="D2521" s="2">
        <v>42217</v>
      </c>
      <c r="E2521" t="s">
        <v>16</v>
      </c>
      <c r="F2521">
        <v>134.19999999999999</v>
      </c>
      <c r="G2521" t="str">
        <f>VLOOKUP(Table1_2[[#This Row],[Categories]],Sheet3!$A$1:$B$27,2,FALSE)</f>
        <v>Recreation and amusement</v>
      </c>
    </row>
    <row r="2522" spans="1:7" x14ac:dyDescent="0.3">
      <c r="A2522" t="s">
        <v>33</v>
      </c>
      <c r="B2522">
        <v>2015</v>
      </c>
      <c r="C2522" t="s">
        <v>41</v>
      </c>
      <c r="D2522" s="2">
        <v>42217</v>
      </c>
      <c r="E2522" t="s">
        <v>17</v>
      </c>
      <c r="F2522">
        <v>123.7</v>
      </c>
      <c r="G2522" t="str">
        <f>VLOOKUP(Table1_2[[#This Row],[Categories]],Sheet3!$A$1:$B$27,2,FALSE)</f>
        <v>Clothing and footwear</v>
      </c>
    </row>
    <row r="2523" spans="1:7" x14ac:dyDescent="0.3">
      <c r="A2523" t="s">
        <v>33</v>
      </c>
      <c r="B2523">
        <v>2015</v>
      </c>
      <c r="C2523" t="s">
        <v>41</v>
      </c>
      <c r="D2523" s="2">
        <v>42217</v>
      </c>
      <c r="E2523" t="s">
        <v>18</v>
      </c>
      <c r="F2523">
        <v>118.2</v>
      </c>
      <c r="G2523" t="str">
        <f>VLOOKUP(Table1_2[[#This Row],[Categories]],Sheet3!$A$1:$B$27,2,FALSE)</f>
        <v>Clothing and footwear</v>
      </c>
    </row>
    <row r="2524" spans="1:7" x14ac:dyDescent="0.3">
      <c r="A2524" t="s">
        <v>33</v>
      </c>
      <c r="B2524">
        <v>2015</v>
      </c>
      <c r="C2524" t="s">
        <v>41</v>
      </c>
      <c r="D2524" s="2">
        <v>42217</v>
      </c>
      <c r="E2524" t="s">
        <v>19</v>
      </c>
      <c r="F2524">
        <v>122.9</v>
      </c>
      <c r="G2524" t="str">
        <f>VLOOKUP(Table1_2[[#This Row],[Categories]],Sheet3!$A$1:$B$27,2,FALSE)</f>
        <v>Clothing and footwear</v>
      </c>
    </row>
    <row r="2525" spans="1:7" x14ac:dyDescent="0.3">
      <c r="A2525" t="s">
        <v>33</v>
      </c>
      <c r="B2525">
        <v>2015</v>
      </c>
      <c r="C2525" t="s">
        <v>41</v>
      </c>
      <c r="D2525" s="2">
        <v>42217</v>
      </c>
      <c r="E2525" t="s">
        <v>20</v>
      </c>
      <c r="F2525">
        <v>120.9</v>
      </c>
      <c r="G2525" t="str">
        <f>VLOOKUP(Table1_2[[#This Row],[Categories]],Sheet3!$A$1:$B$27,2,FALSE)</f>
        <v>Housing</v>
      </c>
    </row>
    <row r="2526" spans="1:7" x14ac:dyDescent="0.3">
      <c r="A2526" t="s">
        <v>33</v>
      </c>
      <c r="B2526">
        <v>2015</v>
      </c>
      <c r="C2526" t="s">
        <v>41</v>
      </c>
      <c r="D2526" s="2">
        <v>42217</v>
      </c>
      <c r="E2526" t="s">
        <v>21</v>
      </c>
      <c r="F2526">
        <v>115.3</v>
      </c>
      <c r="G2526" t="str">
        <f>VLOOKUP(Table1_2[[#This Row],[Categories]],Sheet3!$A$1:$B$27,2,FALSE)</f>
        <v>Fuel and light</v>
      </c>
    </row>
    <row r="2527" spans="1:7" x14ac:dyDescent="0.3">
      <c r="A2527" t="s">
        <v>33</v>
      </c>
      <c r="B2527">
        <v>2015</v>
      </c>
      <c r="C2527" t="s">
        <v>41</v>
      </c>
      <c r="D2527" s="2">
        <v>42217</v>
      </c>
      <c r="E2527" t="s">
        <v>22</v>
      </c>
      <c r="F2527">
        <v>120</v>
      </c>
      <c r="G2527" t="str">
        <f>VLOOKUP(Table1_2[[#This Row],[Categories]],Sheet3!$A$1:$B$27,2,FALSE)</f>
        <v>Household Items</v>
      </c>
    </row>
    <row r="2528" spans="1:7" x14ac:dyDescent="0.3">
      <c r="A2528" t="s">
        <v>33</v>
      </c>
      <c r="B2528">
        <v>2015</v>
      </c>
      <c r="C2528" t="s">
        <v>41</v>
      </c>
      <c r="D2528" s="2">
        <v>42217</v>
      </c>
      <c r="E2528" t="s">
        <v>23</v>
      </c>
      <c r="F2528">
        <v>116.6</v>
      </c>
      <c r="G2528" t="str">
        <f>VLOOKUP(Table1_2[[#This Row],[Categories]],Sheet3!$A$1:$B$27,2,FALSE)</f>
        <v>Health</v>
      </c>
    </row>
    <row r="2529" spans="1:7" x14ac:dyDescent="0.3">
      <c r="A2529" t="s">
        <v>33</v>
      </c>
      <c r="B2529">
        <v>2015</v>
      </c>
      <c r="C2529" t="s">
        <v>41</v>
      </c>
      <c r="D2529" s="2">
        <v>42217</v>
      </c>
      <c r="E2529" t="s">
        <v>24</v>
      </c>
      <c r="F2529">
        <v>109.9</v>
      </c>
      <c r="G2529" t="str">
        <f>VLOOKUP(Table1_2[[#This Row],[Categories]],Sheet3!$A$1:$B$27,2,FALSE)</f>
        <v>Transport and communication</v>
      </c>
    </row>
    <row r="2530" spans="1:7" x14ac:dyDescent="0.3">
      <c r="A2530" t="s">
        <v>33</v>
      </c>
      <c r="B2530">
        <v>2015</v>
      </c>
      <c r="C2530" t="s">
        <v>41</v>
      </c>
      <c r="D2530" s="2">
        <v>42217</v>
      </c>
      <c r="E2530" t="s">
        <v>25</v>
      </c>
      <c r="F2530">
        <v>117.2</v>
      </c>
      <c r="G2530" t="str">
        <f>VLOOKUP(Table1_2[[#This Row],[Categories]],Sheet3!$A$1:$B$27,2,FALSE)</f>
        <v>Recreation and amusement</v>
      </c>
    </row>
    <row r="2531" spans="1:7" x14ac:dyDescent="0.3">
      <c r="A2531" t="s">
        <v>33</v>
      </c>
      <c r="B2531">
        <v>2015</v>
      </c>
      <c r="C2531" t="s">
        <v>41</v>
      </c>
      <c r="D2531" s="2">
        <v>42217</v>
      </c>
      <c r="E2531" t="s">
        <v>26</v>
      </c>
      <c r="F2531">
        <v>126.2</v>
      </c>
      <c r="G2531" t="str">
        <f>VLOOKUP(Table1_2[[#This Row],[Categories]],Sheet3!$A$1:$B$27,2,FALSE)</f>
        <v>Education</v>
      </c>
    </row>
    <row r="2532" spans="1:7" x14ac:dyDescent="0.3">
      <c r="A2532" t="s">
        <v>33</v>
      </c>
      <c r="B2532">
        <v>2015</v>
      </c>
      <c r="C2532" t="s">
        <v>41</v>
      </c>
      <c r="D2532" s="2">
        <v>42217</v>
      </c>
      <c r="E2532" t="s">
        <v>27</v>
      </c>
      <c r="F2532">
        <v>112</v>
      </c>
      <c r="G2532" t="str">
        <f>VLOOKUP(Table1_2[[#This Row],[Categories]],Sheet3!$A$1:$B$27,2,FALSE)</f>
        <v>Household Items</v>
      </c>
    </row>
    <row r="2533" spans="1:7" x14ac:dyDescent="0.3">
      <c r="A2533" t="s">
        <v>33</v>
      </c>
      <c r="B2533">
        <v>2015</v>
      </c>
      <c r="C2533" t="s">
        <v>41</v>
      </c>
      <c r="D2533" s="2">
        <v>42217</v>
      </c>
      <c r="E2533" t="s">
        <v>28</v>
      </c>
      <c r="F2533">
        <v>116.2</v>
      </c>
      <c r="G2533" t="str">
        <f>VLOOKUP(Table1_2[[#This Row],[Categories]],Sheet3!$A$1:$B$27,2,FALSE)</f>
        <v>Miscellaneous</v>
      </c>
    </row>
    <row r="2534" spans="1:7" x14ac:dyDescent="0.3">
      <c r="A2534" t="s">
        <v>33</v>
      </c>
      <c r="B2534">
        <v>2015</v>
      </c>
      <c r="C2534" t="s">
        <v>41</v>
      </c>
      <c r="D2534" s="2">
        <v>42217</v>
      </c>
      <c r="E2534" t="s">
        <v>29</v>
      </c>
      <c r="F2534">
        <v>123.2</v>
      </c>
      <c r="G2534" t="str">
        <f>VLOOKUP(Table1_2[[#This Row],[Categories]],Sheet3!$A$1:$B$27,2,FALSE)</f>
        <v>General index</v>
      </c>
    </row>
    <row r="2535" spans="1:7" x14ac:dyDescent="0.3">
      <c r="A2535" t="s">
        <v>34</v>
      </c>
      <c r="B2535">
        <v>2015</v>
      </c>
      <c r="C2535" t="s">
        <v>41</v>
      </c>
      <c r="D2535" s="2">
        <v>42217</v>
      </c>
      <c r="E2535" t="s">
        <v>3</v>
      </c>
      <c r="F2535">
        <v>124.2</v>
      </c>
      <c r="G2535" t="str">
        <f>VLOOKUP(Table1_2[[#This Row],[Categories]],Sheet3!$A$1:$B$27,2,FALSE)</f>
        <v>Food &amp;Beverage</v>
      </c>
    </row>
    <row r="2536" spans="1:7" x14ac:dyDescent="0.3">
      <c r="A2536" t="s">
        <v>34</v>
      </c>
      <c r="B2536">
        <v>2015</v>
      </c>
      <c r="C2536" t="s">
        <v>41</v>
      </c>
      <c r="D2536" s="2">
        <v>42217</v>
      </c>
      <c r="E2536" t="s">
        <v>4</v>
      </c>
      <c r="F2536">
        <v>131.4</v>
      </c>
      <c r="G2536" t="str">
        <f>VLOOKUP(Table1_2[[#This Row],[Categories]],Sheet3!$A$1:$B$27,2,FALSE)</f>
        <v>Food &amp;Beverage</v>
      </c>
    </row>
    <row r="2537" spans="1:7" x14ac:dyDescent="0.3">
      <c r="A2537" t="s">
        <v>34</v>
      </c>
      <c r="B2537">
        <v>2015</v>
      </c>
      <c r="C2537" t="s">
        <v>41</v>
      </c>
      <c r="D2537" s="2">
        <v>42217</v>
      </c>
      <c r="E2537" t="s">
        <v>5</v>
      </c>
      <c r="F2537">
        <v>120.1</v>
      </c>
      <c r="G2537" t="str">
        <f>VLOOKUP(Table1_2[[#This Row],[Categories]],Sheet3!$A$1:$B$27,2,FALSE)</f>
        <v>Food &amp;Beverage</v>
      </c>
    </row>
    <row r="2538" spans="1:7" x14ac:dyDescent="0.3">
      <c r="A2538" t="s">
        <v>34</v>
      </c>
      <c r="B2538">
        <v>2015</v>
      </c>
      <c r="C2538" t="s">
        <v>41</v>
      </c>
      <c r="D2538" s="2">
        <v>42217</v>
      </c>
      <c r="E2538" t="s">
        <v>6</v>
      </c>
      <c r="F2538">
        <v>128.5</v>
      </c>
      <c r="G2538" t="str">
        <f>VLOOKUP(Table1_2[[#This Row],[Categories]],Sheet3!$A$1:$B$27,2,FALSE)</f>
        <v>Food &amp;Beverage</v>
      </c>
    </row>
    <row r="2539" spans="1:7" x14ac:dyDescent="0.3">
      <c r="A2539" t="s">
        <v>34</v>
      </c>
      <c r="B2539">
        <v>2015</v>
      </c>
      <c r="C2539" t="s">
        <v>41</v>
      </c>
      <c r="D2539" s="2">
        <v>42217</v>
      </c>
      <c r="E2539" t="s">
        <v>7</v>
      </c>
      <c r="F2539">
        <v>111.4</v>
      </c>
      <c r="G2539" t="str">
        <f>VLOOKUP(Table1_2[[#This Row],[Categories]],Sheet3!$A$1:$B$27,2,FALSE)</f>
        <v>Food &amp;Beverage</v>
      </c>
    </row>
    <row r="2540" spans="1:7" x14ac:dyDescent="0.3">
      <c r="A2540" t="s">
        <v>34</v>
      </c>
      <c r="B2540">
        <v>2015</v>
      </c>
      <c r="C2540" t="s">
        <v>41</v>
      </c>
      <c r="D2540" s="2">
        <v>42217</v>
      </c>
      <c r="E2540" t="s">
        <v>8</v>
      </c>
      <c r="F2540">
        <v>132.30000000000001</v>
      </c>
      <c r="G2540" t="str">
        <f>VLOOKUP(Table1_2[[#This Row],[Categories]],Sheet3!$A$1:$B$27,2,FALSE)</f>
        <v>Food &amp;Beverage</v>
      </c>
    </row>
    <row r="2541" spans="1:7" x14ac:dyDescent="0.3">
      <c r="A2541" t="s">
        <v>34</v>
      </c>
      <c r="B2541">
        <v>2015</v>
      </c>
      <c r="C2541" t="s">
        <v>41</v>
      </c>
      <c r="D2541" s="2">
        <v>42217</v>
      </c>
      <c r="E2541" t="s">
        <v>9</v>
      </c>
      <c r="F2541">
        <v>157.6</v>
      </c>
      <c r="G2541" t="str">
        <f>VLOOKUP(Table1_2[[#This Row],[Categories]],Sheet3!$A$1:$B$27,2,FALSE)</f>
        <v>Food &amp;Beverage</v>
      </c>
    </row>
    <row r="2542" spans="1:7" x14ac:dyDescent="0.3">
      <c r="A2542" t="s">
        <v>34</v>
      </c>
      <c r="B2542">
        <v>2015</v>
      </c>
      <c r="C2542" t="s">
        <v>41</v>
      </c>
      <c r="D2542" s="2">
        <v>42217</v>
      </c>
      <c r="E2542" t="s">
        <v>10</v>
      </c>
      <c r="F2542">
        <v>144</v>
      </c>
      <c r="G2542" t="str">
        <f>VLOOKUP(Table1_2[[#This Row],[Categories]],Sheet3!$A$1:$B$27,2,FALSE)</f>
        <v>Food &amp;Beverage</v>
      </c>
    </row>
    <row r="2543" spans="1:7" x14ac:dyDescent="0.3">
      <c r="A2543" t="s">
        <v>34</v>
      </c>
      <c r="B2543">
        <v>2015</v>
      </c>
      <c r="C2543" t="s">
        <v>41</v>
      </c>
      <c r="D2543" s="2">
        <v>42217</v>
      </c>
      <c r="E2543" t="s">
        <v>11</v>
      </c>
      <c r="F2543">
        <v>90.5</v>
      </c>
      <c r="G2543" t="str">
        <f>VLOOKUP(Table1_2[[#This Row],[Categories]],Sheet3!$A$1:$B$27,2,FALSE)</f>
        <v>Food &amp;Beverage</v>
      </c>
    </row>
    <row r="2544" spans="1:7" x14ac:dyDescent="0.3">
      <c r="A2544" t="s">
        <v>34</v>
      </c>
      <c r="B2544">
        <v>2015</v>
      </c>
      <c r="C2544" t="s">
        <v>41</v>
      </c>
      <c r="D2544" s="2">
        <v>42217</v>
      </c>
      <c r="E2544" t="s">
        <v>12</v>
      </c>
      <c r="F2544">
        <v>126.8</v>
      </c>
      <c r="G2544" t="str">
        <f>VLOOKUP(Table1_2[[#This Row],[Categories]],Sheet3!$A$1:$B$27,2,FALSE)</f>
        <v>Food &amp;Beverage</v>
      </c>
    </row>
    <row r="2545" spans="1:7" x14ac:dyDescent="0.3">
      <c r="A2545" t="s">
        <v>34</v>
      </c>
      <c r="B2545">
        <v>2015</v>
      </c>
      <c r="C2545" t="s">
        <v>41</v>
      </c>
      <c r="D2545" s="2">
        <v>42217</v>
      </c>
      <c r="E2545" t="s">
        <v>13</v>
      </c>
      <c r="F2545">
        <v>120.4</v>
      </c>
      <c r="G2545" t="str">
        <f>VLOOKUP(Table1_2[[#This Row],[Categories]],Sheet3!$A$1:$B$27,2,FALSE)</f>
        <v>Food &amp;Beverage</v>
      </c>
    </row>
    <row r="2546" spans="1:7" x14ac:dyDescent="0.3">
      <c r="A2546" t="s">
        <v>34</v>
      </c>
      <c r="B2546">
        <v>2015</v>
      </c>
      <c r="C2546" t="s">
        <v>41</v>
      </c>
      <c r="D2546" s="2">
        <v>42217</v>
      </c>
      <c r="E2546" t="s">
        <v>14</v>
      </c>
      <c r="F2546">
        <v>132.1</v>
      </c>
      <c r="G2546" t="str">
        <f>VLOOKUP(Table1_2[[#This Row],[Categories]],Sheet3!$A$1:$B$27,2,FALSE)</f>
        <v>Food &amp;Beverage</v>
      </c>
    </row>
    <row r="2547" spans="1:7" x14ac:dyDescent="0.3">
      <c r="A2547" t="s">
        <v>34</v>
      </c>
      <c r="B2547">
        <v>2015</v>
      </c>
      <c r="C2547" t="s">
        <v>41</v>
      </c>
      <c r="D2547" s="2">
        <v>42217</v>
      </c>
      <c r="E2547" t="s">
        <v>15</v>
      </c>
      <c r="F2547">
        <v>130.30000000000001</v>
      </c>
      <c r="G2547" t="str">
        <f>VLOOKUP(Table1_2[[#This Row],[Categories]],Sheet3!$A$1:$B$27,2,FALSE)</f>
        <v>Food &amp;Beverage</v>
      </c>
    </row>
    <row r="2548" spans="1:7" x14ac:dyDescent="0.3">
      <c r="A2548" t="s">
        <v>34</v>
      </c>
      <c r="B2548">
        <v>2015</v>
      </c>
      <c r="C2548" t="s">
        <v>41</v>
      </c>
      <c r="D2548" s="2">
        <v>42217</v>
      </c>
      <c r="E2548" t="s">
        <v>16</v>
      </c>
      <c r="F2548">
        <v>131.19999999999999</v>
      </c>
      <c r="G2548" t="str">
        <f>VLOOKUP(Table1_2[[#This Row],[Categories]],Sheet3!$A$1:$B$27,2,FALSE)</f>
        <v>Recreation and amusement</v>
      </c>
    </row>
    <row r="2549" spans="1:7" x14ac:dyDescent="0.3">
      <c r="A2549" t="s">
        <v>34</v>
      </c>
      <c r="B2549">
        <v>2015</v>
      </c>
      <c r="C2549" t="s">
        <v>41</v>
      </c>
      <c r="D2549" s="2">
        <v>42217</v>
      </c>
      <c r="E2549" t="s">
        <v>17</v>
      </c>
      <c r="F2549">
        <v>127.2</v>
      </c>
      <c r="G2549" t="str">
        <f>VLOOKUP(Table1_2[[#This Row],[Categories]],Sheet3!$A$1:$B$27,2,FALSE)</f>
        <v>Clothing and footwear</v>
      </c>
    </row>
    <row r="2550" spans="1:7" x14ac:dyDescent="0.3">
      <c r="A2550" t="s">
        <v>34</v>
      </c>
      <c r="B2550">
        <v>2015</v>
      </c>
      <c r="C2550" t="s">
        <v>41</v>
      </c>
      <c r="D2550" s="2">
        <v>42217</v>
      </c>
      <c r="E2550" t="s">
        <v>18</v>
      </c>
      <c r="F2550">
        <v>122.9</v>
      </c>
      <c r="G2550" t="str">
        <f>VLOOKUP(Table1_2[[#This Row],[Categories]],Sheet3!$A$1:$B$27,2,FALSE)</f>
        <v>Clothing and footwear</v>
      </c>
    </row>
    <row r="2551" spans="1:7" x14ac:dyDescent="0.3">
      <c r="A2551" t="s">
        <v>34</v>
      </c>
      <c r="B2551">
        <v>2015</v>
      </c>
      <c r="C2551" t="s">
        <v>41</v>
      </c>
      <c r="D2551" s="2">
        <v>42217</v>
      </c>
      <c r="E2551" t="s">
        <v>19</v>
      </c>
      <c r="F2551">
        <v>126.6</v>
      </c>
      <c r="G2551" t="str">
        <f>VLOOKUP(Table1_2[[#This Row],[Categories]],Sheet3!$A$1:$B$27,2,FALSE)</f>
        <v>Clothing and footwear</v>
      </c>
    </row>
    <row r="2552" spans="1:7" x14ac:dyDescent="0.3">
      <c r="A2552" t="s">
        <v>34</v>
      </c>
      <c r="B2552">
        <v>2015</v>
      </c>
      <c r="C2552" t="s">
        <v>41</v>
      </c>
      <c r="D2552" s="2">
        <v>42217</v>
      </c>
      <c r="E2552" t="s">
        <v>20</v>
      </c>
      <c r="F2552">
        <v>120.9</v>
      </c>
      <c r="G2552" t="str">
        <f>VLOOKUP(Table1_2[[#This Row],[Categories]],Sheet3!$A$1:$B$27,2,FALSE)</f>
        <v>Housing</v>
      </c>
    </row>
    <row r="2553" spans="1:7" x14ac:dyDescent="0.3">
      <c r="A2553" t="s">
        <v>34</v>
      </c>
      <c r="B2553">
        <v>2015</v>
      </c>
      <c r="C2553" t="s">
        <v>41</v>
      </c>
      <c r="D2553" s="2">
        <v>42217</v>
      </c>
      <c r="E2553" t="s">
        <v>21</v>
      </c>
      <c r="F2553">
        <v>120.6</v>
      </c>
      <c r="G2553" t="str">
        <f>VLOOKUP(Table1_2[[#This Row],[Categories]],Sheet3!$A$1:$B$27,2,FALSE)</f>
        <v>Fuel and light</v>
      </c>
    </row>
    <row r="2554" spans="1:7" x14ac:dyDescent="0.3">
      <c r="A2554" t="s">
        <v>34</v>
      </c>
      <c r="B2554">
        <v>2015</v>
      </c>
      <c r="C2554" t="s">
        <v>41</v>
      </c>
      <c r="D2554" s="2">
        <v>42217</v>
      </c>
      <c r="E2554" t="s">
        <v>22</v>
      </c>
      <c r="F2554">
        <v>122</v>
      </c>
      <c r="G2554" t="str">
        <f>VLOOKUP(Table1_2[[#This Row],[Categories]],Sheet3!$A$1:$B$27,2,FALSE)</f>
        <v>Household Items</v>
      </c>
    </row>
    <row r="2555" spans="1:7" x14ac:dyDescent="0.3">
      <c r="A2555" t="s">
        <v>34</v>
      </c>
      <c r="B2555">
        <v>2015</v>
      </c>
      <c r="C2555" t="s">
        <v>41</v>
      </c>
      <c r="D2555" s="2">
        <v>42217</v>
      </c>
      <c r="E2555" t="s">
        <v>23</v>
      </c>
      <c r="F2555">
        <v>119.4</v>
      </c>
      <c r="G2555" t="str">
        <f>VLOOKUP(Table1_2[[#This Row],[Categories]],Sheet3!$A$1:$B$27,2,FALSE)</f>
        <v>Health</v>
      </c>
    </row>
    <row r="2556" spans="1:7" x14ac:dyDescent="0.3">
      <c r="A2556" t="s">
        <v>34</v>
      </c>
      <c r="B2556">
        <v>2015</v>
      </c>
      <c r="C2556" t="s">
        <v>41</v>
      </c>
      <c r="D2556" s="2">
        <v>42217</v>
      </c>
      <c r="E2556" t="s">
        <v>24</v>
      </c>
      <c r="F2556">
        <v>111.7</v>
      </c>
      <c r="G2556" t="str">
        <f>VLOOKUP(Table1_2[[#This Row],[Categories]],Sheet3!$A$1:$B$27,2,FALSE)</f>
        <v>Transport and communication</v>
      </c>
    </row>
    <row r="2557" spans="1:7" x14ac:dyDescent="0.3">
      <c r="A2557" t="s">
        <v>34</v>
      </c>
      <c r="B2557">
        <v>2015</v>
      </c>
      <c r="C2557" t="s">
        <v>41</v>
      </c>
      <c r="D2557" s="2">
        <v>42217</v>
      </c>
      <c r="E2557" t="s">
        <v>25</v>
      </c>
      <c r="F2557">
        <v>117.8</v>
      </c>
      <c r="G2557" t="str">
        <f>VLOOKUP(Table1_2[[#This Row],[Categories]],Sheet3!$A$1:$B$27,2,FALSE)</f>
        <v>Recreation and amusement</v>
      </c>
    </row>
    <row r="2558" spans="1:7" x14ac:dyDescent="0.3">
      <c r="A2558" t="s">
        <v>34</v>
      </c>
      <c r="B2558">
        <v>2015</v>
      </c>
      <c r="C2558" t="s">
        <v>41</v>
      </c>
      <c r="D2558" s="2">
        <v>42217</v>
      </c>
      <c r="E2558" t="s">
        <v>26</v>
      </c>
      <c r="F2558">
        <v>125.1</v>
      </c>
      <c r="G2558" t="str">
        <f>VLOOKUP(Table1_2[[#This Row],[Categories]],Sheet3!$A$1:$B$27,2,FALSE)</f>
        <v>Education</v>
      </c>
    </row>
    <row r="2559" spans="1:7" x14ac:dyDescent="0.3">
      <c r="A2559" t="s">
        <v>34</v>
      </c>
      <c r="B2559">
        <v>2015</v>
      </c>
      <c r="C2559" t="s">
        <v>41</v>
      </c>
      <c r="D2559" s="2">
        <v>42217</v>
      </c>
      <c r="E2559" t="s">
        <v>27</v>
      </c>
      <c r="F2559">
        <v>112.3</v>
      </c>
      <c r="G2559" t="str">
        <f>VLOOKUP(Table1_2[[#This Row],[Categories]],Sheet3!$A$1:$B$27,2,FALSE)</f>
        <v>Household Items</v>
      </c>
    </row>
    <row r="2560" spans="1:7" x14ac:dyDescent="0.3">
      <c r="A2560" t="s">
        <v>34</v>
      </c>
      <c r="B2560">
        <v>2015</v>
      </c>
      <c r="C2560" t="s">
        <v>41</v>
      </c>
      <c r="D2560" s="2">
        <v>42217</v>
      </c>
      <c r="E2560" t="s">
        <v>28</v>
      </c>
      <c r="F2560">
        <v>117.2</v>
      </c>
      <c r="G2560" t="str">
        <f>VLOOKUP(Table1_2[[#This Row],[Categories]],Sheet3!$A$1:$B$27,2,FALSE)</f>
        <v>Miscellaneous</v>
      </c>
    </row>
    <row r="2561" spans="1:7" x14ac:dyDescent="0.3">
      <c r="A2561" t="s">
        <v>34</v>
      </c>
      <c r="B2561">
        <v>2015</v>
      </c>
      <c r="C2561" t="s">
        <v>41</v>
      </c>
      <c r="D2561" s="2">
        <v>42217</v>
      </c>
      <c r="E2561" t="s">
        <v>29</v>
      </c>
      <c r="F2561">
        <v>124.8</v>
      </c>
      <c r="G2561" t="str">
        <f>VLOOKUP(Table1_2[[#This Row],[Categories]],Sheet3!$A$1:$B$27,2,FALSE)</f>
        <v>General index</v>
      </c>
    </row>
    <row r="2562" spans="1:7" x14ac:dyDescent="0.3">
      <c r="A2562" t="s">
        <v>30</v>
      </c>
      <c r="B2562">
        <v>2015</v>
      </c>
      <c r="C2562" t="s">
        <v>42</v>
      </c>
      <c r="D2562" s="2">
        <v>42248</v>
      </c>
      <c r="E2562" t="s">
        <v>3</v>
      </c>
      <c r="F2562">
        <v>125.1</v>
      </c>
      <c r="G2562" t="str">
        <f>VLOOKUP(Table1_2[[#This Row],[Categories]],Sheet3!$A$1:$B$27,2,FALSE)</f>
        <v>Food &amp;Beverage</v>
      </c>
    </row>
    <row r="2563" spans="1:7" x14ac:dyDescent="0.3">
      <c r="A2563" t="s">
        <v>30</v>
      </c>
      <c r="B2563">
        <v>2015</v>
      </c>
      <c r="C2563" t="s">
        <v>42</v>
      </c>
      <c r="D2563" s="2">
        <v>42248</v>
      </c>
      <c r="E2563" t="s">
        <v>4</v>
      </c>
      <c r="F2563">
        <v>131.1</v>
      </c>
      <c r="G2563" t="str">
        <f>VLOOKUP(Table1_2[[#This Row],[Categories]],Sheet3!$A$1:$B$27,2,FALSE)</f>
        <v>Food &amp;Beverage</v>
      </c>
    </row>
    <row r="2564" spans="1:7" x14ac:dyDescent="0.3">
      <c r="A2564" t="s">
        <v>30</v>
      </c>
      <c r="B2564">
        <v>2015</v>
      </c>
      <c r="C2564" t="s">
        <v>42</v>
      </c>
      <c r="D2564" s="2">
        <v>42248</v>
      </c>
      <c r="E2564" t="s">
        <v>5</v>
      </c>
      <c r="F2564">
        <v>120.7</v>
      </c>
      <c r="G2564" t="str">
        <f>VLOOKUP(Table1_2[[#This Row],[Categories]],Sheet3!$A$1:$B$27,2,FALSE)</f>
        <v>Food &amp;Beverage</v>
      </c>
    </row>
    <row r="2565" spans="1:7" x14ac:dyDescent="0.3">
      <c r="A2565" t="s">
        <v>30</v>
      </c>
      <c r="B2565">
        <v>2015</v>
      </c>
      <c r="C2565" t="s">
        <v>42</v>
      </c>
      <c r="D2565" s="2">
        <v>42248</v>
      </c>
      <c r="E2565" t="s">
        <v>6</v>
      </c>
      <c r="F2565">
        <v>129.19999999999999</v>
      </c>
      <c r="G2565" t="str">
        <f>VLOOKUP(Table1_2[[#This Row],[Categories]],Sheet3!$A$1:$B$27,2,FALSE)</f>
        <v>Food &amp;Beverage</v>
      </c>
    </row>
    <row r="2566" spans="1:7" x14ac:dyDescent="0.3">
      <c r="A2566" t="s">
        <v>30</v>
      </c>
      <c r="B2566">
        <v>2015</v>
      </c>
      <c r="C2566" t="s">
        <v>42</v>
      </c>
      <c r="D2566" s="2">
        <v>42248</v>
      </c>
      <c r="E2566" t="s">
        <v>7</v>
      </c>
      <c r="F2566">
        <v>114.7</v>
      </c>
      <c r="G2566" t="str">
        <f>VLOOKUP(Table1_2[[#This Row],[Categories]],Sheet3!$A$1:$B$27,2,FALSE)</f>
        <v>Food &amp;Beverage</v>
      </c>
    </row>
    <row r="2567" spans="1:7" x14ac:dyDescent="0.3">
      <c r="A2567" t="s">
        <v>30</v>
      </c>
      <c r="B2567">
        <v>2015</v>
      </c>
      <c r="C2567" t="s">
        <v>42</v>
      </c>
      <c r="D2567" s="2">
        <v>42248</v>
      </c>
      <c r="E2567" t="s">
        <v>8</v>
      </c>
      <c r="F2567">
        <v>132.30000000000001</v>
      </c>
      <c r="G2567" t="str">
        <f>VLOOKUP(Table1_2[[#This Row],[Categories]],Sheet3!$A$1:$B$27,2,FALSE)</f>
        <v>Food &amp;Beverage</v>
      </c>
    </row>
    <row r="2568" spans="1:7" x14ac:dyDescent="0.3">
      <c r="A2568" t="s">
        <v>30</v>
      </c>
      <c r="B2568">
        <v>2015</v>
      </c>
      <c r="C2568" t="s">
        <v>42</v>
      </c>
      <c r="D2568" s="2">
        <v>42248</v>
      </c>
      <c r="E2568" t="s">
        <v>9</v>
      </c>
      <c r="F2568">
        <v>158.9</v>
      </c>
      <c r="G2568" t="str">
        <f>VLOOKUP(Table1_2[[#This Row],[Categories]],Sheet3!$A$1:$B$27,2,FALSE)</f>
        <v>Food &amp;Beverage</v>
      </c>
    </row>
    <row r="2569" spans="1:7" x14ac:dyDescent="0.3">
      <c r="A2569" t="s">
        <v>30</v>
      </c>
      <c r="B2569">
        <v>2015</v>
      </c>
      <c r="C2569" t="s">
        <v>42</v>
      </c>
      <c r="D2569" s="2">
        <v>42248</v>
      </c>
      <c r="E2569" t="s">
        <v>10</v>
      </c>
      <c r="F2569">
        <v>142.1</v>
      </c>
      <c r="G2569" t="str">
        <f>VLOOKUP(Table1_2[[#This Row],[Categories]],Sheet3!$A$1:$B$27,2,FALSE)</f>
        <v>Food &amp;Beverage</v>
      </c>
    </row>
    <row r="2570" spans="1:7" x14ac:dyDescent="0.3">
      <c r="A2570" t="s">
        <v>30</v>
      </c>
      <c r="B2570">
        <v>2015</v>
      </c>
      <c r="C2570" t="s">
        <v>42</v>
      </c>
      <c r="D2570" s="2">
        <v>42248</v>
      </c>
      <c r="E2570" t="s">
        <v>11</v>
      </c>
      <c r="F2570">
        <v>92.5</v>
      </c>
      <c r="G2570" t="str">
        <f>VLOOKUP(Table1_2[[#This Row],[Categories]],Sheet3!$A$1:$B$27,2,FALSE)</f>
        <v>Food &amp;Beverage</v>
      </c>
    </row>
    <row r="2571" spans="1:7" x14ac:dyDescent="0.3">
      <c r="A2571" t="s">
        <v>30</v>
      </c>
      <c r="B2571">
        <v>2015</v>
      </c>
      <c r="C2571" t="s">
        <v>42</v>
      </c>
      <c r="D2571" s="2">
        <v>42248</v>
      </c>
      <c r="E2571" t="s">
        <v>12</v>
      </c>
      <c r="F2571">
        <v>125.4</v>
      </c>
      <c r="G2571" t="str">
        <f>VLOOKUP(Table1_2[[#This Row],[Categories]],Sheet3!$A$1:$B$27,2,FALSE)</f>
        <v>Food &amp;Beverage</v>
      </c>
    </row>
    <row r="2572" spans="1:7" x14ac:dyDescent="0.3">
      <c r="A2572" t="s">
        <v>30</v>
      </c>
      <c r="B2572">
        <v>2015</v>
      </c>
      <c r="C2572" t="s">
        <v>42</v>
      </c>
      <c r="D2572" s="2">
        <v>42248</v>
      </c>
      <c r="E2572" t="s">
        <v>13</v>
      </c>
      <c r="F2572">
        <v>121.9</v>
      </c>
      <c r="G2572" t="str">
        <f>VLOOKUP(Table1_2[[#This Row],[Categories]],Sheet3!$A$1:$B$27,2,FALSE)</f>
        <v>Food &amp;Beverage</v>
      </c>
    </row>
    <row r="2573" spans="1:7" x14ac:dyDescent="0.3">
      <c r="A2573" t="s">
        <v>30</v>
      </c>
      <c r="B2573">
        <v>2015</v>
      </c>
      <c r="C2573" t="s">
        <v>42</v>
      </c>
      <c r="D2573" s="2">
        <v>42248</v>
      </c>
      <c r="E2573" t="s">
        <v>14</v>
      </c>
      <c r="F2573">
        <v>132.69999999999999</v>
      </c>
      <c r="G2573" t="str">
        <f>VLOOKUP(Table1_2[[#This Row],[Categories]],Sheet3!$A$1:$B$27,2,FALSE)</f>
        <v>Food &amp;Beverage</v>
      </c>
    </row>
    <row r="2574" spans="1:7" x14ac:dyDescent="0.3">
      <c r="A2574" t="s">
        <v>30</v>
      </c>
      <c r="B2574">
        <v>2015</v>
      </c>
      <c r="C2574" t="s">
        <v>42</v>
      </c>
      <c r="D2574" s="2">
        <v>42248</v>
      </c>
      <c r="E2574" t="s">
        <v>15</v>
      </c>
      <c r="F2574">
        <v>131</v>
      </c>
      <c r="G2574" t="str">
        <f>VLOOKUP(Table1_2[[#This Row],[Categories]],Sheet3!$A$1:$B$27,2,FALSE)</f>
        <v>Food &amp;Beverage</v>
      </c>
    </row>
    <row r="2575" spans="1:7" x14ac:dyDescent="0.3">
      <c r="A2575" t="s">
        <v>30</v>
      </c>
      <c r="B2575">
        <v>2015</v>
      </c>
      <c r="C2575" t="s">
        <v>42</v>
      </c>
      <c r="D2575" s="2">
        <v>42248</v>
      </c>
      <c r="E2575" t="s">
        <v>16</v>
      </c>
      <c r="F2575">
        <v>131</v>
      </c>
      <c r="G2575" t="str">
        <f>VLOOKUP(Table1_2[[#This Row],[Categories]],Sheet3!$A$1:$B$27,2,FALSE)</f>
        <v>Recreation and amusement</v>
      </c>
    </row>
    <row r="2576" spans="1:7" x14ac:dyDescent="0.3">
      <c r="A2576" t="s">
        <v>30</v>
      </c>
      <c r="B2576">
        <v>2015</v>
      </c>
      <c r="C2576" t="s">
        <v>42</v>
      </c>
      <c r="D2576" s="2">
        <v>42248</v>
      </c>
      <c r="E2576" t="s">
        <v>17</v>
      </c>
      <c r="F2576">
        <v>130.4</v>
      </c>
      <c r="G2576" t="str">
        <f>VLOOKUP(Table1_2[[#This Row],[Categories]],Sheet3!$A$1:$B$27,2,FALSE)</f>
        <v>Clothing and footwear</v>
      </c>
    </row>
    <row r="2577" spans="1:7" x14ac:dyDescent="0.3">
      <c r="A2577" t="s">
        <v>30</v>
      </c>
      <c r="B2577">
        <v>2015</v>
      </c>
      <c r="C2577" t="s">
        <v>42</v>
      </c>
      <c r="D2577" s="2">
        <v>42248</v>
      </c>
      <c r="E2577" t="s">
        <v>18</v>
      </c>
      <c r="F2577">
        <v>126.8</v>
      </c>
      <c r="G2577" t="str">
        <f>VLOOKUP(Table1_2[[#This Row],[Categories]],Sheet3!$A$1:$B$27,2,FALSE)</f>
        <v>Clothing and footwear</v>
      </c>
    </row>
    <row r="2578" spans="1:7" x14ac:dyDescent="0.3">
      <c r="A2578" t="s">
        <v>30</v>
      </c>
      <c r="B2578">
        <v>2015</v>
      </c>
      <c r="C2578" t="s">
        <v>42</v>
      </c>
      <c r="D2578" s="2">
        <v>42248</v>
      </c>
      <c r="E2578" t="s">
        <v>19</v>
      </c>
      <c r="F2578">
        <v>129.9</v>
      </c>
      <c r="G2578" t="str">
        <f>VLOOKUP(Table1_2[[#This Row],[Categories]],Sheet3!$A$1:$B$27,2,FALSE)</f>
        <v>Clothing and footwear</v>
      </c>
    </row>
    <row r="2579" spans="1:7" x14ac:dyDescent="0.3">
      <c r="A2579" t="s">
        <v>30</v>
      </c>
      <c r="B2579">
        <v>2015</v>
      </c>
      <c r="C2579" t="s">
        <v>42</v>
      </c>
      <c r="D2579" s="2">
        <v>42248</v>
      </c>
      <c r="E2579" t="s">
        <v>21</v>
      </c>
      <c r="F2579">
        <v>123.7</v>
      </c>
      <c r="G2579" t="str">
        <f>VLOOKUP(Table1_2[[#This Row],[Categories]],Sheet3!$A$1:$B$27,2,FALSE)</f>
        <v>Fuel and light</v>
      </c>
    </row>
    <row r="2580" spans="1:7" x14ac:dyDescent="0.3">
      <c r="A2580" t="s">
        <v>30</v>
      </c>
      <c r="B2580">
        <v>2015</v>
      </c>
      <c r="C2580" t="s">
        <v>42</v>
      </c>
      <c r="D2580" s="2">
        <v>42248</v>
      </c>
      <c r="E2580" t="s">
        <v>22</v>
      </c>
      <c r="F2580">
        <v>124.5</v>
      </c>
      <c r="G2580" t="str">
        <f>VLOOKUP(Table1_2[[#This Row],[Categories]],Sheet3!$A$1:$B$27,2,FALSE)</f>
        <v>Household Items</v>
      </c>
    </row>
    <row r="2581" spans="1:7" x14ac:dyDescent="0.3">
      <c r="A2581" t="s">
        <v>30</v>
      </c>
      <c r="B2581">
        <v>2015</v>
      </c>
      <c r="C2581" t="s">
        <v>42</v>
      </c>
      <c r="D2581" s="2">
        <v>42248</v>
      </c>
      <c r="E2581" t="s">
        <v>23</v>
      </c>
      <c r="F2581">
        <v>121.4</v>
      </c>
      <c r="G2581" t="str">
        <f>VLOOKUP(Table1_2[[#This Row],[Categories]],Sheet3!$A$1:$B$27,2,FALSE)</f>
        <v>Health</v>
      </c>
    </row>
    <row r="2582" spans="1:7" x14ac:dyDescent="0.3">
      <c r="A2582" t="s">
        <v>30</v>
      </c>
      <c r="B2582">
        <v>2015</v>
      </c>
      <c r="C2582" t="s">
        <v>42</v>
      </c>
      <c r="D2582" s="2">
        <v>42248</v>
      </c>
      <c r="E2582" t="s">
        <v>24</v>
      </c>
      <c r="F2582">
        <v>113.8</v>
      </c>
      <c r="G2582" t="str">
        <f>VLOOKUP(Table1_2[[#This Row],[Categories]],Sheet3!$A$1:$B$27,2,FALSE)</f>
        <v>Transport and communication</v>
      </c>
    </row>
    <row r="2583" spans="1:7" x14ac:dyDescent="0.3">
      <c r="A2583" t="s">
        <v>30</v>
      </c>
      <c r="B2583">
        <v>2015</v>
      </c>
      <c r="C2583" t="s">
        <v>42</v>
      </c>
      <c r="D2583" s="2">
        <v>42248</v>
      </c>
      <c r="E2583" t="s">
        <v>25</v>
      </c>
      <c r="F2583">
        <v>119.6</v>
      </c>
      <c r="G2583" t="str">
        <f>VLOOKUP(Table1_2[[#This Row],[Categories]],Sheet3!$A$1:$B$27,2,FALSE)</f>
        <v>Recreation and amusement</v>
      </c>
    </row>
    <row r="2584" spans="1:7" x14ac:dyDescent="0.3">
      <c r="A2584" t="s">
        <v>30</v>
      </c>
      <c r="B2584">
        <v>2015</v>
      </c>
      <c r="C2584" t="s">
        <v>42</v>
      </c>
      <c r="D2584" s="2">
        <v>42248</v>
      </c>
      <c r="E2584" t="s">
        <v>26</v>
      </c>
      <c r="F2584">
        <v>124.5</v>
      </c>
      <c r="G2584" t="str">
        <f>VLOOKUP(Table1_2[[#This Row],[Categories]],Sheet3!$A$1:$B$27,2,FALSE)</f>
        <v>Education</v>
      </c>
    </row>
    <row r="2585" spans="1:7" x14ac:dyDescent="0.3">
      <c r="A2585" t="s">
        <v>30</v>
      </c>
      <c r="B2585">
        <v>2015</v>
      </c>
      <c r="C2585" t="s">
        <v>42</v>
      </c>
      <c r="D2585" s="2">
        <v>42248</v>
      </c>
      <c r="E2585" t="s">
        <v>27</v>
      </c>
      <c r="F2585">
        <v>113.7</v>
      </c>
      <c r="G2585" t="str">
        <f>VLOOKUP(Table1_2[[#This Row],[Categories]],Sheet3!$A$1:$B$27,2,FALSE)</f>
        <v>Household Items</v>
      </c>
    </row>
    <row r="2586" spans="1:7" x14ac:dyDescent="0.3">
      <c r="A2586" t="s">
        <v>30</v>
      </c>
      <c r="B2586">
        <v>2015</v>
      </c>
      <c r="C2586" t="s">
        <v>42</v>
      </c>
      <c r="D2586" s="2">
        <v>42248</v>
      </c>
      <c r="E2586" t="s">
        <v>28</v>
      </c>
      <c r="F2586">
        <v>118.8</v>
      </c>
      <c r="G2586" t="str">
        <f>VLOOKUP(Table1_2[[#This Row],[Categories]],Sheet3!$A$1:$B$27,2,FALSE)</f>
        <v>Miscellaneous</v>
      </c>
    </row>
    <row r="2587" spans="1:7" x14ac:dyDescent="0.3">
      <c r="A2587" t="s">
        <v>30</v>
      </c>
      <c r="B2587">
        <v>2015</v>
      </c>
      <c r="C2587" t="s">
        <v>42</v>
      </c>
      <c r="D2587" s="2">
        <v>42248</v>
      </c>
      <c r="E2587" t="s">
        <v>29</v>
      </c>
      <c r="F2587">
        <v>127</v>
      </c>
      <c r="G2587" t="str">
        <f>VLOOKUP(Table1_2[[#This Row],[Categories]],Sheet3!$A$1:$B$27,2,FALSE)</f>
        <v>General index</v>
      </c>
    </row>
    <row r="2588" spans="1:7" x14ac:dyDescent="0.3">
      <c r="A2588" t="s">
        <v>33</v>
      </c>
      <c r="B2588">
        <v>2015</v>
      </c>
      <c r="C2588" t="s">
        <v>42</v>
      </c>
      <c r="D2588" s="2">
        <v>42248</v>
      </c>
      <c r="E2588" t="s">
        <v>3</v>
      </c>
      <c r="F2588">
        <v>123.4</v>
      </c>
      <c r="G2588" t="str">
        <f>VLOOKUP(Table1_2[[#This Row],[Categories]],Sheet3!$A$1:$B$27,2,FALSE)</f>
        <v>Food &amp;Beverage</v>
      </c>
    </row>
    <row r="2589" spans="1:7" x14ac:dyDescent="0.3">
      <c r="A2589" t="s">
        <v>33</v>
      </c>
      <c r="B2589">
        <v>2015</v>
      </c>
      <c r="C2589" t="s">
        <v>42</v>
      </c>
      <c r="D2589" s="2">
        <v>42248</v>
      </c>
      <c r="E2589" t="s">
        <v>4</v>
      </c>
      <c r="F2589">
        <v>129</v>
      </c>
      <c r="G2589" t="str">
        <f>VLOOKUP(Table1_2[[#This Row],[Categories]],Sheet3!$A$1:$B$27,2,FALSE)</f>
        <v>Food &amp;Beverage</v>
      </c>
    </row>
    <row r="2590" spans="1:7" x14ac:dyDescent="0.3">
      <c r="A2590" t="s">
        <v>33</v>
      </c>
      <c r="B2590">
        <v>2015</v>
      </c>
      <c r="C2590" t="s">
        <v>42</v>
      </c>
      <c r="D2590" s="2">
        <v>42248</v>
      </c>
      <c r="E2590" t="s">
        <v>5</v>
      </c>
      <c r="F2590">
        <v>115.6</v>
      </c>
      <c r="G2590" t="str">
        <f>VLOOKUP(Table1_2[[#This Row],[Categories]],Sheet3!$A$1:$B$27,2,FALSE)</f>
        <v>Food &amp;Beverage</v>
      </c>
    </row>
    <row r="2591" spans="1:7" x14ac:dyDescent="0.3">
      <c r="A2591" t="s">
        <v>33</v>
      </c>
      <c r="B2591">
        <v>2015</v>
      </c>
      <c r="C2591" t="s">
        <v>42</v>
      </c>
      <c r="D2591" s="2">
        <v>42248</v>
      </c>
      <c r="E2591" t="s">
        <v>6</v>
      </c>
      <c r="F2591">
        <v>128.30000000000001</v>
      </c>
      <c r="G2591" t="str">
        <f>VLOOKUP(Table1_2[[#This Row],[Categories]],Sheet3!$A$1:$B$27,2,FALSE)</f>
        <v>Food &amp;Beverage</v>
      </c>
    </row>
    <row r="2592" spans="1:7" x14ac:dyDescent="0.3">
      <c r="A2592" t="s">
        <v>33</v>
      </c>
      <c r="B2592">
        <v>2015</v>
      </c>
      <c r="C2592" t="s">
        <v>42</v>
      </c>
      <c r="D2592" s="2">
        <v>42248</v>
      </c>
      <c r="E2592" t="s">
        <v>7</v>
      </c>
      <c r="F2592">
        <v>107</v>
      </c>
      <c r="G2592" t="str">
        <f>VLOOKUP(Table1_2[[#This Row],[Categories]],Sheet3!$A$1:$B$27,2,FALSE)</f>
        <v>Food &amp;Beverage</v>
      </c>
    </row>
    <row r="2593" spans="1:7" x14ac:dyDescent="0.3">
      <c r="A2593" t="s">
        <v>33</v>
      </c>
      <c r="B2593">
        <v>2015</v>
      </c>
      <c r="C2593" t="s">
        <v>42</v>
      </c>
      <c r="D2593" s="2">
        <v>42248</v>
      </c>
      <c r="E2593" t="s">
        <v>8</v>
      </c>
      <c r="F2593">
        <v>124</v>
      </c>
      <c r="G2593" t="str">
        <f>VLOOKUP(Table1_2[[#This Row],[Categories]],Sheet3!$A$1:$B$27,2,FALSE)</f>
        <v>Food &amp;Beverage</v>
      </c>
    </row>
    <row r="2594" spans="1:7" x14ac:dyDescent="0.3">
      <c r="A2594" t="s">
        <v>33</v>
      </c>
      <c r="B2594">
        <v>2015</v>
      </c>
      <c r="C2594" t="s">
        <v>42</v>
      </c>
      <c r="D2594" s="2">
        <v>42248</v>
      </c>
      <c r="E2594" t="s">
        <v>9</v>
      </c>
      <c r="F2594">
        <v>168.5</v>
      </c>
      <c r="G2594" t="str">
        <f>VLOOKUP(Table1_2[[#This Row],[Categories]],Sheet3!$A$1:$B$27,2,FALSE)</f>
        <v>Food &amp;Beverage</v>
      </c>
    </row>
    <row r="2595" spans="1:7" x14ac:dyDescent="0.3">
      <c r="A2595" t="s">
        <v>33</v>
      </c>
      <c r="B2595">
        <v>2015</v>
      </c>
      <c r="C2595" t="s">
        <v>42</v>
      </c>
      <c r="D2595" s="2">
        <v>42248</v>
      </c>
      <c r="E2595" t="s">
        <v>10</v>
      </c>
      <c r="F2595">
        <v>165.4</v>
      </c>
      <c r="G2595" t="str">
        <f>VLOOKUP(Table1_2[[#This Row],[Categories]],Sheet3!$A$1:$B$27,2,FALSE)</f>
        <v>Food &amp;Beverage</v>
      </c>
    </row>
    <row r="2596" spans="1:7" x14ac:dyDescent="0.3">
      <c r="A2596" t="s">
        <v>33</v>
      </c>
      <c r="B2596">
        <v>2015</v>
      </c>
      <c r="C2596" t="s">
        <v>42</v>
      </c>
      <c r="D2596" s="2">
        <v>42248</v>
      </c>
      <c r="E2596" t="s">
        <v>11</v>
      </c>
      <c r="F2596">
        <v>86.3</v>
      </c>
      <c r="G2596" t="str">
        <f>VLOOKUP(Table1_2[[#This Row],[Categories]],Sheet3!$A$1:$B$27,2,FALSE)</f>
        <v>Food &amp;Beverage</v>
      </c>
    </row>
    <row r="2597" spans="1:7" x14ac:dyDescent="0.3">
      <c r="A2597" t="s">
        <v>33</v>
      </c>
      <c r="B2597">
        <v>2015</v>
      </c>
      <c r="C2597" t="s">
        <v>42</v>
      </c>
      <c r="D2597" s="2">
        <v>42248</v>
      </c>
      <c r="E2597" t="s">
        <v>12</v>
      </c>
      <c r="F2597">
        <v>134.4</v>
      </c>
      <c r="G2597" t="str">
        <f>VLOOKUP(Table1_2[[#This Row],[Categories]],Sheet3!$A$1:$B$27,2,FALSE)</f>
        <v>Food &amp;Beverage</v>
      </c>
    </row>
    <row r="2598" spans="1:7" x14ac:dyDescent="0.3">
      <c r="A2598" t="s">
        <v>33</v>
      </c>
      <c r="B2598">
        <v>2015</v>
      </c>
      <c r="C2598" t="s">
        <v>42</v>
      </c>
      <c r="D2598" s="2">
        <v>42248</v>
      </c>
      <c r="E2598" t="s">
        <v>13</v>
      </c>
      <c r="F2598">
        <v>119.1</v>
      </c>
      <c r="G2598" t="str">
        <f>VLOOKUP(Table1_2[[#This Row],[Categories]],Sheet3!$A$1:$B$27,2,FALSE)</f>
        <v>Food &amp;Beverage</v>
      </c>
    </row>
    <row r="2599" spans="1:7" x14ac:dyDescent="0.3">
      <c r="A2599" t="s">
        <v>33</v>
      </c>
      <c r="B2599">
        <v>2015</v>
      </c>
      <c r="C2599" t="s">
        <v>42</v>
      </c>
      <c r="D2599" s="2">
        <v>42248</v>
      </c>
      <c r="E2599" t="s">
        <v>14</v>
      </c>
      <c r="F2599">
        <v>132.30000000000001</v>
      </c>
      <c r="G2599" t="str">
        <f>VLOOKUP(Table1_2[[#This Row],[Categories]],Sheet3!$A$1:$B$27,2,FALSE)</f>
        <v>Food &amp;Beverage</v>
      </c>
    </row>
    <row r="2600" spans="1:7" x14ac:dyDescent="0.3">
      <c r="A2600" t="s">
        <v>33</v>
      </c>
      <c r="B2600">
        <v>2015</v>
      </c>
      <c r="C2600" t="s">
        <v>42</v>
      </c>
      <c r="D2600" s="2">
        <v>42248</v>
      </c>
      <c r="E2600" t="s">
        <v>15</v>
      </c>
      <c r="F2600">
        <v>131.5</v>
      </c>
      <c r="G2600" t="str">
        <f>VLOOKUP(Table1_2[[#This Row],[Categories]],Sheet3!$A$1:$B$27,2,FALSE)</f>
        <v>Food &amp;Beverage</v>
      </c>
    </row>
    <row r="2601" spans="1:7" x14ac:dyDescent="0.3">
      <c r="A2601" t="s">
        <v>33</v>
      </c>
      <c r="B2601">
        <v>2015</v>
      </c>
      <c r="C2601" t="s">
        <v>42</v>
      </c>
      <c r="D2601" s="2">
        <v>42248</v>
      </c>
      <c r="E2601" t="s">
        <v>16</v>
      </c>
      <c r="F2601">
        <v>134.69999999999999</v>
      </c>
      <c r="G2601" t="str">
        <f>VLOOKUP(Table1_2[[#This Row],[Categories]],Sheet3!$A$1:$B$27,2,FALSE)</f>
        <v>Recreation and amusement</v>
      </c>
    </row>
    <row r="2602" spans="1:7" x14ac:dyDescent="0.3">
      <c r="A2602" t="s">
        <v>33</v>
      </c>
      <c r="B2602">
        <v>2015</v>
      </c>
      <c r="C2602" t="s">
        <v>42</v>
      </c>
      <c r="D2602" s="2">
        <v>42248</v>
      </c>
      <c r="E2602" t="s">
        <v>17</v>
      </c>
      <c r="F2602">
        <v>124</v>
      </c>
      <c r="G2602" t="str">
        <f>VLOOKUP(Table1_2[[#This Row],[Categories]],Sheet3!$A$1:$B$27,2,FALSE)</f>
        <v>Clothing and footwear</v>
      </c>
    </row>
    <row r="2603" spans="1:7" x14ac:dyDescent="0.3">
      <c r="A2603" t="s">
        <v>33</v>
      </c>
      <c r="B2603">
        <v>2015</v>
      </c>
      <c r="C2603" t="s">
        <v>42</v>
      </c>
      <c r="D2603" s="2">
        <v>42248</v>
      </c>
      <c r="E2603" t="s">
        <v>18</v>
      </c>
      <c r="F2603">
        <v>118.6</v>
      </c>
      <c r="G2603" t="str">
        <f>VLOOKUP(Table1_2[[#This Row],[Categories]],Sheet3!$A$1:$B$27,2,FALSE)</f>
        <v>Clothing and footwear</v>
      </c>
    </row>
    <row r="2604" spans="1:7" x14ac:dyDescent="0.3">
      <c r="A2604" t="s">
        <v>33</v>
      </c>
      <c r="B2604">
        <v>2015</v>
      </c>
      <c r="C2604" t="s">
        <v>42</v>
      </c>
      <c r="D2604" s="2">
        <v>42248</v>
      </c>
      <c r="E2604" t="s">
        <v>19</v>
      </c>
      <c r="F2604">
        <v>123.2</v>
      </c>
      <c r="G2604" t="str">
        <f>VLOOKUP(Table1_2[[#This Row],[Categories]],Sheet3!$A$1:$B$27,2,FALSE)</f>
        <v>Clothing and footwear</v>
      </c>
    </row>
    <row r="2605" spans="1:7" x14ac:dyDescent="0.3">
      <c r="A2605" t="s">
        <v>33</v>
      </c>
      <c r="B2605">
        <v>2015</v>
      </c>
      <c r="C2605" t="s">
        <v>42</v>
      </c>
      <c r="D2605" s="2">
        <v>42248</v>
      </c>
      <c r="E2605" t="s">
        <v>20</v>
      </c>
      <c r="F2605">
        <v>121.6</v>
      </c>
      <c r="G2605" t="str">
        <f>VLOOKUP(Table1_2[[#This Row],[Categories]],Sheet3!$A$1:$B$27,2,FALSE)</f>
        <v>Housing</v>
      </c>
    </row>
    <row r="2606" spans="1:7" x14ac:dyDescent="0.3">
      <c r="A2606" t="s">
        <v>33</v>
      </c>
      <c r="B2606">
        <v>2015</v>
      </c>
      <c r="C2606" t="s">
        <v>42</v>
      </c>
      <c r="D2606" s="2">
        <v>42248</v>
      </c>
      <c r="E2606" t="s">
        <v>21</v>
      </c>
      <c r="F2606">
        <v>115.1</v>
      </c>
      <c r="G2606" t="str">
        <f>VLOOKUP(Table1_2[[#This Row],[Categories]],Sheet3!$A$1:$B$27,2,FALSE)</f>
        <v>Fuel and light</v>
      </c>
    </row>
    <row r="2607" spans="1:7" x14ac:dyDescent="0.3">
      <c r="A2607" t="s">
        <v>33</v>
      </c>
      <c r="B2607">
        <v>2015</v>
      </c>
      <c r="C2607" t="s">
        <v>42</v>
      </c>
      <c r="D2607" s="2">
        <v>42248</v>
      </c>
      <c r="E2607" t="s">
        <v>22</v>
      </c>
      <c r="F2607">
        <v>120.4</v>
      </c>
      <c r="G2607" t="str">
        <f>VLOOKUP(Table1_2[[#This Row],[Categories]],Sheet3!$A$1:$B$27,2,FALSE)</f>
        <v>Household Items</v>
      </c>
    </row>
    <row r="2608" spans="1:7" x14ac:dyDescent="0.3">
      <c r="A2608" t="s">
        <v>33</v>
      </c>
      <c r="B2608">
        <v>2015</v>
      </c>
      <c r="C2608" t="s">
        <v>42</v>
      </c>
      <c r="D2608" s="2">
        <v>42248</v>
      </c>
      <c r="E2608" t="s">
        <v>23</v>
      </c>
      <c r="F2608">
        <v>117.1</v>
      </c>
      <c r="G2608" t="str">
        <f>VLOOKUP(Table1_2[[#This Row],[Categories]],Sheet3!$A$1:$B$27,2,FALSE)</f>
        <v>Health</v>
      </c>
    </row>
    <row r="2609" spans="1:7" x14ac:dyDescent="0.3">
      <c r="A2609" t="s">
        <v>33</v>
      </c>
      <c r="B2609">
        <v>2015</v>
      </c>
      <c r="C2609" t="s">
        <v>42</v>
      </c>
      <c r="D2609" s="2">
        <v>42248</v>
      </c>
      <c r="E2609" t="s">
        <v>24</v>
      </c>
      <c r="F2609">
        <v>109.1</v>
      </c>
      <c r="G2609" t="str">
        <f>VLOOKUP(Table1_2[[#This Row],[Categories]],Sheet3!$A$1:$B$27,2,FALSE)</f>
        <v>Transport and communication</v>
      </c>
    </row>
    <row r="2610" spans="1:7" x14ac:dyDescent="0.3">
      <c r="A2610" t="s">
        <v>33</v>
      </c>
      <c r="B2610">
        <v>2015</v>
      </c>
      <c r="C2610" t="s">
        <v>42</v>
      </c>
      <c r="D2610" s="2">
        <v>42248</v>
      </c>
      <c r="E2610" t="s">
        <v>25</v>
      </c>
      <c r="F2610">
        <v>117.3</v>
      </c>
      <c r="G2610" t="str">
        <f>VLOOKUP(Table1_2[[#This Row],[Categories]],Sheet3!$A$1:$B$27,2,FALSE)</f>
        <v>Recreation and amusement</v>
      </c>
    </row>
    <row r="2611" spans="1:7" x14ac:dyDescent="0.3">
      <c r="A2611" t="s">
        <v>33</v>
      </c>
      <c r="B2611">
        <v>2015</v>
      </c>
      <c r="C2611" t="s">
        <v>42</v>
      </c>
      <c r="D2611" s="2">
        <v>42248</v>
      </c>
      <c r="E2611" t="s">
        <v>26</v>
      </c>
      <c r="F2611">
        <v>126.5</v>
      </c>
      <c r="G2611" t="str">
        <f>VLOOKUP(Table1_2[[#This Row],[Categories]],Sheet3!$A$1:$B$27,2,FALSE)</f>
        <v>Education</v>
      </c>
    </row>
    <row r="2612" spans="1:7" x14ac:dyDescent="0.3">
      <c r="A2612" t="s">
        <v>33</v>
      </c>
      <c r="B2612">
        <v>2015</v>
      </c>
      <c r="C2612" t="s">
        <v>42</v>
      </c>
      <c r="D2612" s="2">
        <v>42248</v>
      </c>
      <c r="E2612" t="s">
        <v>27</v>
      </c>
      <c r="F2612">
        <v>112.9</v>
      </c>
      <c r="G2612" t="str">
        <f>VLOOKUP(Table1_2[[#This Row],[Categories]],Sheet3!$A$1:$B$27,2,FALSE)</f>
        <v>Household Items</v>
      </c>
    </row>
    <row r="2613" spans="1:7" x14ac:dyDescent="0.3">
      <c r="A2613" t="s">
        <v>33</v>
      </c>
      <c r="B2613">
        <v>2015</v>
      </c>
      <c r="C2613" t="s">
        <v>42</v>
      </c>
      <c r="D2613" s="2">
        <v>42248</v>
      </c>
      <c r="E2613" t="s">
        <v>28</v>
      </c>
      <c r="F2613">
        <v>116.2</v>
      </c>
      <c r="G2613" t="str">
        <f>VLOOKUP(Table1_2[[#This Row],[Categories]],Sheet3!$A$1:$B$27,2,FALSE)</f>
        <v>Miscellaneous</v>
      </c>
    </row>
    <row r="2614" spans="1:7" x14ac:dyDescent="0.3">
      <c r="A2614" t="s">
        <v>33</v>
      </c>
      <c r="B2614">
        <v>2015</v>
      </c>
      <c r="C2614" t="s">
        <v>42</v>
      </c>
      <c r="D2614" s="2">
        <v>42248</v>
      </c>
      <c r="E2614" t="s">
        <v>29</v>
      </c>
      <c r="F2614">
        <v>123.5</v>
      </c>
      <c r="G2614" t="str">
        <f>VLOOKUP(Table1_2[[#This Row],[Categories]],Sheet3!$A$1:$B$27,2,FALSE)</f>
        <v>General index</v>
      </c>
    </row>
    <row r="2615" spans="1:7" x14ac:dyDescent="0.3">
      <c r="A2615" t="s">
        <v>34</v>
      </c>
      <c r="B2615">
        <v>2015</v>
      </c>
      <c r="C2615" t="s">
        <v>42</v>
      </c>
      <c r="D2615" s="2">
        <v>42248</v>
      </c>
      <c r="E2615" t="s">
        <v>3</v>
      </c>
      <c r="F2615">
        <v>124.6</v>
      </c>
      <c r="G2615" t="str">
        <f>VLOOKUP(Table1_2[[#This Row],[Categories]],Sheet3!$A$1:$B$27,2,FALSE)</f>
        <v>Food &amp;Beverage</v>
      </c>
    </row>
    <row r="2616" spans="1:7" x14ac:dyDescent="0.3">
      <c r="A2616" t="s">
        <v>34</v>
      </c>
      <c r="B2616">
        <v>2015</v>
      </c>
      <c r="C2616" t="s">
        <v>42</v>
      </c>
      <c r="D2616" s="2">
        <v>42248</v>
      </c>
      <c r="E2616" t="s">
        <v>4</v>
      </c>
      <c r="F2616">
        <v>130.4</v>
      </c>
      <c r="G2616" t="str">
        <f>VLOOKUP(Table1_2[[#This Row],[Categories]],Sheet3!$A$1:$B$27,2,FALSE)</f>
        <v>Food &amp;Beverage</v>
      </c>
    </row>
    <row r="2617" spans="1:7" x14ac:dyDescent="0.3">
      <c r="A2617" t="s">
        <v>34</v>
      </c>
      <c r="B2617">
        <v>2015</v>
      </c>
      <c r="C2617" t="s">
        <v>42</v>
      </c>
      <c r="D2617" s="2">
        <v>42248</v>
      </c>
      <c r="E2617" t="s">
        <v>5</v>
      </c>
      <c r="F2617">
        <v>118.7</v>
      </c>
      <c r="G2617" t="str">
        <f>VLOOKUP(Table1_2[[#This Row],[Categories]],Sheet3!$A$1:$B$27,2,FALSE)</f>
        <v>Food &amp;Beverage</v>
      </c>
    </row>
    <row r="2618" spans="1:7" x14ac:dyDescent="0.3">
      <c r="A2618" t="s">
        <v>34</v>
      </c>
      <c r="B2618">
        <v>2015</v>
      </c>
      <c r="C2618" t="s">
        <v>42</v>
      </c>
      <c r="D2618" s="2">
        <v>42248</v>
      </c>
      <c r="E2618" t="s">
        <v>6</v>
      </c>
      <c r="F2618">
        <v>128.9</v>
      </c>
      <c r="G2618" t="str">
        <f>VLOOKUP(Table1_2[[#This Row],[Categories]],Sheet3!$A$1:$B$27,2,FALSE)</f>
        <v>Food &amp;Beverage</v>
      </c>
    </row>
    <row r="2619" spans="1:7" x14ac:dyDescent="0.3">
      <c r="A2619" t="s">
        <v>34</v>
      </c>
      <c r="B2619">
        <v>2015</v>
      </c>
      <c r="C2619" t="s">
        <v>42</v>
      </c>
      <c r="D2619" s="2">
        <v>42248</v>
      </c>
      <c r="E2619" t="s">
        <v>7</v>
      </c>
      <c r="F2619">
        <v>111.9</v>
      </c>
      <c r="G2619" t="str">
        <f>VLOOKUP(Table1_2[[#This Row],[Categories]],Sheet3!$A$1:$B$27,2,FALSE)</f>
        <v>Food &amp;Beverage</v>
      </c>
    </row>
    <row r="2620" spans="1:7" x14ac:dyDescent="0.3">
      <c r="A2620" t="s">
        <v>34</v>
      </c>
      <c r="B2620">
        <v>2015</v>
      </c>
      <c r="C2620" t="s">
        <v>42</v>
      </c>
      <c r="D2620" s="2">
        <v>42248</v>
      </c>
      <c r="E2620" t="s">
        <v>8</v>
      </c>
      <c r="F2620">
        <v>128.4</v>
      </c>
      <c r="G2620" t="str">
        <f>VLOOKUP(Table1_2[[#This Row],[Categories]],Sheet3!$A$1:$B$27,2,FALSE)</f>
        <v>Food &amp;Beverage</v>
      </c>
    </row>
    <row r="2621" spans="1:7" x14ac:dyDescent="0.3">
      <c r="A2621" t="s">
        <v>34</v>
      </c>
      <c r="B2621">
        <v>2015</v>
      </c>
      <c r="C2621" t="s">
        <v>42</v>
      </c>
      <c r="D2621" s="2">
        <v>42248</v>
      </c>
      <c r="E2621" t="s">
        <v>9</v>
      </c>
      <c r="F2621">
        <v>162.19999999999999</v>
      </c>
      <c r="G2621" t="str">
        <f>VLOOKUP(Table1_2[[#This Row],[Categories]],Sheet3!$A$1:$B$27,2,FALSE)</f>
        <v>Food &amp;Beverage</v>
      </c>
    </row>
    <row r="2622" spans="1:7" x14ac:dyDescent="0.3">
      <c r="A2622" t="s">
        <v>34</v>
      </c>
      <c r="B2622">
        <v>2015</v>
      </c>
      <c r="C2622" t="s">
        <v>42</v>
      </c>
      <c r="D2622" s="2">
        <v>42248</v>
      </c>
      <c r="E2622" t="s">
        <v>10</v>
      </c>
      <c r="F2622">
        <v>150</v>
      </c>
      <c r="G2622" t="str">
        <f>VLOOKUP(Table1_2[[#This Row],[Categories]],Sheet3!$A$1:$B$27,2,FALSE)</f>
        <v>Food &amp;Beverage</v>
      </c>
    </row>
    <row r="2623" spans="1:7" x14ac:dyDescent="0.3">
      <c r="A2623" t="s">
        <v>34</v>
      </c>
      <c r="B2623">
        <v>2015</v>
      </c>
      <c r="C2623" t="s">
        <v>42</v>
      </c>
      <c r="D2623" s="2">
        <v>42248</v>
      </c>
      <c r="E2623" t="s">
        <v>11</v>
      </c>
      <c r="F2623">
        <v>90.4</v>
      </c>
      <c r="G2623" t="str">
        <f>VLOOKUP(Table1_2[[#This Row],[Categories]],Sheet3!$A$1:$B$27,2,FALSE)</f>
        <v>Food &amp;Beverage</v>
      </c>
    </row>
    <row r="2624" spans="1:7" x14ac:dyDescent="0.3">
      <c r="A2624" t="s">
        <v>34</v>
      </c>
      <c r="B2624">
        <v>2015</v>
      </c>
      <c r="C2624" t="s">
        <v>42</v>
      </c>
      <c r="D2624" s="2">
        <v>42248</v>
      </c>
      <c r="E2624" t="s">
        <v>12</v>
      </c>
      <c r="F2624">
        <v>128.4</v>
      </c>
      <c r="G2624" t="str">
        <f>VLOOKUP(Table1_2[[#This Row],[Categories]],Sheet3!$A$1:$B$27,2,FALSE)</f>
        <v>Food &amp;Beverage</v>
      </c>
    </row>
    <row r="2625" spans="1:7" x14ac:dyDescent="0.3">
      <c r="A2625" t="s">
        <v>34</v>
      </c>
      <c r="B2625">
        <v>2015</v>
      </c>
      <c r="C2625" t="s">
        <v>42</v>
      </c>
      <c r="D2625" s="2">
        <v>42248</v>
      </c>
      <c r="E2625" t="s">
        <v>13</v>
      </c>
      <c r="F2625">
        <v>120.7</v>
      </c>
      <c r="G2625" t="str">
        <f>VLOOKUP(Table1_2[[#This Row],[Categories]],Sheet3!$A$1:$B$27,2,FALSE)</f>
        <v>Food &amp;Beverage</v>
      </c>
    </row>
    <row r="2626" spans="1:7" x14ac:dyDescent="0.3">
      <c r="A2626" t="s">
        <v>34</v>
      </c>
      <c r="B2626">
        <v>2015</v>
      </c>
      <c r="C2626" t="s">
        <v>42</v>
      </c>
      <c r="D2626" s="2">
        <v>42248</v>
      </c>
      <c r="E2626" t="s">
        <v>14</v>
      </c>
      <c r="F2626">
        <v>132.5</v>
      </c>
      <c r="G2626" t="str">
        <f>VLOOKUP(Table1_2[[#This Row],[Categories]],Sheet3!$A$1:$B$27,2,FALSE)</f>
        <v>Food &amp;Beverage</v>
      </c>
    </row>
    <row r="2627" spans="1:7" x14ac:dyDescent="0.3">
      <c r="A2627" t="s">
        <v>34</v>
      </c>
      <c r="B2627">
        <v>2015</v>
      </c>
      <c r="C2627" t="s">
        <v>42</v>
      </c>
      <c r="D2627" s="2">
        <v>42248</v>
      </c>
      <c r="E2627" t="s">
        <v>15</v>
      </c>
      <c r="F2627">
        <v>131.19999999999999</v>
      </c>
      <c r="G2627" t="str">
        <f>VLOOKUP(Table1_2[[#This Row],[Categories]],Sheet3!$A$1:$B$27,2,FALSE)</f>
        <v>Food &amp;Beverage</v>
      </c>
    </row>
    <row r="2628" spans="1:7" x14ac:dyDescent="0.3">
      <c r="A2628" t="s">
        <v>34</v>
      </c>
      <c r="B2628">
        <v>2015</v>
      </c>
      <c r="C2628" t="s">
        <v>42</v>
      </c>
      <c r="D2628" s="2">
        <v>42248</v>
      </c>
      <c r="E2628" t="s">
        <v>16</v>
      </c>
      <c r="F2628">
        <v>132</v>
      </c>
      <c r="G2628" t="str">
        <f>VLOOKUP(Table1_2[[#This Row],[Categories]],Sheet3!$A$1:$B$27,2,FALSE)</f>
        <v>Recreation and amusement</v>
      </c>
    </row>
    <row r="2629" spans="1:7" x14ac:dyDescent="0.3">
      <c r="A2629" t="s">
        <v>34</v>
      </c>
      <c r="B2629">
        <v>2015</v>
      </c>
      <c r="C2629" t="s">
        <v>42</v>
      </c>
      <c r="D2629" s="2">
        <v>42248</v>
      </c>
      <c r="E2629" t="s">
        <v>17</v>
      </c>
      <c r="F2629">
        <v>127.9</v>
      </c>
      <c r="G2629" t="str">
        <f>VLOOKUP(Table1_2[[#This Row],[Categories]],Sheet3!$A$1:$B$27,2,FALSE)</f>
        <v>Clothing and footwear</v>
      </c>
    </row>
    <row r="2630" spans="1:7" x14ac:dyDescent="0.3">
      <c r="A2630" t="s">
        <v>34</v>
      </c>
      <c r="B2630">
        <v>2015</v>
      </c>
      <c r="C2630" t="s">
        <v>42</v>
      </c>
      <c r="D2630" s="2">
        <v>42248</v>
      </c>
      <c r="E2630" t="s">
        <v>18</v>
      </c>
      <c r="F2630">
        <v>123.4</v>
      </c>
      <c r="G2630" t="str">
        <f>VLOOKUP(Table1_2[[#This Row],[Categories]],Sheet3!$A$1:$B$27,2,FALSE)</f>
        <v>Clothing and footwear</v>
      </c>
    </row>
    <row r="2631" spans="1:7" x14ac:dyDescent="0.3">
      <c r="A2631" t="s">
        <v>34</v>
      </c>
      <c r="B2631">
        <v>2015</v>
      </c>
      <c r="C2631" t="s">
        <v>42</v>
      </c>
      <c r="D2631" s="2">
        <v>42248</v>
      </c>
      <c r="E2631" t="s">
        <v>19</v>
      </c>
      <c r="F2631">
        <v>127.2</v>
      </c>
      <c r="G2631" t="str">
        <f>VLOOKUP(Table1_2[[#This Row],[Categories]],Sheet3!$A$1:$B$27,2,FALSE)</f>
        <v>Clothing and footwear</v>
      </c>
    </row>
    <row r="2632" spans="1:7" x14ac:dyDescent="0.3">
      <c r="A2632" t="s">
        <v>34</v>
      </c>
      <c r="B2632">
        <v>2015</v>
      </c>
      <c r="C2632" t="s">
        <v>42</v>
      </c>
      <c r="D2632" s="2">
        <v>42248</v>
      </c>
      <c r="E2632" t="s">
        <v>20</v>
      </c>
      <c r="F2632">
        <v>121.6</v>
      </c>
      <c r="G2632" t="str">
        <f>VLOOKUP(Table1_2[[#This Row],[Categories]],Sheet3!$A$1:$B$27,2,FALSE)</f>
        <v>Housing</v>
      </c>
    </row>
    <row r="2633" spans="1:7" x14ac:dyDescent="0.3">
      <c r="A2633" t="s">
        <v>34</v>
      </c>
      <c r="B2633">
        <v>2015</v>
      </c>
      <c r="C2633" t="s">
        <v>42</v>
      </c>
      <c r="D2633" s="2">
        <v>42248</v>
      </c>
      <c r="E2633" t="s">
        <v>21</v>
      </c>
      <c r="F2633">
        <v>120.4</v>
      </c>
      <c r="G2633" t="str">
        <f>VLOOKUP(Table1_2[[#This Row],[Categories]],Sheet3!$A$1:$B$27,2,FALSE)</f>
        <v>Fuel and light</v>
      </c>
    </row>
    <row r="2634" spans="1:7" x14ac:dyDescent="0.3">
      <c r="A2634" t="s">
        <v>34</v>
      </c>
      <c r="B2634">
        <v>2015</v>
      </c>
      <c r="C2634" t="s">
        <v>42</v>
      </c>
      <c r="D2634" s="2">
        <v>42248</v>
      </c>
      <c r="E2634" t="s">
        <v>22</v>
      </c>
      <c r="F2634">
        <v>122.6</v>
      </c>
      <c r="G2634" t="str">
        <f>VLOOKUP(Table1_2[[#This Row],[Categories]],Sheet3!$A$1:$B$27,2,FALSE)</f>
        <v>Household Items</v>
      </c>
    </row>
    <row r="2635" spans="1:7" x14ac:dyDescent="0.3">
      <c r="A2635" t="s">
        <v>34</v>
      </c>
      <c r="B2635">
        <v>2015</v>
      </c>
      <c r="C2635" t="s">
        <v>42</v>
      </c>
      <c r="D2635" s="2">
        <v>42248</v>
      </c>
      <c r="E2635" t="s">
        <v>23</v>
      </c>
      <c r="F2635">
        <v>119.8</v>
      </c>
      <c r="G2635" t="str">
        <f>VLOOKUP(Table1_2[[#This Row],[Categories]],Sheet3!$A$1:$B$27,2,FALSE)</f>
        <v>Health</v>
      </c>
    </row>
    <row r="2636" spans="1:7" x14ac:dyDescent="0.3">
      <c r="A2636" t="s">
        <v>34</v>
      </c>
      <c r="B2636">
        <v>2015</v>
      </c>
      <c r="C2636" t="s">
        <v>42</v>
      </c>
      <c r="D2636" s="2">
        <v>42248</v>
      </c>
      <c r="E2636" t="s">
        <v>24</v>
      </c>
      <c r="F2636">
        <v>111.3</v>
      </c>
      <c r="G2636" t="str">
        <f>VLOOKUP(Table1_2[[#This Row],[Categories]],Sheet3!$A$1:$B$27,2,FALSE)</f>
        <v>Transport and communication</v>
      </c>
    </row>
    <row r="2637" spans="1:7" x14ac:dyDescent="0.3">
      <c r="A2637" t="s">
        <v>34</v>
      </c>
      <c r="B2637">
        <v>2015</v>
      </c>
      <c r="C2637" t="s">
        <v>42</v>
      </c>
      <c r="D2637" s="2">
        <v>42248</v>
      </c>
      <c r="E2637" t="s">
        <v>25</v>
      </c>
      <c r="F2637">
        <v>118.3</v>
      </c>
      <c r="G2637" t="str">
        <f>VLOOKUP(Table1_2[[#This Row],[Categories]],Sheet3!$A$1:$B$27,2,FALSE)</f>
        <v>Recreation and amusement</v>
      </c>
    </row>
    <row r="2638" spans="1:7" x14ac:dyDescent="0.3">
      <c r="A2638" t="s">
        <v>34</v>
      </c>
      <c r="B2638">
        <v>2015</v>
      </c>
      <c r="C2638" t="s">
        <v>42</v>
      </c>
      <c r="D2638" s="2">
        <v>42248</v>
      </c>
      <c r="E2638" t="s">
        <v>26</v>
      </c>
      <c r="F2638">
        <v>125.7</v>
      </c>
      <c r="G2638" t="str">
        <f>VLOOKUP(Table1_2[[#This Row],[Categories]],Sheet3!$A$1:$B$27,2,FALSE)</f>
        <v>Education</v>
      </c>
    </row>
    <row r="2639" spans="1:7" x14ac:dyDescent="0.3">
      <c r="A2639" t="s">
        <v>34</v>
      </c>
      <c r="B2639">
        <v>2015</v>
      </c>
      <c r="C2639" t="s">
        <v>42</v>
      </c>
      <c r="D2639" s="2">
        <v>42248</v>
      </c>
      <c r="E2639" t="s">
        <v>27</v>
      </c>
      <c r="F2639">
        <v>113.4</v>
      </c>
      <c r="G2639" t="str">
        <f>VLOOKUP(Table1_2[[#This Row],[Categories]],Sheet3!$A$1:$B$27,2,FALSE)</f>
        <v>Household Items</v>
      </c>
    </row>
    <row r="2640" spans="1:7" x14ac:dyDescent="0.3">
      <c r="A2640" t="s">
        <v>34</v>
      </c>
      <c r="B2640">
        <v>2015</v>
      </c>
      <c r="C2640" t="s">
        <v>42</v>
      </c>
      <c r="D2640" s="2">
        <v>42248</v>
      </c>
      <c r="E2640" t="s">
        <v>28</v>
      </c>
      <c r="F2640">
        <v>117.5</v>
      </c>
      <c r="G2640" t="str">
        <f>VLOOKUP(Table1_2[[#This Row],[Categories]],Sheet3!$A$1:$B$27,2,FALSE)</f>
        <v>Miscellaneous</v>
      </c>
    </row>
    <row r="2641" spans="1:7" x14ac:dyDescent="0.3">
      <c r="A2641" t="s">
        <v>34</v>
      </c>
      <c r="B2641">
        <v>2015</v>
      </c>
      <c r="C2641" t="s">
        <v>42</v>
      </c>
      <c r="D2641" s="2">
        <v>42248</v>
      </c>
      <c r="E2641" t="s">
        <v>29</v>
      </c>
      <c r="F2641">
        <v>125.4</v>
      </c>
      <c r="G2641" t="str">
        <f>VLOOKUP(Table1_2[[#This Row],[Categories]],Sheet3!$A$1:$B$27,2,FALSE)</f>
        <v>General index</v>
      </c>
    </row>
    <row r="2642" spans="1:7" x14ac:dyDescent="0.3">
      <c r="A2642" t="s">
        <v>30</v>
      </c>
      <c r="B2642">
        <v>2015</v>
      </c>
      <c r="C2642" t="s">
        <v>43</v>
      </c>
      <c r="D2642" s="2">
        <v>42278</v>
      </c>
      <c r="E2642" t="s">
        <v>3</v>
      </c>
      <c r="F2642">
        <v>125.6</v>
      </c>
      <c r="G2642" t="str">
        <f>VLOOKUP(Table1_2[[#This Row],[Categories]],Sheet3!$A$1:$B$27,2,FALSE)</f>
        <v>Food &amp;Beverage</v>
      </c>
    </row>
    <row r="2643" spans="1:7" x14ac:dyDescent="0.3">
      <c r="A2643" t="s">
        <v>30</v>
      </c>
      <c r="B2643">
        <v>2015</v>
      </c>
      <c r="C2643" t="s">
        <v>43</v>
      </c>
      <c r="D2643" s="2">
        <v>42278</v>
      </c>
      <c r="E2643" t="s">
        <v>4</v>
      </c>
      <c r="F2643">
        <v>130.4</v>
      </c>
      <c r="G2643" t="str">
        <f>VLOOKUP(Table1_2[[#This Row],[Categories]],Sheet3!$A$1:$B$27,2,FALSE)</f>
        <v>Food &amp;Beverage</v>
      </c>
    </row>
    <row r="2644" spans="1:7" x14ac:dyDescent="0.3">
      <c r="A2644" t="s">
        <v>30</v>
      </c>
      <c r="B2644">
        <v>2015</v>
      </c>
      <c r="C2644" t="s">
        <v>43</v>
      </c>
      <c r="D2644" s="2">
        <v>42278</v>
      </c>
      <c r="E2644" t="s">
        <v>5</v>
      </c>
      <c r="F2644">
        <v>120.8</v>
      </c>
      <c r="G2644" t="str">
        <f>VLOOKUP(Table1_2[[#This Row],[Categories]],Sheet3!$A$1:$B$27,2,FALSE)</f>
        <v>Food &amp;Beverage</v>
      </c>
    </row>
    <row r="2645" spans="1:7" x14ac:dyDescent="0.3">
      <c r="A2645" t="s">
        <v>30</v>
      </c>
      <c r="B2645">
        <v>2015</v>
      </c>
      <c r="C2645" t="s">
        <v>43</v>
      </c>
      <c r="D2645" s="2">
        <v>42278</v>
      </c>
      <c r="E2645" t="s">
        <v>6</v>
      </c>
      <c r="F2645">
        <v>129.4</v>
      </c>
      <c r="G2645" t="str">
        <f>VLOOKUP(Table1_2[[#This Row],[Categories]],Sheet3!$A$1:$B$27,2,FALSE)</f>
        <v>Food &amp;Beverage</v>
      </c>
    </row>
    <row r="2646" spans="1:7" x14ac:dyDescent="0.3">
      <c r="A2646" t="s">
        <v>30</v>
      </c>
      <c r="B2646">
        <v>2015</v>
      </c>
      <c r="C2646" t="s">
        <v>43</v>
      </c>
      <c r="D2646" s="2">
        <v>42278</v>
      </c>
      <c r="E2646" t="s">
        <v>7</v>
      </c>
      <c r="F2646">
        <v>115.8</v>
      </c>
      <c r="G2646" t="str">
        <f>VLOOKUP(Table1_2[[#This Row],[Categories]],Sheet3!$A$1:$B$27,2,FALSE)</f>
        <v>Food &amp;Beverage</v>
      </c>
    </row>
    <row r="2647" spans="1:7" x14ac:dyDescent="0.3">
      <c r="A2647" t="s">
        <v>30</v>
      </c>
      <c r="B2647">
        <v>2015</v>
      </c>
      <c r="C2647" t="s">
        <v>43</v>
      </c>
      <c r="D2647" s="2">
        <v>42278</v>
      </c>
      <c r="E2647" t="s">
        <v>8</v>
      </c>
      <c r="F2647">
        <v>133.19999999999999</v>
      </c>
      <c r="G2647" t="str">
        <f>VLOOKUP(Table1_2[[#This Row],[Categories]],Sheet3!$A$1:$B$27,2,FALSE)</f>
        <v>Food &amp;Beverage</v>
      </c>
    </row>
    <row r="2648" spans="1:7" x14ac:dyDescent="0.3">
      <c r="A2648" t="s">
        <v>30</v>
      </c>
      <c r="B2648">
        <v>2015</v>
      </c>
      <c r="C2648" t="s">
        <v>43</v>
      </c>
      <c r="D2648" s="2">
        <v>42278</v>
      </c>
      <c r="E2648" t="s">
        <v>9</v>
      </c>
      <c r="F2648">
        <v>157.69999999999999</v>
      </c>
      <c r="G2648" t="str">
        <f>VLOOKUP(Table1_2[[#This Row],[Categories]],Sheet3!$A$1:$B$27,2,FALSE)</f>
        <v>Food &amp;Beverage</v>
      </c>
    </row>
    <row r="2649" spans="1:7" x14ac:dyDescent="0.3">
      <c r="A2649" t="s">
        <v>30</v>
      </c>
      <c r="B2649">
        <v>2015</v>
      </c>
      <c r="C2649" t="s">
        <v>43</v>
      </c>
      <c r="D2649" s="2">
        <v>42278</v>
      </c>
      <c r="E2649" t="s">
        <v>10</v>
      </c>
      <c r="F2649">
        <v>154.19999999999999</v>
      </c>
      <c r="G2649" t="str">
        <f>VLOOKUP(Table1_2[[#This Row],[Categories]],Sheet3!$A$1:$B$27,2,FALSE)</f>
        <v>Food &amp;Beverage</v>
      </c>
    </row>
    <row r="2650" spans="1:7" x14ac:dyDescent="0.3">
      <c r="A2650" t="s">
        <v>30</v>
      </c>
      <c r="B2650">
        <v>2015</v>
      </c>
      <c r="C2650" t="s">
        <v>43</v>
      </c>
      <c r="D2650" s="2">
        <v>42278</v>
      </c>
      <c r="E2650" t="s">
        <v>11</v>
      </c>
      <c r="F2650">
        <v>93.7</v>
      </c>
      <c r="G2650" t="str">
        <f>VLOOKUP(Table1_2[[#This Row],[Categories]],Sheet3!$A$1:$B$27,2,FALSE)</f>
        <v>Food &amp;Beverage</v>
      </c>
    </row>
    <row r="2651" spans="1:7" x14ac:dyDescent="0.3">
      <c r="A2651" t="s">
        <v>30</v>
      </c>
      <c r="B2651">
        <v>2015</v>
      </c>
      <c r="C2651" t="s">
        <v>43</v>
      </c>
      <c r="D2651" s="2">
        <v>42278</v>
      </c>
      <c r="E2651" t="s">
        <v>12</v>
      </c>
      <c r="F2651">
        <v>126.6</v>
      </c>
      <c r="G2651" t="str">
        <f>VLOOKUP(Table1_2[[#This Row],[Categories]],Sheet3!$A$1:$B$27,2,FALSE)</f>
        <v>Food &amp;Beverage</v>
      </c>
    </row>
    <row r="2652" spans="1:7" x14ac:dyDescent="0.3">
      <c r="A2652" t="s">
        <v>30</v>
      </c>
      <c r="B2652">
        <v>2015</v>
      </c>
      <c r="C2652" t="s">
        <v>43</v>
      </c>
      <c r="D2652" s="2">
        <v>42278</v>
      </c>
      <c r="E2652" t="s">
        <v>13</v>
      </c>
      <c r="F2652">
        <v>122.3</v>
      </c>
      <c r="G2652" t="str">
        <f>VLOOKUP(Table1_2[[#This Row],[Categories]],Sheet3!$A$1:$B$27,2,FALSE)</f>
        <v>Food &amp;Beverage</v>
      </c>
    </row>
    <row r="2653" spans="1:7" x14ac:dyDescent="0.3">
      <c r="A2653" t="s">
        <v>30</v>
      </c>
      <c r="B2653">
        <v>2015</v>
      </c>
      <c r="C2653" t="s">
        <v>43</v>
      </c>
      <c r="D2653" s="2">
        <v>42278</v>
      </c>
      <c r="E2653" t="s">
        <v>14</v>
      </c>
      <c r="F2653">
        <v>133.1</v>
      </c>
      <c r="G2653" t="str">
        <f>VLOOKUP(Table1_2[[#This Row],[Categories]],Sheet3!$A$1:$B$27,2,FALSE)</f>
        <v>Food &amp;Beverage</v>
      </c>
    </row>
    <row r="2654" spans="1:7" x14ac:dyDescent="0.3">
      <c r="A2654" t="s">
        <v>30</v>
      </c>
      <c r="B2654">
        <v>2015</v>
      </c>
      <c r="C2654" t="s">
        <v>43</v>
      </c>
      <c r="D2654" s="2">
        <v>42278</v>
      </c>
      <c r="E2654" t="s">
        <v>15</v>
      </c>
      <c r="F2654">
        <v>131.80000000000001</v>
      </c>
      <c r="G2654" t="str">
        <f>VLOOKUP(Table1_2[[#This Row],[Categories]],Sheet3!$A$1:$B$27,2,FALSE)</f>
        <v>Food &amp;Beverage</v>
      </c>
    </row>
    <row r="2655" spans="1:7" x14ac:dyDescent="0.3">
      <c r="A2655" t="s">
        <v>30</v>
      </c>
      <c r="B2655">
        <v>2015</v>
      </c>
      <c r="C2655" t="s">
        <v>43</v>
      </c>
      <c r="D2655" s="2">
        <v>42278</v>
      </c>
      <c r="E2655" t="s">
        <v>16</v>
      </c>
      <c r="F2655">
        <v>131.5</v>
      </c>
      <c r="G2655" t="str">
        <f>VLOOKUP(Table1_2[[#This Row],[Categories]],Sheet3!$A$1:$B$27,2,FALSE)</f>
        <v>Recreation and amusement</v>
      </c>
    </row>
    <row r="2656" spans="1:7" x14ac:dyDescent="0.3">
      <c r="A2656" t="s">
        <v>30</v>
      </c>
      <c r="B2656">
        <v>2015</v>
      </c>
      <c r="C2656" t="s">
        <v>43</v>
      </c>
      <c r="D2656" s="2">
        <v>42278</v>
      </c>
      <c r="E2656" t="s">
        <v>17</v>
      </c>
      <c r="F2656">
        <v>131.1</v>
      </c>
      <c r="G2656" t="str">
        <f>VLOOKUP(Table1_2[[#This Row],[Categories]],Sheet3!$A$1:$B$27,2,FALSE)</f>
        <v>Clothing and footwear</v>
      </c>
    </row>
    <row r="2657" spans="1:7" x14ac:dyDescent="0.3">
      <c r="A2657" t="s">
        <v>30</v>
      </c>
      <c r="B2657">
        <v>2015</v>
      </c>
      <c r="C2657" t="s">
        <v>43</v>
      </c>
      <c r="D2657" s="2">
        <v>42278</v>
      </c>
      <c r="E2657" t="s">
        <v>18</v>
      </c>
      <c r="F2657">
        <v>127.3</v>
      </c>
      <c r="G2657" t="str">
        <f>VLOOKUP(Table1_2[[#This Row],[Categories]],Sheet3!$A$1:$B$27,2,FALSE)</f>
        <v>Clothing and footwear</v>
      </c>
    </row>
    <row r="2658" spans="1:7" x14ac:dyDescent="0.3">
      <c r="A2658" t="s">
        <v>30</v>
      </c>
      <c r="B2658">
        <v>2015</v>
      </c>
      <c r="C2658" t="s">
        <v>43</v>
      </c>
      <c r="D2658" s="2">
        <v>42278</v>
      </c>
      <c r="E2658" t="s">
        <v>19</v>
      </c>
      <c r="F2658">
        <v>130.6</v>
      </c>
      <c r="G2658" t="str">
        <f>VLOOKUP(Table1_2[[#This Row],[Categories]],Sheet3!$A$1:$B$27,2,FALSE)</f>
        <v>Clothing and footwear</v>
      </c>
    </row>
    <row r="2659" spans="1:7" x14ac:dyDescent="0.3">
      <c r="A2659" t="s">
        <v>30</v>
      </c>
      <c r="B2659">
        <v>2015</v>
      </c>
      <c r="C2659" t="s">
        <v>43</v>
      </c>
      <c r="D2659" s="2">
        <v>42278</v>
      </c>
      <c r="E2659" t="s">
        <v>21</v>
      </c>
      <c r="F2659">
        <v>124.4</v>
      </c>
      <c r="G2659" t="str">
        <f>VLOOKUP(Table1_2[[#This Row],[Categories]],Sheet3!$A$1:$B$27,2,FALSE)</f>
        <v>Fuel and light</v>
      </c>
    </row>
    <row r="2660" spans="1:7" x14ac:dyDescent="0.3">
      <c r="A2660" t="s">
        <v>30</v>
      </c>
      <c r="B2660">
        <v>2015</v>
      </c>
      <c r="C2660" t="s">
        <v>43</v>
      </c>
      <c r="D2660" s="2">
        <v>42278</v>
      </c>
      <c r="E2660" t="s">
        <v>22</v>
      </c>
      <c r="F2660">
        <v>125.1</v>
      </c>
      <c r="G2660" t="str">
        <f>VLOOKUP(Table1_2[[#This Row],[Categories]],Sheet3!$A$1:$B$27,2,FALSE)</f>
        <v>Household Items</v>
      </c>
    </row>
    <row r="2661" spans="1:7" x14ac:dyDescent="0.3">
      <c r="A2661" t="s">
        <v>30</v>
      </c>
      <c r="B2661">
        <v>2015</v>
      </c>
      <c r="C2661" t="s">
        <v>43</v>
      </c>
      <c r="D2661" s="2">
        <v>42278</v>
      </c>
      <c r="E2661" t="s">
        <v>23</v>
      </c>
      <c r="F2661">
        <v>122</v>
      </c>
      <c r="G2661" t="str">
        <f>VLOOKUP(Table1_2[[#This Row],[Categories]],Sheet3!$A$1:$B$27,2,FALSE)</f>
        <v>Health</v>
      </c>
    </row>
    <row r="2662" spans="1:7" x14ac:dyDescent="0.3">
      <c r="A2662" t="s">
        <v>30</v>
      </c>
      <c r="B2662">
        <v>2015</v>
      </c>
      <c r="C2662" t="s">
        <v>43</v>
      </c>
      <c r="D2662" s="2">
        <v>42278</v>
      </c>
      <c r="E2662" t="s">
        <v>24</v>
      </c>
      <c r="F2662">
        <v>113.8</v>
      </c>
      <c r="G2662" t="str">
        <f>VLOOKUP(Table1_2[[#This Row],[Categories]],Sheet3!$A$1:$B$27,2,FALSE)</f>
        <v>Transport and communication</v>
      </c>
    </row>
    <row r="2663" spans="1:7" x14ac:dyDescent="0.3">
      <c r="A2663" t="s">
        <v>30</v>
      </c>
      <c r="B2663">
        <v>2015</v>
      </c>
      <c r="C2663" t="s">
        <v>43</v>
      </c>
      <c r="D2663" s="2">
        <v>42278</v>
      </c>
      <c r="E2663" t="s">
        <v>25</v>
      </c>
      <c r="F2663">
        <v>120.1</v>
      </c>
      <c r="G2663" t="str">
        <f>VLOOKUP(Table1_2[[#This Row],[Categories]],Sheet3!$A$1:$B$27,2,FALSE)</f>
        <v>Recreation and amusement</v>
      </c>
    </row>
    <row r="2664" spans="1:7" x14ac:dyDescent="0.3">
      <c r="A2664" t="s">
        <v>30</v>
      </c>
      <c r="B2664">
        <v>2015</v>
      </c>
      <c r="C2664" t="s">
        <v>43</v>
      </c>
      <c r="D2664" s="2">
        <v>42278</v>
      </c>
      <c r="E2664" t="s">
        <v>26</v>
      </c>
      <c r="F2664">
        <v>125.1</v>
      </c>
      <c r="G2664" t="str">
        <f>VLOOKUP(Table1_2[[#This Row],[Categories]],Sheet3!$A$1:$B$27,2,FALSE)</f>
        <v>Education</v>
      </c>
    </row>
    <row r="2665" spans="1:7" x14ac:dyDescent="0.3">
      <c r="A2665" t="s">
        <v>30</v>
      </c>
      <c r="B2665">
        <v>2015</v>
      </c>
      <c r="C2665" t="s">
        <v>43</v>
      </c>
      <c r="D2665" s="2">
        <v>42278</v>
      </c>
      <c r="E2665" t="s">
        <v>27</v>
      </c>
      <c r="F2665">
        <v>114.2</v>
      </c>
      <c r="G2665" t="str">
        <f>VLOOKUP(Table1_2[[#This Row],[Categories]],Sheet3!$A$1:$B$27,2,FALSE)</f>
        <v>Household Items</v>
      </c>
    </row>
    <row r="2666" spans="1:7" x14ac:dyDescent="0.3">
      <c r="A2666" t="s">
        <v>30</v>
      </c>
      <c r="B2666">
        <v>2015</v>
      </c>
      <c r="C2666" t="s">
        <v>43</v>
      </c>
      <c r="D2666" s="2">
        <v>42278</v>
      </c>
      <c r="E2666" t="s">
        <v>28</v>
      </c>
      <c r="F2666">
        <v>119.2</v>
      </c>
      <c r="G2666" t="str">
        <f>VLOOKUP(Table1_2[[#This Row],[Categories]],Sheet3!$A$1:$B$27,2,FALSE)</f>
        <v>Miscellaneous</v>
      </c>
    </row>
    <row r="2667" spans="1:7" x14ac:dyDescent="0.3">
      <c r="A2667" t="s">
        <v>30</v>
      </c>
      <c r="B2667">
        <v>2015</v>
      </c>
      <c r="C2667" t="s">
        <v>43</v>
      </c>
      <c r="D2667" s="2">
        <v>42278</v>
      </c>
      <c r="E2667" t="s">
        <v>29</v>
      </c>
      <c r="F2667">
        <v>127.7</v>
      </c>
      <c r="G2667" t="str">
        <f>VLOOKUP(Table1_2[[#This Row],[Categories]],Sheet3!$A$1:$B$27,2,FALSE)</f>
        <v>General index</v>
      </c>
    </row>
    <row r="2668" spans="1:7" x14ac:dyDescent="0.3">
      <c r="A2668" t="s">
        <v>33</v>
      </c>
      <c r="B2668">
        <v>2015</v>
      </c>
      <c r="C2668" t="s">
        <v>43</v>
      </c>
      <c r="D2668" s="2">
        <v>42278</v>
      </c>
      <c r="E2668" t="s">
        <v>3</v>
      </c>
      <c r="F2668">
        <v>123.6</v>
      </c>
      <c r="G2668" t="str">
        <f>VLOOKUP(Table1_2[[#This Row],[Categories]],Sheet3!$A$1:$B$27,2,FALSE)</f>
        <v>Food &amp;Beverage</v>
      </c>
    </row>
    <row r="2669" spans="1:7" x14ac:dyDescent="0.3">
      <c r="A2669" t="s">
        <v>33</v>
      </c>
      <c r="B2669">
        <v>2015</v>
      </c>
      <c r="C2669" t="s">
        <v>43</v>
      </c>
      <c r="D2669" s="2">
        <v>42278</v>
      </c>
      <c r="E2669" t="s">
        <v>4</v>
      </c>
      <c r="F2669">
        <v>128.6</v>
      </c>
      <c r="G2669" t="str">
        <f>VLOOKUP(Table1_2[[#This Row],[Categories]],Sheet3!$A$1:$B$27,2,FALSE)</f>
        <v>Food &amp;Beverage</v>
      </c>
    </row>
    <row r="2670" spans="1:7" x14ac:dyDescent="0.3">
      <c r="A2670" t="s">
        <v>33</v>
      </c>
      <c r="B2670">
        <v>2015</v>
      </c>
      <c r="C2670" t="s">
        <v>43</v>
      </c>
      <c r="D2670" s="2">
        <v>42278</v>
      </c>
      <c r="E2670" t="s">
        <v>5</v>
      </c>
      <c r="F2670">
        <v>115.9</v>
      </c>
      <c r="G2670" t="str">
        <f>VLOOKUP(Table1_2[[#This Row],[Categories]],Sheet3!$A$1:$B$27,2,FALSE)</f>
        <v>Food &amp;Beverage</v>
      </c>
    </row>
    <row r="2671" spans="1:7" x14ac:dyDescent="0.3">
      <c r="A2671" t="s">
        <v>33</v>
      </c>
      <c r="B2671">
        <v>2015</v>
      </c>
      <c r="C2671" t="s">
        <v>43</v>
      </c>
      <c r="D2671" s="2">
        <v>42278</v>
      </c>
      <c r="E2671" t="s">
        <v>6</v>
      </c>
      <c r="F2671">
        <v>128.5</v>
      </c>
      <c r="G2671" t="str">
        <f>VLOOKUP(Table1_2[[#This Row],[Categories]],Sheet3!$A$1:$B$27,2,FALSE)</f>
        <v>Food &amp;Beverage</v>
      </c>
    </row>
    <row r="2672" spans="1:7" x14ac:dyDescent="0.3">
      <c r="A2672" t="s">
        <v>33</v>
      </c>
      <c r="B2672">
        <v>2015</v>
      </c>
      <c r="C2672" t="s">
        <v>43</v>
      </c>
      <c r="D2672" s="2">
        <v>42278</v>
      </c>
      <c r="E2672" t="s">
        <v>7</v>
      </c>
      <c r="F2672">
        <v>109</v>
      </c>
      <c r="G2672" t="str">
        <f>VLOOKUP(Table1_2[[#This Row],[Categories]],Sheet3!$A$1:$B$27,2,FALSE)</f>
        <v>Food &amp;Beverage</v>
      </c>
    </row>
    <row r="2673" spans="1:7" x14ac:dyDescent="0.3">
      <c r="A2673" t="s">
        <v>33</v>
      </c>
      <c r="B2673">
        <v>2015</v>
      </c>
      <c r="C2673" t="s">
        <v>43</v>
      </c>
      <c r="D2673" s="2">
        <v>42278</v>
      </c>
      <c r="E2673" t="s">
        <v>8</v>
      </c>
      <c r="F2673">
        <v>124.1</v>
      </c>
      <c r="G2673" t="str">
        <f>VLOOKUP(Table1_2[[#This Row],[Categories]],Sheet3!$A$1:$B$27,2,FALSE)</f>
        <v>Food &amp;Beverage</v>
      </c>
    </row>
    <row r="2674" spans="1:7" x14ac:dyDescent="0.3">
      <c r="A2674" t="s">
        <v>33</v>
      </c>
      <c r="B2674">
        <v>2015</v>
      </c>
      <c r="C2674" t="s">
        <v>43</v>
      </c>
      <c r="D2674" s="2">
        <v>42278</v>
      </c>
      <c r="E2674" t="s">
        <v>9</v>
      </c>
      <c r="F2674">
        <v>165.8</v>
      </c>
      <c r="G2674" t="str">
        <f>VLOOKUP(Table1_2[[#This Row],[Categories]],Sheet3!$A$1:$B$27,2,FALSE)</f>
        <v>Food &amp;Beverage</v>
      </c>
    </row>
    <row r="2675" spans="1:7" x14ac:dyDescent="0.3">
      <c r="A2675" t="s">
        <v>33</v>
      </c>
      <c r="B2675">
        <v>2015</v>
      </c>
      <c r="C2675" t="s">
        <v>43</v>
      </c>
      <c r="D2675" s="2">
        <v>42278</v>
      </c>
      <c r="E2675" t="s">
        <v>10</v>
      </c>
      <c r="F2675">
        <v>187.2</v>
      </c>
      <c r="G2675" t="str">
        <f>VLOOKUP(Table1_2[[#This Row],[Categories]],Sheet3!$A$1:$B$27,2,FALSE)</f>
        <v>Food &amp;Beverage</v>
      </c>
    </row>
    <row r="2676" spans="1:7" x14ac:dyDescent="0.3">
      <c r="A2676" t="s">
        <v>33</v>
      </c>
      <c r="B2676">
        <v>2015</v>
      </c>
      <c r="C2676" t="s">
        <v>43</v>
      </c>
      <c r="D2676" s="2">
        <v>42278</v>
      </c>
      <c r="E2676" t="s">
        <v>11</v>
      </c>
      <c r="F2676">
        <v>89.4</v>
      </c>
      <c r="G2676" t="str">
        <f>VLOOKUP(Table1_2[[#This Row],[Categories]],Sheet3!$A$1:$B$27,2,FALSE)</f>
        <v>Food &amp;Beverage</v>
      </c>
    </row>
    <row r="2677" spans="1:7" x14ac:dyDescent="0.3">
      <c r="A2677" t="s">
        <v>33</v>
      </c>
      <c r="B2677">
        <v>2015</v>
      </c>
      <c r="C2677" t="s">
        <v>43</v>
      </c>
      <c r="D2677" s="2">
        <v>42278</v>
      </c>
      <c r="E2677" t="s">
        <v>12</v>
      </c>
      <c r="F2677">
        <v>135.80000000000001</v>
      </c>
      <c r="G2677" t="str">
        <f>VLOOKUP(Table1_2[[#This Row],[Categories]],Sheet3!$A$1:$B$27,2,FALSE)</f>
        <v>Food &amp;Beverage</v>
      </c>
    </row>
    <row r="2678" spans="1:7" x14ac:dyDescent="0.3">
      <c r="A2678" t="s">
        <v>33</v>
      </c>
      <c r="B2678">
        <v>2015</v>
      </c>
      <c r="C2678" t="s">
        <v>43</v>
      </c>
      <c r="D2678" s="2">
        <v>42278</v>
      </c>
      <c r="E2678" t="s">
        <v>13</v>
      </c>
      <c r="F2678">
        <v>119.4</v>
      </c>
      <c r="G2678" t="str">
        <f>VLOOKUP(Table1_2[[#This Row],[Categories]],Sheet3!$A$1:$B$27,2,FALSE)</f>
        <v>Food &amp;Beverage</v>
      </c>
    </row>
    <row r="2679" spans="1:7" x14ac:dyDescent="0.3">
      <c r="A2679" t="s">
        <v>33</v>
      </c>
      <c r="B2679">
        <v>2015</v>
      </c>
      <c r="C2679" t="s">
        <v>43</v>
      </c>
      <c r="D2679" s="2">
        <v>42278</v>
      </c>
      <c r="E2679" t="s">
        <v>14</v>
      </c>
      <c r="F2679">
        <v>132.9</v>
      </c>
      <c r="G2679" t="str">
        <f>VLOOKUP(Table1_2[[#This Row],[Categories]],Sheet3!$A$1:$B$27,2,FALSE)</f>
        <v>Food &amp;Beverage</v>
      </c>
    </row>
    <row r="2680" spans="1:7" x14ac:dyDescent="0.3">
      <c r="A2680" t="s">
        <v>33</v>
      </c>
      <c r="B2680">
        <v>2015</v>
      </c>
      <c r="C2680" t="s">
        <v>43</v>
      </c>
      <c r="D2680" s="2">
        <v>42278</v>
      </c>
      <c r="E2680" t="s">
        <v>15</v>
      </c>
      <c r="F2680">
        <v>132.6</v>
      </c>
      <c r="G2680" t="str">
        <f>VLOOKUP(Table1_2[[#This Row],[Categories]],Sheet3!$A$1:$B$27,2,FALSE)</f>
        <v>Food &amp;Beverage</v>
      </c>
    </row>
    <row r="2681" spans="1:7" x14ac:dyDescent="0.3">
      <c r="A2681" t="s">
        <v>33</v>
      </c>
      <c r="B2681">
        <v>2015</v>
      </c>
      <c r="C2681" t="s">
        <v>43</v>
      </c>
      <c r="D2681" s="2">
        <v>42278</v>
      </c>
      <c r="E2681" t="s">
        <v>16</v>
      </c>
      <c r="F2681">
        <v>135.30000000000001</v>
      </c>
      <c r="G2681" t="str">
        <f>VLOOKUP(Table1_2[[#This Row],[Categories]],Sheet3!$A$1:$B$27,2,FALSE)</f>
        <v>Recreation and amusement</v>
      </c>
    </row>
    <row r="2682" spans="1:7" x14ac:dyDescent="0.3">
      <c r="A2682" t="s">
        <v>33</v>
      </c>
      <c r="B2682">
        <v>2015</v>
      </c>
      <c r="C2682" t="s">
        <v>43</v>
      </c>
      <c r="D2682" s="2">
        <v>42278</v>
      </c>
      <c r="E2682" t="s">
        <v>17</v>
      </c>
      <c r="F2682">
        <v>124.4</v>
      </c>
      <c r="G2682" t="str">
        <f>VLOOKUP(Table1_2[[#This Row],[Categories]],Sheet3!$A$1:$B$27,2,FALSE)</f>
        <v>Clothing and footwear</v>
      </c>
    </row>
    <row r="2683" spans="1:7" x14ac:dyDescent="0.3">
      <c r="A2683" t="s">
        <v>33</v>
      </c>
      <c r="B2683">
        <v>2015</v>
      </c>
      <c r="C2683" t="s">
        <v>43</v>
      </c>
      <c r="D2683" s="2">
        <v>42278</v>
      </c>
      <c r="E2683" t="s">
        <v>18</v>
      </c>
      <c r="F2683">
        <v>118.8</v>
      </c>
      <c r="G2683" t="str">
        <f>VLOOKUP(Table1_2[[#This Row],[Categories]],Sheet3!$A$1:$B$27,2,FALSE)</f>
        <v>Clothing and footwear</v>
      </c>
    </row>
    <row r="2684" spans="1:7" x14ac:dyDescent="0.3">
      <c r="A2684" t="s">
        <v>33</v>
      </c>
      <c r="B2684">
        <v>2015</v>
      </c>
      <c r="C2684" t="s">
        <v>43</v>
      </c>
      <c r="D2684" s="2">
        <v>42278</v>
      </c>
      <c r="E2684" t="s">
        <v>19</v>
      </c>
      <c r="F2684">
        <v>123.6</v>
      </c>
      <c r="G2684" t="str">
        <f>VLOOKUP(Table1_2[[#This Row],[Categories]],Sheet3!$A$1:$B$27,2,FALSE)</f>
        <v>Clothing and footwear</v>
      </c>
    </row>
    <row r="2685" spans="1:7" x14ac:dyDescent="0.3">
      <c r="A2685" t="s">
        <v>33</v>
      </c>
      <c r="B2685">
        <v>2015</v>
      </c>
      <c r="C2685" t="s">
        <v>43</v>
      </c>
      <c r="D2685" s="2">
        <v>42278</v>
      </c>
      <c r="E2685" t="s">
        <v>20</v>
      </c>
      <c r="F2685">
        <v>122.4</v>
      </c>
      <c r="G2685" t="str">
        <f>VLOOKUP(Table1_2[[#This Row],[Categories]],Sheet3!$A$1:$B$27,2,FALSE)</f>
        <v>Housing</v>
      </c>
    </row>
    <row r="2686" spans="1:7" x14ac:dyDescent="0.3">
      <c r="A2686" t="s">
        <v>33</v>
      </c>
      <c r="B2686">
        <v>2015</v>
      </c>
      <c r="C2686" t="s">
        <v>43</v>
      </c>
      <c r="D2686" s="2">
        <v>42278</v>
      </c>
      <c r="E2686" t="s">
        <v>21</v>
      </c>
      <c r="F2686">
        <v>114.9</v>
      </c>
      <c r="G2686" t="str">
        <f>VLOOKUP(Table1_2[[#This Row],[Categories]],Sheet3!$A$1:$B$27,2,FALSE)</f>
        <v>Fuel and light</v>
      </c>
    </row>
    <row r="2687" spans="1:7" x14ac:dyDescent="0.3">
      <c r="A2687" t="s">
        <v>33</v>
      </c>
      <c r="B2687">
        <v>2015</v>
      </c>
      <c r="C2687" t="s">
        <v>43</v>
      </c>
      <c r="D2687" s="2">
        <v>42278</v>
      </c>
      <c r="E2687" t="s">
        <v>22</v>
      </c>
      <c r="F2687">
        <v>120.7</v>
      </c>
      <c r="G2687" t="str">
        <f>VLOOKUP(Table1_2[[#This Row],[Categories]],Sheet3!$A$1:$B$27,2,FALSE)</f>
        <v>Household Items</v>
      </c>
    </row>
    <row r="2688" spans="1:7" x14ac:dyDescent="0.3">
      <c r="A2688" t="s">
        <v>33</v>
      </c>
      <c r="B2688">
        <v>2015</v>
      </c>
      <c r="C2688" t="s">
        <v>43</v>
      </c>
      <c r="D2688" s="2">
        <v>42278</v>
      </c>
      <c r="E2688" t="s">
        <v>23</v>
      </c>
      <c r="F2688">
        <v>117.7</v>
      </c>
      <c r="G2688" t="str">
        <f>VLOOKUP(Table1_2[[#This Row],[Categories]],Sheet3!$A$1:$B$27,2,FALSE)</f>
        <v>Health</v>
      </c>
    </row>
    <row r="2689" spans="1:7" x14ac:dyDescent="0.3">
      <c r="A2689" t="s">
        <v>33</v>
      </c>
      <c r="B2689">
        <v>2015</v>
      </c>
      <c r="C2689" t="s">
        <v>43</v>
      </c>
      <c r="D2689" s="2">
        <v>42278</v>
      </c>
      <c r="E2689" t="s">
        <v>24</v>
      </c>
      <c r="F2689">
        <v>109.3</v>
      </c>
      <c r="G2689" t="str">
        <f>VLOOKUP(Table1_2[[#This Row],[Categories]],Sheet3!$A$1:$B$27,2,FALSE)</f>
        <v>Transport and communication</v>
      </c>
    </row>
    <row r="2690" spans="1:7" x14ac:dyDescent="0.3">
      <c r="A2690" t="s">
        <v>33</v>
      </c>
      <c r="B2690">
        <v>2015</v>
      </c>
      <c r="C2690" t="s">
        <v>43</v>
      </c>
      <c r="D2690" s="2">
        <v>42278</v>
      </c>
      <c r="E2690" t="s">
        <v>25</v>
      </c>
      <c r="F2690">
        <v>117.7</v>
      </c>
      <c r="G2690" t="str">
        <f>VLOOKUP(Table1_2[[#This Row],[Categories]],Sheet3!$A$1:$B$27,2,FALSE)</f>
        <v>Recreation and amusement</v>
      </c>
    </row>
    <row r="2691" spans="1:7" x14ac:dyDescent="0.3">
      <c r="A2691" t="s">
        <v>33</v>
      </c>
      <c r="B2691">
        <v>2015</v>
      </c>
      <c r="C2691" t="s">
        <v>43</v>
      </c>
      <c r="D2691" s="2">
        <v>42278</v>
      </c>
      <c r="E2691" t="s">
        <v>26</v>
      </c>
      <c r="F2691">
        <v>126.5</v>
      </c>
      <c r="G2691" t="str">
        <f>VLOOKUP(Table1_2[[#This Row],[Categories]],Sheet3!$A$1:$B$27,2,FALSE)</f>
        <v>Education</v>
      </c>
    </row>
    <row r="2692" spans="1:7" x14ac:dyDescent="0.3">
      <c r="A2692" t="s">
        <v>33</v>
      </c>
      <c r="B2692">
        <v>2015</v>
      </c>
      <c r="C2692" t="s">
        <v>43</v>
      </c>
      <c r="D2692" s="2">
        <v>42278</v>
      </c>
      <c r="E2692" t="s">
        <v>27</v>
      </c>
      <c r="F2692">
        <v>113.5</v>
      </c>
      <c r="G2692" t="str">
        <f>VLOOKUP(Table1_2[[#This Row],[Categories]],Sheet3!$A$1:$B$27,2,FALSE)</f>
        <v>Household Items</v>
      </c>
    </row>
    <row r="2693" spans="1:7" x14ac:dyDescent="0.3">
      <c r="A2693" t="s">
        <v>33</v>
      </c>
      <c r="B2693">
        <v>2015</v>
      </c>
      <c r="C2693" t="s">
        <v>43</v>
      </c>
      <c r="D2693" s="2">
        <v>42278</v>
      </c>
      <c r="E2693" t="s">
        <v>28</v>
      </c>
      <c r="F2693">
        <v>116.5</v>
      </c>
      <c r="G2693" t="str">
        <f>VLOOKUP(Table1_2[[#This Row],[Categories]],Sheet3!$A$1:$B$27,2,FALSE)</f>
        <v>Miscellaneous</v>
      </c>
    </row>
    <row r="2694" spans="1:7" x14ac:dyDescent="0.3">
      <c r="A2694" t="s">
        <v>33</v>
      </c>
      <c r="B2694">
        <v>2015</v>
      </c>
      <c r="C2694" t="s">
        <v>43</v>
      </c>
      <c r="D2694" s="2">
        <v>42278</v>
      </c>
      <c r="E2694" t="s">
        <v>29</v>
      </c>
      <c r="F2694">
        <v>124.2</v>
      </c>
      <c r="G2694" t="str">
        <f>VLOOKUP(Table1_2[[#This Row],[Categories]],Sheet3!$A$1:$B$27,2,FALSE)</f>
        <v>General index</v>
      </c>
    </row>
    <row r="2695" spans="1:7" x14ac:dyDescent="0.3">
      <c r="A2695" t="s">
        <v>34</v>
      </c>
      <c r="B2695">
        <v>2015</v>
      </c>
      <c r="C2695" t="s">
        <v>43</v>
      </c>
      <c r="D2695" s="2">
        <v>42278</v>
      </c>
      <c r="E2695" t="s">
        <v>3</v>
      </c>
      <c r="F2695">
        <v>125</v>
      </c>
      <c r="G2695" t="str">
        <f>VLOOKUP(Table1_2[[#This Row],[Categories]],Sheet3!$A$1:$B$27,2,FALSE)</f>
        <v>Food &amp;Beverage</v>
      </c>
    </row>
    <row r="2696" spans="1:7" x14ac:dyDescent="0.3">
      <c r="A2696" t="s">
        <v>34</v>
      </c>
      <c r="B2696">
        <v>2015</v>
      </c>
      <c r="C2696" t="s">
        <v>43</v>
      </c>
      <c r="D2696" s="2">
        <v>42278</v>
      </c>
      <c r="E2696" t="s">
        <v>4</v>
      </c>
      <c r="F2696">
        <v>129.80000000000001</v>
      </c>
      <c r="G2696" t="str">
        <f>VLOOKUP(Table1_2[[#This Row],[Categories]],Sheet3!$A$1:$B$27,2,FALSE)</f>
        <v>Food &amp;Beverage</v>
      </c>
    </row>
    <row r="2697" spans="1:7" x14ac:dyDescent="0.3">
      <c r="A2697" t="s">
        <v>34</v>
      </c>
      <c r="B2697">
        <v>2015</v>
      </c>
      <c r="C2697" t="s">
        <v>43</v>
      </c>
      <c r="D2697" s="2">
        <v>42278</v>
      </c>
      <c r="E2697" t="s">
        <v>5</v>
      </c>
      <c r="F2697">
        <v>118.9</v>
      </c>
      <c r="G2697" t="str">
        <f>VLOOKUP(Table1_2[[#This Row],[Categories]],Sheet3!$A$1:$B$27,2,FALSE)</f>
        <v>Food &amp;Beverage</v>
      </c>
    </row>
    <row r="2698" spans="1:7" x14ac:dyDescent="0.3">
      <c r="A2698" t="s">
        <v>34</v>
      </c>
      <c r="B2698">
        <v>2015</v>
      </c>
      <c r="C2698" t="s">
        <v>43</v>
      </c>
      <c r="D2698" s="2">
        <v>42278</v>
      </c>
      <c r="E2698" t="s">
        <v>6</v>
      </c>
      <c r="F2698">
        <v>129.1</v>
      </c>
      <c r="G2698" t="str">
        <f>VLOOKUP(Table1_2[[#This Row],[Categories]],Sheet3!$A$1:$B$27,2,FALSE)</f>
        <v>Food &amp;Beverage</v>
      </c>
    </row>
    <row r="2699" spans="1:7" x14ac:dyDescent="0.3">
      <c r="A2699" t="s">
        <v>34</v>
      </c>
      <c r="B2699">
        <v>2015</v>
      </c>
      <c r="C2699" t="s">
        <v>43</v>
      </c>
      <c r="D2699" s="2">
        <v>42278</v>
      </c>
      <c r="E2699" t="s">
        <v>7</v>
      </c>
      <c r="F2699">
        <v>113.3</v>
      </c>
      <c r="G2699" t="str">
        <f>VLOOKUP(Table1_2[[#This Row],[Categories]],Sheet3!$A$1:$B$27,2,FALSE)</f>
        <v>Food &amp;Beverage</v>
      </c>
    </row>
    <row r="2700" spans="1:7" x14ac:dyDescent="0.3">
      <c r="A2700" t="s">
        <v>34</v>
      </c>
      <c r="B2700">
        <v>2015</v>
      </c>
      <c r="C2700" t="s">
        <v>43</v>
      </c>
      <c r="D2700" s="2">
        <v>42278</v>
      </c>
      <c r="E2700" t="s">
        <v>8</v>
      </c>
      <c r="F2700">
        <v>129</v>
      </c>
      <c r="G2700" t="str">
        <f>VLOOKUP(Table1_2[[#This Row],[Categories]],Sheet3!$A$1:$B$27,2,FALSE)</f>
        <v>Food &amp;Beverage</v>
      </c>
    </row>
    <row r="2701" spans="1:7" x14ac:dyDescent="0.3">
      <c r="A2701" t="s">
        <v>34</v>
      </c>
      <c r="B2701">
        <v>2015</v>
      </c>
      <c r="C2701" t="s">
        <v>43</v>
      </c>
      <c r="D2701" s="2">
        <v>42278</v>
      </c>
      <c r="E2701" t="s">
        <v>9</v>
      </c>
      <c r="F2701">
        <v>160.4</v>
      </c>
      <c r="G2701" t="str">
        <f>VLOOKUP(Table1_2[[#This Row],[Categories]],Sheet3!$A$1:$B$27,2,FALSE)</f>
        <v>Food &amp;Beverage</v>
      </c>
    </row>
    <row r="2702" spans="1:7" x14ac:dyDescent="0.3">
      <c r="A2702" t="s">
        <v>34</v>
      </c>
      <c r="B2702">
        <v>2015</v>
      </c>
      <c r="C2702" t="s">
        <v>43</v>
      </c>
      <c r="D2702" s="2">
        <v>42278</v>
      </c>
      <c r="E2702" t="s">
        <v>10</v>
      </c>
      <c r="F2702">
        <v>165.3</v>
      </c>
      <c r="G2702" t="str">
        <f>VLOOKUP(Table1_2[[#This Row],[Categories]],Sheet3!$A$1:$B$27,2,FALSE)</f>
        <v>Food &amp;Beverage</v>
      </c>
    </row>
    <row r="2703" spans="1:7" x14ac:dyDescent="0.3">
      <c r="A2703" t="s">
        <v>34</v>
      </c>
      <c r="B2703">
        <v>2015</v>
      </c>
      <c r="C2703" t="s">
        <v>43</v>
      </c>
      <c r="D2703" s="2">
        <v>42278</v>
      </c>
      <c r="E2703" t="s">
        <v>11</v>
      </c>
      <c r="F2703">
        <v>92.3</v>
      </c>
      <c r="G2703" t="str">
        <f>VLOOKUP(Table1_2[[#This Row],[Categories]],Sheet3!$A$1:$B$27,2,FALSE)</f>
        <v>Food &amp;Beverage</v>
      </c>
    </row>
    <row r="2704" spans="1:7" x14ac:dyDescent="0.3">
      <c r="A2704" t="s">
        <v>34</v>
      </c>
      <c r="B2704">
        <v>2015</v>
      </c>
      <c r="C2704" t="s">
        <v>43</v>
      </c>
      <c r="D2704" s="2">
        <v>42278</v>
      </c>
      <c r="E2704" t="s">
        <v>12</v>
      </c>
      <c r="F2704">
        <v>129.69999999999999</v>
      </c>
      <c r="G2704" t="str">
        <f>VLOOKUP(Table1_2[[#This Row],[Categories]],Sheet3!$A$1:$B$27,2,FALSE)</f>
        <v>Food &amp;Beverage</v>
      </c>
    </row>
    <row r="2705" spans="1:7" x14ac:dyDescent="0.3">
      <c r="A2705" t="s">
        <v>34</v>
      </c>
      <c r="B2705">
        <v>2015</v>
      </c>
      <c r="C2705" t="s">
        <v>43</v>
      </c>
      <c r="D2705" s="2">
        <v>42278</v>
      </c>
      <c r="E2705" t="s">
        <v>13</v>
      </c>
      <c r="F2705">
        <v>121.1</v>
      </c>
      <c r="G2705" t="str">
        <f>VLOOKUP(Table1_2[[#This Row],[Categories]],Sheet3!$A$1:$B$27,2,FALSE)</f>
        <v>Food &amp;Beverage</v>
      </c>
    </row>
    <row r="2706" spans="1:7" x14ac:dyDescent="0.3">
      <c r="A2706" t="s">
        <v>34</v>
      </c>
      <c r="B2706">
        <v>2015</v>
      </c>
      <c r="C2706" t="s">
        <v>43</v>
      </c>
      <c r="D2706" s="2">
        <v>42278</v>
      </c>
      <c r="E2706" t="s">
        <v>14</v>
      </c>
      <c r="F2706">
        <v>133</v>
      </c>
      <c r="G2706" t="str">
        <f>VLOOKUP(Table1_2[[#This Row],[Categories]],Sheet3!$A$1:$B$27,2,FALSE)</f>
        <v>Food &amp;Beverage</v>
      </c>
    </row>
    <row r="2707" spans="1:7" x14ac:dyDescent="0.3">
      <c r="A2707" t="s">
        <v>34</v>
      </c>
      <c r="B2707">
        <v>2015</v>
      </c>
      <c r="C2707" t="s">
        <v>43</v>
      </c>
      <c r="D2707" s="2">
        <v>42278</v>
      </c>
      <c r="E2707" t="s">
        <v>15</v>
      </c>
      <c r="F2707">
        <v>132.1</v>
      </c>
      <c r="G2707" t="str">
        <f>VLOOKUP(Table1_2[[#This Row],[Categories]],Sheet3!$A$1:$B$27,2,FALSE)</f>
        <v>Food &amp;Beverage</v>
      </c>
    </row>
    <row r="2708" spans="1:7" x14ac:dyDescent="0.3">
      <c r="A2708" t="s">
        <v>34</v>
      </c>
      <c r="B2708">
        <v>2015</v>
      </c>
      <c r="C2708" t="s">
        <v>43</v>
      </c>
      <c r="D2708" s="2">
        <v>42278</v>
      </c>
      <c r="E2708" t="s">
        <v>16</v>
      </c>
      <c r="F2708">
        <v>132.5</v>
      </c>
      <c r="G2708" t="str">
        <f>VLOOKUP(Table1_2[[#This Row],[Categories]],Sheet3!$A$1:$B$27,2,FALSE)</f>
        <v>Recreation and amusement</v>
      </c>
    </row>
    <row r="2709" spans="1:7" x14ac:dyDescent="0.3">
      <c r="A2709" t="s">
        <v>34</v>
      </c>
      <c r="B2709">
        <v>2015</v>
      </c>
      <c r="C2709" t="s">
        <v>43</v>
      </c>
      <c r="D2709" s="2">
        <v>42278</v>
      </c>
      <c r="E2709" t="s">
        <v>17</v>
      </c>
      <c r="F2709">
        <v>128.5</v>
      </c>
      <c r="G2709" t="str">
        <f>VLOOKUP(Table1_2[[#This Row],[Categories]],Sheet3!$A$1:$B$27,2,FALSE)</f>
        <v>Clothing and footwear</v>
      </c>
    </row>
    <row r="2710" spans="1:7" x14ac:dyDescent="0.3">
      <c r="A2710" t="s">
        <v>34</v>
      </c>
      <c r="B2710">
        <v>2015</v>
      </c>
      <c r="C2710" t="s">
        <v>43</v>
      </c>
      <c r="D2710" s="2">
        <v>42278</v>
      </c>
      <c r="E2710" t="s">
        <v>18</v>
      </c>
      <c r="F2710">
        <v>123.8</v>
      </c>
      <c r="G2710" t="str">
        <f>VLOOKUP(Table1_2[[#This Row],[Categories]],Sheet3!$A$1:$B$27,2,FALSE)</f>
        <v>Clothing and footwear</v>
      </c>
    </row>
    <row r="2711" spans="1:7" x14ac:dyDescent="0.3">
      <c r="A2711" t="s">
        <v>34</v>
      </c>
      <c r="B2711">
        <v>2015</v>
      </c>
      <c r="C2711" t="s">
        <v>43</v>
      </c>
      <c r="D2711" s="2">
        <v>42278</v>
      </c>
      <c r="E2711" t="s">
        <v>19</v>
      </c>
      <c r="F2711">
        <v>127.8</v>
      </c>
      <c r="G2711" t="str">
        <f>VLOOKUP(Table1_2[[#This Row],[Categories]],Sheet3!$A$1:$B$27,2,FALSE)</f>
        <v>Clothing and footwear</v>
      </c>
    </row>
    <row r="2712" spans="1:7" x14ac:dyDescent="0.3">
      <c r="A2712" t="s">
        <v>34</v>
      </c>
      <c r="B2712">
        <v>2015</v>
      </c>
      <c r="C2712" t="s">
        <v>43</v>
      </c>
      <c r="D2712" s="2">
        <v>42278</v>
      </c>
      <c r="E2712" t="s">
        <v>20</v>
      </c>
      <c r="F2712">
        <v>122.4</v>
      </c>
      <c r="G2712" t="str">
        <f>VLOOKUP(Table1_2[[#This Row],[Categories]],Sheet3!$A$1:$B$27,2,FALSE)</f>
        <v>Housing</v>
      </c>
    </row>
    <row r="2713" spans="1:7" x14ac:dyDescent="0.3">
      <c r="A2713" t="s">
        <v>34</v>
      </c>
      <c r="B2713">
        <v>2015</v>
      </c>
      <c r="C2713" t="s">
        <v>43</v>
      </c>
      <c r="D2713" s="2">
        <v>42278</v>
      </c>
      <c r="E2713" t="s">
        <v>21</v>
      </c>
      <c r="F2713">
        <v>120.8</v>
      </c>
      <c r="G2713" t="str">
        <f>VLOOKUP(Table1_2[[#This Row],[Categories]],Sheet3!$A$1:$B$27,2,FALSE)</f>
        <v>Fuel and light</v>
      </c>
    </row>
    <row r="2714" spans="1:7" x14ac:dyDescent="0.3">
      <c r="A2714" t="s">
        <v>34</v>
      </c>
      <c r="B2714">
        <v>2015</v>
      </c>
      <c r="C2714" t="s">
        <v>43</v>
      </c>
      <c r="D2714" s="2">
        <v>42278</v>
      </c>
      <c r="E2714" t="s">
        <v>22</v>
      </c>
      <c r="F2714">
        <v>123</v>
      </c>
      <c r="G2714" t="str">
        <f>VLOOKUP(Table1_2[[#This Row],[Categories]],Sheet3!$A$1:$B$27,2,FALSE)</f>
        <v>Household Items</v>
      </c>
    </row>
    <row r="2715" spans="1:7" x14ac:dyDescent="0.3">
      <c r="A2715" t="s">
        <v>34</v>
      </c>
      <c r="B2715">
        <v>2015</v>
      </c>
      <c r="C2715" t="s">
        <v>43</v>
      </c>
      <c r="D2715" s="2">
        <v>42278</v>
      </c>
      <c r="E2715" t="s">
        <v>23</v>
      </c>
      <c r="F2715">
        <v>120.4</v>
      </c>
      <c r="G2715" t="str">
        <f>VLOOKUP(Table1_2[[#This Row],[Categories]],Sheet3!$A$1:$B$27,2,FALSE)</f>
        <v>Health</v>
      </c>
    </row>
    <row r="2716" spans="1:7" x14ac:dyDescent="0.3">
      <c r="A2716" t="s">
        <v>34</v>
      </c>
      <c r="B2716">
        <v>2015</v>
      </c>
      <c r="C2716" t="s">
        <v>43</v>
      </c>
      <c r="D2716" s="2">
        <v>42278</v>
      </c>
      <c r="E2716" t="s">
        <v>24</v>
      </c>
      <c r="F2716">
        <v>111.4</v>
      </c>
      <c r="G2716" t="str">
        <f>VLOOKUP(Table1_2[[#This Row],[Categories]],Sheet3!$A$1:$B$27,2,FALSE)</f>
        <v>Transport and communication</v>
      </c>
    </row>
    <row r="2717" spans="1:7" x14ac:dyDescent="0.3">
      <c r="A2717" t="s">
        <v>34</v>
      </c>
      <c r="B2717">
        <v>2015</v>
      </c>
      <c r="C2717" t="s">
        <v>43</v>
      </c>
      <c r="D2717" s="2">
        <v>42278</v>
      </c>
      <c r="E2717" t="s">
        <v>25</v>
      </c>
      <c r="F2717">
        <v>118.7</v>
      </c>
      <c r="G2717" t="str">
        <f>VLOOKUP(Table1_2[[#This Row],[Categories]],Sheet3!$A$1:$B$27,2,FALSE)</f>
        <v>Recreation and amusement</v>
      </c>
    </row>
    <row r="2718" spans="1:7" x14ac:dyDescent="0.3">
      <c r="A2718" t="s">
        <v>34</v>
      </c>
      <c r="B2718">
        <v>2015</v>
      </c>
      <c r="C2718" t="s">
        <v>43</v>
      </c>
      <c r="D2718" s="2">
        <v>42278</v>
      </c>
      <c r="E2718" t="s">
        <v>26</v>
      </c>
      <c r="F2718">
        <v>125.9</v>
      </c>
      <c r="G2718" t="str">
        <f>VLOOKUP(Table1_2[[#This Row],[Categories]],Sheet3!$A$1:$B$27,2,FALSE)</f>
        <v>Education</v>
      </c>
    </row>
    <row r="2719" spans="1:7" x14ac:dyDescent="0.3">
      <c r="A2719" t="s">
        <v>34</v>
      </c>
      <c r="B2719">
        <v>2015</v>
      </c>
      <c r="C2719" t="s">
        <v>43</v>
      </c>
      <c r="D2719" s="2">
        <v>42278</v>
      </c>
      <c r="E2719" t="s">
        <v>27</v>
      </c>
      <c r="F2719">
        <v>113.9</v>
      </c>
      <c r="G2719" t="str">
        <f>VLOOKUP(Table1_2[[#This Row],[Categories]],Sheet3!$A$1:$B$27,2,FALSE)</f>
        <v>Household Items</v>
      </c>
    </row>
    <row r="2720" spans="1:7" x14ac:dyDescent="0.3">
      <c r="A2720" t="s">
        <v>34</v>
      </c>
      <c r="B2720">
        <v>2015</v>
      </c>
      <c r="C2720" t="s">
        <v>43</v>
      </c>
      <c r="D2720" s="2">
        <v>42278</v>
      </c>
      <c r="E2720" t="s">
        <v>28</v>
      </c>
      <c r="F2720">
        <v>117.9</v>
      </c>
      <c r="G2720" t="str">
        <f>VLOOKUP(Table1_2[[#This Row],[Categories]],Sheet3!$A$1:$B$27,2,FALSE)</f>
        <v>Miscellaneous</v>
      </c>
    </row>
    <row r="2721" spans="1:7" x14ac:dyDescent="0.3">
      <c r="A2721" t="s">
        <v>34</v>
      </c>
      <c r="B2721">
        <v>2015</v>
      </c>
      <c r="C2721" t="s">
        <v>43</v>
      </c>
      <c r="D2721" s="2">
        <v>42278</v>
      </c>
      <c r="E2721" t="s">
        <v>29</v>
      </c>
      <c r="F2721">
        <v>126.1</v>
      </c>
      <c r="G2721" t="str">
        <f>VLOOKUP(Table1_2[[#This Row],[Categories]],Sheet3!$A$1:$B$27,2,FALSE)</f>
        <v>General index</v>
      </c>
    </row>
    <row r="2722" spans="1:7" x14ac:dyDescent="0.3">
      <c r="A2722" t="s">
        <v>30</v>
      </c>
      <c r="B2722">
        <v>2015</v>
      </c>
      <c r="C2722" t="s">
        <v>45</v>
      </c>
      <c r="D2722" s="2">
        <v>42309</v>
      </c>
      <c r="E2722" t="s">
        <v>3</v>
      </c>
      <c r="F2722">
        <v>126.1</v>
      </c>
      <c r="G2722" t="str">
        <f>VLOOKUP(Table1_2[[#This Row],[Categories]],Sheet3!$A$1:$B$27,2,FALSE)</f>
        <v>Food &amp;Beverage</v>
      </c>
    </row>
    <row r="2723" spans="1:7" x14ac:dyDescent="0.3">
      <c r="A2723" t="s">
        <v>30</v>
      </c>
      <c r="B2723">
        <v>2015</v>
      </c>
      <c r="C2723" t="s">
        <v>45</v>
      </c>
      <c r="D2723" s="2">
        <v>42309</v>
      </c>
      <c r="E2723" t="s">
        <v>4</v>
      </c>
      <c r="F2723">
        <v>130.6</v>
      </c>
      <c r="G2723" t="str">
        <f>VLOOKUP(Table1_2[[#This Row],[Categories]],Sheet3!$A$1:$B$27,2,FALSE)</f>
        <v>Food &amp;Beverage</v>
      </c>
    </row>
    <row r="2724" spans="1:7" x14ac:dyDescent="0.3">
      <c r="A2724" t="s">
        <v>30</v>
      </c>
      <c r="B2724">
        <v>2015</v>
      </c>
      <c r="C2724" t="s">
        <v>45</v>
      </c>
      <c r="D2724" s="2">
        <v>42309</v>
      </c>
      <c r="E2724" t="s">
        <v>5</v>
      </c>
      <c r="F2724">
        <v>121.7</v>
      </c>
      <c r="G2724" t="str">
        <f>VLOOKUP(Table1_2[[#This Row],[Categories]],Sheet3!$A$1:$B$27,2,FALSE)</f>
        <v>Food &amp;Beverage</v>
      </c>
    </row>
    <row r="2725" spans="1:7" x14ac:dyDescent="0.3">
      <c r="A2725" t="s">
        <v>30</v>
      </c>
      <c r="B2725">
        <v>2015</v>
      </c>
      <c r="C2725" t="s">
        <v>45</v>
      </c>
      <c r="D2725" s="2">
        <v>42309</v>
      </c>
      <c r="E2725" t="s">
        <v>6</v>
      </c>
      <c r="F2725">
        <v>129.5</v>
      </c>
      <c r="G2725" t="str">
        <f>VLOOKUP(Table1_2[[#This Row],[Categories]],Sheet3!$A$1:$B$27,2,FALSE)</f>
        <v>Food &amp;Beverage</v>
      </c>
    </row>
    <row r="2726" spans="1:7" x14ac:dyDescent="0.3">
      <c r="A2726" t="s">
        <v>30</v>
      </c>
      <c r="B2726">
        <v>2015</v>
      </c>
      <c r="C2726" t="s">
        <v>45</v>
      </c>
      <c r="D2726" s="2">
        <v>42309</v>
      </c>
      <c r="E2726" t="s">
        <v>7</v>
      </c>
      <c r="F2726">
        <v>117.8</v>
      </c>
      <c r="G2726" t="str">
        <f>VLOOKUP(Table1_2[[#This Row],[Categories]],Sheet3!$A$1:$B$27,2,FALSE)</f>
        <v>Food &amp;Beverage</v>
      </c>
    </row>
    <row r="2727" spans="1:7" x14ac:dyDescent="0.3">
      <c r="A2727" t="s">
        <v>30</v>
      </c>
      <c r="B2727">
        <v>2015</v>
      </c>
      <c r="C2727" t="s">
        <v>45</v>
      </c>
      <c r="D2727" s="2">
        <v>42309</v>
      </c>
      <c r="E2727" t="s">
        <v>8</v>
      </c>
      <c r="F2727">
        <v>132.1</v>
      </c>
      <c r="G2727" t="str">
        <f>VLOOKUP(Table1_2[[#This Row],[Categories]],Sheet3!$A$1:$B$27,2,FALSE)</f>
        <v>Food &amp;Beverage</v>
      </c>
    </row>
    <row r="2728" spans="1:7" x14ac:dyDescent="0.3">
      <c r="A2728" t="s">
        <v>30</v>
      </c>
      <c r="B2728">
        <v>2015</v>
      </c>
      <c r="C2728" t="s">
        <v>45</v>
      </c>
      <c r="D2728" s="2">
        <v>42309</v>
      </c>
      <c r="E2728" t="s">
        <v>9</v>
      </c>
      <c r="F2728">
        <v>155.19999999999999</v>
      </c>
      <c r="G2728" t="str">
        <f>VLOOKUP(Table1_2[[#This Row],[Categories]],Sheet3!$A$1:$B$27,2,FALSE)</f>
        <v>Food &amp;Beverage</v>
      </c>
    </row>
    <row r="2729" spans="1:7" x14ac:dyDescent="0.3">
      <c r="A2729" t="s">
        <v>30</v>
      </c>
      <c r="B2729">
        <v>2015</v>
      </c>
      <c r="C2729" t="s">
        <v>45</v>
      </c>
      <c r="D2729" s="2">
        <v>42309</v>
      </c>
      <c r="E2729" t="s">
        <v>10</v>
      </c>
      <c r="F2729">
        <v>160.80000000000001</v>
      </c>
      <c r="G2729" t="str">
        <f>VLOOKUP(Table1_2[[#This Row],[Categories]],Sheet3!$A$1:$B$27,2,FALSE)</f>
        <v>Food &amp;Beverage</v>
      </c>
    </row>
    <row r="2730" spans="1:7" x14ac:dyDescent="0.3">
      <c r="A2730" t="s">
        <v>30</v>
      </c>
      <c r="B2730">
        <v>2015</v>
      </c>
      <c r="C2730" t="s">
        <v>45</v>
      </c>
      <c r="D2730" s="2">
        <v>42309</v>
      </c>
      <c r="E2730" t="s">
        <v>11</v>
      </c>
      <c r="F2730">
        <v>94.5</v>
      </c>
      <c r="G2730" t="str">
        <f>VLOOKUP(Table1_2[[#This Row],[Categories]],Sheet3!$A$1:$B$27,2,FALSE)</f>
        <v>Food &amp;Beverage</v>
      </c>
    </row>
    <row r="2731" spans="1:7" x14ac:dyDescent="0.3">
      <c r="A2731" t="s">
        <v>30</v>
      </c>
      <c r="B2731">
        <v>2015</v>
      </c>
      <c r="C2731" t="s">
        <v>45</v>
      </c>
      <c r="D2731" s="2">
        <v>42309</v>
      </c>
      <c r="E2731" t="s">
        <v>12</v>
      </c>
      <c r="F2731">
        <v>128.30000000000001</v>
      </c>
      <c r="G2731" t="str">
        <f>VLOOKUP(Table1_2[[#This Row],[Categories]],Sheet3!$A$1:$B$27,2,FALSE)</f>
        <v>Food &amp;Beverage</v>
      </c>
    </row>
    <row r="2732" spans="1:7" x14ac:dyDescent="0.3">
      <c r="A2732" t="s">
        <v>30</v>
      </c>
      <c r="B2732">
        <v>2015</v>
      </c>
      <c r="C2732" t="s">
        <v>45</v>
      </c>
      <c r="D2732" s="2">
        <v>42309</v>
      </c>
      <c r="E2732" t="s">
        <v>13</v>
      </c>
      <c r="F2732">
        <v>123.1</v>
      </c>
      <c r="G2732" t="str">
        <f>VLOOKUP(Table1_2[[#This Row],[Categories]],Sheet3!$A$1:$B$27,2,FALSE)</f>
        <v>Food &amp;Beverage</v>
      </c>
    </row>
    <row r="2733" spans="1:7" x14ac:dyDescent="0.3">
      <c r="A2733" t="s">
        <v>30</v>
      </c>
      <c r="B2733">
        <v>2015</v>
      </c>
      <c r="C2733" t="s">
        <v>45</v>
      </c>
      <c r="D2733" s="2">
        <v>42309</v>
      </c>
      <c r="E2733" t="s">
        <v>14</v>
      </c>
      <c r="F2733">
        <v>134.19999999999999</v>
      </c>
      <c r="G2733" t="str">
        <f>VLOOKUP(Table1_2[[#This Row],[Categories]],Sheet3!$A$1:$B$27,2,FALSE)</f>
        <v>Food &amp;Beverage</v>
      </c>
    </row>
    <row r="2734" spans="1:7" x14ac:dyDescent="0.3">
      <c r="A2734" t="s">
        <v>30</v>
      </c>
      <c r="B2734">
        <v>2015</v>
      </c>
      <c r="C2734" t="s">
        <v>45</v>
      </c>
      <c r="D2734" s="2">
        <v>42309</v>
      </c>
      <c r="E2734" t="s">
        <v>15</v>
      </c>
      <c r="F2734">
        <v>132.4</v>
      </c>
      <c r="G2734" t="str">
        <f>VLOOKUP(Table1_2[[#This Row],[Categories]],Sheet3!$A$1:$B$27,2,FALSE)</f>
        <v>Food &amp;Beverage</v>
      </c>
    </row>
    <row r="2735" spans="1:7" x14ac:dyDescent="0.3">
      <c r="A2735" t="s">
        <v>30</v>
      </c>
      <c r="B2735">
        <v>2015</v>
      </c>
      <c r="C2735" t="s">
        <v>45</v>
      </c>
      <c r="D2735" s="2">
        <v>42309</v>
      </c>
      <c r="E2735" t="s">
        <v>16</v>
      </c>
      <c r="F2735">
        <v>132.19999999999999</v>
      </c>
      <c r="G2735" t="str">
        <f>VLOOKUP(Table1_2[[#This Row],[Categories]],Sheet3!$A$1:$B$27,2,FALSE)</f>
        <v>Recreation and amusement</v>
      </c>
    </row>
    <row r="2736" spans="1:7" x14ac:dyDescent="0.3">
      <c r="A2736" t="s">
        <v>30</v>
      </c>
      <c r="B2736">
        <v>2015</v>
      </c>
      <c r="C2736" t="s">
        <v>45</v>
      </c>
      <c r="D2736" s="2">
        <v>42309</v>
      </c>
      <c r="E2736" t="s">
        <v>17</v>
      </c>
      <c r="F2736">
        <v>132.1</v>
      </c>
      <c r="G2736" t="str">
        <f>VLOOKUP(Table1_2[[#This Row],[Categories]],Sheet3!$A$1:$B$27,2,FALSE)</f>
        <v>Clothing and footwear</v>
      </c>
    </row>
    <row r="2737" spans="1:7" x14ac:dyDescent="0.3">
      <c r="A2737" t="s">
        <v>30</v>
      </c>
      <c r="B2737">
        <v>2015</v>
      </c>
      <c r="C2737" t="s">
        <v>45</v>
      </c>
      <c r="D2737" s="2">
        <v>42309</v>
      </c>
      <c r="E2737" t="s">
        <v>18</v>
      </c>
      <c r="F2737">
        <v>128.19999999999999</v>
      </c>
      <c r="G2737" t="str">
        <f>VLOOKUP(Table1_2[[#This Row],[Categories]],Sheet3!$A$1:$B$27,2,FALSE)</f>
        <v>Clothing and footwear</v>
      </c>
    </row>
    <row r="2738" spans="1:7" x14ac:dyDescent="0.3">
      <c r="A2738" t="s">
        <v>30</v>
      </c>
      <c r="B2738">
        <v>2015</v>
      </c>
      <c r="C2738" t="s">
        <v>45</v>
      </c>
      <c r="D2738" s="2">
        <v>42309</v>
      </c>
      <c r="E2738" t="s">
        <v>19</v>
      </c>
      <c r="F2738">
        <v>131.5</v>
      </c>
      <c r="G2738" t="str">
        <f>VLOOKUP(Table1_2[[#This Row],[Categories]],Sheet3!$A$1:$B$27,2,FALSE)</f>
        <v>Clothing and footwear</v>
      </c>
    </row>
    <row r="2739" spans="1:7" x14ac:dyDescent="0.3">
      <c r="A2739" t="s">
        <v>30</v>
      </c>
      <c r="B2739">
        <v>2015</v>
      </c>
      <c r="C2739" t="s">
        <v>45</v>
      </c>
      <c r="D2739" s="2">
        <v>42309</v>
      </c>
      <c r="E2739" t="s">
        <v>21</v>
      </c>
      <c r="F2739">
        <v>125.6</v>
      </c>
      <c r="G2739" t="str">
        <f>VLOOKUP(Table1_2[[#This Row],[Categories]],Sheet3!$A$1:$B$27,2,FALSE)</f>
        <v>Fuel and light</v>
      </c>
    </row>
    <row r="2740" spans="1:7" x14ac:dyDescent="0.3">
      <c r="A2740" t="s">
        <v>30</v>
      </c>
      <c r="B2740">
        <v>2015</v>
      </c>
      <c r="C2740" t="s">
        <v>45</v>
      </c>
      <c r="D2740" s="2">
        <v>42309</v>
      </c>
      <c r="E2740" t="s">
        <v>22</v>
      </c>
      <c r="F2740">
        <v>125.6</v>
      </c>
      <c r="G2740" t="str">
        <f>VLOOKUP(Table1_2[[#This Row],[Categories]],Sheet3!$A$1:$B$27,2,FALSE)</f>
        <v>Household Items</v>
      </c>
    </row>
    <row r="2741" spans="1:7" x14ac:dyDescent="0.3">
      <c r="A2741" t="s">
        <v>30</v>
      </c>
      <c r="B2741">
        <v>2015</v>
      </c>
      <c r="C2741" t="s">
        <v>45</v>
      </c>
      <c r="D2741" s="2">
        <v>42309</v>
      </c>
      <c r="E2741" t="s">
        <v>23</v>
      </c>
      <c r="F2741">
        <v>122.6</v>
      </c>
      <c r="G2741" t="str">
        <f>VLOOKUP(Table1_2[[#This Row],[Categories]],Sheet3!$A$1:$B$27,2,FALSE)</f>
        <v>Health</v>
      </c>
    </row>
    <row r="2742" spans="1:7" x14ac:dyDescent="0.3">
      <c r="A2742" t="s">
        <v>30</v>
      </c>
      <c r="B2742">
        <v>2015</v>
      </c>
      <c r="C2742" t="s">
        <v>45</v>
      </c>
      <c r="D2742" s="2">
        <v>42309</v>
      </c>
      <c r="E2742" t="s">
        <v>24</v>
      </c>
      <c r="F2742">
        <v>114</v>
      </c>
      <c r="G2742" t="str">
        <f>VLOOKUP(Table1_2[[#This Row],[Categories]],Sheet3!$A$1:$B$27,2,FALSE)</f>
        <v>Transport and communication</v>
      </c>
    </row>
    <row r="2743" spans="1:7" x14ac:dyDescent="0.3">
      <c r="A2743" t="s">
        <v>30</v>
      </c>
      <c r="B2743">
        <v>2015</v>
      </c>
      <c r="C2743" t="s">
        <v>45</v>
      </c>
      <c r="D2743" s="2">
        <v>42309</v>
      </c>
      <c r="E2743" t="s">
        <v>25</v>
      </c>
      <c r="F2743">
        <v>120.9</v>
      </c>
      <c r="G2743" t="str">
        <f>VLOOKUP(Table1_2[[#This Row],[Categories]],Sheet3!$A$1:$B$27,2,FALSE)</f>
        <v>Recreation and amusement</v>
      </c>
    </row>
    <row r="2744" spans="1:7" x14ac:dyDescent="0.3">
      <c r="A2744" t="s">
        <v>30</v>
      </c>
      <c r="B2744">
        <v>2015</v>
      </c>
      <c r="C2744" t="s">
        <v>45</v>
      </c>
      <c r="D2744" s="2">
        <v>42309</v>
      </c>
      <c r="E2744" t="s">
        <v>26</v>
      </c>
      <c r="F2744">
        <v>125.8</v>
      </c>
      <c r="G2744" t="str">
        <f>VLOOKUP(Table1_2[[#This Row],[Categories]],Sheet3!$A$1:$B$27,2,FALSE)</f>
        <v>Education</v>
      </c>
    </row>
    <row r="2745" spans="1:7" x14ac:dyDescent="0.3">
      <c r="A2745" t="s">
        <v>30</v>
      </c>
      <c r="B2745">
        <v>2015</v>
      </c>
      <c r="C2745" t="s">
        <v>45</v>
      </c>
      <c r="D2745" s="2">
        <v>42309</v>
      </c>
      <c r="E2745" t="s">
        <v>27</v>
      </c>
      <c r="F2745">
        <v>114.2</v>
      </c>
      <c r="G2745" t="str">
        <f>VLOOKUP(Table1_2[[#This Row],[Categories]],Sheet3!$A$1:$B$27,2,FALSE)</f>
        <v>Household Items</v>
      </c>
    </row>
    <row r="2746" spans="1:7" x14ac:dyDescent="0.3">
      <c r="A2746" t="s">
        <v>30</v>
      </c>
      <c r="B2746">
        <v>2015</v>
      </c>
      <c r="C2746" t="s">
        <v>45</v>
      </c>
      <c r="D2746" s="2">
        <v>42309</v>
      </c>
      <c r="E2746" t="s">
        <v>28</v>
      </c>
      <c r="F2746">
        <v>119.6</v>
      </c>
      <c r="G2746" t="str">
        <f>VLOOKUP(Table1_2[[#This Row],[Categories]],Sheet3!$A$1:$B$27,2,FALSE)</f>
        <v>Miscellaneous</v>
      </c>
    </row>
    <row r="2747" spans="1:7" x14ac:dyDescent="0.3">
      <c r="A2747" t="s">
        <v>30</v>
      </c>
      <c r="B2747">
        <v>2015</v>
      </c>
      <c r="C2747" t="s">
        <v>45</v>
      </c>
      <c r="D2747" s="2">
        <v>42309</v>
      </c>
      <c r="E2747" t="s">
        <v>29</v>
      </c>
      <c r="F2747">
        <v>128.30000000000001</v>
      </c>
      <c r="G2747" t="str">
        <f>VLOOKUP(Table1_2[[#This Row],[Categories]],Sheet3!$A$1:$B$27,2,FALSE)</f>
        <v>General index</v>
      </c>
    </row>
    <row r="2748" spans="1:7" x14ac:dyDescent="0.3">
      <c r="A2748" t="s">
        <v>33</v>
      </c>
      <c r="B2748">
        <v>2015</v>
      </c>
      <c r="C2748" t="s">
        <v>45</v>
      </c>
      <c r="D2748" s="2">
        <v>42309</v>
      </c>
      <c r="E2748" t="s">
        <v>3</v>
      </c>
      <c r="F2748">
        <v>124</v>
      </c>
      <c r="G2748" t="str">
        <f>VLOOKUP(Table1_2[[#This Row],[Categories]],Sheet3!$A$1:$B$27,2,FALSE)</f>
        <v>Food &amp;Beverage</v>
      </c>
    </row>
    <row r="2749" spans="1:7" x14ac:dyDescent="0.3">
      <c r="A2749" t="s">
        <v>33</v>
      </c>
      <c r="B2749">
        <v>2015</v>
      </c>
      <c r="C2749" t="s">
        <v>45</v>
      </c>
      <c r="D2749" s="2">
        <v>42309</v>
      </c>
      <c r="E2749" t="s">
        <v>4</v>
      </c>
      <c r="F2749">
        <v>129.80000000000001</v>
      </c>
      <c r="G2749" t="str">
        <f>VLOOKUP(Table1_2[[#This Row],[Categories]],Sheet3!$A$1:$B$27,2,FALSE)</f>
        <v>Food &amp;Beverage</v>
      </c>
    </row>
    <row r="2750" spans="1:7" x14ac:dyDescent="0.3">
      <c r="A2750" t="s">
        <v>33</v>
      </c>
      <c r="B2750">
        <v>2015</v>
      </c>
      <c r="C2750" t="s">
        <v>45</v>
      </c>
      <c r="D2750" s="2">
        <v>42309</v>
      </c>
      <c r="E2750" t="s">
        <v>5</v>
      </c>
      <c r="F2750">
        <v>121.5</v>
      </c>
      <c r="G2750" t="str">
        <f>VLOOKUP(Table1_2[[#This Row],[Categories]],Sheet3!$A$1:$B$27,2,FALSE)</f>
        <v>Food &amp;Beverage</v>
      </c>
    </row>
    <row r="2751" spans="1:7" x14ac:dyDescent="0.3">
      <c r="A2751" t="s">
        <v>33</v>
      </c>
      <c r="B2751">
        <v>2015</v>
      </c>
      <c r="C2751" t="s">
        <v>45</v>
      </c>
      <c r="D2751" s="2">
        <v>42309</v>
      </c>
      <c r="E2751" t="s">
        <v>6</v>
      </c>
      <c r="F2751">
        <v>128.6</v>
      </c>
      <c r="G2751" t="str">
        <f>VLOOKUP(Table1_2[[#This Row],[Categories]],Sheet3!$A$1:$B$27,2,FALSE)</f>
        <v>Food &amp;Beverage</v>
      </c>
    </row>
    <row r="2752" spans="1:7" x14ac:dyDescent="0.3">
      <c r="A2752" t="s">
        <v>33</v>
      </c>
      <c r="B2752">
        <v>2015</v>
      </c>
      <c r="C2752" t="s">
        <v>45</v>
      </c>
      <c r="D2752" s="2">
        <v>42309</v>
      </c>
      <c r="E2752" t="s">
        <v>7</v>
      </c>
      <c r="F2752">
        <v>110</v>
      </c>
      <c r="G2752" t="str">
        <f>VLOOKUP(Table1_2[[#This Row],[Categories]],Sheet3!$A$1:$B$27,2,FALSE)</f>
        <v>Food &amp;Beverage</v>
      </c>
    </row>
    <row r="2753" spans="1:7" x14ac:dyDescent="0.3">
      <c r="A2753" t="s">
        <v>33</v>
      </c>
      <c r="B2753">
        <v>2015</v>
      </c>
      <c r="C2753" t="s">
        <v>45</v>
      </c>
      <c r="D2753" s="2">
        <v>42309</v>
      </c>
      <c r="E2753" t="s">
        <v>8</v>
      </c>
      <c r="F2753">
        <v>123.7</v>
      </c>
      <c r="G2753" t="str">
        <f>VLOOKUP(Table1_2[[#This Row],[Categories]],Sheet3!$A$1:$B$27,2,FALSE)</f>
        <v>Food &amp;Beverage</v>
      </c>
    </row>
    <row r="2754" spans="1:7" x14ac:dyDescent="0.3">
      <c r="A2754" t="s">
        <v>33</v>
      </c>
      <c r="B2754">
        <v>2015</v>
      </c>
      <c r="C2754" t="s">
        <v>45</v>
      </c>
      <c r="D2754" s="2">
        <v>42309</v>
      </c>
      <c r="E2754" t="s">
        <v>9</v>
      </c>
      <c r="F2754">
        <v>164.6</v>
      </c>
      <c r="G2754" t="str">
        <f>VLOOKUP(Table1_2[[#This Row],[Categories]],Sheet3!$A$1:$B$27,2,FALSE)</f>
        <v>Food &amp;Beverage</v>
      </c>
    </row>
    <row r="2755" spans="1:7" x14ac:dyDescent="0.3">
      <c r="A2755" t="s">
        <v>33</v>
      </c>
      <c r="B2755">
        <v>2015</v>
      </c>
      <c r="C2755" t="s">
        <v>45</v>
      </c>
      <c r="D2755" s="2">
        <v>42309</v>
      </c>
      <c r="E2755" t="s">
        <v>10</v>
      </c>
      <c r="F2755">
        <v>191.6</v>
      </c>
      <c r="G2755" t="str">
        <f>VLOOKUP(Table1_2[[#This Row],[Categories]],Sheet3!$A$1:$B$27,2,FALSE)</f>
        <v>Food &amp;Beverage</v>
      </c>
    </row>
    <row r="2756" spans="1:7" x14ac:dyDescent="0.3">
      <c r="A2756" t="s">
        <v>33</v>
      </c>
      <c r="B2756">
        <v>2015</v>
      </c>
      <c r="C2756" t="s">
        <v>45</v>
      </c>
      <c r="D2756" s="2">
        <v>42309</v>
      </c>
      <c r="E2756" t="s">
        <v>11</v>
      </c>
      <c r="F2756">
        <v>90.8</v>
      </c>
      <c r="G2756" t="str">
        <f>VLOOKUP(Table1_2[[#This Row],[Categories]],Sheet3!$A$1:$B$27,2,FALSE)</f>
        <v>Food &amp;Beverage</v>
      </c>
    </row>
    <row r="2757" spans="1:7" x14ac:dyDescent="0.3">
      <c r="A2757" t="s">
        <v>33</v>
      </c>
      <c r="B2757">
        <v>2015</v>
      </c>
      <c r="C2757" t="s">
        <v>45</v>
      </c>
      <c r="D2757" s="2">
        <v>42309</v>
      </c>
      <c r="E2757" t="s">
        <v>12</v>
      </c>
      <c r="F2757">
        <v>137.1</v>
      </c>
      <c r="G2757" t="str">
        <f>VLOOKUP(Table1_2[[#This Row],[Categories]],Sheet3!$A$1:$B$27,2,FALSE)</f>
        <v>Food &amp;Beverage</v>
      </c>
    </row>
    <row r="2758" spans="1:7" x14ac:dyDescent="0.3">
      <c r="A2758" t="s">
        <v>33</v>
      </c>
      <c r="B2758">
        <v>2015</v>
      </c>
      <c r="C2758" t="s">
        <v>45</v>
      </c>
      <c r="D2758" s="2">
        <v>42309</v>
      </c>
      <c r="E2758" t="s">
        <v>13</v>
      </c>
      <c r="F2758">
        <v>119.8</v>
      </c>
      <c r="G2758" t="str">
        <f>VLOOKUP(Table1_2[[#This Row],[Categories]],Sheet3!$A$1:$B$27,2,FALSE)</f>
        <v>Food &amp;Beverage</v>
      </c>
    </row>
    <row r="2759" spans="1:7" x14ac:dyDescent="0.3">
      <c r="A2759" t="s">
        <v>33</v>
      </c>
      <c r="B2759">
        <v>2015</v>
      </c>
      <c r="C2759" t="s">
        <v>45</v>
      </c>
      <c r="D2759" s="2">
        <v>42309</v>
      </c>
      <c r="E2759" t="s">
        <v>14</v>
      </c>
      <c r="F2759">
        <v>133.69999999999999</v>
      </c>
      <c r="G2759" t="str">
        <f>VLOOKUP(Table1_2[[#This Row],[Categories]],Sheet3!$A$1:$B$27,2,FALSE)</f>
        <v>Food &amp;Beverage</v>
      </c>
    </row>
    <row r="2760" spans="1:7" x14ac:dyDescent="0.3">
      <c r="A2760" t="s">
        <v>33</v>
      </c>
      <c r="B2760">
        <v>2015</v>
      </c>
      <c r="C2760" t="s">
        <v>45</v>
      </c>
      <c r="D2760" s="2">
        <v>42309</v>
      </c>
      <c r="E2760" t="s">
        <v>15</v>
      </c>
      <c r="F2760">
        <v>133.30000000000001</v>
      </c>
      <c r="G2760" t="str">
        <f>VLOOKUP(Table1_2[[#This Row],[Categories]],Sheet3!$A$1:$B$27,2,FALSE)</f>
        <v>Food &amp;Beverage</v>
      </c>
    </row>
    <row r="2761" spans="1:7" x14ac:dyDescent="0.3">
      <c r="A2761" t="s">
        <v>33</v>
      </c>
      <c r="B2761">
        <v>2015</v>
      </c>
      <c r="C2761" t="s">
        <v>45</v>
      </c>
      <c r="D2761" s="2">
        <v>42309</v>
      </c>
      <c r="E2761" t="s">
        <v>16</v>
      </c>
      <c r="F2761">
        <v>137.6</v>
      </c>
      <c r="G2761" t="str">
        <f>VLOOKUP(Table1_2[[#This Row],[Categories]],Sheet3!$A$1:$B$27,2,FALSE)</f>
        <v>Recreation and amusement</v>
      </c>
    </row>
    <row r="2762" spans="1:7" x14ac:dyDescent="0.3">
      <c r="A2762" t="s">
        <v>33</v>
      </c>
      <c r="B2762">
        <v>2015</v>
      </c>
      <c r="C2762" t="s">
        <v>45</v>
      </c>
      <c r="D2762" s="2">
        <v>42309</v>
      </c>
      <c r="E2762" t="s">
        <v>17</v>
      </c>
      <c r="F2762">
        <v>125</v>
      </c>
      <c r="G2762" t="str">
        <f>VLOOKUP(Table1_2[[#This Row],[Categories]],Sheet3!$A$1:$B$27,2,FALSE)</f>
        <v>Clothing and footwear</v>
      </c>
    </row>
    <row r="2763" spans="1:7" x14ac:dyDescent="0.3">
      <c r="A2763" t="s">
        <v>33</v>
      </c>
      <c r="B2763">
        <v>2015</v>
      </c>
      <c r="C2763" t="s">
        <v>45</v>
      </c>
      <c r="D2763" s="2">
        <v>42309</v>
      </c>
      <c r="E2763" t="s">
        <v>18</v>
      </c>
      <c r="F2763">
        <v>119.3</v>
      </c>
      <c r="G2763" t="str">
        <f>VLOOKUP(Table1_2[[#This Row],[Categories]],Sheet3!$A$1:$B$27,2,FALSE)</f>
        <v>Clothing and footwear</v>
      </c>
    </row>
    <row r="2764" spans="1:7" x14ac:dyDescent="0.3">
      <c r="A2764" t="s">
        <v>33</v>
      </c>
      <c r="B2764">
        <v>2015</v>
      </c>
      <c r="C2764" t="s">
        <v>45</v>
      </c>
      <c r="D2764" s="2">
        <v>42309</v>
      </c>
      <c r="E2764" t="s">
        <v>19</v>
      </c>
      <c r="F2764">
        <v>124.2</v>
      </c>
      <c r="G2764" t="str">
        <f>VLOOKUP(Table1_2[[#This Row],[Categories]],Sheet3!$A$1:$B$27,2,FALSE)</f>
        <v>Clothing and footwear</v>
      </c>
    </row>
    <row r="2765" spans="1:7" x14ac:dyDescent="0.3">
      <c r="A2765" t="s">
        <v>33</v>
      </c>
      <c r="B2765">
        <v>2015</v>
      </c>
      <c r="C2765" t="s">
        <v>45</v>
      </c>
      <c r="D2765" s="2">
        <v>42309</v>
      </c>
      <c r="E2765" t="s">
        <v>20</v>
      </c>
      <c r="F2765">
        <v>122.9</v>
      </c>
      <c r="G2765" t="str">
        <f>VLOOKUP(Table1_2[[#This Row],[Categories]],Sheet3!$A$1:$B$27,2,FALSE)</f>
        <v>Housing</v>
      </c>
    </row>
    <row r="2766" spans="1:7" x14ac:dyDescent="0.3">
      <c r="A2766" t="s">
        <v>33</v>
      </c>
      <c r="B2766">
        <v>2015</v>
      </c>
      <c r="C2766" t="s">
        <v>45</v>
      </c>
      <c r="D2766" s="2">
        <v>42309</v>
      </c>
      <c r="E2766" t="s">
        <v>21</v>
      </c>
      <c r="F2766">
        <v>115.1</v>
      </c>
      <c r="G2766" t="str">
        <f>VLOOKUP(Table1_2[[#This Row],[Categories]],Sheet3!$A$1:$B$27,2,FALSE)</f>
        <v>Fuel and light</v>
      </c>
    </row>
    <row r="2767" spans="1:7" x14ac:dyDescent="0.3">
      <c r="A2767" t="s">
        <v>33</v>
      </c>
      <c r="B2767">
        <v>2015</v>
      </c>
      <c r="C2767" t="s">
        <v>45</v>
      </c>
      <c r="D2767" s="2">
        <v>42309</v>
      </c>
      <c r="E2767" t="s">
        <v>22</v>
      </c>
      <c r="F2767">
        <v>121</v>
      </c>
      <c r="G2767" t="str">
        <f>VLOOKUP(Table1_2[[#This Row],[Categories]],Sheet3!$A$1:$B$27,2,FALSE)</f>
        <v>Household Items</v>
      </c>
    </row>
    <row r="2768" spans="1:7" x14ac:dyDescent="0.3">
      <c r="A2768" t="s">
        <v>33</v>
      </c>
      <c r="B2768">
        <v>2015</v>
      </c>
      <c r="C2768" t="s">
        <v>45</v>
      </c>
      <c r="D2768" s="2">
        <v>42309</v>
      </c>
      <c r="E2768" t="s">
        <v>23</v>
      </c>
      <c r="F2768">
        <v>118.1</v>
      </c>
      <c r="G2768" t="str">
        <f>VLOOKUP(Table1_2[[#This Row],[Categories]],Sheet3!$A$1:$B$27,2,FALSE)</f>
        <v>Health</v>
      </c>
    </row>
    <row r="2769" spans="1:7" x14ac:dyDescent="0.3">
      <c r="A2769" t="s">
        <v>33</v>
      </c>
      <c r="B2769">
        <v>2015</v>
      </c>
      <c r="C2769" t="s">
        <v>45</v>
      </c>
      <c r="D2769" s="2">
        <v>42309</v>
      </c>
      <c r="E2769" t="s">
        <v>24</v>
      </c>
      <c r="F2769">
        <v>109.3</v>
      </c>
      <c r="G2769" t="str">
        <f>VLOOKUP(Table1_2[[#This Row],[Categories]],Sheet3!$A$1:$B$27,2,FALSE)</f>
        <v>Transport and communication</v>
      </c>
    </row>
    <row r="2770" spans="1:7" x14ac:dyDescent="0.3">
      <c r="A2770" t="s">
        <v>33</v>
      </c>
      <c r="B2770">
        <v>2015</v>
      </c>
      <c r="C2770" t="s">
        <v>45</v>
      </c>
      <c r="D2770" s="2">
        <v>42309</v>
      </c>
      <c r="E2770" t="s">
        <v>25</v>
      </c>
      <c r="F2770">
        <v>117.9</v>
      </c>
      <c r="G2770" t="str">
        <f>VLOOKUP(Table1_2[[#This Row],[Categories]],Sheet3!$A$1:$B$27,2,FALSE)</f>
        <v>Recreation and amusement</v>
      </c>
    </row>
    <row r="2771" spans="1:7" x14ac:dyDescent="0.3">
      <c r="A2771" t="s">
        <v>33</v>
      </c>
      <c r="B2771">
        <v>2015</v>
      </c>
      <c r="C2771" t="s">
        <v>45</v>
      </c>
      <c r="D2771" s="2">
        <v>42309</v>
      </c>
      <c r="E2771" t="s">
        <v>26</v>
      </c>
      <c r="F2771">
        <v>126.6</v>
      </c>
      <c r="G2771" t="str">
        <f>VLOOKUP(Table1_2[[#This Row],[Categories]],Sheet3!$A$1:$B$27,2,FALSE)</f>
        <v>Education</v>
      </c>
    </row>
    <row r="2772" spans="1:7" x14ac:dyDescent="0.3">
      <c r="A2772" t="s">
        <v>33</v>
      </c>
      <c r="B2772">
        <v>2015</v>
      </c>
      <c r="C2772" t="s">
        <v>45</v>
      </c>
      <c r="D2772" s="2">
        <v>42309</v>
      </c>
      <c r="E2772" t="s">
        <v>27</v>
      </c>
      <c r="F2772">
        <v>113.3</v>
      </c>
      <c r="G2772" t="str">
        <f>VLOOKUP(Table1_2[[#This Row],[Categories]],Sheet3!$A$1:$B$27,2,FALSE)</f>
        <v>Household Items</v>
      </c>
    </row>
    <row r="2773" spans="1:7" x14ac:dyDescent="0.3">
      <c r="A2773" t="s">
        <v>33</v>
      </c>
      <c r="B2773">
        <v>2015</v>
      </c>
      <c r="C2773" t="s">
        <v>45</v>
      </c>
      <c r="D2773" s="2">
        <v>42309</v>
      </c>
      <c r="E2773" t="s">
        <v>28</v>
      </c>
      <c r="F2773">
        <v>116.6</v>
      </c>
      <c r="G2773" t="str">
        <f>VLOOKUP(Table1_2[[#This Row],[Categories]],Sheet3!$A$1:$B$27,2,FALSE)</f>
        <v>Miscellaneous</v>
      </c>
    </row>
    <row r="2774" spans="1:7" x14ac:dyDescent="0.3">
      <c r="A2774" t="s">
        <v>33</v>
      </c>
      <c r="B2774">
        <v>2015</v>
      </c>
      <c r="C2774" t="s">
        <v>45</v>
      </c>
      <c r="D2774" s="2">
        <v>42309</v>
      </c>
      <c r="E2774" t="s">
        <v>29</v>
      </c>
      <c r="F2774">
        <v>124.6</v>
      </c>
      <c r="G2774" t="str">
        <f>VLOOKUP(Table1_2[[#This Row],[Categories]],Sheet3!$A$1:$B$27,2,FALSE)</f>
        <v>General index</v>
      </c>
    </row>
    <row r="2775" spans="1:7" x14ac:dyDescent="0.3">
      <c r="A2775" t="s">
        <v>34</v>
      </c>
      <c r="B2775">
        <v>2015</v>
      </c>
      <c r="C2775" t="s">
        <v>45</v>
      </c>
      <c r="D2775" s="2">
        <v>42309</v>
      </c>
      <c r="E2775" t="s">
        <v>3</v>
      </c>
      <c r="F2775">
        <v>125.4</v>
      </c>
      <c r="G2775" t="str">
        <f>VLOOKUP(Table1_2[[#This Row],[Categories]],Sheet3!$A$1:$B$27,2,FALSE)</f>
        <v>Food &amp;Beverage</v>
      </c>
    </row>
    <row r="2776" spans="1:7" x14ac:dyDescent="0.3">
      <c r="A2776" t="s">
        <v>34</v>
      </c>
      <c r="B2776">
        <v>2015</v>
      </c>
      <c r="C2776" t="s">
        <v>45</v>
      </c>
      <c r="D2776" s="2">
        <v>42309</v>
      </c>
      <c r="E2776" t="s">
        <v>4</v>
      </c>
      <c r="F2776">
        <v>130.30000000000001</v>
      </c>
      <c r="G2776" t="str">
        <f>VLOOKUP(Table1_2[[#This Row],[Categories]],Sheet3!$A$1:$B$27,2,FALSE)</f>
        <v>Food &amp;Beverage</v>
      </c>
    </row>
    <row r="2777" spans="1:7" x14ac:dyDescent="0.3">
      <c r="A2777" t="s">
        <v>34</v>
      </c>
      <c r="B2777">
        <v>2015</v>
      </c>
      <c r="C2777" t="s">
        <v>45</v>
      </c>
      <c r="D2777" s="2">
        <v>42309</v>
      </c>
      <c r="E2777" t="s">
        <v>5</v>
      </c>
      <c r="F2777">
        <v>121.6</v>
      </c>
      <c r="G2777" t="str">
        <f>VLOOKUP(Table1_2[[#This Row],[Categories]],Sheet3!$A$1:$B$27,2,FALSE)</f>
        <v>Food &amp;Beverage</v>
      </c>
    </row>
    <row r="2778" spans="1:7" x14ac:dyDescent="0.3">
      <c r="A2778" t="s">
        <v>34</v>
      </c>
      <c r="B2778">
        <v>2015</v>
      </c>
      <c r="C2778" t="s">
        <v>45</v>
      </c>
      <c r="D2778" s="2">
        <v>42309</v>
      </c>
      <c r="E2778" t="s">
        <v>6</v>
      </c>
      <c r="F2778">
        <v>129.19999999999999</v>
      </c>
      <c r="G2778" t="str">
        <f>VLOOKUP(Table1_2[[#This Row],[Categories]],Sheet3!$A$1:$B$27,2,FALSE)</f>
        <v>Food &amp;Beverage</v>
      </c>
    </row>
    <row r="2779" spans="1:7" x14ac:dyDescent="0.3">
      <c r="A2779" t="s">
        <v>34</v>
      </c>
      <c r="B2779">
        <v>2015</v>
      </c>
      <c r="C2779" t="s">
        <v>45</v>
      </c>
      <c r="D2779" s="2">
        <v>42309</v>
      </c>
      <c r="E2779" t="s">
        <v>7</v>
      </c>
      <c r="F2779">
        <v>114.9</v>
      </c>
      <c r="G2779" t="str">
        <f>VLOOKUP(Table1_2[[#This Row],[Categories]],Sheet3!$A$1:$B$27,2,FALSE)</f>
        <v>Food &amp;Beverage</v>
      </c>
    </row>
    <row r="2780" spans="1:7" x14ac:dyDescent="0.3">
      <c r="A2780" t="s">
        <v>34</v>
      </c>
      <c r="B2780">
        <v>2015</v>
      </c>
      <c r="C2780" t="s">
        <v>45</v>
      </c>
      <c r="D2780" s="2">
        <v>42309</v>
      </c>
      <c r="E2780" t="s">
        <v>8</v>
      </c>
      <c r="F2780">
        <v>128.19999999999999</v>
      </c>
      <c r="G2780" t="str">
        <f>VLOOKUP(Table1_2[[#This Row],[Categories]],Sheet3!$A$1:$B$27,2,FALSE)</f>
        <v>Food &amp;Beverage</v>
      </c>
    </row>
    <row r="2781" spans="1:7" x14ac:dyDescent="0.3">
      <c r="A2781" t="s">
        <v>34</v>
      </c>
      <c r="B2781">
        <v>2015</v>
      </c>
      <c r="C2781" t="s">
        <v>45</v>
      </c>
      <c r="D2781" s="2">
        <v>42309</v>
      </c>
      <c r="E2781" t="s">
        <v>9</v>
      </c>
      <c r="F2781">
        <v>158.4</v>
      </c>
      <c r="G2781" t="str">
        <f>VLOOKUP(Table1_2[[#This Row],[Categories]],Sheet3!$A$1:$B$27,2,FALSE)</f>
        <v>Food &amp;Beverage</v>
      </c>
    </row>
    <row r="2782" spans="1:7" x14ac:dyDescent="0.3">
      <c r="A2782" t="s">
        <v>34</v>
      </c>
      <c r="B2782">
        <v>2015</v>
      </c>
      <c r="C2782" t="s">
        <v>45</v>
      </c>
      <c r="D2782" s="2">
        <v>42309</v>
      </c>
      <c r="E2782" t="s">
        <v>10</v>
      </c>
      <c r="F2782">
        <v>171.2</v>
      </c>
      <c r="G2782" t="str">
        <f>VLOOKUP(Table1_2[[#This Row],[Categories]],Sheet3!$A$1:$B$27,2,FALSE)</f>
        <v>Food &amp;Beverage</v>
      </c>
    </row>
    <row r="2783" spans="1:7" x14ac:dyDescent="0.3">
      <c r="A2783" t="s">
        <v>34</v>
      </c>
      <c r="B2783">
        <v>2015</v>
      </c>
      <c r="C2783" t="s">
        <v>45</v>
      </c>
      <c r="D2783" s="2">
        <v>42309</v>
      </c>
      <c r="E2783" t="s">
        <v>11</v>
      </c>
      <c r="F2783">
        <v>93.3</v>
      </c>
      <c r="G2783" t="str">
        <f>VLOOKUP(Table1_2[[#This Row],[Categories]],Sheet3!$A$1:$B$27,2,FALSE)</f>
        <v>Food &amp;Beverage</v>
      </c>
    </row>
    <row r="2784" spans="1:7" x14ac:dyDescent="0.3">
      <c r="A2784" t="s">
        <v>34</v>
      </c>
      <c r="B2784">
        <v>2015</v>
      </c>
      <c r="C2784" t="s">
        <v>45</v>
      </c>
      <c r="D2784" s="2">
        <v>42309</v>
      </c>
      <c r="E2784" t="s">
        <v>12</v>
      </c>
      <c r="F2784">
        <v>131.19999999999999</v>
      </c>
      <c r="G2784" t="str">
        <f>VLOOKUP(Table1_2[[#This Row],[Categories]],Sheet3!$A$1:$B$27,2,FALSE)</f>
        <v>Food &amp;Beverage</v>
      </c>
    </row>
    <row r="2785" spans="1:7" x14ac:dyDescent="0.3">
      <c r="A2785" t="s">
        <v>34</v>
      </c>
      <c r="B2785">
        <v>2015</v>
      </c>
      <c r="C2785" t="s">
        <v>45</v>
      </c>
      <c r="D2785" s="2">
        <v>42309</v>
      </c>
      <c r="E2785" t="s">
        <v>13</v>
      </c>
      <c r="F2785">
        <v>121.7</v>
      </c>
      <c r="G2785" t="str">
        <f>VLOOKUP(Table1_2[[#This Row],[Categories]],Sheet3!$A$1:$B$27,2,FALSE)</f>
        <v>Food &amp;Beverage</v>
      </c>
    </row>
    <row r="2786" spans="1:7" x14ac:dyDescent="0.3">
      <c r="A2786" t="s">
        <v>34</v>
      </c>
      <c r="B2786">
        <v>2015</v>
      </c>
      <c r="C2786" t="s">
        <v>45</v>
      </c>
      <c r="D2786" s="2">
        <v>42309</v>
      </c>
      <c r="E2786" t="s">
        <v>14</v>
      </c>
      <c r="F2786">
        <v>134</v>
      </c>
      <c r="G2786" t="str">
        <f>VLOOKUP(Table1_2[[#This Row],[Categories]],Sheet3!$A$1:$B$27,2,FALSE)</f>
        <v>Food &amp;Beverage</v>
      </c>
    </row>
    <row r="2787" spans="1:7" x14ac:dyDescent="0.3">
      <c r="A2787" t="s">
        <v>34</v>
      </c>
      <c r="B2787">
        <v>2015</v>
      </c>
      <c r="C2787" t="s">
        <v>45</v>
      </c>
      <c r="D2787" s="2">
        <v>42309</v>
      </c>
      <c r="E2787" t="s">
        <v>15</v>
      </c>
      <c r="F2787">
        <v>132.69999999999999</v>
      </c>
      <c r="G2787" t="str">
        <f>VLOOKUP(Table1_2[[#This Row],[Categories]],Sheet3!$A$1:$B$27,2,FALSE)</f>
        <v>Food &amp;Beverage</v>
      </c>
    </row>
    <row r="2788" spans="1:7" x14ac:dyDescent="0.3">
      <c r="A2788" t="s">
        <v>34</v>
      </c>
      <c r="B2788">
        <v>2015</v>
      </c>
      <c r="C2788" t="s">
        <v>45</v>
      </c>
      <c r="D2788" s="2">
        <v>42309</v>
      </c>
      <c r="E2788" t="s">
        <v>16</v>
      </c>
      <c r="F2788">
        <v>133.6</v>
      </c>
      <c r="G2788" t="str">
        <f>VLOOKUP(Table1_2[[#This Row],[Categories]],Sheet3!$A$1:$B$27,2,FALSE)</f>
        <v>Recreation and amusement</v>
      </c>
    </row>
    <row r="2789" spans="1:7" x14ac:dyDescent="0.3">
      <c r="A2789" t="s">
        <v>34</v>
      </c>
      <c r="B2789">
        <v>2015</v>
      </c>
      <c r="C2789" t="s">
        <v>45</v>
      </c>
      <c r="D2789" s="2">
        <v>42309</v>
      </c>
      <c r="E2789" t="s">
        <v>17</v>
      </c>
      <c r="F2789">
        <v>129.30000000000001</v>
      </c>
      <c r="G2789" t="str">
        <f>VLOOKUP(Table1_2[[#This Row],[Categories]],Sheet3!$A$1:$B$27,2,FALSE)</f>
        <v>Clothing and footwear</v>
      </c>
    </row>
    <row r="2790" spans="1:7" x14ac:dyDescent="0.3">
      <c r="A2790" t="s">
        <v>34</v>
      </c>
      <c r="B2790">
        <v>2015</v>
      </c>
      <c r="C2790" t="s">
        <v>45</v>
      </c>
      <c r="D2790" s="2">
        <v>42309</v>
      </c>
      <c r="E2790" t="s">
        <v>18</v>
      </c>
      <c r="F2790">
        <v>124.5</v>
      </c>
      <c r="G2790" t="str">
        <f>VLOOKUP(Table1_2[[#This Row],[Categories]],Sheet3!$A$1:$B$27,2,FALSE)</f>
        <v>Clothing and footwear</v>
      </c>
    </row>
    <row r="2791" spans="1:7" x14ac:dyDescent="0.3">
      <c r="A2791" t="s">
        <v>34</v>
      </c>
      <c r="B2791">
        <v>2015</v>
      </c>
      <c r="C2791" t="s">
        <v>45</v>
      </c>
      <c r="D2791" s="2">
        <v>42309</v>
      </c>
      <c r="E2791" t="s">
        <v>19</v>
      </c>
      <c r="F2791">
        <v>128.6</v>
      </c>
      <c r="G2791" t="str">
        <f>VLOOKUP(Table1_2[[#This Row],[Categories]],Sheet3!$A$1:$B$27,2,FALSE)</f>
        <v>Clothing and footwear</v>
      </c>
    </row>
    <row r="2792" spans="1:7" x14ac:dyDescent="0.3">
      <c r="A2792" t="s">
        <v>34</v>
      </c>
      <c r="B2792">
        <v>2015</v>
      </c>
      <c r="C2792" t="s">
        <v>45</v>
      </c>
      <c r="D2792" s="2">
        <v>42309</v>
      </c>
      <c r="E2792" t="s">
        <v>20</v>
      </c>
      <c r="F2792">
        <v>122.9</v>
      </c>
      <c r="G2792" t="str">
        <f>VLOOKUP(Table1_2[[#This Row],[Categories]],Sheet3!$A$1:$B$27,2,FALSE)</f>
        <v>Housing</v>
      </c>
    </row>
    <row r="2793" spans="1:7" x14ac:dyDescent="0.3">
      <c r="A2793" t="s">
        <v>34</v>
      </c>
      <c r="B2793">
        <v>2015</v>
      </c>
      <c r="C2793" t="s">
        <v>45</v>
      </c>
      <c r="D2793" s="2">
        <v>42309</v>
      </c>
      <c r="E2793" t="s">
        <v>21</v>
      </c>
      <c r="F2793">
        <v>121.6</v>
      </c>
      <c r="G2793" t="str">
        <f>VLOOKUP(Table1_2[[#This Row],[Categories]],Sheet3!$A$1:$B$27,2,FALSE)</f>
        <v>Fuel and light</v>
      </c>
    </row>
    <row r="2794" spans="1:7" x14ac:dyDescent="0.3">
      <c r="A2794" t="s">
        <v>34</v>
      </c>
      <c r="B2794">
        <v>2015</v>
      </c>
      <c r="C2794" t="s">
        <v>45</v>
      </c>
      <c r="D2794" s="2">
        <v>42309</v>
      </c>
      <c r="E2794" t="s">
        <v>22</v>
      </c>
      <c r="F2794">
        <v>123.4</v>
      </c>
      <c r="G2794" t="str">
        <f>VLOOKUP(Table1_2[[#This Row],[Categories]],Sheet3!$A$1:$B$27,2,FALSE)</f>
        <v>Household Items</v>
      </c>
    </row>
    <row r="2795" spans="1:7" x14ac:dyDescent="0.3">
      <c r="A2795" t="s">
        <v>34</v>
      </c>
      <c r="B2795">
        <v>2015</v>
      </c>
      <c r="C2795" t="s">
        <v>45</v>
      </c>
      <c r="D2795" s="2">
        <v>42309</v>
      </c>
      <c r="E2795" t="s">
        <v>23</v>
      </c>
      <c r="F2795">
        <v>120.9</v>
      </c>
      <c r="G2795" t="str">
        <f>VLOOKUP(Table1_2[[#This Row],[Categories]],Sheet3!$A$1:$B$27,2,FALSE)</f>
        <v>Health</v>
      </c>
    </row>
    <row r="2796" spans="1:7" x14ac:dyDescent="0.3">
      <c r="A2796" t="s">
        <v>34</v>
      </c>
      <c r="B2796">
        <v>2015</v>
      </c>
      <c r="C2796" t="s">
        <v>45</v>
      </c>
      <c r="D2796" s="2">
        <v>42309</v>
      </c>
      <c r="E2796" t="s">
        <v>24</v>
      </c>
      <c r="F2796">
        <v>111.5</v>
      </c>
      <c r="G2796" t="str">
        <f>VLOOKUP(Table1_2[[#This Row],[Categories]],Sheet3!$A$1:$B$27,2,FALSE)</f>
        <v>Transport and communication</v>
      </c>
    </row>
    <row r="2797" spans="1:7" x14ac:dyDescent="0.3">
      <c r="A2797" t="s">
        <v>34</v>
      </c>
      <c r="B2797">
        <v>2015</v>
      </c>
      <c r="C2797" t="s">
        <v>45</v>
      </c>
      <c r="D2797" s="2">
        <v>42309</v>
      </c>
      <c r="E2797" t="s">
        <v>25</v>
      </c>
      <c r="F2797">
        <v>119.2</v>
      </c>
      <c r="G2797" t="str">
        <f>VLOOKUP(Table1_2[[#This Row],[Categories]],Sheet3!$A$1:$B$27,2,FALSE)</f>
        <v>Recreation and amusement</v>
      </c>
    </row>
    <row r="2798" spans="1:7" x14ac:dyDescent="0.3">
      <c r="A2798" t="s">
        <v>34</v>
      </c>
      <c r="B2798">
        <v>2015</v>
      </c>
      <c r="C2798" t="s">
        <v>45</v>
      </c>
      <c r="D2798" s="2">
        <v>42309</v>
      </c>
      <c r="E2798" t="s">
        <v>26</v>
      </c>
      <c r="F2798">
        <v>126.3</v>
      </c>
      <c r="G2798" t="str">
        <f>VLOOKUP(Table1_2[[#This Row],[Categories]],Sheet3!$A$1:$B$27,2,FALSE)</f>
        <v>Education</v>
      </c>
    </row>
    <row r="2799" spans="1:7" x14ac:dyDescent="0.3">
      <c r="A2799" t="s">
        <v>34</v>
      </c>
      <c r="B2799">
        <v>2015</v>
      </c>
      <c r="C2799" t="s">
        <v>45</v>
      </c>
      <c r="D2799" s="2">
        <v>42309</v>
      </c>
      <c r="E2799" t="s">
        <v>27</v>
      </c>
      <c r="F2799">
        <v>113.8</v>
      </c>
      <c r="G2799" t="str">
        <f>VLOOKUP(Table1_2[[#This Row],[Categories]],Sheet3!$A$1:$B$27,2,FALSE)</f>
        <v>Household Items</v>
      </c>
    </row>
    <row r="2800" spans="1:7" x14ac:dyDescent="0.3">
      <c r="A2800" t="s">
        <v>34</v>
      </c>
      <c r="B2800">
        <v>2015</v>
      </c>
      <c r="C2800" t="s">
        <v>45</v>
      </c>
      <c r="D2800" s="2">
        <v>42309</v>
      </c>
      <c r="E2800" t="s">
        <v>28</v>
      </c>
      <c r="F2800">
        <v>118.1</v>
      </c>
      <c r="G2800" t="str">
        <f>VLOOKUP(Table1_2[[#This Row],[Categories]],Sheet3!$A$1:$B$27,2,FALSE)</f>
        <v>Miscellaneous</v>
      </c>
    </row>
    <row r="2801" spans="1:7" x14ac:dyDescent="0.3">
      <c r="A2801" t="s">
        <v>34</v>
      </c>
      <c r="B2801">
        <v>2015</v>
      </c>
      <c r="C2801" t="s">
        <v>45</v>
      </c>
      <c r="D2801" s="2">
        <v>42309</v>
      </c>
      <c r="E2801" t="s">
        <v>29</v>
      </c>
      <c r="F2801">
        <v>126.6</v>
      </c>
      <c r="G2801" t="str">
        <f>VLOOKUP(Table1_2[[#This Row],[Categories]],Sheet3!$A$1:$B$27,2,FALSE)</f>
        <v>General index</v>
      </c>
    </row>
    <row r="2802" spans="1:7" x14ac:dyDescent="0.3">
      <c r="A2802" t="s">
        <v>30</v>
      </c>
      <c r="B2802">
        <v>2015</v>
      </c>
      <c r="C2802" t="s">
        <v>46</v>
      </c>
      <c r="D2802" s="2">
        <v>42339</v>
      </c>
      <c r="E2802" t="s">
        <v>3</v>
      </c>
      <c r="F2802">
        <v>126.3</v>
      </c>
      <c r="G2802" t="str">
        <f>VLOOKUP(Table1_2[[#This Row],[Categories]],Sheet3!$A$1:$B$27,2,FALSE)</f>
        <v>Food &amp;Beverage</v>
      </c>
    </row>
    <row r="2803" spans="1:7" x14ac:dyDescent="0.3">
      <c r="A2803" t="s">
        <v>30</v>
      </c>
      <c r="B2803">
        <v>2015</v>
      </c>
      <c r="C2803" t="s">
        <v>46</v>
      </c>
      <c r="D2803" s="2">
        <v>42339</v>
      </c>
      <c r="E2803" t="s">
        <v>4</v>
      </c>
      <c r="F2803">
        <v>131.30000000000001</v>
      </c>
      <c r="G2803" t="str">
        <f>VLOOKUP(Table1_2[[#This Row],[Categories]],Sheet3!$A$1:$B$27,2,FALSE)</f>
        <v>Food &amp;Beverage</v>
      </c>
    </row>
    <row r="2804" spans="1:7" x14ac:dyDescent="0.3">
      <c r="A2804" t="s">
        <v>30</v>
      </c>
      <c r="B2804">
        <v>2015</v>
      </c>
      <c r="C2804" t="s">
        <v>46</v>
      </c>
      <c r="D2804" s="2">
        <v>42339</v>
      </c>
      <c r="E2804" t="s">
        <v>5</v>
      </c>
      <c r="F2804">
        <v>123.3</v>
      </c>
      <c r="G2804" t="str">
        <f>VLOOKUP(Table1_2[[#This Row],[Categories]],Sheet3!$A$1:$B$27,2,FALSE)</f>
        <v>Food &amp;Beverage</v>
      </c>
    </row>
    <row r="2805" spans="1:7" x14ac:dyDescent="0.3">
      <c r="A2805" t="s">
        <v>30</v>
      </c>
      <c r="B2805">
        <v>2015</v>
      </c>
      <c r="C2805" t="s">
        <v>46</v>
      </c>
      <c r="D2805" s="2">
        <v>42339</v>
      </c>
      <c r="E2805" t="s">
        <v>6</v>
      </c>
      <c r="F2805">
        <v>129.80000000000001</v>
      </c>
      <c r="G2805" t="str">
        <f>VLOOKUP(Table1_2[[#This Row],[Categories]],Sheet3!$A$1:$B$27,2,FALSE)</f>
        <v>Food &amp;Beverage</v>
      </c>
    </row>
    <row r="2806" spans="1:7" x14ac:dyDescent="0.3">
      <c r="A2806" t="s">
        <v>30</v>
      </c>
      <c r="B2806">
        <v>2015</v>
      </c>
      <c r="C2806" t="s">
        <v>46</v>
      </c>
      <c r="D2806" s="2">
        <v>42339</v>
      </c>
      <c r="E2806" t="s">
        <v>7</v>
      </c>
      <c r="F2806">
        <v>118.3</v>
      </c>
      <c r="G2806" t="str">
        <f>VLOOKUP(Table1_2[[#This Row],[Categories]],Sheet3!$A$1:$B$27,2,FALSE)</f>
        <v>Food &amp;Beverage</v>
      </c>
    </row>
    <row r="2807" spans="1:7" x14ac:dyDescent="0.3">
      <c r="A2807" t="s">
        <v>30</v>
      </c>
      <c r="B2807">
        <v>2015</v>
      </c>
      <c r="C2807" t="s">
        <v>46</v>
      </c>
      <c r="D2807" s="2">
        <v>42339</v>
      </c>
      <c r="E2807" t="s">
        <v>8</v>
      </c>
      <c r="F2807">
        <v>131.6</v>
      </c>
      <c r="G2807" t="str">
        <f>VLOOKUP(Table1_2[[#This Row],[Categories]],Sheet3!$A$1:$B$27,2,FALSE)</f>
        <v>Food &amp;Beverage</v>
      </c>
    </row>
    <row r="2808" spans="1:7" x14ac:dyDescent="0.3">
      <c r="A2808" t="s">
        <v>30</v>
      </c>
      <c r="B2808">
        <v>2015</v>
      </c>
      <c r="C2808" t="s">
        <v>46</v>
      </c>
      <c r="D2808" s="2">
        <v>42339</v>
      </c>
      <c r="E2808" t="s">
        <v>9</v>
      </c>
      <c r="F2808">
        <v>145.5</v>
      </c>
      <c r="G2808" t="str">
        <f>VLOOKUP(Table1_2[[#This Row],[Categories]],Sheet3!$A$1:$B$27,2,FALSE)</f>
        <v>Food &amp;Beverage</v>
      </c>
    </row>
    <row r="2809" spans="1:7" x14ac:dyDescent="0.3">
      <c r="A2809" t="s">
        <v>30</v>
      </c>
      <c r="B2809">
        <v>2015</v>
      </c>
      <c r="C2809" t="s">
        <v>46</v>
      </c>
      <c r="D2809" s="2">
        <v>42339</v>
      </c>
      <c r="E2809" t="s">
        <v>10</v>
      </c>
      <c r="F2809">
        <v>162.1</v>
      </c>
      <c r="G2809" t="str">
        <f>VLOOKUP(Table1_2[[#This Row],[Categories]],Sheet3!$A$1:$B$27,2,FALSE)</f>
        <v>Food &amp;Beverage</v>
      </c>
    </row>
    <row r="2810" spans="1:7" x14ac:dyDescent="0.3">
      <c r="A2810" t="s">
        <v>30</v>
      </c>
      <c r="B2810">
        <v>2015</v>
      </c>
      <c r="C2810" t="s">
        <v>46</v>
      </c>
      <c r="D2810" s="2">
        <v>42339</v>
      </c>
      <c r="E2810" t="s">
        <v>11</v>
      </c>
      <c r="F2810">
        <v>95.4</v>
      </c>
      <c r="G2810" t="str">
        <f>VLOOKUP(Table1_2[[#This Row],[Categories]],Sheet3!$A$1:$B$27,2,FALSE)</f>
        <v>Food &amp;Beverage</v>
      </c>
    </row>
    <row r="2811" spans="1:7" x14ac:dyDescent="0.3">
      <c r="A2811" t="s">
        <v>30</v>
      </c>
      <c r="B2811">
        <v>2015</v>
      </c>
      <c r="C2811" t="s">
        <v>46</v>
      </c>
      <c r="D2811" s="2">
        <v>42339</v>
      </c>
      <c r="E2811" t="s">
        <v>12</v>
      </c>
      <c r="F2811">
        <v>128.9</v>
      </c>
      <c r="G2811" t="str">
        <f>VLOOKUP(Table1_2[[#This Row],[Categories]],Sheet3!$A$1:$B$27,2,FALSE)</f>
        <v>Food &amp;Beverage</v>
      </c>
    </row>
    <row r="2812" spans="1:7" x14ac:dyDescent="0.3">
      <c r="A2812" t="s">
        <v>30</v>
      </c>
      <c r="B2812">
        <v>2015</v>
      </c>
      <c r="C2812" t="s">
        <v>46</v>
      </c>
      <c r="D2812" s="2">
        <v>42339</v>
      </c>
      <c r="E2812" t="s">
        <v>13</v>
      </c>
      <c r="F2812">
        <v>123.3</v>
      </c>
      <c r="G2812" t="str">
        <f>VLOOKUP(Table1_2[[#This Row],[Categories]],Sheet3!$A$1:$B$27,2,FALSE)</f>
        <v>Food &amp;Beverage</v>
      </c>
    </row>
    <row r="2813" spans="1:7" x14ac:dyDescent="0.3">
      <c r="A2813" t="s">
        <v>30</v>
      </c>
      <c r="B2813">
        <v>2015</v>
      </c>
      <c r="C2813" t="s">
        <v>46</v>
      </c>
      <c r="D2813" s="2">
        <v>42339</v>
      </c>
      <c r="E2813" t="s">
        <v>14</v>
      </c>
      <c r="F2813">
        <v>135.1</v>
      </c>
      <c r="G2813" t="str">
        <f>VLOOKUP(Table1_2[[#This Row],[Categories]],Sheet3!$A$1:$B$27,2,FALSE)</f>
        <v>Food &amp;Beverage</v>
      </c>
    </row>
    <row r="2814" spans="1:7" x14ac:dyDescent="0.3">
      <c r="A2814" t="s">
        <v>30</v>
      </c>
      <c r="B2814">
        <v>2015</v>
      </c>
      <c r="C2814" t="s">
        <v>46</v>
      </c>
      <c r="D2814" s="2">
        <v>42339</v>
      </c>
      <c r="E2814" t="s">
        <v>15</v>
      </c>
      <c r="F2814">
        <v>131.4</v>
      </c>
      <c r="G2814" t="str">
        <f>VLOOKUP(Table1_2[[#This Row],[Categories]],Sheet3!$A$1:$B$27,2,FALSE)</f>
        <v>Food &amp;Beverage</v>
      </c>
    </row>
    <row r="2815" spans="1:7" x14ac:dyDescent="0.3">
      <c r="A2815" t="s">
        <v>30</v>
      </c>
      <c r="B2815">
        <v>2015</v>
      </c>
      <c r="C2815" t="s">
        <v>46</v>
      </c>
      <c r="D2815" s="2">
        <v>42339</v>
      </c>
      <c r="E2815" t="s">
        <v>16</v>
      </c>
      <c r="F2815">
        <v>133.1</v>
      </c>
      <c r="G2815" t="str">
        <f>VLOOKUP(Table1_2[[#This Row],[Categories]],Sheet3!$A$1:$B$27,2,FALSE)</f>
        <v>Recreation and amusement</v>
      </c>
    </row>
    <row r="2816" spans="1:7" x14ac:dyDescent="0.3">
      <c r="A2816" t="s">
        <v>30</v>
      </c>
      <c r="B2816">
        <v>2015</v>
      </c>
      <c r="C2816" t="s">
        <v>46</v>
      </c>
      <c r="D2816" s="2">
        <v>42339</v>
      </c>
      <c r="E2816" t="s">
        <v>17</v>
      </c>
      <c r="F2816">
        <v>132.5</v>
      </c>
      <c r="G2816" t="str">
        <f>VLOOKUP(Table1_2[[#This Row],[Categories]],Sheet3!$A$1:$B$27,2,FALSE)</f>
        <v>Clothing and footwear</v>
      </c>
    </row>
    <row r="2817" spans="1:7" x14ac:dyDescent="0.3">
      <c r="A2817" t="s">
        <v>30</v>
      </c>
      <c r="B2817">
        <v>2015</v>
      </c>
      <c r="C2817" t="s">
        <v>46</v>
      </c>
      <c r="D2817" s="2">
        <v>42339</v>
      </c>
      <c r="E2817" t="s">
        <v>18</v>
      </c>
      <c r="F2817">
        <v>128.5</v>
      </c>
      <c r="G2817" t="str">
        <f>VLOOKUP(Table1_2[[#This Row],[Categories]],Sheet3!$A$1:$B$27,2,FALSE)</f>
        <v>Clothing and footwear</v>
      </c>
    </row>
    <row r="2818" spans="1:7" x14ac:dyDescent="0.3">
      <c r="A2818" t="s">
        <v>30</v>
      </c>
      <c r="B2818">
        <v>2015</v>
      </c>
      <c r="C2818" t="s">
        <v>46</v>
      </c>
      <c r="D2818" s="2">
        <v>42339</v>
      </c>
      <c r="E2818" t="s">
        <v>19</v>
      </c>
      <c r="F2818">
        <v>131.9</v>
      </c>
      <c r="G2818" t="str">
        <f>VLOOKUP(Table1_2[[#This Row],[Categories]],Sheet3!$A$1:$B$27,2,FALSE)</f>
        <v>Clothing and footwear</v>
      </c>
    </row>
    <row r="2819" spans="1:7" x14ac:dyDescent="0.3">
      <c r="A2819" t="s">
        <v>30</v>
      </c>
      <c r="B2819">
        <v>2015</v>
      </c>
      <c r="C2819" t="s">
        <v>46</v>
      </c>
      <c r="D2819" s="2">
        <v>42339</v>
      </c>
      <c r="E2819" t="s">
        <v>21</v>
      </c>
      <c r="F2819">
        <v>125.7</v>
      </c>
      <c r="G2819" t="str">
        <f>VLOOKUP(Table1_2[[#This Row],[Categories]],Sheet3!$A$1:$B$27,2,FALSE)</f>
        <v>Fuel and light</v>
      </c>
    </row>
    <row r="2820" spans="1:7" x14ac:dyDescent="0.3">
      <c r="A2820" t="s">
        <v>30</v>
      </c>
      <c r="B2820">
        <v>2015</v>
      </c>
      <c r="C2820" t="s">
        <v>46</v>
      </c>
      <c r="D2820" s="2">
        <v>42339</v>
      </c>
      <c r="E2820" t="s">
        <v>22</v>
      </c>
      <c r="F2820">
        <v>126</v>
      </c>
      <c r="G2820" t="str">
        <f>VLOOKUP(Table1_2[[#This Row],[Categories]],Sheet3!$A$1:$B$27,2,FALSE)</f>
        <v>Household Items</v>
      </c>
    </row>
    <row r="2821" spans="1:7" x14ac:dyDescent="0.3">
      <c r="A2821" t="s">
        <v>30</v>
      </c>
      <c r="B2821">
        <v>2015</v>
      </c>
      <c r="C2821" t="s">
        <v>46</v>
      </c>
      <c r="D2821" s="2">
        <v>42339</v>
      </c>
      <c r="E2821" t="s">
        <v>23</v>
      </c>
      <c r="F2821">
        <v>123.1</v>
      </c>
      <c r="G2821" t="str">
        <f>VLOOKUP(Table1_2[[#This Row],[Categories]],Sheet3!$A$1:$B$27,2,FALSE)</f>
        <v>Health</v>
      </c>
    </row>
    <row r="2822" spans="1:7" x14ac:dyDescent="0.3">
      <c r="A2822" t="s">
        <v>30</v>
      </c>
      <c r="B2822">
        <v>2015</v>
      </c>
      <c r="C2822" t="s">
        <v>46</v>
      </c>
      <c r="D2822" s="2">
        <v>42339</v>
      </c>
      <c r="E2822" t="s">
        <v>24</v>
      </c>
      <c r="F2822">
        <v>114</v>
      </c>
      <c r="G2822" t="str">
        <f>VLOOKUP(Table1_2[[#This Row],[Categories]],Sheet3!$A$1:$B$27,2,FALSE)</f>
        <v>Transport and communication</v>
      </c>
    </row>
    <row r="2823" spans="1:7" x14ac:dyDescent="0.3">
      <c r="A2823" t="s">
        <v>30</v>
      </c>
      <c r="B2823">
        <v>2015</v>
      </c>
      <c r="C2823" t="s">
        <v>46</v>
      </c>
      <c r="D2823" s="2">
        <v>42339</v>
      </c>
      <c r="E2823" t="s">
        <v>25</v>
      </c>
      <c r="F2823">
        <v>121.6</v>
      </c>
      <c r="G2823" t="str">
        <f>VLOOKUP(Table1_2[[#This Row],[Categories]],Sheet3!$A$1:$B$27,2,FALSE)</f>
        <v>Recreation and amusement</v>
      </c>
    </row>
    <row r="2824" spans="1:7" x14ac:dyDescent="0.3">
      <c r="A2824" t="s">
        <v>30</v>
      </c>
      <c r="B2824">
        <v>2015</v>
      </c>
      <c r="C2824" t="s">
        <v>46</v>
      </c>
      <c r="D2824" s="2">
        <v>42339</v>
      </c>
      <c r="E2824" t="s">
        <v>26</v>
      </c>
      <c r="F2824">
        <v>125.6</v>
      </c>
      <c r="G2824" t="str">
        <f>VLOOKUP(Table1_2[[#This Row],[Categories]],Sheet3!$A$1:$B$27,2,FALSE)</f>
        <v>Education</v>
      </c>
    </row>
    <row r="2825" spans="1:7" x14ac:dyDescent="0.3">
      <c r="A2825" t="s">
        <v>30</v>
      </c>
      <c r="B2825">
        <v>2015</v>
      </c>
      <c r="C2825" t="s">
        <v>46</v>
      </c>
      <c r="D2825" s="2">
        <v>42339</v>
      </c>
      <c r="E2825" t="s">
        <v>27</v>
      </c>
      <c r="F2825">
        <v>114.1</v>
      </c>
      <c r="G2825" t="str">
        <f>VLOOKUP(Table1_2[[#This Row],[Categories]],Sheet3!$A$1:$B$27,2,FALSE)</f>
        <v>Household Items</v>
      </c>
    </row>
    <row r="2826" spans="1:7" x14ac:dyDescent="0.3">
      <c r="A2826" t="s">
        <v>30</v>
      </c>
      <c r="B2826">
        <v>2015</v>
      </c>
      <c r="C2826" t="s">
        <v>46</v>
      </c>
      <c r="D2826" s="2">
        <v>42339</v>
      </c>
      <c r="E2826" t="s">
        <v>28</v>
      </c>
      <c r="F2826">
        <v>119.8</v>
      </c>
      <c r="G2826" t="str">
        <f>VLOOKUP(Table1_2[[#This Row],[Categories]],Sheet3!$A$1:$B$27,2,FALSE)</f>
        <v>Miscellaneous</v>
      </c>
    </row>
    <row r="2827" spans="1:7" x14ac:dyDescent="0.3">
      <c r="A2827" t="s">
        <v>30</v>
      </c>
      <c r="B2827">
        <v>2015</v>
      </c>
      <c r="C2827" t="s">
        <v>46</v>
      </c>
      <c r="D2827" s="2">
        <v>42339</v>
      </c>
      <c r="E2827" t="s">
        <v>29</v>
      </c>
      <c r="F2827">
        <v>127.9</v>
      </c>
      <c r="G2827" t="str">
        <f>VLOOKUP(Table1_2[[#This Row],[Categories]],Sheet3!$A$1:$B$27,2,FALSE)</f>
        <v>General index</v>
      </c>
    </row>
    <row r="2828" spans="1:7" x14ac:dyDescent="0.3">
      <c r="A2828" t="s">
        <v>33</v>
      </c>
      <c r="B2828">
        <v>2015</v>
      </c>
      <c r="C2828" t="s">
        <v>46</v>
      </c>
      <c r="D2828" s="2">
        <v>42339</v>
      </c>
      <c r="E2828" t="s">
        <v>3</v>
      </c>
      <c r="F2828">
        <v>124.3</v>
      </c>
      <c r="G2828" t="str">
        <f>VLOOKUP(Table1_2[[#This Row],[Categories]],Sheet3!$A$1:$B$27,2,FALSE)</f>
        <v>Food &amp;Beverage</v>
      </c>
    </row>
    <row r="2829" spans="1:7" x14ac:dyDescent="0.3">
      <c r="A2829" t="s">
        <v>33</v>
      </c>
      <c r="B2829">
        <v>2015</v>
      </c>
      <c r="C2829" t="s">
        <v>46</v>
      </c>
      <c r="D2829" s="2">
        <v>42339</v>
      </c>
      <c r="E2829" t="s">
        <v>4</v>
      </c>
      <c r="F2829">
        <v>131.69999999999999</v>
      </c>
      <c r="G2829" t="str">
        <f>VLOOKUP(Table1_2[[#This Row],[Categories]],Sheet3!$A$1:$B$27,2,FALSE)</f>
        <v>Food &amp;Beverage</v>
      </c>
    </row>
    <row r="2830" spans="1:7" x14ac:dyDescent="0.3">
      <c r="A2830" t="s">
        <v>33</v>
      </c>
      <c r="B2830">
        <v>2015</v>
      </c>
      <c r="C2830" t="s">
        <v>46</v>
      </c>
      <c r="D2830" s="2">
        <v>42339</v>
      </c>
      <c r="E2830" t="s">
        <v>5</v>
      </c>
      <c r="F2830">
        <v>127.1</v>
      </c>
      <c r="G2830" t="str">
        <f>VLOOKUP(Table1_2[[#This Row],[Categories]],Sheet3!$A$1:$B$27,2,FALSE)</f>
        <v>Food &amp;Beverage</v>
      </c>
    </row>
    <row r="2831" spans="1:7" x14ac:dyDescent="0.3">
      <c r="A2831" t="s">
        <v>33</v>
      </c>
      <c r="B2831">
        <v>2015</v>
      </c>
      <c r="C2831" t="s">
        <v>46</v>
      </c>
      <c r="D2831" s="2">
        <v>42339</v>
      </c>
      <c r="E2831" t="s">
        <v>6</v>
      </c>
      <c r="F2831">
        <v>128.6</v>
      </c>
      <c r="G2831" t="str">
        <f>VLOOKUP(Table1_2[[#This Row],[Categories]],Sheet3!$A$1:$B$27,2,FALSE)</f>
        <v>Food &amp;Beverage</v>
      </c>
    </row>
    <row r="2832" spans="1:7" x14ac:dyDescent="0.3">
      <c r="A2832" t="s">
        <v>33</v>
      </c>
      <c r="B2832">
        <v>2015</v>
      </c>
      <c r="C2832" t="s">
        <v>46</v>
      </c>
      <c r="D2832" s="2">
        <v>42339</v>
      </c>
      <c r="E2832" t="s">
        <v>7</v>
      </c>
      <c r="F2832">
        <v>110</v>
      </c>
      <c r="G2832" t="str">
        <f>VLOOKUP(Table1_2[[#This Row],[Categories]],Sheet3!$A$1:$B$27,2,FALSE)</f>
        <v>Food &amp;Beverage</v>
      </c>
    </row>
    <row r="2833" spans="1:7" x14ac:dyDescent="0.3">
      <c r="A2833" t="s">
        <v>33</v>
      </c>
      <c r="B2833">
        <v>2015</v>
      </c>
      <c r="C2833" t="s">
        <v>46</v>
      </c>
      <c r="D2833" s="2">
        <v>42339</v>
      </c>
      <c r="E2833" t="s">
        <v>8</v>
      </c>
      <c r="F2833">
        <v>120.8</v>
      </c>
      <c r="G2833" t="str">
        <f>VLOOKUP(Table1_2[[#This Row],[Categories]],Sheet3!$A$1:$B$27,2,FALSE)</f>
        <v>Food &amp;Beverage</v>
      </c>
    </row>
    <row r="2834" spans="1:7" x14ac:dyDescent="0.3">
      <c r="A2834" t="s">
        <v>33</v>
      </c>
      <c r="B2834">
        <v>2015</v>
      </c>
      <c r="C2834" t="s">
        <v>46</v>
      </c>
      <c r="D2834" s="2">
        <v>42339</v>
      </c>
      <c r="E2834" t="s">
        <v>9</v>
      </c>
      <c r="F2834">
        <v>149</v>
      </c>
      <c r="G2834" t="str">
        <f>VLOOKUP(Table1_2[[#This Row],[Categories]],Sheet3!$A$1:$B$27,2,FALSE)</f>
        <v>Food &amp;Beverage</v>
      </c>
    </row>
    <row r="2835" spans="1:7" x14ac:dyDescent="0.3">
      <c r="A2835" t="s">
        <v>33</v>
      </c>
      <c r="B2835">
        <v>2015</v>
      </c>
      <c r="C2835" t="s">
        <v>46</v>
      </c>
      <c r="D2835" s="2">
        <v>42339</v>
      </c>
      <c r="E2835" t="s">
        <v>10</v>
      </c>
      <c r="F2835">
        <v>190.1</v>
      </c>
      <c r="G2835" t="str">
        <f>VLOOKUP(Table1_2[[#This Row],[Categories]],Sheet3!$A$1:$B$27,2,FALSE)</f>
        <v>Food &amp;Beverage</v>
      </c>
    </row>
    <row r="2836" spans="1:7" x14ac:dyDescent="0.3">
      <c r="A2836" t="s">
        <v>33</v>
      </c>
      <c r="B2836">
        <v>2015</v>
      </c>
      <c r="C2836" t="s">
        <v>46</v>
      </c>
      <c r="D2836" s="2">
        <v>42339</v>
      </c>
      <c r="E2836" t="s">
        <v>11</v>
      </c>
      <c r="F2836">
        <v>92.7</v>
      </c>
      <c r="G2836" t="str">
        <f>VLOOKUP(Table1_2[[#This Row],[Categories]],Sheet3!$A$1:$B$27,2,FALSE)</f>
        <v>Food &amp;Beverage</v>
      </c>
    </row>
    <row r="2837" spans="1:7" x14ac:dyDescent="0.3">
      <c r="A2837" t="s">
        <v>33</v>
      </c>
      <c r="B2837">
        <v>2015</v>
      </c>
      <c r="C2837" t="s">
        <v>46</v>
      </c>
      <c r="D2837" s="2">
        <v>42339</v>
      </c>
      <c r="E2837" t="s">
        <v>12</v>
      </c>
      <c r="F2837">
        <v>138.6</v>
      </c>
      <c r="G2837" t="str">
        <f>VLOOKUP(Table1_2[[#This Row],[Categories]],Sheet3!$A$1:$B$27,2,FALSE)</f>
        <v>Food &amp;Beverage</v>
      </c>
    </row>
    <row r="2838" spans="1:7" x14ac:dyDescent="0.3">
      <c r="A2838" t="s">
        <v>33</v>
      </c>
      <c r="B2838">
        <v>2015</v>
      </c>
      <c r="C2838" t="s">
        <v>46</v>
      </c>
      <c r="D2838" s="2">
        <v>42339</v>
      </c>
      <c r="E2838" t="s">
        <v>13</v>
      </c>
      <c r="F2838">
        <v>120.2</v>
      </c>
      <c r="G2838" t="str">
        <f>VLOOKUP(Table1_2[[#This Row],[Categories]],Sheet3!$A$1:$B$27,2,FALSE)</f>
        <v>Food &amp;Beverage</v>
      </c>
    </row>
    <row r="2839" spans="1:7" x14ac:dyDescent="0.3">
      <c r="A2839" t="s">
        <v>33</v>
      </c>
      <c r="B2839">
        <v>2015</v>
      </c>
      <c r="C2839" t="s">
        <v>46</v>
      </c>
      <c r="D2839" s="2">
        <v>42339</v>
      </c>
      <c r="E2839" t="s">
        <v>14</v>
      </c>
      <c r="F2839">
        <v>134.19999999999999</v>
      </c>
      <c r="G2839" t="str">
        <f>VLOOKUP(Table1_2[[#This Row],[Categories]],Sheet3!$A$1:$B$27,2,FALSE)</f>
        <v>Food &amp;Beverage</v>
      </c>
    </row>
    <row r="2840" spans="1:7" x14ac:dyDescent="0.3">
      <c r="A2840" t="s">
        <v>33</v>
      </c>
      <c r="B2840">
        <v>2015</v>
      </c>
      <c r="C2840" t="s">
        <v>46</v>
      </c>
      <c r="D2840" s="2">
        <v>42339</v>
      </c>
      <c r="E2840" t="s">
        <v>15</v>
      </c>
      <c r="F2840">
        <v>131.5</v>
      </c>
      <c r="G2840" t="str">
        <f>VLOOKUP(Table1_2[[#This Row],[Categories]],Sheet3!$A$1:$B$27,2,FALSE)</f>
        <v>Food &amp;Beverage</v>
      </c>
    </row>
    <row r="2841" spans="1:7" x14ac:dyDescent="0.3">
      <c r="A2841" t="s">
        <v>33</v>
      </c>
      <c r="B2841">
        <v>2015</v>
      </c>
      <c r="C2841" t="s">
        <v>46</v>
      </c>
      <c r="D2841" s="2">
        <v>42339</v>
      </c>
      <c r="E2841" t="s">
        <v>16</v>
      </c>
      <c r="F2841">
        <v>138.19999999999999</v>
      </c>
      <c r="G2841" t="str">
        <f>VLOOKUP(Table1_2[[#This Row],[Categories]],Sheet3!$A$1:$B$27,2,FALSE)</f>
        <v>Recreation and amusement</v>
      </c>
    </row>
    <row r="2842" spans="1:7" x14ac:dyDescent="0.3">
      <c r="A2842" t="s">
        <v>33</v>
      </c>
      <c r="B2842">
        <v>2015</v>
      </c>
      <c r="C2842" t="s">
        <v>46</v>
      </c>
      <c r="D2842" s="2">
        <v>42339</v>
      </c>
      <c r="E2842" t="s">
        <v>17</v>
      </c>
      <c r="F2842">
        <v>125.4</v>
      </c>
      <c r="G2842" t="str">
        <f>VLOOKUP(Table1_2[[#This Row],[Categories]],Sheet3!$A$1:$B$27,2,FALSE)</f>
        <v>Clothing and footwear</v>
      </c>
    </row>
    <row r="2843" spans="1:7" x14ac:dyDescent="0.3">
      <c r="A2843" t="s">
        <v>33</v>
      </c>
      <c r="B2843">
        <v>2015</v>
      </c>
      <c r="C2843" t="s">
        <v>46</v>
      </c>
      <c r="D2843" s="2">
        <v>42339</v>
      </c>
      <c r="E2843" t="s">
        <v>18</v>
      </c>
      <c r="F2843">
        <v>119.5</v>
      </c>
      <c r="G2843" t="str">
        <f>VLOOKUP(Table1_2[[#This Row],[Categories]],Sheet3!$A$1:$B$27,2,FALSE)</f>
        <v>Clothing and footwear</v>
      </c>
    </row>
    <row r="2844" spans="1:7" x14ac:dyDescent="0.3">
      <c r="A2844" t="s">
        <v>33</v>
      </c>
      <c r="B2844">
        <v>2015</v>
      </c>
      <c r="C2844" t="s">
        <v>46</v>
      </c>
      <c r="D2844" s="2">
        <v>42339</v>
      </c>
      <c r="E2844" t="s">
        <v>19</v>
      </c>
      <c r="F2844">
        <v>124.5</v>
      </c>
      <c r="G2844" t="str">
        <f>VLOOKUP(Table1_2[[#This Row],[Categories]],Sheet3!$A$1:$B$27,2,FALSE)</f>
        <v>Clothing and footwear</v>
      </c>
    </row>
    <row r="2845" spans="1:7" x14ac:dyDescent="0.3">
      <c r="A2845" t="s">
        <v>33</v>
      </c>
      <c r="B2845">
        <v>2015</v>
      </c>
      <c r="C2845" t="s">
        <v>46</v>
      </c>
      <c r="D2845" s="2">
        <v>42339</v>
      </c>
      <c r="E2845" t="s">
        <v>20</v>
      </c>
      <c r="F2845">
        <v>122.4</v>
      </c>
      <c r="G2845" t="str">
        <f>VLOOKUP(Table1_2[[#This Row],[Categories]],Sheet3!$A$1:$B$27,2,FALSE)</f>
        <v>Housing</v>
      </c>
    </row>
    <row r="2846" spans="1:7" x14ac:dyDescent="0.3">
      <c r="A2846" t="s">
        <v>33</v>
      </c>
      <c r="B2846">
        <v>2015</v>
      </c>
      <c r="C2846" t="s">
        <v>46</v>
      </c>
      <c r="D2846" s="2">
        <v>42339</v>
      </c>
      <c r="E2846" t="s">
        <v>21</v>
      </c>
      <c r="F2846">
        <v>116</v>
      </c>
      <c r="G2846" t="str">
        <f>VLOOKUP(Table1_2[[#This Row],[Categories]],Sheet3!$A$1:$B$27,2,FALSE)</f>
        <v>Fuel and light</v>
      </c>
    </row>
    <row r="2847" spans="1:7" x14ac:dyDescent="0.3">
      <c r="A2847" t="s">
        <v>33</v>
      </c>
      <c r="B2847">
        <v>2015</v>
      </c>
      <c r="C2847" t="s">
        <v>46</v>
      </c>
      <c r="D2847" s="2">
        <v>42339</v>
      </c>
      <c r="E2847" t="s">
        <v>22</v>
      </c>
      <c r="F2847">
        <v>121</v>
      </c>
      <c r="G2847" t="str">
        <f>VLOOKUP(Table1_2[[#This Row],[Categories]],Sheet3!$A$1:$B$27,2,FALSE)</f>
        <v>Household Items</v>
      </c>
    </row>
    <row r="2848" spans="1:7" x14ac:dyDescent="0.3">
      <c r="A2848" t="s">
        <v>33</v>
      </c>
      <c r="B2848">
        <v>2015</v>
      </c>
      <c r="C2848" t="s">
        <v>46</v>
      </c>
      <c r="D2848" s="2">
        <v>42339</v>
      </c>
      <c r="E2848" t="s">
        <v>23</v>
      </c>
      <c r="F2848">
        <v>118.6</v>
      </c>
      <c r="G2848" t="str">
        <f>VLOOKUP(Table1_2[[#This Row],[Categories]],Sheet3!$A$1:$B$27,2,FALSE)</f>
        <v>Health</v>
      </c>
    </row>
    <row r="2849" spans="1:7" x14ac:dyDescent="0.3">
      <c r="A2849" t="s">
        <v>33</v>
      </c>
      <c r="B2849">
        <v>2015</v>
      </c>
      <c r="C2849" t="s">
        <v>46</v>
      </c>
      <c r="D2849" s="2">
        <v>42339</v>
      </c>
      <c r="E2849" t="s">
        <v>24</v>
      </c>
      <c r="F2849">
        <v>109.3</v>
      </c>
      <c r="G2849" t="str">
        <f>VLOOKUP(Table1_2[[#This Row],[Categories]],Sheet3!$A$1:$B$27,2,FALSE)</f>
        <v>Transport and communication</v>
      </c>
    </row>
    <row r="2850" spans="1:7" x14ac:dyDescent="0.3">
      <c r="A2850" t="s">
        <v>33</v>
      </c>
      <c r="B2850">
        <v>2015</v>
      </c>
      <c r="C2850" t="s">
        <v>46</v>
      </c>
      <c r="D2850" s="2">
        <v>42339</v>
      </c>
      <c r="E2850" t="s">
        <v>25</v>
      </c>
      <c r="F2850">
        <v>118.1</v>
      </c>
      <c r="G2850" t="str">
        <f>VLOOKUP(Table1_2[[#This Row],[Categories]],Sheet3!$A$1:$B$27,2,FALSE)</f>
        <v>Recreation and amusement</v>
      </c>
    </row>
    <row r="2851" spans="1:7" x14ac:dyDescent="0.3">
      <c r="A2851" t="s">
        <v>33</v>
      </c>
      <c r="B2851">
        <v>2015</v>
      </c>
      <c r="C2851" t="s">
        <v>46</v>
      </c>
      <c r="D2851" s="2">
        <v>42339</v>
      </c>
      <c r="E2851" t="s">
        <v>26</v>
      </c>
      <c r="F2851">
        <v>126.6</v>
      </c>
      <c r="G2851" t="str">
        <f>VLOOKUP(Table1_2[[#This Row],[Categories]],Sheet3!$A$1:$B$27,2,FALSE)</f>
        <v>Education</v>
      </c>
    </row>
    <row r="2852" spans="1:7" x14ac:dyDescent="0.3">
      <c r="A2852" t="s">
        <v>33</v>
      </c>
      <c r="B2852">
        <v>2015</v>
      </c>
      <c r="C2852" t="s">
        <v>46</v>
      </c>
      <c r="D2852" s="2">
        <v>42339</v>
      </c>
      <c r="E2852" t="s">
        <v>27</v>
      </c>
      <c r="F2852">
        <v>113.2</v>
      </c>
      <c r="G2852" t="str">
        <f>VLOOKUP(Table1_2[[#This Row],[Categories]],Sheet3!$A$1:$B$27,2,FALSE)</f>
        <v>Household Items</v>
      </c>
    </row>
    <row r="2853" spans="1:7" x14ac:dyDescent="0.3">
      <c r="A2853" t="s">
        <v>33</v>
      </c>
      <c r="B2853">
        <v>2015</v>
      </c>
      <c r="C2853" t="s">
        <v>46</v>
      </c>
      <c r="D2853" s="2">
        <v>42339</v>
      </c>
      <c r="E2853" t="s">
        <v>28</v>
      </c>
      <c r="F2853">
        <v>116.7</v>
      </c>
      <c r="G2853" t="str">
        <f>VLOOKUP(Table1_2[[#This Row],[Categories]],Sheet3!$A$1:$B$27,2,FALSE)</f>
        <v>Miscellaneous</v>
      </c>
    </row>
    <row r="2854" spans="1:7" x14ac:dyDescent="0.3">
      <c r="A2854" t="s">
        <v>33</v>
      </c>
      <c r="B2854">
        <v>2015</v>
      </c>
      <c r="C2854" t="s">
        <v>46</v>
      </c>
      <c r="D2854" s="2">
        <v>42339</v>
      </c>
      <c r="E2854" t="s">
        <v>29</v>
      </c>
      <c r="F2854">
        <v>124</v>
      </c>
      <c r="G2854" t="str">
        <f>VLOOKUP(Table1_2[[#This Row],[Categories]],Sheet3!$A$1:$B$27,2,FALSE)</f>
        <v>General index</v>
      </c>
    </row>
    <row r="2855" spans="1:7" x14ac:dyDescent="0.3">
      <c r="A2855" t="s">
        <v>34</v>
      </c>
      <c r="B2855">
        <v>2015</v>
      </c>
      <c r="C2855" t="s">
        <v>46</v>
      </c>
      <c r="D2855" s="2">
        <v>42339</v>
      </c>
      <c r="E2855" t="s">
        <v>3</v>
      </c>
      <c r="F2855">
        <v>125.7</v>
      </c>
      <c r="G2855" t="str">
        <f>VLOOKUP(Table1_2[[#This Row],[Categories]],Sheet3!$A$1:$B$27,2,FALSE)</f>
        <v>Food &amp;Beverage</v>
      </c>
    </row>
    <row r="2856" spans="1:7" x14ac:dyDescent="0.3">
      <c r="A2856" t="s">
        <v>34</v>
      </c>
      <c r="B2856">
        <v>2015</v>
      </c>
      <c r="C2856" t="s">
        <v>46</v>
      </c>
      <c r="D2856" s="2">
        <v>42339</v>
      </c>
      <c r="E2856" t="s">
        <v>4</v>
      </c>
      <c r="F2856">
        <v>131.4</v>
      </c>
      <c r="G2856" t="str">
        <f>VLOOKUP(Table1_2[[#This Row],[Categories]],Sheet3!$A$1:$B$27,2,FALSE)</f>
        <v>Food &amp;Beverage</v>
      </c>
    </row>
    <row r="2857" spans="1:7" x14ac:dyDescent="0.3">
      <c r="A2857" t="s">
        <v>34</v>
      </c>
      <c r="B2857">
        <v>2015</v>
      </c>
      <c r="C2857" t="s">
        <v>46</v>
      </c>
      <c r="D2857" s="2">
        <v>42339</v>
      </c>
      <c r="E2857" t="s">
        <v>5</v>
      </c>
      <c r="F2857">
        <v>124.8</v>
      </c>
      <c r="G2857" t="str">
        <f>VLOOKUP(Table1_2[[#This Row],[Categories]],Sheet3!$A$1:$B$27,2,FALSE)</f>
        <v>Food &amp;Beverage</v>
      </c>
    </row>
    <row r="2858" spans="1:7" x14ac:dyDescent="0.3">
      <c r="A2858" t="s">
        <v>34</v>
      </c>
      <c r="B2858">
        <v>2015</v>
      </c>
      <c r="C2858" t="s">
        <v>46</v>
      </c>
      <c r="D2858" s="2">
        <v>42339</v>
      </c>
      <c r="E2858" t="s">
        <v>6</v>
      </c>
      <c r="F2858">
        <v>129.4</v>
      </c>
      <c r="G2858" t="str">
        <f>VLOOKUP(Table1_2[[#This Row],[Categories]],Sheet3!$A$1:$B$27,2,FALSE)</f>
        <v>Food &amp;Beverage</v>
      </c>
    </row>
    <row r="2859" spans="1:7" x14ac:dyDescent="0.3">
      <c r="A2859" t="s">
        <v>34</v>
      </c>
      <c r="B2859">
        <v>2015</v>
      </c>
      <c r="C2859" t="s">
        <v>46</v>
      </c>
      <c r="D2859" s="2">
        <v>42339</v>
      </c>
      <c r="E2859" t="s">
        <v>7</v>
      </c>
      <c r="F2859">
        <v>115.3</v>
      </c>
      <c r="G2859" t="str">
        <f>VLOOKUP(Table1_2[[#This Row],[Categories]],Sheet3!$A$1:$B$27,2,FALSE)</f>
        <v>Food &amp;Beverage</v>
      </c>
    </row>
    <row r="2860" spans="1:7" x14ac:dyDescent="0.3">
      <c r="A2860" t="s">
        <v>34</v>
      </c>
      <c r="B2860">
        <v>2015</v>
      </c>
      <c r="C2860" t="s">
        <v>46</v>
      </c>
      <c r="D2860" s="2">
        <v>42339</v>
      </c>
      <c r="E2860" t="s">
        <v>8</v>
      </c>
      <c r="F2860">
        <v>126.6</v>
      </c>
      <c r="G2860" t="str">
        <f>VLOOKUP(Table1_2[[#This Row],[Categories]],Sheet3!$A$1:$B$27,2,FALSE)</f>
        <v>Food &amp;Beverage</v>
      </c>
    </row>
    <row r="2861" spans="1:7" x14ac:dyDescent="0.3">
      <c r="A2861" t="s">
        <v>34</v>
      </c>
      <c r="B2861">
        <v>2015</v>
      </c>
      <c r="C2861" t="s">
        <v>46</v>
      </c>
      <c r="D2861" s="2">
        <v>42339</v>
      </c>
      <c r="E2861" t="s">
        <v>9</v>
      </c>
      <c r="F2861">
        <v>146.69999999999999</v>
      </c>
      <c r="G2861" t="str">
        <f>VLOOKUP(Table1_2[[#This Row],[Categories]],Sheet3!$A$1:$B$27,2,FALSE)</f>
        <v>Food &amp;Beverage</v>
      </c>
    </row>
    <row r="2862" spans="1:7" x14ac:dyDescent="0.3">
      <c r="A2862" t="s">
        <v>34</v>
      </c>
      <c r="B2862">
        <v>2015</v>
      </c>
      <c r="C2862" t="s">
        <v>46</v>
      </c>
      <c r="D2862" s="2">
        <v>42339</v>
      </c>
      <c r="E2862" t="s">
        <v>10</v>
      </c>
      <c r="F2862">
        <v>171.5</v>
      </c>
      <c r="G2862" t="str">
        <f>VLOOKUP(Table1_2[[#This Row],[Categories]],Sheet3!$A$1:$B$27,2,FALSE)</f>
        <v>Food &amp;Beverage</v>
      </c>
    </row>
    <row r="2863" spans="1:7" x14ac:dyDescent="0.3">
      <c r="A2863" t="s">
        <v>34</v>
      </c>
      <c r="B2863">
        <v>2015</v>
      </c>
      <c r="C2863" t="s">
        <v>46</v>
      </c>
      <c r="D2863" s="2">
        <v>42339</v>
      </c>
      <c r="E2863" t="s">
        <v>11</v>
      </c>
      <c r="F2863">
        <v>94.5</v>
      </c>
      <c r="G2863" t="str">
        <f>VLOOKUP(Table1_2[[#This Row],[Categories]],Sheet3!$A$1:$B$27,2,FALSE)</f>
        <v>Food &amp;Beverage</v>
      </c>
    </row>
    <row r="2864" spans="1:7" x14ac:dyDescent="0.3">
      <c r="A2864" t="s">
        <v>34</v>
      </c>
      <c r="B2864">
        <v>2015</v>
      </c>
      <c r="C2864" t="s">
        <v>46</v>
      </c>
      <c r="D2864" s="2">
        <v>42339</v>
      </c>
      <c r="E2864" t="s">
        <v>12</v>
      </c>
      <c r="F2864">
        <v>132.1</v>
      </c>
      <c r="G2864" t="str">
        <f>VLOOKUP(Table1_2[[#This Row],[Categories]],Sheet3!$A$1:$B$27,2,FALSE)</f>
        <v>Food &amp;Beverage</v>
      </c>
    </row>
    <row r="2865" spans="1:7" x14ac:dyDescent="0.3">
      <c r="A2865" t="s">
        <v>34</v>
      </c>
      <c r="B2865">
        <v>2015</v>
      </c>
      <c r="C2865" t="s">
        <v>46</v>
      </c>
      <c r="D2865" s="2">
        <v>42339</v>
      </c>
      <c r="E2865" t="s">
        <v>13</v>
      </c>
      <c r="F2865">
        <v>122</v>
      </c>
      <c r="G2865" t="str">
        <f>VLOOKUP(Table1_2[[#This Row],[Categories]],Sheet3!$A$1:$B$27,2,FALSE)</f>
        <v>Food &amp;Beverage</v>
      </c>
    </row>
    <row r="2866" spans="1:7" x14ac:dyDescent="0.3">
      <c r="A2866" t="s">
        <v>34</v>
      </c>
      <c r="B2866">
        <v>2015</v>
      </c>
      <c r="C2866" t="s">
        <v>46</v>
      </c>
      <c r="D2866" s="2">
        <v>42339</v>
      </c>
      <c r="E2866" t="s">
        <v>14</v>
      </c>
      <c r="F2866">
        <v>134.69999999999999</v>
      </c>
      <c r="G2866" t="str">
        <f>VLOOKUP(Table1_2[[#This Row],[Categories]],Sheet3!$A$1:$B$27,2,FALSE)</f>
        <v>Food &amp;Beverage</v>
      </c>
    </row>
    <row r="2867" spans="1:7" x14ac:dyDescent="0.3">
      <c r="A2867" t="s">
        <v>34</v>
      </c>
      <c r="B2867">
        <v>2015</v>
      </c>
      <c r="C2867" t="s">
        <v>46</v>
      </c>
      <c r="D2867" s="2">
        <v>42339</v>
      </c>
      <c r="E2867" t="s">
        <v>15</v>
      </c>
      <c r="F2867">
        <v>131.4</v>
      </c>
      <c r="G2867" t="str">
        <f>VLOOKUP(Table1_2[[#This Row],[Categories]],Sheet3!$A$1:$B$27,2,FALSE)</f>
        <v>Food &amp;Beverage</v>
      </c>
    </row>
    <row r="2868" spans="1:7" x14ac:dyDescent="0.3">
      <c r="A2868" t="s">
        <v>34</v>
      </c>
      <c r="B2868">
        <v>2015</v>
      </c>
      <c r="C2868" t="s">
        <v>46</v>
      </c>
      <c r="D2868" s="2">
        <v>42339</v>
      </c>
      <c r="E2868" t="s">
        <v>16</v>
      </c>
      <c r="F2868">
        <v>134.5</v>
      </c>
      <c r="G2868" t="str">
        <f>VLOOKUP(Table1_2[[#This Row],[Categories]],Sheet3!$A$1:$B$27,2,FALSE)</f>
        <v>Recreation and amusement</v>
      </c>
    </row>
    <row r="2869" spans="1:7" x14ac:dyDescent="0.3">
      <c r="A2869" t="s">
        <v>34</v>
      </c>
      <c r="B2869">
        <v>2015</v>
      </c>
      <c r="C2869" t="s">
        <v>46</v>
      </c>
      <c r="D2869" s="2">
        <v>42339</v>
      </c>
      <c r="E2869" t="s">
        <v>17</v>
      </c>
      <c r="F2869">
        <v>129.69999999999999</v>
      </c>
      <c r="G2869" t="str">
        <f>VLOOKUP(Table1_2[[#This Row],[Categories]],Sheet3!$A$1:$B$27,2,FALSE)</f>
        <v>Clothing and footwear</v>
      </c>
    </row>
    <row r="2870" spans="1:7" x14ac:dyDescent="0.3">
      <c r="A2870" t="s">
        <v>34</v>
      </c>
      <c r="B2870">
        <v>2015</v>
      </c>
      <c r="C2870" t="s">
        <v>46</v>
      </c>
      <c r="D2870" s="2">
        <v>42339</v>
      </c>
      <c r="E2870" t="s">
        <v>18</v>
      </c>
      <c r="F2870">
        <v>124.8</v>
      </c>
      <c r="G2870" t="str">
        <f>VLOOKUP(Table1_2[[#This Row],[Categories]],Sheet3!$A$1:$B$27,2,FALSE)</f>
        <v>Clothing and footwear</v>
      </c>
    </row>
    <row r="2871" spans="1:7" x14ac:dyDescent="0.3">
      <c r="A2871" t="s">
        <v>34</v>
      </c>
      <c r="B2871">
        <v>2015</v>
      </c>
      <c r="C2871" t="s">
        <v>46</v>
      </c>
      <c r="D2871" s="2">
        <v>42339</v>
      </c>
      <c r="E2871" t="s">
        <v>19</v>
      </c>
      <c r="F2871">
        <v>129</v>
      </c>
      <c r="G2871" t="str">
        <f>VLOOKUP(Table1_2[[#This Row],[Categories]],Sheet3!$A$1:$B$27,2,FALSE)</f>
        <v>Clothing and footwear</v>
      </c>
    </row>
    <row r="2872" spans="1:7" x14ac:dyDescent="0.3">
      <c r="A2872" t="s">
        <v>34</v>
      </c>
      <c r="B2872">
        <v>2015</v>
      </c>
      <c r="C2872" t="s">
        <v>46</v>
      </c>
      <c r="D2872" s="2">
        <v>42339</v>
      </c>
      <c r="E2872" t="s">
        <v>20</v>
      </c>
      <c r="F2872">
        <v>122.4</v>
      </c>
      <c r="G2872" t="str">
        <f>VLOOKUP(Table1_2[[#This Row],[Categories]],Sheet3!$A$1:$B$27,2,FALSE)</f>
        <v>Housing</v>
      </c>
    </row>
    <row r="2873" spans="1:7" x14ac:dyDescent="0.3">
      <c r="A2873" t="s">
        <v>34</v>
      </c>
      <c r="B2873">
        <v>2015</v>
      </c>
      <c r="C2873" t="s">
        <v>46</v>
      </c>
      <c r="D2873" s="2">
        <v>42339</v>
      </c>
      <c r="E2873" t="s">
        <v>21</v>
      </c>
      <c r="F2873">
        <v>122</v>
      </c>
      <c r="G2873" t="str">
        <f>VLOOKUP(Table1_2[[#This Row],[Categories]],Sheet3!$A$1:$B$27,2,FALSE)</f>
        <v>Fuel and light</v>
      </c>
    </row>
    <row r="2874" spans="1:7" x14ac:dyDescent="0.3">
      <c r="A2874" t="s">
        <v>34</v>
      </c>
      <c r="B2874">
        <v>2015</v>
      </c>
      <c r="C2874" t="s">
        <v>46</v>
      </c>
      <c r="D2874" s="2">
        <v>42339</v>
      </c>
      <c r="E2874" t="s">
        <v>22</v>
      </c>
      <c r="F2874">
        <v>123.6</v>
      </c>
      <c r="G2874" t="str">
        <f>VLOOKUP(Table1_2[[#This Row],[Categories]],Sheet3!$A$1:$B$27,2,FALSE)</f>
        <v>Household Items</v>
      </c>
    </row>
    <row r="2875" spans="1:7" x14ac:dyDescent="0.3">
      <c r="A2875" t="s">
        <v>34</v>
      </c>
      <c r="B2875">
        <v>2015</v>
      </c>
      <c r="C2875" t="s">
        <v>46</v>
      </c>
      <c r="D2875" s="2">
        <v>42339</v>
      </c>
      <c r="E2875" t="s">
        <v>23</v>
      </c>
      <c r="F2875">
        <v>121.4</v>
      </c>
      <c r="G2875" t="str">
        <f>VLOOKUP(Table1_2[[#This Row],[Categories]],Sheet3!$A$1:$B$27,2,FALSE)</f>
        <v>Health</v>
      </c>
    </row>
    <row r="2876" spans="1:7" x14ac:dyDescent="0.3">
      <c r="A2876" t="s">
        <v>34</v>
      </c>
      <c r="B2876">
        <v>2015</v>
      </c>
      <c r="C2876" t="s">
        <v>46</v>
      </c>
      <c r="D2876" s="2">
        <v>42339</v>
      </c>
      <c r="E2876" t="s">
        <v>24</v>
      </c>
      <c r="F2876">
        <v>111.5</v>
      </c>
      <c r="G2876" t="str">
        <f>VLOOKUP(Table1_2[[#This Row],[Categories]],Sheet3!$A$1:$B$27,2,FALSE)</f>
        <v>Transport and communication</v>
      </c>
    </row>
    <row r="2877" spans="1:7" x14ac:dyDescent="0.3">
      <c r="A2877" t="s">
        <v>34</v>
      </c>
      <c r="B2877">
        <v>2015</v>
      </c>
      <c r="C2877" t="s">
        <v>46</v>
      </c>
      <c r="D2877" s="2">
        <v>42339</v>
      </c>
      <c r="E2877" t="s">
        <v>25</v>
      </c>
      <c r="F2877">
        <v>119.6</v>
      </c>
      <c r="G2877" t="str">
        <f>VLOOKUP(Table1_2[[#This Row],[Categories]],Sheet3!$A$1:$B$27,2,FALSE)</f>
        <v>Recreation and amusement</v>
      </c>
    </row>
    <row r="2878" spans="1:7" x14ac:dyDescent="0.3">
      <c r="A2878" t="s">
        <v>34</v>
      </c>
      <c r="B2878">
        <v>2015</v>
      </c>
      <c r="C2878" t="s">
        <v>46</v>
      </c>
      <c r="D2878" s="2">
        <v>42339</v>
      </c>
      <c r="E2878" t="s">
        <v>26</v>
      </c>
      <c r="F2878">
        <v>126.2</v>
      </c>
      <c r="G2878" t="str">
        <f>VLOOKUP(Table1_2[[#This Row],[Categories]],Sheet3!$A$1:$B$27,2,FALSE)</f>
        <v>Education</v>
      </c>
    </row>
    <row r="2879" spans="1:7" x14ac:dyDescent="0.3">
      <c r="A2879" t="s">
        <v>34</v>
      </c>
      <c r="B2879">
        <v>2015</v>
      </c>
      <c r="C2879" t="s">
        <v>46</v>
      </c>
      <c r="D2879" s="2">
        <v>42339</v>
      </c>
      <c r="E2879" t="s">
        <v>27</v>
      </c>
      <c r="F2879">
        <v>113.7</v>
      </c>
      <c r="G2879" t="str">
        <f>VLOOKUP(Table1_2[[#This Row],[Categories]],Sheet3!$A$1:$B$27,2,FALSE)</f>
        <v>Household Items</v>
      </c>
    </row>
    <row r="2880" spans="1:7" x14ac:dyDescent="0.3">
      <c r="A2880" t="s">
        <v>34</v>
      </c>
      <c r="B2880">
        <v>2015</v>
      </c>
      <c r="C2880" t="s">
        <v>46</v>
      </c>
      <c r="D2880" s="2">
        <v>42339</v>
      </c>
      <c r="E2880" t="s">
        <v>28</v>
      </c>
      <c r="F2880">
        <v>118.3</v>
      </c>
      <c r="G2880" t="str">
        <f>VLOOKUP(Table1_2[[#This Row],[Categories]],Sheet3!$A$1:$B$27,2,FALSE)</f>
        <v>Miscellaneous</v>
      </c>
    </row>
    <row r="2881" spans="1:7" x14ac:dyDescent="0.3">
      <c r="A2881" t="s">
        <v>34</v>
      </c>
      <c r="B2881">
        <v>2015</v>
      </c>
      <c r="C2881" t="s">
        <v>46</v>
      </c>
      <c r="D2881" s="2">
        <v>42339</v>
      </c>
      <c r="E2881" t="s">
        <v>29</v>
      </c>
      <c r="F2881">
        <v>126.1</v>
      </c>
      <c r="G2881" t="str">
        <f>VLOOKUP(Table1_2[[#This Row],[Categories]],Sheet3!$A$1:$B$27,2,FALSE)</f>
        <v>General index</v>
      </c>
    </row>
    <row r="2882" spans="1:7" x14ac:dyDescent="0.3">
      <c r="A2882" t="s">
        <v>30</v>
      </c>
      <c r="B2882">
        <v>2016</v>
      </c>
      <c r="C2882" t="s">
        <v>31</v>
      </c>
      <c r="D2882" s="2">
        <v>42370</v>
      </c>
      <c r="E2882" t="s">
        <v>3</v>
      </c>
      <c r="F2882">
        <v>126.8</v>
      </c>
      <c r="G2882" t="str">
        <f>VLOOKUP(Table1_2[[#This Row],[Categories]],Sheet3!$A$1:$B$27,2,FALSE)</f>
        <v>Food &amp;Beverage</v>
      </c>
    </row>
    <row r="2883" spans="1:7" x14ac:dyDescent="0.3">
      <c r="A2883" t="s">
        <v>30</v>
      </c>
      <c r="B2883">
        <v>2016</v>
      </c>
      <c r="C2883" t="s">
        <v>31</v>
      </c>
      <c r="D2883" s="2">
        <v>42370</v>
      </c>
      <c r="E2883" t="s">
        <v>4</v>
      </c>
      <c r="F2883">
        <v>133.19999999999999</v>
      </c>
      <c r="G2883" t="str">
        <f>VLOOKUP(Table1_2[[#This Row],[Categories]],Sheet3!$A$1:$B$27,2,FALSE)</f>
        <v>Food &amp;Beverage</v>
      </c>
    </row>
    <row r="2884" spans="1:7" x14ac:dyDescent="0.3">
      <c r="A2884" t="s">
        <v>30</v>
      </c>
      <c r="B2884">
        <v>2016</v>
      </c>
      <c r="C2884" t="s">
        <v>31</v>
      </c>
      <c r="D2884" s="2">
        <v>42370</v>
      </c>
      <c r="E2884" t="s">
        <v>5</v>
      </c>
      <c r="F2884">
        <v>126.5</v>
      </c>
      <c r="G2884" t="str">
        <f>VLOOKUP(Table1_2[[#This Row],[Categories]],Sheet3!$A$1:$B$27,2,FALSE)</f>
        <v>Food &amp;Beverage</v>
      </c>
    </row>
    <row r="2885" spans="1:7" x14ac:dyDescent="0.3">
      <c r="A2885" t="s">
        <v>30</v>
      </c>
      <c r="B2885">
        <v>2016</v>
      </c>
      <c r="C2885" t="s">
        <v>31</v>
      </c>
      <c r="D2885" s="2">
        <v>42370</v>
      </c>
      <c r="E2885" t="s">
        <v>6</v>
      </c>
      <c r="F2885">
        <v>130.30000000000001</v>
      </c>
      <c r="G2885" t="str">
        <f>VLOOKUP(Table1_2[[#This Row],[Categories]],Sheet3!$A$1:$B$27,2,FALSE)</f>
        <v>Food &amp;Beverage</v>
      </c>
    </row>
    <row r="2886" spans="1:7" x14ac:dyDescent="0.3">
      <c r="A2886" t="s">
        <v>30</v>
      </c>
      <c r="B2886">
        <v>2016</v>
      </c>
      <c r="C2886" t="s">
        <v>31</v>
      </c>
      <c r="D2886" s="2">
        <v>42370</v>
      </c>
      <c r="E2886" t="s">
        <v>7</v>
      </c>
      <c r="F2886">
        <v>118.9</v>
      </c>
      <c r="G2886" t="str">
        <f>VLOOKUP(Table1_2[[#This Row],[Categories]],Sheet3!$A$1:$B$27,2,FALSE)</f>
        <v>Food &amp;Beverage</v>
      </c>
    </row>
    <row r="2887" spans="1:7" x14ac:dyDescent="0.3">
      <c r="A2887" t="s">
        <v>30</v>
      </c>
      <c r="B2887">
        <v>2016</v>
      </c>
      <c r="C2887" t="s">
        <v>31</v>
      </c>
      <c r="D2887" s="2">
        <v>42370</v>
      </c>
      <c r="E2887" t="s">
        <v>8</v>
      </c>
      <c r="F2887">
        <v>131.6</v>
      </c>
      <c r="G2887" t="str">
        <f>VLOOKUP(Table1_2[[#This Row],[Categories]],Sheet3!$A$1:$B$27,2,FALSE)</f>
        <v>Food &amp;Beverage</v>
      </c>
    </row>
    <row r="2888" spans="1:7" x14ac:dyDescent="0.3">
      <c r="A2888" t="s">
        <v>30</v>
      </c>
      <c r="B2888">
        <v>2016</v>
      </c>
      <c r="C2888" t="s">
        <v>31</v>
      </c>
      <c r="D2888" s="2">
        <v>42370</v>
      </c>
      <c r="E2888" t="s">
        <v>9</v>
      </c>
      <c r="F2888">
        <v>140.1</v>
      </c>
      <c r="G2888" t="str">
        <f>VLOOKUP(Table1_2[[#This Row],[Categories]],Sheet3!$A$1:$B$27,2,FALSE)</f>
        <v>Food &amp;Beverage</v>
      </c>
    </row>
    <row r="2889" spans="1:7" x14ac:dyDescent="0.3">
      <c r="A2889" t="s">
        <v>30</v>
      </c>
      <c r="B2889">
        <v>2016</v>
      </c>
      <c r="C2889" t="s">
        <v>31</v>
      </c>
      <c r="D2889" s="2">
        <v>42370</v>
      </c>
      <c r="E2889" t="s">
        <v>10</v>
      </c>
      <c r="F2889">
        <v>163.80000000000001</v>
      </c>
      <c r="G2889" t="str">
        <f>VLOOKUP(Table1_2[[#This Row],[Categories]],Sheet3!$A$1:$B$27,2,FALSE)</f>
        <v>Food &amp;Beverage</v>
      </c>
    </row>
    <row r="2890" spans="1:7" x14ac:dyDescent="0.3">
      <c r="A2890" t="s">
        <v>30</v>
      </c>
      <c r="B2890">
        <v>2016</v>
      </c>
      <c r="C2890" t="s">
        <v>31</v>
      </c>
      <c r="D2890" s="2">
        <v>42370</v>
      </c>
      <c r="E2890" t="s">
        <v>11</v>
      </c>
      <c r="F2890">
        <v>97.7</v>
      </c>
      <c r="G2890" t="str">
        <f>VLOOKUP(Table1_2[[#This Row],[Categories]],Sheet3!$A$1:$B$27,2,FALSE)</f>
        <v>Food &amp;Beverage</v>
      </c>
    </row>
    <row r="2891" spans="1:7" x14ac:dyDescent="0.3">
      <c r="A2891" t="s">
        <v>30</v>
      </c>
      <c r="B2891">
        <v>2016</v>
      </c>
      <c r="C2891" t="s">
        <v>31</v>
      </c>
      <c r="D2891" s="2">
        <v>42370</v>
      </c>
      <c r="E2891" t="s">
        <v>12</v>
      </c>
      <c r="F2891">
        <v>129.6</v>
      </c>
      <c r="G2891" t="str">
        <f>VLOOKUP(Table1_2[[#This Row],[Categories]],Sheet3!$A$1:$B$27,2,FALSE)</f>
        <v>Food &amp;Beverage</v>
      </c>
    </row>
    <row r="2892" spans="1:7" x14ac:dyDescent="0.3">
      <c r="A2892" t="s">
        <v>30</v>
      </c>
      <c r="B2892">
        <v>2016</v>
      </c>
      <c r="C2892" t="s">
        <v>31</v>
      </c>
      <c r="D2892" s="2">
        <v>42370</v>
      </c>
      <c r="E2892" t="s">
        <v>13</v>
      </c>
      <c r="F2892">
        <v>124.3</v>
      </c>
      <c r="G2892" t="str">
        <f>VLOOKUP(Table1_2[[#This Row],[Categories]],Sheet3!$A$1:$B$27,2,FALSE)</f>
        <v>Food &amp;Beverage</v>
      </c>
    </row>
    <row r="2893" spans="1:7" x14ac:dyDescent="0.3">
      <c r="A2893" t="s">
        <v>30</v>
      </c>
      <c r="B2893">
        <v>2016</v>
      </c>
      <c r="C2893" t="s">
        <v>31</v>
      </c>
      <c r="D2893" s="2">
        <v>42370</v>
      </c>
      <c r="E2893" t="s">
        <v>14</v>
      </c>
      <c r="F2893">
        <v>135.9</v>
      </c>
      <c r="G2893" t="str">
        <f>VLOOKUP(Table1_2[[#This Row],[Categories]],Sheet3!$A$1:$B$27,2,FALSE)</f>
        <v>Food &amp;Beverage</v>
      </c>
    </row>
    <row r="2894" spans="1:7" x14ac:dyDescent="0.3">
      <c r="A2894" t="s">
        <v>30</v>
      </c>
      <c r="B2894">
        <v>2016</v>
      </c>
      <c r="C2894" t="s">
        <v>31</v>
      </c>
      <c r="D2894" s="2">
        <v>42370</v>
      </c>
      <c r="E2894" t="s">
        <v>15</v>
      </c>
      <c r="F2894">
        <v>131.4</v>
      </c>
      <c r="G2894" t="str">
        <f>VLOOKUP(Table1_2[[#This Row],[Categories]],Sheet3!$A$1:$B$27,2,FALSE)</f>
        <v>Food &amp;Beverage</v>
      </c>
    </row>
    <row r="2895" spans="1:7" x14ac:dyDescent="0.3">
      <c r="A2895" t="s">
        <v>30</v>
      </c>
      <c r="B2895">
        <v>2016</v>
      </c>
      <c r="C2895" t="s">
        <v>31</v>
      </c>
      <c r="D2895" s="2">
        <v>42370</v>
      </c>
      <c r="E2895" t="s">
        <v>16</v>
      </c>
      <c r="F2895">
        <v>133.6</v>
      </c>
      <c r="G2895" t="str">
        <f>VLOOKUP(Table1_2[[#This Row],[Categories]],Sheet3!$A$1:$B$27,2,FALSE)</f>
        <v>Recreation and amusement</v>
      </c>
    </row>
    <row r="2896" spans="1:7" x14ac:dyDescent="0.3">
      <c r="A2896" t="s">
        <v>30</v>
      </c>
      <c r="B2896">
        <v>2016</v>
      </c>
      <c r="C2896" t="s">
        <v>31</v>
      </c>
      <c r="D2896" s="2">
        <v>42370</v>
      </c>
      <c r="E2896" t="s">
        <v>17</v>
      </c>
      <c r="F2896">
        <v>133.19999999999999</v>
      </c>
      <c r="G2896" t="str">
        <f>VLOOKUP(Table1_2[[#This Row],[Categories]],Sheet3!$A$1:$B$27,2,FALSE)</f>
        <v>Clothing and footwear</v>
      </c>
    </row>
    <row r="2897" spans="1:7" x14ac:dyDescent="0.3">
      <c r="A2897" t="s">
        <v>30</v>
      </c>
      <c r="B2897">
        <v>2016</v>
      </c>
      <c r="C2897" t="s">
        <v>31</v>
      </c>
      <c r="D2897" s="2">
        <v>42370</v>
      </c>
      <c r="E2897" t="s">
        <v>18</v>
      </c>
      <c r="F2897">
        <v>128.9</v>
      </c>
      <c r="G2897" t="str">
        <f>VLOOKUP(Table1_2[[#This Row],[Categories]],Sheet3!$A$1:$B$27,2,FALSE)</f>
        <v>Clothing and footwear</v>
      </c>
    </row>
    <row r="2898" spans="1:7" x14ac:dyDescent="0.3">
      <c r="A2898" t="s">
        <v>30</v>
      </c>
      <c r="B2898">
        <v>2016</v>
      </c>
      <c r="C2898" t="s">
        <v>31</v>
      </c>
      <c r="D2898" s="2">
        <v>42370</v>
      </c>
      <c r="E2898" t="s">
        <v>19</v>
      </c>
      <c r="F2898">
        <v>132.6</v>
      </c>
      <c r="G2898" t="str">
        <f>VLOOKUP(Table1_2[[#This Row],[Categories]],Sheet3!$A$1:$B$27,2,FALSE)</f>
        <v>Clothing and footwear</v>
      </c>
    </row>
    <row r="2899" spans="1:7" x14ac:dyDescent="0.3">
      <c r="A2899" t="s">
        <v>30</v>
      </c>
      <c r="B2899">
        <v>2016</v>
      </c>
      <c r="C2899" t="s">
        <v>31</v>
      </c>
      <c r="D2899" s="2">
        <v>42370</v>
      </c>
      <c r="E2899" t="s">
        <v>21</v>
      </c>
      <c r="F2899">
        <v>126.2</v>
      </c>
      <c r="G2899" t="str">
        <f>VLOOKUP(Table1_2[[#This Row],[Categories]],Sheet3!$A$1:$B$27,2,FALSE)</f>
        <v>Fuel and light</v>
      </c>
    </row>
    <row r="2900" spans="1:7" x14ac:dyDescent="0.3">
      <c r="A2900" t="s">
        <v>30</v>
      </c>
      <c r="B2900">
        <v>2016</v>
      </c>
      <c r="C2900" t="s">
        <v>31</v>
      </c>
      <c r="D2900" s="2">
        <v>42370</v>
      </c>
      <c r="E2900" t="s">
        <v>22</v>
      </c>
      <c r="F2900">
        <v>126.6</v>
      </c>
      <c r="G2900" t="str">
        <f>VLOOKUP(Table1_2[[#This Row],[Categories]],Sheet3!$A$1:$B$27,2,FALSE)</f>
        <v>Household Items</v>
      </c>
    </row>
    <row r="2901" spans="1:7" x14ac:dyDescent="0.3">
      <c r="A2901" t="s">
        <v>30</v>
      </c>
      <c r="B2901">
        <v>2016</v>
      </c>
      <c r="C2901" t="s">
        <v>31</v>
      </c>
      <c r="D2901" s="2">
        <v>42370</v>
      </c>
      <c r="E2901" t="s">
        <v>23</v>
      </c>
      <c r="F2901">
        <v>123.7</v>
      </c>
      <c r="G2901" t="str">
        <f>VLOOKUP(Table1_2[[#This Row],[Categories]],Sheet3!$A$1:$B$27,2,FALSE)</f>
        <v>Health</v>
      </c>
    </row>
    <row r="2902" spans="1:7" x14ac:dyDescent="0.3">
      <c r="A2902" t="s">
        <v>30</v>
      </c>
      <c r="B2902">
        <v>2016</v>
      </c>
      <c r="C2902" t="s">
        <v>31</v>
      </c>
      <c r="D2902" s="2">
        <v>42370</v>
      </c>
      <c r="E2902" t="s">
        <v>24</v>
      </c>
      <c r="F2902">
        <v>113.6</v>
      </c>
      <c r="G2902" t="str">
        <f>VLOOKUP(Table1_2[[#This Row],[Categories]],Sheet3!$A$1:$B$27,2,FALSE)</f>
        <v>Transport and communication</v>
      </c>
    </row>
    <row r="2903" spans="1:7" x14ac:dyDescent="0.3">
      <c r="A2903" t="s">
        <v>30</v>
      </c>
      <c r="B2903">
        <v>2016</v>
      </c>
      <c r="C2903" t="s">
        <v>31</v>
      </c>
      <c r="D2903" s="2">
        <v>42370</v>
      </c>
      <c r="E2903" t="s">
        <v>25</v>
      </c>
      <c r="F2903">
        <v>121.4</v>
      </c>
      <c r="G2903" t="str">
        <f>VLOOKUP(Table1_2[[#This Row],[Categories]],Sheet3!$A$1:$B$27,2,FALSE)</f>
        <v>Recreation and amusement</v>
      </c>
    </row>
    <row r="2904" spans="1:7" x14ac:dyDescent="0.3">
      <c r="A2904" t="s">
        <v>30</v>
      </c>
      <c r="B2904">
        <v>2016</v>
      </c>
      <c r="C2904" t="s">
        <v>31</v>
      </c>
      <c r="D2904" s="2">
        <v>42370</v>
      </c>
      <c r="E2904" t="s">
        <v>26</v>
      </c>
      <c r="F2904">
        <v>126.2</v>
      </c>
      <c r="G2904" t="str">
        <f>VLOOKUP(Table1_2[[#This Row],[Categories]],Sheet3!$A$1:$B$27,2,FALSE)</f>
        <v>Education</v>
      </c>
    </row>
    <row r="2905" spans="1:7" x14ac:dyDescent="0.3">
      <c r="A2905" t="s">
        <v>30</v>
      </c>
      <c r="B2905">
        <v>2016</v>
      </c>
      <c r="C2905" t="s">
        <v>31</v>
      </c>
      <c r="D2905" s="2">
        <v>42370</v>
      </c>
      <c r="E2905" t="s">
        <v>27</v>
      </c>
      <c r="F2905">
        <v>114.9</v>
      </c>
      <c r="G2905" t="str">
        <f>VLOOKUP(Table1_2[[#This Row],[Categories]],Sheet3!$A$1:$B$27,2,FALSE)</f>
        <v>Household Items</v>
      </c>
    </row>
    <row r="2906" spans="1:7" x14ac:dyDescent="0.3">
      <c r="A2906" t="s">
        <v>30</v>
      </c>
      <c r="B2906">
        <v>2016</v>
      </c>
      <c r="C2906" t="s">
        <v>31</v>
      </c>
      <c r="D2906" s="2">
        <v>42370</v>
      </c>
      <c r="E2906" t="s">
        <v>28</v>
      </c>
      <c r="F2906">
        <v>120.1</v>
      </c>
      <c r="G2906" t="str">
        <f>VLOOKUP(Table1_2[[#This Row],[Categories]],Sheet3!$A$1:$B$27,2,FALSE)</f>
        <v>Miscellaneous</v>
      </c>
    </row>
    <row r="2907" spans="1:7" x14ac:dyDescent="0.3">
      <c r="A2907" t="s">
        <v>30</v>
      </c>
      <c r="B2907">
        <v>2016</v>
      </c>
      <c r="C2907" t="s">
        <v>31</v>
      </c>
      <c r="D2907" s="2">
        <v>42370</v>
      </c>
      <c r="E2907" t="s">
        <v>29</v>
      </c>
      <c r="F2907">
        <v>128.1</v>
      </c>
      <c r="G2907" t="str">
        <f>VLOOKUP(Table1_2[[#This Row],[Categories]],Sheet3!$A$1:$B$27,2,FALSE)</f>
        <v>General index</v>
      </c>
    </row>
    <row r="2908" spans="1:7" x14ac:dyDescent="0.3">
      <c r="A2908" t="s">
        <v>33</v>
      </c>
      <c r="B2908">
        <v>2016</v>
      </c>
      <c r="C2908" t="s">
        <v>31</v>
      </c>
      <c r="D2908" s="2">
        <v>42370</v>
      </c>
      <c r="E2908" t="s">
        <v>3</v>
      </c>
      <c r="F2908">
        <v>124.7</v>
      </c>
      <c r="G2908" t="str">
        <f>VLOOKUP(Table1_2[[#This Row],[Categories]],Sheet3!$A$1:$B$27,2,FALSE)</f>
        <v>Food &amp;Beverage</v>
      </c>
    </row>
    <row r="2909" spans="1:7" x14ac:dyDescent="0.3">
      <c r="A2909" t="s">
        <v>33</v>
      </c>
      <c r="B2909">
        <v>2016</v>
      </c>
      <c r="C2909" t="s">
        <v>31</v>
      </c>
      <c r="D2909" s="2">
        <v>42370</v>
      </c>
      <c r="E2909" t="s">
        <v>4</v>
      </c>
      <c r="F2909">
        <v>135.9</v>
      </c>
      <c r="G2909" t="str">
        <f>VLOOKUP(Table1_2[[#This Row],[Categories]],Sheet3!$A$1:$B$27,2,FALSE)</f>
        <v>Food &amp;Beverage</v>
      </c>
    </row>
    <row r="2910" spans="1:7" x14ac:dyDescent="0.3">
      <c r="A2910" t="s">
        <v>33</v>
      </c>
      <c r="B2910">
        <v>2016</v>
      </c>
      <c r="C2910" t="s">
        <v>31</v>
      </c>
      <c r="D2910" s="2">
        <v>42370</v>
      </c>
      <c r="E2910" t="s">
        <v>5</v>
      </c>
      <c r="F2910">
        <v>132</v>
      </c>
      <c r="G2910" t="str">
        <f>VLOOKUP(Table1_2[[#This Row],[Categories]],Sheet3!$A$1:$B$27,2,FALSE)</f>
        <v>Food &amp;Beverage</v>
      </c>
    </row>
    <row r="2911" spans="1:7" x14ac:dyDescent="0.3">
      <c r="A2911" t="s">
        <v>33</v>
      </c>
      <c r="B2911">
        <v>2016</v>
      </c>
      <c r="C2911" t="s">
        <v>31</v>
      </c>
      <c r="D2911" s="2">
        <v>42370</v>
      </c>
      <c r="E2911" t="s">
        <v>6</v>
      </c>
      <c r="F2911">
        <v>129.19999999999999</v>
      </c>
      <c r="G2911" t="str">
        <f>VLOOKUP(Table1_2[[#This Row],[Categories]],Sheet3!$A$1:$B$27,2,FALSE)</f>
        <v>Food &amp;Beverage</v>
      </c>
    </row>
    <row r="2912" spans="1:7" x14ac:dyDescent="0.3">
      <c r="A2912" t="s">
        <v>33</v>
      </c>
      <c r="B2912">
        <v>2016</v>
      </c>
      <c r="C2912" t="s">
        <v>31</v>
      </c>
      <c r="D2912" s="2">
        <v>42370</v>
      </c>
      <c r="E2912" t="s">
        <v>7</v>
      </c>
      <c r="F2912">
        <v>109.7</v>
      </c>
      <c r="G2912" t="str">
        <f>VLOOKUP(Table1_2[[#This Row],[Categories]],Sheet3!$A$1:$B$27,2,FALSE)</f>
        <v>Food &amp;Beverage</v>
      </c>
    </row>
    <row r="2913" spans="1:7" x14ac:dyDescent="0.3">
      <c r="A2913" t="s">
        <v>33</v>
      </c>
      <c r="B2913">
        <v>2016</v>
      </c>
      <c r="C2913" t="s">
        <v>31</v>
      </c>
      <c r="D2913" s="2">
        <v>42370</v>
      </c>
      <c r="E2913" t="s">
        <v>8</v>
      </c>
      <c r="F2913">
        <v>119</v>
      </c>
      <c r="G2913" t="str">
        <f>VLOOKUP(Table1_2[[#This Row],[Categories]],Sheet3!$A$1:$B$27,2,FALSE)</f>
        <v>Food &amp;Beverage</v>
      </c>
    </row>
    <row r="2914" spans="1:7" x14ac:dyDescent="0.3">
      <c r="A2914" t="s">
        <v>33</v>
      </c>
      <c r="B2914">
        <v>2016</v>
      </c>
      <c r="C2914" t="s">
        <v>31</v>
      </c>
      <c r="D2914" s="2">
        <v>42370</v>
      </c>
      <c r="E2914" t="s">
        <v>9</v>
      </c>
      <c r="F2914">
        <v>144.1</v>
      </c>
      <c r="G2914" t="str">
        <f>VLOOKUP(Table1_2[[#This Row],[Categories]],Sheet3!$A$1:$B$27,2,FALSE)</f>
        <v>Food &amp;Beverage</v>
      </c>
    </row>
    <row r="2915" spans="1:7" x14ac:dyDescent="0.3">
      <c r="A2915" t="s">
        <v>33</v>
      </c>
      <c r="B2915">
        <v>2016</v>
      </c>
      <c r="C2915" t="s">
        <v>31</v>
      </c>
      <c r="D2915" s="2">
        <v>42370</v>
      </c>
      <c r="E2915" t="s">
        <v>10</v>
      </c>
      <c r="F2915">
        <v>184.2</v>
      </c>
      <c r="G2915" t="str">
        <f>VLOOKUP(Table1_2[[#This Row],[Categories]],Sheet3!$A$1:$B$27,2,FALSE)</f>
        <v>Food &amp;Beverage</v>
      </c>
    </row>
    <row r="2916" spans="1:7" x14ac:dyDescent="0.3">
      <c r="A2916" t="s">
        <v>33</v>
      </c>
      <c r="B2916">
        <v>2016</v>
      </c>
      <c r="C2916" t="s">
        <v>31</v>
      </c>
      <c r="D2916" s="2">
        <v>42370</v>
      </c>
      <c r="E2916" t="s">
        <v>11</v>
      </c>
      <c r="F2916">
        <v>96.7</v>
      </c>
      <c r="G2916" t="str">
        <f>VLOOKUP(Table1_2[[#This Row],[Categories]],Sheet3!$A$1:$B$27,2,FALSE)</f>
        <v>Food &amp;Beverage</v>
      </c>
    </row>
    <row r="2917" spans="1:7" x14ac:dyDescent="0.3">
      <c r="A2917" t="s">
        <v>33</v>
      </c>
      <c r="B2917">
        <v>2016</v>
      </c>
      <c r="C2917" t="s">
        <v>31</v>
      </c>
      <c r="D2917" s="2">
        <v>42370</v>
      </c>
      <c r="E2917" t="s">
        <v>12</v>
      </c>
      <c r="F2917">
        <v>139.5</v>
      </c>
      <c r="G2917" t="str">
        <f>VLOOKUP(Table1_2[[#This Row],[Categories]],Sheet3!$A$1:$B$27,2,FALSE)</f>
        <v>Food &amp;Beverage</v>
      </c>
    </row>
    <row r="2918" spans="1:7" x14ac:dyDescent="0.3">
      <c r="A2918" t="s">
        <v>33</v>
      </c>
      <c r="B2918">
        <v>2016</v>
      </c>
      <c r="C2918" t="s">
        <v>31</v>
      </c>
      <c r="D2918" s="2">
        <v>42370</v>
      </c>
      <c r="E2918" t="s">
        <v>13</v>
      </c>
      <c r="F2918">
        <v>120.5</v>
      </c>
      <c r="G2918" t="str">
        <f>VLOOKUP(Table1_2[[#This Row],[Categories]],Sheet3!$A$1:$B$27,2,FALSE)</f>
        <v>Food &amp;Beverage</v>
      </c>
    </row>
    <row r="2919" spans="1:7" x14ac:dyDescent="0.3">
      <c r="A2919" t="s">
        <v>33</v>
      </c>
      <c r="B2919">
        <v>2016</v>
      </c>
      <c r="C2919" t="s">
        <v>31</v>
      </c>
      <c r="D2919" s="2">
        <v>42370</v>
      </c>
      <c r="E2919" t="s">
        <v>14</v>
      </c>
      <c r="F2919">
        <v>134.69999999999999</v>
      </c>
      <c r="G2919" t="str">
        <f>VLOOKUP(Table1_2[[#This Row],[Categories]],Sheet3!$A$1:$B$27,2,FALSE)</f>
        <v>Food &amp;Beverage</v>
      </c>
    </row>
    <row r="2920" spans="1:7" x14ac:dyDescent="0.3">
      <c r="A2920" t="s">
        <v>33</v>
      </c>
      <c r="B2920">
        <v>2016</v>
      </c>
      <c r="C2920" t="s">
        <v>31</v>
      </c>
      <c r="D2920" s="2">
        <v>42370</v>
      </c>
      <c r="E2920" t="s">
        <v>15</v>
      </c>
      <c r="F2920">
        <v>131.19999999999999</v>
      </c>
      <c r="G2920" t="str">
        <f>VLOOKUP(Table1_2[[#This Row],[Categories]],Sheet3!$A$1:$B$27,2,FALSE)</f>
        <v>Food &amp;Beverage</v>
      </c>
    </row>
    <row r="2921" spans="1:7" x14ac:dyDescent="0.3">
      <c r="A2921" t="s">
        <v>33</v>
      </c>
      <c r="B2921">
        <v>2016</v>
      </c>
      <c r="C2921" t="s">
        <v>31</v>
      </c>
      <c r="D2921" s="2">
        <v>42370</v>
      </c>
      <c r="E2921" t="s">
        <v>16</v>
      </c>
      <c r="F2921">
        <v>139.5</v>
      </c>
      <c r="G2921" t="str">
        <f>VLOOKUP(Table1_2[[#This Row],[Categories]],Sheet3!$A$1:$B$27,2,FALSE)</f>
        <v>Recreation and amusement</v>
      </c>
    </row>
    <row r="2922" spans="1:7" x14ac:dyDescent="0.3">
      <c r="A2922" t="s">
        <v>33</v>
      </c>
      <c r="B2922">
        <v>2016</v>
      </c>
      <c r="C2922" t="s">
        <v>31</v>
      </c>
      <c r="D2922" s="2">
        <v>42370</v>
      </c>
      <c r="E2922" t="s">
        <v>17</v>
      </c>
      <c r="F2922">
        <v>125.8</v>
      </c>
      <c r="G2922" t="str">
        <f>VLOOKUP(Table1_2[[#This Row],[Categories]],Sheet3!$A$1:$B$27,2,FALSE)</f>
        <v>Clothing and footwear</v>
      </c>
    </row>
    <row r="2923" spans="1:7" x14ac:dyDescent="0.3">
      <c r="A2923" t="s">
        <v>33</v>
      </c>
      <c r="B2923">
        <v>2016</v>
      </c>
      <c r="C2923" t="s">
        <v>31</v>
      </c>
      <c r="D2923" s="2">
        <v>42370</v>
      </c>
      <c r="E2923" t="s">
        <v>18</v>
      </c>
      <c r="F2923">
        <v>119.8</v>
      </c>
      <c r="G2923" t="str">
        <f>VLOOKUP(Table1_2[[#This Row],[Categories]],Sheet3!$A$1:$B$27,2,FALSE)</f>
        <v>Clothing and footwear</v>
      </c>
    </row>
    <row r="2924" spans="1:7" x14ac:dyDescent="0.3">
      <c r="A2924" t="s">
        <v>33</v>
      </c>
      <c r="B2924">
        <v>2016</v>
      </c>
      <c r="C2924" t="s">
        <v>31</v>
      </c>
      <c r="D2924" s="2">
        <v>42370</v>
      </c>
      <c r="E2924" t="s">
        <v>19</v>
      </c>
      <c r="F2924">
        <v>124.9</v>
      </c>
      <c r="G2924" t="str">
        <f>VLOOKUP(Table1_2[[#This Row],[Categories]],Sheet3!$A$1:$B$27,2,FALSE)</f>
        <v>Clothing and footwear</v>
      </c>
    </row>
    <row r="2925" spans="1:7" x14ac:dyDescent="0.3">
      <c r="A2925" t="s">
        <v>33</v>
      </c>
      <c r="B2925">
        <v>2016</v>
      </c>
      <c r="C2925" t="s">
        <v>31</v>
      </c>
      <c r="D2925" s="2">
        <v>42370</v>
      </c>
      <c r="E2925" t="s">
        <v>20</v>
      </c>
      <c r="F2925">
        <v>123.4</v>
      </c>
      <c r="G2925" t="str">
        <f>VLOOKUP(Table1_2[[#This Row],[Categories]],Sheet3!$A$1:$B$27,2,FALSE)</f>
        <v>Housing</v>
      </c>
    </row>
    <row r="2926" spans="1:7" x14ac:dyDescent="0.3">
      <c r="A2926" t="s">
        <v>33</v>
      </c>
      <c r="B2926">
        <v>2016</v>
      </c>
      <c r="C2926" t="s">
        <v>31</v>
      </c>
      <c r="D2926" s="2">
        <v>42370</v>
      </c>
      <c r="E2926" t="s">
        <v>21</v>
      </c>
      <c r="F2926">
        <v>116.9</v>
      </c>
      <c r="G2926" t="str">
        <f>VLOOKUP(Table1_2[[#This Row],[Categories]],Sheet3!$A$1:$B$27,2,FALSE)</f>
        <v>Fuel and light</v>
      </c>
    </row>
    <row r="2927" spans="1:7" x14ac:dyDescent="0.3">
      <c r="A2927" t="s">
        <v>33</v>
      </c>
      <c r="B2927">
        <v>2016</v>
      </c>
      <c r="C2927" t="s">
        <v>31</v>
      </c>
      <c r="D2927" s="2">
        <v>42370</v>
      </c>
      <c r="E2927" t="s">
        <v>22</v>
      </c>
      <c r="F2927">
        <v>121.6</v>
      </c>
      <c r="G2927" t="str">
        <f>VLOOKUP(Table1_2[[#This Row],[Categories]],Sheet3!$A$1:$B$27,2,FALSE)</f>
        <v>Household Items</v>
      </c>
    </row>
    <row r="2928" spans="1:7" x14ac:dyDescent="0.3">
      <c r="A2928" t="s">
        <v>33</v>
      </c>
      <c r="B2928">
        <v>2016</v>
      </c>
      <c r="C2928" t="s">
        <v>31</v>
      </c>
      <c r="D2928" s="2">
        <v>42370</v>
      </c>
      <c r="E2928" t="s">
        <v>23</v>
      </c>
      <c r="F2928">
        <v>119.1</v>
      </c>
      <c r="G2928" t="str">
        <f>VLOOKUP(Table1_2[[#This Row],[Categories]],Sheet3!$A$1:$B$27,2,FALSE)</f>
        <v>Health</v>
      </c>
    </row>
    <row r="2929" spans="1:7" x14ac:dyDescent="0.3">
      <c r="A2929" t="s">
        <v>33</v>
      </c>
      <c r="B2929">
        <v>2016</v>
      </c>
      <c r="C2929" t="s">
        <v>31</v>
      </c>
      <c r="D2929" s="2">
        <v>42370</v>
      </c>
      <c r="E2929" t="s">
        <v>24</v>
      </c>
      <c r="F2929">
        <v>108.9</v>
      </c>
      <c r="G2929" t="str">
        <f>VLOOKUP(Table1_2[[#This Row],[Categories]],Sheet3!$A$1:$B$27,2,FALSE)</f>
        <v>Transport and communication</v>
      </c>
    </row>
    <row r="2930" spans="1:7" x14ac:dyDescent="0.3">
      <c r="A2930" t="s">
        <v>33</v>
      </c>
      <c r="B2930">
        <v>2016</v>
      </c>
      <c r="C2930" t="s">
        <v>31</v>
      </c>
      <c r="D2930" s="2">
        <v>42370</v>
      </c>
      <c r="E2930" t="s">
        <v>25</v>
      </c>
      <c r="F2930">
        <v>118.5</v>
      </c>
      <c r="G2930" t="str">
        <f>VLOOKUP(Table1_2[[#This Row],[Categories]],Sheet3!$A$1:$B$27,2,FALSE)</f>
        <v>Recreation and amusement</v>
      </c>
    </row>
    <row r="2931" spans="1:7" x14ac:dyDescent="0.3">
      <c r="A2931" t="s">
        <v>33</v>
      </c>
      <c r="B2931">
        <v>2016</v>
      </c>
      <c r="C2931" t="s">
        <v>31</v>
      </c>
      <c r="D2931" s="2">
        <v>42370</v>
      </c>
      <c r="E2931" t="s">
        <v>26</v>
      </c>
      <c r="F2931">
        <v>126.4</v>
      </c>
      <c r="G2931" t="str">
        <f>VLOOKUP(Table1_2[[#This Row],[Categories]],Sheet3!$A$1:$B$27,2,FALSE)</f>
        <v>Education</v>
      </c>
    </row>
    <row r="2932" spans="1:7" x14ac:dyDescent="0.3">
      <c r="A2932" t="s">
        <v>33</v>
      </c>
      <c r="B2932">
        <v>2016</v>
      </c>
      <c r="C2932" t="s">
        <v>31</v>
      </c>
      <c r="D2932" s="2">
        <v>42370</v>
      </c>
      <c r="E2932" t="s">
        <v>27</v>
      </c>
      <c r="F2932">
        <v>114</v>
      </c>
      <c r="G2932" t="str">
        <f>VLOOKUP(Table1_2[[#This Row],[Categories]],Sheet3!$A$1:$B$27,2,FALSE)</f>
        <v>Household Items</v>
      </c>
    </row>
    <row r="2933" spans="1:7" x14ac:dyDescent="0.3">
      <c r="A2933" t="s">
        <v>33</v>
      </c>
      <c r="B2933">
        <v>2016</v>
      </c>
      <c r="C2933" t="s">
        <v>31</v>
      </c>
      <c r="D2933" s="2">
        <v>42370</v>
      </c>
      <c r="E2933" t="s">
        <v>28</v>
      </c>
      <c r="F2933">
        <v>116.8</v>
      </c>
      <c r="G2933" t="str">
        <f>VLOOKUP(Table1_2[[#This Row],[Categories]],Sheet3!$A$1:$B$27,2,FALSE)</f>
        <v>Miscellaneous</v>
      </c>
    </row>
    <row r="2934" spans="1:7" x14ac:dyDescent="0.3">
      <c r="A2934" t="s">
        <v>33</v>
      </c>
      <c r="B2934">
        <v>2016</v>
      </c>
      <c r="C2934" t="s">
        <v>31</v>
      </c>
      <c r="D2934" s="2">
        <v>42370</v>
      </c>
      <c r="E2934" t="s">
        <v>29</v>
      </c>
      <c r="F2934">
        <v>124.2</v>
      </c>
      <c r="G2934" t="str">
        <f>VLOOKUP(Table1_2[[#This Row],[Categories]],Sheet3!$A$1:$B$27,2,FALSE)</f>
        <v>General index</v>
      </c>
    </row>
    <row r="2935" spans="1:7" x14ac:dyDescent="0.3">
      <c r="A2935" t="s">
        <v>34</v>
      </c>
      <c r="B2935">
        <v>2016</v>
      </c>
      <c r="C2935" t="s">
        <v>31</v>
      </c>
      <c r="D2935" s="2">
        <v>42370</v>
      </c>
      <c r="E2935" t="s">
        <v>3</v>
      </c>
      <c r="F2935">
        <v>126.1</v>
      </c>
      <c r="G2935" t="str">
        <f>VLOOKUP(Table1_2[[#This Row],[Categories]],Sheet3!$A$1:$B$27,2,FALSE)</f>
        <v>Food &amp;Beverage</v>
      </c>
    </row>
    <row r="2936" spans="1:7" x14ac:dyDescent="0.3">
      <c r="A2936" t="s">
        <v>34</v>
      </c>
      <c r="B2936">
        <v>2016</v>
      </c>
      <c r="C2936" t="s">
        <v>31</v>
      </c>
      <c r="D2936" s="2">
        <v>42370</v>
      </c>
      <c r="E2936" t="s">
        <v>4</v>
      </c>
      <c r="F2936">
        <v>134.1</v>
      </c>
      <c r="G2936" t="str">
        <f>VLOOKUP(Table1_2[[#This Row],[Categories]],Sheet3!$A$1:$B$27,2,FALSE)</f>
        <v>Food &amp;Beverage</v>
      </c>
    </row>
    <row r="2937" spans="1:7" x14ac:dyDescent="0.3">
      <c r="A2937" t="s">
        <v>34</v>
      </c>
      <c r="B2937">
        <v>2016</v>
      </c>
      <c r="C2937" t="s">
        <v>31</v>
      </c>
      <c r="D2937" s="2">
        <v>42370</v>
      </c>
      <c r="E2937" t="s">
        <v>5</v>
      </c>
      <c r="F2937">
        <v>128.6</v>
      </c>
      <c r="G2937" t="str">
        <f>VLOOKUP(Table1_2[[#This Row],[Categories]],Sheet3!$A$1:$B$27,2,FALSE)</f>
        <v>Food &amp;Beverage</v>
      </c>
    </row>
    <row r="2938" spans="1:7" x14ac:dyDescent="0.3">
      <c r="A2938" t="s">
        <v>34</v>
      </c>
      <c r="B2938">
        <v>2016</v>
      </c>
      <c r="C2938" t="s">
        <v>31</v>
      </c>
      <c r="D2938" s="2">
        <v>42370</v>
      </c>
      <c r="E2938" t="s">
        <v>6</v>
      </c>
      <c r="F2938">
        <v>129.9</v>
      </c>
      <c r="G2938" t="str">
        <f>VLOOKUP(Table1_2[[#This Row],[Categories]],Sheet3!$A$1:$B$27,2,FALSE)</f>
        <v>Food &amp;Beverage</v>
      </c>
    </row>
    <row r="2939" spans="1:7" x14ac:dyDescent="0.3">
      <c r="A2939" t="s">
        <v>34</v>
      </c>
      <c r="B2939">
        <v>2016</v>
      </c>
      <c r="C2939" t="s">
        <v>31</v>
      </c>
      <c r="D2939" s="2">
        <v>42370</v>
      </c>
      <c r="E2939" t="s">
        <v>7</v>
      </c>
      <c r="F2939">
        <v>115.5</v>
      </c>
      <c r="G2939" t="str">
        <f>VLOOKUP(Table1_2[[#This Row],[Categories]],Sheet3!$A$1:$B$27,2,FALSE)</f>
        <v>Food &amp;Beverage</v>
      </c>
    </row>
    <row r="2940" spans="1:7" x14ac:dyDescent="0.3">
      <c r="A2940" t="s">
        <v>34</v>
      </c>
      <c r="B2940">
        <v>2016</v>
      </c>
      <c r="C2940" t="s">
        <v>31</v>
      </c>
      <c r="D2940" s="2">
        <v>42370</v>
      </c>
      <c r="E2940" t="s">
        <v>8</v>
      </c>
      <c r="F2940">
        <v>125.7</v>
      </c>
      <c r="G2940" t="str">
        <f>VLOOKUP(Table1_2[[#This Row],[Categories]],Sheet3!$A$1:$B$27,2,FALSE)</f>
        <v>Food &amp;Beverage</v>
      </c>
    </row>
    <row r="2941" spans="1:7" x14ac:dyDescent="0.3">
      <c r="A2941" t="s">
        <v>34</v>
      </c>
      <c r="B2941">
        <v>2016</v>
      </c>
      <c r="C2941" t="s">
        <v>31</v>
      </c>
      <c r="D2941" s="2">
        <v>42370</v>
      </c>
      <c r="E2941" t="s">
        <v>9</v>
      </c>
      <c r="F2941">
        <v>141.5</v>
      </c>
      <c r="G2941" t="str">
        <f>VLOOKUP(Table1_2[[#This Row],[Categories]],Sheet3!$A$1:$B$27,2,FALSE)</f>
        <v>Food &amp;Beverage</v>
      </c>
    </row>
    <row r="2942" spans="1:7" x14ac:dyDescent="0.3">
      <c r="A2942" t="s">
        <v>34</v>
      </c>
      <c r="B2942">
        <v>2016</v>
      </c>
      <c r="C2942" t="s">
        <v>31</v>
      </c>
      <c r="D2942" s="2">
        <v>42370</v>
      </c>
      <c r="E2942" t="s">
        <v>10</v>
      </c>
      <c r="F2942">
        <v>170.7</v>
      </c>
      <c r="G2942" t="str">
        <f>VLOOKUP(Table1_2[[#This Row],[Categories]],Sheet3!$A$1:$B$27,2,FALSE)</f>
        <v>Food &amp;Beverage</v>
      </c>
    </row>
    <row r="2943" spans="1:7" x14ac:dyDescent="0.3">
      <c r="A2943" t="s">
        <v>34</v>
      </c>
      <c r="B2943">
        <v>2016</v>
      </c>
      <c r="C2943" t="s">
        <v>31</v>
      </c>
      <c r="D2943" s="2">
        <v>42370</v>
      </c>
      <c r="E2943" t="s">
        <v>11</v>
      </c>
      <c r="F2943">
        <v>97.4</v>
      </c>
      <c r="G2943" t="str">
        <f>VLOOKUP(Table1_2[[#This Row],[Categories]],Sheet3!$A$1:$B$27,2,FALSE)</f>
        <v>Food &amp;Beverage</v>
      </c>
    </row>
    <row r="2944" spans="1:7" x14ac:dyDescent="0.3">
      <c r="A2944" t="s">
        <v>34</v>
      </c>
      <c r="B2944">
        <v>2016</v>
      </c>
      <c r="C2944" t="s">
        <v>31</v>
      </c>
      <c r="D2944" s="2">
        <v>42370</v>
      </c>
      <c r="E2944" t="s">
        <v>12</v>
      </c>
      <c r="F2944">
        <v>132.9</v>
      </c>
      <c r="G2944" t="str">
        <f>VLOOKUP(Table1_2[[#This Row],[Categories]],Sheet3!$A$1:$B$27,2,FALSE)</f>
        <v>Food &amp;Beverage</v>
      </c>
    </row>
    <row r="2945" spans="1:7" x14ac:dyDescent="0.3">
      <c r="A2945" t="s">
        <v>34</v>
      </c>
      <c r="B2945">
        <v>2016</v>
      </c>
      <c r="C2945" t="s">
        <v>31</v>
      </c>
      <c r="D2945" s="2">
        <v>42370</v>
      </c>
      <c r="E2945" t="s">
        <v>13</v>
      </c>
      <c r="F2945">
        <v>122.7</v>
      </c>
      <c r="G2945" t="str">
        <f>VLOOKUP(Table1_2[[#This Row],[Categories]],Sheet3!$A$1:$B$27,2,FALSE)</f>
        <v>Food &amp;Beverage</v>
      </c>
    </row>
    <row r="2946" spans="1:7" x14ac:dyDescent="0.3">
      <c r="A2946" t="s">
        <v>34</v>
      </c>
      <c r="B2946">
        <v>2016</v>
      </c>
      <c r="C2946" t="s">
        <v>31</v>
      </c>
      <c r="D2946" s="2">
        <v>42370</v>
      </c>
      <c r="E2946" t="s">
        <v>14</v>
      </c>
      <c r="F2946">
        <v>135.30000000000001</v>
      </c>
      <c r="G2946" t="str">
        <f>VLOOKUP(Table1_2[[#This Row],[Categories]],Sheet3!$A$1:$B$27,2,FALSE)</f>
        <v>Food &amp;Beverage</v>
      </c>
    </row>
    <row r="2947" spans="1:7" x14ac:dyDescent="0.3">
      <c r="A2947" t="s">
        <v>34</v>
      </c>
      <c r="B2947">
        <v>2016</v>
      </c>
      <c r="C2947" t="s">
        <v>31</v>
      </c>
      <c r="D2947" s="2">
        <v>42370</v>
      </c>
      <c r="E2947" t="s">
        <v>15</v>
      </c>
      <c r="F2947">
        <v>131.30000000000001</v>
      </c>
      <c r="G2947" t="str">
        <f>VLOOKUP(Table1_2[[#This Row],[Categories]],Sheet3!$A$1:$B$27,2,FALSE)</f>
        <v>Food &amp;Beverage</v>
      </c>
    </row>
    <row r="2948" spans="1:7" x14ac:dyDescent="0.3">
      <c r="A2948" t="s">
        <v>34</v>
      </c>
      <c r="B2948">
        <v>2016</v>
      </c>
      <c r="C2948" t="s">
        <v>31</v>
      </c>
      <c r="D2948" s="2">
        <v>42370</v>
      </c>
      <c r="E2948" t="s">
        <v>16</v>
      </c>
      <c r="F2948">
        <v>135.19999999999999</v>
      </c>
      <c r="G2948" t="str">
        <f>VLOOKUP(Table1_2[[#This Row],[Categories]],Sheet3!$A$1:$B$27,2,FALSE)</f>
        <v>Recreation and amusement</v>
      </c>
    </row>
    <row r="2949" spans="1:7" x14ac:dyDescent="0.3">
      <c r="A2949" t="s">
        <v>34</v>
      </c>
      <c r="B2949">
        <v>2016</v>
      </c>
      <c r="C2949" t="s">
        <v>31</v>
      </c>
      <c r="D2949" s="2">
        <v>42370</v>
      </c>
      <c r="E2949" t="s">
        <v>17</v>
      </c>
      <c r="F2949">
        <v>130.30000000000001</v>
      </c>
      <c r="G2949" t="str">
        <f>VLOOKUP(Table1_2[[#This Row],[Categories]],Sheet3!$A$1:$B$27,2,FALSE)</f>
        <v>Clothing and footwear</v>
      </c>
    </row>
    <row r="2950" spans="1:7" x14ac:dyDescent="0.3">
      <c r="A2950" t="s">
        <v>34</v>
      </c>
      <c r="B2950">
        <v>2016</v>
      </c>
      <c r="C2950" t="s">
        <v>31</v>
      </c>
      <c r="D2950" s="2">
        <v>42370</v>
      </c>
      <c r="E2950" t="s">
        <v>18</v>
      </c>
      <c r="F2950">
        <v>125.1</v>
      </c>
      <c r="G2950" t="str">
        <f>VLOOKUP(Table1_2[[#This Row],[Categories]],Sheet3!$A$1:$B$27,2,FALSE)</f>
        <v>Clothing and footwear</v>
      </c>
    </row>
    <row r="2951" spans="1:7" x14ac:dyDescent="0.3">
      <c r="A2951" t="s">
        <v>34</v>
      </c>
      <c r="B2951">
        <v>2016</v>
      </c>
      <c r="C2951" t="s">
        <v>31</v>
      </c>
      <c r="D2951" s="2">
        <v>42370</v>
      </c>
      <c r="E2951" t="s">
        <v>19</v>
      </c>
      <c r="F2951">
        <v>129.5</v>
      </c>
      <c r="G2951" t="str">
        <f>VLOOKUP(Table1_2[[#This Row],[Categories]],Sheet3!$A$1:$B$27,2,FALSE)</f>
        <v>Clothing and footwear</v>
      </c>
    </row>
    <row r="2952" spans="1:7" x14ac:dyDescent="0.3">
      <c r="A2952" t="s">
        <v>34</v>
      </c>
      <c r="B2952">
        <v>2016</v>
      </c>
      <c r="C2952" t="s">
        <v>31</v>
      </c>
      <c r="D2952" s="2">
        <v>42370</v>
      </c>
      <c r="E2952" t="s">
        <v>20</v>
      </c>
      <c r="F2952">
        <v>123.4</v>
      </c>
      <c r="G2952" t="str">
        <f>VLOOKUP(Table1_2[[#This Row],[Categories]],Sheet3!$A$1:$B$27,2,FALSE)</f>
        <v>Housing</v>
      </c>
    </row>
    <row r="2953" spans="1:7" x14ac:dyDescent="0.3">
      <c r="A2953" t="s">
        <v>34</v>
      </c>
      <c r="B2953">
        <v>2016</v>
      </c>
      <c r="C2953" t="s">
        <v>31</v>
      </c>
      <c r="D2953" s="2">
        <v>42370</v>
      </c>
      <c r="E2953" t="s">
        <v>21</v>
      </c>
      <c r="F2953">
        <v>122.7</v>
      </c>
      <c r="G2953" t="str">
        <f>VLOOKUP(Table1_2[[#This Row],[Categories]],Sheet3!$A$1:$B$27,2,FALSE)</f>
        <v>Fuel and light</v>
      </c>
    </row>
    <row r="2954" spans="1:7" x14ac:dyDescent="0.3">
      <c r="A2954" t="s">
        <v>34</v>
      </c>
      <c r="B2954">
        <v>2016</v>
      </c>
      <c r="C2954" t="s">
        <v>31</v>
      </c>
      <c r="D2954" s="2">
        <v>42370</v>
      </c>
      <c r="E2954" t="s">
        <v>22</v>
      </c>
      <c r="F2954">
        <v>124.2</v>
      </c>
      <c r="G2954" t="str">
        <f>VLOOKUP(Table1_2[[#This Row],[Categories]],Sheet3!$A$1:$B$27,2,FALSE)</f>
        <v>Household Items</v>
      </c>
    </row>
    <row r="2955" spans="1:7" x14ac:dyDescent="0.3">
      <c r="A2955" t="s">
        <v>34</v>
      </c>
      <c r="B2955">
        <v>2016</v>
      </c>
      <c r="C2955" t="s">
        <v>31</v>
      </c>
      <c r="D2955" s="2">
        <v>42370</v>
      </c>
      <c r="E2955" t="s">
        <v>23</v>
      </c>
      <c r="F2955">
        <v>122</v>
      </c>
      <c r="G2955" t="str">
        <f>VLOOKUP(Table1_2[[#This Row],[Categories]],Sheet3!$A$1:$B$27,2,FALSE)</f>
        <v>Health</v>
      </c>
    </row>
    <row r="2956" spans="1:7" x14ac:dyDescent="0.3">
      <c r="A2956" t="s">
        <v>34</v>
      </c>
      <c r="B2956">
        <v>2016</v>
      </c>
      <c r="C2956" t="s">
        <v>31</v>
      </c>
      <c r="D2956" s="2">
        <v>42370</v>
      </c>
      <c r="E2956" t="s">
        <v>24</v>
      </c>
      <c r="F2956">
        <v>111.1</v>
      </c>
      <c r="G2956" t="str">
        <f>VLOOKUP(Table1_2[[#This Row],[Categories]],Sheet3!$A$1:$B$27,2,FALSE)</f>
        <v>Transport and communication</v>
      </c>
    </row>
    <row r="2957" spans="1:7" x14ac:dyDescent="0.3">
      <c r="A2957" t="s">
        <v>34</v>
      </c>
      <c r="B2957">
        <v>2016</v>
      </c>
      <c r="C2957" t="s">
        <v>31</v>
      </c>
      <c r="D2957" s="2">
        <v>42370</v>
      </c>
      <c r="E2957" t="s">
        <v>25</v>
      </c>
      <c r="F2957">
        <v>119.8</v>
      </c>
      <c r="G2957" t="str">
        <f>VLOOKUP(Table1_2[[#This Row],[Categories]],Sheet3!$A$1:$B$27,2,FALSE)</f>
        <v>Recreation and amusement</v>
      </c>
    </row>
    <row r="2958" spans="1:7" x14ac:dyDescent="0.3">
      <c r="A2958" t="s">
        <v>34</v>
      </c>
      <c r="B2958">
        <v>2016</v>
      </c>
      <c r="C2958" t="s">
        <v>31</v>
      </c>
      <c r="D2958" s="2">
        <v>42370</v>
      </c>
      <c r="E2958" t="s">
        <v>26</v>
      </c>
      <c r="F2958">
        <v>126.3</v>
      </c>
      <c r="G2958" t="str">
        <f>VLOOKUP(Table1_2[[#This Row],[Categories]],Sheet3!$A$1:$B$27,2,FALSE)</f>
        <v>Education</v>
      </c>
    </row>
    <row r="2959" spans="1:7" x14ac:dyDescent="0.3">
      <c r="A2959" t="s">
        <v>34</v>
      </c>
      <c r="B2959">
        <v>2016</v>
      </c>
      <c r="C2959" t="s">
        <v>31</v>
      </c>
      <c r="D2959" s="2">
        <v>42370</v>
      </c>
      <c r="E2959" t="s">
        <v>27</v>
      </c>
      <c r="F2959">
        <v>114.5</v>
      </c>
      <c r="G2959" t="str">
        <f>VLOOKUP(Table1_2[[#This Row],[Categories]],Sheet3!$A$1:$B$27,2,FALSE)</f>
        <v>Household Items</v>
      </c>
    </row>
    <row r="2960" spans="1:7" x14ac:dyDescent="0.3">
      <c r="A2960" t="s">
        <v>34</v>
      </c>
      <c r="B2960">
        <v>2016</v>
      </c>
      <c r="C2960" t="s">
        <v>31</v>
      </c>
      <c r="D2960" s="2">
        <v>42370</v>
      </c>
      <c r="E2960" t="s">
        <v>28</v>
      </c>
      <c r="F2960">
        <v>118.5</v>
      </c>
      <c r="G2960" t="str">
        <f>VLOOKUP(Table1_2[[#This Row],[Categories]],Sheet3!$A$1:$B$27,2,FALSE)</f>
        <v>Miscellaneous</v>
      </c>
    </row>
    <row r="2961" spans="1:7" x14ac:dyDescent="0.3">
      <c r="A2961" t="s">
        <v>34</v>
      </c>
      <c r="B2961">
        <v>2016</v>
      </c>
      <c r="C2961" t="s">
        <v>31</v>
      </c>
      <c r="D2961" s="2">
        <v>42370</v>
      </c>
      <c r="E2961" t="s">
        <v>29</v>
      </c>
      <c r="F2961">
        <v>126.3</v>
      </c>
      <c r="G2961" t="str">
        <f>VLOOKUP(Table1_2[[#This Row],[Categories]],Sheet3!$A$1:$B$27,2,FALSE)</f>
        <v>General index</v>
      </c>
    </row>
    <row r="2962" spans="1:7" x14ac:dyDescent="0.3">
      <c r="A2962" t="s">
        <v>30</v>
      </c>
      <c r="B2962">
        <v>2016</v>
      </c>
      <c r="C2962" t="s">
        <v>35</v>
      </c>
      <c r="D2962" s="2">
        <v>42401</v>
      </c>
      <c r="E2962" t="s">
        <v>3</v>
      </c>
      <c r="F2962">
        <v>127.1</v>
      </c>
      <c r="G2962" t="str">
        <f>VLOOKUP(Table1_2[[#This Row],[Categories]],Sheet3!$A$1:$B$27,2,FALSE)</f>
        <v>Food &amp;Beverage</v>
      </c>
    </row>
    <row r="2963" spans="1:7" x14ac:dyDescent="0.3">
      <c r="A2963" t="s">
        <v>30</v>
      </c>
      <c r="B2963">
        <v>2016</v>
      </c>
      <c r="C2963" t="s">
        <v>35</v>
      </c>
      <c r="D2963" s="2">
        <v>42401</v>
      </c>
      <c r="E2963" t="s">
        <v>4</v>
      </c>
      <c r="F2963">
        <v>133.69999999999999</v>
      </c>
      <c r="G2963" t="str">
        <f>VLOOKUP(Table1_2[[#This Row],[Categories]],Sheet3!$A$1:$B$27,2,FALSE)</f>
        <v>Food &amp;Beverage</v>
      </c>
    </row>
    <row r="2964" spans="1:7" x14ac:dyDescent="0.3">
      <c r="A2964" t="s">
        <v>30</v>
      </c>
      <c r="B2964">
        <v>2016</v>
      </c>
      <c r="C2964" t="s">
        <v>35</v>
      </c>
      <c r="D2964" s="2">
        <v>42401</v>
      </c>
      <c r="E2964" t="s">
        <v>5</v>
      </c>
      <c r="F2964">
        <v>127.7</v>
      </c>
      <c r="G2964" t="str">
        <f>VLOOKUP(Table1_2[[#This Row],[Categories]],Sheet3!$A$1:$B$27,2,FALSE)</f>
        <v>Food &amp;Beverage</v>
      </c>
    </row>
    <row r="2965" spans="1:7" x14ac:dyDescent="0.3">
      <c r="A2965" t="s">
        <v>30</v>
      </c>
      <c r="B2965">
        <v>2016</v>
      </c>
      <c r="C2965" t="s">
        <v>35</v>
      </c>
      <c r="D2965" s="2">
        <v>42401</v>
      </c>
      <c r="E2965" t="s">
        <v>6</v>
      </c>
      <c r="F2965">
        <v>130.69999999999999</v>
      </c>
      <c r="G2965" t="str">
        <f>VLOOKUP(Table1_2[[#This Row],[Categories]],Sheet3!$A$1:$B$27,2,FALSE)</f>
        <v>Food &amp;Beverage</v>
      </c>
    </row>
    <row r="2966" spans="1:7" x14ac:dyDescent="0.3">
      <c r="A2966" t="s">
        <v>30</v>
      </c>
      <c r="B2966">
        <v>2016</v>
      </c>
      <c r="C2966" t="s">
        <v>35</v>
      </c>
      <c r="D2966" s="2">
        <v>42401</v>
      </c>
      <c r="E2966" t="s">
        <v>7</v>
      </c>
      <c r="F2966">
        <v>118.5</v>
      </c>
      <c r="G2966" t="str">
        <f>VLOOKUP(Table1_2[[#This Row],[Categories]],Sheet3!$A$1:$B$27,2,FALSE)</f>
        <v>Food &amp;Beverage</v>
      </c>
    </row>
    <row r="2967" spans="1:7" x14ac:dyDescent="0.3">
      <c r="A2967" t="s">
        <v>30</v>
      </c>
      <c r="B2967">
        <v>2016</v>
      </c>
      <c r="C2967" t="s">
        <v>35</v>
      </c>
      <c r="D2967" s="2">
        <v>42401</v>
      </c>
      <c r="E2967" t="s">
        <v>8</v>
      </c>
      <c r="F2967">
        <v>130.4</v>
      </c>
      <c r="G2967" t="str">
        <f>VLOOKUP(Table1_2[[#This Row],[Categories]],Sheet3!$A$1:$B$27,2,FALSE)</f>
        <v>Food &amp;Beverage</v>
      </c>
    </row>
    <row r="2968" spans="1:7" x14ac:dyDescent="0.3">
      <c r="A2968" t="s">
        <v>30</v>
      </c>
      <c r="B2968">
        <v>2016</v>
      </c>
      <c r="C2968" t="s">
        <v>35</v>
      </c>
      <c r="D2968" s="2">
        <v>42401</v>
      </c>
      <c r="E2968" t="s">
        <v>9</v>
      </c>
      <c r="F2968">
        <v>130.9</v>
      </c>
      <c r="G2968" t="str">
        <f>VLOOKUP(Table1_2[[#This Row],[Categories]],Sheet3!$A$1:$B$27,2,FALSE)</f>
        <v>Food &amp;Beverage</v>
      </c>
    </row>
    <row r="2969" spans="1:7" x14ac:dyDescent="0.3">
      <c r="A2969" t="s">
        <v>30</v>
      </c>
      <c r="B2969">
        <v>2016</v>
      </c>
      <c r="C2969" t="s">
        <v>35</v>
      </c>
      <c r="D2969" s="2">
        <v>42401</v>
      </c>
      <c r="E2969" t="s">
        <v>10</v>
      </c>
      <c r="F2969">
        <v>162.80000000000001</v>
      </c>
      <c r="G2969" t="str">
        <f>VLOOKUP(Table1_2[[#This Row],[Categories]],Sheet3!$A$1:$B$27,2,FALSE)</f>
        <v>Food &amp;Beverage</v>
      </c>
    </row>
    <row r="2970" spans="1:7" x14ac:dyDescent="0.3">
      <c r="A2970" t="s">
        <v>30</v>
      </c>
      <c r="B2970">
        <v>2016</v>
      </c>
      <c r="C2970" t="s">
        <v>35</v>
      </c>
      <c r="D2970" s="2">
        <v>42401</v>
      </c>
      <c r="E2970" t="s">
        <v>11</v>
      </c>
      <c r="F2970">
        <v>98.7</v>
      </c>
      <c r="G2970" t="str">
        <f>VLOOKUP(Table1_2[[#This Row],[Categories]],Sheet3!$A$1:$B$27,2,FALSE)</f>
        <v>Food &amp;Beverage</v>
      </c>
    </row>
    <row r="2971" spans="1:7" x14ac:dyDescent="0.3">
      <c r="A2971" t="s">
        <v>30</v>
      </c>
      <c r="B2971">
        <v>2016</v>
      </c>
      <c r="C2971" t="s">
        <v>35</v>
      </c>
      <c r="D2971" s="2">
        <v>42401</v>
      </c>
      <c r="E2971" t="s">
        <v>12</v>
      </c>
      <c r="F2971">
        <v>130.6</v>
      </c>
      <c r="G2971" t="str">
        <f>VLOOKUP(Table1_2[[#This Row],[Categories]],Sheet3!$A$1:$B$27,2,FALSE)</f>
        <v>Food &amp;Beverage</v>
      </c>
    </row>
    <row r="2972" spans="1:7" x14ac:dyDescent="0.3">
      <c r="A2972" t="s">
        <v>30</v>
      </c>
      <c r="B2972">
        <v>2016</v>
      </c>
      <c r="C2972" t="s">
        <v>35</v>
      </c>
      <c r="D2972" s="2">
        <v>42401</v>
      </c>
      <c r="E2972" t="s">
        <v>13</v>
      </c>
      <c r="F2972">
        <v>124.8</v>
      </c>
      <c r="G2972" t="str">
        <f>VLOOKUP(Table1_2[[#This Row],[Categories]],Sheet3!$A$1:$B$27,2,FALSE)</f>
        <v>Food &amp;Beverage</v>
      </c>
    </row>
    <row r="2973" spans="1:7" x14ac:dyDescent="0.3">
      <c r="A2973" t="s">
        <v>30</v>
      </c>
      <c r="B2973">
        <v>2016</v>
      </c>
      <c r="C2973" t="s">
        <v>35</v>
      </c>
      <c r="D2973" s="2">
        <v>42401</v>
      </c>
      <c r="E2973" t="s">
        <v>14</v>
      </c>
      <c r="F2973">
        <v>136.4</v>
      </c>
      <c r="G2973" t="str">
        <f>VLOOKUP(Table1_2[[#This Row],[Categories]],Sheet3!$A$1:$B$27,2,FALSE)</f>
        <v>Food &amp;Beverage</v>
      </c>
    </row>
    <row r="2974" spans="1:7" x14ac:dyDescent="0.3">
      <c r="A2974" t="s">
        <v>30</v>
      </c>
      <c r="B2974">
        <v>2016</v>
      </c>
      <c r="C2974" t="s">
        <v>35</v>
      </c>
      <c r="D2974" s="2">
        <v>42401</v>
      </c>
      <c r="E2974" t="s">
        <v>15</v>
      </c>
      <c r="F2974">
        <v>130.30000000000001</v>
      </c>
      <c r="G2974" t="str">
        <f>VLOOKUP(Table1_2[[#This Row],[Categories]],Sheet3!$A$1:$B$27,2,FALSE)</f>
        <v>Food &amp;Beverage</v>
      </c>
    </row>
    <row r="2975" spans="1:7" x14ac:dyDescent="0.3">
      <c r="A2975" t="s">
        <v>30</v>
      </c>
      <c r="B2975">
        <v>2016</v>
      </c>
      <c r="C2975" t="s">
        <v>35</v>
      </c>
      <c r="D2975" s="2">
        <v>42401</v>
      </c>
      <c r="E2975" t="s">
        <v>16</v>
      </c>
      <c r="F2975">
        <v>134.4</v>
      </c>
      <c r="G2975" t="str">
        <f>VLOOKUP(Table1_2[[#This Row],[Categories]],Sheet3!$A$1:$B$27,2,FALSE)</f>
        <v>Recreation and amusement</v>
      </c>
    </row>
    <row r="2976" spans="1:7" x14ac:dyDescent="0.3">
      <c r="A2976" t="s">
        <v>30</v>
      </c>
      <c r="B2976">
        <v>2016</v>
      </c>
      <c r="C2976" t="s">
        <v>35</v>
      </c>
      <c r="D2976" s="2">
        <v>42401</v>
      </c>
      <c r="E2976" t="s">
        <v>17</v>
      </c>
      <c r="F2976">
        <v>133.9</v>
      </c>
      <c r="G2976" t="str">
        <f>VLOOKUP(Table1_2[[#This Row],[Categories]],Sheet3!$A$1:$B$27,2,FALSE)</f>
        <v>Clothing and footwear</v>
      </c>
    </row>
    <row r="2977" spans="1:7" x14ac:dyDescent="0.3">
      <c r="A2977" t="s">
        <v>30</v>
      </c>
      <c r="B2977">
        <v>2016</v>
      </c>
      <c r="C2977" t="s">
        <v>35</v>
      </c>
      <c r="D2977" s="2">
        <v>42401</v>
      </c>
      <c r="E2977" t="s">
        <v>18</v>
      </c>
      <c r="F2977">
        <v>129.80000000000001</v>
      </c>
      <c r="G2977" t="str">
        <f>VLOOKUP(Table1_2[[#This Row],[Categories]],Sheet3!$A$1:$B$27,2,FALSE)</f>
        <v>Clothing and footwear</v>
      </c>
    </row>
    <row r="2978" spans="1:7" x14ac:dyDescent="0.3">
      <c r="A2978" t="s">
        <v>30</v>
      </c>
      <c r="B2978">
        <v>2016</v>
      </c>
      <c r="C2978" t="s">
        <v>35</v>
      </c>
      <c r="D2978" s="2">
        <v>42401</v>
      </c>
      <c r="E2978" t="s">
        <v>19</v>
      </c>
      <c r="F2978">
        <v>133.4</v>
      </c>
      <c r="G2978" t="str">
        <f>VLOOKUP(Table1_2[[#This Row],[Categories]],Sheet3!$A$1:$B$27,2,FALSE)</f>
        <v>Clothing and footwear</v>
      </c>
    </row>
    <row r="2979" spans="1:7" x14ac:dyDescent="0.3">
      <c r="A2979" t="s">
        <v>30</v>
      </c>
      <c r="B2979">
        <v>2016</v>
      </c>
      <c r="C2979" t="s">
        <v>35</v>
      </c>
      <c r="D2979" s="2">
        <v>42401</v>
      </c>
      <c r="E2979" t="s">
        <v>21</v>
      </c>
      <c r="F2979">
        <v>127.5</v>
      </c>
      <c r="G2979" t="str">
        <f>VLOOKUP(Table1_2[[#This Row],[Categories]],Sheet3!$A$1:$B$27,2,FALSE)</f>
        <v>Fuel and light</v>
      </c>
    </row>
    <row r="2980" spans="1:7" x14ac:dyDescent="0.3">
      <c r="A2980" t="s">
        <v>30</v>
      </c>
      <c r="B2980">
        <v>2016</v>
      </c>
      <c r="C2980" t="s">
        <v>35</v>
      </c>
      <c r="D2980" s="2">
        <v>42401</v>
      </c>
      <c r="E2980" t="s">
        <v>22</v>
      </c>
      <c r="F2980">
        <v>127.1</v>
      </c>
      <c r="G2980" t="str">
        <f>VLOOKUP(Table1_2[[#This Row],[Categories]],Sheet3!$A$1:$B$27,2,FALSE)</f>
        <v>Household Items</v>
      </c>
    </row>
    <row r="2981" spans="1:7" x14ac:dyDescent="0.3">
      <c r="A2981" t="s">
        <v>30</v>
      </c>
      <c r="B2981">
        <v>2016</v>
      </c>
      <c r="C2981" t="s">
        <v>35</v>
      </c>
      <c r="D2981" s="2">
        <v>42401</v>
      </c>
      <c r="E2981" t="s">
        <v>23</v>
      </c>
      <c r="F2981">
        <v>124.3</v>
      </c>
      <c r="G2981" t="str">
        <f>VLOOKUP(Table1_2[[#This Row],[Categories]],Sheet3!$A$1:$B$27,2,FALSE)</f>
        <v>Health</v>
      </c>
    </row>
    <row r="2982" spans="1:7" x14ac:dyDescent="0.3">
      <c r="A2982" t="s">
        <v>30</v>
      </c>
      <c r="B2982">
        <v>2016</v>
      </c>
      <c r="C2982" t="s">
        <v>35</v>
      </c>
      <c r="D2982" s="2">
        <v>42401</v>
      </c>
      <c r="E2982" t="s">
        <v>24</v>
      </c>
      <c r="F2982">
        <v>113.9</v>
      </c>
      <c r="G2982" t="str">
        <f>VLOOKUP(Table1_2[[#This Row],[Categories]],Sheet3!$A$1:$B$27,2,FALSE)</f>
        <v>Transport and communication</v>
      </c>
    </row>
    <row r="2983" spans="1:7" x14ac:dyDescent="0.3">
      <c r="A2983" t="s">
        <v>30</v>
      </c>
      <c r="B2983">
        <v>2016</v>
      </c>
      <c r="C2983" t="s">
        <v>35</v>
      </c>
      <c r="D2983" s="2">
        <v>42401</v>
      </c>
      <c r="E2983" t="s">
        <v>25</v>
      </c>
      <c r="F2983">
        <v>122.3</v>
      </c>
      <c r="G2983" t="str">
        <f>VLOOKUP(Table1_2[[#This Row],[Categories]],Sheet3!$A$1:$B$27,2,FALSE)</f>
        <v>Recreation and amusement</v>
      </c>
    </row>
    <row r="2984" spans="1:7" x14ac:dyDescent="0.3">
      <c r="A2984" t="s">
        <v>30</v>
      </c>
      <c r="B2984">
        <v>2016</v>
      </c>
      <c r="C2984" t="s">
        <v>35</v>
      </c>
      <c r="D2984" s="2">
        <v>42401</v>
      </c>
      <c r="E2984" t="s">
        <v>26</v>
      </c>
      <c r="F2984">
        <v>127.1</v>
      </c>
      <c r="G2984" t="str">
        <f>VLOOKUP(Table1_2[[#This Row],[Categories]],Sheet3!$A$1:$B$27,2,FALSE)</f>
        <v>Education</v>
      </c>
    </row>
    <row r="2985" spans="1:7" x14ac:dyDescent="0.3">
      <c r="A2985" t="s">
        <v>30</v>
      </c>
      <c r="B2985">
        <v>2016</v>
      </c>
      <c r="C2985" t="s">
        <v>35</v>
      </c>
      <c r="D2985" s="2">
        <v>42401</v>
      </c>
      <c r="E2985" t="s">
        <v>27</v>
      </c>
      <c r="F2985">
        <v>116.8</v>
      </c>
      <c r="G2985" t="str">
        <f>VLOOKUP(Table1_2[[#This Row],[Categories]],Sheet3!$A$1:$B$27,2,FALSE)</f>
        <v>Household Items</v>
      </c>
    </row>
    <row r="2986" spans="1:7" x14ac:dyDescent="0.3">
      <c r="A2986" t="s">
        <v>30</v>
      </c>
      <c r="B2986">
        <v>2016</v>
      </c>
      <c r="C2986" t="s">
        <v>35</v>
      </c>
      <c r="D2986" s="2">
        <v>42401</v>
      </c>
      <c r="E2986" t="s">
        <v>28</v>
      </c>
      <c r="F2986">
        <v>120.9</v>
      </c>
      <c r="G2986" t="str">
        <f>VLOOKUP(Table1_2[[#This Row],[Categories]],Sheet3!$A$1:$B$27,2,FALSE)</f>
        <v>Miscellaneous</v>
      </c>
    </row>
    <row r="2987" spans="1:7" x14ac:dyDescent="0.3">
      <c r="A2987" t="s">
        <v>30</v>
      </c>
      <c r="B2987">
        <v>2016</v>
      </c>
      <c r="C2987" t="s">
        <v>35</v>
      </c>
      <c r="D2987" s="2">
        <v>42401</v>
      </c>
      <c r="E2987" t="s">
        <v>29</v>
      </c>
      <c r="F2987">
        <v>127.9</v>
      </c>
      <c r="G2987" t="str">
        <f>VLOOKUP(Table1_2[[#This Row],[Categories]],Sheet3!$A$1:$B$27,2,FALSE)</f>
        <v>General index</v>
      </c>
    </row>
    <row r="2988" spans="1:7" x14ac:dyDescent="0.3">
      <c r="A2988" t="s">
        <v>33</v>
      </c>
      <c r="B2988">
        <v>2016</v>
      </c>
      <c r="C2988" t="s">
        <v>35</v>
      </c>
      <c r="D2988" s="2">
        <v>42401</v>
      </c>
      <c r="E2988" t="s">
        <v>3</v>
      </c>
      <c r="F2988">
        <v>124.8</v>
      </c>
      <c r="G2988" t="str">
        <f>VLOOKUP(Table1_2[[#This Row],[Categories]],Sheet3!$A$1:$B$27,2,FALSE)</f>
        <v>Food &amp;Beverage</v>
      </c>
    </row>
    <row r="2989" spans="1:7" x14ac:dyDescent="0.3">
      <c r="A2989" t="s">
        <v>33</v>
      </c>
      <c r="B2989">
        <v>2016</v>
      </c>
      <c r="C2989" t="s">
        <v>35</v>
      </c>
      <c r="D2989" s="2">
        <v>42401</v>
      </c>
      <c r="E2989" t="s">
        <v>4</v>
      </c>
      <c r="F2989">
        <v>135.1</v>
      </c>
      <c r="G2989" t="str">
        <f>VLOOKUP(Table1_2[[#This Row],[Categories]],Sheet3!$A$1:$B$27,2,FALSE)</f>
        <v>Food &amp;Beverage</v>
      </c>
    </row>
    <row r="2990" spans="1:7" x14ac:dyDescent="0.3">
      <c r="A2990" t="s">
        <v>33</v>
      </c>
      <c r="B2990">
        <v>2016</v>
      </c>
      <c r="C2990" t="s">
        <v>35</v>
      </c>
      <c r="D2990" s="2">
        <v>42401</v>
      </c>
      <c r="E2990" t="s">
        <v>5</v>
      </c>
      <c r="F2990">
        <v>130.30000000000001</v>
      </c>
      <c r="G2990" t="str">
        <f>VLOOKUP(Table1_2[[#This Row],[Categories]],Sheet3!$A$1:$B$27,2,FALSE)</f>
        <v>Food &amp;Beverage</v>
      </c>
    </row>
    <row r="2991" spans="1:7" x14ac:dyDescent="0.3">
      <c r="A2991" t="s">
        <v>33</v>
      </c>
      <c r="B2991">
        <v>2016</v>
      </c>
      <c r="C2991" t="s">
        <v>35</v>
      </c>
      <c r="D2991" s="2">
        <v>42401</v>
      </c>
      <c r="E2991" t="s">
        <v>6</v>
      </c>
      <c r="F2991">
        <v>129.6</v>
      </c>
      <c r="G2991" t="str">
        <f>VLOOKUP(Table1_2[[#This Row],[Categories]],Sheet3!$A$1:$B$27,2,FALSE)</f>
        <v>Food &amp;Beverage</v>
      </c>
    </row>
    <row r="2992" spans="1:7" x14ac:dyDescent="0.3">
      <c r="A2992" t="s">
        <v>33</v>
      </c>
      <c r="B2992">
        <v>2016</v>
      </c>
      <c r="C2992" t="s">
        <v>35</v>
      </c>
      <c r="D2992" s="2">
        <v>42401</v>
      </c>
      <c r="E2992" t="s">
        <v>7</v>
      </c>
      <c r="F2992">
        <v>108.4</v>
      </c>
      <c r="G2992" t="str">
        <f>VLOOKUP(Table1_2[[#This Row],[Categories]],Sheet3!$A$1:$B$27,2,FALSE)</f>
        <v>Food &amp;Beverage</v>
      </c>
    </row>
    <row r="2993" spans="1:7" x14ac:dyDescent="0.3">
      <c r="A2993" t="s">
        <v>33</v>
      </c>
      <c r="B2993">
        <v>2016</v>
      </c>
      <c r="C2993" t="s">
        <v>35</v>
      </c>
      <c r="D2993" s="2">
        <v>42401</v>
      </c>
      <c r="E2993" t="s">
        <v>8</v>
      </c>
      <c r="F2993">
        <v>118.6</v>
      </c>
      <c r="G2993" t="str">
        <f>VLOOKUP(Table1_2[[#This Row],[Categories]],Sheet3!$A$1:$B$27,2,FALSE)</f>
        <v>Food &amp;Beverage</v>
      </c>
    </row>
    <row r="2994" spans="1:7" x14ac:dyDescent="0.3">
      <c r="A2994" t="s">
        <v>33</v>
      </c>
      <c r="B2994">
        <v>2016</v>
      </c>
      <c r="C2994" t="s">
        <v>35</v>
      </c>
      <c r="D2994" s="2">
        <v>42401</v>
      </c>
      <c r="E2994" t="s">
        <v>9</v>
      </c>
      <c r="F2994">
        <v>129.19999999999999</v>
      </c>
      <c r="G2994" t="str">
        <f>VLOOKUP(Table1_2[[#This Row],[Categories]],Sheet3!$A$1:$B$27,2,FALSE)</f>
        <v>Food &amp;Beverage</v>
      </c>
    </row>
    <row r="2995" spans="1:7" x14ac:dyDescent="0.3">
      <c r="A2995" t="s">
        <v>33</v>
      </c>
      <c r="B2995">
        <v>2016</v>
      </c>
      <c r="C2995" t="s">
        <v>35</v>
      </c>
      <c r="D2995" s="2">
        <v>42401</v>
      </c>
      <c r="E2995" t="s">
        <v>10</v>
      </c>
      <c r="F2995">
        <v>176.4</v>
      </c>
      <c r="G2995" t="str">
        <f>VLOOKUP(Table1_2[[#This Row],[Categories]],Sheet3!$A$1:$B$27,2,FALSE)</f>
        <v>Food &amp;Beverage</v>
      </c>
    </row>
    <row r="2996" spans="1:7" x14ac:dyDescent="0.3">
      <c r="A2996" t="s">
        <v>33</v>
      </c>
      <c r="B2996">
        <v>2016</v>
      </c>
      <c r="C2996" t="s">
        <v>35</v>
      </c>
      <c r="D2996" s="2">
        <v>42401</v>
      </c>
      <c r="E2996" t="s">
        <v>11</v>
      </c>
      <c r="F2996">
        <v>99.1</v>
      </c>
      <c r="G2996" t="str">
        <f>VLOOKUP(Table1_2[[#This Row],[Categories]],Sheet3!$A$1:$B$27,2,FALSE)</f>
        <v>Food &amp;Beverage</v>
      </c>
    </row>
    <row r="2997" spans="1:7" x14ac:dyDescent="0.3">
      <c r="A2997" t="s">
        <v>33</v>
      </c>
      <c r="B2997">
        <v>2016</v>
      </c>
      <c r="C2997" t="s">
        <v>35</v>
      </c>
      <c r="D2997" s="2">
        <v>42401</v>
      </c>
      <c r="E2997" t="s">
        <v>12</v>
      </c>
      <c r="F2997">
        <v>139.69999999999999</v>
      </c>
      <c r="G2997" t="str">
        <f>VLOOKUP(Table1_2[[#This Row],[Categories]],Sheet3!$A$1:$B$27,2,FALSE)</f>
        <v>Food &amp;Beverage</v>
      </c>
    </row>
    <row r="2998" spans="1:7" x14ac:dyDescent="0.3">
      <c r="A2998" t="s">
        <v>33</v>
      </c>
      <c r="B2998">
        <v>2016</v>
      </c>
      <c r="C2998" t="s">
        <v>35</v>
      </c>
      <c r="D2998" s="2">
        <v>42401</v>
      </c>
      <c r="E2998" t="s">
        <v>13</v>
      </c>
      <c r="F2998">
        <v>120.6</v>
      </c>
      <c r="G2998" t="str">
        <f>VLOOKUP(Table1_2[[#This Row],[Categories]],Sheet3!$A$1:$B$27,2,FALSE)</f>
        <v>Food &amp;Beverage</v>
      </c>
    </row>
    <row r="2999" spans="1:7" x14ac:dyDescent="0.3">
      <c r="A2999" t="s">
        <v>33</v>
      </c>
      <c r="B2999">
        <v>2016</v>
      </c>
      <c r="C2999" t="s">
        <v>35</v>
      </c>
      <c r="D2999" s="2">
        <v>42401</v>
      </c>
      <c r="E2999" t="s">
        <v>14</v>
      </c>
      <c r="F2999">
        <v>135.19999999999999</v>
      </c>
      <c r="G2999" t="str">
        <f>VLOOKUP(Table1_2[[#This Row],[Categories]],Sheet3!$A$1:$B$27,2,FALSE)</f>
        <v>Food &amp;Beverage</v>
      </c>
    </row>
    <row r="3000" spans="1:7" x14ac:dyDescent="0.3">
      <c r="A3000" t="s">
        <v>33</v>
      </c>
      <c r="B3000">
        <v>2016</v>
      </c>
      <c r="C3000" t="s">
        <v>35</v>
      </c>
      <c r="D3000" s="2">
        <v>42401</v>
      </c>
      <c r="E3000" t="s">
        <v>15</v>
      </c>
      <c r="F3000">
        <v>129.1</v>
      </c>
      <c r="G3000" t="str">
        <f>VLOOKUP(Table1_2[[#This Row],[Categories]],Sheet3!$A$1:$B$27,2,FALSE)</f>
        <v>Food &amp;Beverage</v>
      </c>
    </row>
    <row r="3001" spans="1:7" x14ac:dyDescent="0.3">
      <c r="A3001" t="s">
        <v>33</v>
      </c>
      <c r="B3001">
        <v>2016</v>
      </c>
      <c r="C3001" t="s">
        <v>35</v>
      </c>
      <c r="D3001" s="2">
        <v>42401</v>
      </c>
      <c r="E3001" t="s">
        <v>16</v>
      </c>
      <c r="F3001">
        <v>140</v>
      </c>
      <c r="G3001" t="str">
        <f>VLOOKUP(Table1_2[[#This Row],[Categories]],Sheet3!$A$1:$B$27,2,FALSE)</f>
        <v>Recreation and amusement</v>
      </c>
    </row>
    <row r="3002" spans="1:7" x14ac:dyDescent="0.3">
      <c r="A3002" t="s">
        <v>33</v>
      </c>
      <c r="B3002">
        <v>2016</v>
      </c>
      <c r="C3002" t="s">
        <v>35</v>
      </c>
      <c r="D3002" s="2">
        <v>42401</v>
      </c>
      <c r="E3002" t="s">
        <v>17</v>
      </c>
      <c r="F3002">
        <v>126.2</v>
      </c>
      <c r="G3002" t="str">
        <f>VLOOKUP(Table1_2[[#This Row],[Categories]],Sheet3!$A$1:$B$27,2,FALSE)</f>
        <v>Clothing and footwear</v>
      </c>
    </row>
    <row r="3003" spans="1:7" x14ac:dyDescent="0.3">
      <c r="A3003" t="s">
        <v>33</v>
      </c>
      <c r="B3003">
        <v>2016</v>
      </c>
      <c r="C3003" t="s">
        <v>35</v>
      </c>
      <c r="D3003" s="2">
        <v>42401</v>
      </c>
      <c r="E3003" t="s">
        <v>18</v>
      </c>
      <c r="F3003">
        <v>120.1</v>
      </c>
      <c r="G3003" t="str">
        <f>VLOOKUP(Table1_2[[#This Row],[Categories]],Sheet3!$A$1:$B$27,2,FALSE)</f>
        <v>Clothing and footwear</v>
      </c>
    </row>
    <row r="3004" spans="1:7" x14ac:dyDescent="0.3">
      <c r="A3004" t="s">
        <v>33</v>
      </c>
      <c r="B3004">
        <v>2016</v>
      </c>
      <c r="C3004" t="s">
        <v>35</v>
      </c>
      <c r="D3004" s="2">
        <v>42401</v>
      </c>
      <c r="E3004" t="s">
        <v>19</v>
      </c>
      <c r="F3004">
        <v>125.3</v>
      </c>
      <c r="G3004" t="str">
        <f>VLOOKUP(Table1_2[[#This Row],[Categories]],Sheet3!$A$1:$B$27,2,FALSE)</f>
        <v>Clothing and footwear</v>
      </c>
    </row>
    <row r="3005" spans="1:7" x14ac:dyDescent="0.3">
      <c r="A3005" t="s">
        <v>33</v>
      </c>
      <c r="B3005">
        <v>2016</v>
      </c>
      <c r="C3005" t="s">
        <v>35</v>
      </c>
      <c r="D3005" s="2">
        <v>42401</v>
      </c>
      <c r="E3005" t="s">
        <v>20</v>
      </c>
      <c r="F3005">
        <v>124.4</v>
      </c>
      <c r="G3005" t="str">
        <f>VLOOKUP(Table1_2[[#This Row],[Categories]],Sheet3!$A$1:$B$27,2,FALSE)</f>
        <v>Housing</v>
      </c>
    </row>
    <row r="3006" spans="1:7" x14ac:dyDescent="0.3">
      <c r="A3006" t="s">
        <v>33</v>
      </c>
      <c r="B3006">
        <v>2016</v>
      </c>
      <c r="C3006" t="s">
        <v>35</v>
      </c>
      <c r="D3006" s="2">
        <v>42401</v>
      </c>
      <c r="E3006" t="s">
        <v>21</v>
      </c>
      <c r="F3006">
        <v>116</v>
      </c>
      <c r="G3006" t="str">
        <f>VLOOKUP(Table1_2[[#This Row],[Categories]],Sheet3!$A$1:$B$27,2,FALSE)</f>
        <v>Fuel and light</v>
      </c>
    </row>
    <row r="3007" spans="1:7" x14ac:dyDescent="0.3">
      <c r="A3007" t="s">
        <v>33</v>
      </c>
      <c r="B3007">
        <v>2016</v>
      </c>
      <c r="C3007" t="s">
        <v>35</v>
      </c>
      <c r="D3007" s="2">
        <v>42401</v>
      </c>
      <c r="E3007" t="s">
        <v>22</v>
      </c>
      <c r="F3007">
        <v>121.8</v>
      </c>
      <c r="G3007" t="str">
        <f>VLOOKUP(Table1_2[[#This Row],[Categories]],Sheet3!$A$1:$B$27,2,FALSE)</f>
        <v>Household Items</v>
      </c>
    </row>
    <row r="3008" spans="1:7" x14ac:dyDescent="0.3">
      <c r="A3008" t="s">
        <v>33</v>
      </c>
      <c r="B3008">
        <v>2016</v>
      </c>
      <c r="C3008" t="s">
        <v>35</v>
      </c>
      <c r="D3008" s="2">
        <v>42401</v>
      </c>
      <c r="E3008" t="s">
        <v>23</v>
      </c>
      <c r="F3008">
        <v>119.5</v>
      </c>
      <c r="G3008" t="str">
        <f>VLOOKUP(Table1_2[[#This Row],[Categories]],Sheet3!$A$1:$B$27,2,FALSE)</f>
        <v>Health</v>
      </c>
    </row>
    <row r="3009" spans="1:7" x14ac:dyDescent="0.3">
      <c r="A3009" t="s">
        <v>33</v>
      </c>
      <c r="B3009">
        <v>2016</v>
      </c>
      <c r="C3009" t="s">
        <v>35</v>
      </c>
      <c r="D3009" s="2">
        <v>42401</v>
      </c>
      <c r="E3009" t="s">
        <v>24</v>
      </c>
      <c r="F3009">
        <v>109.1</v>
      </c>
      <c r="G3009" t="str">
        <f>VLOOKUP(Table1_2[[#This Row],[Categories]],Sheet3!$A$1:$B$27,2,FALSE)</f>
        <v>Transport and communication</v>
      </c>
    </row>
    <row r="3010" spans="1:7" x14ac:dyDescent="0.3">
      <c r="A3010" t="s">
        <v>33</v>
      </c>
      <c r="B3010">
        <v>2016</v>
      </c>
      <c r="C3010" t="s">
        <v>35</v>
      </c>
      <c r="D3010" s="2">
        <v>42401</v>
      </c>
      <c r="E3010" t="s">
        <v>25</v>
      </c>
      <c r="F3010">
        <v>118.8</v>
      </c>
      <c r="G3010" t="str">
        <f>VLOOKUP(Table1_2[[#This Row],[Categories]],Sheet3!$A$1:$B$27,2,FALSE)</f>
        <v>Recreation and amusement</v>
      </c>
    </row>
    <row r="3011" spans="1:7" x14ac:dyDescent="0.3">
      <c r="A3011" t="s">
        <v>33</v>
      </c>
      <c r="B3011">
        <v>2016</v>
      </c>
      <c r="C3011" t="s">
        <v>35</v>
      </c>
      <c r="D3011" s="2">
        <v>42401</v>
      </c>
      <c r="E3011" t="s">
        <v>26</v>
      </c>
      <c r="F3011">
        <v>126.3</v>
      </c>
      <c r="G3011" t="str">
        <f>VLOOKUP(Table1_2[[#This Row],[Categories]],Sheet3!$A$1:$B$27,2,FALSE)</f>
        <v>Education</v>
      </c>
    </row>
    <row r="3012" spans="1:7" x14ac:dyDescent="0.3">
      <c r="A3012" t="s">
        <v>33</v>
      </c>
      <c r="B3012">
        <v>2016</v>
      </c>
      <c r="C3012" t="s">
        <v>35</v>
      </c>
      <c r="D3012" s="2">
        <v>42401</v>
      </c>
      <c r="E3012" t="s">
        <v>27</v>
      </c>
      <c r="F3012">
        <v>116.2</v>
      </c>
      <c r="G3012" t="str">
        <f>VLOOKUP(Table1_2[[#This Row],[Categories]],Sheet3!$A$1:$B$27,2,FALSE)</f>
        <v>Household Items</v>
      </c>
    </row>
    <row r="3013" spans="1:7" x14ac:dyDescent="0.3">
      <c r="A3013" t="s">
        <v>33</v>
      </c>
      <c r="B3013">
        <v>2016</v>
      </c>
      <c r="C3013" t="s">
        <v>35</v>
      </c>
      <c r="D3013" s="2">
        <v>42401</v>
      </c>
      <c r="E3013" t="s">
        <v>28</v>
      </c>
      <c r="F3013">
        <v>117.2</v>
      </c>
      <c r="G3013" t="str">
        <f>VLOOKUP(Table1_2[[#This Row],[Categories]],Sheet3!$A$1:$B$27,2,FALSE)</f>
        <v>Miscellaneous</v>
      </c>
    </row>
    <row r="3014" spans="1:7" x14ac:dyDescent="0.3">
      <c r="A3014" t="s">
        <v>33</v>
      </c>
      <c r="B3014">
        <v>2016</v>
      </c>
      <c r="C3014" t="s">
        <v>35</v>
      </c>
      <c r="D3014" s="2">
        <v>42401</v>
      </c>
      <c r="E3014" t="s">
        <v>29</v>
      </c>
      <c r="F3014">
        <v>123.8</v>
      </c>
      <c r="G3014" t="str">
        <f>VLOOKUP(Table1_2[[#This Row],[Categories]],Sheet3!$A$1:$B$27,2,FALSE)</f>
        <v>General index</v>
      </c>
    </row>
    <row r="3015" spans="1:7" x14ac:dyDescent="0.3">
      <c r="A3015" t="s">
        <v>34</v>
      </c>
      <c r="B3015">
        <v>2016</v>
      </c>
      <c r="C3015" t="s">
        <v>35</v>
      </c>
      <c r="D3015" s="2">
        <v>42401</v>
      </c>
      <c r="E3015" t="s">
        <v>3</v>
      </c>
      <c r="F3015">
        <v>126.4</v>
      </c>
      <c r="G3015" t="str">
        <f>VLOOKUP(Table1_2[[#This Row],[Categories]],Sheet3!$A$1:$B$27,2,FALSE)</f>
        <v>Food &amp;Beverage</v>
      </c>
    </row>
    <row r="3016" spans="1:7" x14ac:dyDescent="0.3">
      <c r="A3016" t="s">
        <v>34</v>
      </c>
      <c r="B3016">
        <v>2016</v>
      </c>
      <c r="C3016" t="s">
        <v>35</v>
      </c>
      <c r="D3016" s="2">
        <v>42401</v>
      </c>
      <c r="E3016" t="s">
        <v>4</v>
      </c>
      <c r="F3016">
        <v>134.19999999999999</v>
      </c>
      <c r="G3016" t="str">
        <f>VLOOKUP(Table1_2[[#This Row],[Categories]],Sheet3!$A$1:$B$27,2,FALSE)</f>
        <v>Food &amp;Beverage</v>
      </c>
    </row>
    <row r="3017" spans="1:7" x14ac:dyDescent="0.3">
      <c r="A3017" t="s">
        <v>34</v>
      </c>
      <c r="B3017">
        <v>2016</v>
      </c>
      <c r="C3017" t="s">
        <v>35</v>
      </c>
      <c r="D3017" s="2">
        <v>42401</v>
      </c>
      <c r="E3017" t="s">
        <v>5</v>
      </c>
      <c r="F3017">
        <v>128.69999999999999</v>
      </c>
      <c r="G3017" t="str">
        <f>VLOOKUP(Table1_2[[#This Row],[Categories]],Sheet3!$A$1:$B$27,2,FALSE)</f>
        <v>Food &amp;Beverage</v>
      </c>
    </row>
    <row r="3018" spans="1:7" x14ac:dyDescent="0.3">
      <c r="A3018" t="s">
        <v>34</v>
      </c>
      <c r="B3018">
        <v>2016</v>
      </c>
      <c r="C3018" t="s">
        <v>35</v>
      </c>
      <c r="D3018" s="2">
        <v>42401</v>
      </c>
      <c r="E3018" t="s">
        <v>6</v>
      </c>
      <c r="F3018">
        <v>130.30000000000001</v>
      </c>
      <c r="G3018" t="str">
        <f>VLOOKUP(Table1_2[[#This Row],[Categories]],Sheet3!$A$1:$B$27,2,FALSE)</f>
        <v>Food &amp;Beverage</v>
      </c>
    </row>
    <row r="3019" spans="1:7" x14ac:dyDescent="0.3">
      <c r="A3019" t="s">
        <v>34</v>
      </c>
      <c r="B3019">
        <v>2016</v>
      </c>
      <c r="C3019" t="s">
        <v>35</v>
      </c>
      <c r="D3019" s="2">
        <v>42401</v>
      </c>
      <c r="E3019" t="s">
        <v>7</v>
      </c>
      <c r="F3019">
        <v>114.8</v>
      </c>
      <c r="G3019" t="str">
        <f>VLOOKUP(Table1_2[[#This Row],[Categories]],Sheet3!$A$1:$B$27,2,FALSE)</f>
        <v>Food &amp;Beverage</v>
      </c>
    </row>
    <row r="3020" spans="1:7" x14ac:dyDescent="0.3">
      <c r="A3020" t="s">
        <v>34</v>
      </c>
      <c r="B3020">
        <v>2016</v>
      </c>
      <c r="C3020" t="s">
        <v>35</v>
      </c>
      <c r="D3020" s="2">
        <v>42401</v>
      </c>
      <c r="E3020" t="s">
        <v>8</v>
      </c>
      <c r="F3020">
        <v>124.9</v>
      </c>
      <c r="G3020" t="str">
        <f>VLOOKUP(Table1_2[[#This Row],[Categories]],Sheet3!$A$1:$B$27,2,FALSE)</f>
        <v>Food &amp;Beverage</v>
      </c>
    </row>
    <row r="3021" spans="1:7" x14ac:dyDescent="0.3">
      <c r="A3021" t="s">
        <v>34</v>
      </c>
      <c r="B3021">
        <v>2016</v>
      </c>
      <c r="C3021" t="s">
        <v>35</v>
      </c>
      <c r="D3021" s="2">
        <v>42401</v>
      </c>
      <c r="E3021" t="s">
        <v>9</v>
      </c>
      <c r="F3021">
        <v>130.30000000000001</v>
      </c>
      <c r="G3021" t="str">
        <f>VLOOKUP(Table1_2[[#This Row],[Categories]],Sheet3!$A$1:$B$27,2,FALSE)</f>
        <v>Food &amp;Beverage</v>
      </c>
    </row>
    <row r="3022" spans="1:7" x14ac:dyDescent="0.3">
      <c r="A3022" t="s">
        <v>34</v>
      </c>
      <c r="B3022">
        <v>2016</v>
      </c>
      <c r="C3022" t="s">
        <v>35</v>
      </c>
      <c r="D3022" s="2">
        <v>42401</v>
      </c>
      <c r="E3022" t="s">
        <v>10</v>
      </c>
      <c r="F3022">
        <v>167.4</v>
      </c>
      <c r="G3022" t="str">
        <f>VLOOKUP(Table1_2[[#This Row],[Categories]],Sheet3!$A$1:$B$27,2,FALSE)</f>
        <v>Food &amp;Beverage</v>
      </c>
    </row>
    <row r="3023" spans="1:7" x14ac:dyDescent="0.3">
      <c r="A3023" t="s">
        <v>34</v>
      </c>
      <c r="B3023">
        <v>2016</v>
      </c>
      <c r="C3023" t="s">
        <v>35</v>
      </c>
      <c r="D3023" s="2">
        <v>42401</v>
      </c>
      <c r="E3023" t="s">
        <v>11</v>
      </c>
      <c r="F3023">
        <v>98.8</v>
      </c>
      <c r="G3023" t="str">
        <f>VLOOKUP(Table1_2[[#This Row],[Categories]],Sheet3!$A$1:$B$27,2,FALSE)</f>
        <v>Food &amp;Beverage</v>
      </c>
    </row>
    <row r="3024" spans="1:7" x14ac:dyDescent="0.3">
      <c r="A3024" t="s">
        <v>34</v>
      </c>
      <c r="B3024">
        <v>2016</v>
      </c>
      <c r="C3024" t="s">
        <v>35</v>
      </c>
      <c r="D3024" s="2">
        <v>42401</v>
      </c>
      <c r="E3024" t="s">
        <v>12</v>
      </c>
      <c r="F3024">
        <v>133.6</v>
      </c>
      <c r="G3024" t="str">
        <f>VLOOKUP(Table1_2[[#This Row],[Categories]],Sheet3!$A$1:$B$27,2,FALSE)</f>
        <v>Food &amp;Beverage</v>
      </c>
    </row>
    <row r="3025" spans="1:7" x14ac:dyDescent="0.3">
      <c r="A3025" t="s">
        <v>34</v>
      </c>
      <c r="B3025">
        <v>2016</v>
      </c>
      <c r="C3025" t="s">
        <v>35</v>
      </c>
      <c r="D3025" s="2">
        <v>42401</v>
      </c>
      <c r="E3025" t="s">
        <v>13</v>
      </c>
      <c r="F3025">
        <v>123</v>
      </c>
      <c r="G3025" t="str">
        <f>VLOOKUP(Table1_2[[#This Row],[Categories]],Sheet3!$A$1:$B$27,2,FALSE)</f>
        <v>Food &amp;Beverage</v>
      </c>
    </row>
    <row r="3026" spans="1:7" x14ac:dyDescent="0.3">
      <c r="A3026" t="s">
        <v>34</v>
      </c>
      <c r="B3026">
        <v>2016</v>
      </c>
      <c r="C3026" t="s">
        <v>35</v>
      </c>
      <c r="D3026" s="2">
        <v>42401</v>
      </c>
      <c r="E3026" t="s">
        <v>14</v>
      </c>
      <c r="F3026">
        <v>135.80000000000001</v>
      </c>
      <c r="G3026" t="str">
        <f>VLOOKUP(Table1_2[[#This Row],[Categories]],Sheet3!$A$1:$B$27,2,FALSE)</f>
        <v>Food &amp;Beverage</v>
      </c>
    </row>
    <row r="3027" spans="1:7" x14ac:dyDescent="0.3">
      <c r="A3027" t="s">
        <v>34</v>
      </c>
      <c r="B3027">
        <v>2016</v>
      </c>
      <c r="C3027" t="s">
        <v>35</v>
      </c>
      <c r="D3027" s="2">
        <v>42401</v>
      </c>
      <c r="E3027" t="s">
        <v>15</v>
      </c>
      <c r="F3027">
        <v>129.9</v>
      </c>
      <c r="G3027" t="str">
        <f>VLOOKUP(Table1_2[[#This Row],[Categories]],Sheet3!$A$1:$B$27,2,FALSE)</f>
        <v>Food &amp;Beverage</v>
      </c>
    </row>
    <row r="3028" spans="1:7" x14ac:dyDescent="0.3">
      <c r="A3028" t="s">
        <v>34</v>
      </c>
      <c r="B3028">
        <v>2016</v>
      </c>
      <c r="C3028" t="s">
        <v>35</v>
      </c>
      <c r="D3028" s="2">
        <v>42401</v>
      </c>
      <c r="E3028" t="s">
        <v>16</v>
      </c>
      <c r="F3028">
        <v>135.9</v>
      </c>
      <c r="G3028" t="str">
        <f>VLOOKUP(Table1_2[[#This Row],[Categories]],Sheet3!$A$1:$B$27,2,FALSE)</f>
        <v>Recreation and amusement</v>
      </c>
    </row>
    <row r="3029" spans="1:7" x14ac:dyDescent="0.3">
      <c r="A3029" t="s">
        <v>34</v>
      </c>
      <c r="B3029">
        <v>2016</v>
      </c>
      <c r="C3029" t="s">
        <v>35</v>
      </c>
      <c r="D3029" s="2">
        <v>42401</v>
      </c>
      <c r="E3029" t="s">
        <v>17</v>
      </c>
      <c r="F3029">
        <v>130.9</v>
      </c>
      <c r="G3029" t="str">
        <f>VLOOKUP(Table1_2[[#This Row],[Categories]],Sheet3!$A$1:$B$27,2,FALSE)</f>
        <v>Clothing and footwear</v>
      </c>
    </row>
    <row r="3030" spans="1:7" x14ac:dyDescent="0.3">
      <c r="A3030" t="s">
        <v>34</v>
      </c>
      <c r="B3030">
        <v>2016</v>
      </c>
      <c r="C3030" t="s">
        <v>35</v>
      </c>
      <c r="D3030" s="2">
        <v>42401</v>
      </c>
      <c r="E3030" t="s">
        <v>18</v>
      </c>
      <c r="F3030">
        <v>125.8</v>
      </c>
      <c r="G3030" t="str">
        <f>VLOOKUP(Table1_2[[#This Row],[Categories]],Sheet3!$A$1:$B$27,2,FALSE)</f>
        <v>Clothing and footwear</v>
      </c>
    </row>
    <row r="3031" spans="1:7" x14ac:dyDescent="0.3">
      <c r="A3031" t="s">
        <v>34</v>
      </c>
      <c r="B3031">
        <v>2016</v>
      </c>
      <c r="C3031" t="s">
        <v>35</v>
      </c>
      <c r="D3031" s="2">
        <v>42401</v>
      </c>
      <c r="E3031" t="s">
        <v>19</v>
      </c>
      <c r="F3031">
        <v>130.19999999999999</v>
      </c>
      <c r="G3031" t="str">
        <f>VLOOKUP(Table1_2[[#This Row],[Categories]],Sheet3!$A$1:$B$27,2,FALSE)</f>
        <v>Clothing and footwear</v>
      </c>
    </row>
    <row r="3032" spans="1:7" x14ac:dyDescent="0.3">
      <c r="A3032" t="s">
        <v>34</v>
      </c>
      <c r="B3032">
        <v>2016</v>
      </c>
      <c r="C3032" t="s">
        <v>35</v>
      </c>
      <c r="D3032" s="2">
        <v>42401</v>
      </c>
      <c r="E3032" t="s">
        <v>20</v>
      </c>
      <c r="F3032">
        <v>124.4</v>
      </c>
      <c r="G3032" t="str">
        <f>VLOOKUP(Table1_2[[#This Row],[Categories]],Sheet3!$A$1:$B$27,2,FALSE)</f>
        <v>Housing</v>
      </c>
    </row>
    <row r="3033" spans="1:7" x14ac:dyDescent="0.3">
      <c r="A3033" t="s">
        <v>34</v>
      </c>
      <c r="B3033">
        <v>2016</v>
      </c>
      <c r="C3033" t="s">
        <v>35</v>
      </c>
      <c r="D3033" s="2">
        <v>42401</v>
      </c>
      <c r="E3033" t="s">
        <v>21</v>
      </c>
      <c r="F3033">
        <v>123.1</v>
      </c>
      <c r="G3033" t="str">
        <f>VLOOKUP(Table1_2[[#This Row],[Categories]],Sheet3!$A$1:$B$27,2,FALSE)</f>
        <v>Fuel and light</v>
      </c>
    </row>
    <row r="3034" spans="1:7" x14ac:dyDescent="0.3">
      <c r="A3034" t="s">
        <v>34</v>
      </c>
      <c r="B3034">
        <v>2016</v>
      </c>
      <c r="C3034" t="s">
        <v>35</v>
      </c>
      <c r="D3034" s="2">
        <v>42401</v>
      </c>
      <c r="E3034" t="s">
        <v>22</v>
      </c>
      <c r="F3034">
        <v>124.6</v>
      </c>
      <c r="G3034" t="str">
        <f>VLOOKUP(Table1_2[[#This Row],[Categories]],Sheet3!$A$1:$B$27,2,FALSE)</f>
        <v>Household Items</v>
      </c>
    </row>
    <row r="3035" spans="1:7" x14ac:dyDescent="0.3">
      <c r="A3035" t="s">
        <v>34</v>
      </c>
      <c r="B3035">
        <v>2016</v>
      </c>
      <c r="C3035" t="s">
        <v>35</v>
      </c>
      <c r="D3035" s="2">
        <v>42401</v>
      </c>
      <c r="E3035" t="s">
        <v>23</v>
      </c>
      <c r="F3035">
        <v>122.5</v>
      </c>
      <c r="G3035" t="str">
        <f>VLOOKUP(Table1_2[[#This Row],[Categories]],Sheet3!$A$1:$B$27,2,FALSE)</f>
        <v>Health</v>
      </c>
    </row>
    <row r="3036" spans="1:7" x14ac:dyDescent="0.3">
      <c r="A3036" t="s">
        <v>34</v>
      </c>
      <c r="B3036">
        <v>2016</v>
      </c>
      <c r="C3036" t="s">
        <v>35</v>
      </c>
      <c r="D3036" s="2">
        <v>42401</v>
      </c>
      <c r="E3036" t="s">
        <v>24</v>
      </c>
      <c r="F3036">
        <v>111.4</v>
      </c>
      <c r="G3036" t="str">
        <f>VLOOKUP(Table1_2[[#This Row],[Categories]],Sheet3!$A$1:$B$27,2,FALSE)</f>
        <v>Transport and communication</v>
      </c>
    </row>
    <row r="3037" spans="1:7" x14ac:dyDescent="0.3">
      <c r="A3037" t="s">
        <v>34</v>
      </c>
      <c r="B3037">
        <v>2016</v>
      </c>
      <c r="C3037" t="s">
        <v>35</v>
      </c>
      <c r="D3037" s="2">
        <v>42401</v>
      </c>
      <c r="E3037" t="s">
        <v>25</v>
      </c>
      <c r="F3037">
        <v>120.3</v>
      </c>
      <c r="G3037" t="str">
        <f>VLOOKUP(Table1_2[[#This Row],[Categories]],Sheet3!$A$1:$B$27,2,FALSE)</f>
        <v>Recreation and amusement</v>
      </c>
    </row>
    <row r="3038" spans="1:7" x14ac:dyDescent="0.3">
      <c r="A3038" t="s">
        <v>34</v>
      </c>
      <c r="B3038">
        <v>2016</v>
      </c>
      <c r="C3038" t="s">
        <v>35</v>
      </c>
      <c r="D3038" s="2">
        <v>42401</v>
      </c>
      <c r="E3038" t="s">
        <v>26</v>
      </c>
      <c r="F3038">
        <v>126.6</v>
      </c>
      <c r="G3038" t="str">
        <f>VLOOKUP(Table1_2[[#This Row],[Categories]],Sheet3!$A$1:$B$27,2,FALSE)</f>
        <v>Education</v>
      </c>
    </row>
    <row r="3039" spans="1:7" x14ac:dyDescent="0.3">
      <c r="A3039" t="s">
        <v>34</v>
      </c>
      <c r="B3039">
        <v>2016</v>
      </c>
      <c r="C3039" t="s">
        <v>35</v>
      </c>
      <c r="D3039" s="2">
        <v>42401</v>
      </c>
      <c r="E3039" t="s">
        <v>27</v>
      </c>
      <c r="F3039">
        <v>116.6</v>
      </c>
      <c r="G3039" t="str">
        <f>VLOOKUP(Table1_2[[#This Row],[Categories]],Sheet3!$A$1:$B$27,2,FALSE)</f>
        <v>Household Items</v>
      </c>
    </row>
    <row r="3040" spans="1:7" x14ac:dyDescent="0.3">
      <c r="A3040" t="s">
        <v>34</v>
      </c>
      <c r="B3040">
        <v>2016</v>
      </c>
      <c r="C3040" t="s">
        <v>35</v>
      </c>
      <c r="D3040" s="2">
        <v>42401</v>
      </c>
      <c r="E3040" t="s">
        <v>28</v>
      </c>
      <c r="F3040">
        <v>119.1</v>
      </c>
      <c r="G3040" t="str">
        <f>VLOOKUP(Table1_2[[#This Row],[Categories]],Sheet3!$A$1:$B$27,2,FALSE)</f>
        <v>Miscellaneous</v>
      </c>
    </row>
    <row r="3041" spans="1:7" x14ac:dyDescent="0.3">
      <c r="A3041" t="s">
        <v>34</v>
      </c>
      <c r="B3041">
        <v>2016</v>
      </c>
      <c r="C3041" t="s">
        <v>35</v>
      </c>
      <c r="D3041" s="2">
        <v>42401</v>
      </c>
      <c r="E3041" t="s">
        <v>29</v>
      </c>
      <c r="F3041">
        <v>126</v>
      </c>
      <c r="G3041" t="str">
        <f>VLOOKUP(Table1_2[[#This Row],[Categories]],Sheet3!$A$1:$B$27,2,FALSE)</f>
        <v>General index</v>
      </c>
    </row>
    <row r="3042" spans="1:7" x14ac:dyDescent="0.3">
      <c r="A3042" t="s">
        <v>30</v>
      </c>
      <c r="B3042">
        <v>2016</v>
      </c>
      <c r="C3042" t="s">
        <v>36</v>
      </c>
      <c r="D3042" s="2">
        <v>42430</v>
      </c>
      <c r="E3042" t="s">
        <v>3</v>
      </c>
      <c r="F3042">
        <v>127.3</v>
      </c>
      <c r="G3042" t="str">
        <f>VLOOKUP(Table1_2[[#This Row],[Categories]],Sheet3!$A$1:$B$27,2,FALSE)</f>
        <v>Food &amp;Beverage</v>
      </c>
    </row>
    <row r="3043" spans="1:7" x14ac:dyDescent="0.3">
      <c r="A3043" t="s">
        <v>30</v>
      </c>
      <c r="B3043">
        <v>2016</v>
      </c>
      <c r="C3043" t="s">
        <v>36</v>
      </c>
      <c r="D3043" s="2">
        <v>42430</v>
      </c>
      <c r="E3043" t="s">
        <v>4</v>
      </c>
      <c r="F3043">
        <v>134.4</v>
      </c>
      <c r="G3043" t="str">
        <f>VLOOKUP(Table1_2[[#This Row],[Categories]],Sheet3!$A$1:$B$27,2,FALSE)</f>
        <v>Food &amp;Beverage</v>
      </c>
    </row>
    <row r="3044" spans="1:7" x14ac:dyDescent="0.3">
      <c r="A3044" t="s">
        <v>30</v>
      </c>
      <c r="B3044">
        <v>2016</v>
      </c>
      <c r="C3044" t="s">
        <v>36</v>
      </c>
      <c r="D3044" s="2">
        <v>42430</v>
      </c>
      <c r="E3044" t="s">
        <v>5</v>
      </c>
      <c r="F3044">
        <v>125.1</v>
      </c>
      <c r="G3044" t="str">
        <f>VLOOKUP(Table1_2[[#This Row],[Categories]],Sheet3!$A$1:$B$27,2,FALSE)</f>
        <v>Food &amp;Beverage</v>
      </c>
    </row>
    <row r="3045" spans="1:7" x14ac:dyDescent="0.3">
      <c r="A3045" t="s">
        <v>30</v>
      </c>
      <c r="B3045">
        <v>2016</v>
      </c>
      <c r="C3045" t="s">
        <v>36</v>
      </c>
      <c r="D3045" s="2">
        <v>42430</v>
      </c>
      <c r="E3045" t="s">
        <v>6</v>
      </c>
      <c r="F3045">
        <v>130.5</v>
      </c>
      <c r="G3045" t="str">
        <f>VLOOKUP(Table1_2[[#This Row],[Categories]],Sheet3!$A$1:$B$27,2,FALSE)</f>
        <v>Food &amp;Beverage</v>
      </c>
    </row>
    <row r="3046" spans="1:7" x14ac:dyDescent="0.3">
      <c r="A3046" t="s">
        <v>30</v>
      </c>
      <c r="B3046">
        <v>2016</v>
      </c>
      <c r="C3046" t="s">
        <v>36</v>
      </c>
      <c r="D3046" s="2">
        <v>42430</v>
      </c>
      <c r="E3046" t="s">
        <v>7</v>
      </c>
      <c r="F3046">
        <v>118.3</v>
      </c>
      <c r="G3046" t="str">
        <f>VLOOKUP(Table1_2[[#This Row],[Categories]],Sheet3!$A$1:$B$27,2,FALSE)</f>
        <v>Food &amp;Beverage</v>
      </c>
    </row>
    <row r="3047" spans="1:7" x14ac:dyDescent="0.3">
      <c r="A3047" t="s">
        <v>30</v>
      </c>
      <c r="B3047">
        <v>2016</v>
      </c>
      <c r="C3047" t="s">
        <v>36</v>
      </c>
      <c r="D3047" s="2">
        <v>42430</v>
      </c>
      <c r="E3047" t="s">
        <v>8</v>
      </c>
      <c r="F3047">
        <v>131.69999999999999</v>
      </c>
      <c r="G3047" t="str">
        <f>VLOOKUP(Table1_2[[#This Row],[Categories]],Sheet3!$A$1:$B$27,2,FALSE)</f>
        <v>Food &amp;Beverage</v>
      </c>
    </row>
    <row r="3048" spans="1:7" x14ac:dyDescent="0.3">
      <c r="A3048" t="s">
        <v>30</v>
      </c>
      <c r="B3048">
        <v>2016</v>
      </c>
      <c r="C3048" t="s">
        <v>36</v>
      </c>
      <c r="D3048" s="2">
        <v>42430</v>
      </c>
      <c r="E3048" t="s">
        <v>9</v>
      </c>
      <c r="F3048">
        <v>130.69999999999999</v>
      </c>
      <c r="G3048" t="str">
        <f>VLOOKUP(Table1_2[[#This Row],[Categories]],Sheet3!$A$1:$B$27,2,FALSE)</f>
        <v>Food &amp;Beverage</v>
      </c>
    </row>
    <row r="3049" spans="1:7" x14ac:dyDescent="0.3">
      <c r="A3049" t="s">
        <v>30</v>
      </c>
      <c r="B3049">
        <v>2016</v>
      </c>
      <c r="C3049" t="s">
        <v>36</v>
      </c>
      <c r="D3049" s="2">
        <v>42430</v>
      </c>
      <c r="E3049" t="s">
        <v>10</v>
      </c>
      <c r="F3049">
        <v>161.19999999999999</v>
      </c>
      <c r="G3049" t="str">
        <f>VLOOKUP(Table1_2[[#This Row],[Categories]],Sheet3!$A$1:$B$27,2,FALSE)</f>
        <v>Food &amp;Beverage</v>
      </c>
    </row>
    <row r="3050" spans="1:7" x14ac:dyDescent="0.3">
      <c r="A3050" t="s">
        <v>30</v>
      </c>
      <c r="B3050">
        <v>2016</v>
      </c>
      <c r="C3050" t="s">
        <v>36</v>
      </c>
      <c r="D3050" s="2">
        <v>42430</v>
      </c>
      <c r="E3050" t="s">
        <v>11</v>
      </c>
      <c r="F3050">
        <v>100.4</v>
      </c>
      <c r="G3050" t="str">
        <f>VLOOKUP(Table1_2[[#This Row],[Categories]],Sheet3!$A$1:$B$27,2,FALSE)</f>
        <v>Food &amp;Beverage</v>
      </c>
    </row>
    <row r="3051" spans="1:7" x14ac:dyDescent="0.3">
      <c r="A3051" t="s">
        <v>30</v>
      </c>
      <c r="B3051">
        <v>2016</v>
      </c>
      <c r="C3051" t="s">
        <v>36</v>
      </c>
      <c r="D3051" s="2">
        <v>42430</v>
      </c>
      <c r="E3051" t="s">
        <v>12</v>
      </c>
      <c r="F3051">
        <v>130.80000000000001</v>
      </c>
      <c r="G3051" t="str">
        <f>VLOOKUP(Table1_2[[#This Row],[Categories]],Sheet3!$A$1:$B$27,2,FALSE)</f>
        <v>Food &amp;Beverage</v>
      </c>
    </row>
    <row r="3052" spans="1:7" x14ac:dyDescent="0.3">
      <c r="A3052" t="s">
        <v>30</v>
      </c>
      <c r="B3052">
        <v>2016</v>
      </c>
      <c r="C3052" t="s">
        <v>36</v>
      </c>
      <c r="D3052" s="2">
        <v>42430</v>
      </c>
      <c r="E3052" t="s">
        <v>13</v>
      </c>
      <c r="F3052">
        <v>124.9</v>
      </c>
      <c r="G3052" t="str">
        <f>VLOOKUP(Table1_2[[#This Row],[Categories]],Sheet3!$A$1:$B$27,2,FALSE)</f>
        <v>Food &amp;Beverage</v>
      </c>
    </row>
    <row r="3053" spans="1:7" x14ac:dyDescent="0.3">
      <c r="A3053" t="s">
        <v>30</v>
      </c>
      <c r="B3053">
        <v>2016</v>
      </c>
      <c r="C3053" t="s">
        <v>36</v>
      </c>
      <c r="D3053" s="2">
        <v>42430</v>
      </c>
      <c r="E3053" t="s">
        <v>14</v>
      </c>
      <c r="F3053">
        <v>137</v>
      </c>
      <c r="G3053" t="str">
        <f>VLOOKUP(Table1_2[[#This Row],[Categories]],Sheet3!$A$1:$B$27,2,FALSE)</f>
        <v>Food &amp;Beverage</v>
      </c>
    </row>
    <row r="3054" spans="1:7" x14ac:dyDescent="0.3">
      <c r="A3054" t="s">
        <v>30</v>
      </c>
      <c r="B3054">
        <v>2016</v>
      </c>
      <c r="C3054" t="s">
        <v>36</v>
      </c>
      <c r="D3054" s="2">
        <v>42430</v>
      </c>
      <c r="E3054" t="s">
        <v>15</v>
      </c>
      <c r="F3054">
        <v>130.4</v>
      </c>
      <c r="G3054" t="str">
        <f>VLOOKUP(Table1_2[[#This Row],[Categories]],Sheet3!$A$1:$B$27,2,FALSE)</f>
        <v>Food &amp;Beverage</v>
      </c>
    </row>
    <row r="3055" spans="1:7" x14ac:dyDescent="0.3">
      <c r="A3055" t="s">
        <v>30</v>
      </c>
      <c r="B3055">
        <v>2016</v>
      </c>
      <c r="C3055" t="s">
        <v>36</v>
      </c>
      <c r="D3055" s="2">
        <v>42430</v>
      </c>
      <c r="E3055" t="s">
        <v>16</v>
      </c>
      <c r="F3055">
        <v>135</v>
      </c>
      <c r="G3055" t="str">
        <f>VLOOKUP(Table1_2[[#This Row],[Categories]],Sheet3!$A$1:$B$27,2,FALSE)</f>
        <v>Recreation and amusement</v>
      </c>
    </row>
    <row r="3056" spans="1:7" x14ac:dyDescent="0.3">
      <c r="A3056" t="s">
        <v>30</v>
      </c>
      <c r="B3056">
        <v>2016</v>
      </c>
      <c r="C3056" t="s">
        <v>36</v>
      </c>
      <c r="D3056" s="2">
        <v>42430</v>
      </c>
      <c r="E3056" t="s">
        <v>17</v>
      </c>
      <c r="F3056">
        <v>134.4</v>
      </c>
      <c r="G3056" t="str">
        <f>VLOOKUP(Table1_2[[#This Row],[Categories]],Sheet3!$A$1:$B$27,2,FALSE)</f>
        <v>Clothing and footwear</v>
      </c>
    </row>
    <row r="3057" spans="1:7" x14ac:dyDescent="0.3">
      <c r="A3057" t="s">
        <v>30</v>
      </c>
      <c r="B3057">
        <v>2016</v>
      </c>
      <c r="C3057" t="s">
        <v>36</v>
      </c>
      <c r="D3057" s="2">
        <v>42430</v>
      </c>
      <c r="E3057" t="s">
        <v>18</v>
      </c>
      <c r="F3057">
        <v>130.19999999999999</v>
      </c>
      <c r="G3057" t="str">
        <f>VLOOKUP(Table1_2[[#This Row],[Categories]],Sheet3!$A$1:$B$27,2,FALSE)</f>
        <v>Clothing and footwear</v>
      </c>
    </row>
    <row r="3058" spans="1:7" x14ac:dyDescent="0.3">
      <c r="A3058" t="s">
        <v>30</v>
      </c>
      <c r="B3058">
        <v>2016</v>
      </c>
      <c r="C3058" t="s">
        <v>36</v>
      </c>
      <c r="D3058" s="2">
        <v>42430</v>
      </c>
      <c r="E3058" t="s">
        <v>19</v>
      </c>
      <c r="F3058">
        <v>133.80000000000001</v>
      </c>
      <c r="G3058" t="str">
        <f>VLOOKUP(Table1_2[[#This Row],[Categories]],Sheet3!$A$1:$B$27,2,FALSE)</f>
        <v>Clothing and footwear</v>
      </c>
    </row>
    <row r="3059" spans="1:7" x14ac:dyDescent="0.3">
      <c r="A3059" t="s">
        <v>30</v>
      </c>
      <c r="B3059">
        <v>2016</v>
      </c>
      <c r="C3059" t="s">
        <v>36</v>
      </c>
      <c r="D3059" s="2">
        <v>42430</v>
      </c>
      <c r="E3059" t="s">
        <v>21</v>
      </c>
      <c r="F3059">
        <v>127</v>
      </c>
      <c r="G3059" t="str">
        <f>VLOOKUP(Table1_2[[#This Row],[Categories]],Sheet3!$A$1:$B$27,2,FALSE)</f>
        <v>Fuel and light</v>
      </c>
    </row>
    <row r="3060" spans="1:7" x14ac:dyDescent="0.3">
      <c r="A3060" t="s">
        <v>30</v>
      </c>
      <c r="B3060">
        <v>2016</v>
      </c>
      <c r="C3060" t="s">
        <v>36</v>
      </c>
      <c r="D3060" s="2">
        <v>42430</v>
      </c>
      <c r="E3060" t="s">
        <v>22</v>
      </c>
      <c r="F3060">
        <v>127.7</v>
      </c>
      <c r="G3060" t="str">
        <f>VLOOKUP(Table1_2[[#This Row],[Categories]],Sheet3!$A$1:$B$27,2,FALSE)</f>
        <v>Household Items</v>
      </c>
    </row>
    <row r="3061" spans="1:7" x14ac:dyDescent="0.3">
      <c r="A3061" t="s">
        <v>30</v>
      </c>
      <c r="B3061">
        <v>2016</v>
      </c>
      <c r="C3061" t="s">
        <v>36</v>
      </c>
      <c r="D3061" s="2">
        <v>42430</v>
      </c>
      <c r="E3061" t="s">
        <v>23</v>
      </c>
      <c r="F3061">
        <v>124.8</v>
      </c>
      <c r="G3061" t="str">
        <f>VLOOKUP(Table1_2[[#This Row],[Categories]],Sheet3!$A$1:$B$27,2,FALSE)</f>
        <v>Health</v>
      </c>
    </row>
    <row r="3062" spans="1:7" x14ac:dyDescent="0.3">
      <c r="A3062" t="s">
        <v>30</v>
      </c>
      <c r="B3062">
        <v>2016</v>
      </c>
      <c r="C3062" t="s">
        <v>36</v>
      </c>
      <c r="D3062" s="2">
        <v>42430</v>
      </c>
      <c r="E3062" t="s">
        <v>24</v>
      </c>
      <c r="F3062">
        <v>113.6</v>
      </c>
      <c r="G3062" t="str">
        <f>VLOOKUP(Table1_2[[#This Row],[Categories]],Sheet3!$A$1:$B$27,2,FALSE)</f>
        <v>Transport and communication</v>
      </c>
    </row>
    <row r="3063" spans="1:7" x14ac:dyDescent="0.3">
      <c r="A3063" t="s">
        <v>30</v>
      </c>
      <c r="B3063">
        <v>2016</v>
      </c>
      <c r="C3063" t="s">
        <v>36</v>
      </c>
      <c r="D3063" s="2">
        <v>42430</v>
      </c>
      <c r="E3063" t="s">
        <v>25</v>
      </c>
      <c r="F3063">
        <v>122.5</v>
      </c>
      <c r="G3063" t="str">
        <f>VLOOKUP(Table1_2[[#This Row],[Categories]],Sheet3!$A$1:$B$27,2,FALSE)</f>
        <v>Recreation and amusement</v>
      </c>
    </row>
    <row r="3064" spans="1:7" x14ac:dyDescent="0.3">
      <c r="A3064" t="s">
        <v>30</v>
      </c>
      <c r="B3064">
        <v>2016</v>
      </c>
      <c r="C3064" t="s">
        <v>36</v>
      </c>
      <c r="D3064" s="2">
        <v>42430</v>
      </c>
      <c r="E3064" t="s">
        <v>26</v>
      </c>
      <c r="F3064">
        <v>127.5</v>
      </c>
      <c r="G3064" t="str">
        <f>VLOOKUP(Table1_2[[#This Row],[Categories]],Sheet3!$A$1:$B$27,2,FALSE)</f>
        <v>Education</v>
      </c>
    </row>
    <row r="3065" spans="1:7" x14ac:dyDescent="0.3">
      <c r="A3065" t="s">
        <v>30</v>
      </c>
      <c r="B3065">
        <v>2016</v>
      </c>
      <c r="C3065" t="s">
        <v>36</v>
      </c>
      <c r="D3065" s="2">
        <v>42430</v>
      </c>
      <c r="E3065" t="s">
        <v>27</v>
      </c>
      <c r="F3065">
        <v>117.4</v>
      </c>
      <c r="G3065" t="str">
        <f>VLOOKUP(Table1_2[[#This Row],[Categories]],Sheet3!$A$1:$B$27,2,FALSE)</f>
        <v>Household Items</v>
      </c>
    </row>
    <row r="3066" spans="1:7" x14ac:dyDescent="0.3">
      <c r="A3066" t="s">
        <v>30</v>
      </c>
      <c r="B3066">
        <v>2016</v>
      </c>
      <c r="C3066" t="s">
        <v>36</v>
      </c>
      <c r="D3066" s="2">
        <v>42430</v>
      </c>
      <c r="E3066" t="s">
        <v>28</v>
      </c>
      <c r="F3066">
        <v>121.1</v>
      </c>
      <c r="G3066" t="str">
        <f>VLOOKUP(Table1_2[[#This Row],[Categories]],Sheet3!$A$1:$B$27,2,FALSE)</f>
        <v>Miscellaneous</v>
      </c>
    </row>
    <row r="3067" spans="1:7" x14ac:dyDescent="0.3">
      <c r="A3067" t="s">
        <v>30</v>
      </c>
      <c r="B3067">
        <v>2016</v>
      </c>
      <c r="C3067" t="s">
        <v>36</v>
      </c>
      <c r="D3067" s="2">
        <v>42430</v>
      </c>
      <c r="E3067" t="s">
        <v>29</v>
      </c>
      <c r="F3067">
        <v>128</v>
      </c>
      <c r="G3067" t="str">
        <f>VLOOKUP(Table1_2[[#This Row],[Categories]],Sheet3!$A$1:$B$27,2,FALSE)</f>
        <v>General index</v>
      </c>
    </row>
    <row r="3068" spans="1:7" x14ac:dyDescent="0.3">
      <c r="A3068" t="s">
        <v>33</v>
      </c>
      <c r="B3068">
        <v>2016</v>
      </c>
      <c r="C3068" t="s">
        <v>36</v>
      </c>
      <c r="D3068" s="2">
        <v>42430</v>
      </c>
      <c r="E3068" t="s">
        <v>3</v>
      </c>
      <c r="F3068">
        <v>124.8</v>
      </c>
      <c r="G3068" t="str">
        <f>VLOOKUP(Table1_2[[#This Row],[Categories]],Sheet3!$A$1:$B$27,2,FALSE)</f>
        <v>Food &amp;Beverage</v>
      </c>
    </row>
    <row r="3069" spans="1:7" x14ac:dyDescent="0.3">
      <c r="A3069" t="s">
        <v>33</v>
      </c>
      <c r="B3069">
        <v>2016</v>
      </c>
      <c r="C3069" t="s">
        <v>36</v>
      </c>
      <c r="D3069" s="2">
        <v>42430</v>
      </c>
      <c r="E3069" t="s">
        <v>4</v>
      </c>
      <c r="F3069">
        <v>136.30000000000001</v>
      </c>
      <c r="G3069" t="str">
        <f>VLOOKUP(Table1_2[[#This Row],[Categories]],Sheet3!$A$1:$B$27,2,FALSE)</f>
        <v>Food &amp;Beverage</v>
      </c>
    </row>
    <row r="3070" spans="1:7" x14ac:dyDescent="0.3">
      <c r="A3070" t="s">
        <v>33</v>
      </c>
      <c r="B3070">
        <v>2016</v>
      </c>
      <c r="C3070" t="s">
        <v>36</v>
      </c>
      <c r="D3070" s="2">
        <v>42430</v>
      </c>
      <c r="E3070" t="s">
        <v>5</v>
      </c>
      <c r="F3070">
        <v>123.7</v>
      </c>
      <c r="G3070" t="str">
        <f>VLOOKUP(Table1_2[[#This Row],[Categories]],Sheet3!$A$1:$B$27,2,FALSE)</f>
        <v>Food &amp;Beverage</v>
      </c>
    </row>
    <row r="3071" spans="1:7" x14ac:dyDescent="0.3">
      <c r="A3071" t="s">
        <v>33</v>
      </c>
      <c r="B3071">
        <v>2016</v>
      </c>
      <c r="C3071" t="s">
        <v>36</v>
      </c>
      <c r="D3071" s="2">
        <v>42430</v>
      </c>
      <c r="E3071" t="s">
        <v>6</v>
      </c>
      <c r="F3071">
        <v>129.69999999999999</v>
      </c>
      <c r="G3071" t="str">
        <f>VLOOKUP(Table1_2[[#This Row],[Categories]],Sheet3!$A$1:$B$27,2,FALSE)</f>
        <v>Food &amp;Beverage</v>
      </c>
    </row>
    <row r="3072" spans="1:7" x14ac:dyDescent="0.3">
      <c r="A3072" t="s">
        <v>33</v>
      </c>
      <c r="B3072">
        <v>2016</v>
      </c>
      <c r="C3072" t="s">
        <v>36</v>
      </c>
      <c r="D3072" s="2">
        <v>42430</v>
      </c>
      <c r="E3072" t="s">
        <v>7</v>
      </c>
      <c r="F3072">
        <v>107.9</v>
      </c>
      <c r="G3072" t="str">
        <f>VLOOKUP(Table1_2[[#This Row],[Categories]],Sheet3!$A$1:$B$27,2,FALSE)</f>
        <v>Food &amp;Beverage</v>
      </c>
    </row>
    <row r="3073" spans="1:7" x14ac:dyDescent="0.3">
      <c r="A3073" t="s">
        <v>33</v>
      </c>
      <c r="B3073">
        <v>2016</v>
      </c>
      <c r="C3073" t="s">
        <v>36</v>
      </c>
      <c r="D3073" s="2">
        <v>42430</v>
      </c>
      <c r="E3073" t="s">
        <v>8</v>
      </c>
      <c r="F3073">
        <v>119.9</v>
      </c>
      <c r="G3073" t="str">
        <f>VLOOKUP(Table1_2[[#This Row],[Categories]],Sheet3!$A$1:$B$27,2,FALSE)</f>
        <v>Food &amp;Beverage</v>
      </c>
    </row>
    <row r="3074" spans="1:7" x14ac:dyDescent="0.3">
      <c r="A3074" t="s">
        <v>33</v>
      </c>
      <c r="B3074">
        <v>2016</v>
      </c>
      <c r="C3074" t="s">
        <v>36</v>
      </c>
      <c r="D3074" s="2">
        <v>42430</v>
      </c>
      <c r="E3074" t="s">
        <v>9</v>
      </c>
      <c r="F3074">
        <v>128.1</v>
      </c>
      <c r="G3074" t="str">
        <f>VLOOKUP(Table1_2[[#This Row],[Categories]],Sheet3!$A$1:$B$27,2,FALSE)</f>
        <v>Food &amp;Beverage</v>
      </c>
    </row>
    <row r="3075" spans="1:7" x14ac:dyDescent="0.3">
      <c r="A3075" t="s">
        <v>33</v>
      </c>
      <c r="B3075">
        <v>2016</v>
      </c>
      <c r="C3075" t="s">
        <v>36</v>
      </c>
      <c r="D3075" s="2">
        <v>42430</v>
      </c>
      <c r="E3075" t="s">
        <v>10</v>
      </c>
      <c r="F3075">
        <v>170.3</v>
      </c>
      <c r="G3075" t="str">
        <f>VLOOKUP(Table1_2[[#This Row],[Categories]],Sheet3!$A$1:$B$27,2,FALSE)</f>
        <v>Food &amp;Beverage</v>
      </c>
    </row>
    <row r="3076" spans="1:7" x14ac:dyDescent="0.3">
      <c r="A3076" t="s">
        <v>33</v>
      </c>
      <c r="B3076">
        <v>2016</v>
      </c>
      <c r="C3076" t="s">
        <v>36</v>
      </c>
      <c r="D3076" s="2">
        <v>42430</v>
      </c>
      <c r="E3076" t="s">
        <v>11</v>
      </c>
      <c r="F3076">
        <v>101.8</v>
      </c>
      <c r="G3076" t="str">
        <f>VLOOKUP(Table1_2[[#This Row],[Categories]],Sheet3!$A$1:$B$27,2,FALSE)</f>
        <v>Food &amp;Beverage</v>
      </c>
    </row>
    <row r="3077" spans="1:7" x14ac:dyDescent="0.3">
      <c r="A3077" t="s">
        <v>33</v>
      </c>
      <c r="B3077">
        <v>2016</v>
      </c>
      <c r="C3077" t="s">
        <v>36</v>
      </c>
      <c r="D3077" s="2">
        <v>42430</v>
      </c>
      <c r="E3077" t="s">
        <v>12</v>
      </c>
      <c r="F3077">
        <v>140.1</v>
      </c>
      <c r="G3077" t="str">
        <f>VLOOKUP(Table1_2[[#This Row],[Categories]],Sheet3!$A$1:$B$27,2,FALSE)</f>
        <v>Food &amp;Beverage</v>
      </c>
    </row>
    <row r="3078" spans="1:7" x14ac:dyDescent="0.3">
      <c r="A3078" t="s">
        <v>33</v>
      </c>
      <c r="B3078">
        <v>2016</v>
      </c>
      <c r="C3078" t="s">
        <v>36</v>
      </c>
      <c r="D3078" s="2">
        <v>42430</v>
      </c>
      <c r="E3078" t="s">
        <v>13</v>
      </c>
      <c r="F3078">
        <v>120.7</v>
      </c>
      <c r="G3078" t="str">
        <f>VLOOKUP(Table1_2[[#This Row],[Categories]],Sheet3!$A$1:$B$27,2,FALSE)</f>
        <v>Food &amp;Beverage</v>
      </c>
    </row>
    <row r="3079" spans="1:7" x14ac:dyDescent="0.3">
      <c r="A3079" t="s">
        <v>33</v>
      </c>
      <c r="B3079">
        <v>2016</v>
      </c>
      <c r="C3079" t="s">
        <v>36</v>
      </c>
      <c r="D3079" s="2">
        <v>42430</v>
      </c>
      <c r="E3079" t="s">
        <v>14</v>
      </c>
      <c r="F3079">
        <v>135.4</v>
      </c>
      <c r="G3079" t="str">
        <f>VLOOKUP(Table1_2[[#This Row],[Categories]],Sheet3!$A$1:$B$27,2,FALSE)</f>
        <v>Food &amp;Beverage</v>
      </c>
    </row>
    <row r="3080" spans="1:7" x14ac:dyDescent="0.3">
      <c r="A3080" t="s">
        <v>33</v>
      </c>
      <c r="B3080">
        <v>2016</v>
      </c>
      <c r="C3080" t="s">
        <v>36</v>
      </c>
      <c r="D3080" s="2">
        <v>42430</v>
      </c>
      <c r="E3080" t="s">
        <v>15</v>
      </c>
      <c r="F3080">
        <v>128.9</v>
      </c>
      <c r="G3080" t="str">
        <f>VLOOKUP(Table1_2[[#This Row],[Categories]],Sheet3!$A$1:$B$27,2,FALSE)</f>
        <v>Food &amp;Beverage</v>
      </c>
    </row>
    <row r="3081" spans="1:7" x14ac:dyDescent="0.3">
      <c r="A3081" t="s">
        <v>33</v>
      </c>
      <c r="B3081">
        <v>2016</v>
      </c>
      <c r="C3081" t="s">
        <v>36</v>
      </c>
      <c r="D3081" s="2">
        <v>42430</v>
      </c>
      <c r="E3081" t="s">
        <v>16</v>
      </c>
      <c r="F3081">
        <v>140.6</v>
      </c>
      <c r="G3081" t="str">
        <f>VLOOKUP(Table1_2[[#This Row],[Categories]],Sheet3!$A$1:$B$27,2,FALSE)</f>
        <v>Recreation and amusement</v>
      </c>
    </row>
    <row r="3082" spans="1:7" x14ac:dyDescent="0.3">
      <c r="A3082" t="s">
        <v>33</v>
      </c>
      <c r="B3082">
        <v>2016</v>
      </c>
      <c r="C3082" t="s">
        <v>36</v>
      </c>
      <c r="D3082" s="2">
        <v>42430</v>
      </c>
      <c r="E3082" t="s">
        <v>17</v>
      </c>
      <c r="F3082">
        <v>126.4</v>
      </c>
      <c r="G3082" t="str">
        <f>VLOOKUP(Table1_2[[#This Row],[Categories]],Sheet3!$A$1:$B$27,2,FALSE)</f>
        <v>Clothing and footwear</v>
      </c>
    </row>
    <row r="3083" spans="1:7" x14ac:dyDescent="0.3">
      <c r="A3083" t="s">
        <v>33</v>
      </c>
      <c r="B3083">
        <v>2016</v>
      </c>
      <c r="C3083" t="s">
        <v>36</v>
      </c>
      <c r="D3083" s="2">
        <v>42430</v>
      </c>
      <c r="E3083" t="s">
        <v>18</v>
      </c>
      <c r="F3083">
        <v>120.3</v>
      </c>
      <c r="G3083" t="str">
        <f>VLOOKUP(Table1_2[[#This Row],[Categories]],Sheet3!$A$1:$B$27,2,FALSE)</f>
        <v>Clothing and footwear</v>
      </c>
    </row>
    <row r="3084" spans="1:7" x14ac:dyDescent="0.3">
      <c r="A3084" t="s">
        <v>33</v>
      </c>
      <c r="B3084">
        <v>2016</v>
      </c>
      <c r="C3084" t="s">
        <v>36</v>
      </c>
      <c r="D3084" s="2">
        <v>42430</v>
      </c>
      <c r="E3084" t="s">
        <v>19</v>
      </c>
      <c r="F3084">
        <v>125.5</v>
      </c>
      <c r="G3084" t="str">
        <f>VLOOKUP(Table1_2[[#This Row],[Categories]],Sheet3!$A$1:$B$27,2,FALSE)</f>
        <v>Clothing and footwear</v>
      </c>
    </row>
    <row r="3085" spans="1:7" x14ac:dyDescent="0.3">
      <c r="A3085" t="s">
        <v>33</v>
      </c>
      <c r="B3085">
        <v>2016</v>
      </c>
      <c r="C3085" t="s">
        <v>36</v>
      </c>
      <c r="D3085" s="2">
        <v>42430</v>
      </c>
      <c r="E3085" t="s">
        <v>20</v>
      </c>
      <c r="F3085">
        <v>124.9</v>
      </c>
      <c r="G3085" t="str">
        <f>VLOOKUP(Table1_2[[#This Row],[Categories]],Sheet3!$A$1:$B$27,2,FALSE)</f>
        <v>Housing</v>
      </c>
    </row>
    <row r="3086" spans="1:7" x14ac:dyDescent="0.3">
      <c r="A3086" t="s">
        <v>33</v>
      </c>
      <c r="B3086">
        <v>2016</v>
      </c>
      <c r="C3086" t="s">
        <v>36</v>
      </c>
      <c r="D3086" s="2">
        <v>42430</v>
      </c>
      <c r="E3086" t="s">
        <v>21</v>
      </c>
      <c r="F3086">
        <v>114.8</v>
      </c>
      <c r="G3086" t="str">
        <f>VLOOKUP(Table1_2[[#This Row],[Categories]],Sheet3!$A$1:$B$27,2,FALSE)</f>
        <v>Fuel and light</v>
      </c>
    </row>
    <row r="3087" spans="1:7" x14ac:dyDescent="0.3">
      <c r="A3087" t="s">
        <v>33</v>
      </c>
      <c r="B3087">
        <v>2016</v>
      </c>
      <c r="C3087" t="s">
        <v>36</v>
      </c>
      <c r="D3087" s="2">
        <v>42430</v>
      </c>
      <c r="E3087" t="s">
        <v>22</v>
      </c>
      <c r="F3087">
        <v>122.3</v>
      </c>
      <c r="G3087" t="str">
        <f>VLOOKUP(Table1_2[[#This Row],[Categories]],Sheet3!$A$1:$B$27,2,FALSE)</f>
        <v>Household Items</v>
      </c>
    </row>
    <row r="3088" spans="1:7" x14ac:dyDescent="0.3">
      <c r="A3088" t="s">
        <v>33</v>
      </c>
      <c r="B3088">
        <v>2016</v>
      </c>
      <c r="C3088" t="s">
        <v>36</v>
      </c>
      <c r="D3088" s="2">
        <v>42430</v>
      </c>
      <c r="E3088" t="s">
        <v>23</v>
      </c>
      <c r="F3088">
        <v>119.7</v>
      </c>
      <c r="G3088" t="str">
        <f>VLOOKUP(Table1_2[[#This Row],[Categories]],Sheet3!$A$1:$B$27,2,FALSE)</f>
        <v>Health</v>
      </c>
    </row>
    <row r="3089" spans="1:7" x14ac:dyDescent="0.3">
      <c r="A3089" t="s">
        <v>33</v>
      </c>
      <c r="B3089">
        <v>2016</v>
      </c>
      <c r="C3089" t="s">
        <v>36</v>
      </c>
      <c r="D3089" s="2">
        <v>42430</v>
      </c>
      <c r="E3089" t="s">
        <v>24</v>
      </c>
      <c r="F3089">
        <v>108.5</v>
      </c>
      <c r="G3089" t="str">
        <f>VLOOKUP(Table1_2[[#This Row],[Categories]],Sheet3!$A$1:$B$27,2,FALSE)</f>
        <v>Transport and communication</v>
      </c>
    </row>
    <row r="3090" spans="1:7" x14ac:dyDescent="0.3">
      <c r="A3090" t="s">
        <v>33</v>
      </c>
      <c r="B3090">
        <v>2016</v>
      </c>
      <c r="C3090" t="s">
        <v>36</v>
      </c>
      <c r="D3090" s="2">
        <v>42430</v>
      </c>
      <c r="E3090" t="s">
        <v>25</v>
      </c>
      <c r="F3090">
        <v>119.1</v>
      </c>
      <c r="G3090" t="str">
        <f>VLOOKUP(Table1_2[[#This Row],[Categories]],Sheet3!$A$1:$B$27,2,FALSE)</f>
        <v>Recreation and amusement</v>
      </c>
    </row>
    <row r="3091" spans="1:7" x14ac:dyDescent="0.3">
      <c r="A3091" t="s">
        <v>33</v>
      </c>
      <c r="B3091">
        <v>2016</v>
      </c>
      <c r="C3091" t="s">
        <v>36</v>
      </c>
      <c r="D3091" s="2">
        <v>42430</v>
      </c>
      <c r="E3091" t="s">
        <v>26</v>
      </c>
      <c r="F3091">
        <v>126.4</v>
      </c>
      <c r="G3091" t="str">
        <f>VLOOKUP(Table1_2[[#This Row],[Categories]],Sheet3!$A$1:$B$27,2,FALSE)</f>
        <v>Education</v>
      </c>
    </row>
    <row r="3092" spans="1:7" x14ac:dyDescent="0.3">
      <c r="A3092" t="s">
        <v>33</v>
      </c>
      <c r="B3092">
        <v>2016</v>
      </c>
      <c r="C3092" t="s">
        <v>36</v>
      </c>
      <c r="D3092" s="2">
        <v>42430</v>
      </c>
      <c r="E3092" t="s">
        <v>27</v>
      </c>
      <c r="F3092">
        <v>117.1</v>
      </c>
      <c r="G3092" t="str">
        <f>VLOOKUP(Table1_2[[#This Row],[Categories]],Sheet3!$A$1:$B$27,2,FALSE)</f>
        <v>Household Items</v>
      </c>
    </row>
    <row r="3093" spans="1:7" x14ac:dyDescent="0.3">
      <c r="A3093" t="s">
        <v>33</v>
      </c>
      <c r="B3093">
        <v>2016</v>
      </c>
      <c r="C3093" t="s">
        <v>36</v>
      </c>
      <c r="D3093" s="2">
        <v>42430</v>
      </c>
      <c r="E3093" t="s">
        <v>28</v>
      </c>
      <c r="F3093">
        <v>117.3</v>
      </c>
      <c r="G3093" t="str">
        <f>VLOOKUP(Table1_2[[#This Row],[Categories]],Sheet3!$A$1:$B$27,2,FALSE)</f>
        <v>Miscellaneous</v>
      </c>
    </row>
    <row r="3094" spans="1:7" x14ac:dyDescent="0.3">
      <c r="A3094" t="s">
        <v>33</v>
      </c>
      <c r="B3094">
        <v>2016</v>
      </c>
      <c r="C3094" t="s">
        <v>36</v>
      </c>
      <c r="D3094" s="2">
        <v>42430</v>
      </c>
      <c r="E3094" t="s">
        <v>29</v>
      </c>
      <c r="F3094">
        <v>123.8</v>
      </c>
      <c r="G3094" t="str">
        <f>VLOOKUP(Table1_2[[#This Row],[Categories]],Sheet3!$A$1:$B$27,2,FALSE)</f>
        <v>General index</v>
      </c>
    </row>
    <row r="3095" spans="1:7" x14ac:dyDescent="0.3">
      <c r="A3095" t="s">
        <v>34</v>
      </c>
      <c r="B3095">
        <v>2016</v>
      </c>
      <c r="C3095" t="s">
        <v>36</v>
      </c>
      <c r="D3095" s="2">
        <v>42430</v>
      </c>
      <c r="E3095" t="s">
        <v>3</v>
      </c>
      <c r="F3095">
        <v>126.5</v>
      </c>
      <c r="G3095" t="str">
        <f>VLOOKUP(Table1_2[[#This Row],[Categories]],Sheet3!$A$1:$B$27,2,FALSE)</f>
        <v>Food &amp;Beverage</v>
      </c>
    </row>
    <row r="3096" spans="1:7" x14ac:dyDescent="0.3">
      <c r="A3096" t="s">
        <v>34</v>
      </c>
      <c r="B3096">
        <v>2016</v>
      </c>
      <c r="C3096" t="s">
        <v>36</v>
      </c>
      <c r="D3096" s="2">
        <v>42430</v>
      </c>
      <c r="E3096" t="s">
        <v>4</v>
      </c>
      <c r="F3096">
        <v>135.1</v>
      </c>
      <c r="G3096" t="str">
        <f>VLOOKUP(Table1_2[[#This Row],[Categories]],Sheet3!$A$1:$B$27,2,FALSE)</f>
        <v>Food &amp;Beverage</v>
      </c>
    </row>
    <row r="3097" spans="1:7" x14ac:dyDescent="0.3">
      <c r="A3097" t="s">
        <v>34</v>
      </c>
      <c r="B3097">
        <v>2016</v>
      </c>
      <c r="C3097" t="s">
        <v>36</v>
      </c>
      <c r="D3097" s="2">
        <v>42430</v>
      </c>
      <c r="E3097" t="s">
        <v>5</v>
      </c>
      <c r="F3097">
        <v>124.6</v>
      </c>
      <c r="G3097" t="str">
        <f>VLOOKUP(Table1_2[[#This Row],[Categories]],Sheet3!$A$1:$B$27,2,FALSE)</f>
        <v>Food &amp;Beverage</v>
      </c>
    </row>
    <row r="3098" spans="1:7" x14ac:dyDescent="0.3">
      <c r="A3098" t="s">
        <v>34</v>
      </c>
      <c r="B3098">
        <v>2016</v>
      </c>
      <c r="C3098" t="s">
        <v>36</v>
      </c>
      <c r="D3098" s="2">
        <v>42430</v>
      </c>
      <c r="E3098" t="s">
        <v>6</v>
      </c>
      <c r="F3098">
        <v>130.19999999999999</v>
      </c>
      <c r="G3098" t="str">
        <f>VLOOKUP(Table1_2[[#This Row],[Categories]],Sheet3!$A$1:$B$27,2,FALSE)</f>
        <v>Food &amp;Beverage</v>
      </c>
    </row>
    <row r="3099" spans="1:7" x14ac:dyDescent="0.3">
      <c r="A3099" t="s">
        <v>34</v>
      </c>
      <c r="B3099">
        <v>2016</v>
      </c>
      <c r="C3099" t="s">
        <v>36</v>
      </c>
      <c r="D3099" s="2">
        <v>42430</v>
      </c>
      <c r="E3099" t="s">
        <v>7</v>
      </c>
      <c r="F3099">
        <v>114.5</v>
      </c>
      <c r="G3099" t="str">
        <f>VLOOKUP(Table1_2[[#This Row],[Categories]],Sheet3!$A$1:$B$27,2,FALSE)</f>
        <v>Food &amp;Beverage</v>
      </c>
    </row>
    <row r="3100" spans="1:7" x14ac:dyDescent="0.3">
      <c r="A3100" t="s">
        <v>34</v>
      </c>
      <c r="B3100">
        <v>2016</v>
      </c>
      <c r="C3100" t="s">
        <v>36</v>
      </c>
      <c r="D3100" s="2">
        <v>42430</v>
      </c>
      <c r="E3100" t="s">
        <v>8</v>
      </c>
      <c r="F3100">
        <v>126.2</v>
      </c>
      <c r="G3100" t="str">
        <f>VLOOKUP(Table1_2[[#This Row],[Categories]],Sheet3!$A$1:$B$27,2,FALSE)</f>
        <v>Food &amp;Beverage</v>
      </c>
    </row>
    <row r="3101" spans="1:7" x14ac:dyDescent="0.3">
      <c r="A3101" t="s">
        <v>34</v>
      </c>
      <c r="B3101">
        <v>2016</v>
      </c>
      <c r="C3101" t="s">
        <v>36</v>
      </c>
      <c r="D3101" s="2">
        <v>42430</v>
      </c>
      <c r="E3101" t="s">
        <v>9</v>
      </c>
      <c r="F3101">
        <v>129.80000000000001</v>
      </c>
      <c r="G3101" t="str">
        <f>VLOOKUP(Table1_2[[#This Row],[Categories]],Sheet3!$A$1:$B$27,2,FALSE)</f>
        <v>Food &amp;Beverage</v>
      </c>
    </row>
    <row r="3102" spans="1:7" x14ac:dyDescent="0.3">
      <c r="A3102" t="s">
        <v>34</v>
      </c>
      <c r="B3102">
        <v>2016</v>
      </c>
      <c r="C3102" t="s">
        <v>36</v>
      </c>
      <c r="D3102" s="2">
        <v>42430</v>
      </c>
      <c r="E3102" t="s">
        <v>10</v>
      </c>
      <c r="F3102">
        <v>164.3</v>
      </c>
      <c r="G3102" t="str">
        <f>VLOOKUP(Table1_2[[#This Row],[Categories]],Sheet3!$A$1:$B$27,2,FALSE)</f>
        <v>Food &amp;Beverage</v>
      </c>
    </row>
    <row r="3103" spans="1:7" x14ac:dyDescent="0.3">
      <c r="A3103" t="s">
        <v>34</v>
      </c>
      <c r="B3103">
        <v>2016</v>
      </c>
      <c r="C3103" t="s">
        <v>36</v>
      </c>
      <c r="D3103" s="2">
        <v>42430</v>
      </c>
      <c r="E3103" t="s">
        <v>11</v>
      </c>
      <c r="F3103">
        <v>100.9</v>
      </c>
      <c r="G3103" t="str">
        <f>VLOOKUP(Table1_2[[#This Row],[Categories]],Sheet3!$A$1:$B$27,2,FALSE)</f>
        <v>Food &amp;Beverage</v>
      </c>
    </row>
    <row r="3104" spans="1:7" x14ac:dyDescent="0.3">
      <c r="A3104" t="s">
        <v>34</v>
      </c>
      <c r="B3104">
        <v>2016</v>
      </c>
      <c r="C3104" t="s">
        <v>36</v>
      </c>
      <c r="D3104" s="2">
        <v>42430</v>
      </c>
      <c r="E3104" t="s">
        <v>12</v>
      </c>
      <c r="F3104">
        <v>133.9</v>
      </c>
      <c r="G3104" t="str">
        <f>VLOOKUP(Table1_2[[#This Row],[Categories]],Sheet3!$A$1:$B$27,2,FALSE)</f>
        <v>Food &amp;Beverage</v>
      </c>
    </row>
    <row r="3105" spans="1:7" x14ac:dyDescent="0.3">
      <c r="A3105" t="s">
        <v>34</v>
      </c>
      <c r="B3105">
        <v>2016</v>
      </c>
      <c r="C3105" t="s">
        <v>36</v>
      </c>
      <c r="D3105" s="2">
        <v>42430</v>
      </c>
      <c r="E3105" t="s">
        <v>13</v>
      </c>
      <c r="F3105">
        <v>123.1</v>
      </c>
      <c r="G3105" t="str">
        <f>VLOOKUP(Table1_2[[#This Row],[Categories]],Sheet3!$A$1:$B$27,2,FALSE)</f>
        <v>Food &amp;Beverage</v>
      </c>
    </row>
    <row r="3106" spans="1:7" x14ac:dyDescent="0.3">
      <c r="A3106" t="s">
        <v>34</v>
      </c>
      <c r="B3106">
        <v>2016</v>
      </c>
      <c r="C3106" t="s">
        <v>36</v>
      </c>
      <c r="D3106" s="2">
        <v>42430</v>
      </c>
      <c r="E3106" t="s">
        <v>14</v>
      </c>
      <c r="F3106">
        <v>136.30000000000001</v>
      </c>
      <c r="G3106" t="str">
        <f>VLOOKUP(Table1_2[[#This Row],[Categories]],Sheet3!$A$1:$B$27,2,FALSE)</f>
        <v>Food &amp;Beverage</v>
      </c>
    </row>
    <row r="3107" spans="1:7" x14ac:dyDescent="0.3">
      <c r="A3107" t="s">
        <v>34</v>
      </c>
      <c r="B3107">
        <v>2016</v>
      </c>
      <c r="C3107" t="s">
        <v>36</v>
      </c>
      <c r="D3107" s="2">
        <v>42430</v>
      </c>
      <c r="E3107" t="s">
        <v>15</v>
      </c>
      <c r="F3107">
        <v>129.80000000000001</v>
      </c>
      <c r="G3107" t="str">
        <f>VLOOKUP(Table1_2[[#This Row],[Categories]],Sheet3!$A$1:$B$27,2,FALSE)</f>
        <v>Food &amp;Beverage</v>
      </c>
    </row>
    <row r="3108" spans="1:7" x14ac:dyDescent="0.3">
      <c r="A3108" t="s">
        <v>34</v>
      </c>
      <c r="B3108">
        <v>2016</v>
      </c>
      <c r="C3108" t="s">
        <v>36</v>
      </c>
      <c r="D3108" s="2">
        <v>42430</v>
      </c>
      <c r="E3108" t="s">
        <v>16</v>
      </c>
      <c r="F3108">
        <v>136.5</v>
      </c>
      <c r="G3108" t="str">
        <f>VLOOKUP(Table1_2[[#This Row],[Categories]],Sheet3!$A$1:$B$27,2,FALSE)</f>
        <v>Recreation and amusement</v>
      </c>
    </row>
    <row r="3109" spans="1:7" x14ac:dyDescent="0.3">
      <c r="A3109" t="s">
        <v>34</v>
      </c>
      <c r="B3109">
        <v>2016</v>
      </c>
      <c r="C3109" t="s">
        <v>36</v>
      </c>
      <c r="D3109" s="2">
        <v>42430</v>
      </c>
      <c r="E3109" t="s">
        <v>17</v>
      </c>
      <c r="F3109">
        <v>131.30000000000001</v>
      </c>
      <c r="G3109" t="str">
        <f>VLOOKUP(Table1_2[[#This Row],[Categories]],Sheet3!$A$1:$B$27,2,FALSE)</f>
        <v>Clothing and footwear</v>
      </c>
    </row>
    <row r="3110" spans="1:7" x14ac:dyDescent="0.3">
      <c r="A3110" t="s">
        <v>34</v>
      </c>
      <c r="B3110">
        <v>2016</v>
      </c>
      <c r="C3110" t="s">
        <v>36</v>
      </c>
      <c r="D3110" s="2">
        <v>42430</v>
      </c>
      <c r="E3110" t="s">
        <v>18</v>
      </c>
      <c r="F3110">
        <v>126.1</v>
      </c>
      <c r="G3110" t="str">
        <f>VLOOKUP(Table1_2[[#This Row],[Categories]],Sheet3!$A$1:$B$27,2,FALSE)</f>
        <v>Clothing and footwear</v>
      </c>
    </row>
    <row r="3111" spans="1:7" x14ac:dyDescent="0.3">
      <c r="A3111" t="s">
        <v>34</v>
      </c>
      <c r="B3111">
        <v>2016</v>
      </c>
      <c r="C3111" t="s">
        <v>36</v>
      </c>
      <c r="D3111" s="2">
        <v>42430</v>
      </c>
      <c r="E3111" t="s">
        <v>19</v>
      </c>
      <c r="F3111">
        <v>130.5</v>
      </c>
      <c r="G3111" t="str">
        <f>VLOOKUP(Table1_2[[#This Row],[Categories]],Sheet3!$A$1:$B$27,2,FALSE)</f>
        <v>Clothing and footwear</v>
      </c>
    </row>
    <row r="3112" spans="1:7" x14ac:dyDescent="0.3">
      <c r="A3112" t="s">
        <v>34</v>
      </c>
      <c r="B3112">
        <v>2016</v>
      </c>
      <c r="C3112" t="s">
        <v>36</v>
      </c>
      <c r="D3112" s="2">
        <v>42430</v>
      </c>
      <c r="E3112" t="s">
        <v>20</v>
      </c>
      <c r="F3112">
        <v>124.9</v>
      </c>
      <c r="G3112" t="str">
        <f>VLOOKUP(Table1_2[[#This Row],[Categories]],Sheet3!$A$1:$B$27,2,FALSE)</f>
        <v>Housing</v>
      </c>
    </row>
    <row r="3113" spans="1:7" x14ac:dyDescent="0.3">
      <c r="A3113" t="s">
        <v>34</v>
      </c>
      <c r="B3113">
        <v>2016</v>
      </c>
      <c r="C3113" t="s">
        <v>36</v>
      </c>
      <c r="D3113" s="2">
        <v>42430</v>
      </c>
      <c r="E3113" t="s">
        <v>21</v>
      </c>
      <c r="F3113">
        <v>122.4</v>
      </c>
      <c r="G3113" t="str">
        <f>VLOOKUP(Table1_2[[#This Row],[Categories]],Sheet3!$A$1:$B$27,2,FALSE)</f>
        <v>Fuel and light</v>
      </c>
    </row>
    <row r="3114" spans="1:7" x14ac:dyDescent="0.3">
      <c r="A3114" t="s">
        <v>34</v>
      </c>
      <c r="B3114">
        <v>2016</v>
      </c>
      <c r="C3114" t="s">
        <v>36</v>
      </c>
      <c r="D3114" s="2">
        <v>42430</v>
      </c>
      <c r="E3114" t="s">
        <v>22</v>
      </c>
      <c r="F3114">
        <v>125.1</v>
      </c>
      <c r="G3114" t="str">
        <f>VLOOKUP(Table1_2[[#This Row],[Categories]],Sheet3!$A$1:$B$27,2,FALSE)</f>
        <v>Household Items</v>
      </c>
    </row>
    <row r="3115" spans="1:7" x14ac:dyDescent="0.3">
      <c r="A3115" t="s">
        <v>34</v>
      </c>
      <c r="B3115">
        <v>2016</v>
      </c>
      <c r="C3115" t="s">
        <v>36</v>
      </c>
      <c r="D3115" s="2">
        <v>42430</v>
      </c>
      <c r="E3115" t="s">
        <v>23</v>
      </c>
      <c r="F3115">
        <v>122.9</v>
      </c>
      <c r="G3115" t="str">
        <f>VLOOKUP(Table1_2[[#This Row],[Categories]],Sheet3!$A$1:$B$27,2,FALSE)</f>
        <v>Health</v>
      </c>
    </row>
    <row r="3116" spans="1:7" x14ac:dyDescent="0.3">
      <c r="A3116" t="s">
        <v>34</v>
      </c>
      <c r="B3116">
        <v>2016</v>
      </c>
      <c r="C3116" t="s">
        <v>36</v>
      </c>
      <c r="D3116" s="2">
        <v>42430</v>
      </c>
      <c r="E3116" t="s">
        <v>24</v>
      </c>
      <c r="F3116">
        <v>110.9</v>
      </c>
      <c r="G3116" t="str">
        <f>VLOOKUP(Table1_2[[#This Row],[Categories]],Sheet3!$A$1:$B$27,2,FALSE)</f>
        <v>Transport and communication</v>
      </c>
    </row>
    <row r="3117" spans="1:7" x14ac:dyDescent="0.3">
      <c r="A3117" t="s">
        <v>34</v>
      </c>
      <c r="B3117">
        <v>2016</v>
      </c>
      <c r="C3117" t="s">
        <v>36</v>
      </c>
      <c r="D3117" s="2">
        <v>42430</v>
      </c>
      <c r="E3117" t="s">
        <v>25</v>
      </c>
      <c r="F3117">
        <v>120.6</v>
      </c>
      <c r="G3117" t="str">
        <f>VLOOKUP(Table1_2[[#This Row],[Categories]],Sheet3!$A$1:$B$27,2,FALSE)</f>
        <v>Recreation and amusement</v>
      </c>
    </row>
    <row r="3118" spans="1:7" x14ac:dyDescent="0.3">
      <c r="A3118" t="s">
        <v>34</v>
      </c>
      <c r="B3118">
        <v>2016</v>
      </c>
      <c r="C3118" t="s">
        <v>36</v>
      </c>
      <c r="D3118" s="2">
        <v>42430</v>
      </c>
      <c r="E3118" t="s">
        <v>26</v>
      </c>
      <c r="F3118">
        <v>126.9</v>
      </c>
      <c r="G3118" t="str">
        <f>VLOOKUP(Table1_2[[#This Row],[Categories]],Sheet3!$A$1:$B$27,2,FALSE)</f>
        <v>Education</v>
      </c>
    </row>
    <row r="3119" spans="1:7" x14ac:dyDescent="0.3">
      <c r="A3119" t="s">
        <v>34</v>
      </c>
      <c r="B3119">
        <v>2016</v>
      </c>
      <c r="C3119" t="s">
        <v>36</v>
      </c>
      <c r="D3119" s="2">
        <v>42430</v>
      </c>
      <c r="E3119" t="s">
        <v>27</v>
      </c>
      <c r="F3119">
        <v>117.3</v>
      </c>
      <c r="G3119" t="str">
        <f>VLOOKUP(Table1_2[[#This Row],[Categories]],Sheet3!$A$1:$B$27,2,FALSE)</f>
        <v>Household Items</v>
      </c>
    </row>
    <row r="3120" spans="1:7" x14ac:dyDescent="0.3">
      <c r="A3120" t="s">
        <v>34</v>
      </c>
      <c r="B3120">
        <v>2016</v>
      </c>
      <c r="C3120" t="s">
        <v>36</v>
      </c>
      <c r="D3120" s="2">
        <v>42430</v>
      </c>
      <c r="E3120" t="s">
        <v>28</v>
      </c>
      <c r="F3120">
        <v>119.3</v>
      </c>
      <c r="G3120" t="str">
        <f>VLOOKUP(Table1_2[[#This Row],[Categories]],Sheet3!$A$1:$B$27,2,FALSE)</f>
        <v>Miscellaneous</v>
      </c>
    </row>
    <row r="3121" spans="1:7" x14ac:dyDescent="0.3">
      <c r="A3121" t="s">
        <v>34</v>
      </c>
      <c r="B3121">
        <v>2016</v>
      </c>
      <c r="C3121" t="s">
        <v>36</v>
      </c>
      <c r="D3121" s="2">
        <v>42430</v>
      </c>
      <c r="E3121" t="s">
        <v>29</v>
      </c>
      <c r="F3121">
        <v>126</v>
      </c>
      <c r="G3121" t="str">
        <f>VLOOKUP(Table1_2[[#This Row],[Categories]],Sheet3!$A$1:$B$27,2,FALSE)</f>
        <v>General index</v>
      </c>
    </row>
    <row r="3122" spans="1:7" x14ac:dyDescent="0.3">
      <c r="A3122" t="s">
        <v>30</v>
      </c>
      <c r="B3122">
        <v>2016</v>
      </c>
      <c r="C3122" t="s">
        <v>37</v>
      </c>
      <c r="D3122" s="2">
        <v>42461</v>
      </c>
      <c r="E3122" t="s">
        <v>3</v>
      </c>
      <c r="F3122">
        <v>127.4</v>
      </c>
      <c r="G3122" t="str">
        <f>VLOOKUP(Table1_2[[#This Row],[Categories]],Sheet3!$A$1:$B$27,2,FALSE)</f>
        <v>Food &amp;Beverage</v>
      </c>
    </row>
    <row r="3123" spans="1:7" x14ac:dyDescent="0.3">
      <c r="A3123" t="s">
        <v>30</v>
      </c>
      <c r="B3123">
        <v>2016</v>
      </c>
      <c r="C3123" t="s">
        <v>37</v>
      </c>
      <c r="D3123" s="2">
        <v>42461</v>
      </c>
      <c r="E3123" t="s">
        <v>4</v>
      </c>
      <c r="F3123">
        <v>135.4</v>
      </c>
      <c r="G3123" t="str">
        <f>VLOOKUP(Table1_2[[#This Row],[Categories]],Sheet3!$A$1:$B$27,2,FALSE)</f>
        <v>Food &amp;Beverage</v>
      </c>
    </row>
    <row r="3124" spans="1:7" x14ac:dyDescent="0.3">
      <c r="A3124" t="s">
        <v>30</v>
      </c>
      <c r="B3124">
        <v>2016</v>
      </c>
      <c r="C3124" t="s">
        <v>37</v>
      </c>
      <c r="D3124" s="2">
        <v>42461</v>
      </c>
      <c r="E3124" t="s">
        <v>5</v>
      </c>
      <c r="F3124">
        <v>123.4</v>
      </c>
      <c r="G3124" t="str">
        <f>VLOOKUP(Table1_2[[#This Row],[Categories]],Sheet3!$A$1:$B$27,2,FALSE)</f>
        <v>Food &amp;Beverage</v>
      </c>
    </row>
    <row r="3125" spans="1:7" x14ac:dyDescent="0.3">
      <c r="A3125" t="s">
        <v>30</v>
      </c>
      <c r="B3125">
        <v>2016</v>
      </c>
      <c r="C3125" t="s">
        <v>37</v>
      </c>
      <c r="D3125" s="2">
        <v>42461</v>
      </c>
      <c r="E3125" t="s">
        <v>6</v>
      </c>
      <c r="F3125">
        <v>131.30000000000001</v>
      </c>
      <c r="G3125" t="str">
        <f>VLOOKUP(Table1_2[[#This Row],[Categories]],Sheet3!$A$1:$B$27,2,FALSE)</f>
        <v>Food &amp;Beverage</v>
      </c>
    </row>
    <row r="3126" spans="1:7" x14ac:dyDescent="0.3">
      <c r="A3126" t="s">
        <v>30</v>
      </c>
      <c r="B3126">
        <v>2016</v>
      </c>
      <c r="C3126" t="s">
        <v>37</v>
      </c>
      <c r="D3126" s="2">
        <v>42461</v>
      </c>
      <c r="E3126" t="s">
        <v>7</v>
      </c>
      <c r="F3126">
        <v>118.2</v>
      </c>
      <c r="G3126" t="str">
        <f>VLOOKUP(Table1_2[[#This Row],[Categories]],Sheet3!$A$1:$B$27,2,FALSE)</f>
        <v>Food &amp;Beverage</v>
      </c>
    </row>
    <row r="3127" spans="1:7" x14ac:dyDescent="0.3">
      <c r="A3127" t="s">
        <v>30</v>
      </c>
      <c r="B3127">
        <v>2016</v>
      </c>
      <c r="C3127" t="s">
        <v>37</v>
      </c>
      <c r="D3127" s="2">
        <v>42461</v>
      </c>
      <c r="E3127" t="s">
        <v>8</v>
      </c>
      <c r="F3127">
        <v>138.1</v>
      </c>
      <c r="G3127" t="str">
        <f>VLOOKUP(Table1_2[[#This Row],[Categories]],Sheet3!$A$1:$B$27,2,FALSE)</f>
        <v>Food &amp;Beverage</v>
      </c>
    </row>
    <row r="3128" spans="1:7" x14ac:dyDescent="0.3">
      <c r="A3128" t="s">
        <v>30</v>
      </c>
      <c r="B3128">
        <v>2016</v>
      </c>
      <c r="C3128" t="s">
        <v>37</v>
      </c>
      <c r="D3128" s="2">
        <v>42461</v>
      </c>
      <c r="E3128" t="s">
        <v>9</v>
      </c>
      <c r="F3128">
        <v>134.1</v>
      </c>
      <c r="G3128" t="str">
        <f>VLOOKUP(Table1_2[[#This Row],[Categories]],Sheet3!$A$1:$B$27,2,FALSE)</f>
        <v>Food &amp;Beverage</v>
      </c>
    </row>
    <row r="3129" spans="1:7" x14ac:dyDescent="0.3">
      <c r="A3129" t="s">
        <v>30</v>
      </c>
      <c r="B3129">
        <v>2016</v>
      </c>
      <c r="C3129" t="s">
        <v>37</v>
      </c>
      <c r="D3129" s="2">
        <v>42461</v>
      </c>
      <c r="E3129" t="s">
        <v>10</v>
      </c>
      <c r="F3129">
        <v>162.69999999999999</v>
      </c>
      <c r="G3129" t="str">
        <f>VLOOKUP(Table1_2[[#This Row],[Categories]],Sheet3!$A$1:$B$27,2,FALSE)</f>
        <v>Food &amp;Beverage</v>
      </c>
    </row>
    <row r="3130" spans="1:7" x14ac:dyDescent="0.3">
      <c r="A3130" t="s">
        <v>30</v>
      </c>
      <c r="B3130">
        <v>2016</v>
      </c>
      <c r="C3130" t="s">
        <v>37</v>
      </c>
      <c r="D3130" s="2">
        <v>42461</v>
      </c>
      <c r="E3130" t="s">
        <v>11</v>
      </c>
      <c r="F3130">
        <v>105</v>
      </c>
      <c r="G3130" t="str">
        <f>VLOOKUP(Table1_2[[#This Row],[Categories]],Sheet3!$A$1:$B$27,2,FALSE)</f>
        <v>Food &amp;Beverage</v>
      </c>
    </row>
    <row r="3131" spans="1:7" x14ac:dyDescent="0.3">
      <c r="A3131" t="s">
        <v>30</v>
      </c>
      <c r="B3131">
        <v>2016</v>
      </c>
      <c r="C3131" t="s">
        <v>37</v>
      </c>
      <c r="D3131" s="2">
        <v>42461</v>
      </c>
      <c r="E3131" t="s">
        <v>12</v>
      </c>
      <c r="F3131">
        <v>131.4</v>
      </c>
      <c r="G3131" t="str">
        <f>VLOOKUP(Table1_2[[#This Row],[Categories]],Sheet3!$A$1:$B$27,2,FALSE)</f>
        <v>Food &amp;Beverage</v>
      </c>
    </row>
    <row r="3132" spans="1:7" x14ac:dyDescent="0.3">
      <c r="A3132" t="s">
        <v>30</v>
      </c>
      <c r="B3132">
        <v>2016</v>
      </c>
      <c r="C3132" t="s">
        <v>37</v>
      </c>
      <c r="D3132" s="2">
        <v>42461</v>
      </c>
      <c r="E3132" t="s">
        <v>13</v>
      </c>
      <c r="F3132">
        <v>125.4</v>
      </c>
      <c r="G3132" t="str">
        <f>VLOOKUP(Table1_2[[#This Row],[Categories]],Sheet3!$A$1:$B$27,2,FALSE)</f>
        <v>Food &amp;Beverage</v>
      </c>
    </row>
    <row r="3133" spans="1:7" x14ac:dyDescent="0.3">
      <c r="A3133" t="s">
        <v>30</v>
      </c>
      <c r="B3133">
        <v>2016</v>
      </c>
      <c r="C3133" t="s">
        <v>37</v>
      </c>
      <c r="D3133" s="2">
        <v>42461</v>
      </c>
      <c r="E3133" t="s">
        <v>14</v>
      </c>
      <c r="F3133">
        <v>137.4</v>
      </c>
      <c r="G3133" t="str">
        <f>VLOOKUP(Table1_2[[#This Row],[Categories]],Sheet3!$A$1:$B$27,2,FALSE)</f>
        <v>Food &amp;Beverage</v>
      </c>
    </row>
    <row r="3134" spans="1:7" x14ac:dyDescent="0.3">
      <c r="A3134" t="s">
        <v>30</v>
      </c>
      <c r="B3134">
        <v>2016</v>
      </c>
      <c r="C3134" t="s">
        <v>37</v>
      </c>
      <c r="D3134" s="2">
        <v>42461</v>
      </c>
      <c r="E3134" t="s">
        <v>15</v>
      </c>
      <c r="F3134">
        <v>131.80000000000001</v>
      </c>
      <c r="G3134" t="str">
        <f>VLOOKUP(Table1_2[[#This Row],[Categories]],Sheet3!$A$1:$B$27,2,FALSE)</f>
        <v>Food &amp;Beverage</v>
      </c>
    </row>
    <row r="3135" spans="1:7" x14ac:dyDescent="0.3">
      <c r="A3135" t="s">
        <v>30</v>
      </c>
      <c r="B3135">
        <v>2016</v>
      </c>
      <c r="C3135" t="s">
        <v>37</v>
      </c>
      <c r="D3135" s="2">
        <v>42461</v>
      </c>
      <c r="E3135" t="s">
        <v>16</v>
      </c>
      <c r="F3135">
        <v>135.5</v>
      </c>
      <c r="G3135" t="str">
        <f>VLOOKUP(Table1_2[[#This Row],[Categories]],Sheet3!$A$1:$B$27,2,FALSE)</f>
        <v>Recreation and amusement</v>
      </c>
    </row>
    <row r="3136" spans="1:7" x14ac:dyDescent="0.3">
      <c r="A3136" t="s">
        <v>30</v>
      </c>
      <c r="B3136">
        <v>2016</v>
      </c>
      <c r="C3136" t="s">
        <v>37</v>
      </c>
      <c r="D3136" s="2">
        <v>42461</v>
      </c>
      <c r="E3136" t="s">
        <v>17</v>
      </c>
      <c r="F3136">
        <v>135</v>
      </c>
      <c r="G3136" t="str">
        <f>VLOOKUP(Table1_2[[#This Row],[Categories]],Sheet3!$A$1:$B$27,2,FALSE)</f>
        <v>Clothing and footwear</v>
      </c>
    </row>
    <row r="3137" spans="1:7" x14ac:dyDescent="0.3">
      <c r="A3137" t="s">
        <v>30</v>
      </c>
      <c r="B3137">
        <v>2016</v>
      </c>
      <c r="C3137" t="s">
        <v>37</v>
      </c>
      <c r="D3137" s="2">
        <v>42461</v>
      </c>
      <c r="E3137" t="s">
        <v>18</v>
      </c>
      <c r="F3137">
        <v>130.6</v>
      </c>
      <c r="G3137" t="str">
        <f>VLOOKUP(Table1_2[[#This Row],[Categories]],Sheet3!$A$1:$B$27,2,FALSE)</f>
        <v>Clothing and footwear</v>
      </c>
    </row>
    <row r="3138" spans="1:7" x14ac:dyDescent="0.3">
      <c r="A3138" t="s">
        <v>30</v>
      </c>
      <c r="B3138">
        <v>2016</v>
      </c>
      <c r="C3138" t="s">
        <v>37</v>
      </c>
      <c r="D3138" s="2">
        <v>42461</v>
      </c>
      <c r="E3138" t="s">
        <v>19</v>
      </c>
      <c r="F3138">
        <v>134.4</v>
      </c>
      <c r="G3138" t="str">
        <f>VLOOKUP(Table1_2[[#This Row],[Categories]],Sheet3!$A$1:$B$27,2,FALSE)</f>
        <v>Clothing and footwear</v>
      </c>
    </row>
    <row r="3139" spans="1:7" x14ac:dyDescent="0.3">
      <c r="A3139" t="s">
        <v>30</v>
      </c>
      <c r="B3139">
        <v>2016</v>
      </c>
      <c r="C3139" t="s">
        <v>37</v>
      </c>
      <c r="D3139" s="2">
        <v>42461</v>
      </c>
      <c r="E3139" t="s">
        <v>21</v>
      </c>
      <c r="F3139">
        <v>127</v>
      </c>
      <c r="G3139" t="str">
        <f>VLOOKUP(Table1_2[[#This Row],[Categories]],Sheet3!$A$1:$B$27,2,FALSE)</f>
        <v>Fuel and light</v>
      </c>
    </row>
    <row r="3140" spans="1:7" x14ac:dyDescent="0.3">
      <c r="A3140" t="s">
        <v>30</v>
      </c>
      <c r="B3140">
        <v>2016</v>
      </c>
      <c r="C3140" t="s">
        <v>37</v>
      </c>
      <c r="D3140" s="2">
        <v>42461</v>
      </c>
      <c r="E3140" t="s">
        <v>22</v>
      </c>
      <c r="F3140">
        <v>128</v>
      </c>
      <c r="G3140" t="str">
        <f>VLOOKUP(Table1_2[[#This Row],[Categories]],Sheet3!$A$1:$B$27,2,FALSE)</f>
        <v>Household Items</v>
      </c>
    </row>
    <row r="3141" spans="1:7" x14ac:dyDescent="0.3">
      <c r="A3141" t="s">
        <v>30</v>
      </c>
      <c r="B3141">
        <v>2016</v>
      </c>
      <c r="C3141" t="s">
        <v>37</v>
      </c>
      <c r="D3141" s="2">
        <v>42461</v>
      </c>
      <c r="E3141" t="s">
        <v>23</v>
      </c>
      <c r="F3141">
        <v>125.2</v>
      </c>
      <c r="G3141" t="str">
        <f>VLOOKUP(Table1_2[[#This Row],[Categories]],Sheet3!$A$1:$B$27,2,FALSE)</f>
        <v>Health</v>
      </c>
    </row>
    <row r="3142" spans="1:7" x14ac:dyDescent="0.3">
      <c r="A3142" t="s">
        <v>30</v>
      </c>
      <c r="B3142">
        <v>2016</v>
      </c>
      <c r="C3142" t="s">
        <v>37</v>
      </c>
      <c r="D3142" s="2">
        <v>42461</v>
      </c>
      <c r="E3142" t="s">
        <v>24</v>
      </c>
      <c r="F3142">
        <v>114.4</v>
      </c>
      <c r="G3142" t="str">
        <f>VLOOKUP(Table1_2[[#This Row],[Categories]],Sheet3!$A$1:$B$27,2,FALSE)</f>
        <v>Transport and communication</v>
      </c>
    </row>
    <row r="3143" spans="1:7" x14ac:dyDescent="0.3">
      <c r="A3143" t="s">
        <v>30</v>
      </c>
      <c r="B3143">
        <v>2016</v>
      </c>
      <c r="C3143" t="s">
        <v>37</v>
      </c>
      <c r="D3143" s="2">
        <v>42461</v>
      </c>
      <c r="E3143" t="s">
        <v>25</v>
      </c>
      <c r="F3143">
        <v>123.2</v>
      </c>
      <c r="G3143" t="str">
        <f>VLOOKUP(Table1_2[[#This Row],[Categories]],Sheet3!$A$1:$B$27,2,FALSE)</f>
        <v>Recreation and amusement</v>
      </c>
    </row>
    <row r="3144" spans="1:7" x14ac:dyDescent="0.3">
      <c r="A3144" t="s">
        <v>30</v>
      </c>
      <c r="B3144">
        <v>2016</v>
      </c>
      <c r="C3144" t="s">
        <v>37</v>
      </c>
      <c r="D3144" s="2">
        <v>42461</v>
      </c>
      <c r="E3144" t="s">
        <v>26</v>
      </c>
      <c r="F3144">
        <v>127.9</v>
      </c>
      <c r="G3144" t="str">
        <f>VLOOKUP(Table1_2[[#This Row],[Categories]],Sheet3!$A$1:$B$27,2,FALSE)</f>
        <v>Education</v>
      </c>
    </row>
    <row r="3145" spans="1:7" x14ac:dyDescent="0.3">
      <c r="A3145" t="s">
        <v>30</v>
      </c>
      <c r="B3145">
        <v>2016</v>
      </c>
      <c r="C3145" t="s">
        <v>37</v>
      </c>
      <c r="D3145" s="2">
        <v>42461</v>
      </c>
      <c r="E3145" t="s">
        <v>27</v>
      </c>
      <c r="F3145">
        <v>118.4</v>
      </c>
      <c r="G3145" t="str">
        <f>VLOOKUP(Table1_2[[#This Row],[Categories]],Sheet3!$A$1:$B$27,2,FALSE)</f>
        <v>Household Items</v>
      </c>
    </row>
    <row r="3146" spans="1:7" x14ac:dyDescent="0.3">
      <c r="A3146" t="s">
        <v>30</v>
      </c>
      <c r="B3146">
        <v>2016</v>
      </c>
      <c r="C3146" t="s">
        <v>37</v>
      </c>
      <c r="D3146" s="2">
        <v>42461</v>
      </c>
      <c r="E3146" t="s">
        <v>28</v>
      </c>
      <c r="F3146">
        <v>121.7</v>
      </c>
      <c r="G3146" t="str">
        <f>VLOOKUP(Table1_2[[#This Row],[Categories]],Sheet3!$A$1:$B$27,2,FALSE)</f>
        <v>Miscellaneous</v>
      </c>
    </row>
    <row r="3147" spans="1:7" x14ac:dyDescent="0.3">
      <c r="A3147" t="s">
        <v>30</v>
      </c>
      <c r="B3147">
        <v>2016</v>
      </c>
      <c r="C3147" t="s">
        <v>37</v>
      </c>
      <c r="D3147" s="2">
        <v>42461</v>
      </c>
      <c r="E3147" t="s">
        <v>29</v>
      </c>
      <c r="F3147">
        <v>129</v>
      </c>
      <c r="G3147" t="str">
        <f>VLOOKUP(Table1_2[[#This Row],[Categories]],Sheet3!$A$1:$B$27,2,FALSE)</f>
        <v>General index</v>
      </c>
    </row>
    <row r="3148" spans="1:7" x14ac:dyDescent="0.3">
      <c r="A3148" t="s">
        <v>33</v>
      </c>
      <c r="B3148">
        <v>2016</v>
      </c>
      <c r="C3148" t="s">
        <v>37</v>
      </c>
      <c r="D3148" s="2">
        <v>42461</v>
      </c>
      <c r="E3148" t="s">
        <v>3</v>
      </c>
      <c r="F3148">
        <v>124.9</v>
      </c>
      <c r="G3148" t="str">
        <f>VLOOKUP(Table1_2[[#This Row],[Categories]],Sheet3!$A$1:$B$27,2,FALSE)</f>
        <v>Food &amp;Beverage</v>
      </c>
    </row>
    <row r="3149" spans="1:7" x14ac:dyDescent="0.3">
      <c r="A3149" t="s">
        <v>33</v>
      </c>
      <c r="B3149">
        <v>2016</v>
      </c>
      <c r="C3149" t="s">
        <v>37</v>
      </c>
      <c r="D3149" s="2">
        <v>42461</v>
      </c>
      <c r="E3149" t="s">
        <v>4</v>
      </c>
      <c r="F3149">
        <v>139.30000000000001</v>
      </c>
      <c r="G3149" t="str">
        <f>VLOOKUP(Table1_2[[#This Row],[Categories]],Sheet3!$A$1:$B$27,2,FALSE)</f>
        <v>Food &amp;Beverage</v>
      </c>
    </row>
    <row r="3150" spans="1:7" x14ac:dyDescent="0.3">
      <c r="A3150" t="s">
        <v>33</v>
      </c>
      <c r="B3150">
        <v>2016</v>
      </c>
      <c r="C3150" t="s">
        <v>37</v>
      </c>
      <c r="D3150" s="2">
        <v>42461</v>
      </c>
      <c r="E3150" t="s">
        <v>5</v>
      </c>
      <c r="F3150">
        <v>119.9</v>
      </c>
      <c r="G3150" t="str">
        <f>VLOOKUP(Table1_2[[#This Row],[Categories]],Sheet3!$A$1:$B$27,2,FALSE)</f>
        <v>Food &amp;Beverage</v>
      </c>
    </row>
    <row r="3151" spans="1:7" x14ac:dyDescent="0.3">
      <c r="A3151" t="s">
        <v>33</v>
      </c>
      <c r="B3151">
        <v>2016</v>
      </c>
      <c r="C3151" t="s">
        <v>37</v>
      </c>
      <c r="D3151" s="2">
        <v>42461</v>
      </c>
      <c r="E3151" t="s">
        <v>6</v>
      </c>
      <c r="F3151">
        <v>130.19999999999999</v>
      </c>
      <c r="G3151" t="str">
        <f>VLOOKUP(Table1_2[[#This Row],[Categories]],Sheet3!$A$1:$B$27,2,FALSE)</f>
        <v>Food &amp;Beverage</v>
      </c>
    </row>
    <row r="3152" spans="1:7" x14ac:dyDescent="0.3">
      <c r="A3152" t="s">
        <v>33</v>
      </c>
      <c r="B3152">
        <v>2016</v>
      </c>
      <c r="C3152" t="s">
        <v>37</v>
      </c>
      <c r="D3152" s="2">
        <v>42461</v>
      </c>
      <c r="E3152" t="s">
        <v>7</v>
      </c>
      <c r="F3152">
        <v>108.9</v>
      </c>
      <c r="G3152" t="str">
        <f>VLOOKUP(Table1_2[[#This Row],[Categories]],Sheet3!$A$1:$B$27,2,FALSE)</f>
        <v>Food &amp;Beverage</v>
      </c>
    </row>
    <row r="3153" spans="1:7" x14ac:dyDescent="0.3">
      <c r="A3153" t="s">
        <v>33</v>
      </c>
      <c r="B3153">
        <v>2016</v>
      </c>
      <c r="C3153" t="s">
        <v>37</v>
      </c>
      <c r="D3153" s="2">
        <v>42461</v>
      </c>
      <c r="E3153" t="s">
        <v>8</v>
      </c>
      <c r="F3153">
        <v>131.1</v>
      </c>
      <c r="G3153" t="str">
        <f>VLOOKUP(Table1_2[[#This Row],[Categories]],Sheet3!$A$1:$B$27,2,FALSE)</f>
        <v>Food &amp;Beverage</v>
      </c>
    </row>
    <row r="3154" spans="1:7" x14ac:dyDescent="0.3">
      <c r="A3154" t="s">
        <v>33</v>
      </c>
      <c r="B3154">
        <v>2016</v>
      </c>
      <c r="C3154" t="s">
        <v>37</v>
      </c>
      <c r="D3154" s="2">
        <v>42461</v>
      </c>
      <c r="E3154" t="s">
        <v>9</v>
      </c>
      <c r="F3154">
        <v>136.80000000000001</v>
      </c>
      <c r="G3154" t="str">
        <f>VLOOKUP(Table1_2[[#This Row],[Categories]],Sheet3!$A$1:$B$27,2,FALSE)</f>
        <v>Food &amp;Beverage</v>
      </c>
    </row>
    <row r="3155" spans="1:7" x14ac:dyDescent="0.3">
      <c r="A3155" t="s">
        <v>33</v>
      </c>
      <c r="B3155">
        <v>2016</v>
      </c>
      <c r="C3155" t="s">
        <v>37</v>
      </c>
      <c r="D3155" s="2">
        <v>42461</v>
      </c>
      <c r="E3155" t="s">
        <v>10</v>
      </c>
      <c r="F3155">
        <v>176.9</v>
      </c>
      <c r="G3155" t="str">
        <f>VLOOKUP(Table1_2[[#This Row],[Categories]],Sheet3!$A$1:$B$27,2,FALSE)</f>
        <v>Food &amp;Beverage</v>
      </c>
    </row>
    <row r="3156" spans="1:7" x14ac:dyDescent="0.3">
      <c r="A3156" t="s">
        <v>33</v>
      </c>
      <c r="B3156">
        <v>2016</v>
      </c>
      <c r="C3156" t="s">
        <v>37</v>
      </c>
      <c r="D3156" s="2">
        <v>42461</v>
      </c>
      <c r="E3156" t="s">
        <v>11</v>
      </c>
      <c r="F3156">
        <v>109.1</v>
      </c>
      <c r="G3156" t="str">
        <f>VLOOKUP(Table1_2[[#This Row],[Categories]],Sheet3!$A$1:$B$27,2,FALSE)</f>
        <v>Food &amp;Beverage</v>
      </c>
    </row>
    <row r="3157" spans="1:7" x14ac:dyDescent="0.3">
      <c r="A3157" t="s">
        <v>33</v>
      </c>
      <c r="B3157">
        <v>2016</v>
      </c>
      <c r="C3157" t="s">
        <v>37</v>
      </c>
      <c r="D3157" s="2">
        <v>42461</v>
      </c>
      <c r="E3157" t="s">
        <v>12</v>
      </c>
      <c r="F3157">
        <v>140.4</v>
      </c>
      <c r="G3157" t="str">
        <f>VLOOKUP(Table1_2[[#This Row],[Categories]],Sheet3!$A$1:$B$27,2,FALSE)</f>
        <v>Food &amp;Beverage</v>
      </c>
    </row>
    <row r="3158" spans="1:7" x14ac:dyDescent="0.3">
      <c r="A3158" t="s">
        <v>33</v>
      </c>
      <c r="B3158">
        <v>2016</v>
      </c>
      <c r="C3158" t="s">
        <v>37</v>
      </c>
      <c r="D3158" s="2">
        <v>42461</v>
      </c>
      <c r="E3158" t="s">
        <v>13</v>
      </c>
      <c r="F3158">
        <v>121.1</v>
      </c>
      <c r="G3158" t="str">
        <f>VLOOKUP(Table1_2[[#This Row],[Categories]],Sheet3!$A$1:$B$27,2,FALSE)</f>
        <v>Food &amp;Beverage</v>
      </c>
    </row>
    <row r="3159" spans="1:7" x14ac:dyDescent="0.3">
      <c r="A3159" t="s">
        <v>33</v>
      </c>
      <c r="B3159">
        <v>2016</v>
      </c>
      <c r="C3159" t="s">
        <v>37</v>
      </c>
      <c r="D3159" s="2">
        <v>42461</v>
      </c>
      <c r="E3159" t="s">
        <v>14</v>
      </c>
      <c r="F3159">
        <v>135.9</v>
      </c>
      <c r="G3159" t="str">
        <f>VLOOKUP(Table1_2[[#This Row],[Categories]],Sheet3!$A$1:$B$27,2,FALSE)</f>
        <v>Food &amp;Beverage</v>
      </c>
    </row>
    <row r="3160" spans="1:7" x14ac:dyDescent="0.3">
      <c r="A3160" t="s">
        <v>33</v>
      </c>
      <c r="B3160">
        <v>2016</v>
      </c>
      <c r="C3160" t="s">
        <v>37</v>
      </c>
      <c r="D3160" s="2">
        <v>42461</v>
      </c>
      <c r="E3160" t="s">
        <v>15</v>
      </c>
      <c r="F3160">
        <v>131.80000000000001</v>
      </c>
      <c r="G3160" t="str">
        <f>VLOOKUP(Table1_2[[#This Row],[Categories]],Sheet3!$A$1:$B$27,2,FALSE)</f>
        <v>Food &amp;Beverage</v>
      </c>
    </row>
    <row r="3161" spans="1:7" x14ac:dyDescent="0.3">
      <c r="A3161" t="s">
        <v>33</v>
      </c>
      <c r="B3161">
        <v>2016</v>
      </c>
      <c r="C3161" t="s">
        <v>37</v>
      </c>
      <c r="D3161" s="2">
        <v>42461</v>
      </c>
      <c r="E3161" t="s">
        <v>16</v>
      </c>
      <c r="F3161">
        <v>141.5</v>
      </c>
      <c r="G3161" t="str">
        <f>VLOOKUP(Table1_2[[#This Row],[Categories]],Sheet3!$A$1:$B$27,2,FALSE)</f>
        <v>Recreation and amusement</v>
      </c>
    </row>
    <row r="3162" spans="1:7" x14ac:dyDescent="0.3">
      <c r="A3162" t="s">
        <v>33</v>
      </c>
      <c r="B3162">
        <v>2016</v>
      </c>
      <c r="C3162" t="s">
        <v>37</v>
      </c>
      <c r="D3162" s="2">
        <v>42461</v>
      </c>
      <c r="E3162" t="s">
        <v>17</v>
      </c>
      <c r="F3162">
        <v>126.8</v>
      </c>
      <c r="G3162" t="str">
        <f>VLOOKUP(Table1_2[[#This Row],[Categories]],Sheet3!$A$1:$B$27,2,FALSE)</f>
        <v>Clothing and footwear</v>
      </c>
    </row>
    <row r="3163" spans="1:7" x14ac:dyDescent="0.3">
      <c r="A3163" t="s">
        <v>33</v>
      </c>
      <c r="B3163">
        <v>2016</v>
      </c>
      <c r="C3163" t="s">
        <v>37</v>
      </c>
      <c r="D3163" s="2">
        <v>42461</v>
      </c>
      <c r="E3163" t="s">
        <v>18</v>
      </c>
      <c r="F3163">
        <v>120.5</v>
      </c>
      <c r="G3163" t="str">
        <f>VLOOKUP(Table1_2[[#This Row],[Categories]],Sheet3!$A$1:$B$27,2,FALSE)</f>
        <v>Clothing and footwear</v>
      </c>
    </row>
    <row r="3164" spans="1:7" x14ac:dyDescent="0.3">
      <c r="A3164" t="s">
        <v>33</v>
      </c>
      <c r="B3164">
        <v>2016</v>
      </c>
      <c r="C3164" t="s">
        <v>37</v>
      </c>
      <c r="D3164" s="2">
        <v>42461</v>
      </c>
      <c r="E3164" t="s">
        <v>19</v>
      </c>
      <c r="F3164">
        <v>125.8</v>
      </c>
      <c r="G3164" t="str">
        <f>VLOOKUP(Table1_2[[#This Row],[Categories]],Sheet3!$A$1:$B$27,2,FALSE)</f>
        <v>Clothing and footwear</v>
      </c>
    </row>
    <row r="3165" spans="1:7" x14ac:dyDescent="0.3">
      <c r="A3165" t="s">
        <v>33</v>
      </c>
      <c r="B3165">
        <v>2016</v>
      </c>
      <c r="C3165" t="s">
        <v>37</v>
      </c>
      <c r="D3165" s="2">
        <v>42461</v>
      </c>
      <c r="E3165" t="s">
        <v>20</v>
      </c>
      <c r="F3165">
        <v>125.6</v>
      </c>
      <c r="G3165" t="str">
        <f>VLOOKUP(Table1_2[[#This Row],[Categories]],Sheet3!$A$1:$B$27,2,FALSE)</f>
        <v>Housing</v>
      </c>
    </row>
    <row r="3166" spans="1:7" x14ac:dyDescent="0.3">
      <c r="A3166" t="s">
        <v>33</v>
      </c>
      <c r="B3166">
        <v>2016</v>
      </c>
      <c r="C3166" t="s">
        <v>37</v>
      </c>
      <c r="D3166" s="2">
        <v>42461</v>
      </c>
      <c r="E3166" t="s">
        <v>21</v>
      </c>
      <c r="F3166">
        <v>114.6</v>
      </c>
      <c r="G3166" t="str">
        <f>VLOOKUP(Table1_2[[#This Row],[Categories]],Sheet3!$A$1:$B$27,2,FALSE)</f>
        <v>Fuel and light</v>
      </c>
    </row>
    <row r="3167" spans="1:7" x14ac:dyDescent="0.3">
      <c r="A3167" t="s">
        <v>33</v>
      </c>
      <c r="B3167">
        <v>2016</v>
      </c>
      <c r="C3167" t="s">
        <v>37</v>
      </c>
      <c r="D3167" s="2">
        <v>42461</v>
      </c>
      <c r="E3167" t="s">
        <v>22</v>
      </c>
      <c r="F3167">
        <v>122.8</v>
      </c>
      <c r="G3167" t="str">
        <f>VLOOKUP(Table1_2[[#This Row],[Categories]],Sheet3!$A$1:$B$27,2,FALSE)</f>
        <v>Household Items</v>
      </c>
    </row>
    <row r="3168" spans="1:7" x14ac:dyDescent="0.3">
      <c r="A3168" t="s">
        <v>33</v>
      </c>
      <c r="B3168">
        <v>2016</v>
      </c>
      <c r="C3168" t="s">
        <v>37</v>
      </c>
      <c r="D3168" s="2">
        <v>42461</v>
      </c>
      <c r="E3168" t="s">
        <v>23</v>
      </c>
      <c r="F3168">
        <v>120</v>
      </c>
      <c r="G3168" t="str">
        <f>VLOOKUP(Table1_2[[#This Row],[Categories]],Sheet3!$A$1:$B$27,2,FALSE)</f>
        <v>Health</v>
      </c>
    </row>
    <row r="3169" spans="1:7" x14ac:dyDescent="0.3">
      <c r="A3169" t="s">
        <v>33</v>
      </c>
      <c r="B3169">
        <v>2016</v>
      </c>
      <c r="C3169" t="s">
        <v>37</v>
      </c>
      <c r="D3169" s="2">
        <v>42461</v>
      </c>
      <c r="E3169" t="s">
        <v>24</v>
      </c>
      <c r="F3169">
        <v>110</v>
      </c>
      <c r="G3169" t="str">
        <f>VLOOKUP(Table1_2[[#This Row],[Categories]],Sheet3!$A$1:$B$27,2,FALSE)</f>
        <v>Transport and communication</v>
      </c>
    </row>
    <row r="3170" spans="1:7" x14ac:dyDescent="0.3">
      <c r="A3170" t="s">
        <v>33</v>
      </c>
      <c r="B3170">
        <v>2016</v>
      </c>
      <c r="C3170" t="s">
        <v>37</v>
      </c>
      <c r="D3170" s="2">
        <v>42461</v>
      </c>
      <c r="E3170" t="s">
        <v>25</v>
      </c>
      <c r="F3170">
        <v>119.5</v>
      </c>
      <c r="G3170" t="str">
        <f>VLOOKUP(Table1_2[[#This Row],[Categories]],Sheet3!$A$1:$B$27,2,FALSE)</f>
        <v>Recreation and amusement</v>
      </c>
    </row>
    <row r="3171" spans="1:7" x14ac:dyDescent="0.3">
      <c r="A3171" t="s">
        <v>33</v>
      </c>
      <c r="B3171">
        <v>2016</v>
      </c>
      <c r="C3171" t="s">
        <v>37</v>
      </c>
      <c r="D3171" s="2">
        <v>42461</v>
      </c>
      <c r="E3171" t="s">
        <v>26</v>
      </c>
      <c r="F3171">
        <v>127.6</v>
      </c>
      <c r="G3171" t="str">
        <f>VLOOKUP(Table1_2[[#This Row],[Categories]],Sheet3!$A$1:$B$27,2,FALSE)</f>
        <v>Education</v>
      </c>
    </row>
    <row r="3172" spans="1:7" x14ac:dyDescent="0.3">
      <c r="A3172" t="s">
        <v>33</v>
      </c>
      <c r="B3172">
        <v>2016</v>
      </c>
      <c r="C3172" t="s">
        <v>37</v>
      </c>
      <c r="D3172" s="2">
        <v>42461</v>
      </c>
      <c r="E3172" t="s">
        <v>27</v>
      </c>
      <c r="F3172">
        <v>117.6</v>
      </c>
      <c r="G3172" t="str">
        <f>VLOOKUP(Table1_2[[#This Row],[Categories]],Sheet3!$A$1:$B$27,2,FALSE)</f>
        <v>Household Items</v>
      </c>
    </row>
    <row r="3173" spans="1:7" x14ac:dyDescent="0.3">
      <c r="A3173" t="s">
        <v>33</v>
      </c>
      <c r="B3173">
        <v>2016</v>
      </c>
      <c r="C3173" t="s">
        <v>37</v>
      </c>
      <c r="D3173" s="2">
        <v>42461</v>
      </c>
      <c r="E3173" t="s">
        <v>28</v>
      </c>
      <c r="F3173">
        <v>118.2</v>
      </c>
      <c r="G3173" t="str">
        <f>VLOOKUP(Table1_2[[#This Row],[Categories]],Sheet3!$A$1:$B$27,2,FALSE)</f>
        <v>Miscellaneous</v>
      </c>
    </row>
    <row r="3174" spans="1:7" x14ac:dyDescent="0.3">
      <c r="A3174" t="s">
        <v>33</v>
      </c>
      <c r="B3174">
        <v>2016</v>
      </c>
      <c r="C3174" t="s">
        <v>37</v>
      </c>
      <c r="D3174" s="2">
        <v>42461</v>
      </c>
      <c r="E3174" t="s">
        <v>29</v>
      </c>
      <c r="F3174">
        <v>125.3</v>
      </c>
      <c r="G3174" t="str">
        <f>VLOOKUP(Table1_2[[#This Row],[Categories]],Sheet3!$A$1:$B$27,2,FALSE)</f>
        <v>General index</v>
      </c>
    </row>
    <row r="3175" spans="1:7" x14ac:dyDescent="0.3">
      <c r="A3175" t="s">
        <v>34</v>
      </c>
      <c r="B3175">
        <v>2016</v>
      </c>
      <c r="C3175" t="s">
        <v>37</v>
      </c>
      <c r="D3175" s="2">
        <v>42461</v>
      </c>
      <c r="E3175" t="s">
        <v>3</v>
      </c>
      <c r="F3175">
        <v>126.6</v>
      </c>
      <c r="G3175" t="str">
        <f>VLOOKUP(Table1_2[[#This Row],[Categories]],Sheet3!$A$1:$B$27,2,FALSE)</f>
        <v>Food &amp;Beverage</v>
      </c>
    </row>
    <row r="3176" spans="1:7" x14ac:dyDescent="0.3">
      <c r="A3176" t="s">
        <v>34</v>
      </c>
      <c r="B3176">
        <v>2016</v>
      </c>
      <c r="C3176" t="s">
        <v>37</v>
      </c>
      <c r="D3176" s="2">
        <v>42461</v>
      </c>
      <c r="E3176" t="s">
        <v>4</v>
      </c>
      <c r="F3176">
        <v>136.80000000000001</v>
      </c>
      <c r="G3176" t="str">
        <f>VLOOKUP(Table1_2[[#This Row],[Categories]],Sheet3!$A$1:$B$27,2,FALSE)</f>
        <v>Food &amp;Beverage</v>
      </c>
    </row>
    <row r="3177" spans="1:7" x14ac:dyDescent="0.3">
      <c r="A3177" t="s">
        <v>34</v>
      </c>
      <c r="B3177">
        <v>2016</v>
      </c>
      <c r="C3177" t="s">
        <v>37</v>
      </c>
      <c r="D3177" s="2">
        <v>42461</v>
      </c>
      <c r="E3177" t="s">
        <v>5</v>
      </c>
      <c r="F3177">
        <v>122</v>
      </c>
      <c r="G3177" t="str">
        <f>VLOOKUP(Table1_2[[#This Row],[Categories]],Sheet3!$A$1:$B$27,2,FALSE)</f>
        <v>Food &amp;Beverage</v>
      </c>
    </row>
    <row r="3178" spans="1:7" x14ac:dyDescent="0.3">
      <c r="A3178" t="s">
        <v>34</v>
      </c>
      <c r="B3178">
        <v>2016</v>
      </c>
      <c r="C3178" t="s">
        <v>37</v>
      </c>
      <c r="D3178" s="2">
        <v>42461</v>
      </c>
      <c r="E3178" t="s">
        <v>6</v>
      </c>
      <c r="F3178">
        <v>130.9</v>
      </c>
      <c r="G3178" t="str">
        <f>VLOOKUP(Table1_2[[#This Row],[Categories]],Sheet3!$A$1:$B$27,2,FALSE)</f>
        <v>Food &amp;Beverage</v>
      </c>
    </row>
    <row r="3179" spans="1:7" x14ac:dyDescent="0.3">
      <c r="A3179" t="s">
        <v>34</v>
      </c>
      <c r="B3179">
        <v>2016</v>
      </c>
      <c r="C3179" t="s">
        <v>37</v>
      </c>
      <c r="D3179" s="2">
        <v>42461</v>
      </c>
      <c r="E3179" t="s">
        <v>7</v>
      </c>
      <c r="F3179">
        <v>114.8</v>
      </c>
      <c r="G3179" t="str">
        <f>VLOOKUP(Table1_2[[#This Row],[Categories]],Sheet3!$A$1:$B$27,2,FALSE)</f>
        <v>Food &amp;Beverage</v>
      </c>
    </row>
    <row r="3180" spans="1:7" x14ac:dyDescent="0.3">
      <c r="A3180" t="s">
        <v>34</v>
      </c>
      <c r="B3180">
        <v>2016</v>
      </c>
      <c r="C3180" t="s">
        <v>37</v>
      </c>
      <c r="D3180" s="2">
        <v>42461</v>
      </c>
      <c r="E3180" t="s">
        <v>8</v>
      </c>
      <c r="F3180">
        <v>134.80000000000001</v>
      </c>
      <c r="G3180" t="str">
        <f>VLOOKUP(Table1_2[[#This Row],[Categories]],Sheet3!$A$1:$B$27,2,FALSE)</f>
        <v>Food &amp;Beverage</v>
      </c>
    </row>
    <row r="3181" spans="1:7" x14ac:dyDescent="0.3">
      <c r="A3181" t="s">
        <v>34</v>
      </c>
      <c r="B3181">
        <v>2016</v>
      </c>
      <c r="C3181" t="s">
        <v>37</v>
      </c>
      <c r="D3181" s="2">
        <v>42461</v>
      </c>
      <c r="E3181" t="s">
        <v>9</v>
      </c>
      <c r="F3181">
        <v>135</v>
      </c>
      <c r="G3181" t="str">
        <f>VLOOKUP(Table1_2[[#This Row],[Categories]],Sheet3!$A$1:$B$27,2,FALSE)</f>
        <v>Food &amp;Beverage</v>
      </c>
    </row>
    <row r="3182" spans="1:7" x14ac:dyDescent="0.3">
      <c r="A3182" t="s">
        <v>34</v>
      </c>
      <c r="B3182">
        <v>2016</v>
      </c>
      <c r="C3182" t="s">
        <v>37</v>
      </c>
      <c r="D3182" s="2">
        <v>42461</v>
      </c>
      <c r="E3182" t="s">
        <v>10</v>
      </c>
      <c r="F3182">
        <v>167.5</v>
      </c>
      <c r="G3182" t="str">
        <f>VLOOKUP(Table1_2[[#This Row],[Categories]],Sheet3!$A$1:$B$27,2,FALSE)</f>
        <v>Food &amp;Beverage</v>
      </c>
    </row>
    <row r="3183" spans="1:7" x14ac:dyDescent="0.3">
      <c r="A3183" t="s">
        <v>34</v>
      </c>
      <c r="B3183">
        <v>2016</v>
      </c>
      <c r="C3183" t="s">
        <v>37</v>
      </c>
      <c r="D3183" s="2">
        <v>42461</v>
      </c>
      <c r="E3183" t="s">
        <v>11</v>
      </c>
      <c r="F3183">
        <v>106.4</v>
      </c>
      <c r="G3183" t="str">
        <f>VLOOKUP(Table1_2[[#This Row],[Categories]],Sheet3!$A$1:$B$27,2,FALSE)</f>
        <v>Food &amp;Beverage</v>
      </c>
    </row>
    <row r="3184" spans="1:7" x14ac:dyDescent="0.3">
      <c r="A3184" t="s">
        <v>34</v>
      </c>
      <c r="B3184">
        <v>2016</v>
      </c>
      <c r="C3184" t="s">
        <v>37</v>
      </c>
      <c r="D3184" s="2">
        <v>42461</v>
      </c>
      <c r="E3184" t="s">
        <v>12</v>
      </c>
      <c r="F3184">
        <v>134.4</v>
      </c>
      <c r="G3184" t="str">
        <f>VLOOKUP(Table1_2[[#This Row],[Categories]],Sheet3!$A$1:$B$27,2,FALSE)</f>
        <v>Food &amp;Beverage</v>
      </c>
    </row>
    <row r="3185" spans="1:7" x14ac:dyDescent="0.3">
      <c r="A3185" t="s">
        <v>34</v>
      </c>
      <c r="B3185">
        <v>2016</v>
      </c>
      <c r="C3185" t="s">
        <v>37</v>
      </c>
      <c r="D3185" s="2">
        <v>42461</v>
      </c>
      <c r="E3185" t="s">
        <v>13</v>
      </c>
      <c r="F3185">
        <v>123.6</v>
      </c>
      <c r="G3185" t="str">
        <f>VLOOKUP(Table1_2[[#This Row],[Categories]],Sheet3!$A$1:$B$27,2,FALSE)</f>
        <v>Food &amp;Beverage</v>
      </c>
    </row>
    <row r="3186" spans="1:7" x14ac:dyDescent="0.3">
      <c r="A3186" t="s">
        <v>34</v>
      </c>
      <c r="B3186">
        <v>2016</v>
      </c>
      <c r="C3186" t="s">
        <v>37</v>
      </c>
      <c r="D3186" s="2">
        <v>42461</v>
      </c>
      <c r="E3186" t="s">
        <v>14</v>
      </c>
      <c r="F3186">
        <v>136.69999999999999</v>
      </c>
      <c r="G3186" t="str">
        <f>VLOOKUP(Table1_2[[#This Row],[Categories]],Sheet3!$A$1:$B$27,2,FALSE)</f>
        <v>Food &amp;Beverage</v>
      </c>
    </row>
    <row r="3187" spans="1:7" x14ac:dyDescent="0.3">
      <c r="A3187" t="s">
        <v>34</v>
      </c>
      <c r="B3187">
        <v>2016</v>
      </c>
      <c r="C3187" t="s">
        <v>37</v>
      </c>
      <c r="D3187" s="2">
        <v>42461</v>
      </c>
      <c r="E3187" t="s">
        <v>15</v>
      </c>
      <c r="F3187">
        <v>131.80000000000001</v>
      </c>
      <c r="G3187" t="str">
        <f>VLOOKUP(Table1_2[[#This Row],[Categories]],Sheet3!$A$1:$B$27,2,FALSE)</f>
        <v>Food &amp;Beverage</v>
      </c>
    </row>
    <row r="3188" spans="1:7" x14ac:dyDescent="0.3">
      <c r="A3188" t="s">
        <v>34</v>
      </c>
      <c r="B3188">
        <v>2016</v>
      </c>
      <c r="C3188" t="s">
        <v>37</v>
      </c>
      <c r="D3188" s="2">
        <v>42461</v>
      </c>
      <c r="E3188" t="s">
        <v>16</v>
      </c>
      <c r="F3188">
        <v>137.1</v>
      </c>
      <c r="G3188" t="str">
        <f>VLOOKUP(Table1_2[[#This Row],[Categories]],Sheet3!$A$1:$B$27,2,FALSE)</f>
        <v>Recreation and amusement</v>
      </c>
    </row>
    <row r="3189" spans="1:7" x14ac:dyDescent="0.3">
      <c r="A3189" t="s">
        <v>34</v>
      </c>
      <c r="B3189">
        <v>2016</v>
      </c>
      <c r="C3189" t="s">
        <v>37</v>
      </c>
      <c r="D3189" s="2">
        <v>42461</v>
      </c>
      <c r="E3189" t="s">
        <v>17</v>
      </c>
      <c r="F3189">
        <v>131.80000000000001</v>
      </c>
      <c r="G3189" t="str">
        <f>VLOOKUP(Table1_2[[#This Row],[Categories]],Sheet3!$A$1:$B$27,2,FALSE)</f>
        <v>Clothing and footwear</v>
      </c>
    </row>
    <row r="3190" spans="1:7" x14ac:dyDescent="0.3">
      <c r="A3190" t="s">
        <v>34</v>
      </c>
      <c r="B3190">
        <v>2016</v>
      </c>
      <c r="C3190" t="s">
        <v>37</v>
      </c>
      <c r="D3190" s="2">
        <v>42461</v>
      </c>
      <c r="E3190" t="s">
        <v>18</v>
      </c>
      <c r="F3190">
        <v>126.4</v>
      </c>
      <c r="G3190" t="str">
        <f>VLOOKUP(Table1_2[[#This Row],[Categories]],Sheet3!$A$1:$B$27,2,FALSE)</f>
        <v>Clothing and footwear</v>
      </c>
    </row>
    <row r="3191" spans="1:7" x14ac:dyDescent="0.3">
      <c r="A3191" t="s">
        <v>34</v>
      </c>
      <c r="B3191">
        <v>2016</v>
      </c>
      <c r="C3191" t="s">
        <v>37</v>
      </c>
      <c r="D3191" s="2">
        <v>42461</v>
      </c>
      <c r="E3191" t="s">
        <v>19</v>
      </c>
      <c r="F3191">
        <v>131</v>
      </c>
      <c r="G3191" t="str">
        <f>VLOOKUP(Table1_2[[#This Row],[Categories]],Sheet3!$A$1:$B$27,2,FALSE)</f>
        <v>Clothing and footwear</v>
      </c>
    </row>
    <row r="3192" spans="1:7" x14ac:dyDescent="0.3">
      <c r="A3192" t="s">
        <v>34</v>
      </c>
      <c r="B3192">
        <v>2016</v>
      </c>
      <c r="C3192" t="s">
        <v>37</v>
      </c>
      <c r="D3192" s="2">
        <v>42461</v>
      </c>
      <c r="E3192" t="s">
        <v>20</v>
      </c>
      <c r="F3192">
        <v>125.6</v>
      </c>
      <c r="G3192" t="str">
        <f>VLOOKUP(Table1_2[[#This Row],[Categories]],Sheet3!$A$1:$B$27,2,FALSE)</f>
        <v>Housing</v>
      </c>
    </row>
    <row r="3193" spans="1:7" x14ac:dyDescent="0.3">
      <c r="A3193" t="s">
        <v>34</v>
      </c>
      <c r="B3193">
        <v>2016</v>
      </c>
      <c r="C3193" t="s">
        <v>37</v>
      </c>
      <c r="D3193" s="2">
        <v>42461</v>
      </c>
      <c r="E3193" t="s">
        <v>21</v>
      </c>
      <c r="F3193">
        <v>122.3</v>
      </c>
      <c r="G3193" t="str">
        <f>VLOOKUP(Table1_2[[#This Row],[Categories]],Sheet3!$A$1:$B$27,2,FALSE)</f>
        <v>Fuel and light</v>
      </c>
    </row>
    <row r="3194" spans="1:7" x14ac:dyDescent="0.3">
      <c r="A3194" t="s">
        <v>34</v>
      </c>
      <c r="B3194">
        <v>2016</v>
      </c>
      <c r="C3194" t="s">
        <v>37</v>
      </c>
      <c r="D3194" s="2">
        <v>42461</v>
      </c>
      <c r="E3194" t="s">
        <v>22</v>
      </c>
      <c r="F3194">
        <v>125.5</v>
      </c>
      <c r="G3194" t="str">
        <f>VLOOKUP(Table1_2[[#This Row],[Categories]],Sheet3!$A$1:$B$27,2,FALSE)</f>
        <v>Household Items</v>
      </c>
    </row>
    <row r="3195" spans="1:7" x14ac:dyDescent="0.3">
      <c r="A3195" t="s">
        <v>34</v>
      </c>
      <c r="B3195">
        <v>2016</v>
      </c>
      <c r="C3195" t="s">
        <v>37</v>
      </c>
      <c r="D3195" s="2">
        <v>42461</v>
      </c>
      <c r="E3195" t="s">
        <v>23</v>
      </c>
      <c r="F3195">
        <v>123.2</v>
      </c>
      <c r="G3195" t="str">
        <f>VLOOKUP(Table1_2[[#This Row],[Categories]],Sheet3!$A$1:$B$27,2,FALSE)</f>
        <v>Health</v>
      </c>
    </row>
    <row r="3196" spans="1:7" x14ac:dyDescent="0.3">
      <c r="A3196" t="s">
        <v>34</v>
      </c>
      <c r="B3196">
        <v>2016</v>
      </c>
      <c r="C3196" t="s">
        <v>37</v>
      </c>
      <c r="D3196" s="2">
        <v>42461</v>
      </c>
      <c r="E3196" t="s">
        <v>24</v>
      </c>
      <c r="F3196">
        <v>112.1</v>
      </c>
      <c r="G3196" t="str">
        <f>VLOOKUP(Table1_2[[#This Row],[Categories]],Sheet3!$A$1:$B$27,2,FALSE)</f>
        <v>Transport and communication</v>
      </c>
    </row>
    <row r="3197" spans="1:7" x14ac:dyDescent="0.3">
      <c r="A3197" t="s">
        <v>34</v>
      </c>
      <c r="B3197">
        <v>2016</v>
      </c>
      <c r="C3197" t="s">
        <v>37</v>
      </c>
      <c r="D3197" s="2">
        <v>42461</v>
      </c>
      <c r="E3197" t="s">
        <v>25</v>
      </c>
      <c r="F3197">
        <v>121.1</v>
      </c>
      <c r="G3197" t="str">
        <f>VLOOKUP(Table1_2[[#This Row],[Categories]],Sheet3!$A$1:$B$27,2,FALSE)</f>
        <v>Recreation and amusement</v>
      </c>
    </row>
    <row r="3198" spans="1:7" x14ac:dyDescent="0.3">
      <c r="A3198" t="s">
        <v>34</v>
      </c>
      <c r="B3198">
        <v>2016</v>
      </c>
      <c r="C3198" t="s">
        <v>37</v>
      </c>
      <c r="D3198" s="2">
        <v>42461</v>
      </c>
      <c r="E3198" t="s">
        <v>26</v>
      </c>
      <c r="F3198">
        <v>127.7</v>
      </c>
      <c r="G3198" t="str">
        <f>VLOOKUP(Table1_2[[#This Row],[Categories]],Sheet3!$A$1:$B$27,2,FALSE)</f>
        <v>Education</v>
      </c>
    </row>
    <row r="3199" spans="1:7" x14ac:dyDescent="0.3">
      <c r="A3199" t="s">
        <v>34</v>
      </c>
      <c r="B3199">
        <v>2016</v>
      </c>
      <c r="C3199" t="s">
        <v>37</v>
      </c>
      <c r="D3199" s="2">
        <v>42461</v>
      </c>
      <c r="E3199" t="s">
        <v>27</v>
      </c>
      <c r="F3199">
        <v>118.1</v>
      </c>
      <c r="G3199" t="str">
        <f>VLOOKUP(Table1_2[[#This Row],[Categories]],Sheet3!$A$1:$B$27,2,FALSE)</f>
        <v>Household Items</v>
      </c>
    </row>
    <row r="3200" spans="1:7" x14ac:dyDescent="0.3">
      <c r="A3200" t="s">
        <v>34</v>
      </c>
      <c r="B3200">
        <v>2016</v>
      </c>
      <c r="C3200" t="s">
        <v>37</v>
      </c>
      <c r="D3200" s="2">
        <v>42461</v>
      </c>
      <c r="E3200" t="s">
        <v>28</v>
      </c>
      <c r="F3200">
        <v>120</v>
      </c>
      <c r="G3200" t="str">
        <f>VLOOKUP(Table1_2[[#This Row],[Categories]],Sheet3!$A$1:$B$27,2,FALSE)</f>
        <v>Miscellaneous</v>
      </c>
    </row>
    <row r="3201" spans="1:7" x14ac:dyDescent="0.3">
      <c r="A3201" t="s">
        <v>34</v>
      </c>
      <c r="B3201">
        <v>2016</v>
      </c>
      <c r="C3201" t="s">
        <v>37</v>
      </c>
      <c r="D3201" s="2">
        <v>42461</v>
      </c>
      <c r="E3201" t="s">
        <v>29</v>
      </c>
      <c r="F3201">
        <v>127.3</v>
      </c>
      <c r="G3201" t="str">
        <f>VLOOKUP(Table1_2[[#This Row],[Categories]],Sheet3!$A$1:$B$27,2,FALSE)</f>
        <v>General index</v>
      </c>
    </row>
    <row r="3202" spans="1:7" x14ac:dyDescent="0.3">
      <c r="A3202" t="s">
        <v>30</v>
      </c>
      <c r="B3202">
        <v>2016</v>
      </c>
      <c r="C3202" t="s">
        <v>38</v>
      </c>
      <c r="D3202" s="2">
        <v>42491</v>
      </c>
      <c r="E3202" t="s">
        <v>3</v>
      </c>
      <c r="F3202">
        <v>127.6</v>
      </c>
      <c r="G3202" t="str">
        <f>VLOOKUP(Table1_2[[#This Row],[Categories]],Sheet3!$A$1:$B$27,2,FALSE)</f>
        <v>Food &amp;Beverage</v>
      </c>
    </row>
    <row r="3203" spans="1:7" x14ac:dyDescent="0.3">
      <c r="A3203" t="s">
        <v>30</v>
      </c>
      <c r="B3203">
        <v>2016</v>
      </c>
      <c r="C3203" t="s">
        <v>38</v>
      </c>
      <c r="D3203" s="2">
        <v>42491</v>
      </c>
      <c r="E3203" t="s">
        <v>4</v>
      </c>
      <c r="F3203">
        <v>137.5</v>
      </c>
      <c r="G3203" t="str">
        <f>VLOOKUP(Table1_2[[#This Row],[Categories]],Sheet3!$A$1:$B$27,2,FALSE)</f>
        <v>Food &amp;Beverage</v>
      </c>
    </row>
    <row r="3204" spans="1:7" x14ac:dyDescent="0.3">
      <c r="A3204" t="s">
        <v>30</v>
      </c>
      <c r="B3204">
        <v>2016</v>
      </c>
      <c r="C3204" t="s">
        <v>38</v>
      </c>
      <c r="D3204" s="2">
        <v>42491</v>
      </c>
      <c r="E3204" t="s">
        <v>5</v>
      </c>
      <c r="F3204">
        <v>124.4</v>
      </c>
      <c r="G3204" t="str">
        <f>VLOOKUP(Table1_2[[#This Row],[Categories]],Sheet3!$A$1:$B$27,2,FALSE)</f>
        <v>Food &amp;Beverage</v>
      </c>
    </row>
    <row r="3205" spans="1:7" x14ac:dyDescent="0.3">
      <c r="A3205" t="s">
        <v>30</v>
      </c>
      <c r="B3205">
        <v>2016</v>
      </c>
      <c r="C3205" t="s">
        <v>38</v>
      </c>
      <c r="D3205" s="2">
        <v>42491</v>
      </c>
      <c r="E3205" t="s">
        <v>6</v>
      </c>
      <c r="F3205">
        <v>132.4</v>
      </c>
      <c r="G3205" t="str">
        <f>VLOOKUP(Table1_2[[#This Row],[Categories]],Sheet3!$A$1:$B$27,2,FALSE)</f>
        <v>Food &amp;Beverage</v>
      </c>
    </row>
    <row r="3206" spans="1:7" x14ac:dyDescent="0.3">
      <c r="A3206" t="s">
        <v>30</v>
      </c>
      <c r="B3206">
        <v>2016</v>
      </c>
      <c r="C3206" t="s">
        <v>38</v>
      </c>
      <c r="D3206" s="2">
        <v>42491</v>
      </c>
      <c r="E3206" t="s">
        <v>7</v>
      </c>
      <c r="F3206">
        <v>118.2</v>
      </c>
      <c r="G3206" t="str">
        <f>VLOOKUP(Table1_2[[#This Row],[Categories]],Sheet3!$A$1:$B$27,2,FALSE)</f>
        <v>Food &amp;Beverage</v>
      </c>
    </row>
    <row r="3207" spans="1:7" x14ac:dyDescent="0.3">
      <c r="A3207" t="s">
        <v>30</v>
      </c>
      <c r="B3207">
        <v>2016</v>
      </c>
      <c r="C3207" t="s">
        <v>38</v>
      </c>
      <c r="D3207" s="2">
        <v>42491</v>
      </c>
      <c r="E3207" t="s">
        <v>8</v>
      </c>
      <c r="F3207">
        <v>138.1</v>
      </c>
      <c r="G3207" t="str">
        <f>VLOOKUP(Table1_2[[#This Row],[Categories]],Sheet3!$A$1:$B$27,2,FALSE)</f>
        <v>Food &amp;Beverage</v>
      </c>
    </row>
    <row r="3208" spans="1:7" x14ac:dyDescent="0.3">
      <c r="A3208" t="s">
        <v>30</v>
      </c>
      <c r="B3208">
        <v>2016</v>
      </c>
      <c r="C3208" t="s">
        <v>38</v>
      </c>
      <c r="D3208" s="2">
        <v>42491</v>
      </c>
      <c r="E3208" t="s">
        <v>9</v>
      </c>
      <c r="F3208">
        <v>141.80000000000001</v>
      </c>
      <c r="G3208" t="str">
        <f>VLOOKUP(Table1_2[[#This Row],[Categories]],Sheet3!$A$1:$B$27,2,FALSE)</f>
        <v>Food &amp;Beverage</v>
      </c>
    </row>
    <row r="3209" spans="1:7" x14ac:dyDescent="0.3">
      <c r="A3209" t="s">
        <v>30</v>
      </c>
      <c r="B3209">
        <v>2016</v>
      </c>
      <c r="C3209" t="s">
        <v>38</v>
      </c>
      <c r="D3209" s="2">
        <v>42491</v>
      </c>
      <c r="E3209" t="s">
        <v>10</v>
      </c>
      <c r="F3209">
        <v>166</v>
      </c>
      <c r="G3209" t="str">
        <f>VLOOKUP(Table1_2[[#This Row],[Categories]],Sheet3!$A$1:$B$27,2,FALSE)</f>
        <v>Food &amp;Beverage</v>
      </c>
    </row>
    <row r="3210" spans="1:7" x14ac:dyDescent="0.3">
      <c r="A3210" t="s">
        <v>30</v>
      </c>
      <c r="B3210">
        <v>2016</v>
      </c>
      <c r="C3210" t="s">
        <v>38</v>
      </c>
      <c r="D3210" s="2">
        <v>42491</v>
      </c>
      <c r="E3210" t="s">
        <v>11</v>
      </c>
      <c r="F3210">
        <v>107.5</v>
      </c>
      <c r="G3210" t="str">
        <f>VLOOKUP(Table1_2[[#This Row],[Categories]],Sheet3!$A$1:$B$27,2,FALSE)</f>
        <v>Food &amp;Beverage</v>
      </c>
    </row>
    <row r="3211" spans="1:7" x14ac:dyDescent="0.3">
      <c r="A3211" t="s">
        <v>30</v>
      </c>
      <c r="B3211">
        <v>2016</v>
      </c>
      <c r="C3211" t="s">
        <v>38</v>
      </c>
      <c r="D3211" s="2">
        <v>42491</v>
      </c>
      <c r="E3211" t="s">
        <v>12</v>
      </c>
      <c r="F3211">
        <v>132.19999999999999</v>
      </c>
      <c r="G3211" t="str">
        <f>VLOOKUP(Table1_2[[#This Row],[Categories]],Sheet3!$A$1:$B$27,2,FALSE)</f>
        <v>Food &amp;Beverage</v>
      </c>
    </row>
    <row r="3212" spans="1:7" x14ac:dyDescent="0.3">
      <c r="A3212" t="s">
        <v>30</v>
      </c>
      <c r="B3212">
        <v>2016</v>
      </c>
      <c r="C3212" t="s">
        <v>38</v>
      </c>
      <c r="D3212" s="2">
        <v>42491</v>
      </c>
      <c r="E3212" t="s">
        <v>13</v>
      </c>
      <c r="F3212">
        <v>126.1</v>
      </c>
      <c r="G3212" t="str">
        <f>VLOOKUP(Table1_2[[#This Row],[Categories]],Sheet3!$A$1:$B$27,2,FALSE)</f>
        <v>Food &amp;Beverage</v>
      </c>
    </row>
    <row r="3213" spans="1:7" x14ac:dyDescent="0.3">
      <c r="A3213" t="s">
        <v>30</v>
      </c>
      <c r="B3213">
        <v>2016</v>
      </c>
      <c r="C3213" t="s">
        <v>38</v>
      </c>
      <c r="D3213" s="2">
        <v>42491</v>
      </c>
      <c r="E3213" t="s">
        <v>14</v>
      </c>
      <c r="F3213">
        <v>138.30000000000001</v>
      </c>
      <c r="G3213" t="str">
        <f>VLOOKUP(Table1_2[[#This Row],[Categories]],Sheet3!$A$1:$B$27,2,FALSE)</f>
        <v>Food &amp;Beverage</v>
      </c>
    </row>
    <row r="3214" spans="1:7" x14ac:dyDescent="0.3">
      <c r="A3214" t="s">
        <v>30</v>
      </c>
      <c r="B3214">
        <v>2016</v>
      </c>
      <c r="C3214" t="s">
        <v>38</v>
      </c>
      <c r="D3214" s="2">
        <v>42491</v>
      </c>
      <c r="E3214" t="s">
        <v>15</v>
      </c>
      <c r="F3214">
        <v>133.6</v>
      </c>
      <c r="G3214" t="str">
        <f>VLOOKUP(Table1_2[[#This Row],[Categories]],Sheet3!$A$1:$B$27,2,FALSE)</f>
        <v>Food &amp;Beverage</v>
      </c>
    </row>
    <row r="3215" spans="1:7" x14ac:dyDescent="0.3">
      <c r="A3215" t="s">
        <v>30</v>
      </c>
      <c r="B3215">
        <v>2016</v>
      </c>
      <c r="C3215" t="s">
        <v>38</v>
      </c>
      <c r="D3215" s="2">
        <v>42491</v>
      </c>
      <c r="E3215" t="s">
        <v>16</v>
      </c>
      <c r="F3215">
        <v>136</v>
      </c>
      <c r="G3215" t="str">
        <f>VLOOKUP(Table1_2[[#This Row],[Categories]],Sheet3!$A$1:$B$27,2,FALSE)</f>
        <v>Recreation and amusement</v>
      </c>
    </row>
    <row r="3216" spans="1:7" x14ac:dyDescent="0.3">
      <c r="A3216" t="s">
        <v>30</v>
      </c>
      <c r="B3216">
        <v>2016</v>
      </c>
      <c r="C3216" t="s">
        <v>38</v>
      </c>
      <c r="D3216" s="2">
        <v>42491</v>
      </c>
      <c r="E3216" t="s">
        <v>17</v>
      </c>
      <c r="F3216">
        <v>135.4</v>
      </c>
      <c r="G3216" t="str">
        <f>VLOOKUP(Table1_2[[#This Row],[Categories]],Sheet3!$A$1:$B$27,2,FALSE)</f>
        <v>Clothing and footwear</v>
      </c>
    </row>
    <row r="3217" spans="1:7" x14ac:dyDescent="0.3">
      <c r="A3217" t="s">
        <v>30</v>
      </c>
      <c r="B3217">
        <v>2016</v>
      </c>
      <c r="C3217" t="s">
        <v>38</v>
      </c>
      <c r="D3217" s="2">
        <v>42491</v>
      </c>
      <c r="E3217" t="s">
        <v>18</v>
      </c>
      <c r="F3217">
        <v>131.1</v>
      </c>
      <c r="G3217" t="str">
        <f>VLOOKUP(Table1_2[[#This Row],[Categories]],Sheet3!$A$1:$B$27,2,FALSE)</f>
        <v>Clothing and footwear</v>
      </c>
    </row>
    <row r="3218" spans="1:7" x14ac:dyDescent="0.3">
      <c r="A3218" t="s">
        <v>30</v>
      </c>
      <c r="B3218">
        <v>2016</v>
      </c>
      <c r="C3218" t="s">
        <v>38</v>
      </c>
      <c r="D3218" s="2">
        <v>42491</v>
      </c>
      <c r="E3218" t="s">
        <v>19</v>
      </c>
      <c r="F3218">
        <v>134.80000000000001</v>
      </c>
      <c r="G3218" t="str">
        <f>VLOOKUP(Table1_2[[#This Row],[Categories]],Sheet3!$A$1:$B$27,2,FALSE)</f>
        <v>Clothing and footwear</v>
      </c>
    </row>
    <row r="3219" spans="1:7" x14ac:dyDescent="0.3">
      <c r="A3219" t="s">
        <v>30</v>
      </c>
      <c r="B3219">
        <v>2016</v>
      </c>
      <c r="C3219" t="s">
        <v>38</v>
      </c>
      <c r="D3219" s="2">
        <v>42491</v>
      </c>
      <c r="E3219" t="s">
        <v>21</v>
      </c>
      <c r="F3219">
        <v>127.4</v>
      </c>
      <c r="G3219" t="str">
        <f>VLOOKUP(Table1_2[[#This Row],[Categories]],Sheet3!$A$1:$B$27,2,FALSE)</f>
        <v>Fuel and light</v>
      </c>
    </row>
    <row r="3220" spans="1:7" x14ac:dyDescent="0.3">
      <c r="A3220" t="s">
        <v>30</v>
      </c>
      <c r="B3220">
        <v>2016</v>
      </c>
      <c r="C3220" t="s">
        <v>38</v>
      </c>
      <c r="D3220" s="2">
        <v>42491</v>
      </c>
      <c r="E3220" t="s">
        <v>22</v>
      </c>
      <c r="F3220">
        <v>128.5</v>
      </c>
      <c r="G3220" t="str">
        <f>VLOOKUP(Table1_2[[#This Row],[Categories]],Sheet3!$A$1:$B$27,2,FALSE)</f>
        <v>Household Items</v>
      </c>
    </row>
    <row r="3221" spans="1:7" x14ac:dyDescent="0.3">
      <c r="A3221" t="s">
        <v>30</v>
      </c>
      <c r="B3221">
        <v>2016</v>
      </c>
      <c r="C3221" t="s">
        <v>38</v>
      </c>
      <c r="D3221" s="2">
        <v>42491</v>
      </c>
      <c r="E3221" t="s">
        <v>23</v>
      </c>
      <c r="F3221">
        <v>125.8</v>
      </c>
      <c r="G3221" t="str">
        <f>VLOOKUP(Table1_2[[#This Row],[Categories]],Sheet3!$A$1:$B$27,2,FALSE)</f>
        <v>Health</v>
      </c>
    </row>
    <row r="3222" spans="1:7" x14ac:dyDescent="0.3">
      <c r="A3222" t="s">
        <v>30</v>
      </c>
      <c r="B3222">
        <v>2016</v>
      </c>
      <c r="C3222" t="s">
        <v>38</v>
      </c>
      <c r="D3222" s="2">
        <v>42491</v>
      </c>
      <c r="E3222" t="s">
        <v>24</v>
      </c>
      <c r="F3222">
        <v>115.1</v>
      </c>
      <c r="G3222" t="str">
        <f>VLOOKUP(Table1_2[[#This Row],[Categories]],Sheet3!$A$1:$B$27,2,FALSE)</f>
        <v>Transport and communication</v>
      </c>
    </row>
    <row r="3223" spans="1:7" x14ac:dyDescent="0.3">
      <c r="A3223" t="s">
        <v>30</v>
      </c>
      <c r="B3223">
        <v>2016</v>
      </c>
      <c r="C3223" t="s">
        <v>38</v>
      </c>
      <c r="D3223" s="2">
        <v>42491</v>
      </c>
      <c r="E3223" t="s">
        <v>25</v>
      </c>
      <c r="F3223">
        <v>123.6</v>
      </c>
      <c r="G3223" t="str">
        <f>VLOOKUP(Table1_2[[#This Row],[Categories]],Sheet3!$A$1:$B$27,2,FALSE)</f>
        <v>Recreation and amusement</v>
      </c>
    </row>
    <row r="3224" spans="1:7" x14ac:dyDescent="0.3">
      <c r="A3224" t="s">
        <v>30</v>
      </c>
      <c r="B3224">
        <v>2016</v>
      </c>
      <c r="C3224" t="s">
        <v>38</v>
      </c>
      <c r="D3224" s="2">
        <v>42491</v>
      </c>
      <c r="E3224" t="s">
        <v>26</v>
      </c>
      <c r="F3224">
        <v>129.1</v>
      </c>
      <c r="G3224" t="str">
        <f>VLOOKUP(Table1_2[[#This Row],[Categories]],Sheet3!$A$1:$B$27,2,FALSE)</f>
        <v>Education</v>
      </c>
    </row>
    <row r="3225" spans="1:7" x14ac:dyDescent="0.3">
      <c r="A3225" t="s">
        <v>30</v>
      </c>
      <c r="B3225">
        <v>2016</v>
      </c>
      <c r="C3225" t="s">
        <v>38</v>
      </c>
      <c r="D3225" s="2">
        <v>42491</v>
      </c>
      <c r="E3225" t="s">
        <v>27</v>
      </c>
      <c r="F3225">
        <v>119.7</v>
      </c>
      <c r="G3225" t="str">
        <f>VLOOKUP(Table1_2[[#This Row],[Categories]],Sheet3!$A$1:$B$27,2,FALSE)</f>
        <v>Household Items</v>
      </c>
    </row>
    <row r="3226" spans="1:7" x14ac:dyDescent="0.3">
      <c r="A3226" t="s">
        <v>30</v>
      </c>
      <c r="B3226">
        <v>2016</v>
      </c>
      <c r="C3226" t="s">
        <v>38</v>
      </c>
      <c r="D3226" s="2">
        <v>42491</v>
      </c>
      <c r="E3226" t="s">
        <v>28</v>
      </c>
      <c r="F3226">
        <v>122.5</v>
      </c>
      <c r="G3226" t="str">
        <f>VLOOKUP(Table1_2[[#This Row],[Categories]],Sheet3!$A$1:$B$27,2,FALSE)</f>
        <v>Miscellaneous</v>
      </c>
    </row>
    <row r="3227" spans="1:7" x14ac:dyDescent="0.3">
      <c r="A3227" t="s">
        <v>30</v>
      </c>
      <c r="B3227">
        <v>2016</v>
      </c>
      <c r="C3227" t="s">
        <v>38</v>
      </c>
      <c r="D3227" s="2">
        <v>42491</v>
      </c>
      <c r="E3227" t="s">
        <v>29</v>
      </c>
      <c r="F3227">
        <v>130.30000000000001</v>
      </c>
      <c r="G3227" t="str">
        <f>VLOOKUP(Table1_2[[#This Row],[Categories]],Sheet3!$A$1:$B$27,2,FALSE)</f>
        <v>General index</v>
      </c>
    </row>
    <row r="3228" spans="1:7" x14ac:dyDescent="0.3">
      <c r="A3228" t="s">
        <v>33</v>
      </c>
      <c r="B3228">
        <v>2016</v>
      </c>
      <c r="C3228" t="s">
        <v>38</v>
      </c>
      <c r="D3228" s="2">
        <v>42491</v>
      </c>
      <c r="E3228" t="s">
        <v>3</v>
      </c>
      <c r="F3228">
        <v>125</v>
      </c>
      <c r="G3228" t="str">
        <f>VLOOKUP(Table1_2[[#This Row],[Categories]],Sheet3!$A$1:$B$27,2,FALSE)</f>
        <v>Food &amp;Beverage</v>
      </c>
    </row>
    <row r="3229" spans="1:7" x14ac:dyDescent="0.3">
      <c r="A3229" t="s">
        <v>33</v>
      </c>
      <c r="B3229">
        <v>2016</v>
      </c>
      <c r="C3229" t="s">
        <v>38</v>
      </c>
      <c r="D3229" s="2">
        <v>42491</v>
      </c>
      <c r="E3229" t="s">
        <v>4</v>
      </c>
      <c r="F3229">
        <v>142.1</v>
      </c>
      <c r="G3229" t="str">
        <f>VLOOKUP(Table1_2[[#This Row],[Categories]],Sheet3!$A$1:$B$27,2,FALSE)</f>
        <v>Food &amp;Beverage</v>
      </c>
    </row>
    <row r="3230" spans="1:7" x14ac:dyDescent="0.3">
      <c r="A3230" t="s">
        <v>33</v>
      </c>
      <c r="B3230">
        <v>2016</v>
      </c>
      <c r="C3230" t="s">
        <v>38</v>
      </c>
      <c r="D3230" s="2">
        <v>42491</v>
      </c>
      <c r="E3230" t="s">
        <v>5</v>
      </c>
      <c r="F3230">
        <v>127</v>
      </c>
      <c r="G3230" t="str">
        <f>VLOOKUP(Table1_2[[#This Row],[Categories]],Sheet3!$A$1:$B$27,2,FALSE)</f>
        <v>Food &amp;Beverage</v>
      </c>
    </row>
    <row r="3231" spans="1:7" x14ac:dyDescent="0.3">
      <c r="A3231" t="s">
        <v>33</v>
      </c>
      <c r="B3231">
        <v>2016</v>
      </c>
      <c r="C3231" t="s">
        <v>38</v>
      </c>
      <c r="D3231" s="2">
        <v>42491</v>
      </c>
      <c r="E3231" t="s">
        <v>6</v>
      </c>
      <c r="F3231">
        <v>130.4</v>
      </c>
      <c r="G3231" t="str">
        <f>VLOOKUP(Table1_2[[#This Row],[Categories]],Sheet3!$A$1:$B$27,2,FALSE)</f>
        <v>Food &amp;Beverage</v>
      </c>
    </row>
    <row r="3232" spans="1:7" x14ac:dyDescent="0.3">
      <c r="A3232" t="s">
        <v>33</v>
      </c>
      <c r="B3232">
        <v>2016</v>
      </c>
      <c r="C3232" t="s">
        <v>38</v>
      </c>
      <c r="D3232" s="2">
        <v>42491</v>
      </c>
      <c r="E3232" t="s">
        <v>7</v>
      </c>
      <c r="F3232">
        <v>109.6</v>
      </c>
      <c r="G3232" t="str">
        <f>VLOOKUP(Table1_2[[#This Row],[Categories]],Sheet3!$A$1:$B$27,2,FALSE)</f>
        <v>Food &amp;Beverage</v>
      </c>
    </row>
    <row r="3233" spans="1:7" x14ac:dyDescent="0.3">
      <c r="A3233" t="s">
        <v>33</v>
      </c>
      <c r="B3233">
        <v>2016</v>
      </c>
      <c r="C3233" t="s">
        <v>38</v>
      </c>
      <c r="D3233" s="2">
        <v>42491</v>
      </c>
      <c r="E3233" t="s">
        <v>8</v>
      </c>
      <c r="F3233">
        <v>133.5</v>
      </c>
      <c r="G3233" t="str">
        <f>VLOOKUP(Table1_2[[#This Row],[Categories]],Sheet3!$A$1:$B$27,2,FALSE)</f>
        <v>Food &amp;Beverage</v>
      </c>
    </row>
    <row r="3234" spans="1:7" x14ac:dyDescent="0.3">
      <c r="A3234" t="s">
        <v>33</v>
      </c>
      <c r="B3234">
        <v>2016</v>
      </c>
      <c r="C3234" t="s">
        <v>38</v>
      </c>
      <c r="D3234" s="2">
        <v>42491</v>
      </c>
      <c r="E3234" t="s">
        <v>9</v>
      </c>
      <c r="F3234">
        <v>151.4</v>
      </c>
      <c r="G3234" t="str">
        <f>VLOOKUP(Table1_2[[#This Row],[Categories]],Sheet3!$A$1:$B$27,2,FALSE)</f>
        <v>Food &amp;Beverage</v>
      </c>
    </row>
    <row r="3235" spans="1:7" x14ac:dyDescent="0.3">
      <c r="A3235" t="s">
        <v>33</v>
      </c>
      <c r="B3235">
        <v>2016</v>
      </c>
      <c r="C3235" t="s">
        <v>38</v>
      </c>
      <c r="D3235" s="2">
        <v>42491</v>
      </c>
      <c r="E3235" t="s">
        <v>10</v>
      </c>
      <c r="F3235">
        <v>182.8</v>
      </c>
      <c r="G3235" t="str">
        <f>VLOOKUP(Table1_2[[#This Row],[Categories]],Sheet3!$A$1:$B$27,2,FALSE)</f>
        <v>Food &amp;Beverage</v>
      </c>
    </row>
    <row r="3236" spans="1:7" x14ac:dyDescent="0.3">
      <c r="A3236" t="s">
        <v>33</v>
      </c>
      <c r="B3236">
        <v>2016</v>
      </c>
      <c r="C3236" t="s">
        <v>38</v>
      </c>
      <c r="D3236" s="2">
        <v>42491</v>
      </c>
      <c r="E3236" t="s">
        <v>11</v>
      </c>
      <c r="F3236">
        <v>111.1</v>
      </c>
      <c r="G3236" t="str">
        <f>VLOOKUP(Table1_2[[#This Row],[Categories]],Sheet3!$A$1:$B$27,2,FALSE)</f>
        <v>Food &amp;Beverage</v>
      </c>
    </row>
    <row r="3237" spans="1:7" x14ac:dyDescent="0.3">
      <c r="A3237" t="s">
        <v>33</v>
      </c>
      <c r="B3237">
        <v>2016</v>
      </c>
      <c r="C3237" t="s">
        <v>38</v>
      </c>
      <c r="D3237" s="2">
        <v>42491</v>
      </c>
      <c r="E3237" t="s">
        <v>12</v>
      </c>
      <c r="F3237">
        <v>141.5</v>
      </c>
      <c r="G3237" t="str">
        <f>VLOOKUP(Table1_2[[#This Row],[Categories]],Sheet3!$A$1:$B$27,2,FALSE)</f>
        <v>Food &amp;Beverage</v>
      </c>
    </row>
    <row r="3238" spans="1:7" x14ac:dyDescent="0.3">
      <c r="A3238" t="s">
        <v>33</v>
      </c>
      <c r="B3238">
        <v>2016</v>
      </c>
      <c r="C3238" t="s">
        <v>38</v>
      </c>
      <c r="D3238" s="2">
        <v>42491</v>
      </c>
      <c r="E3238" t="s">
        <v>13</v>
      </c>
      <c r="F3238">
        <v>121.5</v>
      </c>
      <c r="G3238" t="str">
        <f>VLOOKUP(Table1_2[[#This Row],[Categories]],Sheet3!$A$1:$B$27,2,FALSE)</f>
        <v>Food &amp;Beverage</v>
      </c>
    </row>
    <row r="3239" spans="1:7" x14ac:dyDescent="0.3">
      <c r="A3239" t="s">
        <v>33</v>
      </c>
      <c r="B3239">
        <v>2016</v>
      </c>
      <c r="C3239" t="s">
        <v>38</v>
      </c>
      <c r="D3239" s="2">
        <v>42491</v>
      </c>
      <c r="E3239" t="s">
        <v>14</v>
      </c>
      <c r="F3239">
        <v>136.30000000000001</v>
      </c>
      <c r="G3239" t="str">
        <f>VLOOKUP(Table1_2[[#This Row],[Categories]],Sheet3!$A$1:$B$27,2,FALSE)</f>
        <v>Food &amp;Beverage</v>
      </c>
    </row>
    <row r="3240" spans="1:7" x14ac:dyDescent="0.3">
      <c r="A3240" t="s">
        <v>33</v>
      </c>
      <c r="B3240">
        <v>2016</v>
      </c>
      <c r="C3240" t="s">
        <v>38</v>
      </c>
      <c r="D3240" s="2">
        <v>42491</v>
      </c>
      <c r="E3240" t="s">
        <v>15</v>
      </c>
      <c r="F3240">
        <v>134.6</v>
      </c>
      <c r="G3240" t="str">
        <f>VLOOKUP(Table1_2[[#This Row],[Categories]],Sheet3!$A$1:$B$27,2,FALSE)</f>
        <v>Food &amp;Beverage</v>
      </c>
    </row>
    <row r="3241" spans="1:7" x14ac:dyDescent="0.3">
      <c r="A3241" t="s">
        <v>33</v>
      </c>
      <c r="B3241">
        <v>2016</v>
      </c>
      <c r="C3241" t="s">
        <v>38</v>
      </c>
      <c r="D3241" s="2">
        <v>42491</v>
      </c>
      <c r="E3241" t="s">
        <v>16</v>
      </c>
      <c r="F3241">
        <v>142.19999999999999</v>
      </c>
      <c r="G3241" t="str">
        <f>VLOOKUP(Table1_2[[#This Row],[Categories]],Sheet3!$A$1:$B$27,2,FALSE)</f>
        <v>Recreation and amusement</v>
      </c>
    </row>
    <row r="3242" spans="1:7" x14ac:dyDescent="0.3">
      <c r="A3242" t="s">
        <v>33</v>
      </c>
      <c r="B3242">
        <v>2016</v>
      </c>
      <c r="C3242" t="s">
        <v>38</v>
      </c>
      <c r="D3242" s="2">
        <v>42491</v>
      </c>
      <c r="E3242" t="s">
        <v>17</v>
      </c>
      <c r="F3242">
        <v>127.2</v>
      </c>
      <c r="G3242" t="str">
        <f>VLOOKUP(Table1_2[[#This Row],[Categories]],Sheet3!$A$1:$B$27,2,FALSE)</f>
        <v>Clothing and footwear</v>
      </c>
    </row>
    <row r="3243" spans="1:7" x14ac:dyDescent="0.3">
      <c r="A3243" t="s">
        <v>33</v>
      </c>
      <c r="B3243">
        <v>2016</v>
      </c>
      <c r="C3243" t="s">
        <v>38</v>
      </c>
      <c r="D3243" s="2">
        <v>42491</v>
      </c>
      <c r="E3243" t="s">
        <v>18</v>
      </c>
      <c r="F3243">
        <v>120.7</v>
      </c>
      <c r="G3243" t="str">
        <f>VLOOKUP(Table1_2[[#This Row],[Categories]],Sheet3!$A$1:$B$27,2,FALSE)</f>
        <v>Clothing and footwear</v>
      </c>
    </row>
    <row r="3244" spans="1:7" x14ac:dyDescent="0.3">
      <c r="A3244" t="s">
        <v>33</v>
      </c>
      <c r="B3244">
        <v>2016</v>
      </c>
      <c r="C3244" t="s">
        <v>38</v>
      </c>
      <c r="D3244" s="2">
        <v>42491</v>
      </c>
      <c r="E3244" t="s">
        <v>19</v>
      </c>
      <c r="F3244">
        <v>126.2</v>
      </c>
      <c r="G3244" t="str">
        <f>VLOOKUP(Table1_2[[#This Row],[Categories]],Sheet3!$A$1:$B$27,2,FALSE)</f>
        <v>Clothing and footwear</v>
      </c>
    </row>
    <row r="3245" spans="1:7" x14ac:dyDescent="0.3">
      <c r="A3245" t="s">
        <v>33</v>
      </c>
      <c r="B3245">
        <v>2016</v>
      </c>
      <c r="C3245" t="s">
        <v>38</v>
      </c>
      <c r="D3245" s="2">
        <v>42491</v>
      </c>
      <c r="E3245" t="s">
        <v>20</v>
      </c>
      <c r="F3245">
        <v>126</v>
      </c>
      <c r="G3245" t="str">
        <f>VLOOKUP(Table1_2[[#This Row],[Categories]],Sheet3!$A$1:$B$27,2,FALSE)</f>
        <v>Housing</v>
      </c>
    </row>
    <row r="3246" spans="1:7" x14ac:dyDescent="0.3">
      <c r="A3246" t="s">
        <v>33</v>
      </c>
      <c r="B3246">
        <v>2016</v>
      </c>
      <c r="C3246" t="s">
        <v>38</v>
      </c>
      <c r="D3246" s="2">
        <v>42491</v>
      </c>
      <c r="E3246" t="s">
        <v>21</v>
      </c>
      <c r="F3246">
        <v>115</v>
      </c>
      <c r="G3246" t="str">
        <f>VLOOKUP(Table1_2[[#This Row],[Categories]],Sheet3!$A$1:$B$27,2,FALSE)</f>
        <v>Fuel and light</v>
      </c>
    </row>
    <row r="3247" spans="1:7" x14ac:dyDescent="0.3">
      <c r="A3247" t="s">
        <v>33</v>
      </c>
      <c r="B3247">
        <v>2016</v>
      </c>
      <c r="C3247" t="s">
        <v>38</v>
      </c>
      <c r="D3247" s="2">
        <v>42491</v>
      </c>
      <c r="E3247" t="s">
        <v>22</v>
      </c>
      <c r="F3247">
        <v>123.2</v>
      </c>
      <c r="G3247" t="str">
        <f>VLOOKUP(Table1_2[[#This Row],[Categories]],Sheet3!$A$1:$B$27,2,FALSE)</f>
        <v>Household Items</v>
      </c>
    </row>
    <row r="3248" spans="1:7" x14ac:dyDescent="0.3">
      <c r="A3248" t="s">
        <v>33</v>
      </c>
      <c r="B3248">
        <v>2016</v>
      </c>
      <c r="C3248" t="s">
        <v>38</v>
      </c>
      <c r="D3248" s="2">
        <v>42491</v>
      </c>
      <c r="E3248" t="s">
        <v>23</v>
      </c>
      <c r="F3248">
        <v>120.3</v>
      </c>
      <c r="G3248" t="str">
        <f>VLOOKUP(Table1_2[[#This Row],[Categories]],Sheet3!$A$1:$B$27,2,FALSE)</f>
        <v>Health</v>
      </c>
    </row>
    <row r="3249" spans="1:7" x14ac:dyDescent="0.3">
      <c r="A3249" t="s">
        <v>33</v>
      </c>
      <c r="B3249">
        <v>2016</v>
      </c>
      <c r="C3249" t="s">
        <v>38</v>
      </c>
      <c r="D3249" s="2">
        <v>42491</v>
      </c>
      <c r="E3249" t="s">
        <v>24</v>
      </c>
      <c r="F3249">
        <v>110.7</v>
      </c>
      <c r="G3249" t="str">
        <f>VLOOKUP(Table1_2[[#This Row],[Categories]],Sheet3!$A$1:$B$27,2,FALSE)</f>
        <v>Transport and communication</v>
      </c>
    </row>
    <row r="3250" spans="1:7" x14ac:dyDescent="0.3">
      <c r="A3250" t="s">
        <v>33</v>
      </c>
      <c r="B3250">
        <v>2016</v>
      </c>
      <c r="C3250" t="s">
        <v>38</v>
      </c>
      <c r="D3250" s="2">
        <v>42491</v>
      </c>
      <c r="E3250" t="s">
        <v>25</v>
      </c>
      <c r="F3250">
        <v>119.8</v>
      </c>
      <c r="G3250" t="str">
        <f>VLOOKUP(Table1_2[[#This Row],[Categories]],Sheet3!$A$1:$B$27,2,FALSE)</f>
        <v>Recreation and amusement</v>
      </c>
    </row>
    <row r="3251" spans="1:7" x14ac:dyDescent="0.3">
      <c r="A3251" t="s">
        <v>33</v>
      </c>
      <c r="B3251">
        <v>2016</v>
      </c>
      <c r="C3251" t="s">
        <v>38</v>
      </c>
      <c r="D3251" s="2">
        <v>42491</v>
      </c>
      <c r="E3251" t="s">
        <v>26</v>
      </c>
      <c r="F3251">
        <v>128</v>
      </c>
      <c r="G3251" t="str">
        <f>VLOOKUP(Table1_2[[#This Row],[Categories]],Sheet3!$A$1:$B$27,2,FALSE)</f>
        <v>Education</v>
      </c>
    </row>
    <row r="3252" spans="1:7" x14ac:dyDescent="0.3">
      <c r="A3252" t="s">
        <v>33</v>
      </c>
      <c r="B3252">
        <v>2016</v>
      </c>
      <c r="C3252" t="s">
        <v>38</v>
      </c>
      <c r="D3252" s="2">
        <v>42491</v>
      </c>
      <c r="E3252" t="s">
        <v>27</v>
      </c>
      <c r="F3252">
        <v>118.5</v>
      </c>
      <c r="G3252" t="str">
        <f>VLOOKUP(Table1_2[[#This Row],[Categories]],Sheet3!$A$1:$B$27,2,FALSE)</f>
        <v>Household Items</v>
      </c>
    </row>
    <row r="3253" spans="1:7" x14ac:dyDescent="0.3">
      <c r="A3253" t="s">
        <v>33</v>
      </c>
      <c r="B3253">
        <v>2016</v>
      </c>
      <c r="C3253" t="s">
        <v>38</v>
      </c>
      <c r="D3253" s="2">
        <v>42491</v>
      </c>
      <c r="E3253" t="s">
        <v>28</v>
      </c>
      <c r="F3253">
        <v>118.7</v>
      </c>
      <c r="G3253" t="str">
        <f>VLOOKUP(Table1_2[[#This Row],[Categories]],Sheet3!$A$1:$B$27,2,FALSE)</f>
        <v>Miscellaneous</v>
      </c>
    </row>
    <row r="3254" spans="1:7" x14ac:dyDescent="0.3">
      <c r="A3254" t="s">
        <v>33</v>
      </c>
      <c r="B3254">
        <v>2016</v>
      </c>
      <c r="C3254" t="s">
        <v>38</v>
      </c>
      <c r="D3254" s="2">
        <v>42491</v>
      </c>
      <c r="E3254" t="s">
        <v>29</v>
      </c>
      <c r="F3254">
        <v>126.6</v>
      </c>
      <c r="G3254" t="str">
        <f>VLOOKUP(Table1_2[[#This Row],[Categories]],Sheet3!$A$1:$B$27,2,FALSE)</f>
        <v>General index</v>
      </c>
    </row>
    <row r="3255" spans="1:7" x14ac:dyDescent="0.3">
      <c r="A3255" t="s">
        <v>34</v>
      </c>
      <c r="B3255">
        <v>2016</v>
      </c>
      <c r="C3255" t="s">
        <v>38</v>
      </c>
      <c r="D3255" s="2">
        <v>42491</v>
      </c>
      <c r="E3255" t="s">
        <v>3</v>
      </c>
      <c r="F3255">
        <v>126.8</v>
      </c>
      <c r="G3255" t="str">
        <f>VLOOKUP(Table1_2[[#This Row],[Categories]],Sheet3!$A$1:$B$27,2,FALSE)</f>
        <v>Food &amp;Beverage</v>
      </c>
    </row>
    <row r="3256" spans="1:7" x14ac:dyDescent="0.3">
      <c r="A3256" t="s">
        <v>34</v>
      </c>
      <c r="B3256">
        <v>2016</v>
      </c>
      <c r="C3256" t="s">
        <v>38</v>
      </c>
      <c r="D3256" s="2">
        <v>42491</v>
      </c>
      <c r="E3256" t="s">
        <v>4</v>
      </c>
      <c r="F3256">
        <v>139.1</v>
      </c>
      <c r="G3256" t="str">
        <f>VLOOKUP(Table1_2[[#This Row],[Categories]],Sheet3!$A$1:$B$27,2,FALSE)</f>
        <v>Food &amp;Beverage</v>
      </c>
    </row>
    <row r="3257" spans="1:7" x14ac:dyDescent="0.3">
      <c r="A3257" t="s">
        <v>34</v>
      </c>
      <c r="B3257">
        <v>2016</v>
      </c>
      <c r="C3257" t="s">
        <v>38</v>
      </c>
      <c r="D3257" s="2">
        <v>42491</v>
      </c>
      <c r="E3257" t="s">
        <v>5</v>
      </c>
      <c r="F3257">
        <v>125.4</v>
      </c>
      <c r="G3257" t="str">
        <f>VLOOKUP(Table1_2[[#This Row],[Categories]],Sheet3!$A$1:$B$27,2,FALSE)</f>
        <v>Food &amp;Beverage</v>
      </c>
    </row>
    <row r="3258" spans="1:7" x14ac:dyDescent="0.3">
      <c r="A3258" t="s">
        <v>34</v>
      </c>
      <c r="B3258">
        <v>2016</v>
      </c>
      <c r="C3258" t="s">
        <v>38</v>
      </c>
      <c r="D3258" s="2">
        <v>42491</v>
      </c>
      <c r="E3258" t="s">
        <v>6</v>
      </c>
      <c r="F3258">
        <v>131.69999999999999</v>
      </c>
      <c r="G3258" t="str">
        <f>VLOOKUP(Table1_2[[#This Row],[Categories]],Sheet3!$A$1:$B$27,2,FALSE)</f>
        <v>Food &amp;Beverage</v>
      </c>
    </row>
    <row r="3259" spans="1:7" x14ac:dyDescent="0.3">
      <c r="A3259" t="s">
        <v>34</v>
      </c>
      <c r="B3259">
        <v>2016</v>
      </c>
      <c r="C3259" t="s">
        <v>38</v>
      </c>
      <c r="D3259" s="2">
        <v>42491</v>
      </c>
      <c r="E3259" t="s">
        <v>7</v>
      </c>
      <c r="F3259">
        <v>115</v>
      </c>
      <c r="G3259" t="str">
        <f>VLOOKUP(Table1_2[[#This Row],[Categories]],Sheet3!$A$1:$B$27,2,FALSE)</f>
        <v>Food &amp;Beverage</v>
      </c>
    </row>
    <row r="3260" spans="1:7" x14ac:dyDescent="0.3">
      <c r="A3260" t="s">
        <v>34</v>
      </c>
      <c r="B3260">
        <v>2016</v>
      </c>
      <c r="C3260" t="s">
        <v>38</v>
      </c>
      <c r="D3260" s="2">
        <v>42491</v>
      </c>
      <c r="E3260" t="s">
        <v>8</v>
      </c>
      <c r="F3260">
        <v>136</v>
      </c>
      <c r="G3260" t="str">
        <f>VLOOKUP(Table1_2[[#This Row],[Categories]],Sheet3!$A$1:$B$27,2,FALSE)</f>
        <v>Food &amp;Beverage</v>
      </c>
    </row>
    <row r="3261" spans="1:7" x14ac:dyDescent="0.3">
      <c r="A3261" t="s">
        <v>34</v>
      </c>
      <c r="B3261">
        <v>2016</v>
      </c>
      <c r="C3261" t="s">
        <v>38</v>
      </c>
      <c r="D3261" s="2">
        <v>42491</v>
      </c>
      <c r="E3261" t="s">
        <v>9</v>
      </c>
      <c r="F3261">
        <v>145.1</v>
      </c>
      <c r="G3261" t="str">
        <f>VLOOKUP(Table1_2[[#This Row],[Categories]],Sheet3!$A$1:$B$27,2,FALSE)</f>
        <v>Food &amp;Beverage</v>
      </c>
    </row>
    <row r="3262" spans="1:7" x14ac:dyDescent="0.3">
      <c r="A3262" t="s">
        <v>34</v>
      </c>
      <c r="B3262">
        <v>2016</v>
      </c>
      <c r="C3262" t="s">
        <v>38</v>
      </c>
      <c r="D3262" s="2">
        <v>42491</v>
      </c>
      <c r="E3262" t="s">
        <v>10</v>
      </c>
      <c r="F3262">
        <v>171.7</v>
      </c>
      <c r="G3262" t="str">
        <f>VLOOKUP(Table1_2[[#This Row],[Categories]],Sheet3!$A$1:$B$27,2,FALSE)</f>
        <v>Food &amp;Beverage</v>
      </c>
    </row>
    <row r="3263" spans="1:7" x14ac:dyDescent="0.3">
      <c r="A3263" t="s">
        <v>34</v>
      </c>
      <c r="B3263">
        <v>2016</v>
      </c>
      <c r="C3263" t="s">
        <v>38</v>
      </c>
      <c r="D3263" s="2">
        <v>42491</v>
      </c>
      <c r="E3263" t="s">
        <v>11</v>
      </c>
      <c r="F3263">
        <v>108.7</v>
      </c>
      <c r="G3263" t="str">
        <f>VLOOKUP(Table1_2[[#This Row],[Categories]],Sheet3!$A$1:$B$27,2,FALSE)</f>
        <v>Food &amp;Beverage</v>
      </c>
    </row>
    <row r="3264" spans="1:7" x14ac:dyDescent="0.3">
      <c r="A3264" t="s">
        <v>34</v>
      </c>
      <c r="B3264">
        <v>2016</v>
      </c>
      <c r="C3264" t="s">
        <v>38</v>
      </c>
      <c r="D3264" s="2">
        <v>42491</v>
      </c>
      <c r="E3264" t="s">
        <v>12</v>
      </c>
      <c r="F3264">
        <v>135.30000000000001</v>
      </c>
      <c r="G3264" t="str">
        <f>VLOOKUP(Table1_2[[#This Row],[Categories]],Sheet3!$A$1:$B$27,2,FALSE)</f>
        <v>Food &amp;Beverage</v>
      </c>
    </row>
    <row r="3265" spans="1:7" x14ac:dyDescent="0.3">
      <c r="A3265" t="s">
        <v>34</v>
      </c>
      <c r="B3265">
        <v>2016</v>
      </c>
      <c r="C3265" t="s">
        <v>38</v>
      </c>
      <c r="D3265" s="2">
        <v>42491</v>
      </c>
      <c r="E3265" t="s">
        <v>13</v>
      </c>
      <c r="F3265">
        <v>124.2</v>
      </c>
      <c r="G3265" t="str">
        <f>VLOOKUP(Table1_2[[#This Row],[Categories]],Sheet3!$A$1:$B$27,2,FALSE)</f>
        <v>Food &amp;Beverage</v>
      </c>
    </row>
    <row r="3266" spans="1:7" x14ac:dyDescent="0.3">
      <c r="A3266" t="s">
        <v>34</v>
      </c>
      <c r="B3266">
        <v>2016</v>
      </c>
      <c r="C3266" t="s">
        <v>38</v>
      </c>
      <c r="D3266" s="2">
        <v>42491</v>
      </c>
      <c r="E3266" t="s">
        <v>14</v>
      </c>
      <c r="F3266">
        <v>137.4</v>
      </c>
      <c r="G3266" t="str">
        <f>VLOOKUP(Table1_2[[#This Row],[Categories]],Sheet3!$A$1:$B$27,2,FALSE)</f>
        <v>Food &amp;Beverage</v>
      </c>
    </row>
    <row r="3267" spans="1:7" x14ac:dyDescent="0.3">
      <c r="A3267" t="s">
        <v>34</v>
      </c>
      <c r="B3267">
        <v>2016</v>
      </c>
      <c r="C3267" t="s">
        <v>38</v>
      </c>
      <c r="D3267" s="2">
        <v>42491</v>
      </c>
      <c r="E3267" t="s">
        <v>15</v>
      </c>
      <c r="F3267">
        <v>134</v>
      </c>
      <c r="G3267" t="str">
        <f>VLOOKUP(Table1_2[[#This Row],[Categories]],Sheet3!$A$1:$B$27,2,FALSE)</f>
        <v>Food &amp;Beverage</v>
      </c>
    </row>
    <row r="3268" spans="1:7" x14ac:dyDescent="0.3">
      <c r="A3268" t="s">
        <v>34</v>
      </c>
      <c r="B3268">
        <v>2016</v>
      </c>
      <c r="C3268" t="s">
        <v>38</v>
      </c>
      <c r="D3268" s="2">
        <v>42491</v>
      </c>
      <c r="E3268" t="s">
        <v>16</v>
      </c>
      <c r="F3268">
        <v>137.69999999999999</v>
      </c>
      <c r="G3268" t="str">
        <f>VLOOKUP(Table1_2[[#This Row],[Categories]],Sheet3!$A$1:$B$27,2,FALSE)</f>
        <v>Recreation and amusement</v>
      </c>
    </row>
    <row r="3269" spans="1:7" x14ac:dyDescent="0.3">
      <c r="A3269" t="s">
        <v>34</v>
      </c>
      <c r="B3269">
        <v>2016</v>
      </c>
      <c r="C3269" t="s">
        <v>38</v>
      </c>
      <c r="D3269" s="2">
        <v>42491</v>
      </c>
      <c r="E3269" t="s">
        <v>17</v>
      </c>
      <c r="F3269">
        <v>132.19999999999999</v>
      </c>
      <c r="G3269" t="str">
        <f>VLOOKUP(Table1_2[[#This Row],[Categories]],Sheet3!$A$1:$B$27,2,FALSE)</f>
        <v>Clothing and footwear</v>
      </c>
    </row>
    <row r="3270" spans="1:7" x14ac:dyDescent="0.3">
      <c r="A3270" t="s">
        <v>34</v>
      </c>
      <c r="B3270">
        <v>2016</v>
      </c>
      <c r="C3270" t="s">
        <v>38</v>
      </c>
      <c r="D3270" s="2">
        <v>42491</v>
      </c>
      <c r="E3270" t="s">
        <v>18</v>
      </c>
      <c r="F3270">
        <v>126.8</v>
      </c>
      <c r="G3270" t="str">
        <f>VLOOKUP(Table1_2[[#This Row],[Categories]],Sheet3!$A$1:$B$27,2,FALSE)</f>
        <v>Clothing and footwear</v>
      </c>
    </row>
    <row r="3271" spans="1:7" x14ac:dyDescent="0.3">
      <c r="A3271" t="s">
        <v>34</v>
      </c>
      <c r="B3271">
        <v>2016</v>
      </c>
      <c r="C3271" t="s">
        <v>38</v>
      </c>
      <c r="D3271" s="2">
        <v>42491</v>
      </c>
      <c r="E3271" t="s">
        <v>19</v>
      </c>
      <c r="F3271">
        <v>131.4</v>
      </c>
      <c r="G3271" t="str">
        <f>VLOOKUP(Table1_2[[#This Row],[Categories]],Sheet3!$A$1:$B$27,2,FALSE)</f>
        <v>Clothing and footwear</v>
      </c>
    </row>
    <row r="3272" spans="1:7" x14ac:dyDescent="0.3">
      <c r="A3272" t="s">
        <v>34</v>
      </c>
      <c r="B3272">
        <v>2016</v>
      </c>
      <c r="C3272" t="s">
        <v>38</v>
      </c>
      <c r="D3272" s="2">
        <v>42491</v>
      </c>
      <c r="E3272" t="s">
        <v>20</v>
      </c>
      <c r="F3272">
        <v>126</v>
      </c>
      <c r="G3272" t="str">
        <f>VLOOKUP(Table1_2[[#This Row],[Categories]],Sheet3!$A$1:$B$27,2,FALSE)</f>
        <v>Housing</v>
      </c>
    </row>
    <row r="3273" spans="1:7" x14ac:dyDescent="0.3">
      <c r="A3273" t="s">
        <v>34</v>
      </c>
      <c r="B3273">
        <v>2016</v>
      </c>
      <c r="C3273" t="s">
        <v>38</v>
      </c>
      <c r="D3273" s="2">
        <v>42491</v>
      </c>
      <c r="E3273" t="s">
        <v>21</v>
      </c>
      <c r="F3273">
        <v>122.7</v>
      </c>
      <c r="G3273" t="str">
        <f>VLOOKUP(Table1_2[[#This Row],[Categories]],Sheet3!$A$1:$B$27,2,FALSE)</f>
        <v>Fuel and light</v>
      </c>
    </row>
    <row r="3274" spans="1:7" x14ac:dyDescent="0.3">
      <c r="A3274" t="s">
        <v>34</v>
      </c>
      <c r="B3274">
        <v>2016</v>
      </c>
      <c r="C3274" t="s">
        <v>38</v>
      </c>
      <c r="D3274" s="2">
        <v>42491</v>
      </c>
      <c r="E3274" t="s">
        <v>22</v>
      </c>
      <c r="F3274">
        <v>126</v>
      </c>
      <c r="G3274" t="str">
        <f>VLOOKUP(Table1_2[[#This Row],[Categories]],Sheet3!$A$1:$B$27,2,FALSE)</f>
        <v>Household Items</v>
      </c>
    </row>
    <row r="3275" spans="1:7" x14ac:dyDescent="0.3">
      <c r="A3275" t="s">
        <v>34</v>
      </c>
      <c r="B3275">
        <v>2016</v>
      </c>
      <c r="C3275" t="s">
        <v>38</v>
      </c>
      <c r="D3275" s="2">
        <v>42491</v>
      </c>
      <c r="E3275" t="s">
        <v>23</v>
      </c>
      <c r="F3275">
        <v>123.7</v>
      </c>
      <c r="G3275" t="str">
        <f>VLOOKUP(Table1_2[[#This Row],[Categories]],Sheet3!$A$1:$B$27,2,FALSE)</f>
        <v>Health</v>
      </c>
    </row>
    <row r="3276" spans="1:7" x14ac:dyDescent="0.3">
      <c r="A3276" t="s">
        <v>34</v>
      </c>
      <c r="B3276">
        <v>2016</v>
      </c>
      <c r="C3276" t="s">
        <v>38</v>
      </c>
      <c r="D3276" s="2">
        <v>42491</v>
      </c>
      <c r="E3276" t="s">
        <v>24</v>
      </c>
      <c r="F3276">
        <v>112.8</v>
      </c>
      <c r="G3276" t="str">
        <f>VLOOKUP(Table1_2[[#This Row],[Categories]],Sheet3!$A$1:$B$27,2,FALSE)</f>
        <v>Transport and communication</v>
      </c>
    </row>
    <row r="3277" spans="1:7" x14ac:dyDescent="0.3">
      <c r="A3277" t="s">
        <v>34</v>
      </c>
      <c r="B3277">
        <v>2016</v>
      </c>
      <c r="C3277" t="s">
        <v>38</v>
      </c>
      <c r="D3277" s="2">
        <v>42491</v>
      </c>
      <c r="E3277" t="s">
        <v>25</v>
      </c>
      <c r="F3277">
        <v>121.5</v>
      </c>
      <c r="G3277" t="str">
        <f>VLOOKUP(Table1_2[[#This Row],[Categories]],Sheet3!$A$1:$B$27,2,FALSE)</f>
        <v>Recreation and amusement</v>
      </c>
    </row>
    <row r="3278" spans="1:7" x14ac:dyDescent="0.3">
      <c r="A3278" t="s">
        <v>34</v>
      </c>
      <c r="B3278">
        <v>2016</v>
      </c>
      <c r="C3278" t="s">
        <v>38</v>
      </c>
      <c r="D3278" s="2">
        <v>42491</v>
      </c>
      <c r="E3278" t="s">
        <v>26</v>
      </c>
      <c r="F3278">
        <v>128.5</v>
      </c>
      <c r="G3278" t="str">
        <f>VLOOKUP(Table1_2[[#This Row],[Categories]],Sheet3!$A$1:$B$27,2,FALSE)</f>
        <v>Education</v>
      </c>
    </row>
    <row r="3279" spans="1:7" x14ac:dyDescent="0.3">
      <c r="A3279" t="s">
        <v>34</v>
      </c>
      <c r="B3279">
        <v>2016</v>
      </c>
      <c r="C3279" t="s">
        <v>38</v>
      </c>
      <c r="D3279" s="2">
        <v>42491</v>
      </c>
      <c r="E3279" t="s">
        <v>27</v>
      </c>
      <c r="F3279">
        <v>119.2</v>
      </c>
      <c r="G3279" t="str">
        <f>VLOOKUP(Table1_2[[#This Row],[Categories]],Sheet3!$A$1:$B$27,2,FALSE)</f>
        <v>Household Items</v>
      </c>
    </row>
    <row r="3280" spans="1:7" x14ac:dyDescent="0.3">
      <c r="A3280" t="s">
        <v>34</v>
      </c>
      <c r="B3280">
        <v>2016</v>
      </c>
      <c r="C3280" t="s">
        <v>38</v>
      </c>
      <c r="D3280" s="2">
        <v>42491</v>
      </c>
      <c r="E3280" t="s">
        <v>28</v>
      </c>
      <c r="F3280">
        <v>120.7</v>
      </c>
      <c r="G3280" t="str">
        <f>VLOOKUP(Table1_2[[#This Row],[Categories]],Sheet3!$A$1:$B$27,2,FALSE)</f>
        <v>Miscellaneous</v>
      </c>
    </row>
    <row r="3281" spans="1:7" x14ac:dyDescent="0.3">
      <c r="A3281" t="s">
        <v>34</v>
      </c>
      <c r="B3281">
        <v>2016</v>
      </c>
      <c r="C3281" t="s">
        <v>38</v>
      </c>
      <c r="D3281" s="2">
        <v>42491</v>
      </c>
      <c r="E3281" t="s">
        <v>29</v>
      </c>
      <c r="F3281">
        <v>128.6</v>
      </c>
      <c r="G3281" t="str">
        <f>VLOOKUP(Table1_2[[#This Row],[Categories]],Sheet3!$A$1:$B$27,2,FALSE)</f>
        <v>General index</v>
      </c>
    </row>
    <row r="3282" spans="1:7" x14ac:dyDescent="0.3">
      <c r="A3282" t="s">
        <v>30</v>
      </c>
      <c r="B3282">
        <v>2016</v>
      </c>
      <c r="C3282" t="s">
        <v>39</v>
      </c>
      <c r="D3282" s="2">
        <v>42522</v>
      </c>
      <c r="E3282" t="s">
        <v>3</v>
      </c>
      <c r="F3282">
        <v>128.6</v>
      </c>
      <c r="G3282" t="str">
        <f>VLOOKUP(Table1_2[[#This Row],[Categories]],Sheet3!$A$1:$B$27,2,FALSE)</f>
        <v>Food &amp;Beverage</v>
      </c>
    </row>
    <row r="3283" spans="1:7" x14ac:dyDescent="0.3">
      <c r="A3283" t="s">
        <v>30</v>
      </c>
      <c r="B3283">
        <v>2016</v>
      </c>
      <c r="C3283" t="s">
        <v>39</v>
      </c>
      <c r="D3283" s="2">
        <v>42522</v>
      </c>
      <c r="E3283" t="s">
        <v>4</v>
      </c>
      <c r="F3283">
        <v>138.6</v>
      </c>
      <c r="G3283" t="str">
        <f>VLOOKUP(Table1_2[[#This Row],[Categories]],Sheet3!$A$1:$B$27,2,FALSE)</f>
        <v>Food &amp;Beverage</v>
      </c>
    </row>
    <row r="3284" spans="1:7" x14ac:dyDescent="0.3">
      <c r="A3284" t="s">
        <v>30</v>
      </c>
      <c r="B3284">
        <v>2016</v>
      </c>
      <c r="C3284" t="s">
        <v>39</v>
      </c>
      <c r="D3284" s="2">
        <v>42522</v>
      </c>
      <c r="E3284" t="s">
        <v>5</v>
      </c>
      <c r="F3284">
        <v>126.6</v>
      </c>
      <c r="G3284" t="str">
        <f>VLOOKUP(Table1_2[[#This Row],[Categories]],Sheet3!$A$1:$B$27,2,FALSE)</f>
        <v>Food &amp;Beverage</v>
      </c>
    </row>
    <row r="3285" spans="1:7" x14ac:dyDescent="0.3">
      <c r="A3285" t="s">
        <v>30</v>
      </c>
      <c r="B3285">
        <v>2016</v>
      </c>
      <c r="C3285" t="s">
        <v>39</v>
      </c>
      <c r="D3285" s="2">
        <v>42522</v>
      </c>
      <c r="E3285" t="s">
        <v>6</v>
      </c>
      <c r="F3285">
        <v>133.6</v>
      </c>
      <c r="G3285" t="str">
        <f>VLOOKUP(Table1_2[[#This Row],[Categories]],Sheet3!$A$1:$B$27,2,FALSE)</f>
        <v>Food &amp;Beverage</v>
      </c>
    </row>
    <row r="3286" spans="1:7" x14ac:dyDescent="0.3">
      <c r="A3286" t="s">
        <v>30</v>
      </c>
      <c r="B3286">
        <v>2016</v>
      </c>
      <c r="C3286" t="s">
        <v>39</v>
      </c>
      <c r="D3286" s="2">
        <v>42522</v>
      </c>
      <c r="E3286" t="s">
        <v>7</v>
      </c>
      <c r="F3286">
        <v>118.6</v>
      </c>
      <c r="G3286" t="str">
        <f>VLOOKUP(Table1_2[[#This Row],[Categories]],Sheet3!$A$1:$B$27,2,FALSE)</f>
        <v>Food &amp;Beverage</v>
      </c>
    </row>
    <row r="3287" spans="1:7" x14ac:dyDescent="0.3">
      <c r="A3287" t="s">
        <v>30</v>
      </c>
      <c r="B3287">
        <v>2016</v>
      </c>
      <c r="C3287" t="s">
        <v>39</v>
      </c>
      <c r="D3287" s="2">
        <v>42522</v>
      </c>
      <c r="E3287" t="s">
        <v>8</v>
      </c>
      <c r="F3287">
        <v>137.4</v>
      </c>
      <c r="G3287" t="str">
        <f>VLOOKUP(Table1_2[[#This Row],[Categories]],Sheet3!$A$1:$B$27,2,FALSE)</f>
        <v>Food &amp;Beverage</v>
      </c>
    </row>
    <row r="3288" spans="1:7" x14ac:dyDescent="0.3">
      <c r="A3288" t="s">
        <v>30</v>
      </c>
      <c r="B3288">
        <v>2016</v>
      </c>
      <c r="C3288" t="s">
        <v>39</v>
      </c>
      <c r="D3288" s="2">
        <v>42522</v>
      </c>
      <c r="E3288" t="s">
        <v>9</v>
      </c>
      <c r="F3288">
        <v>152.5</v>
      </c>
      <c r="G3288" t="str">
        <f>VLOOKUP(Table1_2[[#This Row],[Categories]],Sheet3!$A$1:$B$27,2,FALSE)</f>
        <v>Food &amp;Beverage</v>
      </c>
    </row>
    <row r="3289" spans="1:7" x14ac:dyDescent="0.3">
      <c r="A3289" t="s">
        <v>30</v>
      </c>
      <c r="B3289">
        <v>2016</v>
      </c>
      <c r="C3289" t="s">
        <v>39</v>
      </c>
      <c r="D3289" s="2">
        <v>42522</v>
      </c>
      <c r="E3289" t="s">
        <v>10</v>
      </c>
      <c r="F3289">
        <v>169.2</v>
      </c>
      <c r="G3289" t="str">
        <f>VLOOKUP(Table1_2[[#This Row],[Categories]],Sheet3!$A$1:$B$27,2,FALSE)</f>
        <v>Food &amp;Beverage</v>
      </c>
    </row>
    <row r="3290" spans="1:7" x14ac:dyDescent="0.3">
      <c r="A3290" t="s">
        <v>30</v>
      </c>
      <c r="B3290">
        <v>2016</v>
      </c>
      <c r="C3290" t="s">
        <v>39</v>
      </c>
      <c r="D3290" s="2">
        <v>42522</v>
      </c>
      <c r="E3290" t="s">
        <v>11</v>
      </c>
      <c r="F3290">
        <v>108.8</v>
      </c>
      <c r="G3290" t="str">
        <f>VLOOKUP(Table1_2[[#This Row],[Categories]],Sheet3!$A$1:$B$27,2,FALSE)</f>
        <v>Food &amp;Beverage</v>
      </c>
    </row>
    <row r="3291" spans="1:7" x14ac:dyDescent="0.3">
      <c r="A3291" t="s">
        <v>30</v>
      </c>
      <c r="B3291">
        <v>2016</v>
      </c>
      <c r="C3291" t="s">
        <v>39</v>
      </c>
      <c r="D3291" s="2">
        <v>42522</v>
      </c>
      <c r="E3291" t="s">
        <v>12</v>
      </c>
      <c r="F3291">
        <v>133.1</v>
      </c>
      <c r="G3291" t="str">
        <f>VLOOKUP(Table1_2[[#This Row],[Categories]],Sheet3!$A$1:$B$27,2,FALSE)</f>
        <v>Food &amp;Beverage</v>
      </c>
    </row>
    <row r="3292" spans="1:7" x14ac:dyDescent="0.3">
      <c r="A3292" t="s">
        <v>30</v>
      </c>
      <c r="B3292">
        <v>2016</v>
      </c>
      <c r="C3292" t="s">
        <v>39</v>
      </c>
      <c r="D3292" s="2">
        <v>42522</v>
      </c>
      <c r="E3292" t="s">
        <v>13</v>
      </c>
      <c r="F3292">
        <v>126.4</v>
      </c>
      <c r="G3292" t="str">
        <f>VLOOKUP(Table1_2[[#This Row],[Categories]],Sheet3!$A$1:$B$27,2,FALSE)</f>
        <v>Food &amp;Beverage</v>
      </c>
    </row>
    <row r="3293" spans="1:7" x14ac:dyDescent="0.3">
      <c r="A3293" t="s">
        <v>30</v>
      </c>
      <c r="B3293">
        <v>2016</v>
      </c>
      <c r="C3293" t="s">
        <v>39</v>
      </c>
      <c r="D3293" s="2">
        <v>42522</v>
      </c>
      <c r="E3293" t="s">
        <v>14</v>
      </c>
      <c r="F3293">
        <v>139.19999999999999</v>
      </c>
      <c r="G3293" t="str">
        <f>VLOOKUP(Table1_2[[#This Row],[Categories]],Sheet3!$A$1:$B$27,2,FALSE)</f>
        <v>Food &amp;Beverage</v>
      </c>
    </row>
    <row r="3294" spans="1:7" x14ac:dyDescent="0.3">
      <c r="A3294" t="s">
        <v>30</v>
      </c>
      <c r="B3294">
        <v>2016</v>
      </c>
      <c r="C3294" t="s">
        <v>39</v>
      </c>
      <c r="D3294" s="2">
        <v>42522</v>
      </c>
      <c r="E3294" t="s">
        <v>15</v>
      </c>
      <c r="F3294">
        <v>136</v>
      </c>
      <c r="G3294" t="str">
        <f>VLOOKUP(Table1_2[[#This Row],[Categories]],Sheet3!$A$1:$B$27,2,FALSE)</f>
        <v>Food &amp;Beverage</v>
      </c>
    </row>
    <row r="3295" spans="1:7" x14ac:dyDescent="0.3">
      <c r="A3295" t="s">
        <v>30</v>
      </c>
      <c r="B3295">
        <v>2016</v>
      </c>
      <c r="C3295" t="s">
        <v>39</v>
      </c>
      <c r="D3295" s="2">
        <v>42522</v>
      </c>
      <c r="E3295" t="s">
        <v>16</v>
      </c>
      <c r="F3295">
        <v>137.19999999999999</v>
      </c>
      <c r="G3295" t="str">
        <f>VLOOKUP(Table1_2[[#This Row],[Categories]],Sheet3!$A$1:$B$27,2,FALSE)</f>
        <v>Recreation and amusement</v>
      </c>
    </row>
    <row r="3296" spans="1:7" x14ac:dyDescent="0.3">
      <c r="A3296" t="s">
        <v>30</v>
      </c>
      <c r="B3296">
        <v>2016</v>
      </c>
      <c r="C3296" t="s">
        <v>39</v>
      </c>
      <c r="D3296" s="2">
        <v>42522</v>
      </c>
      <c r="E3296" t="s">
        <v>17</v>
      </c>
      <c r="F3296">
        <v>136.30000000000001</v>
      </c>
      <c r="G3296" t="str">
        <f>VLOOKUP(Table1_2[[#This Row],[Categories]],Sheet3!$A$1:$B$27,2,FALSE)</f>
        <v>Clothing and footwear</v>
      </c>
    </row>
    <row r="3297" spans="1:7" x14ac:dyDescent="0.3">
      <c r="A3297" t="s">
        <v>30</v>
      </c>
      <c r="B3297">
        <v>2016</v>
      </c>
      <c r="C3297" t="s">
        <v>39</v>
      </c>
      <c r="D3297" s="2">
        <v>42522</v>
      </c>
      <c r="E3297" t="s">
        <v>18</v>
      </c>
      <c r="F3297">
        <v>131.6</v>
      </c>
      <c r="G3297" t="str">
        <f>VLOOKUP(Table1_2[[#This Row],[Categories]],Sheet3!$A$1:$B$27,2,FALSE)</f>
        <v>Clothing and footwear</v>
      </c>
    </row>
    <row r="3298" spans="1:7" x14ac:dyDescent="0.3">
      <c r="A3298" t="s">
        <v>30</v>
      </c>
      <c r="B3298">
        <v>2016</v>
      </c>
      <c r="C3298" t="s">
        <v>39</v>
      </c>
      <c r="D3298" s="2">
        <v>42522</v>
      </c>
      <c r="E3298" t="s">
        <v>19</v>
      </c>
      <c r="F3298">
        <v>135.6</v>
      </c>
      <c r="G3298" t="str">
        <f>VLOOKUP(Table1_2[[#This Row],[Categories]],Sheet3!$A$1:$B$27,2,FALSE)</f>
        <v>Clothing and footwear</v>
      </c>
    </row>
    <row r="3299" spans="1:7" x14ac:dyDescent="0.3">
      <c r="A3299" t="s">
        <v>30</v>
      </c>
      <c r="B3299">
        <v>2016</v>
      </c>
      <c r="C3299" t="s">
        <v>39</v>
      </c>
      <c r="D3299" s="2">
        <v>42522</v>
      </c>
      <c r="E3299" t="s">
        <v>21</v>
      </c>
      <c r="F3299">
        <v>128</v>
      </c>
      <c r="G3299" t="str">
        <f>VLOOKUP(Table1_2[[#This Row],[Categories]],Sheet3!$A$1:$B$27,2,FALSE)</f>
        <v>Fuel and light</v>
      </c>
    </row>
    <row r="3300" spans="1:7" x14ac:dyDescent="0.3">
      <c r="A3300" t="s">
        <v>30</v>
      </c>
      <c r="B3300">
        <v>2016</v>
      </c>
      <c r="C3300" t="s">
        <v>39</v>
      </c>
      <c r="D3300" s="2">
        <v>42522</v>
      </c>
      <c r="E3300" t="s">
        <v>22</v>
      </c>
      <c r="F3300">
        <v>129.30000000000001</v>
      </c>
      <c r="G3300" t="str">
        <f>VLOOKUP(Table1_2[[#This Row],[Categories]],Sheet3!$A$1:$B$27,2,FALSE)</f>
        <v>Household Items</v>
      </c>
    </row>
    <row r="3301" spans="1:7" x14ac:dyDescent="0.3">
      <c r="A3301" t="s">
        <v>30</v>
      </c>
      <c r="B3301">
        <v>2016</v>
      </c>
      <c r="C3301" t="s">
        <v>39</v>
      </c>
      <c r="D3301" s="2">
        <v>42522</v>
      </c>
      <c r="E3301" t="s">
        <v>23</v>
      </c>
      <c r="F3301">
        <v>126.2</v>
      </c>
      <c r="G3301" t="str">
        <f>VLOOKUP(Table1_2[[#This Row],[Categories]],Sheet3!$A$1:$B$27,2,FALSE)</f>
        <v>Health</v>
      </c>
    </row>
    <row r="3302" spans="1:7" x14ac:dyDescent="0.3">
      <c r="A3302" t="s">
        <v>30</v>
      </c>
      <c r="B3302">
        <v>2016</v>
      </c>
      <c r="C3302" t="s">
        <v>39</v>
      </c>
      <c r="D3302" s="2">
        <v>42522</v>
      </c>
      <c r="E3302" t="s">
        <v>24</v>
      </c>
      <c r="F3302">
        <v>116.3</v>
      </c>
      <c r="G3302" t="str">
        <f>VLOOKUP(Table1_2[[#This Row],[Categories]],Sheet3!$A$1:$B$27,2,FALSE)</f>
        <v>Transport and communication</v>
      </c>
    </row>
    <row r="3303" spans="1:7" x14ac:dyDescent="0.3">
      <c r="A3303" t="s">
        <v>30</v>
      </c>
      <c r="B3303">
        <v>2016</v>
      </c>
      <c r="C3303" t="s">
        <v>39</v>
      </c>
      <c r="D3303" s="2">
        <v>42522</v>
      </c>
      <c r="E3303" t="s">
        <v>25</v>
      </c>
      <c r="F3303">
        <v>124.1</v>
      </c>
      <c r="G3303" t="str">
        <f>VLOOKUP(Table1_2[[#This Row],[Categories]],Sheet3!$A$1:$B$27,2,FALSE)</f>
        <v>Recreation and amusement</v>
      </c>
    </row>
    <row r="3304" spans="1:7" x14ac:dyDescent="0.3">
      <c r="A3304" t="s">
        <v>30</v>
      </c>
      <c r="B3304">
        <v>2016</v>
      </c>
      <c r="C3304" t="s">
        <v>39</v>
      </c>
      <c r="D3304" s="2">
        <v>42522</v>
      </c>
      <c r="E3304" t="s">
        <v>26</v>
      </c>
      <c r="F3304">
        <v>130.19999999999999</v>
      </c>
      <c r="G3304" t="str">
        <f>VLOOKUP(Table1_2[[#This Row],[Categories]],Sheet3!$A$1:$B$27,2,FALSE)</f>
        <v>Education</v>
      </c>
    </row>
    <row r="3305" spans="1:7" x14ac:dyDescent="0.3">
      <c r="A3305" t="s">
        <v>30</v>
      </c>
      <c r="B3305">
        <v>2016</v>
      </c>
      <c r="C3305" t="s">
        <v>39</v>
      </c>
      <c r="D3305" s="2">
        <v>42522</v>
      </c>
      <c r="E3305" t="s">
        <v>27</v>
      </c>
      <c r="F3305">
        <v>119.9</v>
      </c>
      <c r="G3305" t="str">
        <f>VLOOKUP(Table1_2[[#This Row],[Categories]],Sheet3!$A$1:$B$27,2,FALSE)</f>
        <v>Household Items</v>
      </c>
    </row>
    <row r="3306" spans="1:7" x14ac:dyDescent="0.3">
      <c r="A3306" t="s">
        <v>30</v>
      </c>
      <c r="B3306">
        <v>2016</v>
      </c>
      <c r="C3306" t="s">
        <v>39</v>
      </c>
      <c r="D3306" s="2">
        <v>42522</v>
      </c>
      <c r="E3306" t="s">
        <v>28</v>
      </c>
      <c r="F3306">
        <v>123.3</v>
      </c>
      <c r="G3306" t="str">
        <f>VLOOKUP(Table1_2[[#This Row],[Categories]],Sheet3!$A$1:$B$27,2,FALSE)</f>
        <v>Miscellaneous</v>
      </c>
    </row>
    <row r="3307" spans="1:7" x14ac:dyDescent="0.3">
      <c r="A3307" t="s">
        <v>30</v>
      </c>
      <c r="B3307">
        <v>2016</v>
      </c>
      <c r="C3307" t="s">
        <v>39</v>
      </c>
      <c r="D3307" s="2">
        <v>42522</v>
      </c>
      <c r="E3307" t="s">
        <v>29</v>
      </c>
      <c r="F3307">
        <v>131.9</v>
      </c>
      <c r="G3307" t="str">
        <f>VLOOKUP(Table1_2[[#This Row],[Categories]],Sheet3!$A$1:$B$27,2,FALSE)</f>
        <v>General index</v>
      </c>
    </row>
    <row r="3308" spans="1:7" x14ac:dyDescent="0.3">
      <c r="A3308" t="s">
        <v>33</v>
      </c>
      <c r="B3308">
        <v>2016</v>
      </c>
      <c r="C3308" t="s">
        <v>39</v>
      </c>
      <c r="D3308" s="2">
        <v>42522</v>
      </c>
      <c r="E3308" t="s">
        <v>3</v>
      </c>
      <c r="F3308">
        <v>125.9</v>
      </c>
      <c r="G3308" t="str">
        <f>VLOOKUP(Table1_2[[#This Row],[Categories]],Sheet3!$A$1:$B$27,2,FALSE)</f>
        <v>Food &amp;Beverage</v>
      </c>
    </row>
    <row r="3309" spans="1:7" x14ac:dyDescent="0.3">
      <c r="A3309" t="s">
        <v>33</v>
      </c>
      <c r="B3309">
        <v>2016</v>
      </c>
      <c r="C3309" t="s">
        <v>39</v>
      </c>
      <c r="D3309" s="2">
        <v>42522</v>
      </c>
      <c r="E3309" t="s">
        <v>4</v>
      </c>
      <c r="F3309">
        <v>143.9</v>
      </c>
      <c r="G3309" t="str">
        <f>VLOOKUP(Table1_2[[#This Row],[Categories]],Sheet3!$A$1:$B$27,2,FALSE)</f>
        <v>Food &amp;Beverage</v>
      </c>
    </row>
    <row r="3310" spans="1:7" x14ac:dyDescent="0.3">
      <c r="A3310" t="s">
        <v>33</v>
      </c>
      <c r="B3310">
        <v>2016</v>
      </c>
      <c r="C3310" t="s">
        <v>39</v>
      </c>
      <c r="D3310" s="2">
        <v>42522</v>
      </c>
      <c r="E3310" t="s">
        <v>5</v>
      </c>
      <c r="F3310">
        <v>130.9</v>
      </c>
      <c r="G3310" t="str">
        <f>VLOOKUP(Table1_2[[#This Row],[Categories]],Sheet3!$A$1:$B$27,2,FALSE)</f>
        <v>Food &amp;Beverage</v>
      </c>
    </row>
    <row r="3311" spans="1:7" x14ac:dyDescent="0.3">
      <c r="A3311" t="s">
        <v>33</v>
      </c>
      <c r="B3311">
        <v>2016</v>
      </c>
      <c r="C3311" t="s">
        <v>39</v>
      </c>
      <c r="D3311" s="2">
        <v>42522</v>
      </c>
      <c r="E3311" t="s">
        <v>6</v>
      </c>
      <c r="F3311">
        <v>131</v>
      </c>
      <c r="G3311" t="str">
        <f>VLOOKUP(Table1_2[[#This Row],[Categories]],Sheet3!$A$1:$B$27,2,FALSE)</f>
        <v>Food &amp;Beverage</v>
      </c>
    </row>
    <row r="3312" spans="1:7" x14ac:dyDescent="0.3">
      <c r="A3312" t="s">
        <v>33</v>
      </c>
      <c r="B3312">
        <v>2016</v>
      </c>
      <c r="C3312" t="s">
        <v>39</v>
      </c>
      <c r="D3312" s="2">
        <v>42522</v>
      </c>
      <c r="E3312" t="s">
        <v>7</v>
      </c>
      <c r="F3312">
        <v>110.2</v>
      </c>
      <c r="G3312" t="str">
        <f>VLOOKUP(Table1_2[[#This Row],[Categories]],Sheet3!$A$1:$B$27,2,FALSE)</f>
        <v>Food &amp;Beverage</v>
      </c>
    </row>
    <row r="3313" spans="1:7" x14ac:dyDescent="0.3">
      <c r="A3313" t="s">
        <v>33</v>
      </c>
      <c r="B3313">
        <v>2016</v>
      </c>
      <c r="C3313" t="s">
        <v>39</v>
      </c>
      <c r="D3313" s="2">
        <v>42522</v>
      </c>
      <c r="E3313" t="s">
        <v>8</v>
      </c>
      <c r="F3313">
        <v>135.5</v>
      </c>
      <c r="G3313" t="str">
        <f>VLOOKUP(Table1_2[[#This Row],[Categories]],Sheet3!$A$1:$B$27,2,FALSE)</f>
        <v>Food &amp;Beverage</v>
      </c>
    </row>
    <row r="3314" spans="1:7" x14ac:dyDescent="0.3">
      <c r="A3314" t="s">
        <v>33</v>
      </c>
      <c r="B3314">
        <v>2016</v>
      </c>
      <c r="C3314" t="s">
        <v>39</v>
      </c>
      <c r="D3314" s="2">
        <v>42522</v>
      </c>
      <c r="E3314" t="s">
        <v>9</v>
      </c>
      <c r="F3314">
        <v>173.7</v>
      </c>
      <c r="G3314" t="str">
        <f>VLOOKUP(Table1_2[[#This Row],[Categories]],Sheet3!$A$1:$B$27,2,FALSE)</f>
        <v>Food &amp;Beverage</v>
      </c>
    </row>
    <row r="3315" spans="1:7" x14ac:dyDescent="0.3">
      <c r="A3315" t="s">
        <v>33</v>
      </c>
      <c r="B3315">
        <v>2016</v>
      </c>
      <c r="C3315" t="s">
        <v>39</v>
      </c>
      <c r="D3315" s="2">
        <v>42522</v>
      </c>
      <c r="E3315" t="s">
        <v>10</v>
      </c>
      <c r="F3315">
        <v>184.4</v>
      </c>
      <c r="G3315" t="str">
        <f>VLOOKUP(Table1_2[[#This Row],[Categories]],Sheet3!$A$1:$B$27,2,FALSE)</f>
        <v>Food &amp;Beverage</v>
      </c>
    </row>
    <row r="3316" spans="1:7" x14ac:dyDescent="0.3">
      <c r="A3316" t="s">
        <v>33</v>
      </c>
      <c r="B3316">
        <v>2016</v>
      </c>
      <c r="C3316" t="s">
        <v>39</v>
      </c>
      <c r="D3316" s="2">
        <v>42522</v>
      </c>
      <c r="E3316" t="s">
        <v>11</v>
      </c>
      <c r="F3316">
        <v>112</v>
      </c>
      <c r="G3316" t="str">
        <f>VLOOKUP(Table1_2[[#This Row],[Categories]],Sheet3!$A$1:$B$27,2,FALSE)</f>
        <v>Food &amp;Beverage</v>
      </c>
    </row>
    <row r="3317" spans="1:7" x14ac:dyDescent="0.3">
      <c r="A3317" t="s">
        <v>33</v>
      </c>
      <c r="B3317">
        <v>2016</v>
      </c>
      <c r="C3317" t="s">
        <v>39</v>
      </c>
      <c r="D3317" s="2">
        <v>42522</v>
      </c>
      <c r="E3317" t="s">
        <v>12</v>
      </c>
      <c r="F3317">
        <v>142.80000000000001</v>
      </c>
      <c r="G3317" t="str">
        <f>VLOOKUP(Table1_2[[#This Row],[Categories]],Sheet3!$A$1:$B$27,2,FALSE)</f>
        <v>Food &amp;Beverage</v>
      </c>
    </row>
    <row r="3318" spans="1:7" x14ac:dyDescent="0.3">
      <c r="A3318" t="s">
        <v>33</v>
      </c>
      <c r="B3318">
        <v>2016</v>
      </c>
      <c r="C3318" t="s">
        <v>39</v>
      </c>
      <c r="D3318" s="2">
        <v>42522</v>
      </c>
      <c r="E3318" t="s">
        <v>13</v>
      </c>
      <c r="F3318">
        <v>121.6</v>
      </c>
      <c r="G3318" t="str">
        <f>VLOOKUP(Table1_2[[#This Row],[Categories]],Sheet3!$A$1:$B$27,2,FALSE)</f>
        <v>Food &amp;Beverage</v>
      </c>
    </row>
    <row r="3319" spans="1:7" x14ac:dyDescent="0.3">
      <c r="A3319" t="s">
        <v>33</v>
      </c>
      <c r="B3319">
        <v>2016</v>
      </c>
      <c r="C3319" t="s">
        <v>39</v>
      </c>
      <c r="D3319" s="2">
        <v>42522</v>
      </c>
      <c r="E3319" t="s">
        <v>14</v>
      </c>
      <c r="F3319">
        <v>136.9</v>
      </c>
      <c r="G3319" t="str">
        <f>VLOOKUP(Table1_2[[#This Row],[Categories]],Sheet3!$A$1:$B$27,2,FALSE)</f>
        <v>Food &amp;Beverage</v>
      </c>
    </row>
    <row r="3320" spans="1:7" x14ac:dyDescent="0.3">
      <c r="A3320" t="s">
        <v>33</v>
      </c>
      <c r="B3320">
        <v>2016</v>
      </c>
      <c r="C3320" t="s">
        <v>39</v>
      </c>
      <c r="D3320" s="2">
        <v>42522</v>
      </c>
      <c r="E3320" t="s">
        <v>15</v>
      </c>
      <c r="F3320">
        <v>138.19999999999999</v>
      </c>
      <c r="G3320" t="str">
        <f>VLOOKUP(Table1_2[[#This Row],[Categories]],Sheet3!$A$1:$B$27,2,FALSE)</f>
        <v>Food &amp;Beverage</v>
      </c>
    </row>
    <row r="3321" spans="1:7" x14ac:dyDescent="0.3">
      <c r="A3321" t="s">
        <v>33</v>
      </c>
      <c r="B3321">
        <v>2016</v>
      </c>
      <c r="C3321" t="s">
        <v>39</v>
      </c>
      <c r="D3321" s="2">
        <v>42522</v>
      </c>
      <c r="E3321" t="s">
        <v>16</v>
      </c>
      <c r="F3321">
        <v>142.69999999999999</v>
      </c>
      <c r="G3321" t="str">
        <f>VLOOKUP(Table1_2[[#This Row],[Categories]],Sheet3!$A$1:$B$27,2,FALSE)</f>
        <v>Recreation and amusement</v>
      </c>
    </row>
    <row r="3322" spans="1:7" x14ac:dyDescent="0.3">
      <c r="A3322" t="s">
        <v>33</v>
      </c>
      <c r="B3322">
        <v>2016</v>
      </c>
      <c r="C3322" t="s">
        <v>39</v>
      </c>
      <c r="D3322" s="2">
        <v>42522</v>
      </c>
      <c r="E3322" t="s">
        <v>17</v>
      </c>
      <c r="F3322">
        <v>127.6</v>
      </c>
      <c r="G3322" t="str">
        <f>VLOOKUP(Table1_2[[#This Row],[Categories]],Sheet3!$A$1:$B$27,2,FALSE)</f>
        <v>Clothing and footwear</v>
      </c>
    </row>
    <row r="3323" spans="1:7" x14ac:dyDescent="0.3">
      <c r="A3323" t="s">
        <v>33</v>
      </c>
      <c r="B3323">
        <v>2016</v>
      </c>
      <c r="C3323" t="s">
        <v>39</v>
      </c>
      <c r="D3323" s="2">
        <v>42522</v>
      </c>
      <c r="E3323" t="s">
        <v>18</v>
      </c>
      <c r="F3323">
        <v>121.1</v>
      </c>
      <c r="G3323" t="str">
        <f>VLOOKUP(Table1_2[[#This Row],[Categories]],Sheet3!$A$1:$B$27,2,FALSE)</f>
        <v>Clothing and footwear</v>
      </c>
    </row>
    <row r="3324" spans="1:7" x14ac:dyDescent="0.3">
      <c r="A3324" t="s">
        <v>33</v>
      </c>
      <c r="B3324">
        <v>2016</v>
      </c>
      <c r="C3324" t="s">
        <v>39</v>
      </c>
      <c r="D3324" s="2">
        <v>42522</v>
      </c>
      <c r="E3324" t="s">
        <v>19</v>
      </c>
      <c r="F3324">
        <v>126.6</v>
      </c>
      <c r="G3324" t="str">
        <f>VLOOKUP(Table1_2[[#This Row],[Categories]],Sheet3!$A$1:$B$27,2,FALSE)</f>
        <v>Clothing and footwear</v>
      </c>
    </row>
    <row r="3325" spans="1:7" x14ac:dyDescent="0.3">
      <c r="A3325" t="s">
        <v>33</v>
      </c>
      <c r="B3325">
        <v>2016</v>
      </c>
      <c r="C3325" t="s">
        <v>39</v>
      </c>
      <c r="D3325" s="2">
        <v>42522</v>
      </c>
      <c r="E3325" t="s">
        <v>20</v>
      </c>
      <c r="F3325">
        <v>125.5</v>
      </c>
      <c r="G3325" t="str">
        <f>VLOOKUP(Table1_2[[#This Row],[Categories]],Sheet3!$A$1:$B$27,2,FALSE)</f>
        <v>Housing</v>
      </c>
    </row>
    <row r="3326" spans="1:7" x14ac:dyDescent="0.3">
      <c r="A3326" t="s">
        <v>33</v>
      </c>
      <c r="B3326">
        <v>2016</v>
      </c>
      <c r="C3326" t="s">
        <v>39</v>
      </c>
      <c r="D3326" s="2">
        <v>42522</v>
      </c>
      <c r="E3326" t="s">
        <v>21</v>
      </c>
      <c r="F3326">
        <v>115.5</v>
      </c>
      <c r="G3326" t="str">
        <f>VLOOKUP(Table1_2[[#This Row],[Categories]],Sheet3!$A$1:$B$27,2,FALSE)</f>
        <v>Fuel and light</v>
      </c>
    </row>
    <row r="3327" spans="1:7" x14ac:dyDescent="0.3">
      <c r="A3327" t="s">
        <v>33</v>
      </c>
      <c r="B3327">
        <v>2016</v>
      </c>
      <c r="C3327" t="s">
        <v>39</v>
      </c>
      <c r="D3327" s="2">
        <v>42522</v>
      </c>
      <c r="E3327" t="s">
        <v>22</v>
      </c>
      <c r="F3327">
        <v>123.2</v>
      </c>
      <c r="G3327" t="str">
        <f>VLOOKUP(Table1_2[[#This Row],[Categories]],Sheet3!$A$1:$B$27,2,FALSE)</f>
        <v>Household Items</v>
      </c>
    </row>
    <row r="3328" spans="1:7" x14ac:dyDescent="0.3">
      <c r="A3328" t="s">
        <v>33</v>
      </c>
      <c r="B3328">
        <v>2016</v>
      </c>
      <c r="C3328" t="s">
        <v>39</v>
      </c>
      <c r="D3328" s="2">
        <v>42522</v>
      </c>
      <c r="E3328" t="s">
        <v>23</v>
      </c>
      <c r="F3328">
        <v>120.6</v>
      </c>
      <c r="G3328" t="str">
        <f>VLOOKUP(Table1_2[[#This Row],[Categories]],Sheet3!$A$1:$B$27,2,FALSE)</f>
        <v>Health</v>
      </c>
    </row>
    <row r="3329" spans="1:7" x14ac:dyDescent="0.3">
      <c r="A3329" t="s">
        <v>33</v>
      </c>
      <c r="B3329">
        <v>2016</v>
      </c>
      <c r="C3329" t="s">
        <v>39</v>
      </c>
      <c r="D3329" s="2">
        <v>42522</v>
      </c>
      <c r="E3329" t="s">
        <v>24</v>
      </c>
      <c r="F3329">
        <v>112.3</v>
      </c>
      <c r="G3329" t="str">
        <f>VLOOKUP(Table1_2[[#This Row],[Categories]],Sheet3!$A$1:$B$27,2,FALSE)</f>
        <v>Transport and communication</v>
      </c>
    </row>
    <row r="3330" spans="1:7" x14ac:dyDescent="0.3">
      <c r="A3330" t="s">
        <v>33</v>
      </c>
      <c r="B3330">
        <v>2016</v>
      </c>
      <c r="C3330" t="s">
        <v>39</v>
      </c>
      <c r="D3330" s="2">
        <v>42522</v>
      </c>
      <c r="E3330" t="s">
        <v>25</v>
      </c>
      <c r="F3330">
        <v>119.9</v>
      </c>
      <c r="G3330" t="str">
        <f>VLOOKUP(Table1_2[[#This Row],[Categories]],Sheet3!$A$1:$B$27,2,FALSE)</f>
        <v>Recreation and amusement</v>
      </c>
    </row>
    <row r="3331" spans="1:7" x14ac:dyDescent="0.3">
      <c r="A3331" t="s">
        <v>33</v>
      </c>
      <c r="B3331">
        <v>2016</v>
      </c>
      <c r="C3331" t="s">
        <v>39</v>
      </c>
      <c r="D3331" s="2">
        <v>42522</v>
      </c>
      <c r="E3331" t="s">
        <v>26</v>
      </c>
      <c r="F3331">
        <v>129.30000000000001</v>
      </c>
      <c r="G3331" t="str">
        <f>VLOOKUP(Table1_2[[#This Row],[Categories]],Sheet3!$A$1:$B$27,2,FALSE)</f>
        <v>Education</v>
      </c>
    </row>
    <row r="3332" spans="1:7" x14ac:dyDescent="0.3">
      <c r="A3332" t="s">
        <v>33</v>
      </c>
      <c r="B3332">
        <v>2016</v>
      </c>
      <c r="C3332" t="s">
        <v>39</v>
      </c>
      <c r="D3332" s="2">
        <v>42522</v>
      </c>
      <c r="E3332" t="s">
        <v>27</v>
      </c>
      <c r="F3332">
        <v>118.8</v>
      </c>
      <c r="G3332" t="str">
        <f>VLOOKUP(Table1_2[[#This Row],[Categories]],Sheet3!$A$1:$B$27,2,FALSE)</f>
        <v>Household Items</v>
      </c>
    </row>
    <row r="3333" spans="1:7" x14ac:dyDescent="0.3">
      <c r="A3333" t="s">
        <v>33</v>
      </c>
      <c r="B3333">
        <v>2016</v>
      </c>
      <c r="C3333" t="s">
        <v>39</v>
      </c>
      <c r="D3333" s="2">
        <v>42522</v>
      </c>
      <c r="E3333" t="s">
        <v>28</v>
      </c>
      <c r="F3333">
        <v>119.6</v>
      </c>
      <c r="G3333" t="str">
        <f>VLOOKUP(Table1_2[[#This Row],[Categories]],Sheet3!$A$1:$B$27,2,FALSE)</f>
        <v>Miscellaneous</v>
      </c>
    </row>
    <row r="3334" spans="1:7" x14ac:dyDescent="0.3">
      <c r="A3334" t="s">
        <v>33</v>
      </c>
      <c r="B3334">
        <v>2016</v>
      </c>
      <c r="C3334" t="s">
        <v>39</v>
      </c>
      <c r="D3334" s="2">
        <v>42522</v>
      </c>
      <c r="E3334" t="s">
        <v>29</v>
      </c>
      <c r="F3334">
        <v>128.1</v>
      </c>
      <c r="G3334" t="str">
        <f>VLOOKUP(Table1_2[[#This Row],[Categories]],Sheet3!$A$1:$B$27,2,FALSE)</f>
        <v>General index</v>
      </c>
    </row>
    <row r="3335" spans="1:7" x14ac:dyDescent="0.3">
      <c r="A3335" t="s">
        <v>34</v>
      </c>
      <c r="B3335">
        <v>2016</v>
      </c>
      <c r="C3335" t="s">
        <v>39</v>
      </c>
      <c r="D3335" s="2">
        <v>42522</v>
      </c>
      <c r="E3335" t="s">
        <v>3</v>
      </c>
      <c r="F3335">
        <v>127.7</v>
      </c>
      <c r="G3335" t="str">
        <f>VLOOKUP(Table1_2[[#This Row],[Categories]],Sheet3!$A$1:$B$27,2,FALSE)</f>
        <v>Food &amp;Beverage</v>
      </c>
    </row>
    <row r="3336" spans="1:7" x14ac:dyDescent="0.3">
      <c r="A3336" t="s">
        <v>34</v>
      </c>
      <c r="B3336">
        <v>2016</v>
      </c>
      <c r="C3336" t="s">
        <v>39</v>
      </c>
      <c r="D3336" s="2">
        <v>42522</v>
      </c>
      <c r="E3336" t="s">
        <v>4</v>
      </c>
      <c r="F3336">
        <v>140.5</v>
      </c>
      <c r="G3336" t="str">
        <f>VLOOKUP(Table1_2[[#This Row],[Categories]],Sheet3!$A$1:$B$27,2,FALSE)</f>
        <v>Food &amp;Beverage</v>
      </c>
    </row>
    <row r="3337" spans="1:7" x14ac:dyDescent="0.3">
      <c r="A3337" t="s">
        <v>34</v>
      </c>
      <c r="B3337">
        <v>2016</v>
      </c>
      <c r="C3337" t="s">
        <v>39</v>
      </c>
      <c r="D3337" s="2">
        <v>42522</v>
      </c>
      <c r="E3337" t="s">
        <v>5</v>
      </c>
      <c r="F3337">
        <v>128.30000000000001</v>
      </c>
      <c r="G3337" t="str">
        <f>VLOOKUP(Table1_2[[#This Row],[Categories]],Sheet3!$A$1:$B$27,2,FALSE)</f>
        <v>Food &amp;Beverage</v>
      </c>
    </row>
    <row r="3338" spans="1:7" x14ac:dyDescent="0.3">
      <c r="A3338" t="s">
        <v>34</v>
      </c>
      <c r="B3338">
        <v>2016</v>
      </c>
      <c r="C3338" t="s">
        <v>39</v>
      </c>
      <c r="D3338" s="2">
        <v>42522</v>
      </c>
      <c r="E3338" t="s">
        <v>6</v>
      </c>
      <c r="F3338">
        <v>132.6</v>
      </c>
      <c r="G3338" t="str">
        <f>VLOOKUP(Table1_2[[#This Row],[Categories]],Sheet3!$A$1:$B$27,2,FALSE)</f>
        <v>Food &amp;Beverage</v>
      </c>
    </row>
    <row r="3339" spans="1:7" x14ac:dyDescent="0.3">
      <c r="A3339" t="s">
        <v>34</v>
      </c>
      <c r="B3339">
        <v>2016</v>
      </c>
      <c r="C3339" t="s">
        <v>39</v>
      </c>
      <c r="D3339" s="2">
        <v>42522</v>
      </c>
      <c r="E3339" t="s">
        <v>7</v>
      </c>
      <c r="F3339">
        <v>115.5</v>
      </c>
      <c r="G3339" t="str">
        <f>VLOOKUP(Table1_2[[#This Row],[Categories]],Sheet3!$A$1:$B$27,2,FALSE)</f>
        <v>Food &amp;Beverage</v>
      </c>
    </row>
    <row r="3340" spans="1:7" x14ac:dyDescent="0.3">
      <c r="A3340" t="s">
        <v>34</v>
      </c>
      <c r="B3340">
        <v>2016</v>
      </c>
      <c r="C3340" t="s">
        <v>39</v>
      </c>
      <c r="D3340" s="2">
        <v>42522</v>
      </c>
      <c r="E3340" t="s">
        <v>8</v>
      </c>
      <c r="F3340">
        <v>136.5</v>
      </c>
      <c r="G3340" t="str">
        <f>VLOOKUP(Table1_2[[#This Row],[Categories]],Sheet3!$A$1:$B$27,2,FALSE)</f>
        <v>Food &amp;Beverage</v>
      </c>
    </row>
    <row r="3341" spans="1:7" x14ac:dyDescent="0.3">
      <c r="A3341" t="s">
        <v>34</v>
      </c>
      <c r="B3341">
        <v>2016</v>
      </c>
      <c r="C3341" t="s">
        <v>39</v>
      </c>
      <c r="D3341" s="2">
        <v>42522</v>
      </c>
      <c r="E3341" t="s">
        <v>9</v>
      </c>
      <c r="F3341">
        <v>159.69999999999999</v>
      </c>
      <c r="G3341" t="str">
        <f>VLOOKUP(Table1_2[[#This Row],[Categories]],Sheet3!$A$1:$B$27,2,FALSE)</f>
        <v>Food &amp;Beverage</v>
      </c>
    </row>
    <row r="3342" spans="1:7" x14ac:dyDescent="0.3">
      <c r="A3342" t="s">
        <v>34</v>
      </c>
      <c r="B3342">
        <v>2016</v>
      </c>
      <c r="C3342" t="s">
        <v>39</v>
      </c>
      <c r="D3342" s="2">
        <v>42522</v>
      </c>
      <c r="E3342" t="s">
        <v>10</v>
      </c>
      <c r="F3342">
        <v>174.3</v>
      </c>
      <c r="G3342" t="str">
        <f>VLOOKUP(Table1_2[[#This Row],[Categories]],Sheet3!$A$1:$B$27,2,FALSE)</f>
        <v>Food &amp;Beverage</v>
      </c>
    </row>
    <row r="3343" spans="1:7" x14ac:dyDescent="0.3">
      <c r="A3343" t="s">
        <v>34</v>
      </c>
      <c r="B3343">
        <v>2016</v>
      </c>
      <c r="C3343" t="s">
        <v>39</v>
      </c>
      <c r="D3343" s="2">
        <v>42522</v>
      </c>
      <c r="E3343" t="s">
        <v>11</v>
      </c>
      <c r="F3343">
        <v>109.9</v>
      </c>
      <c r="G3343" t="str">
        <f>VLOOKUP(Table1_2[[#This Row],[Categories]],Sheet3!$A$1:$B$27,2,FALSE)</f>
        <v>Food &amp;Beverage</v>
      </c>
    </row>
    <row r="3344" spans="1:7" x14ac:dyDescent="0.3">
      <c r="A3344" t="s">
        <v>34</v>
      </c>
      <c r="B3344">
        <v>2016</v>
      </c>
      <c r="C3344" t="s">
        <v>39</v>
      </c>
      <c r="D3344" s="2">
        <v>42522</v>
      </c>
      <c r="E3344" t="s">
        <v>12</v>
      </c>
      <c r="F3344">
        <v>136.30000000000001</v>
      </c>
      <c r="G3344" t="str">
        <f>VLOOKUP(Table1_2[[#This Row],[Categories]],Sheet3!$A$1:$B$27,2,FALSE)</f>
        <v>Food &amp;Beverage</v>
      </c>
    </row>
    <row r="3345" spans="1:7" x14ac:dyDescent="0.3">
      <c r="A3345" t="s">
        <v>34</v>
      </c>
      <c r="B3345">
        <v>2016</v>
      </c>
      <c r="C3345" t="s">
        <v>39</v>
      </c>
      <c r="D3345" s="2">
        <v>42522</v>
      </c>
      <c r="E3345" t="s">
        <v>13</v>
      </c>
      <c r="F3345">
        <v>124.4</v>
      </c>
      <c r="G3345" t="str">
        <f>VLOOKUP(Table1_2[[#This Row],[Categories]],Sheet3!$A$1:$B$27,2,FALSE)</f>
        <v>Food &amp;Beverage</v>
      </c>
    </row>
    <row r="3346" spans="1:7" x14ac:dyDescent="0.3">
      <c r="A3346" t="s">
        <v>34</v>
      </c>
      <c r="B3346">
        <v>2016</v>
      </c>
      <c r="C3346" t="s">
        <v>39</v>
      </c>
      <c r="D3346" s="2">
        <v>42522</v>
      </c>
      <c r="E3346" t="s">
        <v>14</v>
      </c>
      <c r="F3346">
        <v>138.1</v>
      </c>
      <c r="G3346" t="str">
        <f>VLOOKUP(Table1_2[[#This Row],[Categories]],Sheet3!$A$1:$B$27,2,FALSE)</f>
        <v>Food &amp;Beverage</v>
      </c>
    </row>
    <row r="3347" spans="1:7" x14ac:dyDescent="0.3">
      <c r="A3347" t="s">
        <v>34</v>
      </c>
      <c r="B3347">
        <v>2016</v>
      </c>
      <c r="C3347" t="s">
        <v>39</v>
      </c>
      <c r="D3347" s="2">
        <v>42522</v>
      </c>
      <c r="E3347" t="s">
        <v>15</v>
      </c>
      <c r="F3347">
        <v>136.80000000000001</v>
      </c>
      <c r="G3347" t="str">
        <f>VLOOKUP(Table1_2[[#This Row],[Categories]],Sheet3!$A$1:$B$27,2,FALSE)</f>
        <v>Food &amp;Beverage</v>
      </c>
    </row>
    <row r="3348" spans="1:7" x14ac:dyDescent="0.3">
      <c r="A3348" t="s">
        <v>34</v>
      </c>
      <c r="B3348">
        <v>2016</v>
      </c>
      <c r="C3348" t="s">
        <v>39</v>
      </c>
      <c r="D3348" s="2">
        <v>42522</v>
      </c>
      <c r="E3348" t="s">
        <v>16</v>
      </c>
      <c r="F3348">
        <v>138.69999999999999</v>
      </c>
      <c r="G3348" t="str">
        <f>VLOOKUP(Table1_2[[#This Row],[Categories]],Sheet3!$A$1:$B$27,2,FALSE)</f>
        <v>Recreation and amusement</v>
      </c>
    </row>
    <row r="3349" spans="1:7" x14ac:dyDescent="0.3">
      <c r="A3349" t="s">
        <v>34</v>
      </c>
      <c r="B3349">
        <v>2016</v>
      </c>
      <c r="C3349" t="s">
        <v>39</v>
      </c>
      <c r="D3349" s="2">
        <v>42522</v>
      </c>
      <c r="E3349" t="s">
        <v>17</v>
      </c>
      <c r="F3349">
        <v>132.9</v>
      </c>
      <c r="G3349" t="str">
        <f>VLOOKUP(Table1_2[[#This Row],[Categories]],Sheet3!$A$1:$B$27,2,FALSE)</f>
        <v>Clothing and footwear</v>
      </c>
    </row>
    <row r="3350" spans="1:7" x14ac:dyDescent="0.3">
      <c r="A3350" t="s">
        <v>34</v>
      </c>
      <c r="B3350">
        <v>2016</v>
      </c>
      <c r="C3350" t="s">
        <v>39</v>
      </c>
      <c r="D3350" s="2">
        <v>42522</v>
      </c>
      <c r="E3350" t="s">
        <v>18</v>
      </c>
      <c r="F3350">
        <v>127.2</v>
      </c>
      <c r="G3350" t="str">
        <f>VLOOKUP(Table1_2[[#This Row],[Categories]],Sheet3!$A$1:$B$27,2,FALSE)</f>
        <v>Clothing and footwear</v>
      </c>
    </row>
    <row r="3351" spans="1:7" x14ac:dyDescent="0.3">
      <c r="A3351" t="s">
        <v>34</v>
      </c>
      <c r="B3351">
        <v>2016</v>
      </c>
      <c r="C3351" t="s">
        <v>39</v>
      </c>
      <c r="D3351" s="2">
        <v>42522</v>
      </c>
      <c r="E3351" t="s">
        <v>19</v>
      </c>
      <c r="F3351">
        <v>132</v>
      </c>
      <c r="G3351" t="str">
        <f>VLOOKUP(Table1_2[[#This Row],[Categories]],Sheet3!$A$1:$B$27,2,FALSE)</f>
        <v>Clothing and footwear</v>
      </c>
    </row>
    <row r="3352" spans="1:7" x14ac:dyDescent="0.3">
      <c r="A3352" t="s">
        <v>34</v>
      </c>
      <c r="B3352">
        <v>2016</v>
      </c>
      <c r="C3352" t="s">
        <v>39</v>
      </c>
      <c r="D3352" s="2">
        <v>42522</v>
      </c>
      <c r="E3352" t="s">
        <v>20</v>
      </c>
      <c r="F3352">
        <v>125.5</v>
      </c>
      <c r="G3352" t="str">
        <f>VLOOKUP(Table1_2[[#This Row],[Categories]],Sheet3!$A$1:$B$27,2,FALSE)</f>
        <v>Housing</v>
      </c>
    </row>
    <row r="3353" spans="1:7" x14ac:dyDescent="0.3">
      <c r="A3353" t="s">
        <v>34</v>
      </c>
      <c r="B3353">
        <v>2016</v>
      </c>
      <c r="C3353" t="s">
        <v>39</v>
      </c>
      <c r="D3353" s="2">
        <v>42522</v>
      </c>
      <c r="E3353" t="s">
        <v>21</v>
      </c>
      <c r="F3353">
        <v>123.3</v>
      </c>
      <c r="G3353" t="str">
        <f>VLOOKUP(Table1_2[[#This Row],[Categories]],Sheet3!$A$1:$B$27,2,FALSE)</f>
        <v>Fuel and light</v>
      </c>
    </row>
    <row r="3354" spans="1:7" x14ac:dyDescent="0.3">
      <c r="A3354" t="s">
        <v>34</v>
      </c>
      <c r="B3354">
        <v>2016</v>
      </c>
      <c r="C3354" t="s">
        <v>39</v>
      </c>
      <c r="D3354" s="2">
        <v>42522</v>
      </c>
      <c r="E3354" t="s">
        <v>22</v>
      </c>
      <c r="F3354">
        <v>126.4</v>
      </c>
      <c r="G3354" t="str">
        <f>VLOOKUP(Table1_2[[#This Row],[Categories]],Sheet3!$A$1:$B$27,2,FALSE)</f>
        <v>Household Items</v>
      </c>
    </row>
    <row r="3355" spans="1:7" x14ac:dyDescent="0.3">
      <c r="A3355" t="s">
        <v>34</v>
      </c>
      <c r="B3355">
        <v>2016</v>
      </c>
      <c r="C3355" t="s">
        <v>39</v>
      </c>
      <c r="D3355" s="2">
        <v>42522</v>
      </c>
      <c r="E3355" t="s">
        <v>23</v>
      </c>
      <c r="F3355">
        <v>124.1</v>
      </c>
      <c r="G3355" t="str">
        <f>VLOOKUP(Table1_2[[#This Row],[Categories]],Sheet3!$A$1:$B$27,2,FALSE)</f>
        <v>Health</v>
      </c>
    </row>
    <row r="3356" spans="1:7" x14ac:dyDescent="0.3">
      <c r="A3356" t="s">
        <v>34</v>
      </c>
      <c r="B3356">
        <v>2016</v>
      </c>
      <c r="C3356" t="s">
        <v>39</v>
      </c>
      <c r="D3356" s="2">
        <v>42522</v>
      </c>
      <c r="E3356" t="s">
        <v>24</v>
      </c>
      <c r="F3356">
        <v>114.2</v>
      </c>
      <c r="G3356" t="str">
        <f>VLOOKUP(Table1_2[[#This Row],[Categories]],Sheet3!$A$1:$B$27,2,FALSE)</f>
        <v>Transport and communication</v>
      </c>
    </row>
    <row r="3357" spans="1:7" x14ac:dyDescent="0.3">
      <c r="A3357" t="s">
        <v>34</v>
      </c>
      <c r="B3357">
        <v>2016</v>
      </c>
      <c r="C3357" t="s">
        <v>39</v>
      </c>
      <c r="D3357" s="2">
        <v>42522</v>
      </c>
      <c r="E3357" t="s">
        <v>25</v>
      </c>
      <c r="F3357">
        <v>121.7</v>
      </c>
      <c r="G3357" t="str">
        <f>VLOOKUP(Table1_2[[#This Row],[Categories]],Sheet3!$A$1:$B$27,2,FALSE)</f>
        <v>Recreation and amusement</v>
      </c>
    </row>
    <row r="3358" spans="1:7" x14ac:dyDescent="0.3">
      <c r="A3358" t="s">
        <v>34</v>
      </c>
      <c r="B3358">
        <v>2016</v>
      </c>
      <c r="C3358" t="s">
        <v>39</v>
      </c>
      <c r="D3358" s="2">
        <v>42522</v>
      </c>
      <c r="E3358" t="s">
        <v>26</v>
      </c>
      <c r="F3358">
        <v>129.69999999999999</v>
      </c>
      <c r="G3358" t="str">
        <f>VLOOKUP(Table1_2[[#This Row],[Categories]],Sheet3!$A$1:$B$27,2,FALSE)</f>
        <v>Education</v>
      </c>
    </row>
    <row r="3359" spans="1:7" x14ac:dyDescent="0.3">
      <c r="A3359" t="s">
        <v>34</v>
      </c>
      <c r="B3359">
        <v>2016</v>
      </c>
      <c r="C3359" t="s">
        <v>39</v>
      </c>
      <c r="D3359" s="2">
        <v>42522</v>
      </c>
      <c r="E3359" t="s">
        <v>27</v>
      </c>
      <c r="F3359">
        <v>119.4</v>
      </c>
      <c r="G3359" t="str">
        <f>VLOOKUP(Table1_2[[#This Row],[Categories]],Sheet3!$A$1:$B$27,2,FALSE)</f>
        <v>Household Items</v>
      </c>
    </row>
    <row r="3360" spans="1:7" x14ac:dyDescent="0.3">
      <c r="A3360" t="s">
        <v>34</v>
      </c>
      <c r="B3360">
        <v>2016</v>
      </c>
      <c r="C3360" t="s">
        <v>39</v>
      </c>
      <c r="D3360" s="2">
        <v>42522</v>
      </c>
      <c r="E3360" t="s">
        <v>28</v>
      </c>
      <c r="F3360">
        <v>121.5</v>
      </c>
      <c r="G3360" t="str">
        <f>VLOOKUP(Table1_2[[#This Row],[Categories]],Sheet3!$A$1:$B$27,2,FALSE)</f>
        <v>Miscellaneous</v>
      </c>
    </row>
    <row r="3361" spans="1:7" x14ac:dyDescent="0.3">
      <c r="A3361" t="s">
        <v>34</v>
      </c>
      <c r="B3361">
        <v>2016</v>
      </c>
      <c r="C3361" t="s">
        <v>39</v>
      </c>
      <c r="D3361" s="2">
        <v>42522</v>
      </c>
      <c r="E3361" t="s">
        <v>29</v>
      </c>
      <c r="F3361">
        <v>130.1</v>
      </c>
      <c r="G3361" t="str">
        <f>VLOOKUP(Table1_2[[#This Row],[Categories]],Sheet3!$A$1:$B$27,2,FALSE)</f>
        <v>General index</v>
      </c>
    </row>
    <row r="3362" spans="1:7" x14ac:dyDescent="0.3">
      <c r="A3362" t="s">
        <v>30</v>
      </c>
      <c r="B3362">
        <v>2016</v>
      </c>
      <c r="C3362" t="s">
        <v>40</v>
      </c>
      <c r="D3362" s="2">
        <v>42552</v>
      </c>
      <c r="E3362" t="s">
        <v>3</v>
      </c>
      <c r="F3362">
        <v>129.30000000000001</v>
      </c>
      <c r="G3362" t="str">
        <f>VLOOKUP(Table1_2[[#This Row],[Categories]],Sheet3!$A$1:$B$27,2,FALSE)</f>
        <v>Food &amp;Beverage</v>
      </c>
    </row>
    <row r="3363" spans="1:7" x14ac:dyDescent="0.3">
      <c r="A3363" t="s">
        <v>30</v>
      </c>
      <c r="B3363">
        <v>2016</v>
      </c>
      <c r="C3363" t="s">
        <v>40</v>
      </c>
      <c r="D3363" s="2">
        <v>42552</v>
      </c>
      <c r="E3363" t="s">
        <v>4</v>
      </c>
      <c r="F3363">
        <v>139.5</v>
      </c>
      <c r="G3363" t="str">
        <f>VLOOKUP(Table1_2[[#This Row],[Categories]],Sheet3!$A$1:$B$27,2,FALSE)</f>
        <v>Food &amp;Beverage</v>
      </c>
    </row>
    <row r="3364" spans="1:7" x14ac:dyDescent="0.3">
      <c r="A3364" t="s">
        <v>30</v>
      </c>
      <c r="B3364">
        <v>2016</v>
      </c>
      <c r="C3364" t="s">
        <v>40</v>
      </c>
      <c r="D3364" s="2">
        <v>42552</v>
      </c>
      <c r="E3364" t="s">
        <v>5</v>
      </c>
      <c r="F3364">
        <v>129.6</v>
      </c>
      <c r="G3364" t="str">
        <f>VLOOKUP(Table1_2[[#This Row],[Categories]],Sheet3!$A$1:$B$27,2,FALSE)</f>
        <v>Food &amp;Beverage</v>
      </c>
    </row>
    <row r="3365" spans="1:7" x14ac:dyDescent="0.3">
      <c r="A3365" t="s">
        <v>30</v>
      </c>
      <c r="B3365">
        <v>2016</v>
      </c>
      <c r="C3365" t="s">
        <v>40</v>
      </c>
      <c r="D3365" s="2">
        <v>42552</v>
      </c>
      <c r="E3365" t="s">
        <v>6</v>
      </c>
      <c r="F3365">
        <v>134.5</v>
      </c>
      <c r="G3365" t="str">
        <f>VLOOKUP(Table1_2[[#This Row],[Categories]],Sheet3!$A$1:$B$27,2,FALSE)</f>
        <v>Food &amp;Beverage</v>
      </c>
    </row>
    <row r="3366" spans="1:7" x14ac:dyDescent="0.3">
      <c r="A3366" t="s">
        <v>30</v>
      </c>
      <c r="B3366">
        <v>2016</v>
      </c>
      <c r="C3366" t="s">
        <v>40</v>
      </c>
      <c r="D3366" s="2">
        <v>42552</v>
      </c>
      <c r="E3366" t="s">
        <v>7</v>
      </c>
      <c r="F3366">
        <v>119.5</v>
      </c>
      <c r="G3366" t="str">
        <f>VLOOKUP(Table1_2[[#This Row],[Categories]],Sheet3!$A$1:$B$27,2,FALSE)</f>
        <v>Food &amp;Beverage</v>
      </c>
    </row>
    <row r="3367" spans="1:7" x14ac:dyDescent="0.3">
      <c r="A3367" t="s">
        <v>30</v>
      </c>
      <c r="B3367">
        <v>2016</v>
      </c>
      <c r="C3367" t="s">
        <v>40</v>
      </c>
      <c r="D3367" s="2">
        <v>42552</v>
      </c>
      <c r="E3367" t="s">
        <v>8</v>
      </c>
      <c r="F3367">
        <v>138.5</v>
      </c>
      <c r="G3367" t="str">
        <f>VLOOKUP(Table1_2[[#This Row],[Categories]],Sheet3!$A$1:$B$27,2,FALSE)</f>
        <v>Food &amp;Beverage</v>
      </c>
    </row>
    <row r="3368" spans="1:7" x14ac:dyDescent="0.3">
      <c r="A3368" t="s">
        <v>30</v>
      </c>
      <c r="B3368">
        <v>2016</v>
      </c>
      <c r="C3368" t="s">
        <v>40</v>
      </c>
      <c r="D3368" s="2">
        <v>42552</v>
      </c>
      <c r="E3368" t="s">
        <v>9</v>
      </c>
      <c r="F3368">
        <v>158.19999999999999</v>
      </c>
      <c r="G3368" t="str">
        <f>VLOOKUP(Table1_2[[#This Row],[Categories]],Sheet3!$A$1:$B$27,2,FALSE)</f>
        <v>Food &amp;Beverage</v>
      </c>
    </row>
    <row r="3369" spans="1:7" x14ac:dyDescent="0.3">
      <c r="A3369" t="s">
        <v>30</v>
      </c>
      <c r="B3369">
        <v>2016</v>
      </c>
      <c r="C3369" t="s">
        <v>40</v>
      </c>
      <c r="D3369" s="2">
        <v>42552</v>
      </c>
      <c r="E3369" t="s">
        <v>10</v>
      </c>
      <c r="F3369">
        <v>171.8</v>
      </c>
      <c r="G3369" t="str">
        <f>VLOOKUP(Table1_2[[#This Row],[Categories]],Sheet3!$A$1:$B$27,2,FALSE)</f>
        <v>Food &amp;Beverage</v>
      </c>
    </row>
    <row r="3370" spans="1:7" x14ac:dyDescent="0.3">
      <c r="A3370" t="s">
        <v>30</v>
      </c>
      <c r="B3370">
        <v>2016</v>
      </c>
      <c r="C3370" t="s">
        <v>40</v>
      </c>
      <c r="D3370" s="2">
        <v>42552</v>
      </c>
      <c r="E3370" t="s">
        <v>11</v>
      </c>
      <c r="F3370">
        <v>110.3</v>
      </c>
      <c r="G3370" t="str">
        <f>VLOOKUP(Table1_2[[#This Row],[Categories]],Sheet3!$A$1:$B$27,2,FALSE)</f>
        <v>Food &amp;Beverage</v>
      </c>
    </row>
    <row r="3371" spans="1:7" x14ac:dyDescent="0.3">
      <c r="A3371" t="s">
        <v>30</v>
      </c>
      <c r="B3371">
        <v>2016</v>
      </c>
      <c r="C3371" t="s">
        <v>40</v>
      </c>
      <c r="D3371" s="2">
        <v>42552</v>
      </c>
      <c r="E3371" t="s">
        <v>12</v>
      </c>
      <c r="F3371">
        <v>134.30000000000001</v>
      </c>
      <c r="G3371" t="str">
        <f>VLOOKUP(Table1_2[[#This Row],[Categories]],Sheet3!$A$1:$B$27,2,FALSE)</f>
        <v>Food &amp;Beverage</v>
      </c>
    </row>
    <row r="3372" spans="1:7" x14ac:dyDescent="0.3">
      <c r="A3372" t="s">
        <v>30</v>
      </c>
      <c r="B3372">
        <v>2016</v>
      </c>
      <c r="C3372" t="s">
        <v>40</v>
      </c>
      <c r="D3372" s="2">
        <v>42552</v>
      </c>
      <c r="E3372" t="s">
        <v>13</v>
      </c>
      <c r="F3372">
        <v>127.3</v>
      </c>
      <c r="G3372" t="str">
        <f>VLOOKUP(Table1_2[[#This Row],[Categories]],Sheet3!$A$1:$B$27,2,FALSE)</f>
        <v>Food &amp;Beverage</v>
      </c>
    </row>
    <row r="3373" spans="1:7" x14ac:dyDescent="0.3">
      <c r="A3373" t="s">
        <v>30</v>
      </c>
      <c r="B3373">
        <v>2016</v>
      </c>
      <c r="C3373" t="s">
        <v>40</v>
      </c>
      <c r="D3373" s="2">
        <v>42552</v>
      </c>
      <c r="E3373" t="s">
        <v>14</v>
      </c>
      <c r="F3373">
        <v>139.9</v>
      </c>
      <c r="G3373" t="str">
        <f>VLOOKUP(Table1_2[[#This Row],[Categories]],Sheet3!$A$1:$B$27,2,FALSE)</f>
        <v>Food &amp;Beverage</v>
      </c>
    </row>
    <row r="3374" spans="1:7" x14ac:dyDescent="0.3">
      <c r="A3374" t="s">
        <v>30</v>
      </c>
      <c r="B3374">
        <v>2016</v>
      </c>
      <c r="C3374" t="s">
        <v>40</v>
      </c>
      <c r="D3374" s="2">
        <v>42552</v>
      </c>
      <c r="E3374" t="s">
        <v>15</v>
      </c>
      <c r="F3374">
        <v>137.6</v>
      </c>
      <c r="G3374" t="str">
        <f>VLOOKUP(Table1_2[[#This Row],[Categories]],Sheet3!$A$1:$B$27,2,FALSE)</f>
        <v>Food &amp;Beverage</v>
      </c>
    </row>
    <row r="3375" spans="1:7" x14ac:dyDescent="0.3">
      <c r="A3375" t="s">
        <v>30</v>
      </c>
      <c r="B3375">
        <v>2016</v>
      </c>
      <c r="C3375" t="s">
        <v>40</v>
      </c>
      <c r="D3375" s="2">
        <v>42552</v>
      </c>
      <c r="E3375" t="s">
        <v>16</v>
      </c>
      <c r="F3375">
        <v>138</v>
      </c>
      <c r="G3375" t="str">
        <f>VLOOKUP(Table1_2[[#This Row],[Categories]],Sheet3!$A$1:$B$27,2,FALSE)</f>
        <v>Recreation and amusement</v>
      </c>
    </row>
    <row r="3376" spans="1:7" x14ac:dyDescent="0.3">
      <c r="A3376" t="s">
        <v>30</v>
      </c>
      <c r="B3376">
        <v>2016</v>
      </c>
      <c r="C3376" t="s">
        <v>40</v>
      </c>
      <c r="D3376" s="2">
        <v>42552</v>
      </c>
      <c r="E3376" t="s">
        <v>17</v>
      </c>
      <c r="F3376">
        <v>137.19999999999999</v>
      </c>
      <c r="G3376" t="str">
        <f>VLOOKUP(Table1_2[[#This Row],[Categories]],Sheet3!$A$1:$B$27,2,FALSE)</f>
        <v>Clothing and footwear</v>
      </c>
    </row>
    <row r="3377" spans="1:7" x14ac:dyDescent="0.3">
      <c r="A3377" t="s">
        <v>30</v>
      </c>
      <c r="B3377">
        <v>2016</v>
      </c>
      <c r="C3377" t="s">
        <v>40</v>
      </c>
      <c r="D3377" s="2">
        <v>42552</v>
      </c>
      <c r="E3377" t="s">
        <v>18</v>
      </c>
      <c r="F3377">
        <v>132.19999999999999</v>
      </c>
      <c r="G3377" t="str">
        <f>VLOOKUP(Table1_2[[#This Row],[Categories]],Sheet3!$A$1:$B$27,2,FALSE)</f>
        <v>Clothing and footwear</v>
      </c>
    </row>
    <row r="3378" spans="1:7" x14ac:dyDescent="0.3">
      <c r="A3378" t="s">
        <v>30</v>
      </c>
      <c r="B3378">
        <v>2016</v>
      </c>
      <c r="C3378" t="s">
        <v>40</v>
      </c>
      <c r="D3378" s="2">
        <v>42552</v>
      </c>
      <c r="E3378" t="s">
        <v>19</v>
      </c>
      <c r="F3378">
        <v>136.5</v>
      </c>
      <c r="G3378" t="str">
        <f>VLOOKUP(Table1_2[[#This Row],[Categories]],Sheet3!$A$1:$B$27,2,FALSE)</f>
        <v>Clothing and footwear</v>
      </c>
    </row>
    <row r="3379" spans="1:7" x14ac:dyDescent="0.3">
      <c r="A3379" t="s">
        <v>30</v>
      </c>
      <c r="B3379">
        <v>2016</v>
      </c>
      <c r="C3379" t="s">
        <v>40</v>
      </c>
      <c r="D3379" s="2">
        <v>42552</v>
      </c>
      <c r="E3379" t="s">
        <v>21</v>
      </c>
      <c r="F3379">
        <v>128.19999999999999</v>
      </c>
      <c r="G3379" t="str">
        <f>VLOOKUP(Table1_2[[#This Row],[Categories]],Sheet3!$A$1:$B$27,2,FALSE)</f>
        <v>Fuel and light</v>
      </c>
    </row>
    <row r="3380" spans="1:7" x14ac:dyDescent="0.3">
      <c r="A3380" t="s">
        <v>30</v>
      </c>
      <c r="B3380">
        <v>2016</v>
      </c>
      <c r="C3380" t="s">
        <v>40</v>
      </c>
      <c r="D3380" s="2">
        <v>42552</v>
      </c>
      <c r="E3380" t="s">
        <v>22</v>
      </c>
      <c r="F3380">
        <v>130</v>
      </c>
      <c r="G3380" t="str">
        <f>VLOOKUP(Table1_2[[#This Row],[Categories]],Sheet3!$A$1:$B$27,2,FALSE)</f>
        <v>Household Items</v>
      </c>
    </row>
    <row r="3381" spans="1:7" x14ac:dyDescent="0.3">
      <c r="A3381" t="s">
        <v>30</v>
      </c>
      <c r="B3381">
        <v>2016</v>
      </c>
      <c r="C3381" t="s">
        <v>40</v>
      </c>
      <c r="D3381" s="2">
        <v>42552</v>
      </c>
      <c r="E3381" t="s">
        <v>23</v>
      </c>
      <c r="F3381">
        <v>126.7</v>
      </c>
      <c r="G3381" t="str">
        <f>VLOOKUP(Table1_2[[#This Row],[Categories]],Sheet3!$A$1:$B$27,2,FALSE)</f>
        <v>Health</v>
      </c>
    </row>
    <row r="3382" spans="1:7" x14ac:dyDescent="0.3">
      <c r="A3382" t="s">
        <v>30</v>
      </c>
      <c r="B3382">
        <v>2016</v>
      </c>
      <c r="C3382" t="s">
        <v>40</v>
      </c>
      <c r="D3382" s="2">
        <v>42552</v>
      </c>
      <c r="E3382" t="s">
        <v>24</v>
      </c>
      <c r="F3382">
        <v>116.4</v>
      </c>
      <c r="G3382" t="str">
        <f>VLOOKUP(Table1_2[[#This Row],[Categories]],Sheet3!$A$1:$B$27,2,FALSE)</f>
        <v>Transport and communication</v>
      </c>
    </row>
    <row r="3383" spans="1:7" x14ac:dyDescent="0.3">
      <c r="A3383" t="s">
        <v>30</v>
      </c>
      <c r="B3383">
        <v>2016</v>
      </c>
      <c r="C3383" t="s">
        <v>40</v>
      </c>
      <c r="D3383" s="2">
        <v>42552</v>
      </c>
      <c r="E3383" t="s">
        <v>25</v>
      </c>
      <c r="F3383">
        <v>125.2</v>
      </c>
      <c r="G3383" t="str">
        <f>VLOOKUP(Table1_2[[#This Row],[Categories]],Sheet3!$A$1:$B$27,2,FALSE)</f>
        <v>Recreation and amusement</v>
      </c>
    </row>
    <row r="3384" spans="1:7" x14ac:dyDescent="0.3">
      <c r="A3384" t="s">
        <v>30</v>
      </c>
      <c r="B3384">
        <v>2016</v>
      </c>
      <c r="C3384" t="s">
        <v>40</v>
      </c>
      <c r="D3384" s="2">
        <v>42552</v>
      </c>
      <c r="E3384" t="s">
        <v>26</v>
      </c>
      <c r="F3384">
        <v>130.80000000000001</v>
      </c>
      <c r="G3384" t="str">
        <f>VLOOKUP(Table1_2[[#This Row],[Categories]],Sheet3!$A$1:$B$27,2,FALSE)</f>
        <v>Education</v>
      </c>
    </row>
    <row r="3385" spans="1:7" x14ac:dyDescent="0.3">
      <c r="A3385" t="s">
        <v>30</v>
      </c>
      <c r="B3385">
        <v>2016</v>
      </c>
      <c r="C3385" t="s">
        <v>40</v>
      </c>
      <c r="D3385" s="2">
        <v>42552</v>
      </c>
      <c r="E3385" t="s">
        <v>27</v>
      </c>
      <c r="F3385">
        <v>120.9</v>
      </c>
      <c r="G3385" t="str">
        <f>VLOOKUP(Table1_2[[#This Row],[Categories]],Sheet3!$A$1:$B$27,2,FALSE)</f>
        <v>Household Items</v>
      </c>
    </row>
    <row r="3386" spans="1:7" x14ac:dyDescent="0.3">
      <c r="A3386" t="s">
        <v>30</v>
      </c>
      <c r="B3386">
        <v>2016</v>
      </c>
      <c r="C3386" t="s">
        <v>40</v>
      </c>
      <c r="D3386" s="2">
        <v>42552</v>
      </c>
      <c r="E3386" t="s">
        <v>28</v>
      </c>
      <c r="F3386">
        <v>123.8</v>
      </c>
      <c r="G3386" t="str">
        <f>VLOOKUP(Table1_2[[#This Row],[Categories]],Sheet3!$A$1:$B$27,2,FALSE)</f>
        <v>Miscellaneous</v>
      </c>
    </row>
    <row r="3387" spans="1:7" x14ac:dyDescent="0.3">
      <c r="A3387" t="s">
        <v>30</v>
      </c>
      <c r="B3387">
        <v>2016</v>
      </c>
      <c r="C3387" t="s">
        <v>40</v>
      </c>
      <c r="D3387" s="2">
        <v>42552</v>
      </c>
      <c r="E3387" t="s">
        <v>29</v>
      </c>
      <c r="F3387">
        <v>133</v>
      </c>
      <c r="G3387" t="str">
        <f>VLOOKUP(Table1_2[[#This Row],[Categories]],Sheet3!$A$1:$B$27,2,FALSE)</f>
        <v>General index</v>
      </c>
    </row>
    <row r="3388" spans="1:7" x14ac:dyDescent="0.3">
      <c r="A3388" t="s">
        <v>33</v>
      </c>
      <c r="B3388">
        <v>2016</v>
      </c>
      <c r="C3388" t="s">
        <v>40</v>
      </c>
      <c r="D3388" s="2">
        <v>42552</v>
      </c>
      <c r="E3388" t="s">
        <v>3</v>
      </c>
      <c r="F3388">
        <v>126.8</v>
      </c>
      <c r="G3388" t="str">
        <f>VLOOKUP(Table1_2[[#This Row],[Categories]],Sheet3!$A$1:$B$27,2,FALSE)</f>
        <v>Food &amp;Beverage</v>
      </c>
    </row>
    <row r="3389" spans="1:7" x14ac:dyDescent="0.3">
      <c r="A3389" t="s">
        <v>33</v>
      </c>
      <c r="B3389">
        <v>2016</v>
      </c>
      <c r="C3389" t="s">
        <v>40</v>
      </c>
      <c r="D3389" s="2">
        <v>42552</v>
      </c>
      <c r="E3389" t="s">
        <v>4</v>
      </c>
      <c r="F3389">
        <v>144.19999999999999</v>
      </c>
      <c r="G3389" t="str">
        <f>VLOOKUP(Table1_2[[#This Row],[Categories]],Sheet3!$A$1:$B$27,2,FALSE)</f>
        <v>Food &amp;Beverage</v>
      </c>
    </row>
    <row r="3390" spans="1:7" x14ac:dyDescent="0.3">
      <c r="A3390" t="s">
        <v>33</v>
      </c>
      <c r="B3390">
        <v>2016</v>
      </c>
      <c r="C3390" t="s">
        <v>40</v>
      </c>
      <c r="D3390" s="2">
        <v>42552</v>
      </c>
      <c r="E3390" t="s">
        <v>5</v>
      </c>
      <c r="F3390">
        <v>136.6</v>
      </c>
      <c r="G3390" t="str">
        <f>VLOOKUP(Table1_2[[#This Row],[Categories]],Sheet3!$A$1:$B$27,2,FALSE)</f>
        <v>Food &amp;Beverage</v>
      </c>
    </row>
    <row r="3391" spans="1:7" x14ac:dyDescent="0.3">
      <c r="A3391" t="s">
        <v>33</v>
      </c>
      <c r="B3391">
        <v>2016</v>
      </c>
      <c r="C3391" t="s">
        <v>40</v>
      </c>
      <c r="D3391" s="2">
        <v>42552</v>
      </c>
      <c r="E3391" t="s">
        <v>6</v>
      </c>
      <c r="F3391">
        <v>131.80000000000001</v>
      </c>
      <c r="G3391" t="str">
        <f>VLOOKUP(Table1_2[[#This Row],[Categories]],Sheet3!$A$1:$B$27,2,FALSE)</f>
        <v>Food &amp;Beverage</v>
      </c>
    </row>
    <row r="3392" spans="1:7" x14ac:dyDescent="0.3">
      <c r="A3392" t="s">
        <v>33</v>
      </c>
      <c r="B3392">
        <v>2016</v>
      </c>
      <c r="C3392" t="s">
        <v>40</v>
      </c>
      <c r="D3392" s="2">
        <v>42552</v>
      </c>
      <c r="E3392" t="s">
        <v>7</v>
      </c>
      <c r="F3392">
        <v>111</v>
      </c>
      <c r="G3392" t="str">
        <f>VLOOKUP(Table1_2[[#This Row],[Categories]],Sheet3!$A$1:$B$27,2,FALSE)</f>
        <v>Food &amp;Beverage</v>
      </c>
    </row>
    <row r="3393" spans="1:7" x14ac:dyDescent="0.3">
      <c r="A3393" t="s">
        <v>33</v>
      </c>
      <c r="B3393">
        <v>2016</v>
      </c>
      <c r="C3393" t="s">
        <v>40</v>
      </c>
      <c r="D3393" s="2">
        <v>42552</v>
      </c>
      <c r="E3393" t="s">
        <v>8</v>
      </c>
      <c r="F3393">
        <v>137</v>
      </c>
      <c r="G3393" t="str">
        <f>VLOOKUP(Table1_2[[#This Row],[Categories]],Sheet3!$A$1:$B$27,2,FALSE)</f>
        <v>Food &amp;Beverage</v>
      </c>
    </row>
    <row r="3394" spans="1:7" x14ac:dyDescent="0.3">
      <c r="A3394" t="s">
        <v>33</v>
      </c>
      <c r="B3394">
        <v>2016</v>
      </c>
      <c r="C3394" t="s">
        <v>40</v>
      </c>
      <c r="D3394" s="2">
        <v>42552</v>
      </c>
      <c r="E3394" t="s">
        <v>9</v>
      </c>
      <c r="F3394">
        <v>179.5</v>
      </c>
      <c r="G3394" t="str">
        <f>VLOOKUP(Table1_2[[#This Row],[Categories]],Sheet3!$A$1:$B$27,2,FALSE)</f>
        <v>Food &amp;Beverage</v>
      </c>
    </row>
    <row r="3395" spans="1:7" x14ac:dyDescent="0.3">
      <c r="A3395" t="s">
        <v>33</v>
      </c>
      <c r="B3395">
        <v>2016</v>
      </c>
      <c r="C3395" t="s">
        <v>40</v>
      </c>
      <c r="D3395" s="2">
        <v>42552</v>
      </c>
      <c r="E3395" t="s">
        <v>10</v>
      </c>
      <c r="F3395">
        <v>188.4</v>
      </c>
      <c r="G3395" t="str">
        <f>VLOOKUP(Table1_2[[#This Row],[Categories]],Sheet3!$A$1:$B$27,2,FALSE)</f>
        <v>Food &amp;Beverage</v>
      </c>
    </row>
    <row r="3396" spans="1:7" x14ac:dyDescent="0.3">
      <c r="A3396" t="s">
        <v>33</v>
      </c>
      <c r="B3396">
        <v>2016</v>
      </c>
      <c r="C3396" t="s">
        <v>40</v>
      </c>
      <c r="D3396" s="2">
        <v>42552</v>
      </c>
      <c r="E3396" t="s">
        <v>11</v>
      </c>
      <c r="F3396">
        <v>113.3</v>
      </c>
      <c r="G3396" t="str">
        <f>VLOOKUP(Table1_2[[#This Row],[Categories]],Sheet3!$A$1:$B$27,2,FALSE)</f>
        <v>Food &amp;Beverage</v>
      </c>
    </row>
    <row r="3397" spans="1:7" x14ac:dyDescent="0.3">
      <c r="A3397" t="s">
        <v>33</v>
      </c>
      <c r="B3397">
        <v>2016</v>
      </c>
      <c r="C3397" t="s">
        <v>40</v>
      </c>
      <c r="D3397" s="2">
        <v>42552</v>
      </c>
      <c r="E3397" t="s">
        <v>12</v>
      </c>
      <c r="F3397">
        <v>143.9</v>
      </c>
      <c r="G3397" t="str">
        <f>VLOOKUP(Table1_2[[#This Row],[Categories]],Sheet3!$A$1:$B$27,2,FALSE)</f>
        <v>Food &amp;Beverage</v>
      </c>
    </row>
    <row r="3398" spans="1:7" x14ac:dyDescent="0.3">
      <c r="A3398" t="s">
        <v>33</v>
      </c>
      <c r="B3398">
        <v>2016</v>
      </c>
      <c r="C3398" t="s">
        <v>40</v>
      </c>
      <c r="D3398" s="2">
        <v>42552</v>
      </c>
      <c r="E3398" t="s">
        <v>13</v>
      </c>
      <c r="F3398">
        <v>121.7</v>
      </c>
      <c r="G3398" t="str">
        <f>VLOOKUP(Table1_2[[#This Row],[Categories]],Sheet3!$A$1:$B$27,2,FALSE)</f>
        <v>Food &amp;Beverage</v>
      </c>
    </row>
    <row r="3399" spans="1:7" x14ac:dyDescent="0.3">
      <c r="A3399" t="s">
        <v>33</v>
      </c>
      <c r="B3399">
        <v>2016</v>
      </c>
      <c r="C3399" t="s">
        <v>40</v>
      </c>
      <c r="D3399" s="2">
        <v>42552</v>
      </c>
      <c r="E3399" t="s">
        <v>14</v>
      </c>
      <c r="F3399">
        <v>137.5</v>
      </c>
      <c r="G3399" t="str">
        <f>VLOOKUP(Table1_2[[#This Row],[Categories]],Sheet3!$A$1:$B$27,2,FALSE)</f>
        <v>Food &amp;Beverage</v>
      </c>
    </row>
    <row r="3400" spans="1:7" x14ac:dyDescent="0.3">
      <c r="A3400" t="s">
        <v>33</v>
      </c>
      <c r="B3400">
        <v>2016</v>
      </c>
      <c r="C3400" t="s">
        <v>40</v>
      </c>
      <c r="D3400" s="2">
        <v>42552</v>
      </c>
      <c r="E3400" t="s">
        <v>15</v>
      </c>
      <c r="F3400">
        <v>139.80000000000001</v>
      </c>
      <c r="G3400" t="str">
        <f>VLOOKUP(Table1_2[[#This Row],[Categories]],Sheet3!$A$1:$B$27,2,FALSE)</f>
        <v>Food &amp;Beverage</v>
      </c>
    </row>
    <row r="3401" spans="1:7" x14ac:dyDescent="0.3">
      <c r="A3401" t="s">
        <v>33</v>
      </c>
      <c r="B3401">
        <v>2016</v>
      </c>
      <c r="C3401" t="s">
        <v>40</v>
      </c>
      <c r="D3401" s="2">
        <v>42552</v>
      </c>
      <c r="E3401" t="s">
        <v>16</v>
      </c>
      <c r="F3401">
        <v>142.9</v>
      </c>
      <c r="G3401" t="str">
        <f>VLOOKUP(Table1_2[[#This Row],[Categories]],Sheet3!$A$1:$B$27,2,FALSE)</f>
        <v>Recreation and amusement</v>
      </c>
    </row>
    <row r="3402" spans="1:7" x14ac:dyDescent="0.3">
      <c r="A3402" t="s">
        <v>33</v>
      </c>
      <c r="B3402">
        <v>2016</v>
      </c>
      <c r="C3402" t="s">
        <v>40</v>
      </c>
      <c r="D3402" s="2">
        <v>42552</v>
      </c>
      <c r="E3402" t="s">
        <v>17</v>
      </c>
      <c r="F3402">
        <v>127.9</v>
      </c>
      <c r="G3402" t="str">
        <f>VLOOKUP(Table1_2[[#This Row],[Categories]],Sheet3!$A$1:$B$27,2,FALSE)</f>
        <v>Clothing and footwear</v>
      </c>
    </row>
    <row r="3403" spans="1:7" x14ac:dyDescent="0.3">
      <c r="A3403" t="s">
        <v>33</v>
      </c>
      <c r="B3403">
        <v>2016</v>
      </c>
      <c r="C3403" t="s">
        <v>40</v>
      </c>
      <c r="D3403" s="2">
        <v>42552</v>
      </c>
      <c r="E3403" t="s">
        <v>18</v>
      </c>
      <c r="F3403">
        <v>121.1</v>
      </c>
      <c r="G3403" t="str">
        <f>VLOOKUP(Table1_2[[#This Row],[Categories]],Sheet3!$A$1:$B$27,2,FALSE)</f>
        <v>Clothing and footwear</v>
      </c>
    </row>
    <row r="3404" spans="1:7" x14ac:dyDescent="0.3">
      <c r="A3404" t="s">
        <v>33</v>
      </c>
      <c r="B3404">
        <v>2016</v>
      </c>
      <c r="C3404" t="s">
        <v>40</v>
      </c>
      <c r="D3404" s="2">
        <v>42552</v>
      </c>
      <c r="E3404" t="s">
        <v>19</v>
      </c>
      <c r="F3404">
        <v>126.9</v>
      </c>
      <c r="G3404" t="str">
        <f>VLOOKUP(Table1_2[[#This Row],[Categories]],Sheet3!$A$1:$B$27,2,FALSE)</f>
        <v>Clothing and footwear</v>
      </c>
    </row>
    <row r="3405" spans="1:7" x14ac:dyDescent="0.3">
      <c r="A3405" t="s">
        <v>33</v>
      </c>
      <c r="B3405">
        <v>2016</v>
      </c>
      <c r="C3405" t="s">
        <v>40</v>
      </c>
      <c r="D3405" s="2">
        <v>42552</v>
      </c>
      <c r="E3405" t="s">
        <v>20</v>
      </c>
      <c r="F3405">
        <v>126.4</v>
      </c>
      <c r="G3405" t="str">
        <f>VLOOKUP(Table1_2[[#This Row],[Categories]],Sheet3!$A$1:$B$27,2,FALSE)</f>
        <v>Housing</v>
      </c>
    </row>
    <row r="3406" spans="1:7" x14ac:dyDescent="0.3">
      <c r="A3406" t="s">
        <v>33</v>
      </c>
      <c r="B3406">
        <v>2016</v>
      </c>
      <c r="C3406" t="s">
        <v>40</v>
      </c>
      <c r="D3406" s="2">
        <v>42552</v>
      </c>
      <c r="E3406" t="s">
        <v>21</v>
      </c>
      <c r="F3406">
        <v>115.5</v>
      </c>
      <c r="G3406" t="str">
        <f>VLOOKUP(Table1_2[[#This Row],[Categories]],Sheet3!$A$1:$B$27,2,FALSE)</f>
        <v>Fuel and light</v>
      </c>
    </row>
    <row r="3407" spans="1:7" x14ac:dyDescent="0.3">
      <c r="A3407" t="s">
        <v>33</v>
      </c>
      <c r="B3407">
        <v>2016</v>
      </c>
      <c r="C3407" t="s">
        <v>40</v>
      </c>
      <c r="D3407" s="2">
        <v>42552</v>
      </c>
      <c r="E3407" t="s">
        <v>22</v>
      </c>
      <c r="F3407">
        <v>123.5</v>
      </c>
      <c r="G3407" t="str">
        <f>VLOOKUP(Table1_2[[#This Row],[Categories]],Sheet3!$A$1:$B$27,2,FALSE)</f>
        <v>Household Items</v>
      </c>
    </row>
    <row r="3408" spans="1:7" x14ac:dyDescent="0.3">
      <c r="A3408" t="s">
        <v>33</v>
      </c>
      <c r="B3408">
        <v>2016</v>
      </c>
      <c r="C3408" t="s">
        <v>40</v>
      </c>
      <c r="D3408" s="2">
        <v>42552</v>
      </c>
      <c r="E3408" t="s">
        <v>23</v>
      </c>
      <c r="F3408">
        <v>120.9</v>
      </c>
      <c r="G3408" t="str">
        <f>VLOOKUP(Table1_2[[#This Row],[Categories]],Sheet3!$A$1:$B$27,2,FALSE)</f>
        <v>Health</v>
      </c>
    </row>
    <row r="3409" spans="1:7" x14ac:dyDescent="0.3">
      <c r="A3409" t="s">
        <v>33</v>
      </c>
      <c r="B3409">
        <v>2016</v>
      </c>
      <c r="C3409" t="s">
        <v>40</v>
      </c>
      <c r="D3409" s="2">
        <v>42552</v>
      </c>
      <c r="E3409" t="s">
        <v>24</v>
      </c>
      <c r="F3409">
        <v>111.7</v>
      </c>
      <c r="G3409" t="str">
        <f>VLOOKUP(Table1_2[[#This Row],[Categories]],Sheet3!$A$1:$B$27,2,FALSE)</f>
        <v>Transport and communication</v>
      </c>
    </row>
    <row r="3410" spans="1:7" x14ac:dyDescent="0.3">
      <c r="A3410" t="s">
        <v>33</v>
      </c>
      <c r="B3410">
        <v>2016</v>
      </c>
      <c r="C3410" t="s">
        <v>40</v>
      </c>
      <c r="D3410" s="2">
        <v>42552</v>
      </c>
      <c r="E3410" t="s">
        <v>25</v>
      </c>
      <c r="F3410">
        <v>120.3</v>
      </c>
      <c r="G3410" t="str">
        <f>VLOOKUP(Table1_2[[#This Row],[Categories]],Sheet3!$A$1:$B$27,2,FALSE)</f>
        <v>Recreation and amusement</v>
      </c>
    </row>
    <row r="3411" spans="1:7" x14ac:dyDescent="0.3">
      <c r="A3411" t="s">
        <v>33</v>
      </c>
      <c r="B3411">
        <v>2016</v>
      </c>
      <c r="C3411" t="s">
        <v>40</v>
      </c>
      <c r="D3411" s="2">
        <v>42552</v>
      </c>
      <c r="E3411" t="s">
        <v>26</v>
      </c>
      <c r="F3411">
        <v>130.80000000000001</v>
      </c>
      <c r="G3411" t="str">
        <f>VLOOKUP(Table1_2[[#This Row],[Categories]],Sheet3!$A$1:$B$27,2,FALSE)</f>
        <v>Education</v>
      </c>
    </row>
    <row r="3412" spans="1:7" x14ac:dyDescent="0.3">
      <c r="A3412" t="s">
        <v>33</v>
      </c>
      <c r="B3412">
        <v>2016</v>
      </c>
      <c r="C3412" t="s">
        <v>40</v>
      </c>
      <c r="D3412" s="2">
        <v>42552</v>
      </c>
      <c r="E3412" t="s">
        <v>27</v>
      </c>
      <c r="F3412">
        <v>120</v>
      </c>
      <c r="G3412" t="str">
        <f>VLOOKUP(Table1_2[[#This Row],[Categories]],Sheet3!$A$1:$B$27,2,FALSE)</f>
        <v>Household Items</v>
      </c>
    </row>
    <row r="3413" spans="1:7" x14ac:dyDescent="0.3">
      <c r="A3413" t="s">
        <v>33</v>
      </c>
      <c r="B3413">
        <v>2016</v>
      </c>
      <c r="C3413" t="s">
        <v>40</v>
      </c>
      <c r="D3413" s="2">
        <v>42552</v>
      </c>
      <c r="E3413" t="s">
        <v>28</v>
      </c>
      <c r="F3413">
        <v>119.9</v>
      </c>
      <c r="G3413" t="str">
        <f>VLOOKUP(Table1_2[[#This Row],[Categories]],Sheet3!$A$1:$B$27,2,FALSE)</f>
        <v>Miscellaneous</v>
      </c>
    </row>
    <row r="3414" spans="1:7" x14ac:dyDescent="0.3">
      <c r="A3414" t="s">
        <v>33</v>
      </c>
      <c r="B3414">
        <v>2016</v>
      </c>
      <c r="C3414" t="s">
        <v>40</v>
      </c>
      <c r="D3414" s="2">
        <v>42552</v>
      </c>
      <c r="E3414" t="s">
        <v>29</v>
      </c>
      <c r="F3414">
        <v>129</v>
      </c>
      <c r="G3414" t="str">
        <f>VLOOKUP(Table1_2[[#This Row],[Categories]],Sheet3!$A$1:$B$27,2,FALSE)</f>
        <v>General index</v>
      </c>
    </row>
    <row r="3415" spans="1:7" x14ac:dyDescent="0.3">
      <c r="A3415" t="s">
        <v>34</v>
      </c>
      <c r="B3415">
        <v>2016</v>
      </c>
      <c r="C3415" t="s">
        <v>40</v>
      </c>
      <c r="D3415" s="2">
        <v>42552</v>
      </c>
      <c r="E3415" t="s">
        <v>3</v>
      </c>
      <c r="F3415">
        <v>128.5</v>
      </c>
      <c r="G3415" t="str">
        <f>VLOOKUP(Table1_2[[#This Row],[Categories]],Sheet3!$A$1:$B$27,2,FALSE)</f>
        <v>Food &amp;Beverage</v>
      </c>
    </row>
    <row r="3416" spans="1:7" x14ac:dyDescent="0.3">
      <c r="A3416" t="s">
        <v>34</v>
      </c>
      <c r="B3416">
        <v>2016</v>
      </c>
      <c r="C3416" t="s">
        <v>40</v>
      </c>
      <c r="D3416" s="2">
        <v>42552</v>
      </c>
      <c r="E3416" t="s">
        <v>4</v>
      </c>
      <c r="F3416">
        <v>141.19999999999999</v>
      </c>
      <c r="G3416" t="str">
        <f>VLOOKUP(Table1_2[[#This Row],[Categories]],Sheet3!$A$1:$B$27,2,FALSE)</f>
        <v>Food &amp;Beverage</v>
      </c>
    </row>
    <row r="3417" spans="1:7" x14ac:dyDescent="0.3">
      <c r="A3417" t="s">
        <v>34</v>
      </c>
      <c r="B3417">
        <v>2016</v>
      </c>
      <c r="C3417" t="s">
        <v>40</v>
      </c>
      <c r="D3417" s="2">
        <v>42552</v>
      </c>
      <c r="E3417" t="s">
        <v>5</v>
      </c>
      <c r="F3417">
        <v>132.30000000000001</v>
      </c>
      <c r="G3417" t="str">
        <f>VLOOKUP(Table1_2[[#This Row],[Categories]],Sheet3!$A$1:$B$27,2,FALSE)</f>
        <v>Food &amp;Beverage</v>
      </c>
    </row>
    <row r="3418" spans="1:7" x14ac:dyDescent="0.3">
      <c r="A3418" t="s">
        <v>34</v>
      </c>
      <c r="B3418">
        <v>2016</v>
      </c>
      <c r="C3418" t="s">
        <v>40</v>
      </c>
      <c r="D3418" s="2">
        <v>42552</v>
      </c>
      <c r="E3418" t="s">
        <v>6</v>
      </c>
      <c r="F3418">
        <v>133.5</v>
      </c>
      <c r="G3418" t="str">
        <f>VLOOKUP(Table1_2[[#This Row],[Categories]],Sheet3!$A$1:$B$27,2,FALSE)</f>
        <v>Food &amp;Beverage</v>
      </c>
    </row>
    <row r="3419" spans="1:7" x14ac:dyDescent="0.3">
      <c r="A3419" t="s">
        <v>34</v>
      </c>
      <c r="B3419">
        <v>2016</v>
      </c>
      <c r="C3419" t="s">
        <v>40</v>
      </c>
      <c r="D3419" s="2">
        <v>42552</v>
      </c>
      <c r="E3419" t="s">
        <v>7</v>
      </c>
      <c r="F3419">
        <v>116.4</v>
      </c>
      <c r="G3419" t="str">
        <f>VLOOKUP(Table1_2[[#This Row],[Categories]],Sheet3!$A$1:$B$27,2,FALSE)</f>
        <v>Food &amp;Beverage</v>
      </c>
    </row>
    <row r="3420" spans="1:7" x14ac:dyDescent="0.3">
      <c r="A3420" t="s">
        <v>34</v>
      </c>
      <c r="B3420">
        <v>2016</v>
      </c>
      <c r="C3420" t="s">
        <v>40</v>
      </c>
      <c r="D3420" s="2">
        <v>42552</v>
      </c>
      <c r="E3420" t="s">
        <v>8</v>
      </c>
      <c r="F3420">
        <v>137.80000000000001</v>
      </c>
      <c r="G3420" t="str">
        <f>VLOOKUP(Table1_2[[#This Row],[Categories]],Sheet3!$A$1:$B$27,2,FALSE)</f>
        <v>Food &amp;Beverage</v>
      </c>
    </row>
    <row r="3421" spans="1:7" x14ac:dyDescent="0.3">
      <c r="A3421" t="s">
        <v>34</v>
      </c>
      <c r="B3421">
        <v>2016</v>
      </c>
      <c r="C3421" t="s">
        <v>40</v>
      </c>
      <c r="D3421" s="2">
        <v>42552</v>
      </c>
      <c r="E3421" t="s">
        <v>9</v>
      </c>
      <c r="F3421">
        <v>165.4</v>
      </c>
      <c r="G3421" t="str">
        <f>VLOOKUP(Table1_2[[#This Row],[Categories]],Sheet3!$A$1:$B$27,2,FALSE)</f>
        <v>Food &amp;Beverage</v>
      </c>
    </row>
    <row r="3422" spans="1:7" x14ac:dyDescent="0.3">
      <c r="A3422" t="s">
        <v>34</v>
      </c>
      <c r="B3422">
        <v>2016</v>
      </c>
      <c r="C3422" t="s">
        <v>40</v>
      </c>
      <c r="D3422" s="2">
        <v>42552</v>
      </c>
      <c r="E3422" t="s">
        <v>10</v>
      </c>
      <c r="F3422">
        <v>177.4</v>
      </c>
      <c r="G3422" t="str">
        <f>VLOOKUP(Table1_2[[#This Row],[Categories]],Sheet3!$A$1:$B$27,2,FALSE)</f>
        <v>Food &amp;Beverage</v>
      </c>
    </row>
    <row r="3423" spans="1:7" x14ac:dyDescent="0.3">
      <c r="A3423" t="s">
        <v>34</v>
      </c>
      <c r="B3423">
        <v>2016</v>
      </c>
      <c r="C3423" t="s">
        <v>40</v>
      </c>
      <c r="D3423" s="2">
        <v>42552</v>
      </c>
      <c r="E3423" t="s">
        <v>11</v>
      </c>
      <c r="F3423">
        <v>111.3</v>
      </c>
      <c r="G3423" t="str">
        <f>VLOOKUP(Table1_2[[#This Row],[Categories]],Sheet3!$A$1:$B$27,2,FALSE)</f>
        <v>Food &amp;Beverage</v>
      </c>
    </row>
    <row r="3424" spans="1:7" x14ac:dyDescent="0.3">
      <c r="A3424" t="s">
        <v>34</v>
      </c>
      <c r="B3424">
        <v>2016</v>
      </c>
      <c r="C3424" t="s">
        <v>40</v>
      </c>
      <c r="D3424" s="2">
        <v>42552</v>
      </c>
      <c r="E3424" t="s">
        <v>12</v>
      </c>
      <c r="F3424">
        <v>137.5</v>
      </c>
      <c r="G3424" t="str">
        <f>VLOOKUP(Table1_2[[#This Row],[Categories]],Sheet3!$A$1:$B$27,2,FALSE)</f>
        <v>Food &amp;Beverage</v>
      </c>
    </row>
    <row r="3425" spans="1:7" x14ac:dyDescent="0.3">
      <c r="A3425" t="s">
        <v>34</v>
      </c>
      <c r="B3425">
        <v>2016</v>
      </c>
      <c r="C3425" t="s">
        <v>40</v>
      </c>
      <c r="D3425" s="2">
        <v>42552</v>
      </c>
      <c r="E3425" t="s">
        <v>13</v>
      </c>
      <c r="F3425">
        <v>125</v>
      </c>
      <c r="G3425" t="str">
        <f>VLOOKUP(Table1_2[[#This Row],[Categories]],Sheet3!$A$1:$B$27,2,FALSE)</f>
        <v>Food &amp;Beverage</v>
      </c>
    </row>
    <row r="3426" spans="1:7" x14ac:dyDescent="0.3">
      <c r="A3426" t="s">
        <v>34</v>
      </c>
      <c r="B3426">
        <v>2016</v>
      </c>
      <c r="C3426" t="s">
        <v>40</v>
      </c>
      <c r="D3426" s="2">
        <v>42552</v>
      </c>
      <c r="E3426" t="s">
        <v>14</v>
      </c>
      <c r="F3426">
        <v>138.80000000000001</v>
      </c>
      <c r="G3426" t="str">
        <f>VLOOKUP(Table1_2[[#This Row],[Categories]],Sheet3!$A$1:$B$27,2,FALSE)</f>
        <v>Food &amp;Beverage</v>
      </c>
    </row>
    <row r="3427" spans="1:7" x14ac:dyDescent="0.3">
      <c r="A3427" t="s">
        <v>34</v>
      </c>
      <c r="B3427">
        <v>2016</v>
      </c>
      <c r="C3427" t="s">
        <v>40</v>
      </c>
      <c r="D3427" s="2">
        <v>42552</v>
      </c>
      <c r="E3427" t="s">
        <v>15</v>
      </c>
      <c r="F3427">
        <v>138.4</v>
      </c>
      <c r="G3427" t="str">
        <f>VLOOKUP(Table1_2[[#This Row],[Categories]],Sheet3!$A$1:$B$27,2,FALSE)</f>
        <v>Food &amp;Beverage</v>
      </c>
    </row>
    <row r="3428" spans="1:7" x14ac:dyDescent="0.3">
      <c r="A3428" t="s">
        <v>34</v>
      </c>
      <c r="B3428">
        <v>2016</v>
      </c>
      <c r="C3428" t="s">
        <v>40</v>
      </c>
      <c r="D3428" s="2">
        <v>42552</v>
      </c>
      <c r="E3428" t="s">
        <v>16</v>
      </c>
      <c r="F3428">
        <v>139.30000000000001</v>
      </c>
      <c r="G3428" t="str">
        <f>VLOOKUP(Table1_2[[#This Row],[Categories]],Sheet3!$A$1:$B$27,2,FALSE)</f>
        <v>Recreation and amusement</v>
      </c>
    </row>
    <row r="3429" spans="1:7" x14ac:dyDescent="0.3">
      <c r="A3429" t="s">
        <v>34</v>
      </c>
      <c r="B3429">
        <v>2016</v>
      </c>
      <c r="C3429" t="s">
        <v>40</v>
      </c>
      <c r="D3429" s="2">
        <v>42552</v>
      </c>
      <c r="E3429" t="s">
        <v>17</v>
      </c>
      <c r="F3429">
        <v>133.5</v>
      </c>
      <c r="G3429" t="str">
        <f>VLOOKUP(Table1_2[[#This Row],[Categories]],Sheet3!$A$1:$B$27,2,FALSE)</f>
        <v>Clothing and footwear</v>
      </c>
    </row>
    <row r="3430" spans="1:7" x14ac:dyDescent="0.3">
      <c r="A3430" t="s">
        <v>34</v>
      </c>
      <c r="B3430">
        <v>2016</v>
      </c>
      <c r="C3430" t="s">
        <v>40</v>
      </c>
      <c r="D3430" s="2">
        <v>42552</v>
      </c>
      <c r="E3430" t="s">
        <v>18</v>
      </c>
      <c r="F3430">
        <v>127.6</v>
      </c>
      <c r="G3430" t="str">
        <f>VLOOKUP(Table1_2[[#This Row],[Categories]],Sheet3!$A$1:$B$27,2,FALSE)</f>
        <v>Clothing and footwear</v>
      </c>
    </row>
    <row r="3431" spans="1:7" x14ac:dyDescent="0.3">
      <c r="A3431" t="s">
        <v>34</v>
      </c>
      <c r="B3431">
        <v>2016</v>
      </c>
      <c r="C3431" t="s">
        <v>40</v>
      </c>
      <c r="D3431" s="2">
        <v>42552</v>
      </c>
      <c r="E3431" t="s">
        <v>19</v>
      </c>
      <c r="F3431">
        <v>132.69999999999999</v>
      </c>
      <c r="G3431" t="str">
        <f>VLOOKUP(Table1_2[[#This Row],[Categories]],Sheet3!$A$1:$B$27,2,FALSE)</f>
        <v>Clothing and footwear</v>
      </c>
    </row>
    <row r="3432" spans="1:7" x14ac:dyDescent="0.3">
      <c r="A3432" t="s">
        <v>34</v>
      </c>
      <c r="B3432">
        <v>2016</v>
      </c>
      <c r="C3432" t="s">
        <v>40</v>
      </c>
      <c r="D3432" s="2">
        <v>42552</v>
      </c>
      <c r="E3432" t="s">
        <v>20</v>
      </c>
      <c r="F3432">
        <v>126.4</v>
      </c>
      <c r="G3432" t="str">
        <f>VLOOKUP(Table1_2[[#This Row],[Categories]],Sheet3!$A$1:$B$27,2,FALSE)</f>
        <v>Housing</v>
      </c>
    </row>
    <row r="3433" spans="1:7" x14ac:dyDescent="0.3">
      <c r="A3433" t="s">
        <v>34</v>
      </c>
      <c r="B3433">
        <v>2016</v>
      </c>
      <c r="C3433" t="s">
        <v>40</v>
      </c>
      <c r="D3433" s="2">
        <v>42552</v>
      </c>
      <c r="E3433" t="s">
        <v>21</v>
      </c>
      <c r="F3433">
        <v>123.4</v>
      </c>
      <c r="G3433" t="str">
        <f>VLOOKUP(Table1_2[[#This Row],[Categories]],Sheet3!$A$1:$B$27,2,FALSE)</f>
        <v>Fuel and light</v>
      </c>
    </row>
    <row r="3434" spans="1:7" x14ac:dyDescent="0.3">
      <c r="A3434" t="s">
        <v>34</v>
      </c>
      <c r="B3434">
        <v>2016</v>
      </c>
      <c r="C3434" t="s">
        <v>40</v>
      </c>
      <c r="D3434" s="2">
        <v>42552</v>
      </c>
      <c r="E3434" t="s">
        <v>22</v>
      </c>
      <c r="F3434">
        <v>126.9</v>
      </c>
      <c r="G3434" t="str">
        <f>VLOOKUP(Table1_2[[#This Row],[Categories]],Sheet3!$A$1:$B$27,2,FALSE)</f>
        <v>Household Items</v>
      </c>
    </row>
    <row r="3435" spans="1:7" x14ac:dyDescent="0.3">
      <c r="A3435" t="s">
        <v>34</v>
      </c>
      <c r="B3435">
        <v>2016</v>
      </c>
      <c r="C3435" t="s">
        <v>40</v>
      </c>
      <c r="D3435" s="2">
        <v>42552</v>
      </c>
      <c r="E3435" t="s">
        <v>23</v>
      </c>
      <c r="F3435">
        <v>124.5</v>
      </c>
      <c r="G3435" t="str">
        <f>VLOOKUP(Table1_2[[#This Row],[Categories]],Sheet3!$A$1:$B$27,2,FALSE)</f>
        <v>Health</v>
      </c>
    </row>
    <row r="3436" spans="1:7" x14ac:dyDescent="0.3">
      <c r="A3436" t="s">
        <v>34</v>
      </c>
      <c r="B3436">
        <v>2016</v>
      </c>
      <c r="C3436" t="s">
        <v>40</v>
      </c>
      <c r="D3436" s="2">
        <v>42552</v>
      </c>
      <c r="E3436" t="s">
        <v>24</v>
      </c>
      <c r="F3436">
        <v>113.9</v>
      </c>
      <c r="G3436" t="str">
        <f>VLOOKUP(Table1_2[[#This Row],[Categories]],Sheet3!$A$1:$B$27,2,FALSE)</f>
        <v>Transport and communication</v>
      </c>
    </row>
    <row r="3437" spans="1:7" x14ac:dyDescent="0.3">
      <c r="A3437" t="s">
        <v>34</v>
      </c>
      <c r="B3437">
        <v>2016</v>
      </c>
      <c r="C3437" t="s">
        <v>40</v>
      </c>
      <c r="D3437" s="2">
        <v>42552</v>
      </c>
      <c r="E3437" t="s">
        <v>25</v>
      </c>
      <c r="F3437">
        <v>122.4</v>
      </c>
      <c r="G3437" t="str">
        <f>VLOOKUP(Table1_2[[#This Row],[Categories]],Sheet3!$A$1:$B$27,2,FALSE)</f>
        <v>Recreation and amusement</v>
      </c>
    </row>
    <row r="3438" spans="1:7" x14ac:dyDescent="0.3">
      <c r="A3438" t="s">
        <v>34</v>
      </c>
      <c r="B3438">
        <v>2016</v>
      </c>
      <c r="C3438" t="s">
        <v>40</v>
      </c>
      <c r="D3438" s="2">
        <v>42552</v>
      </c>
      <c r="E3438" t="s">
        <v>26</v>
      </c>
      <c r="F3438">
        <v>130.80000000000001</v>
      </c>
      <c r="G3438" t="str">
        <f>VLOOKUP(Table1_2[[#This Row],[Categories]],Sheet3!$A$1:$B$27,2,FALSE)</f>
        <v>Education</v>
      </c>
    </row>
    <row r="3439" spans="1:7" x14ac:dyDescent="0.3">
      <c r="A3439" t="s">
        <v>34</v>
      </c>
      <c r="B3439">
        <v>2016</v>
      </c>
      <c r="C3439" t="s">
        <v>40</v>
      </c>
      <c r="D3439" s="2">
        <v>42552</v>
      </c>
      <c r="E3439" t="s">
        <v>27</v>
      </c>
      <c r="F3439">
        <v>120.5</v>
      </c>
      <c r="G3439" t="str">
        <f>VLOOKUP(Table1_2[[#This Row],[Categories]],Sheet3!$A$1:$B$27,2,FALSE)</f>
        <v>Household Items</v>
      </c>
    </row>
    <row r="3440" spans="1:7" x14ac:dyDescent="0.3">
      <c r="A3440" t="s">
        <v>34</v>
      </c>
      <c r="B3440">
        <v>2016</v>
      </c>
      <c r="C3440" t="s">
        <v>40</v>
      </c>
      <c r="D3440" s="2">
        <v>42552</v>
      </c>
      <c r="E3440" t="s">
        <v>28</v>
      </c>
      <c r="F3440">
        <v>121.9</v>
      </c>
      <c r="G3440" t="str">
        <f>VLOOKUP(Table1_2[[#This Row],[Categories]],Sheet3!$A$1:$B$27,2,FALSE)</f>
        <v>Miscellaneous</v>
      </c>
    </row>
    <row r="3441" spans="1:7" x14ac:dyDescent="0.3">
      <c r="A3441" t="s">
        <v>34</v>
      </c>
      <c r="B3441">
        <v>2016</v>
      </c>
      <c r="C3441" t="s">
        <v>40</v>
      </c>
      <c r="D3441" s="2">
        <v>42552</v>
      </c>
      <c r="E3441" t="s">
        <v>29</v>
      </c>
      <c r="F3441">
        <v>131.1</v>
      </c>
      <c r="G3441" t="str">
        <f>VLOOKUP(Table1_2[[#This Row],[Categories]],Sheet3!$A$1:$B$27,2,FALSE)</f>
        <v>General index</v>
      </c>
    </row>
    <row r="3442" spans="1:7" x14ac:dyDescent="0.3">
      <c r="A3442" t="s">
        <v>30</v>
      </c>
      <c r="B3442">
        <v>2016</v>
      </c>
      <c r="C3442" t="s">
        <v>41</v>
      </c>
      <c r="D3442" s="2">
        <v>42583</v>
      </c>
      <c r="E3442" t="s">
        <v>3</v>
      </c>
      <c r="F3442">
        <v>130.1</v>
      </c>
      <c r="G3442" t="str">
        <f>VLOOKUP(Table1_2[[#This Row],[Categories]],Sheet3!$A$1:$B$27,2,FALSE)</f>
        <v>Food &amp;Beverage</v>
      </c>
    </row>
    <row r="3443" spans="1:7" x14ac:dyDescent="0.3">
      <c r="A3443" t="s">
        <v>30</v>
      </c>
      <c r="B3443">
        <v>2016</v>
      </c>
      <c r="C3443" t="s">
        <v>41</v>
      </c>
      <c r="D3443" s="2">
        <v>42583</v>
      </c>
      <c r="E3443" t="s">
        <v>4</v>
      </c>
      <c r="F3443">
        <v>138.80000000000001</v>
      </c>
      <c r="G3443" t="str">
        <f>VLOOKUP(Table1_2[[#This Row],[Categories]],Sheet3!$A$1:$B$27,2,FALSE)</f>
        <v>Food &amp;Beverage</v>
      </c>
    </row>
    <row r="3444" spans="1:7" x14ac:dyDescent="0.3">
      <c r="A3444" t="s">
        <v>30</v>
      </c>
      <c r="B3444">
        <v>2016</v>
      </c>
      <c r="C3444" t="s">
        <v>41</v>
      </c>
      <c r="D3444" s="2">
        <v>42583</v>
      </c>
      <c r="E3444" t="s">
        <v>5</v>
      </c>
      <c r="F3444">
        <v>130.30000000000001</v>
      </c>
      <c r="G3444" t="str">
        <f>VLOOKUP(Table1_2[[#This Row],[Categories]],Sheet3!$A$1:$B$27,2,FALSE)</f>
        <v>Food &amp;Beverage</v>
      </c>
    </row>
    <row r="3445" spans="1:7" x14ac:dyDescent="0.3">
      <c r="A3445" t="s">
        <v>30</v>
      </c>
      <c r="B3445">
        <v>2016</v>
      </c>
      <c r="C3445" t="s">
        <v>41</v>
      </c>
      <c r="D3445" s="2">
        <v>42583</v>
      </c>
      <c r="E3445" t="s">
        <v>6</v>
      </c>
      <c r="F3445">
        <v>135.30000000000001</v>
      </c>
      <c r="G3445" t="str">
        <f>VLOOKUP(Table1_2[[#This Row],[Categories]],Sheet3!$A$1:$B$27,2,FALSE)</f>
        <v>Food &amp;Beverage</v>
      </c>
    </row>
    <row r="3446" spans="1:7" x14ac:dyDescent="0.3">
      <c r="A3446" t="s">
        <v>30</v>
      </c>
      <c r="B3446">
        <v>2016</v>
      </c>
      <c r="C3446" t="s">
        <v>41</v>
      </c>
      <c r="D3446" s="2">
        <v>42583</v>
      </c>
      <c r="E3446" t="s">
        <v>7</v>
      </c>
      <c r="F3446">
        <v>119.9</v>
      </c>
      <c r="G3446" t="str">
        <f>VLOOKUP(Table1_2[[#This Row],[Categories]],Sheet3!$A$1:$B$27,2,FALSE)</f>
        <v>Food &amp;Beverage</v>
      </c>
    </row>
    <row r="3447" spans="1:7" x14ac:dyDescent="0.3">
      <c r="A3447" t="s">
        <v>30</v>
      </c>
      <c r="B3447">
        <v>2016</v>
      </c>
      <c r="C3447" t="s">
        <v>41</v>
      </c>
      <c r="D3447" s="2">
        <v>42583</v>
      </c>
      <c r="E3447" t="s">
        <v>8</v>
      </c>
      <c r="F3447">
        <v>140.19999999999999</v>
      </c>
      <c r="G3447" t="str">
        <f>VLOOKUP(Table1_2[[#This Row],[Categories]],Sheet3!$A$1:$B$27,2,FALSE)</f>
        <v>Food &amp;Beverage</v>
      </c>
    </row>
    <row r="3448" spans="1:7" x14ac:dyDescent="0.3">
      <c r="A3448" t="s">
        <v>30</v>
      </c>
      <c r="B3448">
        <v>2016</v>
      </c>
      <c r="C3448" t="s">
        <v>41</v>
      </c>
      <c r="D3448" s="2">
        <v>42583</v>
      </c>
      <c r="E3448" t="s">
        <v>9</v>
      </c>
      <c r="F3448">
        <v>156.9</v>
      </c>
      <c r="G3448" t="str">
        <f>VLOOKUP(Table1_2[[#This Row],[Categories]],Sheet3!$A$1:$B$27,2,FALSE)</f>
        <v>Food &amp;Beverage</v>
      </c>
    </row>
    <row r="3449" spans="1:7" x14ac:dyDescent="0.3">
      <c r="A3449" t="s">
        <v>30</v>
      </c>
      <c r="B3449">
        <v>2016</v>
      </c>
      <c r="C3449" t="s">
        <v>41</v>
      </c>
      <c r="D3449" s="2">
        <v>42583</v>
      </c>
      <c r="E3449" t="s">
        <v>10</v>
      </c>
      <c r="F3449">
        <v>172.2</v>
      </c>
      <c r="G3449" t="str">
        <f>VLOOKUP(Table1_2[[#This Row],[Categories]],Sheet3!$A$1:$B$27,2,FALSE)</f>
        <v>Food &amp;Beverage</v>
      </c>
    </row>
    <row r="3450" spans="1:7" x14ac:dyDescent="0.3">
      <c r="A3450" t="s">
        <v>30</v>
      </c>
      <c r="B3450">
        <v>2016</v>
      </c>
      <c r="C3450" t="s">
        <v>41</v>
      </c>
      <c r="D3450" s="2">
        <v>42583</v>
      </c>
      <c r="E3450" t="s">
        <v>11</v>
      </c>
      <c r="F3450">
        <v>112.1</v>
      </c>
      <c r="G3450" t="str">
        <f>VLOOKUP(Table1_2[[#This Row],[Categories]],Sheet3!$A$1:$B$27,2,FALSE)</f>
        <v>Food &amp;Beverage</v>
      </c>
    </row>
    <row r="3451" spans="1:7" x14ac:dyDescent="0.3">
      <c r="A3451" t="s">
        <v>30</v>
      </c>
      <c r="B3451">
        <v>2016</v>
      </c>
      <c r="C3451" t="s">
        <v>41</v>
      </c>
      <c r="D3451" s="2">
        <v>42583</v>
      </c>
      <c r="E3451" t="s">
        <v>12</v>
      </c>
      <c r="F3451">
        <v>134.9</v>
      </c>
      <c r="G3451" t="str">
        <f>VLOOKUP(Table1_2[[#This Row],[Categories]],Sheet3!$A$1:$B$27,2,FALSE)</f>
        <v>Food &amp;Beverage</v>
      </c>
    </row>
    <row r="3452" spans="1:7" x14ac:dyDescent="0.3">
      <c r="A3452" t="s">
        <v>30</v>
      </c>
      <c r="B3452">
        <v>2016</v>
      </c>
      <c r="C3452" t="s">
        <v>41</v>
      </c>
      <c r="D3452" s="2">
        <v>42583</v>
      </c>
      <c r="E3452" t="s">
        <v>13</v>
      </c>
      <c r="F3452">
        <v>128.1</v>
      </c>
      <c r="G3452" t="str">
        <f>VLOOKUP(Table1_2[[#This Row],[Categories]],Sheet3!$A$1:$B$27,2,FALSE)</f>
        <v>Food &amp;Beverage</v>
      </c>
    </row>
    <row r="3453" spans="1:7" x14ac:dyDescent="0.3">
      <c r="A3453" t="s">
        <v>30</v>
      </c>
      <c r="B3453">
        <v>2016</v>
      </c>
      <c r="C3453" t="s">
        <v>41</v>
      </c>
      <c r="D3453" s="2">
        <v>42583</v>
      </c>
      <c r="E3453" t="s">
        <v>14</v>
      </c>
      <c r="F3453">
        <v>140.69999999999999</v>
      </c>
      <c r="G3453" t="str">
        <f>VLOOKUP(Table1_2[[#This Row],[Categories]],Sheet3!$A$1:$B$27,2,FALSE)</f>
        <v>Food &amp;Beverage</v>
      </c>
    </row>
    <row r="3454" spans="1:7" x14ac:dyDescent="0.3">
      <c r="A3454" t="s">
        <v>30</v>
      </c>
      <c r="B3454">
        <v>2016</v>
      </c>
      <c r="C3454" t="s">
        <v>41</v>
      </c>
      <c r="D3454" s="2">
        <v>42583</v>
      </c>
      <c r="E3454" t="s">
        <v>15</v>
      </c>
      <c r="F3454">
        <v>138</v>
      </c>
      <c r="G3454" t="str">
        <f>VLOOKUP(Table1_2[[#This Row],[Categories]],Sheet3!$A$1:$B$27,2,FALSE)</f>
        <v>Food &amp;Beverage</v>
      </c>
    </row>
    <row r="3455" spans="1:7" x14ac:dyDescent="0.3">
      <c r="A3455" t="s">
        <v>30</v>
      </c>
      <c r="B3455">
        <v>2016</v>
      </c>
      <c r="C3455" t="s">
        <v>41</v>
      </c>
      <c r="D3455" s="2">
        <v>42583</v>
      </c>
      <c r="E3455" t="s">
        <v>16</v>
      </c>
      <c r="F3455">
        <v>138.9</v>
      </c>
      <c r="G3455" t="str">
        <f>VLOOKUP(Table1_2[[#This Row],[Categories]],Sheet3!$A$1:$B$27,2,FALSE)</f>
        <v>Recreation and amusement</v>
      </c>
    </row>
    <row r="3456" spans="1:7" x14ac:dyDescent="0.3">
      <c r="A3456" t="s">
        <v>30</v>
      </c>
      <c r="B3456">
        <v>2016</v>
      </c>
      <c r="C3456" t="s">
        <v>41</v>
      </c>
      <c r="D3456" s="2">
        <v>42583</v>
      </c>
      <c r="E3456" t="s">
        <v>17</v>
      </c>
      <c r="F3456">
        <v>137.80000000000001</v>
      </c>
      <c r="G3456" t="str">
        <f>VLOOKUP(Table1_2[[#This Row],[Categories]],Sheet3!$A$1:$B$27,2,FALSE)</f>
        <v>Clothing and footwear</v>
      </c>
    </row>
    <row r="3457" spans="1:7" x14ac:dyDescent="0.3">
      <c r="A3457" t="s">
        <v>30</v>
      </c>
      <c r="B3457">
        <v>2016</v>
      </c>
      <c r="C3457" t="s">
        <v>41</v>
      </c>
      <c r="D3457" s="2">
        <v>42583</v>
      </c>
      <c r="E3457" t="s">
        <v>18</v>
      </c>
      <c r="F3457">
        <v>133</v>
      </c>
      <c r="G3457" t="str">
        <f>VLOOKUP(Table1_2[[#This Row],[Categories]],Sheet3!$A$1:$B$27,2,FALSE)</f>
        <v>Clothing and footwear</v>
      </c>
    </row>
    <row r="3458" spans="1:7" x14ac:dyDescent="0.3">
      <c r="A3458" t="s">
        <v>30</v>
      </c>
      <c r="B3458">
        <v>2016</v>
      </c>
      <c r="C3458" t="s">
        <v>41</v>
      </c>
      <c r="D3458" s="2">
        <v>42583</v>
      </c>
      <c r="E3458" t="s">
        <v>19</v>
      </c>
      <c r="F3458">
        <v>137.1</v>
      </c>
      <c r="G3458" t="str">
        <f>VLOOKUP(Table1_2[[#This Row],[Categories]],Sheet3!$A$1:$B$27,2,FALSE)</f>
        <v>Clothing and footwear</v>
      </c>
    </row>
    <row r="3459" spans="1:7" x14ac:dyDescent="0.3">
      <c r="A3459" t="s">
        <v>30</v>
      </c>
      <c r="B3459">
        <v>2016</v>
      </c>
      <c r="C3459" t="s">
        <v>41</v>
      </c>
      <c r="D3459" s="2">
        <v>42583</v>
      </c>
      <c r="E3459" t="s">
        <v>21</v>
      </c>
      <c r="F3459">
        <v>129.1</v>
      </c>
      <c r="G3459" t="str">
        <f>VLOOKUP(Table1_2[[#This Row],[Categories]],Sheet3!$A$1:$B$27,2,FALSE)</f>
        <v>Fuel and light</v>
      </c>
    </row>
    <row r="3460" spans="1:7" x14ac:dyDescent="0.3">
      <c r="A3460" t="s">
        <v>30</v>
      </c>
      <c r="B3460">
        <v>2016</v>
      </c>
      <c r="C3460" t="s">
        <v>41</v>
      </c>
      <c r="D3460" s="2">
        <v>42583</v>
      </c>
      <c r="E3460" t="s">
        <v>22</v>
      </c>
      <c r="F3460">
        <v>130.6</v>
      </c>
      <c r="G3460" t="str">
        <f>VLOOKUP(Table1_2[[#This Row],[Categories]],Sheet3!$A$1:$B$27,2,FALSE)</f>
        <v>Household Items</v>
      </c>
    </row>
    <row r="3461" spans="1:7" x14ac:dyDescent="0.3">
      <c r="A3461" t="s">
        <v>30</v>
      </c>
      <c r="B3461">
        <v>2016</v>
      </c>
      <c r="C3461" t="s">
        <v>41</v>
      </c>
      <c r="D3461" s="2">
        <v>42583</v>
      </c>
      <c r="E3461" t="s">
        <v>23</v>
      </c>
      <c r="F3461">
        <v>127</v>
      </c>
      <c r="G3461" t="str">
        <f>VLOOKUP(Table1_2[[#This Row],[Categories]],Sheet3!$A$1:$B$27,2,FALSE)</f>
        <v>Health</v>
      </c>
    </row>
    <row r="3462" spans="1:7" x14ac:dyDescent="0.3">
      <c r="A3462" t="s">
        <v>30</v>
      </c>
      <c r="B3462">
        <v>2016</v>
      </c>
      <c r="C3462" t="s">
        <v>41</v>
      </c>
      <c r="D3462" s="2">
        <v>42583</v>
      </c>
      <c r="E3462" t="s">
        <v>24</v>
      </c>
      <c r="F3462">
        <v>116</v>
      </c>
      <c r="G3462" t="str">
        <f>VLOOKUP(Table1_2[[#This Row],[Categories]],Sheet3!$A$1:$B$27,2,FALSE)</f>
        <v>Transport and communication</v>
      </c>
    </row>
    <row r="3463" spans="1:7" x14ac:dyDescent="0.3">
      <c r="A3463" t="s">
        <v>30</v>
      </c>
      <c r="B3463">
        <v>2016</v>
      </c>
      <c r="C3463" t="s">
        <v>41</v>
      </c>
      <c r="D3463" s="2">
        <v>42583</v>
      </c>
      <c r="E3463" t="s">
        <v>25</v>
      </c>
      <c r="F3463">
        <v>125.5</v>
      </c>
      <c r="G3463" t="str">
        <f>VLOOKUP(Table1_2[[#This Row],[Categories]],Sheet3!$A$1:$B$27,2,FALSE)</f>
        <v>Recreation and amusement</v>
      </c>
    </row>
    <row r="3464" spans="1:7" x14ac:dyDescent="0.3">
      <c r="A3464" t="s">
        <v>30</v>
      </c>
      <c r="B3464">
        <v>2016</v>
      </c>
      <c r="C3464" t="s">
        <v>41</v>
      </c>
      <c r="D3464" s="2">
        <v>42583</v>
      </c>
      <c r="E3464" t="s">
        <v>26</v>
      </c>
      <c r="F3464">
        <v>131.9</v>
      </c>
      <c r="G3464" t="str">
        <f>VLOOKUP(Table1_2[[#This Row],[Categories]],Sheet3!$A$1:$B$27,2,FALSE)</f>
        <v>Education</v>
      </c>
    </row>
    <row r="3465" spans="1:7" x14ac:dyDescent="0.3">
      <c r="A3465" t="s">
        <v>30</v>
      </c>
      <c r="B3465">
        <v>2016</v>
      </c>
      <c r="C3465" t="s">
        <v>41</v>
      </c>
      <c r="D3465" s="2">
        <v>42583</v>
      </c>
      <c r="E3465" t="s">
        <v>27</v>
      </c>
      <c r="F3465">
        <v>122</v>
      </c>
      <c r="G3465" t="str">
        <f>VLOOKUP(Table1_2[[#This Row],[Categories]],Sheet3!$A$1:$B$27,2,FALSE)</f>
        <v>Household Items</v>
      </c>
    </row>
    <row r="3466" spans="1:7" x14ac:dyDescent="0.3">
      <c r="A3466" t="s">
        <v>30</v>
      </c>
      <c r="B3466">
        <v>2016</v>
      </c>
      <c r="C3466" t="s">
        <v>41</v>
      </c>
      <c r="D3466" s="2">
        <v>42583</v>
      </c>
      <c r="E3466" t="s">
        <v>28</v>
      </c>
      <c r="F3466">
        <v>124.2</v>
      </c>
      <c r="G3466" t="str">
        <f>VLOOKUP(Table1_2[[#This Row],[Categories]],Sheet3!$A$1:$B$27,2,FALSE)</f>
        <v>Miscellaneous</v>
      </c>
    </row>
    <row r="3467" spans="1:7" x14ac:dyDescent="0.3">
      <c r="A3467" t="s">
        <v>30</v>
      </c>
      <c r="B3467">
        <v>2016</v>
      </c>
      <c r="C3467" t="s">
        <v>41</v>
      </c>
      <c r="D3467" s="2">
        <v>42583</v>
      </c>
      <c r="E3467" t="s">
        <v>29</v>
      </c>
      <c r="F3467">
        <v>133.5</v>
      </c>
      <c r="G3467" t="str">
        <f>VLOOKUP(Table1_2[[#This Row],[Categories]],Sheet3!$A$1:$B$27,2,FALSE)</f>
        <v>General index</v>
      </c>
    </row>
    <row r="3468" spans="1:7" x14ac:dyDescent="0.3">
      <c r="A3468" t="s">
        <v>33</v>
      </c>
      <c r="B3468">
        <v>2016</v>
      </c>
      <c r="C3468" t="s">
        <v>41</v>
      </c>
      <c r="D3468" s="2">
        <v>42583</v>
      </c>
      <c r="E3468" t="s">
        <v>3</v>
      </c>
      <c r="F3468">
        <v>127.6</v>
      </c>
      <c r="G3468" t="str">
        <f>VLOOKUP(Table1_2[[#This Row],[Categories]],Sheet3!$A$1:$B$27,2,FALSE)</f>
        <v>Food &amp;Beverage</v>
      </c>
    </row>
    <row r="3469" spans="1:7" x14ac:dyDescent="0.3">
      <c r="A3469" t="s">
        <v>33</v>
      </c>
      <c r="B3469">
        <v>2016</v>
      </c>
      <c r="C3469" t="s">
        <v>41</v>
      </c>
      <c r="D3469" s="2">
        <v>42583</v>
      </c>
      <c r="E3469" t="s">
        <v>4</v>
      </c>
      <c r="F3469">
        <v>140.30000000000001</v>
      </c>
      <c r="G3469" t="str">
        <f>VLOOKUP(Table1_2[[#This Row],[Categories]],Sheet3!$A$1:$B$27,2,FALSE)</f>
        <v>Food &amp;Beverage</v>
      </c>
    </row>
    <row r="3470" spans="1:7" x14ac:dyDescent="0.3">
      <c r="A3470" t="s">
        <v>33</v>
      </c>
      <c r="B3470">
        <v>2016</v>
      </c>
      <c r="C3470" t="s">
        <v>41</v>
      </c>
      <c r="D3470" s="2">
        <v>42583</v>
      </c>
      <c r="E3470" t="s">
        <v>5</v>
      </c>
      <c r="F3470">
        <v>133.69999999999999</v>
      </c>
      <c r="G3470" t="str">
        <f>VLOOKUP(Table1_2[[#This Row],[Categories]],Sheet3!$A$1:$B$27,2,FALSE)</f>
        <v>Food &amp;Beverage</v>
      </c>
    </row>
    <row r="3471" spans="1:7" x14ac:dyDescent="0.3">
      <c r="A3471" t="s">
        <v>33</v>
      </c>
      <c r="B3471">
        <v>2016</v>
      </c>
      <c r="C3471" t="s">
        <v>41</v>
      </c>
      <c r="D3471" s="2">
        <v>42583</v>
      </c>
      <c r="E3471" t="s">
        <v>6</v>
      </c>
      <c r="F3471">
        <v>132.19999999999999</v>
      </c>
      <c r="G3471" t="str">
        <f>VLOOKUP(Table1_2[[#This Row],[Categories]],Sheet3!$A$1:$B$27,2,FALSE)</f>
        <v>Food &amp;Beverage</v>
      </c>
    </row>
    <row r="3472" spans="1:7" x14ac:dyDescent="0.3">
      <c r="A3472" t="s">
        <v>33</v>
      </c>
      <c r="B3472">
        <v>2016</v>
      </c>
      <c r="C3472" t="s">
        <v>41</v>
      </c>
      <c r="D3472" s="2">
        <v>42583</v>
      </c>
      <c r="E3472" t="s">
        <v>7</v>
      </c>
      <c r="F3472">
        <v>111.8</v>
      </c>
      <c r="G3472" t="str">
        <f>VLOOKUP(Table1_2[[#This Row],[Categories]],Sheet3!$A$1:$B$27,2,FALSE)</f>
        <v>Food &amp;Beverage</v>
      </c>
    </row>
    <row r="3473" spans="1:7" x14ac:dyDescent="0.3">
      <c r="A3473" t="s">
        <v>33</v>
      </c>
      <c r="B3473">
        <v>2016</v>
      </c>
      <c r="C3473" t="s">
        <v>41</v>
      </c>
      <c r="D3473" s="2">
        <v>42583</v>
      </c>
      <c r="E3473" t="s">
        <v>8</v>
      </c>
      <c r="F3473">
        <v>135.80000000000001</v>
      </c>
      <c r="G3473" t="str">
        <f>VLOOKUP(Table1_2[[#This Row],[Categories]],Sheet3!$A$1:$B$27,2,FALSE)</f>
        <v>Food &amp;Beverage</v>
      </c>
    </row>
    <row r="3474" spans="1:7" x14ac:dyDescent="0.3">
      <c r="A3474" t="s">
        <v>33</v>
      </c>
      <c r="B3474">
        <v>2016</v>
      </c>
      <c r="C3474" t="s">
        <v>41</v>
      </c>
      <c r="D3474" s="2">
        <v>42583</v>
      </c>
      <c r="E3474" t="s">
        <v>9</v>
      </c>
      <c r="F3474">
        <v>163.5</v>
      </c>
      <c r="G3474" t="str">
        <f>VLOOKUP(Table1_2[[#This Row],[Categories]],Sheet3!$A$1:$B$27,2,FALSE)</f>
        <v>Food &amp;Beverage</v>
      </c>
    </row>
    <row r="3475" spans="1:7" x14ac:dyDescent="0.3">
      <c r="A3475" t="s">
        <v>33</v>
      </c>
      <c r="B3475">
        <v>2016</v>
      </c>
      <c r="C3475" t="s">
        <v>41</v>
      </c>
      <c r="D3475" s="2">
        <v>42583</v>
      </c>
      <c r="E3475" t="s">
        <v>10</v>
      </c>
      <c r="F3475">
        <v>182.3</v>
      </c>
      <c r="G3475" t="str">
        <f>VLOOKUP(Table1_2[[#This Row],[Categories]],Sheet3!$A$1:$B$27,2,FALSE)</f>
        <v>Food &amp;Beverage</v>
      </c>
    </row>
    <row r="3476" spans="1:7" x14ac:dyDescent="0.3">
      <c r="A3476" t="s">
        <v>33</v>
      </c>
      <c r="B3476">
        <v>2016</v>
      </c>
      <c r="C3476" t="s">
        <v>41</v>
      </c>
      <c r="D3476" s="2">
        <v>42583</v>
      </c>
      <c r="E3476" t="s">
        <v>11</v>
      </c>
      <c r="F3476">
        <v>114.6</v>
      </c>
      <c r="G3476" t="str">
        <f>VLOOKUP(Table1_2[[#This Row],[Categories]],Sheet3!$A$1:$B$27,2,FALSE)</f>
        <v>Food &amp;Beverage</v>
      </c>
    </row>
    <row r="3477" spans="1:7" x14ac:dyDescent="0.3">
      <c r="A3477" t="s">
        <v>33</v>
      </c>
      <c r="B3477">
        <v>2016</v>
      </c>
      <c r="C3477" t="s">
        <v>41</v>
      </c>
      <c r="D3477" s="2">
        <v>42583</v>
      </c>
      <c r="E3477" t="s">
        <v>12</v>
      </c>
      <c r="F3477">
        <v>144.6</v>
      </c>
      <c r="G3477" t="str">
        <f>VLOOKUP(Table1_2[[#This Row],[Categories]],Sheet3!$A$1:$B$27,2,FALSE)</f>
        <v>Food &amp;Beverage</v>
      </c>
    </row>
    <row r="3478" spans="1:7" x14ac:dyDescent="0.3">
      <c r="A3478" t="s">
        <v>33</v>
      </c>
      <c r="B3478">
        <v>2016</v>
      </c>
      <c r="C3478" t="s">
        <v>41</v>
      </c>
      <c r="D3478" s="2">
        <v>42583</v>
      </c>
      <c r="E3478" t="s">
        <v>13</v>
      </c>
      <c r="F3478">
        <v>121.9</v>
      </c>
      <c r="G3478" t="str">
        <f>VLOOKUP(Table1_2[[#This Row],[Categories]],Sheet3!$A$1:$B$27,2,FALSE)</f>
        <v>Food &amp;Beverage</v>
      </c>
    </row>
    <row r="3479" spans="1:7" x14ac:dyDescent="0.3">
      <c r="A3479" t="s">
        <v>33</v>
      </c>
      <c r="B3479">
        <v>2016</v>
      </c>
      <c r="C3479" t="s">
        <v>41</v>
      </c>
      <c r="D3479" s="2">
        <v>42583</v>
      </c>
      <c r="E3479" t="s">
        <v>14</v>
      </c>
      <c r="F3479">
        <v>138.1</v>
      </c>
      <c r="G3479" t="str">
        <f>VLOOKUP(Table1_2[[#This Row],[Categories]],Sheet3!$A$1:$B$27,2,FALSE)</f>
        <v>Food &amp;Beverage</v>
      </c>
    </row>
    <row r="3480" spans="1:7" x14ac:dyDescent="0.3">
      <c r="A3480" t="s">
        <v>33</v>
      </c>
      <c r="B3480">
        <v>2016</v>
      </c>
      <c r="C3480" t="s">
        <v>41</v>
      </c>
      <c r="D3480" s="2">
        <v>42583</v>
      </c>
      <c r="E3480" t="s">
        <v>15</v>
      </c>
      <c r="F3480">
        <v>137.6</v>
      </c>
      <c r="G3480" t="str">
        <f>VLOOKUP(Table1_2[[#This Row],[Categories]],Sheet3!$A$1:$B$27,2,FALSE)</f>
        <v>Food &amp;Beverage</v>
      </c>
    </row>
    <row r="3481" spans="1:7" x14ac:dyDescent="0.3">
      <c r="A3481" t="s">
        <v>33</v>
      </c>
      <c r="B3481">
        <v>2016</v>
      </c>
      <c r="C3481" t="s">
        <v>41</v>
      </c>
      <c r="D3481" s="2">
        <v>42583</v>
      </c>
      <c r="E3481" t="s">
        <v>16</v>
      </c>
      <c r="F3481">
        <v>143.6</v>
      </c>
      <c r="G3481" t="str">
        <f>VLOOKUP(Table1_2[[#This Row],[Categories]],Sheet3!$A$1:$B$27,2,FALSE)</f>
        <v>Recreation and amusement</v>
      </c>
    </row>
    <row r="3482" spans="1:7" x14ac:dyDescent="0.3">
      <c r="A3482" t="s">
        <v>33</v>
      </c>
      <c r="B3482">
        <v>2016</v>
      </c>
      <c r="C3482" t="s">
        <v>41</v>
      </c>
      <c r="D3482" s="2">
        <v>42583</v>
      </c>
      <c r="E3482" t="s">
        <v>17</v>
      </c>
      <c r="F3482">
        <v>128.30000000000001</v>
      </c>
      <c r="G3482" t="str">
        <f>VLOOKUP(Table1_2[[#This Row],[Categories]],Sheet3!$A$1:$B$27,2,FALSE)</f>
        <v>Clothing and footwear</v>
      </c>
    </row>
    <row r="3483" spans="1:7" x14ac:dyDescent="0.3">
      <c r="A3483" t="s">
        <v>33</v>
      </c>
      <c r="B3483">
        <v>2016</v>
      </c>
      <c r="C3483" t="s">
        <v>41</v>
      </c>
      <c r="D3483" s="2">
        <v>42583</v>
      </c>
      <c r="E3483" t="s">
        <v>18</v>
      </c>
      <c r="F3483">
        <v>121.4</v>
      </c>
      <c r="G3483" t="str">
        <f>VLOOKUP(Table1_2[[#This Row],[Categories]],Sheet3!$A$1:$B$27,2,FALSE)</f>
        <v>Clothing and footwear</v>
      </c>
    </row>
    <row r="3484" spans="1:7" x14ac:dyDescent="0.3">
      <c r="A3484" t="s">
        <v>33</v>
      </c>
      <c r="B3484">
        <v>2016</v>
      </c>
      <c r="C3484" t="s">
        <v>41</v>
      </c>
      <c r="D3484" s="2">
        <v>42583</v>
      </c>
      <c r="E3484" t="s">
        <v>19</v>
      </c>
      <c r="F3484">
        <v>127.3</v>
      </c>
      <c r="G3484" t="str">
        <f>VLOOKUP(Table1_2[[#This Row],[Categories]],Sheet3!$A$1:$B$27,2,FALSE)</f>
        <v>Clothing and footwear</v>
      </c>
    </row>
    <row r="3485" spans="1:7" x14ac:dyDescent="0.3">
      <c r="A3485" t="s">
        <v>33</v>
      </c>
      <c r="B3485">
        <v>2016</v>
      </c>
      <c r="C3485" t="s">
        <v>41</v>
      </c>
      <c r="D3485" s="2">
        <v>42583</v>
      </c>
      <c r="E3485" t="s">
        <v>20</v>
      </c>
      <c r="F3485">
        <v>127.3</v>
      </c>
      <c r="G3485" t="str">
        <f>VLOOKUP(Table1_2[[#This Row],[Categories]],Sheet3!$A$1:$B$27,2,FALSE)</f>
        <v>Housing</v>
      </c>
    </row>
    <row r="3486" spans="1:7" x14ac:dyDescent="0.3">
      <c r="A3486" t="s">
        <v>33</v>
      </c>
      <c r="B3486">
        <v>2016</v>
      </c>
      <c r="C3486" t="s">
        <v>41</v>
      </c>
      <c r="D3486" s="2">
        <v>42583</v>
      </c>
      <c r="E3486" t="s">
        <v>21</v>
      </c>
      <c r="F3486">
        <v>114.7</v>
      </c>
      <c r="G3486" t="str">
        <f>VLOOKUP(Table1_2[[#This Row],[Categories]],Sheet3!$A$1:$B$27,2,FALSE)</f>
        <v>Fuel and light</v>
      </c>
    </row>
    <row r="3487" spans="1:7" x14ac:dyDescent="0.3">
      <c r="A3487" t="s">
        <v>33</v>
      </c>
      <c r="B3487">
        <v>2016</v>
      </c>
      <c r="C3487" t="s">
        <v>41</v>
      </c>
      <c r="D3487" s="2">
        <v>42583</v>
      </c>
      <c r="E3487" t="s">
        <v>22</v>
      </c>
      <c r="F3487">
        <v>123.9</v>
      </c>
      <c r="G3487" t="str">
        <f>VLOOKUP(Table1_2[[#This Row],[Categories]],Sheet3!$A$1:$B$27,2,FALSE)</f>
        <v>Household Items</v>
      </c>
    </row>
    <row r="3488" spans="1:7" x14ac:dyDescent="0.3">
      <c r="A3488" t="s">
        <v>33</v>
      </c>
      <c r="B3488">
        <v>2016</v>
      </c>
      <c r="C3488" t="s">
        <v>41</v>
      </c>
      <c r="D3488" s="2">
        <v>42583</v>
      </c>
      <c r="E3488" t="s">
        <v>23</v>
      </c>
      <c r="F3488">
        <v>121.2</v>
      </c>
      <c r="G3488" t="str">
        <f>VLOOKUP(Table1_2[[#This Row],[Categories]],Sheet3!$A$1:$B$27,2,FALSE)</f>
        <v>Health</v>
      </c>
    </row>
    <row r="3489" spans="1:7" x14ac:dyDescent="0.3">
      <c r="A3489" t="s">
        <v>33</v>
      </c>
      <c r="B3489">
        <v>2016</v>
      </c>
      <c r="C3489" t="s">
        <v>41</v>
      </c>
      <c r="D3489" s="2">
        <v>42583</v>
      </c>
      <c r="E3489" t="s">
        <v>24</v>
      </c>
      <c r="F3489">
        <v>110.4</v>
      </c>
      <c r="G3489" t="str">
        <f>VLOOKUP(Table1_2[[#This Row],[Categories]],Sheet3!$A$1:$B$27,2,FALSE)</f>
        <v>Transport and communication</v>
      </c>
    </row>
    <row r="3490" spans="1:7" x14ac:dyDescent="0.3">
      <c r="A3490" t="s">
        <v>33</v>
      </c>
      <c r="B3490">
        <v>2016</v>
      </c>
      <c r="C3490" t="s">
        <v>41</v>
      </c>
      <c r="D3490" s="2">
        <v>42583</v>
      </c>
      <c r="E3490" t="s">
        <v>25</v>
      </c>
      <c r="F3490">
        <v>120.6</v>
      </c>
      <c r="G3490" t="str">
        <f>VLOOKUP(Table1_2[[#This Row],[Categories]],Sheet3!$A$1:$B$27,2,FALSE)</f>
        <v>Recreation and amusement</v>
      </c>
    </row>
    <row r="3491" spans="1:7" x14ac:dyDescent="0.3">
      <c r="A3491" t="s">
        <v>33</v>
      </c>
      <c r="B3491">
        <v>2016</v>
      </c>
      <c r="C3491" t="s">
        <v>41</v>
      </c>
      <c r="D3491" s="2">
        <v>42583</v>
      </c>
      <c r="E3491" t="s">
        <v>26</v>
      </c>
      <c r="F3491">
        <v>131.5</v>
      </c>
      <c r="G3491" t="str">
        <f>VLOOKUP(Table1_2[[#This Row],[Categories]],Sheet3!$A$1:$B$27,2,FALSE)</f>
        <v>Education</v>
      </c>
    </row>
    <row r="3492" spans="1:7" x14ac:dyDescent="0.3">
      <c r="A3492" t="s">
        <v>33</v>
      </c>
      <c r="B3492">
        <v>2016</v>
      </c>
      <c r="C3492" t="s">
        <v>41</v>
      </c>
      <c r="D3492" s="2">
        <v>42583</v>
      </c>
      <c r="E3492" t="s">
        <v>27</v>
      </c>
      <c r="F3492">
        <v>120.9</v>
      </c>
      <c r="G3492" t="str">
        <f>VLOOKUP(Table1_2[[#This Row],[Categories]],Sheet3!$A$1:$B$27,2,FALSE)</f>
        <v>Household Items</v>
      </c>
    </row>
    <row r="3493" spans="1:7" x14ac:dyDescent="0.3">
      <c r="A3493" t="s">
        <v>33</v>
      </c>
      <c r="B3493">
        <v>2016</v>
      </c>
      <c r="C3493" t="s">
        <v>41</v>
      </c>
      <c r="D3493" s="2">
        <v>42583</v>
      </c>
      <c r="E3493" t="s">
        <v>28</v>
      </c>
      <c r="F3493">
        <v>119.9</v>
      </c>
      <c r="G3493" t="str">
        <f>VLOOKUP(Table1_2[[#This Row],[Categories]],Sheet3!$A$1:$B$27,2,FALSE)</f>
        <v>Miscellaneous</v>
      </c>
    </row>
    <row r="3494" spans="1:7" x14ac:dyDescent="0.3">
      <c r="A3494" t="s">
        <v>33</v>
      </c>
      <c r="B3494">
        <v>2016</v>
      </c>
      <c r="C3494" t="s">
        <v>41</v>
      </c>
      <c r="D3494" s="2">
        <v>42583</v>
      </c>
      <c r="E3494" t="s">
        <v>29</v>
      </c>
      <c r="F3494">
        <v>128.4</v>
      </c>
      <c r="G3494" t="str">
        <f>VLOOKUP(Table1_2[[#This Row],[Categories]],Sheet3!$A$1:$B$27,2,FALSE)</f>
        <v>General index</v>
      </c>
    </row>
    <row r="3495" spans="1:7" x14ac:dyDescent="0.3">
      <c r="A3495" t="s">
        <v>34</v>
      </c>
      <c r="B3495">
        <v>2016</v>
      </c>
      <c r="C3495" t="s">
        <v>41</v>
      </c>
      <c r="D3495" s="2">
        <v>42583</v>
      </c>
      <c r="E3495" t="s">
        <v>3</v>
      </c>
      <c r="F3495">
        <v>129.30000000000001</v>
      </c>
      <c r="G3495" t="str">
        <f>VLOOKUP(Table1_2[[#This Row],[Categories]],Sheet3!$A$1:$B$27,2,FALSE)</f>
        <v>Food &amp;Beverage</v>
      </c>
    </row>
    <row r="3496" spans="1:7" x14ac:dyDescent="0.3">
      <c r="A3496" t="s">
        <v>34</v>
      </c>
      <c r="B3496">
        <v>2016</v>
      </c>
      <c r="C3496" t="s">
        <v>41</v>
      </c>
      <c r="D3496" s="2">
        <v>42583</v>
      </c>
      <c r="E3496" t="s">
        <v>4</v>
      </c>
      <c r="F3496">
        <v>139.30000000000001</v>
      </c>
      <c r="G3496" t="str">
        <f>VLOOKUP(Table1_2[[#This Row],[Categories]],Sheet3!$A$1:$B$27,2,FALSE)</f>
        <v>Food &amp;Beverage</v>
      </c>
    </row>
    <row r="3497" spans="1:7" x14ac:dyDescent="0.3">
      <c r="A3497" t="s">
        <v>34</v>
      </c>
      <c r="B3497">
        <v>2016</v>
      </c>
      <c r="C3497" t="s">
        <v>41</v>
      </c>
      <c r="D3497" s="2">
        <v>42583</v>
      </c>
      <c r="E3497" t="s">
        <v>5</v>
      </c>
      <c r="F3497">
        <v>131.6</v>
      </c>
      <c r="G3497" t="str">
        <f>VLOOKUP(Table1_2[[#This Row],[Categories]],Sheet3!$A$1:$B$27,2,FALSE)</f>
        <v>Food &amp;Beverage</v>
      </c>
    </row>
    <row r="3498" spans="1:7" x14ac:dyDescent="0.3">
      <c r="A3498" t="s">
        <v>34</v>
      </c>
      <c r="B3498">
        <v>2016</v>
      </c>
      <c r="C3498" t="s">
        <v>41</v>
      </c>
      <c r="D3498" s="2">
        <v>42583</v>
      </c>
      <c r="E3498" t="s">
        <v>6</v>
      </c>
      <c r="F3498">
        <v>134.1</v>
      </c>
      <c r="G3498" t="str">
        <f>VLOOKUP(Table1_2[[#This Row],[Categories]],Sheet3!$A$1:$B$27,2,FALSE)</f>
        <v>Food &amp;Beverage</v>
      </c>
    </row>
    <row r="3499" spans="1:7" x14ac:dyDescent="0.3">
      <c r="A3499" t="s">
        <v>34</v>
      </c>
      <c r="B3499">
        <v>2016</v>
      </c>
      <c r="C3499" t="s">
        <v>41</v>
      </c>
      <c r="D3499" s="2">
        <v>42583</v>
      </c>
      <c r="E3499" t="s">
        <v>7</v>
      </c>
      <c r="F3499">
        <v>116.9</v>
      </c>
      <c r="G3499" t="str">
        <f>VLOOKUP(Table1_2[[#This Row],[Categories]],Sheet3!$A$1:$B$27,2,FALSE)</f>
        <v>Food &amp;Beverage</v>
      </c>
    </row>
    <row r="3500" spans="1:7" x14ac:dyDescent="0.3">
      <c r="A3500" t="s">
        <v>34</v>
      </c>
      <c r="B3500">
        <v>2016</v>
      </c>
      <c r="C3500" t="s">
        <v>41</v>
      </c>
      <c r="D3500" s="2">
        <v>42583</v>
      </c>
      <c r="E3500" t="s">
        <v>8</v>
      </c>
      <c r="F3500">
        <v>138.1</v>
      </c>
      <c r="G3500" t="str">
        <f>VLOOKUP(Table1_2[[#This Row],[Categories]],Sheet3!$A$1:$B$27,2,FALSE)</f>
        <v>Food &amp;Beverage</v>
      </c>
    </row>
    <row r="3501" spans="1:7" x14ac:dyDescent="0.3">
      <c r="A3501" t="s">
        <v>34</v>
      </c>
      <c r="B3501">
        <v>2016</v>
      </c>
      <c r="C3501" t="s">
        <v>41</v>
      </c>
      <c r="D3501" s="2">
        <v>42583</v>
      </c>
      <c r="E3501" t="s">
        <v>9</v>
      </c>
      <c r="F3501">
        <v>159.1</v>
      </c>
      <c r="G3501" t="str">
        <f>VLOOKUP(Table1_2[[#This Row],[Categories]],Sheet3!$A$1:$B$27,2,FALSE)</f>
        <v>Food &amp;Beverage</v>
      </c>
    </row>
    <row r="3502" spans="1:7" x14ac:dyDescent="0.3">
      <c r="A3502" t="s">
        <v>34</v>
      </c>
      <c r="B3502">
        <v>2016</v>
      </c>
      <c r="C3502" t="s">
        <v>41</v>
      </c>
      <c r="D3502" s="2">
        <v>42583</v>
      </c>
      <c r="E3502" t="s">
        <v>10</v>
      </c>
      <c r="F3502">
        <v>175.6</v>
      </c>
      <c r="G3502" t="str">
        <f>VLOOKUP(Table1_2[[#This Row],[Categories]],Sheet3!$A$1:$B$27,2,FALSE)</f>
        <v>Food &amp;Beverage</v>
      </c>
    </row>
    <row r="3503" spans="1:7" x14ac:dyDescent="0.3">
      <c r="A3503" t="s">
        <v>34</v>
      </c>
      <c r="B3503">
        <v>2016</v>
      </c>
      <c r="C3503" t="s">
        <v>41</v>
      </c>
      <c r="D3503" s="2">
        <v>42583</v>
      </c>
      <c r="E3503" t="s">
        <v>11</v>
      </c>
      <c r="F3503">
        <v>112.9</v>
      </c>
      <c r="G3503" t="str">
        <f>VLOOKUP(Table1_2[[#This Row],[Categories]],Sheet3!$A$1:$B$27,2,FALSE)</f>
        <v>Food &amp;Beverage</v>
      </c>
    </row>
    <row r="3504" spans="1:7" x14ac:dyDescent="0.3">
      <c r="A3504" t="s">
        <v>34</v>
      </c>
      <c r="B3504">
        <v>2016</v>
      </c>
      <c r="C3504" t="s">
        <v>41</v>
      </c>
      <c r="D3504" s="2">
        <v>42583</v>
      </c>
      <c r="E3504" t="s">
        <v>12</v>
      </c>
      <c r="F3504">
        <v>138.1</v>
      </c>
      <c r="G3504" t="str">
        <f>VLOOKUP(Table1_2[[#This Row],[Categories]],Sheet3!$A$1:$B$27,2,FALSE)</f>
        <v>Food &amp;Beverage</v>
      </c>
    </row>
    <row r="3505" spans="1:7" x14ac:dyDescent="0.3">
      <c r="A3505" t="s">
        <v>34</v>
      </c>
      <c r="B3505">
        <v>2016</v>
      </c>
      <c r="C3505" t="s">
        <v>41</v>
      </c>
      <c r="D3505" s="2">
        <v>42583</v>
      </c>
      <c r="E3505" t="s">
        <v>13</v>
      </c>
      <c r="F3505">
        <v>125.5</v>
      </c>
      <c r="G3505" t="str">
        <f>VLOOKUP(Table1_2[[#This Row],[Categories]],Sheet3!$A$1:$B$27,2,FALSE)</f>
        <v>Food &amp;Beverage</v>
      </c>
    </row>
    <row r="3506" spans="1:7" x14ac:dyDescent="0.3">
      <c r="A3506" t="s">
        <v>34</v>
      </c>
      <c r="B3506">
        <v>2016</v>
      </c>
      <c r="C3506" t="s">
        <v>41</v>
      </c>
      <c r="D3506" s="2">
        <v>42583</v>
      </c>
      <c r="E3506" t="s">
        <v>14</v>
      </c>
      <c r="F3506">
        <v>139.5</v>
      </c>
      <c r="G3506" t="str">
        <f>VLOOKUP(Table1_2[[#This Row],[Categories]],Sheet3!$A$1:$B$27,2,FALSE)</f>
        <v>Food &amp;Beverage</v>
      </c>
    </row>
    <row r="3507" spans="1:7" x14ac:dyDescent="0.3">
      <c r="A3507" t="s">
        <v>34</v>
      </c>
      <c r="B3507">
        <v>2016</v>
      </c>
      <c r="C3507" t="s">
        <v>41</v>
      </c>
      <c r="D3507" s="2">
        <v>42583</v>
      </c>
      <c r="E3507" t="s">
        <v>15</v>
      </c>
      <c r="F3507">
        <v>137.9</v>
      </c>
      <c r="G3507" t="str">
        <f>VLOOKUP(Table1_2[[#This Row],[Categories]],Sheet3!$A$1:$B$27,2,FALSE)</f>
        <v>Food &amp;Beverage</v>
      </c>
    </row>
    <row r="3508" spans="1:7" x14ac:dyDescent="0.3">
      <c r="A3508" t="s">
        <v>34</v>
      </c>
      <c r="B3508">
        <v>2016</v>
      </c>
      <c r="C3508" t="s">
        <v>41</v>
      </c>
      <c r="D3508" s="2">
        <v>42583</v>
      </c>
      <c r="E3508" t="s">
        <v>16</v>
      </c>
      <c r="F3508">
        <v>140.19999999999999</v>
      </c>
      <c r="G3508" t="str">
        <f>VLOOKUP(Table1_2[[#This Row],[Categories]],Sheet3!$A$1:$B$27,2,FALSE)</f>
        <v>Recreation and amusement</v>
      </c>
    </row>
    <row r="3509" spans="1:7" x14ac:dyDescent="0.3">
      <c r="A3509" t="s">
        <v>34</v>
      </c>
      <c r="B3509">
        <v>2016</v>
      </c>
      <c r="C3509" t="s">
        <v>41</v>
      </c>
      <c r="D3509" s="2">
        <v>42583</v>
      </c>
      <c r="E3509" t="s">
        <v>17</v>
      </c>
      <c r="F3509">
        <v>134.1</v>
      </c>
      <c r="G3509" t="str">
        <f>VLOOKUP(Table1_2[[#This Row],[Categories]],Sheet3!$A$1:$B$27,2,FALSE)</f>
        <v>Clothing and footwear</v>
      </c>
    </row>
    <row r="3510" spans="1:7" x14ac:dyDescent="0.3">
      <c r="A3510" t="s">
        <v>34</v>
      </c>
      <c r="B3510">
        <v>2016</v>
      </c>
      <c r="C3510" t="s">
        <v>41</v>
      </c>
      <c r="D3510" s="2">
        <v>42583</v>
      </c>
      <c r="E3510" t="s">
        <v>18</v>
      </c>
      <c r="F3510">
        <v>128.19999999999999</v>
      </c>
      <c r="G3510" t="str">
        <f>VLOOKUP(Table1_2[[#This Row],[Categories]],Sheet3!$A$1:$B$27,2,FALSE)</f>
        <v>Clothing and footwear</v>
      </c>
    </row>
    <row r="3511" spans="1:7" x14ac:dyDescent="0.3">
      <c r="A3511" t="s">
        <v>34</v>
      </c>
      <c r="B3511">
        <v>2016</v>
      </c>
      <c r="C3511" t="s">
        <v>41</v>
      </c>
      <c r="D3511" s="2">
        <v>42583</v>
      </c>
      <c r="E3511" t="s">
        <v>19</v>
      </c>
      <c r="F3511">
        <v>133.19999999999999</v>
      </c>
      <c r="G3511" t="str">
        <f>VLOOKUP(Table1_2[[#This Row],[Categories]],Sheet3!$A$1:$B$27,2,FALSE)</f>
        <v>Clothing and footwear</v>
      </c>
    </row>
    <row r="3512" spans="1:7" x14ac:dyDescent="0.3">
      <c r="A3512" t="s">
        <v>34</v>
      </c>
      <c r="B3512">
        <v>2016</v>
      </c>
      <c r="C3512" t="s">
        <v>41</v>
      </c>
      <c r="D3512" s="2">
        <v>42583</v>
      </c>
      <c r="E3512" t="s">
        <v>20</v>
      </c>
      <c r="F3512">
        <v>127.3</v>
      </c>
      <c r="G3512" t="str">
        <f>VLOOKUP(Table1_2[[#This Row],[Categories]],Sheet3!$A$1:$B$27,2,FALSE)</f>
        <v>Housing</v>
      </c>
    </row>
    <row r="3513" spans="1:7" x14ac:dyDescent="0.3">
      <c r="A3513" t="s">
        <v>34</v>
      </c>
      <c r="B3513">
        <v>2016</v>
      </c>
      <c r="C3513" t="s">
        <v>41</v>
      </c>
      <c r="D3513" s="2">
        <v>42583</v>
      </c>
      <c r="E3513" t="s">
        <v>21</v>
      </c>
      <c r="F3513">
        <v>123.6</v>
      </c>
      <c r="G3513" t="str">
        <f>VLOOKUP(Table1_2[[#This Row],[Categories]],Sheet3!$A$1:$B$27,2,FALSE)</f>
        <v>Fuel and light</v>
      </c>
    </row>
    <row r="3514" spans="1:7" x14ac:dyDescent="0.3">
      <c r="A3514" t="s">
        <v>34</v>
      </c>
      <c r="B3514">
        <v>2016</v>
      </c>
      <c r="C3514" t="s">
        <v>41</v>
      </c>
      <c r="D3514" s="2">
        <v>42583</v>
      </c>
      <c r="E3514" t="s">
        <v>22</v>
      </c>
      <c r="F3514">
        <v>127.4</v>
      </c>
      <c r="G3514" t="str">
        <f>VLOOKUP(Table1_2[[#This Row],[Categories]],Sheet3!$A$1:$B$27,2,FALSE)</f>
        <v>Household Items</v>
      </c>
    </row>
    <row r="3515" spans="1:7" x14ac:dyDescent="0.3">
      <c r="A3515" t="s">
        <v>34</v>
      </c>
      <c r="B3515">
        <v>2016</v>
      </c>
      <c r="C3515" t="s">
        <v>41</v>
      </c>
      <c r="D3515" s="2">
        <v>42583</v>
      </c>
      <c r="E3515" t="s">
        <v>23</v>
      </c>
      <c r="F3515">
        <v>124.8</v>
      </c>
      <c r="G3515" t="str">
        <f>VLOOKUP(Table1_2[[#This Row],[Categories]],Sheet3!$A$1:$B$27,2,FALSE)</f>
        <v>Health</v>
      </c>
    </row>
    <row r="3516" spans="1:7" x14ac:dyDescent="0.3">
      <c r="A3516" t="s">
        <v>34</v>
      </c>
      <c r="B3516">
        <v>2016</v>
      </c>
      <c r="C3516" t="s">
        <v>41</v>
      </c>
      <c r="D3516" s="2">
        <v>42583</v>
      </c>
      <c r="E3516" t="s">
        <v>24</v>
      </c>
      <c r="F3516">
        <v>113.1</v>
      </c>
      <c r="G3516" t="str">
        <f>VLOOKUP(Table1_2[[#This Row],[Categories]],Sheet3!$A$1:$B$27,2,FALSE)</f>
        <v>Transport and communication</v>
      </c>
    </row>
    <row r="3517" spans="1:7" x14ac:dyDescent="0.3">
      <c r="A3517" t="s">
        <v>34</v>
      </c>
      <c r="B3517">
        <v>2016</v>
      </c>
      <c r="C3517" t="s">
        <v>41</v>
      </c>
      <c r="D3517" s="2">
        <v>42583</v>
      </c>
      <c r="E3517" t="s">
        <v>25</v>
      </c>
      <c r="F3517">
        <v>122.7</v>
      </c>
      <c r="G3517" t="str">
        <f>VLOOKUP(Table1_2[[#This Row],[Categories]],Sheet3!$A$1:$B$27,2,FALSE)</f>
        <v>Recreation and amusement</v>
      </c>
    </row>
    <row r="3518" spans="1:7" x14ac:dyDescent="0.3">
      <c r="A3518" t="s">
        <v>34</v>
      </c>
      <c r="B3518">
        <v>2016</v>
      </c>
      <c r="C3518" t="s">
        <v>41</v>
      </c>
      <c r="D3518" s="2">
        <v>42583</v>
      </c>
      <c r="E3518" t="s">
        <v>26</v>
      </c>
      <c r="F3518">
        <v>131.69999999999999</v>
      </c>
      <c r="G3518" t="str">
        <f>VLOOKUP(Table1_2[[#This Row],[Categories]],Sheet3!$A$1:$B$27,2,FALSE)</f>
        <v>Education</v>
      </c>
    </row>
    <row r="3519" spans="1:7" x14ac:dyDescent="0.3">
      <c r="A3519" t="s">
        <v>34</v>
      </c>
      <c r="B3519">
        <v>2016</v>
      </c>
      <c r="C3519" t="s">
        <v>41</v>
      </c>
      <c r="D3519" s="2">
        <v>42583</v>
      </c>
      <c r="E3519" t="s">
        <v>27</v>
      </c>
      <c r="F3519">
        <v>121.5</v>
      </c>
      <c r="G3519" t="str">
        <f>VLOOKUP(Table1_2[[#This Row],[Categories]],Sheet3!$A$1:$B$27,2,FALSE)</f>
        <v>Household Items</v>
      </c>
    </row>
    <row r="3520" spans="1:7" x14ac:dyDescent="0.3">
      <c r="A3520" t="s">
        <v>34</v>
      </c>
      <c r="B3520">
        <v>2016</v>
      </c>
      <c r="C3520" t="s">
        <v>41</v>
      </c>
      <c r="D3520" s="2">
        <v>42583</v>
      </c>
      <c r="E3520" t="s">
        <v>28</v>
      </c>
      <c r="F3520">
        <v>122.1</v>
      </c>
      <c r="G3520" t="str">
        <f>VLOOKUP(Table1_2[[#This Row],[Categories]],Sheet3!$A$1:$B$27,2,FALSE)</f>
        <v>Miscellaneous</v>
      </c>
    </row>
    <row r="3521" spans="1:7" x14ac:dyDescent="0.3">
      <c r="A3521" t="s">
        <v>34</v>
      </c>
      <c r="B3521">
        <v>2016</v>
      </c>
      <c r="C3521" t="s">
        <v>41</v>
      </c>
      <c r="D3521" s="2">
        <v>42583</v>
      </c>
      <c r="E3521" t="s">
        <v>29</v>
      </c>
      <c r="F3521">
        <v>131.1</v>
      </c>
      <c r="G3521" t="str">
        <f>VLOOKUP(Table1_2[[#This Row],[Categories]],Sheet3!$A$1:$B$27,2,FALSE)</f>
        <v>General index</v>
      </c>
    </row>
    <row r="3522" spans="1:7" x14ac:dyDescent="0.3">
      <c r="A3522" t="s">
        <v>30</v>
      </c>
      <c r="B3522">
        <v>2016</v>
      </c>
      <c r="C3522" t="s">
        <v>42</v>
      </c>
      <c r="D3522" s="2">
        <v>42614</v>
      </c>
      <c r="E3522" t="s">
        <v>3</v>
      </c>
      <c r="F3522">
        <v>130.80000000000001</v>
      </c>
      <c r="G3522" t="str">
        <f>VLOOKUP(Table1_2[[#This Row],[Categories]],Sheet3!$A$1:$B$27,2,FALSE)</f>
        <v>Food &amp;Beverage</v>
      </c>
    </row>
    <row r="3523" spans="1:7" x14ac:dyDescent="0.3">
      <c r="A3523" t="s">
        <v>30</v>
      </c>
      <c r="B3523">
        <v>2016</v>
      </c>
      <c r="C3523" t="s">
        <v>42</v>
      </c>
      <c r="D3523" s="2">
        <v>42614</v>
      </c>
      <c r="E3523" t="s">
        <v>4</v>
      </c>
      <c r="F3523">
        <v>138.19999999999999</v>
      </c>
      <c r="G3523" t="str">
        <f>VLOOKUP(Table1_2[[#This Row],[Categories]],Sheet3!$A$1:$B$27,2,FALSE)</f>
        <v>Food &amp;Beverage</v>
      </c>
    </row>
    <row r="3524" spans="1:7" x14ac:dyDescent="0.3">
      <c r="A3524" t="s">
        <v>30</v>
      </c>
      <c r="B3524">
        <v>2016</v>
      </c>
      <c r="C3524" t="s">
        <v>42</v>
      </c>
      <c r="D3524" s="2">
        <v>42614</v>
      </c>
      <c r="E3524" t="s">
        <v>5</v>
      </c>
      <c r="F3524">
        <v>130.5</v>
      </c>
      <c r="G3524" t="str">
        <f>VLOOKUP(Table1_2[[#This Row],[Categories]],Sheet3!$A$1:$B$27,2,FALSE)</f>
        <v>Food &amp;Beverage</v>
      </c>
    </row>
    <row r="3525" spans="1:7" x14ac:dyDescent="0.3">
      <c r="A3525" t="s">
        <v>30</v>
      </c>
      <c r="B3525">
        <v>2016</v>
      </c>
      <c r="C3525" t="s">
        <v>42</v>
      </c>
      <c r="D3525" s="2">
        <v>42614</v>
      </c>
      <c r="E3525" t="s">
        <v>6</v>
      </c>
      <c r="F3525">
        <v>135.5</v>
      </c>
      <c r="G3525" t="str">
        <f>VLOOKUP(Table1_2[[#This Row],[Categories]],Sheet3!$A$1:$B$27,2,FALSE)</f>
        <v>Food &amp;Beverage</v>
      </c>
    </row>
    <row r="3526" spans="1:7" x14ac:dyDescent="0.3">
      <c r="A3526" t="s">
        <v>30</v>
      </c>
      <c r="B3526">
        <v>2016</v>
      </c>
      <c r="C3526" t="s">
        <v>42</v>
      </c>
      <c r="D3526" s="2">
        <v>42614</v>
      </c>
      <c r="E3526" t="s">
        <v>7</v>
      </c>
      <c r="F3526">
        <v>120.2</v>
      </c>
      <c r="G3526" t="str">
        <f>VLOOKUP(Table1_2[[#This Row],[Categories]],Sheet3!$A$1:$B$27,2,FALSE)</f>
        <v>Food &amp;Beverage</v>
      </c>
    </row>
    <row r="3527" spans="1:7" x14ac:dyDescent="0.3">
      <c r="A3527" t="s">
        <v>30</v>
      </c>
      <c r="B3527">
        <v>2016</v>
      </c>
      <c r="C3527" t="s">
        <v>42</v>
      </c>
      <c r="D3527" s="2">
        <v>42614</v>
      </c>
      <c r="E3527" t="s">
        <v>8</v>
      </c>
      <c r="F3527">
        <v>139.19999999999999</v>
      </c>
      <c r="G3527" t="str">
        <f>VLOOKUP(Table1_2[[#This Row],[Categories]],Sheet3!$A$1:$B$27,2,FALSE)</f>
        <v>Food &amp;Beverage</v>
      </c>
    </row>
    <row r="3528" spans="1:7" x14ac:dyDescent="0.3">
      <c r="A3528" t="s">
        <v>30</v>
      </c>
      <c r="B3528">
        <v>2016</v>
      </c>
      <c r="C3528" t="s">
        <v>42</v>
      </c>
      <c r="D3528" s="2">
        <v>42614</v>
      </c>
      <c r="E3528" t="s">
        <v>9</v>
      </c>
      <c r="F3528">
        <v>149.5</v>
      </c>
      <c r="G3528" t="str">
        <f>VLOOKUP(Table1_2[[#This Row],[Categories]],Sheet3!$A$1:$B$27,2,FALSE)</f>
        <v>Food &amp;Beverage</v>
      </c>
    </row>
    <row r="3529" spans="1:7" x14ac:dyDescent="0.3">
      <c r="A3529" t="s">
        <v>30</v>
      </c>
      <c r="B3529">
        <v>2016</v>
      </c>
      <c r="C3529" t="s">
        <v>42</v>
      </c>
      <c r="D3529" s="2">
        <v>42614</v>
      </c>
      <c r="E3529" t="s">
        <v>10</v>
      </c>
      <c r="F3529">
        <v>170.4</v>
      </c>
      <c r="G3529" t="str">
        <f>VLOOKUP(Table1_2[[#This Row],[Categories]],Sheet3!$A$1:$B$27,2,FALSE)</f>
        <v>Food &amp;Beverage</v>
      </c>
    </row>
    <row r="3530" spans="1:7" x14ac:dyDescent="0.3">
      <c r="A3530" t="s">
        <v>30</v>
      </c>
      <c r="B3530">
        <v>2016</v>
      </c>
      <c r="C3530" t="s">
        <v>42</v>
      </c>
      <c r="D3530" s="2">
        <v>42614</v>
      </c>
      <c r="E3530" t="s">
        <v>11</v>
      </c>
      <c r="F3530">
        <v>113.1</v>
      </c>
      <c r="G3530" t="str">
        <f>VLOOKUP(Table1_2[[#This Row],[Categories]],Sheet3!$A$1:$B$27,2,FALSE)</f>
        <v>Food &amp;Beverage</v>
      </c>
    </row>
    <row r="3531" spans="1:7" x14ac:dyDescent="0.3">
      <c r="A3531" t="s">
        <v>30</v>
      </c>
      <c r="B3531">
        <v>2016</v>
      </c>
      <c r="C3531" t="s">
        <v>42</v>
      </c>
      <c r="D3531" s="2">
        <v>42614</v>
      </c>
      <c r="E3531" t="s">
        <v>12</v>
      </c>
      <c r="F3531">
        <v>135.80000000000001</v>
      </c>
      <c r="G3531" t="str">
        <f>VLOOKUP(Table1_2[[#This Row],[Categories]],Sheet3!$A$1:$B$27,2,FALSE)</f>
        <v>Food &amp;Beverage</v>
      </c>
    </row>
    <row r="3532" spans="1:7" x14ac:dyDescent="0.3">
      <c r="A3532" t="s">
        <v>30</v>
      </c>
      <c r="B3532">
        <v>2016</v>
      </c>
      <c r="C3532" t="s">
        <v>42</v>
      </c>
      <c r="D3532" s="2">
        <v>42614</v>
      </c>
      <c r="E3532" t="s">
        <v>13</v>
      </c>
      <c r="F3532">
        <v>128.80000000000001</v>
      </c>
      <c r="G3532" t="str">
        <f>VLOOKUP(Table1_2[[#This Row],[Categories]],Sheet3!$A$1:$B$27,2,FALSE)</f>
        <v>Food &amp;Beverage</v>
      </c>
    </row>
    <row r="3533" spans="1:7" x14ac:dyDescent="0.3">
      <c r="A3533" t="s">
        <v>30</v>
      </c>
      <c r="B3533">
        <v>2016</v>
      </c>
      <c r="C3533" t="s">
        <v>42</v>
      </c>
      <c r="D3533" s="2">
        <v>42614</v>
      </c>
      <c r="E3533" t="s">
        <v>14</v>
      </c>
      <c r="F3533">
        <v>141.5</v>
      </c>
      <c r="G3533" t="str">
        <f>VLOOKUP(Table1_2[[#This Row],[Categories]],Sheet3!$A$1:$B$27,2,FALSE)</f>
        <v>Food &amp;Beverage</v>
      </c>
    </row>
    <row r="3534" spans="1:7" x14ac:dyDescent="0.3">
      <c r="A3534" t="s">
        <v>30</v>
      </c>
      <c r="B3534">
        <v>2016</v>
      </c>
      <c r="C3534" t="s">
        <v>42</v>
      </c>
      <c r="D3534" s="2">
        <v>42614</v>
      </c>
      <c r="E3534" t="s">
        <v>15</v>
      </c>
      <c r="F3534">
        <v>137.19999999999999</v>
      </c>
      <c r="G3534" t="str">
        <f>VLOOKUP(Table1_2[[#This Row],[Categories]],Sheet3!$A$1:$B$27,2,FALSE)</f>
        <v>Food &amp;Beverage</v>
      </c>
    </row>
    <row r="3535" spans="1:7" x14ac:dyDescent="0.3">
      <c r="A3535" t="s">
        <v>30</v>
      </c>
      <c r="B3535">
        <v>2016</v>
      </c>
      <c r="C3535" t="s">
        <v>42</v>
      </c>
      <c r="D3535" s="2">
        <v>42614</v>
      </c>
      <c r="E3535" t="s">
        <v>16</v>
      </c>
      <c r="F3535">
        <v>139.9</v>
      </c>
      <c r="G3535" t="str">
        <f>VLOOKUP(Table1_2[[#This Row],[Categories]],Sheet3!$A$1:$B$27,2,FALSE)</f>
        <v>Recreation and amusement</v>
      </c>
    </row>
    <row r="3536" spans="1:7" x14ac:dyDescent="0.3">
      <c r="A3536" t="s">
        <v>30</v>
      </c>
      <c r="B3536">
        <v>2016</v>
      </c>
      <c r="C3536" t="s">
        <v>42</v>
      </c>
      <c r="D3536" s="2">
        <v>42614</v>
      </c>
      <c r="E3536" t="s">
        <v>17</v>
      </c>
      <c r="F3536">
        <v>138.5</v>
      </c>
      <c r="G3536" t="str">
        <f>VLOOKUP(Table1_2[[#This Row],[Categories]],Sheet3!$A$1:$B$27,2,FALSE)</f>
        <v>Clothing and footwear</v>
      </c>
    </row>
    <row r="3537" spans="1:7" x14ac:dyDescent="0.3">
      <c r="A3537" t="s">
        <v>30</v>
      </c>
      <c r="B3537">
        <v>2016</v>
      </c>
      <c r="C3537" t="s">
        <v>42</v>
      </c>
      <c r="D3537" s="2">
        <v>42614</v>
      </c>
      <c r="E3537" t="s">
        <v>18</v>
      </c>
      <c r="F3537">
        <v>133.5</v>
      </c>
      <c r="G3537" t="str">
        <f>VLOOKUP(Table1_2[[#This Row],[Categories]],Sheet3!$A$1:$B$27,2,FALSE)</f>
        <v>Clothing and footwear</v>
      </c>
    </row>
    <row r="3538" spans="1:7" x14ac:dyDescent="0.3">
      <c r="A3538" t="s">
        <v>30</v>
      </c>
      <c r="B3538">
        <v>2016</v>
      </c>
      <c r="C3538" t="s">
        <v>42</v>
      </c>
      <c r="D3538" s="2">
        <v>42614</v>
      </c>
      <c r="E3538" t="s">
        <v>19</v>
      </c>
      <c r="F3538">
        <v>137.80000000000001</v>
      </c>
      <c r="G3538" t="str">
        <f>VLOOKUP(Table1_2[[#This Row],[Categories]],Sheet3!$A$1:$B$27,2,FALSE)</f>
        <v>Clothing and footwear</v>
      </c>
    </row>
    <row r="3539" spans="1:7" x14ac:dyDescent="0.3">
      <c r="A3539" t="s">
        <v>30</v>
      </c>
      <c r="B3539">
        <v>2016</v>
      </c>
      <c r="C3539" t="s">
        <v>42</v>
      </c>
      <c r="D3539" s="2">
        <v>42614</v>
      </c>
      <c r="E3539" t="s">
        <v>21</v>
      </c>
      <c r="F3539">
        <v>129.69999999999999</v>
      </c>
      <c r="G3539" t="str">
        <f>VLOOKUP(Table1_2[[#This Row],[Categories]],Sheet3!$A$1:$B$27,2,FALSE)</f>
        <v>Fuel and light</v>
      </c>
    </row>
    <row r="3540" spans="1:7" x14ac:dyDescent="0.3">
      <c r="A3540" t="s">
        <v>30</v>
      </c>
      <c r="B3540">
        <v>2016</v>
      </c>
      <c r="C3540" t="s">
        <v>42</v>
      </c>
      <c r="D3540" s="2">
        <v>42614</v>
      </c>
      <c r="E3540" t="s">
        <v>22</v>
      </c>
      <c r="F3540">
        <v>131.1</v>
      </c>
      <c r="G3540" t="str">
        <f>VLOOKUP(Table1_2[[#This Row],[Categories]],Sheet3!$A$1:$B$27,2,FALSE)</f>
        <v>Household Items</v>
      </c>
    </row>
    <row r="3541" spans="1:7" x14ac:dyDescent="0.3">
      <c r="A3541" t="s">
        <v>30</v>
      </c>
      <c r="B3541">
        <v>2016</v>
      </c>
      <c r="C3541" t="s">
        <v>42</v>
      </c>
      <c r="D3541" s="2">
        <v>42614</v>
      </c>
      <c r="E3541" t="s">
        <v>23</v>
      </c>
      <c r="F3541">
        <v>127.8</v>
      </c>
      <c r="G3541" t="str">
        <f>VLOOKUP(Table1_2[[#This Row],[Categories]],Sheet3!$A$1:$B$27,2,FALSE)</f>
        <v>Health</v>
      </c>
    </row>
    <row r="3542" spans="1:7" x14ac:dyDescent="0.3">
      <c r="A3542" t="s">
        <v>30</v>
      </c>
      <c r="B3542">
        <v>2016</v>
      </c>
      <c r="C3542" t="s">
        <v>42</v>
      </c>
      <c r="D3542" s="2">
        <v>42614</v>
      </c>
      <c r="E3542" t="s">
        <v>24</v>
      </c>
      <c r="F3542">
        <v>117</v>
      </c>
      <c r="G3542" t="str">
        <f>VLOOKUP(Table1_2[[#This Row],[Categories]],Sheet3!$A$1:$B$27,2,FALSE)</f>
        <v>Transport and communication</v>
      </c>
    </row>
    <row r="3543" spans="1:7" x14ac:dyDescent="0.3">
      <c r="A3543" t="s">
        <v>30</v>
      </c>
      <c r="B3543">
        <v>2016</v>
      </c>
      <c r="C3543" t="s">
        <v>42</v>
      </c>
      <c r="D3543" s="2">
        <v>42614</v>
      </c>
      <c r="E3543" t="s">
        <v>25</v>
      </c>
      <c r="F3543">
        <v>125.7</v>
      </c>
      <c r="G3543" t="str">
        <f>VLOOKUP(Table1_2[[#This Row],[Categories]],Sheet3!$A$1:$B$27,2,FALSE)</f>
        <v>Recreation and amusement</v>
      </c>
    </row>
    <row r="3544" spans="1:7" x14ac:dyDescent="0.3">
      <c r="A3544" t="s">
        <v>30</v>
      </c>
      <c r="B3544">
        <v>2016</v>
      </c>
      <c r="C3544" t="s">
        <v>42</v>
      </c>
      <c r="D3544" s="2">
        <v>42614</v>
      </c>
      <c r="E3544" t="s">
        <v>26</v>
      </c>
      <c r="F3544">
        <v>132.19999999999999</v>
      </c>
      <c r="G3544" t="str">
        <f>VLOOKUP(Table1_2[[#This Row],[Categories]],Sheet3!$A$1:$B$27,2,FALSE)</f>
        <v>Education</v>
      </c>
    </row>
    <row r="3545" spans="1:7" x14ac:dyDescent="0.3">
      <c r="A3545" t="s">
        <v>30</v>
      </c>
      <c r="B3545">
        <v>2016</v>
      </c>
      <c r="C3545" t="s">
        <v>42</v>
      </c>
      <c r="D3545" s="2">
        <v>42614</v>
      </c>
      <c r="E3545" t="s">
        <v>27</v>
      </c>
      <c r="F3545">
        <v>122.8</v>
      </c>
      <c r="G3545" t="str">
        <f>VLOOKUP(Table1_2[[#This Row],[Categories]],Sheet3!$A$1:$B$27,2,FALSE)</f>
        <v>Household Items</v>
      </c>
    </row>
    <row r="3546" spans="1:7" x14ac:dyDescent="0.3">
      <c r="A3546" t="s">
        <v>30</v>
      </c>
      <c r="B3546">
        <v>2016</v>
      </c>
      <c r="C3546" t="s">
        <v>42</v>
      </c>
      <c r="D3546" s="2">
        <v>42614</v>
      </c>
      <c r="E3546" t="s">
        <v>28</v>
      </c>
      <c r="F3546">
        <v>124.9</v>
      </c>
      <c r="G3546" t="str">
        <f>VLOOKUP(Table1_2[[#This Row],[Categories]],Sheet3!$A$1:$B$27,2,FALSE)</f>
        <v>Miscellaneous</v>
      </c>
    </row>
    <row r="3547" spans="1:7" x14ac:dyDescent="0.3">
      <c r="A3547" t="s">
        <v>30</v>
      </c>
      <c r="B3547">
        <v>2016</v>
      </c>
      <c r="C3547" t="s">
        <v>42</v>
      </c>
      <c r="D3547" s="2">
        <v>42614</v>
      </c>
      <c r="E3547" t="s">
        <v>29</v>
      </c>
      <c r="F3547">
        <v>133.4</v>
      </c>
      <c r="G3547" t="str">
        <f>VLOOKUP(Table1_2[[#This Row],[Categories]],Sheet3!$A$1:$B$27,2,FALSE)</f>
        <v>General index</v>
      </c>
    </row>
    <row r="3548" spans="1:7" x14ac:dyDescent="0.3">
      <c r="A3548" t="s">
        <v>33</v>
      </c>
      <c r="B3548">
        <v>2016</v>
      </c>
      <c r="C3548" t="s">
        <v>42</v>
      </c>
      <c r="D3548" s="2">
        <v>42614</v>
      </c>
      <c r="E3548" t="s">
        <v>3</v>
      </c>
      <c r="F3548">
        <v>128.1</v>
      </c>
      <c r="G3548" t="str">
        <f>VLOOKUP(Table1_2[[#This Row],[Categories]],Sheet3!$A$1:$B$27,2,FALSE)</f>
        <v>Food &amp;Beverage</v>
      </c>
    </row>
    <row r="3549" spans="1:7" x14ac:dyDescent="0.3">
      <c r="A3549" t="s">
        <v>33</v>
      </c>
      <c r="B3549">
        <v>2016</v>
      </c>
      <c r="C3549" t="s">
        <v>42</v>
      </c>
      <c r="D3549" s="2">
        <v>42614</v>
      </c>
      <c r="E3549" t="s">
        <v>4</v>
      </c>
      <c r="F3549">
        <v>137.69999999999999</v>
      </c>
      <c r="G3549" t="str">
        <f>VLOOKUP(Table1_2[[#This Row],[Categories]],Sheet3!$A$1:$B$27,2,FALSE)</f>
        <v>Food &amp;Beverage</v>
      </c>
    </row>
    <row r="3550" spans="1:7" x14ac:dyDescent="0.3">
      <c r="A3550" t="s">
        <v>33</v>
      </c>
      <c r="B3550">
        <v>2016</v>
      </c>
      <c r="C3550" t="s">
        <v>42</v>
      </c>
      <c r="D3550" s="2">
        <v>42614</v>
      </c>
      <c r="E3550" t="s">
        <v>5</v>
      </c>
      <c r="F3550">
        <v>130.6</v>
      </c>
      <c r="G3550" t="str">
        <f>VLOOKUP(Table1_2[[#This Row],[Categories]],Sheet3!$A$1:$B$27,2,FALSE)</f>
        <v>Food &amp;Beverage</v>
      </c>
    </row>
    <row r="3551" spans="1:7" x14ac:dyDescent="0.3">
      <c r="A3551" t="s">
        <v>33</v>
      </c>
      <c r="B3551">
        <v>2016</v>
      </c>
      <c r="C3551" t="s">
        <v>42</v>
      </c>
      <c r="D3551" s="2">
        <v>42614</v>
      </c>
      <c r="E3551" t="s">
        <v>6</v>
      </c>
      <c r="F3551">
        <v>132.6</v>
      </c>
      <c r="G3551" t="str">
        <f>VLOOKUP(Table1_2[[#This Row],[Categories]],Sheet3!$A$1:$B$27,2,FALSE)</f>
        <v>Food &amp;Beverage</v>
      </c>
    </row>
    <row r="3552" spans="1:7" x14ac:dyDescent="0.3">
      <c r="A3552" t="s">
        <v>33</v>
      </c>
      <c r="B3552">
        <v>2016</v>
      </c>
      <c r="C3552" t="s">
        <v>42</v>
      </c>
      <c r="D3552" s="2">
        <v>42614</v>
      </c>
      <c r="E3552" t="s">
        <v>7</v>
      </c>
      <c r="F3552">
        <v>111.9</v>
      </c>
      <c r="G3552" t="str">
        <f>VLOOKUP(Table1_2[[#This Row],[Categories]],Sheet3!$A$1:$B$27,2,FALSE)</f>
        <v>Food &amp;Beverage</v>
      </c>
    </row>
    <row r="3553" spans="1:7" x14ac:dyDescent="0.3">
      <c r="A3553" t="s">
        <v>33</v>
      </c>
      <c r="B3553">
        <v>2016</v>
      </c>
      <c r="C3553" t="s">
        <v>42</v>
      </c>
      <c r="D3553" s="2">
        <v>42614</v>
      </c>
      <c r="E3553" t="s">
        <v>8</v>
      </c>
      <c r="F3553">
        <v>132.5</v>
      </c>
      <c r="G3553" t="str">
        <f>VLOOKUP(Table1_2[[#This Row],[Categories]],Sheet3!$A$1:$B$27,2,FALSE)</f>
        <v>Food &amp;Beverage</v>
      </c>
    </row>
    <row r="3554" spans="1:7" x14ac:dyDescent="0.3">
      <c r="A3554" t="s">
        <v>33</v>
      </c>
      <c r="B3554">
        <v>2016</v>
      </c>
      <c r="C3554" t="s">
        <v>42</v>
      </c>
      <c r="D3554" s="2">
        <v>42614</v>
      </c>
      <c r="E3554" t="s">
        <v>9</v>
      </c>
      <c r="F3554">
        <v>152.9</v>
      </c>
      <c r="G3554" t="str">
        <f>VLOOKUP(Table1_2[[#This Row],[Categories]],Sheet3!$A$1:$B$27,2,FALSE)</f>
        <v>Food &amp;Beverage</v>
      </c>
    </row>
    <row r="3555" spans="1:7" x14ac:dyDescent="0.3">
      <c r="A3555" t="s">
        <v>33</v>
      </c>
      <c r="B3555">
        <v>2016</v>
      </c>
      <c r="C3555" t="s">
        <v>42</v>
      </c>
      <c r="D3555" s="2">
        <v>42614</v>
      </c>
      <c r="E3555" t="s">
        <v>10</v>
      </c>
      <c r="F3555">
        <v>173.6</v>
      </c>
      <c r="G3555" t="str">
        <f>VLOOKUP(Table1_2[[#This Row],[Categories]],Sheet3!$A$1:$B$27,2,FALSE)</f>
        <v>Food &amp;Beverage</v>
      </c>
    </row>
    <row r="3556" spans="1:7" x14ac:dyDescent="0.3">
      <c r="A3556" t="s">
        <v>33</v>
      </c>
      <c r="B3556">
        <v>2016</v>
      </c>
      <c r="C3556" t="s">
        <v>42</v>
      </c>
      <c r="D3556" s="2">
        <v>42614</v>
      </c>
      <c r="E3556" t="s">
        <v>11</v>
      </c>
      <c r="F3556">
        <v>115.1</v>
      </c>
      <c r="G3556" t="str">
        <f>VLOOKUP(Table1_2[[#This Row],[Categories]],Sheet3!$A$1:$B$27,2,FALSE)</f>
        <v>Food &amp;Beverage</v>
      </c>
    </row>
    <row r="3557" spans="1:7" x14ac:dyDescent="0.3">
      <c r="A3557" t="s">
        <v>33</v>
      </c>
      <c r="B3557">
        <v>2016</v>
      </c>
      <c r="C3557" t="s">
        <v>42</v>
      </c>
      <c r="D3557" s="2">
        <v>42614</v>
      </c>
      <c r="E3557" t="s">
        <v>12</v>
      </c>
      <c r="F3557">
        <v>144.80000000000001</v>
      </c>
      <c r="G3557" t="str">
        <f>VLOOKUP(Table1_2[[#This Row],[Categories]],Sheet3!$A$1:$B$27,2,FALSE)</f>
        <v>Food &amp;Beverage</v>
      </c>
    </row>
    <row r="3558" spans="1:7" x14ac:dyDescent="0.3">
      <c r="A3558" t="s">
        <v>33</v>
      </c>
      <c r="B3558">
        <v>2016</v>
      </c>
      <c r="C3558" t="s">
        <v>42</v>
      </c>
      <c r="D3558" s="2">
        <v>42614</v>
      </c>
      <c r="E3558" t="s">
        <v>13</v>
      </c>
      <c r="F3558">
        <v>122.1</v>
      </c>
      <c r="G3558" t="str">
        <f>VLOOKUP(Table1_2[[#This Row],[Categories]],Sheet3!$A$1:$B$27,2,FALSE)</f>
        <v>Food &amp;Beverage</v>
      </c>
    </row>
    <row r="3559" spans="1:7" x14ac:dyDescent="0.3">
      <c r="A3559" t="s">
        <v>33</v>
      </c>
      <c r="B3559">
        <v>2016</v>
      </c>
      <c r="C3559" t="s">
        <v>42</v>
      </c>
      <c r="D3559" s="2">
        <v>42614</v>
      </c>
      <c r="E3559" t="s">
        <v>14</v>
      </c>
      <c r="F3559">
        <v>138.80000000000001</v>
      </c>
      <c r="G3559" t="str">
        <f>VLOOKUP(Table1_2[[#This Row],[Categories]],Sheet3!$A$1:$B$27,2,FALSE)</f>
        <v>Food &amp;Beverage</v>
      </c>
    </row>
    <row r="3560" spans="1:7" x14ac:dyDescent="0.3">
      <c r="A3560" t="s">
        <v>33</v>
      </c>
      <c r="B3560">
        <v>2016</v>
      </c>
      <c r="C3560" t="s">
        <v>42</v>
      </c>
      <c r="D3560" s="2">
        <v>42614</v>
      </c>
      <c r="E3560" t="s">
        <v>15</v>
      </c>
      <c r="F3560">
        <v>135.69999999999999</v>
      </c>
      <c r="G3560" t="str">
        <f>VLOOKUP(Table1_2[[#This Row],[Categories]],Sheet3!$A$1:$B$27,2,FALSE)</f>
        <v>Food &amp;Beverage</v>
      </c>
    </row>
    <row r="3561" spans="1:7" x14ac:dyDescent="0.3">
      <c r="A3561" t="s">
        <v>33</v>
      </c>
      <c r="B3561">
        <v>2016</v>
      </c>
      <c r="C3561" t="s">
        <v>42</v>
      </c>
      <c r="D3561" s="2">
        <v>42614</v>
      </c>
      <c r="E3561" t="s">
        <v>16</v>
      </c>
      <c r="F3561">
        <v>143.9</v>
      </c>
      <c r="G3561" t="str">
        <f>VLOOKUP(Table1_2[[#This Row],[Categories]],Sheet3!$A$1:$B$27,2,FALSE)</f>
        <v>Recreation and amusement</v>
      </c>
    </row>
    <row r="3562" spans="1:7" x14ac:dyDescent="0.3">
      <c r="A3562" t="s">
        <v>33</v>
      </c>
      <c r="B3562">
        <v>2016</v>
      </c>
      <c r="C3562" t="s">
        <v>42</v>
      </c>
      <c r="D3562" s="2">
        <v>42614</v>
      </c>
      <c r="E3562" t="s">
        <v>17</v>
      </c>
      <c r="F3562">
        <v>128.69999999999999</v>
      </c>
      <c r="G3562" t="str">
        <f>VLOOKUP(Table1_2[[#This Row],[Categories]],Sheet3!$A$1:$B$27,2,FALSE)</f>
        <v>Clothing and footwear</v>
      </c>
    </row>
    <row r="3563" spans="1:7" x14ac:dyDescent="0.3">
      <c r="A3563" t="s">
        <v>33</v>
      </c>
      <c r="B3563">
        <v>2016</v>
      </c>
      <c r="C3563" t="s">
        <v>42</v>
      </c>
      <c r="D3563" s="2">
        <v>42614</v>
      </c>
      <c r="E3563" t="s">
        <v>18</v>
      </c>
      <c r="F3563">
        <v>121.6</v>
      </c>
      <c r="G3563" t="str">
        <f>VLOOKUP(Table1_2[[#This Row],[Categories]],Sheet3!$A$1:$B$27,2,FALSE)</f>
        <v>Clothing and footwear</v>
      </c>
    </row>
    <row r="3564" spans="1:7" x14ac:dyDescent="0.3">
      <c r="A3564" t="s">
        <v>33</v>
      </c>
      <c r="B3564">
        <v>2016</v>
      </c>
      <c r="C3564" t="s">
        <v>42</v>
      </c>
      <c r="D3564" s="2">
        <v>42614</v>
      </c>
      <c r="E3564" t="s">
        <v>19</v>
      </c>
      <c r="F3564">
        <v>127.7</v>
      </c>
      <c r="G3564" t="str">
        <f>VLOOKUP(Table1_2[[#This Row],[Categories]],Sheet3!$A$1:$B$27,2,FALSE)</f>
        <v>Clothing and footwear</v>
      </c>
    </row>
    <row r="3565" spans="1:7" x14ac:dyDescent="0.3">
      <c r="A3565" t="s">
        <v>33</v>
      </c>
      <c r="B3565">
        <v>2016</v>
      </c>
      <c r="C3565" t="s">
        <v>42</v>
      </c>
      <c r="D3565" s="2">
        <v>42614</v>
      </c>
      <c r="E3565" t="s">
        <v>20</v>
      </c>
      <c r="F3565">
        <v>127.9</v>
      </c>
      <c r="G3565" t="str">
        <f>VLOOKUP(Table1_2[[#This Row],[Categories]],Sheet3!$A$1:$B$27,2,FALSE)</f>
        <v>Housing</v>
      </c>
    </row>
    <row r="3566" spans="1:7" x14ac:dyDescent="0.3">
      <c r="A3566" t="s">
        <v>33</v>
      </c>
      <c r="B3566">
        <v>2016</v>
      </c>
      <c r="C3566" t="s">
        <v>42</v>
      </c>
      <c r="D3566" s="2">
        <v>42614</v>
      </c>
      <c r="E3566" t="s">
        <v>21</v>
      </c>
      <c r="F3566">
        <v>114.8</v>
      </c>
      <c r="G3566" t="str">
        <f>VLOOKUP(Table1_2[[#This Row],[Categories]],Sheet3!$A$1:$B$27,2,FALSE)</f>
        <v>Fuel and light</v>
      </c>
    </row>
    <row r="3567" spans="1:7" x14ac:dyDescent="0.3">
      <c r="A3567" t="s">
        <v>33</v>
      </c>
      <c r="B3567">
        <v>2016</v>
      </c>
      <c r="C3567" t="s">
        <v>42</v>
      </c>
      <c r="D3567" s="2">
        <v>42614</v>
      </c>
      <c r="E3567" t="s">
        <v>22</v>
      </c>
      <c r="F3567">
        <v>124.3</v>
      </c>
      <c r="G3567" t="str">
        <f>VLOOKUP(Table1_2[[#This Row],[Categories]],Sheet3!$A$1:$B$27,2,FALSE)</f>
        <v>Household Items</v>
      </c>
    </row>
    <row r="3568" spans="1:7" x14ac:dyDescent="0.3">
      <c r="A3568" t="s">
        <v>33</v>
      </c>
      <c r="B3568">
        <v>2016</v>
      </c>
      <c r="C3568" t="s">
        <v>42</v>
      </c>
      <c r="D3568" s="2">
        <v>42614</v>
      </c>
      <c r="E3568" t="s">
        <v>23</v>
      </c>
      <c r="F3568">
        <v>121.4</v>
      </c>
      <c r="G3568" t="str">
        <f>VLOOKUP(Table1_2[[#This Row],[Categories]],Sheet3!$A$1:$B$27,2,FALSE)</f>
        <v>Health</v>
      </c>
    </row>
    <row r="3569" spans="1:7" x14ac:dyDescent="0.3">
      <c r="A3569" t="s">
        <v>33</v>
      </c>
      <c r="B3569">
        <v>2016</v>
      </c>
      <c r="C3569" t="s">
        <v>42</v>
      </c>
      <c r="D3569" s="2">
        <v>42614</v>
      </c>
      <c r="E3569" t="s">
        <v>24</v>
      </c>
      <c r="F3569">
        <v>111.8</v>
      </c>
      <c r="G3569" t="str">
        <f>VLOOKUP(Table1_2[[#This Row],[Categories]],Sheet3!$A$1:$B$27,2,FALSE)</f>
        <v>Transport and communication</v>
      </c>
    </row>
    <row r="3570" spans="1:7" x14ac:dyDescent="0.3">
      <c r="A3570" t="s">
        <v>33</v>
      </c>
      <c r="B3570">
        <v>2016</v>
      </c>
      <c r="C3570" t="s">
        <v>42</v>
      </c>
      <c r="D3570" s="2">
        <v>42614</v>
      </c>
      <c r="E3570" t="s">
        <v>25</v>
      </c>
      <c r="F3570">
        <v>120.8</v>
      </c>
      <c r="G3570" t="str">
        <f>VLOOKUP(Table1_2[[#This Row],[Categories]],Sheet3!$A$1:$B$27,2,FALSE)</f>
        <v>Recreation and amusement</v>
      </c>
    </row>
    <row r="3571" spans="1:7" x14ac:dyDescent="0.3">
      <c r="A3571" t="s">
        <v>33</v>
      </c>
      <c r="B3571">
        <v>2016</v>
      </c>
      <c r="C3571" t="s">
        <v>42</v>
      </c>
      <c r="D3571" s="2">
        <v>42614</v>
      </c>
      <c r="E3571" t="s">
        <v>26</v>
      </c>
      <c r="F3571">
        <v>131.6</v>
      </c>
      <c r="G3571" t="str">
        <f>VLOOKUP(Table1_2[[#This Row],[Categories]],Sheet3!$A$1:$B$27,2,FALSE)</f>
        <v>Education</v>
      </c>
    </row>
    <row r="3572" spans="1:7" x14ac:dyDescent="0.3">
      <c r="A3572" t="s">
        <v>33</v>
      </c>
      <c r="B3572">
        <v>2016</v>
      </c>
      <c r="C3572" t="s">
        <v>42</v>
      </c>
      <c r="D3572" s="2">
        <v>42614</v>
      </c>
      <c r="E3572" t="s">
        <v>27</v>
      </c>
      <c r="F3572">
        <v>121.2</v>
      </c>
      <c r="G3572" t="str">
        <f>VLOOKUP(Table1_2[[#This Row],[Categories]],Sheet3!$A$1:$B$27,2,FALSE)</f>
        <v>Household Items</v>
      </c>
    </row>
    <row r="3573" spans="1:7" x14ac:dyDescent="0.3">
      <c r="A3573" t="s">
        <v>33</v>
      </c>
      <c r="B3573">
        <v>2016</v>
      </c>
      <c r="C3573" t="s">
        <v>42</v>
      </c>
      <c r="D3573" s="2">
        <v>42614</v>
      </c>
      <c r="E3573" t="s">
        <v>28</v>
      </c>
      <c r="F3573">
        <v>120.5</v>
      </c>
      <c r="G3573" t="str">
        <f>VLOOKUP(Table1_2[[#This Row],[Categories]],Sheet3!$A$1:$B$27,2,FALSE)</f>
        <v>Miscellaneous</v>
      </c>
    </row>
    <row r="3574" spans="1:7" x14ac:dyDescent="0.3">
      <c r="A3574" t="s">
        <v>33</v>
      </c>
      <c r="B3574">
        <v>2016</v>
      </c>
      <c r="C3574" t="s">
        <v>42</v>
      </c>
      <c r="D3574" s="2">
        <v>42614</v>
      </c>
      <c r="E3574" t="s">
        <v>29</v>
      </c>
      <c r="F3574">
        <v>128</v>
      </c>
      <c r="G3574" t="str">
        <f>VLOOKUP(Table1_2[[#This Row],[Categories]],Sheet3!$A$1:$B$27,2,FALSE)</f>
        <v>General index</v>
      </c>
    </row>
    <row r="3575" spans="1:7" x14ac:dyDescent="0.3">
      <c r="A3575" t="s">
        <v>34</v>
      </c>
      <c r="B3575">
        <v>2016</v>
      </c>
      <c r="C3575" t="s">
        <v>42</v>
      </c>
      <c r="D3575" s="2">
        <v>42614</v>
      </c>
      <c r="E3575" t="s">
        <v>3</v>
      </c>
      <c r="F3575">
        <v>129.9</v>
      </c>
      <c r="G3575" t="str">
        <f>VLOOKUP(Table1_2[[#This Row],[Categories]],Sheet3!$A$1:$B$27,2,FALSE)</f>
        <v>Food &amp;Beverage</v>
      </c>
    </row>
    <row r="3576" spans="1:7" x14ac:dyDescent="0.3">
      <c r="A3576" t="s">
        <v>34</v>
      </c>
      <c r="B3576">
        <v>2016</v>
      </c>
      <c r="C3576" t="s">
        <v>42</v>
      </c>
      <c r="D3576" s="2">
        <v>42614</v>
      </c>
      <c r="E3576" t="s">
        <v>4</v>
      </c>
      <c r="F3576">
        <v>138</v>
      </c>
      <c r="G3576" t="str">
        <f>VLOOKUP(Table1_2[[#This Row],[Categories]],Sheet3!$A$1:$B$27,2,FALSE)</f>
        <v>Food &amp;Beverage</v>
      </c>
    </row>
    <row r="3577" spans="1:7" x14ac:dyDescent="0.3">
      <c r="A3577" t="s">
        <v>34</v>
      </c>
      <c r="B3577">
        <v>2016</v>
      </c>
      <c r="C3577" t="s">
        <v>42</v>
      </c>
      <c r="D3577" s="2">
        <v>42614</v>
      </c>
      <c r="E3577" t="s">
        <v>5</v>
      </c>
      <c r="F3577">
        <v>130.5</v>
      </c>
      <c r="G3577" t="str">
        <f>VLOOKUP(Table1_2[[#This Row],[Categories]],Sheet3!$A$1:$B$27,2,FALSE)</f>
        <v>Food &amp;Beverage</v>
      </c>
    </row>
    <row r="3578" spans="1:7" x14ac:dyDescent="0.3">
      <c r="A3578" t="s">
        <v>34</v>
      </c>
      <c r="B3578">
        <v>2016</v>
      </c>
      <c r="C3578" t="s">
        <v>42</v>
      </c>
      <c r="D3578" s="2">
        <v>42614</v>
      </c>
      <c r="E3578" t="s">
        <v>6</v>
      </c>
      <c r="F3578">
        <v>134.4</v>
      </c>
      <c r="G3578" t="str">
        <f>VLOOKUP(Table1_2[[#This Row],[Categories]],Sheet3!$A$1:$B$27,2,FALSE)</f>
        <v>Food &amp;Beverage</v>
      </c>
    </row>
    <row r="3579" spans="1:7" x14ac:dyDescent="0.3">
      <c r="A3579" t="s">
        <v>34</v>
      </c>
      <c r="B3579">
        <v>2016</v>
      </c>
      <c r="C3579" t="s">
        <v>42</v>
      </c>
      <c r="D3579" s="2">
        <v>42614</v>
      </c>
      <c r="E3579" t="s">
        <v>7</v>
      </c>
      <c r="F3579">
        <v>117.2</v>
      </c>
      <c r="G3579" t="str">
        <f>VLOOKUP(Table1_2[[#This Row],[Categories]],Sheet3!$A$1:$B$27,2,FALSE)</f>
        <v>Food &amp;Beverage</v>
      </c>
    </row>
    <row r="3580" spans="1:7" x14ac:dyDescent="0.3">
      <c r="A3580" t="s">
        <v>34</v>
      </c>
      <c r="B3580">
        <v>2016</v>
      </c>
      <c r="C3580" t="s">
        <v>42</v>
      </c>
      <c r="D3580" s="2">
        <v>42614</v>
      </c>
      <c r="E3580" t="s">
        <v>8</v>
      </c>
      <c r="F3580">
        <v>136.1</v>
      </c>
      <c r="G3580" t="str">
        <f>VLOOKUP(Table1_2[[#This Row],[Categories]],Sheet3!$A$1:$B$27,2,FALSE)</f>
        <v>Food &amp;Beverage</v>
      </c>
    </row>
    <row r="3581" spans="1:7" x14ac:dyDescent="0.3">
      <c r="A3581" t="s">
        <v>34</v>
      </c>
      <c r="B3581">
        <v>2016</v>
      </c>
      <c r="C3581" t="s">
        <v>42</v>
      </c>
      <c r="D3581" s="2">
        <v>42614</v>
      </c>
      <c r="E3581" t="s">
        <v>9</v>
      </c>
      <c r="F3581">
        <v>150.69999999999999</v>
      </c>
      <c r="G3581" t="str">
        <f>VLOOKUP(Table1_2[[#This Row],[Categories]],Sheet3!$A$1:$B$27,2,FALSE)</f>
        <v>Food &amp;Beverage</v>
      </c>
    </row>
    <row r="3582" spans="1:7" x14ac:dyDescent="0.3">
      <c r="A3582" t="s">
        <v>34</v>
      </c>
      <c r="B3582">
        <v>2016</v>
      </c>
      <c r="C3582" t="s">
        <v>42</v>
      </c>
      <c r="D3582" s="2">
        <v>42614</v>
      </c>
      <c r="E3582" t="s">
        <v>10</v>
      </c>
      <c r="F3582">
        <v>171.5</v>
      </c>
      <c r="G3582" t="str">
        <f>VLOOKUP(Table1_2[[#This Row],[Categories]],Sheet3!$A$1:$B$27,2,FALSE)</f>
        <v>Food &amp;Beverage</v>
      </c>
    </row>
    <row r="3583" spans="1:7" x14ac:dyDescent="0.3">
      <c r="A3583" t="s">
        <v>34</v>
      </c>
      <c r="B3583">
        <v>2016</v>
      </c>
      <c r="C3583" t="s">
        <v>42</v>
      </c>
      <c r="D3583" s="2">
        <v>42614</v>
      </c>
      <c r="E3583" t="s">
        <v>11</v>
      </c>
      <c r="F3583">
        <v>113.8</v>
      </c>
      <c r="G3583" t="str">
        <f>VLOOKUP(Table1_2[[#This Row],[Categories]],Sheet3!$A$1:$B$27,2,FALSE)</f>
        <v>Food &amp;Beverage</v>
      </c>
    </row>
    <row r="3584" spans="1:7" x14ac:dyDescent="0.3">
      <c r="A3584" t="s">
        <v>34</v>
      </c>
      <c r="B3584">
        <v>2016</v>
      </c>
      <c r="C3584" t="s">
        <v>42</v>
      </c>
      <c r="D3584" s="2">
        <v>42614</v>
      </c>
      <c r="E3584" t="s">
        <v>12</v>
      </c>
      <c r="F3584">
        <v>138.80000000000001</v>
      </c>
      <c r="G3584" t="str">
        <f>VLOOKUP(Table1_2[[#This Row],[Categories]],Sheet3!$A$1:$B$27,2,FALSE)</f>
        <v>Food &amp;Beverage</v>
      </c>
    </row>
    <row r="3585" spans="1:7" x14ac:dyDescent="0.3">
      <c r="A3585" t="s">
        <v>34</v>
      </c>
      <c r="B3585">
        <v>2016</v>
      </c>
      <c r="C3585" t="s">
        <v>42</v>
      </c>
      <c r="D3585" s="2">
        <v>42614</v>
      </c>
      <c r="E3585" t="s">
        <v>13</v>
      </c>
      <c r="F3585">
        <v>126</v>
      </c>
      <c r="G3585" t="str">
        <f>VLOOKUP(Table1_2[[#This Row],[Categories]],Sheet3!$A$1:$B$27,2,FALSE)</f>
        <v>Food &amp;Beverage</v>
      </c>
    </row>
    <row r="3586" spans="1:7" x14ac:dyDescent="0.3">
      <c r="A3586" t="s">
        <v>34</v>
      </c>
      <c r="B3586">
        <v>2016</v>
      </c>
      <c r="C3586" t="s">
        <v>42</v>
      </c>
      <c r="D3586" s="2">
        <v>42614</v>
      </c>
      <c r="E3586" t="s">
        <v>14</v>
      </c>
      <c r="F3586">
        <v>140.19999999999999</v>
      </c>
      <c r="G3586" t="str">
        <f>VLOOKUP(Table1_2[[#This Row],[Categories]],Sheet3!$A$1:$B$27,2,FALSE)</f>
        <v>Food &amp;Beverage</v>
      </c>
    </row>
    <row r="3587" spans="1:7" x14ac:dyDescent="0.3">
      <c r="A3587" t="s">
        <v>34</v>
      </c>
      <c r="B3587">
        <v>2016</v>
      </c>
      <c r="C3587" t="s">
        <v>42</v>
      </c>
      <c r="D3587" s="2">
        <v>42614</v>
      </c>
      <c r="E3587" t="s">
        <v>15</v>
      </c>
      <c r="F3587">
        <v>136.6</v>
      </c>
      <c r="G3587" t="str">
        <f>VLOOKUP(Table1_2[[#This Row],[Categories]],Sheet3!$A$1:$B$27,2,FALSE)</f>
        <v>Food &amp;Beverage</v>
      </c>
    </row>
    <row r="3588" spans="1:7" x14ac:dyDescent="0.3">
      <c r="A3588" t="s">
        <v>34</v>
      </c>
      <c r="B3588">
        <v>2016</v>
      </c>
      <c r="C3588" t="s">
        <v>42</v>
      </c>
      <c r="D3588" s="2">
        <v>42614</v>
      </c>
      <c r="E3588" t="s">
        <v>16</v>
      </c>
      <c r="F3588">
        <v>141</v>
      </c>
      <c r="G3588" t="str">
        <f>VLOOKUP(Table1_2[[#This Row],[Categories]],Sheet3!$A$1:$B$27,2,FALSE)</f>
        <v>Recreation and amusement</v>
      </c>
    </row>
    <row r="3589" spans="1:7" x14ac:dyDescent="0.3">
      <c r="A3589" t="s">
        <v>34</v>
      </c>
      <c r="B3589">
        <v>2016</v>
      </c>
      <c r="C3589" t="s">
        <v>42</v>
      </c>
      <c r="D3589" s="2">
        <v>42614</v>
      </c>
      <c r="E3589" t="s">
        <v>17</v>
      </c>
      <c r="F3589">
        <v>134.6</v>
      </c>
      <c r="G3589" t="str">
        <f>VLOOKUP(Table1_2[[#This Row],[Categories]],Sheet3!$A$1:$B$27,2,FALSE)</f>
        <v>Clothing and footwear</v>
      </c>
    </row>
    <row r="3590" spans="1:7" x14ac:dyDescent="0.3">
      <c r="A3590" t="s">
        <v>34</v>
      </c>
      <c r="B3590">
        <v>2016</v>
      </c>
      <c r="C3590" t="s">
        <v>42</v>
      </c>
      <c r="D3590" s="2">
        <v>42614</v>
      </c>
      <c r="E3590" t="s">
        <v>18</v>
      </c>
      <c r="F3590">
        <v>128.6</v>
      </c>
      <c r="G3590" t="str">
        <f>VLOOKUP(Table1_2[[#This Row],[Categories]],Sheet3!$A$1:$B$27,2,FALSE)</f>
        <v>Clothing and footwear</v>
      </c>
    </row>
    <row r="3591" spans="1:7" x14ac:dyDescent="0.3">
      <c r="A3591" t="s">
        <v>34</v>
      </c>
      <c r="B3591">
        <v>2016</v>
      </c>
      <c r="C3591" t="s">
        <v>42</v>
      </c>
      <c r="D3591" s="2">
        <v>42614</v>
      </c>
      <c r="E3591" t="s">
        <v>19</v>
      </c>
      <c r="F3591">
        <v>133.80000000000001</v>
      </c>
      <c r="G3591" t="str">
        <f>VLOOKUP(Table1_2[[#This Row],[Categories]],Sheet3!$A$1:$B$27,2,FALSE)</f>
        <v>Clothing and footwear</v>
      </c>
    </row>
    <row r="3592" spans="1:7" x14ac:dyDescent="0.3">
      <c r="A3592" t="s">
        <v>34</v>
      </c>
      <c r="B3592">
        <v>2016</v>
      </c>
      <c r="C3592" t="s">
        <v>42</v>
      </c>
      <c r="D3592" s="2">
        <v>42614</v>
      </c>
      <c r="E3592" t="s">
        <v>20</v>
      </c>
      <c r="F3592">
        <v>127.9</v>
      </c>
      <c r="G3592" t="str">
        <f>VLOOKUP(Table1_2[[#This Row],[Categories]],Sheet3!$A$1:$B$27,2,FALSE)</f>
        <v>Housing</v>
      </c>
    </row>
    <row r="3593" spans="1:7" x14ac:dyDescent="0.3">
      <c r="A3593" t="s">
        <v>34</v>
      </c>
      <c r="B3593">
        <v>2016</v>
      </c>
      <c r="C3593" t="s">
        <v>42</v>
      </c>
      <c r="D3593" s="2">
        <v>42614</v>
      </c>
      <c r="E3593" t="s">
        <v>21</v>
      </c>
      <c r="F3593">
        <v>124.1</v>
      </c>
      <c r="G3593" t="str">
        <f>VLOOKUP(Table1_2[[#This Row],[Categories]],Sheet3!$A$1:$B$27,2,FALSE)</f>
        <v>Fuel and light</v>
      </c>
    </row>
    <row r="3594" spans="1:7" x14ac:dyDescent="0.3">
      <c r="A3594" t="s">
        <v>34</v>
      </c>
      <c r="B3594">
        <v>2016</v>
      </c>
      <c r="C3594" t="s">
        <v>42</v>
      </c>
      <c r="D3594" s="2">
        <v>42614</v>
      </c>
      <c r="E3594" t="s">
        <v>22</v>
      </c>
      <c r="F3594">
        <v>127.9</v>
      </c>
      <c r="G3594" t="str">
        <f>VLOOKUP(Table1_2[[#This Row],[Categories]],Sheet3!$A$1:$B$27,2,FALSE)</f>
        <v>Household Items</v>
      </c>
    </row>
    <row r="3595" spans="1:7" x14ac:dyDescent="0.3">
      <c r="A3595" t="s">
        <v>34</v>
      </c>
      <c r="B3595">
        <v>2016</v>
      </c>
      <c r="C3595" t="s">
        <v>42</v>
      </c>
      <c r="D3595" s="2">
        <v>42614</v>
      </c>
      <c r="E3595" t="s">
        <v>23</v>
      </c>
      <c r="F3595">
        <v>125.4</v>
      </c>
      <c r="G3595" t="str">
        <f>VLOOKUP(Table1_2[[#This Row],[Categories]],Sheet3!$A$1:$B$27,2,FALSE)</f>
        <v>Health</v>
      </c>
    </row>
    <row r="3596" spans="1:7" x14ac:dyDescent="0.3">
      <c r="A3596" t="s">
        <v>34</v>
      </c>
      <c r="B3596">
        <v>2016</v>
      </c>
      <c r="C3596" t="s">
        <v>42</v>
      </c>
      <c r="D3596" s="2">
        <v>42614</v>
      </c>
      <c r="E3596" t="s">
        <v>24</v>
      </c>
      <c r="F3596">
        <v>114.3</v>
      </c>
      <c r="G3596" t="str">
        <f>VLOOKUP(Table1_2[[#This Row],[Categories]],Sheet3!$A$1:$B$27,2,FALSE)</f>
        <v>Transport and communication</v>
      </c>
    </row>
    <row r="3597" spans="1:7" x14ac:dyDescent="0.3">
      <c r="A3597" t="s">
        <v>34</v>
      </c>
      <c r="B3597">
        <v>2016</v>
      </c>
      <c r="C3597" t="s">
        <v>42</v>
      </c>
      <c r="D3597" s="2">
        <v>42614</v>
      </c>
      <c r="E3597" t="s">
        <v>25</v>
      </c>
      <c r="F3597">
        <v>122.9</v>
      </c>
      <c r="G3597" t="str">
        <f>VLOOKUP(Table1_2[[#This Row],[Categories]],Sheet3!$A$1:$B$27,2,FALSE)</f>
        <v>Recreation and amusement</v>
      </c>
    </row>
    <row r="3598" spans="1:7" x14ac:dyDescent="0.3">
      <c r="A3598" t="s">
        <v>34</v>
      </c>
      <c r="B3598">
        <v>2016</v>
      </c>
      <c r="C3598" t="s">
        <v>42</v>
      </c>
      <c r="D3598" s="2">
        <v>42614</v>
      </c>
      <c r="E3598" t="s">
        <v>26</v>
      </c>
      <c r="F3598">
        <v>131.80000000000001</v>
      </c>
      <c r="G3598" t="str">
        <f>VLOOKUP(Table1_2[[#This Row],[Categories]],Sheet3!$A$1:$B$27,2,FALSE)</f>
        <v>Education</v>
      </c>
    </row>
    <row r="3599" spans="1:7" x14ac:dyDescent="0.3">
      <c r="A3599" t="s">
        <v>34</v>
      </c>
      <c r="B3599">
        <v>2016</v>
      </c>
      <c r="C3599" t="s">
        <v>42</v>
      </c>
      <c r="D3599" s="2">
        <v>42614</v>
      </c>
      <c r="E3599" t="s">
        <v>27</v>
      </c>
      <c r="F3599">
        <v>122.1</v>
      </c>
      <c r="G3599" t="str">
        <f>VLOOKUP(Table1_2[[#This Row],[Categories]],Sheet3!$A$1:$B$27,2,FALSE)</f>
        <v>Household Items</v>
      </c>
    </row>
    <row r="3600" spans="1:7" x14ac:dyDescent="0.3">
      <c r="A3600" t="s">
        <v>34</v>
      </c>
      <c r="B3600">
        <v>2016</v>
      </c>
      <c r="C3600" t="s">
        <v>42</v>
      </c>
      <c r="D3600" s="2">
        <v>42614</v>
      </c>
      <c r="E3600" t="s">
        <v>28</v>
      </c>
      <c r="F3600">
        <v>122.8</v>
      </c>
      <c r="G3600" t="str">
        <f>VLOOKUP(Table1_2[[#This Row],[Categories]],Sheet3!$A$1:$B$27,2,FALSE)</f>
        <v>Miscellaneous</v>
      </c>
    </row>
    <row r="3601" spans="1:7" x14ac:dyDescent="0.3">
      <c r="A3601" t="s">
        <v>34</v>
      </c>
      <c r="B3601">
        <v>2016</v>
      </c>
      <c r="C3601" t="s">
        <v>42</v>
      </c>
      <c r="D3601" s="2">
        <v>42614</v>
      </c>
      <c r="E3601" t="s">
        <v>29</v>
      </c>
      <c r="F3601">
        <v>130.9</v>
      </c>
      <c r="G3601" t="str">
        <f>VLOOKUP(Table1_2[[#This Row],[Categories]],Sheet3!$A$1:$B$27,2,FALSE)</f>
        <v>General index</v>
      </c>
    </row>
    <row r="3602" spans="1:7" x14ac:dyDescent="0.3">
      <c r="A3602" t="s">
        <v>30</v>
      </c>
      <c r="B3602">
        <v>2016</v>
      </c>
      <c r="C3602" t="s">
        <v>43</v>
      </c>
      <c r="D3602" s="2">
        <v>42644</v>
      </c>
      <c r="E3602" t="s">
        <v>3</v>
      </c>
      <c r="F3602">
        <v>131.30000000000001</v>
      </c>
      <c r="G3602" t="str">
        <f>VLOOKUP(Table1_2[[#This Row],[Categories]],Sheet3!$A$1:$B$27,2,FALSE)</f>
        <v>Food &amp;Beverage</v>
      </c>
    </row>
    <row r="3603" spans="1:7" x14ac:dyDescent="0.3">
      <c r="A3603" t="s">
        <v>30</v>
      </c>
      <c r="B3603">
        <v>2016</v>
      </c>
      <c r="C3603" t="s">
        <v>43</v>
      </c>
      <c r="D3603" s="2">
        <v>42644</v>
      </c>
      <c r="E3603" t="s">
        <v>4</v>
      </c>
      <c r="F3603">
        <v>137.6</v>
      </c>
      <c r="G3603" t="str">
        <f>VLOOKUP(Table1_2[[#This Row],[Categories]],Sheet3!$A$1:$B$27,2,FALSE)</f>
        <v>Food &amp;Beverage</v>
      </c>
    </row>
    <row r="3604" spans="1:7" x14ac:dyDescent="0.3">
      <c r="A3604" t="s">
        <v>30</v>
      </c>
      <c r="B3604">
        <v>2016</v>
      </c>
      <c r="C3604" t="s">
        <v>43</v>
      </c>
      <c r="D3604" s="2">
        <v>42644</v>
      </c>
      <c r="E3604" t="s">
        <v>5</v>
      </c>
      <c r="F3604">
        <v>130.1</v>
      </c>
      <c r="G3604" t="str">
        <f>VLOOKUP(Table1_2[[#This Row],[Categories]],Sheet3!$A$1:$B$27,2,FALSE)</f>
        <v>Food &amp;Beverage</v>
      </c>
    </row>
    <row r="3605" spans="1:7" x14ac:dyDescent="0.3">
      <c r="A3605" t="s">
        <v>30</v>
      </c>
      <c r="B3605">
        <v>2016</v>
      </c>
      <c r="C3605" t="s">
        <v>43</v>
      </c>
      <c r="D3605" s="2">
        <v>42644</v>
      </c>
      <c r="E3605" t="s">
        <v>6</v>
      </c>
      <c r="F3605">
        <v>136</v>
      </c>
      <c r="G3605" t="str">
        <f>VLOOKUP(Table1_2[[#This Row],[Categories]],Sheet3!$A$1:$B$27,2,FALSE)</f>
        <v>Food &amp;Beverage</v>
      </c>
    </row>
    <row r="3606" spans="1:7" x14ac:dyDescent="0.3">
      <c r="A3606" t="s">
        <v>30</v>
      </c>
      <c r="B3606">
        <v>2016</v>
      </c>
      <c r="C3606" t="s">
        <v>43</v>
      </c>
      <c r="D3606" s="2">
        <v>42644</v>
      </c>
      <c r="E3606" t="s">
        <v>7</v>
      </c>
      <c r="F3606">
        <v>120.8</v>
      </c>
      <c r="G3606" t="str">
        <f>VLOOKUP(Table1_2[[#This Row],[Categories]],Sheet3!$A$1:$B$27,2,FALSE)</f>
        <v>Food &amp;Beverage</v>
      </c>
    </row>
    <row r="3607" spans="1:7" x14ac:dyDescent="0.3">
      <c r="A3607" t="s">
        <v>30</v>
      </c>
      <c r="B3607">
        <v>2016</v>
      </c>
      <c r="C3607" t="s">
        <v>43</v>
      </c>
      <c r="D3607" s="2">
        <v>42644</v>
      </c>
      <c r="E3607" t="s">
        <v>8</v>
      </c>
      <c r="F3607">
        <v>138.4</v>
      </c>
      <c r="G3607" t="str">
        <f>VLOOKUP(Table1_2[[#This Row],[Categories]],Sheet3!$A$1:$B$27,2,FALSE)</f>
        <v>Food &amp;Beverage</v>
      </c>
    </row>
    <row r="3608" spans="1:7" x14ac:dyDescent="0.3">
      <c r="A3608" t="s">
        <v>30</v>
      </c>
      <c r="B3608">
        <v>2016</v>
      </c>
      <c r="C3608" t="s">
        <v>43</v>
      </c>
      <c r="D3608" s="2">
        <v>42644</v>
      </c>
      <c r="E3608" t="s">
        <v>9</v>
      </c>
      <c r="F3608">
        <v>149.19999999999999</v>
      </c>
      <c r="G3608" t="str">
        <f>VLOOKUP(Table1_2[[#This Row],[Categories]],Sheet3!$A$1:$B$27,2,FALSE)</f>
        <v>Food &amp;Beverage</v>
      </c>
    </row>
    <row r="3609" spans="1:7" x14ac:dyDescent="0.3">
      <c r="A3609" t="s">
        <v>30</v>
      </c>
      <c r="B3609">
        <v>2016</v>
      </c>
      <c r="C3609" t="s">
        <v>43</v>
      </c>
      <c r="D3609" s="2">
        <v>42644</v>
      </c>
      <c r="E3609" t="s">
        <v>10</v>
      </c>
      <c r="F3609">
        <v>170.2</v>
      </c>
      <c r="G3609" t="str">
        <f>VLOOKUP(Table1_2[[#This Row],[Categories]],Sheet3!$A$1:$B$27,2,FALSE)</f>
        <v>Food &amp;Beverage</v>
      </c>
    </row>
    <row r="3610" spans="1:7" x14ac:dyDescent="0.3">
      <c r="A3610" t="s">
        <v>30</v>
      </c>
      <c r="B3610">
        <v>2016</v>
      </c>
      <c r="C3610" t="s">
        <v>43</v>
      </c>
      <c r="D3610" s="2">
        <v>42644</v>
      </c>
      <c r="E3610" t="s">
        <v>11</v>
      </c>
      <c r="F3610">
        <v>113.4</v>
      </c>
      <c r="G3610" t="str">
        <f>VLOOKUP(Table1_2[[#This Row],[Categories]],Sheet3!$A$1:$B$27,2,FALSE)</f>
        <v>Food &amp;Beverage</v>
      </c>
    </row>
    <row r="3611" spans="1:7" x14ac:dyDescent="0.3">
      <c r="A3611" t="s">
        <v>30</v>
      </c>
      <c r="B3611">
        <v>2016</v>
      </c>
      <c r="C3611" t="s">
        <v>43</v>
      </c>
      <c r="D3611" s="2">
        <v>42644</v>
      </c>
      <c r="E3611" t="s">
        <v>12</v>
      </c>
      <c r="F3611">
        <v>136.30000000000001</v>
      </c>
      <c r="G3611" t="str">
        <f>VLOOKUP(Table1_2[[#This Row],[Categories]],Sheet3!$A$1:$B$27,2,FALSE)</f>
        <v>Food &amp;Beverage</v>
      </c>
    </row>
    <row r="3612" spans="1:7" x14ac:dyDescent="0.3">
      <c r="A3612" t="s">
        <v>30</v>
      </c>
      <c r="B3612">
        <v>2016</v>
      </c>
      <c r="C3612" t="s">
        <v>43</v>
      </c>
      <c r="D3612" s="2">
        <v>42644</v>
      </c>
      <c r="E3612" t="s">
        <v>13</v>
      </c>
      <c r="F3612">
        <v>128.69999999999999</v>
      </c>
      <c r="G3612" t="str">
        <f>VLOOKUP(Table1_2[[#This Row],[Categories]],Sheet3!$A$1:$B$27,2,FALSE)</f>
        <v>Food &amp;Beverage</v>
      </c>
    </row>
    <row r="3613" spans="1:7" x14ac:dyDescent="0.3">
      <c r="A3613" t="s">
        <v>30</v>
      </c>
      <c r="B3613">
        <v>2016</v>
      </c>
      <c r="C3613" t="s">
        <v>43</v>
      </c>
      <c r="D3613" s="2">
        <v>42644</v>
      </c>
      <c r="E3613" t="s">
        <v>14</v>
      </c>
      <c r="F3613">
        <v>142.4</v>
      </c>
      <c r="G3613" t="str">
        <f>VLOOKUP(Table1_2[[#This Row],[Categories]],Sheet3!$A$1:$B$27,2,FALSE)</f>
        <v>Food &amp;Beverage</v>
      </c>
    </row>
    <row r="3614" spans="1:7" x14ac:dyDescent="0.3">
      <c r="A3614" t="s">
        <v>30</v>
      </c>
      <c r="B3614">
        <v>2016</v>
      </c>
      <c r="C3614" t="s">
        <v>43</v>
      </c>
      <c r="D3614" s="2">
        <v>42644</v>
      </c>
      <c r="E3614" t="s">
        <v>15</v>
      </c>
      <c r="F3614">
        <v>137.4</v>
      </c>
      <c r="G3614" t="str">
        <f>VLOOKUP(Table1_2[[#This Row],[Categories]],Sheet3!$A$1:$B$27,2,FALSE)</f>
        <v>Food &amp;Beverage</v>
      </c>
    </row>
    <row r="3615" spans="1:7" x14ac:dyDescent="0.3">
      <c r="A3615" t="s">
        <v>30</v>
      </c>
      <c r="B3615">
        <v>2016</v>
      </c>
      <c r="C3615" t="s">
        <v>43</v>
      </c>
      <c r="D3615" s="2">
        <v>42644</v>
      </c>
      <c r="E3615" t="s">
        <v>16</v>
      </c>
      <c r="F3615">
        <v>140.9</v>
      </c>
      <c r="G3615" t="str">
        <f>VLOOKUP(Table1_2[[#This Row],[Categories]],Sheet3!$A$1:$B$27,2,FALSE)</f>
        <v>Recreation and amusement</v>
      </c>
    </row>
    <row r="3616" spans="1:7" x14ac:dyDescent="0.3">
      <c r="A3616" t="s">
        <v>30</v>
      </c>
      <c r="B3616">
        <v>2016</v>
      </c>
      <c r="C3616" t="s">
        <v>43</v>
      </c>
      <c r="D3616" s="2">
        <v>42644</v>
      </c>
      <c r="E3616" t="s">
        <v>17</v>
      </c>
      <c r="F3616">
        <v>139.6</v>
      </c>
      <c r="G3616" t="str">
        <f>VLOOKUP(Table1_2[[#This Row],[Categories]],Sheet3!$A$1:$B$27,2,FALSE)</f>
        <v>Clothing and footwear</v>
      </c>
    </row>
    <row r="3617" spans="1:7" x14ac:dyDescent="0.3">
      <c r="A3617" t="s">
        <v>30</v>
      </c>
      <c r="B3617">
        <v>2016</v>
      </c>
      <c r="C3617" t="s">
        <v>43</v>
      </c>
      <c r="D3617" s="2">
        <v>42644</v>
      </c>
      <c r="E3617" t="s">
        <v>18</v>
      </c>
      <c r="F3617">
        <v>134.30000000000001</v>
      </c>
      <c r="G3617" t="str">
        <f>VLOOKUP(Table1_2[[#This Row],[Categories]],Sheet3!$A$1:$B$27,2,FALSE)</f>
        <v>Clothing and footwear</v>
      </c>
    </row>
    <row r="3618" spans="1:7" x14ac:dyDescent="0.3">
      <c r="A3618" t="s">
        <v>30</v>
      </c>
      <c r="B3618">
        <v>2016</v>
      </c>
      <c r="C3618" t="s">
        <v>43</v>
      </c>
      <c r="D3618" s="2">
        <v>42644</v>
      </c>
      <c r="E3618" t="s">
        <v>19</v>
      </c>
      <c r="F3618">
        <v>138.80000000000001</v>
      </c>
      <c r="G3618" t="str">
        <f>VLOOKUP(Table1_2[[#This Row],[Categories]],Sheet3!$A$1:$B$27,2,FALSE)</f>
        <v>Clothing and footwear</v>
      </c>
    </row>
    <row r="3619" spans="1:7" x14ac:dyDescent="0.3">
      <c r="A3619" t="s">
        <v>30</v>
      </c>
      <c r="B3619">
        <v>2016</v>
      </c>
      <c r="C3619" t="s">
        <v>43</v>
      </c>
      <c r="D3619" s="2">
        <v>42644</v>
      </c>
      <c r="E3619" t="s">
        <v>21</v>
      </c>
      <c r="F3619">
        <v>129.80000000000001</v>
      </c>
      <c r="G3619" t="str">
        <f>VLOOKUP(Table1_2[[#This Row],[Categories]],Sheet3!$A$1:$B$27,2,FALSE)</f>
        <v>Fuel and light</v>
      </c>
    </row>
    <row r="3620" spans="1:7" x14ac:dyDescent="0.3">
      <c r="A3620" t="s">
        <v>30</v>
      </c>
      <c r="B3620">
        <v>2016</v>
      </c>
      <c r="C3620" t="s">
        <v>43</v>
      </c>
      <c r="D3620" s="2">
        <v>42644</v>
      </c>
      <c r="E3620" t="s">
        <v>22</v>
      </c>
      <c r="F3620">
        <v>131.80000000000001</v>
      </c>
      <c r="G3620" t="str">
        <f>VLOOKUP(Table1_2[[#This Row],[Categories]],Sheet3!$A$1:$B$27,2,FALSE)</f>
        <v>Household Items</v>
      </c>
    </row>
    <row r="3621" spans="1:7" x14ac:dyDescent="0.3">
      <c r="A3621" t="s">
        <v>30</v>
      </c>
      <c r="B3621">
        <v>2016</v>
      </c>
      <c r="C3621" t="s">
        <v>43</v>
      </c>
      <c r="D3621" s="2">
        <v>42644</v>
      </c>
      <c r="E3621" t="s">
        <v>23</v>
      </c>
      <c r="F3621">
        <v>128.69999999999999</v>
      </c>
      <c r="G3621" t="str">
        <f>VLOOKUP(Table1_2[[#This Row],[Categories]],Sheet3!$A$1:$B$27,2,FALSE)</f>
        <v>Health</v>
      </c>
    </row>
    <row r="3622" spans="1:7" x14ac:dyDescent="0.3">
      <c r="A3622" t="s">
        <v>30</v>
      </c>
      <c r="B3622">
        <v>2016</v>
      </c>
      <c r="C3622" t="s">
        <v>43</v>
      </c>
      <c r="D3622" s="2">
        <v>42644</v>
      </c>
      <c r="E3622" t="s">
        <v>24</v>
      </c>
      <c r="F3622">
        <v>117.8</v>
      </c>
      <c r="G3622" t="str">
        <f>VLOOKUP(Table1_2[[#This Row],[Categories]],Sheet3!$A$1:$B$27,2,FALSE)</f>
        <v>Transport and communication</v>
      </c>
    </row>
    <row r="3623" spans="1:7" x14ac:dyDescent="0.3">
      <c r="A3623" t="s">
        <v>30</v>
      </c>
      <c r="B3623">
        <v>2016</v>
      </c>
      <c r="C3623" t="s">
        <v>43</v>
      </c>
      <c r="D3623" s="2">
        <v>42644</v>
      </c>
      <c r="E3623" t="s">
        <v>25</v>
      </c>
      <c r="F3623">
        <v>126.5</v>
      </c>
      <c r="G3623" t="str">
        <f>VLOOKUP(Table1_2[[#This Row],[Categories]],Sheet3!$A$1:$B$27,2,FALSE)</f>
        <v>Recreation and amusement</v>
      </c>
    </row>
    <row r="3624" spans="1:7" x14ac:dyDescent="0.3">
      <c r="A3624" t="s">
        <v>30</v>
      </c>
      <c r="B3624">
        <v>2016</v>
      </c>
      <c r="C3624" t="s">
        <v>43</v>
      </c>
      <c r="D3624" s="2">
        <v>42644</v>
      </c>
      <c r="E3624" t="s">
        <v>26</v>
      </c>
      <c r="F3624">
        <v>133</v>
      </c>
      <c r="G3624" t="str">
        <f>VLOOKUP(Table1_2[[#This Row],[Categories]],Sheet3!$A$1:$B$27,2,FALSE)</f>
        <v>Education</v>
      </c>
    </row>
    <row r="3625" spans="1:7" x14ac:dyDescent="0.3">
      <c r="A3625" t="s">
        <v>30</v>
      </c>
      <c r="B3625">
        <v>2016</v>
      </c>
      <c r="C3625" t="s">
        <v>43</v>
      </c>
      <c r="D3625" s="2">
        <v>42644</v>
      </c>
      <c r="E3625" t="s">
        <v>27</v>
      </c>
      <c r="F3625">
        <v>123</v>
      </c>
      <c r="G3625" t="str">
        <f>VLOOKUP(Table1_2[[#This Row],[Categories]],Sheet3!$A$1:$B$27,2,FALSE)</f>
        <v>Household Items</v>
      </c>
    </row>
    <row r="3626" spans="1:7" x14ac:dyDescent="0.3">
      <c r="A3626" t="s">
        <v>30</v>
      </c>
      <c r="B3626">
        <v>2016</v>
      </c>
      <c r="C3626" t="s">
        <v>43</v>
      </c>
      <c r="D3626" s="2">
        <v>42644</v>
      </c>
      <c r="E3626" t="s">
        <v>28</v>
      </c>
      <c r="F3626">
        <v>125.7</v>
      </c>
      <c r="G3626" t="str">
        <f>VLOOKUP(Table1_2[[#This Row],[Categories]],Sheet3!$A$1:$B$27,2,FALSE)</f>
        <v>Miscellaneous</v>
      </c>
    </row>
    <row r="3627" spans="1:7" x14ac:dyDescent="0.3">
      <c r="A3627" t="s">
        <v>30</v>
      </c>
      <c r="B3627">
        <v>2016</v>
      </c>
      <c r="C3627" t="s">
        <v>43</v>
      </c>
      <c r="D3627" s="2">
        <v>42644</v>
      </c>
      <c r="E3627" t="s">
        <v>29</v>
      </c>
      <c r="F3627">
        <v>133.80000000000001</v>
      </c>
      <c r="G3627" t="str">
        <f>VLOOKUP(Table1_2[[#This Row],[Categories]],Sheet3!$A$1:$B$27,2,FALSE)</f>
        <v>General index</v>
      </c>
    </row>
    <row r="3628" spans="1:7" x14ac:dyDescent="0.3">
      <c r="A3628" t="s">
        <v>33</v>
      </c>
      <c r="B3628">
        <v>2016</v>
      </c>
      <c r="C3628" t="s">
        <v>43</v>
      </c>
      <c r="D3628" s="2">
        <v>42644</v>
      </c>
      <c r="E3628" t="s">
        <v>3</v>
      </c>
      <c r="F3628">
        <v>128.69999999999999</v>
      </c>
      <c r="G3628" t="str">
        <f>VLOOKUP(Table1_2[[#This Row],[Categories]],Sheet3!$A$1:$B$27,2,FALSE)</f>
        <v>Food &amp;Beverage</v>
      </c>
    </row>
    <row r="3629" spans="1:7" x14ac:dyDescent="0.3">
      <c r="A3629" t="s">
        <v>33</v>
      </c>
      <c r="B3629">
        <v>2016</v>
      </c>
      <c r="C3629" t="s">
        <v>43</v>
      </c>
      <c r="D3629" s="2">
        <v>42644</v>
      </c>
      <c r="E3629" t="s">
        <v>4</v>
      </c>
      <c r="F3629">
        <v>138.4</v>
      </c>
      <c r="G3629" t="str">
        <f>VLOOKUP(Table1_2[[#This Row],[Categories]],Sheet3!$A$1:$B$27,2,FALSE)</f>
        <v>Food &amp;Beverage</v>
      </c>
    </row>
    <row r="3630" spans="1:7" x14ac:dyDescent="0.3">
      <c r="A3630" t="s">
        <v>33</v>
      </c>
      <c r="B3630">
        <v>2016</v>
      </c>
      <c r="C3630" t="s">
        <v>43</v>
      </c>
      <c r="D3630" s="2">
        <v>42644</v>
      </c>
      <c r="E3630" t="s">
        <v>5</v>
      </c>
      <c r="F3630">
        <v>130.30000000000001</v>
      </c>
      <c r="G3630" t="str">
        <f>VLOOKUP(Table1_2[[#This Row],[Categories]],Sheet3!$A$1:$B$27,2,FALSE)</f>
        <v>Food &amp;Beverage</v>
      </c>
    </row>
    <row r="3631" spans="1:7" x14ac:dyDescent="0.3">
      <c r="A3631" t="s">
        <v>33</v>
      </c>
      <c r="B3631">
        <v>2016</v>
      </c>
      <c r="C3631" t="s">
        <v>43</v>
      </c>
      <c r="D3631" s="2">
        <v>42644</v>
      </c>
      <c r="E3631" t="s">
        <v>6</v>
      </c>
      <c r="F3631">
        <v>132.69999999999999</v>
      </c>
      <c r="G3631" t="str">
        <f>VLOOKUP(Table1_2[[#This Row],[Categories]],Sheet3!$A$1:$B$27,2,FALSE)</f>
        <v>Food &amp;Beverage</v>
      </c>
    </row>
    <row r="3632" spans="1:7" x14ac:dyDescent="0.3">
      <c r="A3632" t="s">
        <v>33</v>
      </c>
      <c r="B3632">
        <v>2016</v>
      </c>
      <c r="C3632" t="s">
        <v>43</v>
      </c>
      <c r="D3632" s="2">
        <v>42644</v>
      </c>
      <c r="E3632" t="s">
        <v>7</v>
      </c>
      <c r="F3632">
        <v>112.5</v>
      </c>
      <c r="G3632" t="str">
        <f>VLOOKUP(Table1_2[[#This Row],[Categories]],Sheet3!$A$1:$B$27,2,FALSE)</f>
        <v>Food &amp;Beverage</v>
      </c>
    </row>
    <row r="3633" spans="1:7" x14ac:dyDescent="0.3">
      <c r="A3633" t="s">
        <v>33</v>
      </c>
      <c r="B3633">
        <v>2016</v>
      </c>
      <c r="C3633" t="s">
        <v>43</v>
      </c>
      <c r="D3633" s="2">
        <v>42644</v>
      </c>
      <c r="E3633" t="s">
        <v>8</v>
      </c>
      <c r="F3633">
        <v>130.4</v>
      </c>
      <c r="G3633" t="str">
        <f>VLOOKUP(Table1_2[[#This Row],[Categories]],Sheet3!$A$1:$B$27,2,FALSE)</f>
        <v>Food &amp;Beverage</v>
      </c>
    </row>
    <row r="3634" spans="1:7" x14ac:dyDescent="0.3">
      <c r="A3634" t="s">
        <v>33</v>
      </c>
      <c r="B3634">
        <v>2016</v>
      </c>
      <c r="C3634" t="s">
        <v>43</v>
      </c>
      <c r="D3634" s="2">
        <v>42644</v>
      </c>
      <c r="E3634" t="s">
        <v>9</v>
      </c>
      <c r="F3634">
        <v>155.1</v>
      </c>
      <c r="G3634" t="str">
        <f>VLOOKUP(Table1_2[[#This Row],[Categories]],Sheet3!$A$1:$B$27,2,FALSE)</f>
        <v>Food &amp;Beverage</v>
      </c>
    </row>
    <row r="3635" spans="1:7" x14ac:dyDescent="0.3">
      <c r="A3635" t="s">
        <v>33</v>
      </c>
      <c r="B3635">
        <v>2016</v>
      </c>
      <c r="C3635" t="s">
        <v>43</v>
      </c>
      <c r="D3635" s="2">
        <v>42644</v>
      </c>
      <c r="E3635" t="s">
        <v>10</v>
      </c>
      <c r="F3635">
        <v>175.7</v>
      </c>
      <c r="G3635" t="str">
        <f>VLOOKUP(Table1_2[[#This Row],[Categories]],Sheet3!$A$1:$B$27,2,FALSE)</f>
        <v>Food &amp;Beverage</v>
      </c>
    </row>
    <row r="3636" spans="1:7" x14ac:dyDescent="0.3">
      <c r="A3636" t="s">
        <v>33</v>
      </c>
      <c r="B3636">
        <v>2016</v>
      </c>
      <c r="C3636" t="s">
        <v>43</v>
      </c>
      <c r="D3636" s="2">
        <v>42644</v>
      </c>
      <c r="E3636" t="s">
        <v>11</v>
      </c>
      <c r="F3636">
        <v>115.4</v>
      </c>
      <c r="G3636" t="str">
        <f>VLOOKUP(Table1_2[[#This Row],[Categories]],Sheet3!$A$1:$B$27,2,FALSE)</f>
        <v>Food &amp;Beverage</v>
      </c>
    </row>
    <row r="3637" spans="1:7" x14ac:dyDescent="0.3">
      <c r="A3637" t="s">
        <v>33</v>
      </c>
      <c r="B3637">
        <v>2016</v>
      </c>
      <c r="C3637" t="s">
        <v>43</v>
      </c>
      <c r="D3637" s="2">
        <v>42644</v>
      </c>
      <c r="E3637" t="s">
        <v>12</v>
      </c>
      <c r="F3637">
        <v>145.30000000000001</v>
      </c>
      <c r="G3637" t="str">
        <f>VLOOKUP(Table1_2[[#This Row],[Categories]],Sheet3!$A$1:$B$27,2,FALSE)</f>
        <v>Food &amp;Beverage</v>
      </c>
    </row>
    <row r="3638" spans="1:7" x14ac:dyDescent="0.3">
      <c r="A3638" t="s">
        <v>33</v>
      </c>
      <c r="B3638">
        <v>2016</v>
      </c>
      <c r="C3638" t="s">
        <v>43</v>
      </c>
      <c r="D3638" s="2">
        <v>42644</v>
      </c>
      <c r="E3638" t="s">
        <v>13</v>
      </c>
      <c r="F3638">
        <v>122.5</v>
      </c>
      <c r="G3638" t="str">
        <f>VLOOKUP(Table1_2[[#This Row],[Categories]],Sheet3!$A$1:$B$27,2,FALSE)</f>
        <v>Food &amp;Beverage</v>
      </c>
    </row>
    <row r="3639" spans="1:7" x14ac:dyDescent="0.3">
      <c r="A3639" t="s">
        <v>33</v>
      </c>
      <c r="B3639">
        <v>2016</v>
      </c>
      <c r="C3639" t="s">
        <v>43</v>
      </c>
      <c r="D3639" s="2">
        <v>42644</v>
      </c>
      <c r="E3639" t="s">
        <v>14</v>
      </c>
      <c r="F3639">
        <v>139.6</v>
      </c>
      <c r="G3639" t="str">
        <f>VLOOKUP(Table1_2[[#This Row],[Categories]],Sheet3!$A$1:$B$27,2,FALSE)</f>
        <v>Food &amp;Beverage</v>
      </c>
    </row>
    <row r="3640" spans="1:7" x14ac:dyDescent="0.3">
      <c r="A3640" t="s">
        <v>33</v>
      </c>
      <c r="B3640">
        <v>2016</v>
      </c>
      <c r="C3640" t="s">
        <v>43</v>
      </c>
      <c r="D3640" s="2">
        <v>42644</v>
      </c>
      <c r="E3640" t="s">
        <v>15</v>
      </c>
      <c r="F3640">
        <v>136.30000000000001</v>
      </c>
      <c r="G3640" t="str">
        <f>VLOOKUP(Table1_2[[#This Row],[Categories]],Sheet3!$A$1:$B$27,2,FALSE)</f>
        <v>Food &amp;Beverage</v>
      </c>
    </row>
    <row r="3641" spans="1:7" x14ac:dyDescent="0.3">
      <c r="A3641" t="s">
        <v>33</v>
      </c>
      <c r="B3641">
        <v>2016</v>
      </c>
      <c r="C3641" t="s">
        <v>43</v>
      </c>
      <c r="D3641" s="2">
        <v>42644</v>
      </c>
      <c r="E3641" t="s">
        <v>16</v>
      </c>
      <c r="F3641">
        <v>144.30000000000001</v>
      </c>
      <c r="G3641" t="str">
        <f>VLOOKUP(Table1_2[[#This Row],[Categories]],Sheet3!$A$1:$B$27,2,FALSE)</f>
        <v>Recreation and amusement</v>
      </c>
    </row>
    <row r="3642" spans="1:7" x14ac:dyDescent="0.3">
      <c r="A3642" t="s">
        <v>33</v>
      </c>
      <c r="B3642">
        <v>2016</v>
      </c>
      <c r="C3642" t="s">
        <v>43</v>
      </c>
      <c r="D3642" s="2">
        <v>42644</v>
      </c>
      <c r="E3642" t="s">
        <v>17</v>
      </c>
      <c r="F3642">
        <v>129.1</v>
      </c>
      <c r="G3642" t="str">
        <f>VLOOKUP(Table1_2[[#This Row],[Categories]],Sheet3!$A$1:$B$27,2,FALSE)</f>
        <v>Clothing and footwear</v>
      </c>
    </row>
    <row r="3643" spans="1:7" x14ac:dyDescent="0.3">
      <c r="A3643" t="s">
        <v>33</v>
      </c>
      <c r="B3643">
        <v>2016</v>
      </c>
      <c r="C3643" t="s">
        <v>43</v>
      </c>
      <c r="D3643" s="2">
        <v>42644</v>
      </c>
      <c r="E3643" t="s">
        <v>18</v>
      </c>
      <c r="F3643">
        <v>121.9</v>
      </c>
      <c r="G3643" t="str">
        <f>VLOOKUP(Table1_2[[#This Row],[Categories]],Sheet3!$A$1:$B$27,2,FALSE)</f>
        <v>Clothing and footwear</v>
      </c>
    </row>
    <row r="3644" spans="1:7" x14ac:dyDescent="0.3">
      <c r="A3644" t="s">
        <v>33</v>
      </c>
      <c r="B3644">
        <v>2016</v>
      </c>
      <c r="C3644" t="s">
        <v>43</v>
      </c>
      <c r="D3644" s="2">
        <v>42644</v>
      </c>
      <c r="E3644" t="s">
        <v>19</v>
      </c>
      <c r="F3644">
        <v>128</v>
      </c>
      <c r="G3644" t="str">
        <f>VLOOKUP(Table1_2[[#This Row],[Categories]],Sheet3!$A$1:$B$27,2,FALSE)</f>
        <v>Clothing and footwear</v>
      </c>
    </row>
    <row r="3645" spans="1:7" x14ac:dyDescent="0.3">
      <c r="A3645" t="s">
        <v>33</v>
      </c>
      <c r="B3645">
        <v>2016</v>
      </c>
      <c r="C3645" t="s">
        <v>43</v>
      </c>
      <c r="D3645" s="2">
        <v>42644</v>
      </c>
      <c r="E3645" t="s">
        <v>20</v>
      </c>
      <c r="F3645">
        <v>128.69999999999999</v>
      </c>
      <c r="G3645" t="str">
        <f>VLOOKUP(Table1_2[[#This Row],[Categories]],Sheet3!$A$1:$B$27,2,FALSE)</f>
        <v>Housing</v>
      </c>
    </row>
    <row r="3646" spans="1:7" x14ac:dyDescent="0.3">
      <c r="A3646" t="s">
        <v>33</v>
      </c>
      <c r="B3646">
        <v>2016</v>
      </c>
      <c r="C3646" t="s">
        <v>43</v>
      </c>
      <c r="D3646" s="2">
        <v>42644</v>
      </c>
      <c r="E3646" t="s">
        <v>21</v>
      </c>
      <c r="F3646">
        <v>115.2</v>
      </c>
      <c r="G3646" t="str">
        <f>VLOOKUP(Table1_2[[#This Row],[Categories]],Sheet3!$A$1:$B$27,2,FALSE)</f>
        <v>Fuel and light</v>
      </c>
    </row>
    <row r="3647" spans="1:7" x14ac:dyDescent="0.3">
      <c r="A3647" t="s">
        <v>33</v>
      </c>
      <c r="B3647">
        <v>2016</v>
      </c>
      <c r="C3647" t="s">
        <v>43</v>
      </c>
      <c r="D3647" s="2">
        <v>42644</v>
      </c>
      <c r="E3647" t="s">
        <v>22</v>
      </c>
      <c r="F3647">
        <v>124.5</v>
      </c>
      <c r="G3647" t="str">
        <f>VLOOKUP(Table1_2[[#This Row],[Categories]],Sheet3!$A$1:$B$27,2,FALSE)</f>
        <v>Household Items</v>
      </c>
    </row>
    <row r="3648" spans="1:7" x14ac:dyDescent="0.3">
      <c r="A3648" t="s">
        <v>33</v>
      </c>
      <c r="B3648">
        <v>2016</v>
      </c>
      <c r="C3648" t="s">
        <v>43</v>
      </c>
      <c r="D3648" s="2">
        <v>42644</v>
      </c>
      <c r="E3648" t="s">
        <v>23</v>
      </c>
      <c r="F3648">
        <v>121.8</v>
      </c>
      <c r="G3648" t="str">
        <f>VLOOKUP(Table1_2[[#This Row],[Categories]],Sheet3!$A$1:$B$27,2,FALSE)</f>
        <v>Health</v>
      </c>
    </row>
    <row r="3649" spans="1:7" x14ac:dyDescent="0.3">
      <c r="A3649" t="s">
        <v>33</v>
      </c>
      <c r="B3649">
        <v>2016</v>
      </c>
      <c r="C3649" t="s">
        <v>43</v>
      </c>
      <c r="D3649" s="2">
        <v>42644</v>
      </c>
      <c r="E3649" t="s">
        <v>24</v>
      </c>
      <c r="F3649">
        <v>112.8</v>
      </c>
      <c r="G3649" t="str">
        <f>VLOOKUP(Table1_2[[#This Row],[Categories]],Sheet3!$A$1:$B$27,2,FALSE)</f>
        <v>Transport and communication</v>
      </c>
    </row>
    <row r="3650" spans="1:7" x14ac:dyDescent="0.3">
      <c r="A3650" t="s">
        <v>33</v>
      </c>
      <c r="B3650">
        <v>2016</v>
      </c>
      <c r="C3650" t="s">
        <v>43</v>
      </c>
      <c r="D3650" s="2">
        <v>42644</v>
      </c>
      <c r="E3650" t="s">
        <v>25</v>
      </c>
      <c r="F3650">
        <v>121.2</v>
      </c>
      <c r="G3650" t="str">
        <f>VLOOKUP(Table1_2[[#This Row],[Categories]],Sheet3!$A$1:$B$27,2,FALSE)</f>
        <v>Recreation and amusement</v>
      </c>
    </row>
    <row r="3651" spans="1:7" x14ac:dyDescent="0.3">
      <c r="A3651" t="s">
        <v>33</v>
      </c>
      <c r="B3651">
        <v>2016</v>
      </c>
      <c r="C3651" t="s">
        <v>43</v>
      </c>
      <c r="D3651" s="2">
        <v>42644</v>
      </c>
      <c r="E3651" t="s">
        <v>26</v>
      </c>
      <c r="F3651">
        <v>131.9</v>
      </c>
      <c r="G3651" t="str">
        <f>VLOOKUP(Table1_2[[#This Row],[Categories]],Sheet3!$A$1:$B$27,2,FALSE)</f>
        <v>Education</v>
      </c>
    </row>
    <row r="3652" spans="1:7" x14ac:dyDescent="0.3">
      <c r="A3652" t="s">
        <v>33</v>
      </c>
      <c r="B3652">
        <v>2016</v>
      </c>
      <c r="C3652" t="s">
        <v>43</v>
      </c>
      <c r="D3652" s="2">
        <v>42644</v>
      </c>
      <c r="E3652" t="s">
        <v>27</v>
      </c>
      <c r="F3652">
        <v>120.8</v>
      </c>
      <c r="G3652" t="str">
        <f>VLOOKUP(Table1_2[[#This Row],[Categories]],Sheet3!$A$1:$B$27,2,FALSE)</f>
        <v>Household Items</v>
      </c>
    </row>
    <row r="3653" spans="1:7" x14ac:dyDescent="0.3">
      <c r="A3653" t="s">
        <v>33</v>
      </c>
      <c r="B3653">
        <v>2016</v>
      </c>
      <c r="C3653" t="s">
        <v>43</v>
      </c>
      <c r="D3653" s="2">
        <v>42644</v>
      </c>
      <c r="E3653" t="s">
        <v>28</v>
      </c>
      <c r="F3653">
        <v>120.9</v>
      </c>
      <c r="G3653" t="str">
        <f>VLOOKUP(Table1_2[[#This Row],[Categories]],Sheet3!$A$1:$B$27,2,FALSE)</f>
        <v>Miscellaneous</v>
      </c>
    </row>
    <row r="3654" spans="1:7" x14ac:dyDescent="0.3">
      <c r="A3654" t="s">
        <v>33</v>
      </c>
      <c r="B3654">
        <v>2016</v>
      </c>
      <c r="C3654" t="s">
        <v>43</v>
      </c>
      <c r="D3654" s="2">
        <v>42644</v>
      </c>
      <c r="E3654" t="s">
        <v>29</v>
      </c>
      <c r="F3654">
        <v>128.6</v>
      </c>
      <c r="G3654" t="str">
        <f>VLOOKUP(Table1_2[[#This Row],[Categories]],Sheet3!$A$1:$B$27,2,FALSE)</f>
        <v>General index</v>
      </c>
    </row>
    <row r="3655" spans="1:7" x14ac:dyDescent="0.3">
      <c r="A3655" t="s">
        <v>34</v>
      </c>
      <c r="B3655">
        <v>2016</v>
      </c>
      <c r="C3655" t="s">
        <v>43</v>
      </c>
      <c r="D3655" s="2">
        <v>42644</v>
      </c>
      <c r="E3655" t="s">
        <v>3</v>
      </c>
      <c r="F3655">
        <v>130.5</v>
      </c>
      <c r="G3655" t="str">
        <f>VLOOKUP(Table1_2[[#This Row],[Categories]],Sheet3!$A$1:$B$27,2,FALSE)</f>
        <v>Food &amp;Beverage</v>
      </c>
    </row>
    <row r="3656" spans="1:7" x14ac:dyDescent="0.3">
      <c r="A3656" t="s">
        <v>34</v>
      </c>
      <c r="B3656">
        <v>2016</v>
      </c>
      <c r="C3656" t="s">
        <v>43</v>
      </c>
      <c r="D3656" s="2">
        <v>42644</v>
      </c>
      <c r="E3656" t="s">
        <v>4</v>
      </c>
      <c r="F3656">
        <v>137.9</v>
      </c>
      <c r="G3656" t="str">
        <f>VLOOKUP(Table1_2[[#This Row],[Categories]],Sheet3!$A$1:$B$27,2,FALSE)</f>
        <v>Food &amp;Beverage</v>
      </c>
    </row>
    <row r="3657" spans="1:7" x14ac:dyDescent="0.3">
      <c r="A3657" t="s">
        <v>34</v>
      </c>
      <c r="B3657">
        <v>2016</v>
      </c>
      <c r="C3657" t="s">
        <v>43</v>
      </c>
      <c r="D3657" s="2">
        <v>42644</v>
      </c>
      <c r="E3657" t="s">
        <v>5</v>
      </c>
      <c r="F3657">
        <v>130.19999999999999</v>
      </c>
      <c r="G3657" t="str">
        <f>VLOOKUP(Table1_2[[#This Row],[Categories]],Sheet3!$A$1:$B$27,2,FALSE)</f>
        <v>Food &amp;Beverage</v>
      </c>
    </row>
    <row r="3658" spans="1:7" x14ac:dyDescent="0.3">
      <c r="A3658" t="s">
        <v>34</v>
      </c>
      <c r="B3658">
        <v>2016</v>
      </c>
      <c r="C3658" t="s">
        <v>43</v>
      </c>
      <c r="D3658" s="2">
        <v>42644</v>
      </c>
      <c r="E3658" t="s">
        <v>6</v>
      </c>
      <c r="F3658">
        <v>134.80000000000001</v>
      </c>
      <c r="G3658" t="str">
        <f>VLOOKUP(Table1_2[[#This Row],[Categories]],Sheet3!$A$1:$B$27,2,FALSE)</f>
        <v>Food &amp;Beverage</v>
      </c>
    </row>
    <row r="3659" spans="1:7" x14ac:dyDescent="0.3">
      <c r="A3659" t="s">
        <v>34</v>
      </c>
      <c r="B3659">
        <v>2016</v>
      </c>
      <c r="C3659" t="s">
        <v>43</v>
      </c>
      <c r="D3659" s="2">
        <v>42644</v>
      </c>
      <c r="E3659" t="s">
        <v>7</v>
      </c>
      <c r="F3659">
        <v>117.8</v>
      </c>
      <c r="G3659" t="str">
        <f>VLOOKUP(Table1_2[[#This Row],[Categories]],Sheet3!$A$1:$B$27,2,FALSE)</f>
        <v>Food &amp;Beverage</v>
      </c>
    </row>
    <row r="3660" spans="1:7" x14ac:dyDescent="0.3">
      <c r="A3660" t="s">
        <v>34</v>
      </c>
      <c r="B3660">
        <v>2016</v>
      </c>
      <c r="C3660" t="s">
        <v>43</v>
      </c>
      <c r="D3660" s="2">
        <v>42644</v>
      </c>
      <c r="E3660" t="s">
        <v>8</v>
      </c>
      <c r="F3660">
        <v>134.69999999999999</v>
      </c>
      <c r="G3660" t="str">
        <f>VLOOKUP(Table1_2[[#This Row],[Categories]],Sheet3!$A$1:$B$27,2,FALSE)</f>
        <v>Food &amp;Beverage</v>
      </c>
    </row>
    <row r="3661" spans="1:7" x14ac:dyDescent="0.3">
      <c r="A3661" t="s">
        <v>34</v>
      </c>
      <c r="B3661">
        <v>2016</v>
      </c>
      <c r="C3661" t="s">
        <v>43</v>
      </c>
      <c r="D3661" s="2">
        <v>42644</v>
      </c>
      <c r="E3661" t="s">
        <v>9</v>
      </c>
      <c r="F3661">
        <v>151.19999999999999</v>
      </c>
      <c r="G3661" t="str">
        <f>VLOOKUP(Table1_2[[#This Row],[Categories]],Sheet3!$A$1:$B$27,2,FALSE)</f>
        <v>Food &amp;Beverage</v>
      </c>
    </row>
    <row r="3662" spans="1:7" x14ac:dyDescent="0.3">
      <c r="A3662" t="s">
        <v>34</v>
      </c>
      <c r="B3662">
        <v>2016</v>
      </c>
      <c r="C3662" t="s">
        <v>43</v>
      </c>
      <c r="D3662" s="2">
        <v>42644</v>
      </c>
      <c r="E3662" t="s">
        <v>10</v>
      </c>
      <c r="F3662">
        <v>172.1</v>
      </c>
      <c r="G3662" t="str">
        <f>VLOOKUP(Table1_2[[#This Row],[Categories]],Sheet3!$A$1:$B$27,2,FALSE)</f>
        <v>Food &amp;Beverage</v>
      </c>
    </row>
    <row r="3663" spans="1:7" x14ac:dyDescent="0.3">
      <c r="A3663" t="s">
        <v>34</v>
      </c>
      <c r="B3663">
        <v>2016</v>
      </c>
      <c r="C3663" t="s">
        <v>43</v>
      </c>
      <c r="D3663" s="2">
        <v>42644</v>
      </c>
      <c r="E3663" t="s">
        <v>11</v>
      </c>
      <c r="F3663">
        <v>114.1</v>
      </c>
      <c r="G3663" t="str">
        <f>VLOOKUP(Table1_2[[#This Row],[Categories]],Sheet3!$A$1:$B$27,2,FALSE)</f>
        <v>Food &amp;Beverage</v>
      </c>
    </row>
    <row r="3664" spans="1:7" x14ac:dyDescent="0.3">
      <c r="A3664" t="s">
        <v>34</v>
      </c>
      <c r="B3664">
        <v>2016</v>
      </c>
      <c r="C3664" t="s">
        <v>43</v>
      </c>
      <c r="D3664" s="2">
        <v>42644</v>
      </c>
      <c r="E3664" t="s">
        <v>12</v>
      </c>
      <c r="F3664">
        <v>139.30000000000001</v>
      </c>
      <c r="G3664" t="str">
        <f>VLOOKUP(Table1_2[[#This Row],[Categories]],Sheet3!$A$1:$B$27,2,FALSE)</f>
        <v>Food &amp;Beverage</v>
      </c>
    </row>
    <row r="3665" spans="1:7" x14ac:dyDescent="0.3">
      <c r="A3665" t="s">
        <v>34</v>
      </c>
      <c r="B3665">
        <v>2016</v>
      </c>
      <c r="C3665" t="s">
        <v>43</v>
      </c>
      <c r="D3665" s="2">
        <v>42644</v>
      </c>
      <c r="E3665" t="s">
        <v>13</v>
      </c>
      <c r="F3665">
        <v>126.1</v>
      </c>
      <c r="G3665" t="str">
        <f>VLOOKUP(Table1_2[[#This Row],[Categories]],Sheet3!$A$1:$B$27,2,FALSE)</f>
        <v>Food &amp;Beverage</v>
      </c>
    </row>
    <row r="3666" spans="1:7" x14ac:dyDescent="0.3">
      <c r="A3666" t="s">
        <v>34</v>
      </c>
      <c r="B3666">
        <v>2016</v>
      </c>
      <c r="C3666" t="s">
        <v>43</v>
      </c>
      <c r="D3666" s="2">
        <v>42644</v>
      </c>
      <c r="E3666" t="s">
        <v>14</v>
      </c>
      <c r="F3666">
        <v>141.1</v>
      </c>
      <c r="G3666" t="str">
        <f>VLOOKUP(Table1_2[[#This Row],[Categories]],Sheet3!$A$1:$B$27,2,FALSE)</f>
        <v>Food &amp;Beverage</v>
      </c>
    </row>
    <row r="3667" spans="1:7" x14ac:dyDescent="0.3">
      <c r="A3667" t="s">
        <v>34</v>
      </c>
      <c r="B3667">
        <v>2016</v>
      </c>
      <c r="C3667" t="s">
        <v>43</v>
      </c>
      <c r="D3667" s="2">
        <v>42644</v>
      </c>
      <c r="E3667" t="s">
        <v>15</v>
      </c>
      <c r="F3667">
        <v>137</v>
      </c>
      <c r="G3667" t="str">
        <f>VLOOKUP(Table1_2[[#This Row],[Categories]],Sheet3!$A$1:$B$27,2,FALSE)</f>
        <v>Food &amp;Beverage</v>
      </c>
    </row>
    <row r="3668" spans="1:7" x14ac:dyDescent="0.3">
      <c r="A3668" t="s">
        <v>34</v>
      </c>
      <c r="B3668">
        <v>2016</v>
      </c>
      <c r="C3668" t="s">
        <v>43</v>
      </c>
      <c r="D3668" s="2">
        <v>42644</v>
      </c>
      <c r="E3668" t="s">
        <v>16</v>
      </c>
      <c r="F3668">
        <v>141.80000000000001</v>
      </c>
      <c r="G3668" t="str">
        <f>VLOOKUP(Table1_2[[#This Row],[Categories]],Sheet3!$A$1:$B$27,2,FALSE)</f>
        <v>Recreation and amusement</v>
      </c>
    </row>
    <row r="3669" spans="1:7" x14ac:dyDescent="0.3">
      <c r="A3669" t="s">
        <v>34</v>
      </c>
      <c r="B3669">
        <v>2016</v>
      </c>
      <c r="C3669" t="s">
        <v>43</v>
      </c>
      <c r="D3669" s="2">
        <v>42644</v>
      </c>
      <c r="E3669" t="s">
        <v>17</v>
      </c>
      <c r="F3669">
        <v>135.5</v>
      </c>
      <c r="G3669" t="str">
        <f>VLOOKUP(Table1_2[[#This Row],[Categories]],Sheet3!$A$1:$B$27,2,FALSE)</f>
        <v>Clothing and footwear</v>
      </c>
    </row>
    <row r="3670" spans="1:7" x14ac:dyDescent="0.3">
      <c r="A3670" t="s">
        <v>34</v>
      </c>
      <c r="B3670">
        <v>2016</v>
      </c>
      <c r="C3670" t="s">
        <v>43</v>
      </c>
      <c r="D3670" s="2">
        <v>42644</v>
      </c>
      <c r="E3670" t="s">
        <v>18</v>
      </c>
      <c r="F3670">
        <v>129.1</v>
      </c>
      <c r="G3670" t="str">
        <f>VLOOKUP(Table1_2[[#This Row],[Categories]],Sheet3!$A$1:$B$27,2,FALSE)</f>
        <v>Clothing and footwear</v>
      </c>
    </row>
    <row r="3671" spans="1:7" x14ac:dyDescent="0.3">
      <c r="A3671" t="s">
        <v>34</v>
      </c>
      <c r="B3671">
        <v>2016</v>
      </c>
      <c r="C3671" t="s">
        <v>43</v>
      </c>
      <c r="D3671" s="2">
        <v>42644</v>
      </c>
      <c r="E3671" t="s">
        <v>19</v>
      </c>
      <c r="F3671">
        <v>134.5</v>
      </c>
      <c r="G3671" t="str">
        <f>VLOOKUP(Table1_2[[#This Row],[Categories]],Sheet3!$A$1:$B$27,2,FALSE)</f>
        <v>Clothing and footwear</v>
      </c>
    </row>
    <row r="3672" spans="1:7" x14ac:dyDescent="0.3">
      <c r="A3672" t="s">
        <v>34</v>
      </c>
      <c r="B3672">
        <v>2016</v>
      </c>
      <c r="C3672" t="s">
        <v>43</v>
      </c>
      <c r="D3672" s="2">
        <v>42644</v>
      </c>
      <c r="E3672" t="s">
        <v>20</v>
      </c>
      <c r="F3672">
        <v>128.69999999999999</v>
      </c>
      <c r="G3672" t="str">
        <f>VLOOKUP(Table1_2[[#This Row],[Categories]],Sheet3!$A$1:$B$27,2,FALSE)</f>
        <v>Housing</v>
      </c>
    </row>
    <row r="3673" spans="1:7" x14ac:dyDescent="0.3">
      <c r="A3673" t="s">
        <v>34</v>
      </c>
      <c r="B3673">
        <v>2016</v>
      </c>
      <c r="C3673" t="s">
        <v>43</v>
      </c>
      <c r="D3673" s="2">
        <v>42644</v>
      </c>
      <c r="E3673" t="s">
        <v>21</v>
      </c>
      <c r="F3673">
        <v>124.3</v>
      </c>
      <c r="G3673" t="str">
        <f>VLOOKUP(Table1_2[[#This Row],[Categories]],Sheet3!$A$1:$B$27,2,FALSE)</f>
        <v>Fuel and light</v>
      </c>
    </row>
    <row r="3674" spans="1:7" x14ac:dyDescent="0.3">
      <c r="A3674" t="s">
        <v>34</v>
      </c>
      <c r="B3674">
        <v>2016</v>
      </c>
      <c r="C3674" t="s">
        <v>43</v>
      </c>
      <c r="D3674" s="2">
        <v>42644</v>
      </c>
      <c r="E3674" t="s">
        <v>22</v>
      </c>
      <c r="F3674">
        <v>128.4</v>
      </c>
      <c r="G3674" t="str">
        <f>VLOOKUP(Table1_2[[#This Row],[Categories]],Sheet3!$A$1:$B$27,2,FALSE)</f>
        <v>Household Items</v>
      </c>
    </row>
    <row r="3675" spans="1:7" x14ac:dyDescent="0.3">
      <c r="A3675" t="s">
        <v>34</v>
      </c>
      <c r="B3675">
        <v>2016</v>
      </c>
      <c r="C3675" t="s">
        <v>43</v>
      </c>
      <c r="D3675" s="2">
        <v>42644</v>
      </c>
      <c r="E3675" t="s">
        <v>23</v>
      </c>
      <c r="F3675">
        <v>126.1</v>
      </c>
      <c r="G3675" t="str">
        <f>VLOOKUP(Table1_2[[#This Row],[Categories]],Sheet3!$A$1:$B$27,2,FALSE)</f>
        <v>Health</v>
      </c>
    </row>
    <row r="3676" spans="1:7" x14ac:dyDescent="0.3">
      <c r="A3676" t="s">
        <v>34</v>
      </c>
      <c r="B3676">
        <v>2016</v>
      </c>
      <c r="C3676" t="s">
        <v>43</v>
      </c>
      <c r="D3676" s="2">
        <v>42644</v>
      </c>
      <c r="E3676" t="s">
        <v>24</v>
      </c>
      <c r="F3676">
        <v>115.2</v>
      </c>
      <c r="G3676" t="str">
        <f>VLOOKUP(Table1_2[[#This Row],[Categories]],Sheet3!$A$1:$B$27,2,FALSE)</f>
        <v>Transport and communication</v>
      </c>
    </row>
    <row r="3677" spans="1:7" x14ac:dyDescent="0.3">
      <c r="A3677" t="s">
        <v>34</v>
      </c>
      <c r="B3677">
        <v>2016</v>
      </c>
      <c r="C3677" t="s">
        <v>43</v>
      </c>
      <c r="D3677" s="2">
        <v>42644</v>
      </c>
      <c r="E3677" t="s">
        <v>25</v>
      </c>
      <c r="F3677">
        <v>123.5</v>
      </c>
      <c r="G3677" t="str">
        <f>VLOOKUP(Table1_2[[#This Row],[Categories]],Sheet3!$A$1:$B$27,2,FALSE)</f>
        <v>Recreation and amusement</v>
      </c>
    </row>
    <row r="3678" spans="1:7" x14ac:dyDescent="0.3">
      <c r="A3678" t="s">
        <v>34</v>
      </c>
      <c r="B3678">
        <v>2016</v>
      </c>
      <c r="C3678" t="s">
        <v>43</v>
      </c>
      <c r="D3678" s="2">
        <v>42644</v>
      </c>
      <c r="E3678" t="s">
        <v>26</v>
      </c>
      <c r="F3678">
        <v>132.4</v>
      </c>
      <c r="G3678" t="str">
        <f>VLOOKUP(Table1_2[[#This Row],[Categories]],Sheet3!$A$1:$B$27,2,FALSE)</f>
        <v>Education</v>
      </c>
    </row>
    <row r="3679" spans="1:7" x14ac:dyDescent="0.3">
      <c r="A3679" t="s">
        <v>34</v>
      </c>
      <c r="B3679">
        <v>2016</v>
      </c>
      <c r="C3679" t="s">
        <v>43</v>
      </c>
      <c r="D3679" s="2">
        <v>42644</v>
      </c>
      <c r="E3679" t="s">
        <v>27</v>
      </c>
      <c r="F3679">
        <v>122.1</v>
      </c>
      <c r="G3679" t="str">
        <f>VLOOKUP(Table1_2[[#This Row],[Categories]],Sheet3!$A$1:$B$27,2,FALSE)</f>
        <v>Household Items</v>
      </c>
    </row>
    <row r="3680" spans="1:7" x14ac:dyDescent="0.3">
      <c r="A3680" t="s">
        <v>34</v>
      </c>
      <c r="B3680">
        <v>2016</v>
      </c>
      <c r="C3680" t="s">
        <v>43</v>
      </c>
      <c r="D3680" s="2">
        <v>42644</v>
      </c>
      <c r="E3680" t="s">
        <v>28</v>
      </c>
      <c r="F3680">
        <v>123.4</v>
      </c>
      <c r="G3680" t="str">
        <f>VLOOKUP(Table1_2[[#This Row],[Categories]],Sheet3!$A$1:$B$27,2,FALSE)</f>
        <v>Miscellaneous</v>
      </c>
    </row>
    <row r="3681" spans="1:7" x14ac:dyDescent="0.3">
      <c r="A3681" t="s">
        <v>34</v>
      </c>
      <c r="B3681">
        <v>2016</v>
      </c>
      <c r="C3681" t="s">
        <v>43</v>
      </c>
      <c r="D3681" s="2">
        <v>42644</v>
      </c>
      <c r="E3681" t="s">
        <v>29</v>
      </c>
      <c r="F3681">
        <v>131.4</v>
      </c>
      <c r="G3681" t="str">
        <f>VLOOKUP(Table1_2[[#This Row],[Categories]],Sheet3!$A$1:$B$27,2,FALSE)</f>
        <v>General index</v>
      </c>
    </row>
    <row r="3682" spans="1:7" x14ac:dyDescent="0.3">
      <c r="A3682" t="s">
        <v>30</v>
      </c>
      <c r="B3682">
        <v>2016</v>
      </c>
      <c r="C3682" t="s">
        <v>45</v>
      </c>
      <c r="D3682" s="2">
        <v>42675</v>
      </c>
      <c r="E3682" t="s">
        <v>3</v>
      </c>
      <c r="F3682">
        <v>132</v>
      </c>
      <c r="G3682" t="str">
        <f>VLOOKUP(Table1_2[[#This Row],[Categories]],Sheet3!$A$1:$B$27,2,FALSE)</f>
        <v>Food &amp;Beverage</v>
      </c>
    </row>
    <row r="3683" spans="1:7" x14ac:dyDescent="0.3">
      <c r="A3683" t="s">
        <v>30</v>
      </c>
      <c r="B3683">
        <v>2016</v>
      </c>
      <c r="C3683" t="s">
        <v>45</v>
      </c>
      <c r="D3683" s="2">
        <v>42675</v>
      </c>
      <c r="E3683" t="s">
        <v>4</v>
      </c>
      <c r="F3683">
        <v>137.4</v>
      </c>
      <c r="G3683" t="str">
        <f>VLOOKUP(Table1_2[[#This Row],[Categories]],Sheet3!$A$1:$B$27,2,FALSE)</f>
        <v>Food &amp;Beverage</v>
      </c>
    </row>
    <row r="3684" spans="1:7" x14ac:dyDescent="0.3">
      <c r="A3684" t="s">
        <v>30</v>
      </c>
      <c r="B3684">
        <v>2016</v>
      </c>
      <c r="C3684" t="s">
        <v>45</v>
      </c>
      <c r="D3684" s="2">
        <v>42675</v>
      </c>
      <c r="E3684" t="s">
        <v>5</v>
      </c>
      <c r="F3684">
        <v>130.6</v>
      </c>
      <c r="G3684" t="str">
        <f>VLOOKUP(Table1_2[[#This Row],[Categories]],Sheet3!$A$1:$B$27,2,FALSE)</f>
        <v>Food &amp;Beverage</v>
      </c>
    </row>
    <row r="3685" spans="1:7" x14ac:dyDescent="0.3">
      <c r="A3685" t="s">
        <v>30</v>
      </c>
      <c r="B3685">
        <v>2016</v>
      </c>
      <c r="C3685" t="s">
        <v>45</v>
      </c>
      <c r="D3685" s="2">
        <v>42675</v>
      </c>
      <c r="E3685" t="s">
        <v>6</v>
      </c>
      <c r="F3685">
        <v>136.19999999999999</v>
      </c>
      <c r="G3685" t="str">
        <f>VLOOKUP(Table1_2[[#This Row],[Categories]],Sheet3!$A$1:$B$27,2,FALSE)</f>
        <v>Food &amp;Beverage</v>
      </c>
    </row>
    <row r="3686" spans="1:7" x14ac:dyDescent="0.3">
      <c r="A3686" t="s">
        <v>30</v>
      </c>
      <c r="B3686">
        <v>2016</v>
      </c>
      <c r="C3686" t="s">
        <v>45</v>
      </c>
      <c r="D3686" s="2">
        <v>42675</v>
      </c>
      <c r="E3686" t="s">
        <v>7</v>
      </c>
      <c r="F3686">
        <v>121.1</v>
      </c>
      <c r="G3686" t="str">
        <f>VLOOKUP(Table1_2[[#This Row],[Categories]],Sheet3!$A$1:$B$27,2,FALSE)</f>
        <v>Food &amp;Beverage</v>
      </c>
    </row>
    <row r="3687" spans="1:7" x14ac:dyDescent="0.3">
      <c r="A3687" t="s">
        <v>30</v>
      </c>
      <c r="B3687">
        <v>2016</v>
      </c>
      <c r="C3687" t="s">
        <v>45</v>
      </c>
      <c r="D3687" s="2">
        <v>42675</v>
      </c>
      <c r="E3687" t="s">
        <v>8</v>
      </c>
      <c r="F3687">
        <v>136.9</v>
      </c>
      <c r="G3687" t="str">
        <f>VLOOKUP(Table1_2[[#This Row],[Categories]],Sheet3!$A$1:$B$27,2,FALSE)</f>
        <v>Food &amp;Beverage</v>
      </c>
    </row>
    <row r="3688" spans="1:7" x14ac:dyDescent="0.3">
      <c r="A3688" t="s">
        <v>30</v>
      </c>
      <c r="B3688">
        <v>2016</v>
      </c>
      <c r="C3688" t="s">
        <v>45</v>
      </c>
      <c r="D3688" s="2">
        <v>42675</v>
      </c>
      <c r="E3688" t="s">
        <v>9</v>
      </c>
      <c r="F3688">
        <v>141.80000000000001</v>
      </c>
      <c r="G3688" t="str">
        <f>VLOOKUP(Table1_2[[#This Row],[Categories]],Sheet3!$A$1:$B$27,2,FALSE)</f>
        <v>Food &amp;Beverage</v>
      </c>
    </row>
    <row r="3689" spans="1:7" x14ac:dyDescent="0.3">
      <c r="A3689" t="s">
        <v>30</v>
      </c>
      <c r="B3689">
        <v>2016</v>
      </c>
      <c r="C3689" t="s">
        <v>45</v>
      </c>
      <c r="D3689" s="2">
        <v>42675</v>
      </c>
      <c r="E3689" t="s">
        <v>10</v>
      </c>
      <c r="F3689">
        <v>170</v>
      </c>
      <c r="G3689" t="str">
        <f>VLOOKUP(Table1_2[[#This Row],[Categories]],Sheet3!$A$1:$B$27,2,FALSE)</f>
        <v>Food &amp;Beverage</v>
      </c>
    </row>
    <row r="3690" spans="1:7" x14ac:dyDescent="0.3">
      <c r="A3690" t="s">
        <v>30</v>
      </c>
      <c r="B3690">
        <v>2016</v>
      </c>
      <c r="C3690" t="s">
        <v>45</v>
      </c>
      <c r="D3690" s="2">
        <v>42675</v>
      </c>
      <c r="E3690" t="s">
        <v>11</v>
      </c>
      <c r="F3690">
        <v>113.4</v>
      </c>
      <c r="G3690" t="str">
        <f>VLOOKUP(Table1_2[[#This Row],[Categories]],Sheet3!$A$1:$B$27,2,FALSE)</f>
        <v>Food &amp;Beverage</v>
      </c>
    </row>
    <row r="3691" spans="1:7" x14ac:dyDescent="0.3">
      <c r="A3691" t="s">
        <v>30</v>
      </c>
      <c r="B3691">
        <v>2016</v>
      </c>
      <c r="C3691" t="s">
        <v>45</v>
      </c>
      <c r="D3691" s="2">
        <v>42675</v>
      </c>
      <c r="E3691" t="s">
        <v>12</v>
      </c>
      <c r="F3691">
        <v>136.80000000000001</v>
      </c>
      <c r="G3691" t="str">
        <f>VLOOKUP(Table1_2[[#This Row],[Categories]],Sheet3!$A$1:$B$27,2,FALSE)</f>
        <v>Food &amp;Beverage</v>
      </c>
    </row>
    <row r="3692" spans="1:7" x14ac:dyDescent="0.3">
      <c r="A3692" t="s">
        <v>30</v>
      </c>
      <c r="B3692">
        <v>2016</v>
      </c>
      <c r="C3692" t="s">
        <v>45</v>
      </c>
      <c r="D3692" s="2">
        <v>42675</v>
      </c>
      <c r="E3692" t="s">
        <v>13</v>
      </c>
      <c r="F3692">
        <v>128.69999999999999</v>
      </c>
      <c r="G3692" t="str">
        <f>VLOOKUP(Table1_2[[#This Row],[Categories]],Sheet3!$A$1:$B$27,2,FALSE)</f>
        <v>Food &amp;Beverage</v>
      </c>
    </row>
    <row r="3693" spans="1:7" x14ac:dyDescent="0.3">
      <c r="A3693" t="s">
        <v>30</v>
      </c>
      <c r="B3693">
        <v>2016</v>
      </c>
      <c r="C3693" t="s">
        <v>45</v>
      </c>
      <c r="D3693" s="2">
        <v>42675</v>
      </c>
      <c r="E3693" t="s">
        <v>14</v>
      </c>
      <c r="F3693">
        <v>143.1</v>
      </c>
      <c r="G3693" t="str">
        <f>VLOOKUP(Table1_2[[#This Row],[Categories]],Sheet3!$A$1:$B$27,2,FALSE)</f>
        <v>Food &amp;Beverage</v>
      </c>
    </row>
    <row r="3694" spans="1:7" x14ac:dyDescent="0.3">
      <c r="A3694" t="s">
        <v>30</v>
      </c>
      <c r="B3694">
        <v>2016</v>
      </c>
      <c r="C3694" t="s">
        <v>45</v>
      </c>
      <c r="D3694" s="2">
        <v>42675</v>
      </c>
      <c r="E3694" t="s">
        <v>15</v>
      </c>
      <c r="F3694">
        <v>136.6</v>
      </c>
      <c r="G3694" t="str">
        <f>VLOOKUP(Table1_2[[#This Row],[Categories]],Sheet3!$A$1:$B$27,2,FALSE)</f>
        <v>Food &amp;Beverage</v>
      </c>
    </row>
    <row r="3695" spans="1:7" x14ac:dyDescent="0.3">
      <c r="A3695" t="s">
        <v>30</v>
      </c>
      <c r="B3695">
        <v>2016</v>
      </c>
      <c r="C3695" t="s">
        <v>45</v>
      </c>
      <c r="D3695" s="2">
        <v>42675</v>
      </c>
      <c r="E3695" t="s">
        <v>16</v>
      </c>
      <c r="F3695">
        <v>141.19999999999999</v>
      </c>
      <c r="G3695" t="str">
        <f>VLOOKUP(Table1_2[[#This Row],[Categories]],Sheet3!$A$1:$B$27,2,FALSE)</f>
        <v>Recreation and amusement</v>
      </c>
    </row>
    <row r="3696" spans="1:7" x14ac:dyDescent="0.3">
      <c r="A3696" t="s">
        <v>30</v>
      </c>
      <c r="B3696">
        <v>2016</v>
      </c>
      <c r="C3696" t="s">
        <v>45</v>
      </c>
      <c r="D3696" s="2">
        <v>42675</v>
      </c>
      <c r="E3696" t="s">
        <v>17</v>
      </c>
      <c r="F3696">
        <v>139.9</v>
      </c>
      <c r="G3696" t="str">
        <f>VLOOKUP(Table1_2[[#This Row],[Categories]],Sheet3!$A$1:$B$27,2,FALSE)</f>
        <v>Clothing and footwear</v>
      </c>
    </row>
    <row r="3697" spans="1:7" x14ac:dyDescent="0.3">
      <c r="A3697" t="s">
        <v>30</v>
      </c>
      <c r="B3697">
        <v>2016</v>
      </c>
      <c r="C3697" t="s">
        <v>45</v>
      </c>
      <c r="D3697" s="2">
        <v>42675</v>
      </c>
      <c r="E3697" t="s">
        <v>18</v>
      </c>
      <c r="F3697">
        <v>134.5</v>
      </c>
      <c r="G3697" t="str">
        <f>VLOOKUP(Table1_2[[#This Row],[Categories]],Sheet3!$A$1:$B$27,2,FALSE)</f>
        <v>Clothing and footwear</v>
      </c>
    </row>
    <row r="3698" spans="1:7" x14ac:dyDescent="0.3">
      <c r="A3698" t="s">
        <v>30</v>
      </c>
      <c r="B3698">
        <v>2016</v>
      </c>
      <c r="C3698" t="s">
        <v>45</v>
      </c>
      <c r="D3698" s="2">
        <v>42675</v>
      </c>
      <c r="E3698" t="s">
        <v>19</v>
      </c>
      <c r="F3698">
        <v>139.19999999999999</v>
      </c>
      <c r="G3698" t="str">
        <f>VLOOKUP(Table1_2[[#This Row],[Categories]],Sheet3!$A$1:$B$27,2,FALSE)</f>
        <v>Clothing and footwear</v>
      </c>
    </row>
    <row r="3699" spans="1:7" x14ac:dyDescent="0.3">
      <c r="A3699" t="s">
        <v>30</v>
      </c>
      <c r="B3699">
        <v>2016</v>
      </c>
      <c r="C3699" t="s">
        <v>45</v>
      </c>
      <c r="D3699" s="2">
        <v>42675</v>
      </c>
      <c r="E3699" t="s">
        <v>21</v>
      </c>
      <c r="F3699">
        <v>130.30000000000001</v>
      </c>
      <c r="G3699" t="str">
        <f>VLOOKUP(Table1_2[[#This Row],[Categories]],Sheet3!$A$1:$B$27,2,FALSE)</f>
        <v>Fuel and light</v>
      </c>
    </row>
    <row r="3700" spans="1:7" x14ac:dyDescent="0.3">
      <c r="A3700" t="s">
        <v>30</v>
      </c>
      <c r="B3700">
        <v>2016</v>
      </c>
      <c r="C3700" t="s">
        <v>45</v>
      </c>
      <c r="D3700" s="2">
        <v>42675</v>
      </c>
      <c r="E3700" t="s">
        <v>22</v>
      </c>
      <c r="F3700">
        <v>132.1</v>
      </c>
      <c r="G3700" t="str">
        <f>VLOOKUP(Table1_2[[#This Row],[Categories]],Sheet3!$A$1:$B$27,2,FALSE)</f>
        <v>Household Items</v>
      </c>
    </row>
    <row r="3701" spans="1:7" x14ac:dyDescent="0.3">
      <c r="A3701" t="s">
        <v>30</v>
      </c>
      <c r="B3701">
        <v>2016</v>
      </c>
      <c r="C3701" t="s">
        <v>45</v>
      </c>
      <c r="D3701" s="2">
        <v>42675</v>
      </c>
      <c r="E3701" t="s">
        <v>23</v>
      </c>
      <c r="F3701">
        <v>129.1</v>
      </c>
      <c r="G3701" t="str">
        <f>VLOOKUP(Table1_2[[#This Row],[Categories]],Sheet3!$A$1:$B$27,2,FALSE)</f>
        <v>Health</v>
      </c>
    </row>
    <row r="3702" spans="1:7" x14ac:dyDescent="0.3">
      <c r="A3702" t="s">
        <v>30</v>
      </c>
      <c r="B3702">
        <v>2016</v>
      </c>
      <c r="C3702" t="s">
        <v>45</v>
      </c>
      <c r="D3702" s="2">
        <v>42675</v>
      </c>
      <c r="E3702" t="s">
        <v>24</v>
      </c>
      <c r="F3702">
        <v>118.2</v>
      </c>
      <c r="G3702" t="str">
        <f>VLOOKUP(Table1_2[[#This Row],[Categories]],Sheet3!$A$1:$B$27,2,FALSE)</f>
        <v>Transport and communication</v>
      </c>
    </row>
    <row r="3703" spans="1:7" x14ac:dyDescent="0.3">
      <c r="A3703" t="s">
        <v>30</v>
      </c>
      <c r="B3703">
        <v>2016</v>
      </c>
      <c r="C3703" t="s">
        <v>45</v>
      </c>
      <c r="D3703" s="2">
        <v>42675</v>
      </c>
      <c r="E3703" t="s">
        <v>25</v>
      </c>
      <c r="F3703">
        <v>126.9</v>
      </c>
      <c r="G3703" t="str">
        <f>VLOOKUP(Table1_2[[#This Row],[Categories]],Sheet3!$A$1:$B$27,2,FALSE)</f>
        <v>Recreation and amusement</v>
      </c>
    </row>
    <row r="3704" spans="1:7" x14ac:dyDescent="0.3">
      <c r="A3704" t="s">
        <v>30</v>
      </c>
      <c r="B3704">
        <v>2016</v>
      </c>
      <c r="C3704" t="s">
        <v>45</v>
      </c>
      <c r="D3704" s="2">
        <v>42675</v>
      </c>
      <c r="E3704" t="s">
        <v>26</v>
      </c>
      <c r="F3704">
        <v>133.69999999999999</v>
      </c>
      <c r="G3704" t="str">
        <f>VLOOKUP(Table1_2[[#This Row],[Categories]],Sheet3!$A$1:$B$27,2,FALSE)</f>
        <v>Education</v>
      </c>
    </row>
    <row r="3705" spans="1:7" x14ac:dyDescent="0.3">
      <c r="A3705" t="s">
        <v>30</v>
      </c>
      <c r="B3705">
        <v>2016</v>
      </c>
      <c r="C3705" t="s">
        <v>45</v>
      </c>
      <c r="D3705" s="2">
        <v>42675</v>
      </c>
      <c r="E3705" t="s">
        <v>27</v>
      </c>
      <c r="F3705">
        <v>123.5</v>
      </c>
      <c r="G3705" t="str">
        <f>VLOOKUP(Table1_2[[#This Row],[Categories]],Sheet3!$A$1:$B$27,2,FALSE)</f>
        <v>Household Items</v>
      </c>
    </row>
    <row r="3706" spans="1:7" x14ac:dyDescent="0.3">
      <c r="A3706" t="s">
        <v>30</v>
      </c>
      <c r="B3706">
        <v>2016</v>
      </c>
      <c r="C3706" t="s">
        <v>45</v>
      </c>
      <c r="D3706" s="2">
        <v>42675</v>
      </c>
      <c r="E3706" t="s">
        <v>28</v>
      </c>
      <c r="F3706">
        <v>126.1</v>
      </c>
      <c r="G3706" t="str">
        <f>VLOOKUP(Table1_2[[#This Row],[Categories]],Sheet3!$A$1:$B$27,2,FALSE)</f>
        <v>Miscellaneous</v>
      </c>
    </row>
    <row r="3707" spans="1:7" x14ac:dyDescent="0.3">
      <c r="A3707" t="s">
        <v>30</v>
      </c>
      <c r="B3707">
        <v>2016</v>
      </c>
      <c r="C3707" t="s">
        <v>45</v>
      </c>
      <c r="D3707" s="2">
        <v>42675</v>
      </c>
      <c r="E3707" t="s">
        <v>29</v>
      </c>
      <c r="F3707">
        <v>133.6</v>
      </c>
      <c r="G3707" t="str">
        <f>VLOOKUP(Table1_2[[#This Row],[Categories]],Sheet3!$A$1:$B$27,2,FALSE)</f>
        <v>General index</v>
      </c>
    </row>
    <row r="3708" spans="1:7" x14ac:dyDescent="0.3">
      <c r="A3708" t="s">
        <v>33</v>
      </c>
      <c r="B3708">
        <v>2016</v>
      </c>
      <c r="C3708" t="s">
        <v>45</v>
      </c>
      <c r="D3708" s="2">
        <v>42675</v>
      </c>
      <c r="E3708" t="s">
        <v>3</v>
      </c>
      <c r="F3708">
        <v>130.19999999999999</v>
      </c>
      <c r="G3708" t="str">
        <f>VLOOKUP(Table1_2[[#This Row],[Categories]],Sheet3!$A$1:$B$27,2,FALSE)</f>
        <v>Food &amp;Beverage</v>
      </c>
    </row>
    <row r="3709" spans="1:7" x14ac:dyDescent="0.3">
      <c r="A3709" t="s">
        <v>33</v>
      </c>
      <c r="B3709">
        <v>2016</v>
      </c>
      <c r="C3709" t="s">
        <v>45</v>
      </c>
      <c r="D3709" s="2">
        <v>42675</v>
      </c>
      <c r="E3709" t="s">
        <v>4</v>
      </c>
      <c r="F3709">
        <v>138.5</v>
      </c>
      <c r="G3709" t="str">
        <f>VLOOKUP(Table1_2[[#This Row],[Categories]],Sheet3!$A$1:$B$27,2,FALSE)</f>
        <v>Food &amp;Beverage</v>
      </c>
    </row>
    <row r="3710" spans="1:7" x14ac:dyDescent="0.3">
      <c r="A3710" t="s">
        <v>33</v>
      </c>
      <c r="B3710">
        <v>2016</v>
      </c>
      <c r="C3710" t="s">
        <v>45</v>
      </c>
      <c r="D3710" s="2">
        <v>42675</v>
      </c>
      <c r="E3710" t="s">
        <v>5</v>
      </c>
      <c r="F3710">
        <v>134.1</v>
      </c>
      <c r="G3710" t="str">
        <f>VLOOKUP(Table1_2[[#This Row],[Categories]],Sheet3!$A$1:$B$27,2,FALSE)</f>
        <v>Food &amp;Beverage</v>
      </c>
    </row>
    <row r="3711" spans="1:7" x14ac:dyDescent="0.3">
      <c r="A3711" t="s">
        <v>33</v>
      </c>
      <c r="B3711">
        <v>2016</v>
      </c>
      <c r="C3711" t="s">
        <v>45</v>
      </c>
      <c r="D3711" s="2">
        <v>42675</v>
      </c>
      <c r="E3711" t="s">
        <v>6</v>
      </c>
      <c r="F3711">
        <v>132.9</v>
      </c>
      <c r="G3711" t="str">
        <f>VLOOKUP(Table1_2[[#This Row],[Categories]],Sheet3!$A$1:$B$27,2,FALSE)</f>
        <v>Food &amp;Beverage</v>
      </c>
    </row>
    <row r="3712" spans="1:7" x14ac:dyDescent="0.3">
      <c r="A3712" t="s">
        <v>33</v>
      </c>
      <c r="B3712">
        <v>2016</v>
      </c>
      <c r="C3712" t="s">
        <v>45</v>
      </c>
      <c r="D3712" s="2">
        <v>42675</v>
      </c>
      <c r="E3712" t="s">
        <v>7</v>
      </c>
      <c r="F3712">
        <v>112.6</v>
      </c>
      <c r="G3712" t="str">
        <f>VLOOKUP(Table1_2[[#This Row],[Categories]],Sheet3!$A$1:$B$27,2,FALSE)</f>
        <v>Food &amp;Beverage</v>
      </c>
    </row>
    <row r="3713" spans="1:7" x14ac:dyDescent="0.3">
      <c r="A3713" t="s">
        <v>33</v>
      </c>
      <c r="B3713">
        <v>2016</v>
      </c>
      <c r="C3713" t="s">
        <v>45</v>
      </c>
      <c r="D3713" s="2">
        <v>42675</v>
      </c>
      <c r="E3713" t="s">
        <v>8</v>
      </c>
      <c r="F3713">
        <v>130.80000000000001</v>
      </c>
      <c r="G3713" t="str">
        <f>VLOOKUP(Table1_2[[#This Row],[Categories]],Sheet3!$A$1:$B$27,2,FALSE)</f>
        <v>Food &amp;Beverage</v>
      </c>
    </row>
    <row r="3714" spans="1:7" x14ac:dyDescent="0.3">
      <c r="A3714" t="s">
        <v>33</v>
      </c>
      <c r="B3714">
        <v>2016</v>
      </c>
      <c r="C3714" t="s">
        <v>45</v>
      </c>
      <c r="D3714" s="2">
        <v>42675</v>
      </c>
      <c r="E3714" t="s">
        <v>9</v>
      </c>
      <c r="F3714">
        <v>142</v>
      </c>
      <c r="G3714" t="str">
        <f>VLOOKUP(Table1_2[[#This Row],[Categories]],Sheet3!$A$1:$B$27,2,FALSE)</f>
        <v>Food &amp;Beverage</v>
      </c>
    </row>
    <row r="3715" spans="1:7" x14ac:dyDescent="0.3">
      <c r="A3715" t="s">
        <v>33</v>
      </c>
      <c r="B3715">
        <v>2016</v>
      </c>
      <c r="C3715" t="s">
        <v>45</v>
      </c>
      <c r="D3715" s="2">
        <v>42675</v>
      </c>
      <c r="E3715" t="s">
        <v>10</v>
      </c>
      <c r="F3715">
        <v>174.9</v>
      </c>
      <c r="G3715" t="str">
        <f>VLOOKUP(Table1_2[[#This Row],[Categories]],Sheet3!$A$1:$B$27,2,FALSE)</f>
        <v>Food &amp;Beverage</v>
      </c>
    </row>
    <row r="3716" spans="1:7" x14ac:dyDescent="0.3">
      <c r="A3716" t="s">
        <v>33</v>
      </c>
      <c r="B3716">
        <v>2016</v>
      </c>
      <c r="C3716" t="s">
        <v>45</v>
      </c>
      <c r="D3716" s="2">
        <v>42675</v>
      </c>
      <c r="E3716" t="s">
        <v>11</v>
      </c>
      <c r="F3716">
        <v>115.6</v>
      </c>
      <c r="G3716" t="str">
        <f>VLOOKUP(Table1_2[[#This Row],[Categories]],Sheet3!$A$1:$B$27,2,FALSE)</f>
        <v>Food &amp;Beverage</v>
      </c>
    </row>
    <row r="3717" spans="1:7" x14ac:dyDescent="0.3">
      <c r="A3717" t="s">
        <v>33</v>
      </c>
      <c r="B3717">
        <v>2016</v>
      </c>
      <c r="C3717" t="s">
        <v>45</v>
      </c>
      <c r="D3717" s="2">
        <v>42675</v>
      </c>
      <c r="E3717" t="s">
        <v>12</v>
      </c>
      <c r="F3717">
        <v>145.4</v>
      </c>
      <c r="G3717" t="str">
        <f>VLOOKUP(Table1_2[[#This Row],[Categories]],Sheet3!$A$1:$B$27,2,FALSE)</f>
        <v>Food &amp;Beverage</v>
      </c>
    </row>
    <row r="3718" spans="1:7" x14ac:dyDescent="0.3">
      <c r="A3718" t="s">
        <v>33</v>
      </c>
      <c r="B3718">
        <v>2016</v>
      </c>
      <c r="C3718" t="s">
        <v>45</v>
      </c>
      <c r="D3718" s="2">
        <v>42675</v>
      </c>
      <c r="E3718" t="s">
        <v>13</v>
      </c>
      <c r="F3718">
        <v>122.7</v>
      </c>
      <c r="G3718" t="str">
        <f>VLOOKUP(Table1_2[[#This Row],[Categories]],Sheet3!$A$1:$B$27,2,FALSE)</f>
        <v>Food &amp;Beverage</v>
      </c>
    </row>
    <row r="3719" spans="1:7" x14ac:dyDescent="0.3">
      <c r="A3719" t="s">
        <v>33</v>
      </c>
      <c r="B3719">
        <v>2016</v>
      </c>
      <c r="C3719" t="s">
        <v>45</v>
      </c>
      <c r="D3719" s="2">
        <v>42675</v>
      </c>
      <c r="E3719" t="s">
        <v>14</v>
      </c>
      <c r="F3719">
        <v>140.30000000000001</v>
      </c>
      <c r="G3719" t="str">
        <f>VLOOKUP(Table1_2[[#This Row],[Categories]],Sheet3!$A$1:$B$27,2,FALSE)</f>
        <v>Food &amp;Beverage</v>
      </c>
    </row>
    <row r="3720" spans="1:7" x14ac:dyDescent="0.3">
      <c r="A3720" t="s">
        <v>33</v>
      </c>
      <c r="B3720">
        <v>2016</v>
      </c>
      <c r="C3720" t="s">
        <v>45</v>
      </c>
      <c r="D3720" s="2">
        <v>42675</v>
      </c>
      <c r="E3720" t="s">
        <v>15</v>
      </c>
      <c r="F3720">
        <v>135.19999999999999</v>
      </c>
      <c r="G3720" t="str">
        <f>VLOOKUP(Table1_2[[#This Row],[Categories]],Sheet3!$A$1:$B$27,2,FALSE)</f>
        <v>Food &amp;Beverage</v>
      </c>
    </row>
    <row r="3721" spans="1:7" x14ac:dyDescent="0.3">
      <c r="A3721" t="s">
        <v>33</v>
      </c>
      <c r="B3721">
        <v>2016</v>
      </c>
      <c r="C3721" t="s">
        <v>45</v>
      </c>
      <c r="D3721" s="2">
        <v>42675</v>
      </c>
      <c r="E3721" t="s">
        <v>16</v>
      </c>
      <c r="F3721">
        <v>144.30000000000001</v>
      </c>
      <c r="G3721" t="str">
        <f>VLOOKUP(Table1_2[[#This Row],[Categories]],Sheet3!$A$1:$B$27,2,FALSE)</f>
        <v>Recreation and amusement</v>
      </c>
    </row>
    <row r="3722" spans="1:7" x14ac:dyDescent="0.3">
      <c r="A3722" t="s">
        <v>33</v>
      </c>
      <c r="B3722">
        <v>2016</v>
      </c>
      <c r="C3722" t="s">
        <v>45</v>
      </c>
      <c r="D3722" s="2">
        <v>42675</v>
      </c>
      <c r="E3722" t="s">
        <v>17</v>
      </c>
      <c r="F3722">
        <v>129.6</v>
      </c>
      <c r="G3722" t="str">
        <f>VLOOKUP(Table1_2[[#This Row],[Categories]],Sheet3!$A$1:$B$27,2,FALSE)</f>
        <v>Clothing and footwear</v>
      </c>
    </row>
    <row r="3723" spans="1:7" x14ac:dyDescent="0.3">
      <c r="A3723" t="s">
        <v>33</v>
      </c>
      <c r="B3723">
        <v>2016</v>
      </c>
      <c r="C3723" t="s">
        <v>45</v>
      </c>
      <c r="D3723" s="2">
        <v>42675</v>
      </c>
      <c r="E3723" t="s">
        <v>18</v>
      </c>
      <c r="F3723">
        <v>122.1</v>
      </c>
      <c r="G3723" t="str">
        <f>VLOOKUP(Table1_2[[#This Row],[Categories]],Sheet3!$A$1:$B$27,2,FALSE)</f>
        <v>Clothing and footwear</v>
      </c>
    </row>
    <row r="3724" spans="1:7" x14ac:dyDescent="0.3">
      <c r="A3724" t="s">
        <v>33</v>
      </c>
      <c r="B3724">
        <v>2016</v>
      </c>
      <c r="C3724" t="s">
        <v>45</v>
      </c>
      <c r="D3724" s="2">
        <v>42675</v>
      </c>
      <c r="E3724" t="s">
        <v>19</v>
      </c>
      <c r="F3724">
        <v>128.5</v>
      </c>
      <c r="G3724" t="str">
        <f>VLOOKUP(Table1_2[[#This Row],[Categories]],Sheet3!$A$1:$B$27,2,FALSE)</f>
        <v>Clothing and footwear</v>
      </c>
    </row>
    <row r="3725" spans="1:7" x14ac:dyDescent="0.3">
      <c r="A3725" t="s">
        <v>33</v>
      </c>
      <c r="B3725">
        <v>2016</v>
      </c>
      <c r="C3725" t="s">
        <v>45</v>
      </c>
      <c r="D3725" s="2">
        <v>42675</v>
      </c>
      <c r="E3725" t="s">
        <v>20</v>
      </c>
      <c r="F3725">
        <v>129.1</v>
      </c>
      <c r="G3725" t="str">
        <f>VLOOKUP(Table1_2[[#This Row],[Categories]],Sheet3!$A$1:$B$27,2,FALSE)</f>
        <v>Housing</v>
      </c>
    </row>
    <row r="3726" spans="1:7" x14ac:dyDescent="0.3">
      <c r="A3726" t="s">
        <v>33</v>
      </c>
      <c r="B3726">
        <v>2016</v>
      </c>
      <c r="C3726" t="s">
        <v>45</v>
      </c>
      <c r="D3726" s="2">
        <v>42675</v>
      </c>
      <c r="E3726" t="s">
        <v>21</v>
      </c>
      <c r="F3726">
        <v>116.2</v>
      </c>
      <c r="G3726" t="str">
        <f>VLOOKUP(Table1_2[[#This Row],[Categories]],Sheet3!$A$1:$B$27,2,FALSE)</f>
        <v>Fuel and light</v>
      </c>
    </row>
    <row r="3727" spans="1:7" x14ac:dyDescent="0.3">
      <c r="A3727" t="s">
        <v>33</v>
      </c>
      <c r="B3727">
        <v>2016</v>
      </c>
      <c r="C3727" t="s">
        <v>45</v>
      </c>
      <c r="D3727" s="2">
        <v>42675</v>
      </c>
      <c r="E3727" t="s">
        <v>22</v>
      </c>
      <c r="F3727">
        <v>124.7</v>
      </c>
      <c r="G3727" t="str">
        <f>VLOOKUP(Table1_2[[#This Row],[Categories]],Sheet3!$A$1:$B$27,2,FALSE)</f>
        <v>Household Items</v>
      </c>
    </row>
    <row r="3728" spans="1:7" x14ac:dyDescent="0.3">
      <c r="A3728" t="s">
        <v>33</v>
      </c>
      <c r="B3728">
        <v>2016</v>
      </c>
      <c r="C3728" t="s">
        <v>45</v>
      </c>
      <c r="D3728" s="2">
        <v>42675</v>
      </c>
      <c r="E3728" t="s">
        <v>23</v>
      </c>
      <c r="F3728">
        <v>122.1</v>
      </c>
      <c r="G3728" t="str">
        <f>VLOOKUP(Table1_2[[#This Row],[Categories]],Sheet3!$A$1:$B$27,2,FALSE)</f>
        <v>Health</v>
      </c>
    </row>
    <row r="3729" spans="1:7" x14ac:dyDescent="0.3">
      <c r="A3729" t="s">
        <v>33</v>
      </c>
      <c r="B3729">
        <v>2016</v>
      </c>
      <c r="C3729" t="s">
        <v>45</v>
      </c>
      <c r="D3729" s="2">
        <v>42675</v>
      </c>
      <c r="E3729" t="s">
        <v>24</v>
      </c>
      <c r="F3729">
        <v>113.4</v>
      </c>
      <c r="G3729" t="str">
        <f>VLOOKUP(Table1_2[[#This Row],[Categories]],Sheet3!$A$1:$B$27,2,FALSE)</f>
        <v>Transport and communication</v>
      </c>
    </row>
    <row r="3730" spans="1:7" x14ac:dyDescent="0.3">
      <c r="A3730" t="s">
        <v>33</v>
      </c>
      <c r="B3730">
        <v>2016</v>
      </c>
      <c r="C3730" t="s">
        <v>45</v>
      </c>
      <c r="D3730" s="2">
        <v>42675</v>
      </c>
      <c r="E3730" t="s">
        <v>25</v>
      </c>
      <c r="F3730">
        <v>121.7</v>
      </c>
      <c r="G3730" t="str">
        <f>VLOOKUP(Table1_2[[#This Row],[Categories]],Sheet3!$A$1:$B$27,2,FALSE)</f>
        <v>Recreation and amusement</v>
      </c>
    </row>
    <row r="3731" spans="1:7" x14ac:dyDescent="0.3">
      <c r="A3731" t="s">
        <v>33</v>
      </c>
      <c r="B3731">
        <v>2016</v>
      </c>
      <c r="C3731" t="s">
        <v>45</v>
      </c>
      <c r="D3731" s="2">
        <v>42675</v>
      </c>
      <c r="E3731" t="s">
        <v>26</v>
      </c>
      <c r="F3731">
        <v>132.1</v>
      </c>
      <c r="G3731" t="str">
        <f>VLOOKUP(Table1_2[[#This Row],[Categories]],Sheet3!$A$1:$B$27,2,FALSE)</f>
        <v>Education</v>
      </c>
    </row>
    <row r="3732" spans="1:7" x14ac:dyDescent="0.3">
      <c r="A3732" t="s">
        <v>33</v>
      </c>
      <c r="B3732">
        <v>2016</v>
      </c>
      <c r="C3732" t="s">
        <v>45</v>
      </c>
      <c r="D3732" s="2">
        <v>42675</v>
      </c>
      <c r="E3732" t="s">
        <v>27</v>
      </c>
      <c r="F3732">
        <v>121.3</v>
      </c>
      <c r="G3732" t="str">
        <f>VLOOKUP(Table1_2[[#This Row],[Categories]],Sheet3!$A$1:$B$27,2,FALSE)</f>
        <v>Household Items</v>
      </c>
    </row>
    <row r="3733" spans="1:7" x14ac:dyDescent="0.3">
      <c r="A3733" t="s">
        <v>33</v>
      </c>
      <c r="B3733">
        <v>2016</v>
      </c>
      <c r="C3733" t="s">
        <v>45</v>
      </c>
      <c r="D3733" s="2">
        <v>42675</v>
      </c>
      <c r="E3733" t="s">
        <v>28</v>
      </c>
      <c r="F3733">
        <v>121.3</v>
      </c>
      <c r="G3733" t="str">
        <f>VLOOKUP(Table1_2[[#This Row],[Categories]],Sheet3!$A$1:$B$27,2,FALSE)</f>
        <v>Miscellaneous</v>
      </c>
    </row>
    <row r="3734" spans="1:7" x14ac:dyDescent="0.3">
      <c r="A3734" t="s">
        <v>33</v>
      </c>
      <c r="B3734">
        <v>2016</v>
      </c>
      <c r="C3734" t="s">
        <v>45</v>
      </c>
      <c r="D3734" s="2">
        <v>42675</v>
      </c>
      <c r="E3734" t="s">
        <v>29</v>
      </c>
      <c r="F3734">
        <v>128.5</v>
      </c>
      <c r="G3734" t="str">
        <f>VLOOKUP(Table1_2[[#This Row],[Categories]],Sheet3!$A$1:$B$27,2,FALSE)</f>
        <v>General index</v>
      </c>
    </row>
    <row r="3735" spans="1:7" x14ac:dyDescent="0.3">
      <c r="A3735" t="s">
        <v>34</v>
      </c>
      <c r="B3735">
        <v>2016</v>
      </c>
      <c r="C3735" t="s">
        <v>45</v>
      </c>
      <c r="D3735" s="2">
        <v>42675</v>
      </c>
      <c r="E3735" t="s">
        <v>3</v>
      </c>
      <c r="F3735">
        <v>131.4</v>
      </c>
      <c r="G3735" t="str">
        <f>VLOOKUP(Table1_2[[#This Row],[Categories]],Sheet3!$A$1:$B$27,2,FALSE)</f>
        <v>Food &amp;Beverage</v>
      </c>
    </row>
    <row r="3736" spans="1:7" x14ac:dyDescent="0.3">
      <c r="A3736" t="s">
        <v>34</v>
      </c>
      <c r="B3736">
        <v>2016</v>
      </c>
      <c r="C3736" t="s">
        <v>45</v>
      </c>
      <c r="D3736" s="2">
        <v>42675</v>
      </c>
      <c r="E3736" t="s">
        <v>4</v>
      </c>
      <c r="F3736">
        <v>137.80000000000001</v>
      </c>
      <c r="G3736" t="str">
        <f>VLOOKUP(Table1_2[[#This Row],[Categories]],Sheet3!$A$1:$B$27,2,FALSE)</f>
        <v>Food &amp;Beverage</v>
      </c>
    </row>
    <row r="3737" spans="1:7" x14ac:dyDescent="0.3">
      <c r="A3737" t="s">
        <v>34</v>
      </c>
      <c r="B3737">
        <v>2016</v>
      </c>
      <c r="C3737" t="s">
        <v>45</v>
      </c>
      <c r="D3737" s="2">
        <v>42675</v>
      </c>
      <c r="E3737" t="s">
        <v>5</v>
      </c>
      <c r="F3737">
        <v>132</v>
      </c>
      <c r="G3737" t="str">
        <f>VLOOKUP(Table1_2[[#This Row],[Categories]],Sheet3!$A$1:$B$27,2,FALSE)</f>
        <v>Food &amp;Beverage</v>
      </c>
    </row>
    <row r="3738" spans="1:7" x14ac:dyDescent="0.3">
      <c r="A3738" t="s">
        <v>34</v>
      </c>
      <c r="B3738">
        <v>2016</v>
      </c>
      <c r="C3738" t="s">
        <v>45</v>
      </c>
      <c r="D3738" s="2">
        <v>42675</v>
      </c>
      <c r="E3738" t="s">
        <v>6</v>
      </c>
      <c r="F3738">
        <v>135</v>
      </c>
      <c r="G3738" t="str">
        <f>VLOOKUP(Table1_2[[#This Row],[Categories]],Sheet3!$A$1:$B$27,2,FALSE)</f>
        <v>Food &amp;Beverage</v>
      </c>
    </row>
    <row r="3739" spans="1:7" x14ac:dyDescent="0.3">
      <c r="A3739" t="s">
        <v>34</v>
      </c>
      <c r="B3739">
        <v>2016</v>
      </c>
      <c r="C3739" t="s">
        <v>45</v>
      </c>
      <c r="D3739" s="2">
        <v>42675</v>
      </c>
      <c r="E3739" t="s">
        <v>7</v>
      </c>
      <c r="F3739">
        <v>118</v>
      </c>
      <c r="G3739" t="str">
        <f>VLOOKUP(Table1_2[[#This Row],[Categories]],Sheet3!$A$1:$B$27,2,FALSE)</f>
        <v>Food &amp;Beverage</v>
      </c>
    </row>
    <row r="3740" spans="1:7" x14ac:dyDescent="0.3">
      <c r="A3740" t="s">
        <v>34</v>
      </c>
      <c r="B3740">
        <v>2016</v>
      </c>
      <c r="C3740" t="s">
        <v>45</v>
      </c>
      <c r="D3740" s="2">
        <v>42675</v>
      </c>
      <c r="E3740" t="s">
        <v>8</v>
      </c>
      <c r="F3740">
        <v>134.1</v>
      </c>
      <c r="G3740" t="str">
        <f>VLOOKUP(Table1_2[[#This Row],[Categories]],Sheet3!$A$1:$B$27,2,FALSE)</f>
        <v>Food &amp;Beverage</v>
      </c>
    </row>
    <row r="3741" spans="1:7" x14ac:dyDescent="0.3">
      <c r="A3741" t="s">
        <v>34</v>
      </c>
      <c r="B3741">
        <v>2016</v>
      </c>
      <c r="C3741" t="s">
        <v>45</v>
      </c>
      <c r="D3741" s="2">
        <v>42675</v>
      </c>
      <c r="E3741" t="s">
        <v>9</v>
      </c>
      <c r="F3741">
        <v>141.9</v>
      </c>
      <c r="G3741" t="str">
        <f>VLOOKUP(Table1_2[[#This Row],[Categories]],Sheet3!$A$1:$B$27,2,FALSE)</f>
        <v>Food &amp;Beverage</v>
      </c>
    </row>
    <row r="3742" spans="1:7" x14ac:dyDescent="0.3">
      <c r="A3742" t="s">
        <v>34</v>
      </c>
      <c r="B3742">
        <v>2016</v>
      </c>
      <c r="C3742" t="s">
        <v>45</v>
      </c>
      <c r="D3742" s="2">
        <v>42675</v>
      </c>
      <c r="E3742" t="s">
        <v>10</v>
      </c>
      <c r="F3742">
        <v>171.7</v>
      </c>
      <c r="G3742" t="str">
        <f>VLOOKUP(Table1_2[[#This Row],[Categories]],Sheet3!$A$1:$B$27,2,FALSE)</f>
        <v>Food &amp;Beverage</v>
      </c>
    </row>
    <row r="3743" spans="1:7" x14ac:dyDescent="0.3">
      <c r="A3743" t="s">
        <v>34</v>
      </c>
      <c r="B3743">
        <v>2016</v>
      </c>
      <c r="C3743" t="s">
        <v>45</v>
      </c>
      <c r="D3743" s="2">
        <v>42675</v>
      </c>
      <c r="E3743" t="s">
        <v>11</v>
      </c>
      <c r="F3743">
        <v>114.1</v>
      </c>
      <c r="G3743" t="str">
        <f>VLOOKUP(Table1_2[[#This Row],[Categories]],Sheet3!$A$1:$B$27,2,FALSE)</f>
        <v>Food &amp;Beverage</v>
      </c>
    </row>
    <row r="3744" spans="1:7" x14ac:dyDescent="0.3">
      <c r="A3744" t="s">
        <v>34</v>
      </c>
      <c r="B3744">
        <v>2016</v>
      </c>
      <c r="C3744" t="s">
        <v>45</v>
      </c>
      <c r="D3744" s="2">
        <v>42675</v>
      </c>
      <c r="E3744" t="s">
        <v>12</v>
      </c>
      <c r="F3744">
        <v>139.69999999999999</v>
      </c>
      <c r="G3744" t="str">
        <f>VLOOKUP(Table1_2[[#This Row],[Categories]],Sheet3!$A$1:$B$27,2,FALSE)</f>
        <v>Food &amp;Beverage</v>
      </c>
    </row>
    <row r="3745" spans="1:7" x14ac:dyDescent="0.3">
      <c r="A3745" t="s">
        <v>34</v>
      </c>
      <c r="B3745">
        <v>2016</v>
      </c>
      <c r="C3745" t="s">
        <v>45</v>
      </c>
      <c r="D3745" s="2">
        <v>42675</v>
      </c>
      <c r="E3745" t="s">
        <v>13</v>
      </c>
      <c r="F3745">
        <v>126.2</v>
      </c>
      <c r="G3745" t="str">
        <f>VLOOKUP(Table1_2[[#This Row],[Categories]],Sheet3!$A$1:$B$27,2,FALSE)</f>
        <v>Food &amp;Beverage</v>
      </c>
    </row>
    <row r="3746" spans="1:7" x14ac:dyDescent="0.3">
      <c r="A3746" t="s">
        <v>34</v>
      </c>
      <c r="B3746">
        <v>2016</v>
      </c>
      <c r="C3746" t="s">
        <v>45</v>
      </c>
      <c r="D3746" s="2">
        <v>42675</v>
      </c>
      <c r="E3746" t="s">
        <v>14</v>
      </c>
      <c r="F3746">
        <v>141.80000000000001</v>
      </c>
      <c r="G3746" t="str">
        <f>VLOOKUP(Table1_2[[#This Row],[Categories]],Sheet3!$A$1:$B$27,2,FALSE)</f>
        <v>Food &amp;Beverage</v>
      </c>
    </row>
    <row r="3747" spans="1:7" x14ac:dyDescent="0.3">
      <c r="A3747" t="s">
        <v>34</v>
      </c>
      <c r="B3747">
        <v>2016</v>
      </c>
      <c r="C3747" t="s">
        <v>45</v>
      </c>
      <c r="D3747" s="2">
        <v>42675</v>
      </c>
      <c r="E3747" t="s">
        <v>15</v>
      </c>
      <c r="F3747">
        <v>136.1</v>
      </c>
      <c r="G3747" t="str">
        <f>VLOOKUP(Table1_2[[#This Row],[Categories]],Sheet3!$A$1:$B$27,2,FALSE)</f>
        <v>Food &amp;Beverage</v>
      </c>
    </row>
    <row r="3748" spans="1:7" x14ac:dyDescent="0.3">
      <c r="A3748" t="s">
        <v>34</v>
      </c>
      <c r="B3748">
        <v>2016</v>
      </c>
      <c r="C3748" t="s">
        <v>45</v>
      </c>
      <c r="D3748" s="2">
        <v>42675</v>
      </c>
      <c r="E3748" t="s">
        <v>16</v>
      </c>
      <c r="F3748">
        <v>142</v>
      </c>
      <c r="G3748" t="str">
        <f>VLOOKUP(Table1_2[[#This Row],[Categories]],Sheet3!$A$1:$B$27,2,FALSE)</f>
        <v>Recreation and amusement</v>
      </c>
    </row>
    <row r="3749" spans="1:7" x14ac:dyDescent="0.3">
      <c r="A3749" t="s">
        <v>34</v>
      </c>
      <c r="B3749">
        <v>2016</v>
      </c>
      <c r="C3749" t="s">
        <v>45</v>
      </c>
      <c r="D3749" s="2">
        <v>42675</v>
      </c>
      <c r="E3749" t="s">
        <v>17</v>
      </c>
      <c r="F3749">
        <v>135.80000000000001</v>
      </c>
      <c r="G3749" t="str">
        <f>VLOOKUP(Table1_2[[#This Row],[Categories]],Sheet3!$A$1:$B$27,2,FALSE)</f>
        <v>Clothing and footwear</v>
      </c>
    </row>
    <row r="3750" spans="1:7" x14ac:dyDescent="0.3">
      <c r="A3750" t="s">
        <v>34</v>
      </c>
      <c r="B3750">
        <v>2016</v>
      </c>
      <c r="C3750" t="s">
        <v>45</v>
      </c>
      <c r="D3750" s="2">
        <v>42675</v>
      </c>
      <c r="E3750" t="s">
        <v>18</v>
      </c>
      <c r="F3750">
        <v>129.30000000000001</v>
      </c>
      <c r="G3750" t="str">
        <f>VLOOKUP(Table1_2[[#This Row],[Categories]],Sheet3!$A$1:$B$27,2,FALSE)</f>
        <v>Clothing and footwear</v>
      </c>
    </row>
    <row r="3751" spans="1:7" x14ac:dyDescent="0.3">
      <c r="A3751" t="s">
        <v>34</v>
      </c>
      <c r="B3751">
        <v>2016</v>
      </c>
      <c r="C3751" t="s">
        <v>45</v>
      </c>
      <c r="D3751" s="2">
        <v>42675</v>
      </c>
      <c r="E3751" t="s">
        <v>19</v>
      </c>
      <c r="F3751">
        <v>135</v>
      </c>
      <c r="G3751" t="str">
        <f>VLOOKUP(Table1_2[[#This Row],[Categories]],Sheet3!$A$1:$B$27,2,FALSE)</f>
        <v>Clothing and footwear</v>
      </c>
    </row>
    <row r="3752" spans="1:7" x14ac:dyDescent="0.3">
      <c r="A3752" t="s">
        <v>34</v>
      </c>
      <c r="B3752">
        <v>2016</v>
      </c>
      <c r="C3752" t="s">
        <v>45</v>
      </c>
      <c r="D3752" s="2">
        <v>42675</v>
      </c>
      <c r="E3752" t="s">
        <v>20</v>
      </c>
      <c r="F3752">
        <v>129.1</v>
      </c>
      <c r="G3752" t="str">
        <f>VLOOKUP(Table1_2[[#This Row],[Categories]],Sheet3!$A$1:$B$27,2,FALSE)</f>
        <v>Housing</v>
      </c>
    </row>
    <row r="3753" spans="1:7" x14ac:dyDescent="0.3">
      <c r="A3753" t="s">
        <v>34</v>
      </c>
      <c r="B3753">
        <v>2016</v>
      </c>
      <c r="C3753" t="s">
        <v>45</v>
      </c>
      <c r="D3753" s="2">
        <v>42675</v>
      </c>
      <c r="E3753" t="s">
        <v>21</v>
      </c>
      <c r="F3753">
        <v>125</v>
      </c>
      <c r="G3753" t="str">
        <f>VLOOKUP(Table1_2[[#This Row],[Categories]],Sheet3!$A$1:$B$27,2,FALSE)</f>
        <v>Fuel and light</v>
      </c>
    </row>
    <row r="3754" spans="1:7" x14ac:dyDescent="0.3">
      <c r="A3754" t="s">
        <v>34</v>
      </c>
      <c r="B3754">
        <v>2016</v>
      </c>
      <c r="C3754" t="s">
        <v>45</v>
      </c>
      <c r="D3754" s="2">
        <v>42675</v>
      </c>
      <c r="E3754" t="s">
        <v>22</v>
      </c>
      <c r="F3754">
        <v>128.6</v>
      </c>
      <c r="G3754" t="str">
        <f>VLOOKUP(Table1_2[[#This Row],[Categories]],Sheet3!$A$1:$B$27,2,FALSE)</f>
        <v>Household Items</v>
      </c>
    </row>
    <row r="3755" spans="1:7" x14ac:dyDescent="0.3">
      <c r="A3755" t="s">
        <v>34</v>
      </c>
      <c r="B3755">
        <v>2016</v>
      </c>
      <c r="C3755" t="s">
        <v>45</v>
      </c>
      <c r="D3755" s="2">
        <v>42675</v>
      </c>
      <c r="E3755" t="s">
        <v>23</v>
      </c>
      <c r="F3755">
        <v>126.4</v>
      </c>
      <c r="G3755" t="str">
        <f>VLOOKUP(Table1_2[[#This Row],[Categories]],Sheet3!$A$1:$B$27,2,FALSE)</f>
        <v>Health</v>
      </c>
    </row>
    <row r="3756" spans="1:7" x14ac:dyDescent="0.3">
      <c r="A3756" t="s">
        <v>34</v>
      </c>
      <c r="B3756">
        <v>2016</v>
      </c>
      <c r="C3756" t="s">
        <v>45</v>
      </c>
      <c r="D3756" s="2">
        <v>42675</v>
      </c>
      <c r="E3756" t="s">
        <v>24</v>
      </c>
      <c r="F3756">
        <v>115.7</v>
      </c>
      <c r="G3756" t="str">
        <f>VLOOKUP(Table1_2[[#This Row],[Categories]],Sheet3!$A$1:$B$27,2,FALSE)</f>
        <v>Transport and communication</v>
      </c>
    </row>
    <row r="3757" spans="1:7" x14ac:dyDescent="0.3">
      <c r="A3757" t="s">
        <v>34</v>
      </c>
      <c r="B3757">
        <v>2016</v>
      </c>
      <c r="C3757" t="s">
        <v>45</v>
      </c>
      <c r="D3757" s="2">
        <v>42675</v>
      </c>
      <c r="E3757" t="s">
        <v>25</v>
      </c>
      <c r="F3757">
        <v>124</v>
      </c>
      <c r="G3757" t="str">
        <f>VLOOKUP(Table1_2[[#This Row],[Categories]],Sheet3!$A$1:$B$27,2,FALSE)</f>
        <v>Recreation and amusement</v>
      </c>
    </row>
    <row r="3758" spans="1:7" x14ac:dyDescent="0.3">
      <c r="A3758" t="s">
        <v>34</v>
      </c>
      <c r="B3758">
        <v>2016</v>
      </c>
      <c r="C3758" t="s">
        <v>45</v>
      </c>
      <c r="D3758" s="2">
        <v>42675</v>
      </c>
      <c r="E3758" t="s">
        <v>26</v>
      </c>
      <c r="F3758">
        <v>132.80000000000001</v>
      </c>
      <c r="G3758" t="str">
        <f>VLOOKUP(Table1_2[[#This Row],[Categories]],Sheet3!$A$1:$B$27,2,FALSE)</f>
        <v>Education</v>
      </c>
    </row>
    <row r="3759" spans="1:7" x14ac:dyDescent="0.3">
      <c r="A3759" t="s">
        <v>34</v>
      </c>
      <c r="B3759">
        <v>2016</v>
      </c>
      <c r="C3759" t="s">
        <v>45</v>
      </c>
      <c r="D3759" s="2">
        <v>42675</v>
      </c>
      <c r="E3759" t="s">
        <v>27</v>
      </c>
      <c r="F3759">
        <v>122.6</v>
      </c>
      <c r="G3759" t="str">
        <f>VLOOKUP(Table1_2[[#This Row],[Categories]],Sheet3!$A$1:$B$27,2,FALSE)</f>
        <v>Household Items</v>
      </c>
    </row>
    <row r="3760" spans="1:7" x14ac:dyDescent="0.3">
      <c r="A3760" t="s">
        <v>34</v>
      </c>
      <c r="B3760">
        <v>2016</v>
      </c>
      <c r="C3760" t="s">
        <v>45</v>
      </c>
      <c r="D3760" s="2">
        <v>42675</v>
      </c>
      <c r="E3760" t="s">
        <v>28</v>
      </c>
      <c r="F3760">
        <v>123.8</v>
      </c>
      <c r="G3760" t="str">
        <f>VLOOKUP(Table1_2[[#This Row],[Categories]],Sheet3!$A$1:$B$27,2,FALSE)</f>
        <v>Miscellaneous</v>
      </c>
    </row>
    <row r="3761" spans="1:7" x14ac:dyDescent="0.3">
      <c r="A3761" t="s">
        <v>34</v>
      </c>
      <c r="B3761">
        <v>2016</v>
      </c>
      <c r="C3761" t="s">
        <v>45</v>
      </c>
      <c r="D3761" s="2">
        <v>42675</v>
      </c>
      <c r="E3761" t="s">
        <v>29</v>
      </c>
      <c r="F3761">
        <v>131.19999999999999</v>
      </c>
      <c r="G3761" t="str">
        <f>VLOOKUP(Table1_2[[#This Row],[Categories]],Sheet3!$A$1:$B$27,2,FALSE)</f>
        <v>General index</v>
      </c>
    </row>
    <row r="3762" spans="1:7" x14ac:dyDescent="0.3">
      <c r="A3762" t="s">
        <v>30</v>
      </c>
      <c r="B3762">
        <v>2016</v>
      </c>
      <c r="C3762" t="s">
        <v>46</v>
      </c>
      <c r="D3762" s="2">
        <v>42705</v>
      </c>
      <c r="E3762" t="s">
        <v>3</v>
      </c>
      <c r="F3762">
        <v>132.6</v>
      </c>
      <c r="G3762" t="str">
        <f>VLOOKUP(Table1_2[[#This Row],[Categories]],Sheet3!$A$1:$B$27,2,FALSE)</f>
        <v>Food &amp;Beverage</v>
      </c>
    </row>
    <row r="3763" spans="1:7" x14ac:dyDescent="0.3">
      <c r="A3763" t="s">
        <v>30</v>
      </c>
      <c r="B3763">
        <v>2016</v>
      </c>
      <c r="C3763" t="s">
        <v>46</v>
      </c>
      <c r="D3763" s="2">
        <v>42705</v>
      </c>
      <c r="E3763" t="s">
        <v>4</v>
      </c>
      <c r="F3763">
        <v>137.30000000000001</v>
      </c>
      <c r="G3763" t="str">
        <f>VLOOKUP(Table1_2[[#This Row],[Categories]],Sheet3!$A$1:$B$27,2,FALSE)</f>
        <v>Food &amp;Beverage</v>
      </c>
    </row>
    <row r="3764" spans="1:7" x14ac:dyDescent="0.3">
      <c r="A3764" t="s">
        <v>30</v>
      </c>
      <c r="B3764">
        <v>2016</v>
      </c>
      <c r="C3764" t="s">
        <v>46</v>
      </c>
      <c r="D3764" s="2">
        <v>42705</v>
      </c>
      <c r="E3764" t="s">
        <v>5</v>
      </c>
      <c r="F3764">
        <v>131.6</v>
      </c>
      <c r="G3764" t="str">
        <f>VLOOKUP(Table1_2[[#This Row],[Categories]],Sheet3!$A$1:$B$27,2,FALSE)</f>
        <v>Food &amp;Beverage</v>
      </c>
    </row>
    <row r="3765" spans="1:7" x14ac:dyDescent="0.3">
      <c r="A3765" t="s">
        <v>30</v>
      </c>
      <c r="B3765">
        <v>2016</v>
      </c>
      <c r="C3765" t="s">
        <v>46</v>
      </c>
      <c r="D3765" s="2">
        <v>42705</v>
      </c>
      <c r="E3765" t="s">
        <v>6</v>
      </c>
      <c r="F3765">
        <v>136.30000000000001</v>
      </c>
      <c r="G3765" t="str">
        <f>VLOOKUP(Table1_2[[#This Row],[Categories]],Sheet3!$A$1:$B$27,2,FALSE)</f>
        <v>Food &amp;Beverage</v>
      </c>
    </row>
    <row r="3766" spans="1:7" x14ac:dyDescent="0.3">
      <c r="A3766" t="s">
        <v>30</v>
      </c>
      <c r="B3766">
        <v>2016</v>
      </c>
      <c r="C3766" t="s">
        <v>46</v>
      </c>
      <c r="D3766" s="2">
        <v>42705</v>
      </c>
      <c r="E3766" t="s">
        <v>7</v>
      </c>
      <c r="F3766">
        <v>121.6</v>
      </c>
      <c r="G3766" t="str">
        <f>VLOOKUP(Table1_2[[#This Row],[Categories]],Sheet3!$A$1:$B$27,2,FALSE)</f>
        <v>Food &amp;Beverage</v>
      </c>
    </row>
    <row r="3767" spans="1:7" x14ac:dyDescent="0.3">
      <c r="A3767" t="s">
        <v>30</v>
      </c>
      <c r="B3767">
        <v>2016</v>
      </c>
      <c r="C3767" t="s">
        <v>46</v>
      </c>
      <c r="D3767" s="2">
        <v>42705</v>
      </c>
      <c r="E3767" t="s">
        <v>8</v>
      </c>
      <c r="F3767">
        <v>135.6</v>
      </c>
      <c r="G3767" t="str">
        <f>VLOOKUP(Table1_2[[#This Row],[Categories]],Sheet3!$A$1:$B$27,2,FALSE)</f>
        <v>Food &amp;Beverage</v>
      </c>
    </row>
    <row r="3768" spans="1:7" x14ac:dyDescent="0.3">
      <c r="A3768" t="s">
        <v>30</v>
      </c>
      <c r="B3768">
        <v>2016</v>
      </c>
      <c r="C3768" t="s">
        <v>46</v>
      </c>
      <c r="D3768" s="2">
        <v>42705</v>
      </c>
      <c r="E3768" t="s">
        <v>9</v>
      </c>
      <c r="F3768">
        <v>127.5</v>
      </c>
      <c r="G3768" t="str">
        <f>VLOOKUP(Table1_2[[#This Row],[Categories]],Sheet3!$A$1:$B$27,2,FALSE)</f>
        <v>Food &amp;Beverage</v>
      </c>
    </row>
    <row r="3769" spans="1:7" x14ac:dyDescent="0.3">
      <c r="A3769" t="s">
        <v>30</v>
      </c>
      <c r="B3769">
        <v>2016</v>
      </c>
      <c r="C3769" t="s">
        <v>46</v>
      </c>
      <c r="D3769" s="2">
        <v>42705</v>
      </c>
      <c r="E3769" t="s">
        <v>10</v>
      </c>
      <c r="F3769">
        <v>167.9</v>
      </c>
      <c r="G3769" t="str">
        <f>VLOOKUP(Table1_2[[#This Row],[Categories]],Sheet3!$A$1:$B$27,2,FALSE)</f>
        <v>Food &amp;Beverage</v>
      </c>
    </row>
    <row r="3770" spans="1:7" x14ac:dyDescent="0.3">
      <c r="A3770" t="s">
        <v>30</v>
      </c>
      <c r="B3770">
        <v>2016</v>
      </c>
      <c r="C3770" t="s">
        <v>46</v>
      </c>
      <c r="D3770" s="2">
        <v>42705</v>
      </c>
      <c r="E3770" t="s">
        <v>11</v>
      </c>
      <c r="F3770">
        <v>113.8</v>
      </c>
      <c r="G3770" t="str">
        <f>VLOOKUP(Table1_2[[#This Row],[Categories]],Sheet3!$A$1:$B$27,2,FALSE)</f>
        <v>Food &amp;Beverage</v>
      </c>
    </row>
    <row r="3771" spans="1:7" x14ac:dyDescent="0.3">
      <c r="A3771" t="s">
        <v>30</v>
      </c>
      <c r="B3771">
        <v>2016</v>
      </c>
      <c r="C3771" t="s">
        <v>46</v>
      </c>
      <c r="D3771" s="2">
        <v>42705</v>
      </c>
      <c r="E3771" t="s">
        <v>12</v>
      </c>
      <c r="F3771">
        <v>137.5</v>
      </c>
      <c r="G3771" t="str">
        <f>VLOOKUP(Table1_2[[#This Row],[Categories]],Sheet3!$A$1:$B$27,2,FALSE)</f>
        <v>Food &amp;Beverage</v>
      </c>
    </row>
    <row r="3772" spans="1:7" x14ac:dyDescent="0.3">
      <c r="A3772" t="s">
        <v>30</v>
      </c>
      <c r="B3772">
        <v>2016</v>
      </c>
      <c r="C3772" t="s">
        <v>46</v>
      </c>
      <c r="D3772" s="2">
        <v>42705</v>
      </c>
      <c r="E3772" t="s">
        <v>13</v>
      </c>
      <c r="F3772">
        <v>129.1</v>
      </c>
      <c r="G3772" t="str">
        <f>VLOOKUP(Table1_2[[#This Row],[Categories]],Sheet3!$A$1:$B$27,2,FALSE)</f>
        <v>Food &amp;Beverage</v>
      </c>
    </row>
    <row r="3773" spans="1:7" x14ac:dyDescent="0.3">
      <c r="A3773" t="s">
        <v>30</v>
      </c>
      <c r="B3773">
        <v>2016</v>
      </c>
      <c r="C3773" t="s">
        <v>46</v>
      </c>
      <c r="D3773" s="2">
        <v>42705</v>
      </c>
      <c r="E3773" t="s">
        <v>14</v>
      </c>
      <c r="F3773">
        <v>143.6</v>
      </c>
      <c r="G3773" t="str">
        <f>VLOOKUP(Table1_2[[#This Row],[Categories]],Sheet3!$A$1:$B$27,2,FALSE)</f>
        <v>Food &amp;Beverage</v>
      </c>
    </row>
    <row r="3774" spans="1:7" x14ac:dyDescent="0.3">
      <c r="A3774" t="s">
        <v>30</v>
      </c>
      <c r="B3774">
        <v>2016</v>
      </c>
      <c r="C3774" t="s">
        <v>46</v>
      </c>
      <c r="D3774" s="2">
        <v>42705</v>
      </c>
      <c r="E3774" t="s">
        <v>15</v>
      </c>
      <c r="F3774">
        <v>134.69999999999999</v>
      </c>
      <c r="G3774" t="str">
        <f>VLOOKUP(Table1_2[[#This Row],[Categories]],Sheet3!$A$1:$B$27,2,FALSE)</f>
        <v>Food &amp;Beverage</v>
      </c>
    </row>
    <row r="3775" spans="1:7" x14ac:dyDescent="0.3">
      <c r="A3775" t="s">
        <v>30</v>
      </c>
      <c r="B3775">
        <v>2016</v>
      </c>
      <c r="C3775" t="s">
        <v>46</v>
      </c>
      <c r="D3775" s="2">
        <v>42705</v>
      </c>
      <c r="E3775" t="s">
        <v>16</v>
      </c>
      <c r="F3775">
        <v>142.4</v>
      </c>
      <c r="G3775" t="str">
        <f>VLOOKUP(Table1_2[[#This Row],[Categories]],Sheet3!$A$1:$B$27,2,FALSE)</f>
        <v>Recreation and amusement</v>
      </c>
    </row>
    <row r="3776" spans="1:7" x14ac:dyDescent="0.3">
      <c r="A3776" t="s">
        <v>30</v>
      </c>
      <c r="B3776">
        <v>2016</v>
      </c>
      <c r="C3776" t="s">
        <v>46</v>
      </c>
      <c r="D3776" s="2">
        <v>42705</v>
      </c>
      <c r="E3776" t="s">
        <v>17</v>
      </c>
      <c r="F3776">
        <v>140.4</v>
      </c>
      <c r="G3776" t="str">
        <f>VLOOKUP(Table1_2[[#This Row],[Categories]],Sheet3!$A$1:$B$27,2,FALSE)</f>
        <v>Clothing and footwear</v>
      </c>
    </row>
    <row r="3777" spans="1:7" x14ac:dyDescent="0.3">
      <c r="A3777" t="s">
        <v>30</v>
      </c>
      <c r="B3777">
        <v>2016</v>
      </c>
      <c r="C3777" t="s">
        <v>46</v>
      </c>
      <c r="D3777" s="2">
        <v>42705</v>
      </c>
      <c r="E3777" t="s">
        <v>18</v>
      </c>
      <c r="F3777">
        <v>135.19999999999999</v>
      </c>
      <c r="G3777" t="str">
        <f>VLOOKUP(Table1_2[[#This Row],[Categories]],Sheet3!$A$1:$B$27,2,FALSE)</f>
        <v>Clothing and footwear</v>
      </c>
    </row>
    <row r="3778" spans="1:7" x14ac:dyDescent="0.3">
      <c r="A3778" t="s">
        <v>30</v>
      </c>
      <c r="B3778">
        <v>2016</v>
      </c>
      <c r="C3778" t="s">
        <v>46</v>
      </c>
      <c r="D3778" s="2">
        <v>42705</v>
      </c>
      <c r="E3778" t="s">
        <v>19</v>
      </c>
      <c r="F3778">
        <v>139.69999999999999</v>
      </c>
      <c r="G3778" t="str">
        <f>VLOOKUP(Table1_2[[#This Row],[Categories]],Sheet3!$A$1:$B$27,2,FALSE)</f>
        <v>Clothing and footwear</v>
      </c>
    </row>
    <row r="3779" spans="1:7" x14ac:dyDescent="0.3">
      <c r="A3779" t="s">
        <v>30</v>
      </c>
      <c r="B3779">
        <v>2016</v>
      </c>
      <c r="C3779" t="s">
        <v>46</v>
      </c>
      <c r="D3779" s="2">
        <v>42705</v>
      </c>
      <c r="E3779" t="s">
        <v>21</v>
      </c>
      <c r="F3779">
        <v>132</v>
      </c>
      <c r="G3779" t="str">
        <f>VLOOKUP(Table1_2[[#This Row],[Categories]],Sheet3!$A$1:$B$27,2,FALSE)</f>
        <v>Fuel and light</v>
      </c>
    </row>
    <row r="3780" spans="1:7" x14ac:dyDescent="0.3">
      <c r="A3780" t="s">
        <v>30</v>
      </c>
      <c r="B3780">
        <v>2016</v>
      </c>
      <c r="C3780" t="s">
        <v>46</v>
      </c>
      <c r="D3780" s="2">
        <v>42705</v>
      </c>
      <c r="E3780" t="s">
        <v>22</v>
      </c>
      <c r="F3780">
        <v>132.9</v>
      </c>
      <c r="G3780" t="str">
        <f>VLOOKUP(Table1_2[[#This Row],[Categories]],Sheet3!$A$1:$B$27,2,FALSE)</f>
        <v>Household Items</v>
      </c>
    </row>
    <row r="3781" spans="1:7" x14ac:dyDescent="0.3">
      <c r="A3781" t="s">
        <v>30</v>
      </c>
      <c r="B3781">
        <v>2016</v>
      </c>
      <c r="C3781" t="s">
        <v>46</v>
      </c>
      <c r="D3781" s="2">
        <v>42705</v>
      </c>
      <c r="E3781" t="s">
        <v>23</v>
      </c>
      <c r="F3781">
        <v>129.69999999999999</v>
      </c>
      <c r="G3781" t="str">
        <f>VLOOKUP(Table1_2[[#This Row],[Categories]],Sheet3!$A$1:$B$27,2,FALSE)</f>
        <v>Health</v>
      </c>
    </row>
    <row r="3782" spans="1:7" x14ac:dyDescent="0.3">
      <c r="A3782" t="s">
        <v>30</v>
      </c>
      <c r="B3782">
        <v>2016</v>
      </c>
      <c r="C3782" t="s">
        <v>46</v>
      </c>
      <c r="D3782" s="2">
        <v>42705</v>
      </c>
      <c r="E3782" t="s">
        <v>24</v>
      </c>
      <c r="F3782">
        <v>118.6</v>
      </c>
      <c r="G3782" t="str">
        <f>VLOOKUP(Table1_2[[#This Row],[Categories]],Sheet3!$A$1:$B$27,2,FALSE)</f>
        <v>Transport and communication</v>
      </c>
    </row>
    <row r="3783" spans="1:7" x14ac:dyDescent="0.3">
      <c r="A3783" t="s">
        <v>30</v>
      </c>
      <c r="B3783">
        <v>2016</v>
      </c>
      <c r="C3783" t="s">
        <v>46</v>
      </c>
      <c r="D3783" s="2">
        <v>42705</v>
      </c>
      <c r="E3783" t="s">
        <v>25</v>
      </c>
      <c r="F3783">
        <v>127.3</v>
      </c>
      <c r="G3783" t="str">
        <f>VLOOKUP(Table1_2[[#This Row],[Categories]],Sheet3!$A$1:$B$27,2,FALSE)</f>
        <v>Recreation and amusement</v>
      </c>
    </row>
    <row r="3784" spans="1:7" x14ac:dyDescent="0.3">
      <c r="A3784" t="s">
        <v>30</v>
      </c>
      <c r="B3784">
        <v>2016</v>
      </c>
      <c r="C3784" t="s">
        <v>46</v>
      </c>
      <c r="D3784" s="2">
        <v>42705</v>
      </c>
      <c r="E3784" t="s">
        <v>26</v>
      </c>
      <c r="F3784">
        <v>134.19999999999999</v>
      </c>
      <c r="G3784" t="str">
        <f>VLOOKUP(Table1_2[[#This Row],[Categories]],Sheet3!$A$1:$B$27,2,FALSE)</f>
        <v>Education</v>
      </c>
    </row>
    <row r="3785" spans="1:7" x14ac:dyDescent="0.3">
      <c r="A3785" t="s">
        <v>30</v>
      </c>
      <c r="B3785">
        <v>2016</v>
      </c>
      <c r="C3785" t="s">
        <v>46</v>
      </c>
      <c r="D3785" s="2">
        <v>42705</v>
      </c>
      <c r="E3785" t="s">
        <v>27</v>
      </c>
      <c r="F3785">
        <v>121.9</v>
      </c>
      <c r="G3785" t="str">
        <f>VLOOKUP(Table1_2[[#This Row],[Categories]],Sheet3!$A$1:$B$27,2,FALSE)</f>
        <v>Household Items</v>
      </c>
    </row>
    <row r="3786" spans="1:7" x14ac:dyDescent="0.3">
      <c r="A3786" t="s">
        <v>30</v>
      </c>
      <c r="B3786">
        <v>2016</v>
      </c>
      <c r="C3786" t="s">
        <v>46</v>
      </c>
      <c r="D3786" s="2">
        <v>42705</v>
      </c>
      <c r="E3786" t="s">
        <v>28</v>
      </c>
      <c r="F3786">
        <v>126.3</v>
      </c>
      <c r="G3786" t="str">
        <f>VLOOKUP(Table1_2[[#This Row],[Categories]],Sheet3!$A$1:$B$27,2,FALSE)</f>
        <v>Miscellaneous</v>
      </c>
    </row>
    <row r="3787" spans="1:7" x14ac:dyDescent="0.3">
      <c r="A3787" t="s">
        <v>30</v>
      </c>
      <c r="B3787">
        <v>2016</v>
      </c>
      <c r="C3787" t="s">
        <v>46</v>
      </c>
      <c r="D3787" s="2">
        <v>42705</v>
      </c>
      <c r="E3787" t="s">
        <v>29</v>
      </c>
      <c r="F3787">
        <v>132.80000000000001</v>
      </c>
      <c r="G3787" t="str">
        <f>VLOOKUP(Table1_2[[#This Row],[Categories]],Sheet3!$A$1:$B$27,2,FALSE)</f>
        <v>General index</v>
      </c>
    </row>
    <row r="3788" spans="1:7" x14ac:dyDescent="0.3">
      <c r="A3788" t="s">
        <v>33</v>
      </c>
      <c r="B3788">
        <v>2016</v>
      </c>
      <c r="C3788" t="s">
        <v>46</v>
      </c>
      <c r="D3788" s="2">
        <v>42705</v>
      </c>
      <c r="E3788" t="s">
        <v>3</v>
      </c>
      <c r="F3788">
        <v>131.6</v>
      </c>
      <c r="G3788" t="str">
        <f>VLOOKUP(Table1_2[[#This Row],[Categories]],Sheet3!$A$1:$B$27,2,FALSE)</f>
        <v>Food &amp;Beverage</v>
      </c>
    </row>
    <row r="3789" spans="1:7" x14ac:dyDescent="0.3">
      <c r="A3789" t="s">
        <v>33</v>
      </c>
      <c r="B3789">
        <v>2016</v>
      </c>
      <c r="C3789" t="s">
        <v>46</v>
      </c>
      <c r="D3789" s="2">
        <v>42705</v>
      </c>
      <c r="E3789" t="s">
        <v>4</v>
      </c>
      <c r="F3789">
        <v>138.19999999999999</v>
      </c>
      <c r="G3789" t="str">
        <f>VLOOKUP(Table1_2[[#This Row],[Categories]],Sheet3!$A$1:$B$27,2,FALSE)</f>
        <v>Food &amp;Beverage</v>
      </c>
    </row>
    <row r="3790" spans="1:7" x14ac:dyDescent="0.3">
      <c r="A3790" t="s">
        <v>33</v>
      </c>
      <c r="B3790">
        <v>2016</v>
      </c>
      <c r="C3790" t="s">
        <v>46</v>
      </c>
      <c r="D3790" s="2">
        <v>42705</v>
      </c>
      <c r="E3790" t="s">
        <v>5</v>
      </c>
      <c r="F3790">
        <v>134.9</v>
      </c>
      <c r="G3790" t="str">
        <f>VLOOKUP(Table1_2[[#This Row],[Categories]],Sheet3!$A$1:$B$27,2,FALSE)</f>
        <v>Food &amp;Beverage</v>
      </c>
    </row>
    <row r="3791" spans="1:7" x14ac:dyDescent="0.3">
      <c r="A3791" t="s">
        <v>33</v>
      </c>
      <c r="B3791">
        <v>2016</v>
      </c>
      <c r="C3791" t="s">
        <v>46</v>
      </c>
      <c r="D3791" s="2">
        <v>42705</v>
      </c>
      <c r="E3791" t="s">
        <v>6</v>
      </c>
      <c r="F3791">
        <v>133.1</v>
      </c>
      <c r="G3791" t="str">
        <f>VLOOKUP(Table1_2[[#This Row],[Categories]],Sheet3!$A$1:$B$27,2,FALSE)</f>
        <v>Food &amp;Beverage</v>
      </c>
    </row>
    <row r="3792" spans="1:7" x14ac:dyDescent="0.3">
      <c r="A3792" t="s">
        <v>33</v>
      </c>
      <c r="B3792">
        <v>2016</v>
      </c>
      <c r="C3792" t="s">
        <v>46</v>
      </c>
      <c r="D3792" s="2">
        <v>42705</v>
      </c>
      <c r="E3792" t="s">
        <v>7</v>
      </c>
      <c r="F3792">
        <v>113.5</v>
      </c>
      <c r="G3792" t="str">
        <f>VLOOKUP(Table1_2[[#This Row],[Categories]],Sheet3!$A$1:$B$27,2,FALSE)</f>
        <v>Food &amp;Beverage</v>
      </c>
    </row>
    <row r="3793" spans="1:7" x14ac:dyDescent="0.3">
      <c r="A3793" t="s">
        <v>33</v>
      </c>
      <c r="B3793">
        <v>2016</v>
      </c>
      <c r="C3793" t="s">
        <v>46</v>
      </c>
      <c r="D3793" s="2">
        <v>42705</v>
      </c>
      <c r="E3793" t="s">
        <v>8</v>
      </c>
      <c r="F3793">
        <v>129.30000000000001</v>
      </c>
      <c r="G3793" t="str">
        <f>VLOOKUP(Table1_2[[#This Row],[Categories]],Sheet3!$A$1:$B$27,2,FALSE)</f>
        <v>Food &amp;Beverage</v>
      </c>
    </row>
    <row r="3794" spans="1:7" x14ac:dyDescent="0.3">
      <c r="A3794" t="s">
        <v>33</v>
      </c>
      <c r="B3794">
        <v>2016</v>
      </c>
      <c r="C3794" t="s">
        <v>46</v>
      </c>
      <c r="D3794" s="2">
        <v>42705</v>
      </c>
      <c r="E3794" t="s">
        <v>9</v>
      </c>
      <c r="F3794">
        <v>121.1</v>
      </c>
      <c r="G3794" t="str">
        <f>VLOOKUP(Table1_2[[#This Row],[Categories]],Sheet3!$A$1:$B$27,2,FALSE)</f>
        <v>Food &amp;Beverage</v>
      </c>
    </row>
    <row r="3795" spans="1:7" x14ac:dyDescent="0.3">
      <c r="A3795" t="s">
        <v>33</v>
      </c>
      <c r="B3795">
        <v>2016</v>
      </c>
      <c r="C3795" t="s">
        <v>46</v>
      </c>
      <c r="D3795" s="2">
        <v>42705</v>
      </c>
      <c r="E3795" t="s">
        <v>10</v>
      </c>
      <c r="F3795">
        <v>170.3</v>
      </c>
      <c r="G3795" t="str">
        <f>VLOOKUP(Table1_2[[#This Row],[Categories]],Sheet3!$A$1:$B$27,2,FALSE)</f>
        <v>Food &amp;Beverage</v>
      </c>
    </row>
    <row r="3796" spans="1:7" x14ac:dyDescent="0.3">
      <c r="A3796" t="s">
        <v>33</v>
      </c>
      <c r="B3796">
        <v>2016</v>
      </c>
      <c r="C3796" t="s">
        <v>46</v>
      </c>
      <c r="D3796" s="2">
        <v>42705</v>
      </c>
      <c r="E3796" t="s">
        <v>11</v>
      </c>
      <c r="F3796">
        <v>115.5</v>
      </c>
      <c r="G3796" t="str">
        <f>VLOOKUP(Table1_2[[#This Row],[Categories]],Sheet3!$A$1:$B$27,2,FALSE)</f>
        <v>Food &amp;Beverage</v>
      </c>
    </row>
    <row r="3797" spans="1:7" x14ac:dyDescent="0.3">
      <c r="A3797" t="s">
        <v>33</v>
      </c>
      <c r="B3797">
        <v>2016</v>
      </c>
      <c r="C3797" t="s">
        <v>46</v>
      </c>
      <c r="D3797" s="2">
        <v>42705</v>
      </c>
      <c r="E3797" t="s">
        <v>12</v>
      </c>
      <c r="F3797">
        <v>145.5</v>
      </c>
      <c r="G3797" t="str">
        <f>VLOOKUP(Table1_2[[#This Row],[Categories]],Sheet3!$A$1:$B$27,2,FALSE)</f>
        <v>Food &amp;Beverage</v>
      </c>
    </row>
    <row r="3798" spans="1:7" x14ac:dyDescent="0.3">
      <c r="A3798" t="s">
        <v>33</v>
      </c>
      <c r="B3798">
        <v>2016</v>
      </c>
      <c r="C3798" t="s">
        <v>46</v>
      </c>
      <c r="D3798" s="2">
        <v>42705</v>
      </c>
      <c r="E3798" t="s">
        <v>13</v>
      </c>
      <c r="F3798">
        <v>123.1</v>
      </c>
      <c r="G3798" t="str">
        <f>VLOOKUP(Table1_2[[#This Row],[Categories]],Sheet3!$A$1:$B$27,2,FALSE)</f>
        <v>Food &amp;Beverage</v>
      </c>
    </row>
    <row r="3799" spans="1:7" x14ac:dyDescent="0.3">
      <c r="A3799" t="s">
        <v>33</v>
      </c>
      <c r="B3799">
        <v>2016</v>
      </c>
      <c r="C3799" t="s">
        <v>46</v>
      </c>
      <c r="D3799" s="2">
        <v>42705</v>
      </c>
      <c r="E3799" t="s">
        <v>14</v>
      </c>
      <c r="F3799">
        <v>140.9</v>
      </c>
      <c r="G3799" t="str">
        <f>VLOOKUP(Table1_2[[#This Row],[Categories]],Sheet3!$A$1:$B$27,2,FALSE)</f>
        <v>Food &amp;Beverage</v>
      </c>
    </row>
    <row r="3800" spans="1:7" x14ac:dyDescent="0.3">
      <c r="A3800" t="s">
        <v>33</v>
      </c>
      <c r="B3800">
        <v>2016</v>
      </c>
      <c r="C3800" t="s">
        <v>46</v>
      </c>
      <c r="D3800" s="2">
        <v>42705</v>
      </c>
      <c r="E3800" t="s">
        <v>15</v>
      </c>
      <c r="F3800">
        <v>132.80000000000001</v>
      </c>
      <c r="G3800" t="str">
        <f>VLOOKUP(Table1_2[[#This Row],[Categories]],Sheet3!$A$1:$B$27,2,FALSE)</f>
        <v>Food &amp;Beverage</v>
      </c>
    </row>
    <row r="3801" spans="1:7" x14ac:dyDescent="0.3">
      <c r="A3801" t="s">
        <v>33</v>
      </c>
      <c r="B3801">
        <v>2016</v>
      </c>
      <c r="C3801" t="s">
        <v>46</v>
      </c>
      <c r="D3801" s="2">
        <v>42705</v>
      </c>
      <c r="E3801" t="s">
        <v>16</v>
      </c>
      <c r="F3801">
        <v>145</v>
      </c>
      <c r="G3801" t="str">
        <f>VLOOKUP(Table1_2[[#This Row],[Categories]],Sheet3!$A$1:$B$27,2,FALSE)</f>
        <v>Recreation and amusement</v>
      </c>
    </row>
    <row r="3802" spans="1:7" x14ac:dyDescent="0.3">
      <c r="A3802" t="s">
        <v>33</v>
      </c>
      <c r="B3802">
        <v>2016</v>
      </c>
      <c r="C3802" t="s">
        <v>46</v>
      </c>
      <c r="D3802" s="2">
        <v>42705</v>
      </c>
      <c r="E3802" t="s">
        <v>17</v>
      </c>
      <c r="F3802">
        <v>130</v>
      </c>
      <c r="G3802" t="str">
        <f>VLOOKUP(Table1_2[[#This Row],[Categories]],Sheet3!$A$1:$B$27,2,FALSE)</f>
        <v>Clothing and footwear</v>
      </c>
    </row>
    <row r="3803" spans="1:7" x14ac:dyDescent="0.3">
      <c r="A3803" t="s">
        <v>33</v>
      </c>
      <c r="B3803">
        <v>2016</v>
      </c>
      <c r="C3803" t="s">
        <v>46</v>
      </c>
      <c r="D3803" s="2">
        <v>42705</v>
      </c>
      <c r="E3803" t="s">
        <v>18</v>
      </c>
      <c r="F3803">
        <v>122.2</v>
      </c>
      <c r="G3803" t="str">
        <f>VLOOKUP(Table1_2[[#This Row],[Categories]],Sheet3!$A$1:$B$27,2,FALSE)</f>
        <v>Clothing and footwear</v>
      </c>
    </row>
    <row r="3804" spans="1:7" x14ac:dyDescent="0.3">
      <c r="A3804" t="s">
        <v>33</v>
      </c>
      <c r="B3804">
        <v>2016</v>
      </c>
      <c r="C3804" t="s">
        <v>46</v>
      </c>
      <c r="D3804" s="2">
        <v>42705</v>
      </c>
      <c r="E3804" t="s">
        <v>19</v>
      </c>
      <c r="F3804">
        <v>128.80000000000001</v>
      </c>
      <c r="G3804" t="str">
        <f>VLOOKUP(Table1_2[[#This Row],[Categories]],Sheet3!$A$1:$B$27,2,FALSE)</f>
        <v>Clothing and footwear</v>
      </c>
    </row>
    <row r="3805" spans="1:7" x14ac:dyDescent="0.3">
      <c r="A3805" t="s">
        <v>33</v>
      </c>
      <c r="B3805">
        <v>2016</v>
      </c>
      <c r="C3805" t="s">
        <v>46</v>
      </c>
      <c r="D3805" s="2">
        <v>42705</v>
      </c>
      <c r="E3805" t="s">
        <v>20</v>
      </c>
      <c r="F3805">
        <v>128.5</v>
      </c>
      <c r="G3805" t="str">
        <f>VLOOKUP(Table1_2[[#This Row],[Categories]],Sheet3!$A$1:$B$27,2,FALSE)</f>
        <v>Housing</v>
      </c>
    </row>
    <row r="3806" spans="1:7" x14ac:dyDescent="0.3">
      <c r="A3806" t="s">
        <v>33</v>
      </c>
      <c r="B3806">
        <v>2016</v>
      </c>
      <c r="C3806" t="s">
        <v>46</v>
      </c>
      <c r="D3806" s="2">
        <v>42705</v>
      </c>
      <c r="E3806" t="s">
        <v>21</v>
      </c>
      <c r="F3806">
        <v>117.8</v>
      </c>
      <c r="G3806" t="str">
        <f>VLOOKUP(Table1_2[[#This Row],[Categories]],Sheet3!$A$1:$B$27,2,FALSE)</f>
        <v>Fuel and light</v>
      </c>
    </row>
    <row r="3807" spans="1:7" x14ac:dyDescent="0.3">
      <c r="A3807" t="s">
        <v>33</v>
      </c>
      <c r="B3807">
        <v>2016</v>
      </c>
      <c r="C3807" t="s">
        <v>46</v>
      </c>
      <c r="D3807" s="2">
        <v>42705</v>
      </c>
      <c r="E3807" t="s">
        <v>22</v>
      </c>
      <c r="F3807">
        <v>125</v>
      </c>
      <c r="G3807" t="str">
        <f>VLOOKUP(Table1_2[[#This Row],[Categories]],Sheet3!$A$1:$B$27,2,FALSE)</f>
        <v>Household Items</v>
      </c>
    </row>
    <row r="3808" spans="1:7" x14ac:dyDescent="0.3">
      <c r="A3808" t="s">
        <v>33</v>
      </c>
      <c r="B3808">
        <v>2016</v>
      </c>
      <c r="C3808" t="s">
        <v>46</v>
      </c>
      <c r="D3808" s="2">
        <v>42705</v>
      </c>
      <c r="E3808" t="s">
        <v>23</v>
      </c>
      <c r="F3808">
        <v>122.3</v>
      </c>
      <c r="G3808" t="str">
        <f>VLOOKUP(Table1_2[[#This Row],[Categories]],Sheet3!$A$1:$B$27,2,FALSE)</f>
        <v>Health</v>
      </c>
    </row>
    <row r="3809" spans="1:7" x14ac:dyDescent="0.3">
      <c r="A3809" t="s">
        <v>33</v>
      </c>
      <c r="B3809">
        <v>2016</v>
      </c>
      <c r="C3809" t="s">
        <v>46</v>
      </c>
      <c r="D3809" s="2">
        <v>42705</v>
      </c>
      <c r="E3809" t="s">
        <v>24</v>
      </c>
      <c r="F3809">
        <v>113.7</v>
      </c>
      <c r="G3809" t="str">
        <f>VLOOKUP(Table1_2[[#This Row],[Categories]],Sheet3!$A$1:$B$27,2,FALSE)</f>
        <v>Transport and communication</v>
      </c>
    </row>
    <row r="3810" spans="1:7" x14ac:dyDescent="0.3">
      <c r="A3810" t="s">
        <v>33</v>
      </c>
      <c r="B3810">
        <v>2016</v>
      </c>
      <c r="C3810" t="s">
        <v>46</v>
      </c>
      <c r="D3810" s="2">
        <v>42705</v>
      </c>
      <c r="E3810" t="s">
        <v>25</v>
      </c>
      <c r="F3810">
        <v>121.8</v>
      </c>
      <c r="G3810" t="str">
        <f>VLOOKUP(Table1_2[[#This Row],[Categories]],Sheet3!$A$1:$B$27,2,FALSE)</f>
        <v>Recreation and amusement</v>
      </c>
    </row>
    <row r="3811" spans="1:7" x14ac:dyDescent="0.3">
      <c r="A3811" t="s">
        <v>33</v>
      </c>
      <c r="B3811">
        <v>2016</v>
      </c>
      <c r="C3811" t="s">
        <v>46</v>
      </c>
      <c r="D3811" s="2">
        <v>42705</v>
      </c>
      <c r="E3811" t="s">
        <v>26</v>
      </c>
      <c r="F3811">
        <v>132.30000000000001</v>
      </c>
      <c r="G3811" t="str">
        <f>VLOOKUP(Table1_2[[#This Row],[Categories]],Sheet3!$A$1:$B$27,2,FALSE)</f>
        <v>Education</v>
      </c>
    </row>
    <row r="3812" spans="1:7" x14ac:dyDescent="0.3">
      <c r="A3812" t="s">
        <v>33</v>
      </c>
      <c r="B3812">
        <v>2016</v>
      </c>
      <c r="C3812" t="s">
        <v>46</v>
      </c>
      <c r="D3812" s="2">
        <v>42705</v>
      </c>
      <c r="E3812" t="s">
        <v>27</v>
      </c>
      <c r="F3812">
        <v>119.9</v>
      </c>
      <c r="G3812" t="str">
        <f>VLOOKUP(Table1_2[[#This Row],[Categories]],Sheet3!$A$1:$B$27,2,FALSE)</f>
        <v>Household Items</v>
      </c>
    </row>
    <row r="3813" spans="1:7" x14ac:dyDescent="0.3">
      <c r="A3813" t="s">
        <v>33</v>
      </c>
      <c r="B3813">
        <v>2016</v>
      </c>
      <c r="C3813" t="s">
        <v>46</v>
      </c>
      <c r="D3813" s="2">
        <v>42705</v>
      </c>
      <c r="E3813" t="s">
        <v>28</v>
      </c>
      <c r="F3813">
        <v>121.4</v>
      </c>
      <c r="G3813" t="str">
        <f>VLOOKUP(Table1_2[[#This Row],[Categories]],Sheet3!$A$1:$B$27,2,FALSE)</f>
        <v>Miscellaneous</v>
      </c>
    </row>
    <row r="3814" spans="1:7" x14ac:dyDescent="0.3">
      <c r="A3814" t="s">
        <v>33</v>
      </c>
      <c r="B3814">
        <v>2016</v>
      </c>
      <c r="C3814" t="s">
        <v>46</v>
      </c>
      <c r="D3814" s="2">
        <v>42705</v>
      </c>
      <c r="E3814" t="s">
        <v>29</v>
      </c>
      <c r="F3814">
        <v>127.6</v>
      </c>
      <c r="G3814" t="str">
        <f>VLOOKUP(Table1_2[[#This Row],[Categories]],Sheet3!$A$1:$B$27,2,FALSE)</f>
        <v>General index</v>
      </c>
    </row>
    <row r="3815" spans="1:7" x14ac:dyDescent="0.3">
      <c r="A3815" t="s">
        <v>34</v>
      </c>
      <c r="B3815">
        <v>2016</v>
      </c>
      <c r="C3815" t="s">
        <v>46</v>
      </c>
      <c r="D3815" s="2">
        <v>42705</v>
      </c>
      <c r="E3815" t="s">
        <v>3</v>
      </c>
      <c r="F3815">
        <v>132.30000000000001</v>
      </c>
      <c r="G3815" t="str">
        <f>VLOOKUP(Table1_2[[#This Row],[Categories]],Sheet3!$A$1:$B$27,2,FALSE)</f>
        <v>Food &amp;Beverage</v>
      </c>
    </row>
    <row r="3816" spans="1:7" x14ac:dyDescent="0.3">
      <c r="A3816" t="s">
        <v>34</v>
      </c>
      <c r="B3816">
        <v>2016</v>
      </c>
      <c r="C3816" t="s">
        <v>46</v>
      </c>
      <c r="D3816" s="2">
        <v>42705</v>
      </c>
      <c r="E3816" t="s">
        <v>4</v>
      </c>
      <c r="F3816">
        <v>137.6</v>
      </c>
      <c r="G3816" t="str">
        <f>VLOOKUP(Table1_2[[#This Row],[Categories]],Sheet3!$A$1:$B$27,2,FALSE)</f>
        <v>Food &amp;Beverage</v>
      </c>
    </row>
    <row r="3817" spans="1:7" x14ac:dyDescent="0.3">
      <c r="A3817" t="s">
        <v>34</v>
      </c>
      <c r="B3817">
        <v>2016</v>
      </c>
      <c r="C3817" t="s">
        <v>46</v>
      </c>
      <c r="D3817" s="2">
        <v>42705</v>
      </c>
      <c r="E3817" t="s">
        <v>5</v>
      </c>
      <c r="F3817">
        <v>132.9</v>
      </c>
      <c r="G3817" t="str">
        <f>VLOOKUP(Table1_2[[#This Row],[Categories]],Sheet3!$A$1:$B$27,2,FALSE)</f>
        <v>Food &amp;Beverage</v>
      </c>
    </row>
    <row r="3818" spans="1:7" x14ac:dyDescent="0.3">
      <c r="A3818" t="s">
        <v>34</v>
      </c>
      <c r="B3818">
        <v>2016</v>
      </c>
      <c r="C3818" t="s">
        <v>46</v>
      </c>
      <c r="D3818" s="2">
        <v>42705</v>
      </c>
      <c r="E3818" t="s">
        <v>6</v>
      </c>
      <c r="F3818">
        <v>135.1</v>
      </c>
      <c r="G3818" t="str">
        <f>VLOOKUP(Table1_2[[#This Row],[Categories]],Sheet3!$A$1:$B$27,2,FALSE)</f>
        <v>Food &amp;Beverage</v>
      </c>
    </row>
    <row r="3819" spans="1:7" x14ac:dyDescent="0.3">
      <c r="A3819" t="s">
        <v>34</v>
      </c>
      <c r="B3819">
        <v>2016</v>
      </c>
      <c r="C3819" t="s">
        <v>46</v>
      </c>
      <c r="D3819" s="2">
        <v>42705</v>
      </c>
      <c r="E3819" t="s">
        <v>7</v>
      </c>
      <c r="F3819">
        <v>118.6</v>
      </c>
      <c r="G3819" t="str">
        <f>VLOOKUP(Table1_2[[#This Row],[Categories]],Sheet3!$A$1:$B$27,2,FALSE)</f>
        <v>Food &amp;Beverage</v>
      </c>
    </row>
    <row r="3820" spans="1:7" x14ac:dyDescent="0.3">
      <c r="A3820" t="s">
        <v>34</v>
      </c>
      <c r="B3820">
        <v>2016</v>
      </c>
      <c r="C3820" t="s">
        <v>46</v>
      </c>
      <c r="D3820" s="2">
        <v>42705</v>
      </c>
      <c r="E3820" t="s">
        <v>8</v>
      </c>
      <c r="F3820">
        <v>132.69999999999999</v>
      </c>
      <c r="G3820" t="str">
        <f>VLOOKUP(Table1_2[[#This Row],[Categories]],Sheet3!$A$1:$B$27,2,FALSE)</f>
        <v>Food &amp;Beverage</v>
      </c>
    </row>
    <row r="3821" spans="1:7" x14ac:dyDescent="0.3">
      <c r="A3821" t="s">
        <v>34</v>
      </c>
      <c r="B3821">
        <v>2016</v>
      </c>
      <c r="C3821" t="s">
        <v>46</v>
      </c>
      <c r="D3821" s="2">
        <v>42705</v>
      </c>
      <c r="E3821" t="s">
        <v>9</v>
      </c>
      <c r="F3821">
        <v>125.3</v>
      </c>
      <c r="G3821" t="str">
        <f>VLOOKUP(Table1_2[[#This Row],[Categories]],Sheet3!$A$1:$B$27,2,FALSE)</f>
        <v>Food &amp;Beverage</v>
      </c>
    </row>
    <row r="3822" spans="1:7" x14ac:dyDescent="0.3">
      <c r="A3822" t="s">
        <v>34</v>
      </c>
      <c r="B3822">
        <v>2016</v>
      </c>
      <c r="C3822" t="s">
        <v>46</v>
      </c>
      <c r="D3822" s="2">
        <v>42705</v>
      </c>
      <c r="E3822" t="s">
        <v>10</v>
      </c>
      <c r="F3822">
        <v>168.7</v>
      </c>
      <c r="G3822" t="str">
        <f>VLOOKUP(Table1_2[[#This Row],[Categories]],Sheet3!$A$1:$B$27,2,FALSE)</f>
        <v>Food &amp;Beverage</v>
      </c>
    </row>
    <row r="3823" spans="1:7" x14ac:dyDescent="0.3">
      <c r="A3823" t="s">
        <v>34</v>
      </c>
      <c r="B3823">
        <v>2016</v>
      </c>
      <c r="C3823" t="s">
        <v>46</v>
      </c>
      <c r="D3823" s="2">
        <v>42705</v>
      </c>
      <c r="E3823" t="s">
        <v>11</v>
      </c>
      <c r="F3823">
        <v>114.4</v>
      </c>
      <c r="G3823" t="str">
        <f>VLOOKUP(Table1_2[[#This Row],[Categories]],Sheet3!$A$1:$B$27,2,FALSE)</f>
        <v>Food &amp;Beverage</v>
      </c>
    </row>
    <row r="3824" spans="1:7" x14ac:dyDescent="0.3">
      <c r="A3824" t="s">
        <v>34</v>
      </c>
      <c r="B3824">
        <v>2016</v>
      </c>
      <c r="C3824" t="s">
        <v>46</v>
      </c>
      <c r="D3824" s="2">
        <v>42705</v>
      </c>
      <c r="E3824" t="s">
        <v>12</v>
      </c>
      <c r="F3824">
        <v>140.19999999999999</v>
      </c>
      <c r="G3824" t="str">
        <f>VLOOKUP(Table1_2[[#This Row],[Categories]],Sheet3!$A$1:$B$27,2,FALSE)</f>
        <v>Food &amp;Beverage</v>
      </c>
    </row>
    <row r="3825" spans="1:7" x14ac:dyDescent="0.3">
      <c r="A3825" t="s">
        <v>34</v>
      </c>
      <c r="B3825">
        <v>2016</v>
      </c>
      <c r="C3825" t="s">
        <v>46</v>
      </c>
      <c r="D3825" s="2">
        <v>42705</v>
      </c>
      <c r="E3825" t="s">
        <v>13</v>
      </c>
      <c r="F3825">
        <v>126.6</v>
      </c>
      <c r="G3825" t="str">
        <f>VLOOKUP(Table1_2[[#This Row],[Categories]],Sheet3!$A$1:$B$27,2,FALSE)</f>
        <v>Food &amp;Beverage</v>
      </c>
    </row>
    <row r="3826" spans="1:7" x14ac:dyDescent="0.3">
      <c r="A3826" t="s">
        <v>34</v>
      </c>
      <c r="B3826">
        <v>2016</v>
      </c>
      <c r="C3826" t="s">
        <v>46</v>
      </c>
      <c r="D3826" s="2">
        <v>42705</v>
      </c>
      <c r="E3826" t="s">
        <v>14</v>
      </c>
      <c r="F3826">
        <v>142.30000000000001</v>
      </c>
      <c r="G3826" t="str">
        <f>VLOOKUP(Table1_2[[#This Row],[Categories]],Sheet3!$A$1:$B$27,2,FALSE)</f>
        <v>Food &amp;Beverage</v>
      </c>
    </row>
    <row r="3827" spans="1:7" x14ac:dyDescent="0.3">
      <c r="A3827" t="s">
        <v>34</v>
      </c>
      <c r="B3827">
        <v>2016</v>
      </c>
      <c r="C3827" t="s">
        <v>46</v>
      </c>
      <c r="D3827" s="2">
        <v>42705</v>
      </c>
      <c r="E3827" t="s">
        <v>15</v>
      </c>
      <c r="F3827">
        <v>134</v>
      </c>
      <c r="G3827" t="str">
        <f>VLOOKUP(Table1_2[[#This Row],[Categories]],Sheet3!$A$1:$B$27,2,FALSE)</f>
        <v>Food &amp;Beverage</v>
      </c>
    </row>
    <row r="3828" spans="1:7" x14ac:dyDescent="0.3">
      <c r="A3828" t="s">
        <v>34</v>
      </c>
      <c r="B3828">
        <v>2016</v>
      </c>
      <c r="C3828" t="s">
        <v>46</v>
      </c>
      <c r="D3828" s="2">
        <v>42705</v>
      </c>
      <c r="E3828" t="s">
        <v>16</v>
      </c>
      <c r="F3828">
        <v>143.1</v>
      </c>
      <c r="G3828" t="str">
        <f>VLOOKUP(Table1_2[[#This Row],[Categories]],Sheet3!$A$1:$B$27,2,FALSE)</f>
        <v>Recreation and amusement</v>
      </c>
    </row>
    <row r="3829" spans="1:7" x14ac:dyDescent="0.3">
      <c r="A3829" t="s">
        <v>34</v>
      </c>
      <c r="B3829">
        <v>2016</v>
      </c>
      <c r="C3829" t="s">
        <v>46</v>
      </c>
      <c r="D3829" s="2">
        <v>42705</v>
      </c>
      <c r="E3829" t="s">
        <v>17</v>
      </c>
      <c r="F3829">
        <v>136.30000000000001</v>
      </c>
      <c r="G3829" t="str">
        <f>VLOOKUP(Table1_2[[#This Row],[Categories]],Sheet3!$A$1:$B$27,2,FALSE)</f>
        <v>Clothing and footwear</v>
      </c>
    </row>
    <row r="3830" spans="1:7" x14ac:dyDescent="0.3">
      <c r="A3830" t="s">
        <v>34</v>
      </c>
      <c r="B3830">
        <v>2016</v>
      </c>
      <c r="C3830" t="s">
        <v>46</v>
      </c>
      <c r="D3830" s="2">
        <v>42705</v>
      </c>
      <c r="E3830" t="s">
        <v>18</v>
      </c>
      <c r="F3830">
        <v>129.80000000000001</v>
      </c>
      <c r="G3830" t="str">
        <f>VLOOKUP(Table1_2[[#This Row],[Categories]],Sheet3!$A$1:$B$27,2,FALSE)</f>
        <v>Clothing and footwear</v>
      </c>
    </row>
    <row r="3831" spans="1:7" x14ac:dyDescent="0.3">
      <c r="A3831" t="s">
        <v>34</v>
      </c>
      <c r="B3831">
        <v>2016</v>
      </c>
      <c r="C3831" t="s">
        <v>46</v>
      </c>
      <c r="D3831" s="2">
        <v>42705</v>
      </c>
      <c r="E3831" t="s">
        <v>19</v>
      </c>
      <c r="F3831">
        <v>135.4</v>
      </c>
      <c r="G3831" t="str">
        <f>VLOOKUP(Table1_2[[#This Row],[Categories]],Sheet3!$A$1:$B$27,2,FALSE)</f>
        <v>Clothing and footwear</v>
      </c>
    </row>
    <row r="3832" spans="1:7" x14ac:dyDescent="0.3">
      <c r="A3832" t="s">
        <v>34</v>
      </c>
      <c r="B3832">
        <v>2016</v>
      </c>
      <c r="C3832" t="s">
        <v>46</v>
      </c>
      <c r="D3832" s="2">
        <v>42705</v>
      </c>
      <c r="E3832" t="s">
        <v>20</v>
      </c>
      <c r="F3832">
        <v>128.5</v>
      </c>
      <c r="G3832" t="str">
        <f>VLOOKUP(Table1_2[[#This Row],[Categories]],Sheet3!$A$1:$B$27,2,FALSE)</f>
        <v>Housing</v>
      </c>
    </row>
    <row r="3833" spans="1:7" x14ac:dyDescent="0.3">
      <c r="A3833" t="s">
        <v>34</v>
      </c>
      <c r="B3833">
        <v>2016</v>
      </c>
      <c r="C3833" t="s">
        <v>46</v>
      </c>
      <c r="D3833" s="2">
        <v>42705</v>
      </c>
      <c r="E3833" t="s">
        <v>21</v>
      </c>
      <c r="F3833">
        <v>126.6</v>
      </c>
      <c r="G3833" t="str">
        <f>VLOOKUP(Table1_2[[#This Row],[Categories]],Sheet3!$A$1:$B$27,2,FALSE)</f>
        <v>Fuel and light</v>
      </c>
    </row>
    <row r="3834" spans="1:7" x14ac:dyDescent="0.3">
      <c r="A3834" t="s">
        <v>34</v>
      </c>
      <c r="B3834">
        <v>2016</v>
      </c>
      <c r="C3834" t="s">
        <v>46</v>
      </c>
      <c r="D3834" s="2">
        <v>42705</v>
      </c>
      <c r="E3834" t="s">
        <v>22</v>
      </c>
      <c r="F3834">
        <v>129.19999999999999</v>
      </c>
      <c r="G3834" t="str">
        <f>VLOOKUP(Table1_2[[#This Row],[Categories]],Sheet3!$A$1:$B$27,2,FALSE)</f>
        <v>Household Items</v>
      </c>
    </row>
    <row r="3835" spans="1:7" x14ac:dyDescent="0.3">
      <c r="A3835" t="s">
        <v>34</v>
      </c>
      <c r="B3835">
        <v>2016</v>
      </c>
      <c r="C3835" t="s">
        <v>46</v>
      </c>
      <c r="D3835" s="2">
        <v>42705</v>
      </c>
      <c r="E3835" t="s">
        <v>23</v>
      </c>
      <c r="F3835">
        <v>126.9</v>
      </c>
      <c r="G3835" t="str">
        <f>VLOOKUP(Table1_2[[#This Row],[Categories]],Sheet3!$A$1:$B$27,2,FALSE)</f>
        <v>Health</v>
      </c>
    </row>
    <row r="3836" spans="1:7" x14ac:dyDescent="0.3">
      <c r="A3836" t="s">
        <v>34</v>
      </c>
      <c r="B3836">
        <v>2016</v>
      </c>
      <c r="C3836" t="s">
        <v>46</v>
      </c>
      <c r="D3836" s="2">
        <v>42705</v>
      </c>
      <c r="E3836" t="s">
        <v>24</v>
      </c>
      <c r="F3836">
        <v>116</v>
      </c>
      <c r="G3836" t="str">
        <f>VLOOKUP(Table1_2[[#This Row],[Categories]],Sheet3!$A$1:$B$27,2,FALSE)</f>
        <v>Transport and communication</v>
      </c>
    </row>
    <row r="3837" spans="1:7" x14ac:dyDescent="0.3">
      <c r="A3837" t="s">
        <v>34</v>
      </c>
      <c r="B3837">
        <v>2016</v>
      </c>
      <c r="C3837" t="s">
        <v>46</v>
      </c>
      <c r="D3837" s="2">
        <v>42705</v>
      </c>
      <c r="E3837" t="s">
        <v>25</v>
      </c>
      <c r="F3837">
        <v>124.2</v>
      </c>
      <c r="G3837" t="str">
        <f>VLOOKUP(Table1_2[[#This Row],[Categories]],Sheet3!$A$1:$B$27,2,FALSE)</f>
        <v>Recreation and amusement</v>
      </c>
    </row>
    <row r="3838" spans="1:7" x14ac:dyDescent="0.3">
      <c r="A3838" t="s">
        <v>34</v>
      </c>
      <c r="B3838">
        <v>2016</v>
      </c>
      <c r="C3838" t="s">
        <v>46</v>
      </c>
      <c r="D3838" s="2">
        <v>42705</v>
      </c>
      <c r="E3838" t="s">
        <v>26</v>
      </c>
      <c r="F3838">
        <v>133.1</v>
      </c>
      <c r="G3838" t="str">
        <f>VLOOKUP(Table1_2[[#This Row],[Categories]],Sheet3!$A$1:$B$27,2,FALSE)</f>
        <v>Education</v>
      </c>
    </row>
    <row r="3839" spans="1:7" x14ac:dyDescent="0.3">
      <c r="A3839" t="s">
        <v>34</v>
      </c>
      <c r="B3839">
        <v>2016</v>
      </c>
      <c r="C3839" t="s">
        <v>46</v>
      </c>
      <c r="D3839" s="2">
        <v>42705</v>
      </c>
      <c r="E3839" t="s">
        <v>27</v>
      </c>
      <c r="F3839">
        <v>121.1</v>
      </c>
      <c r="G3839" t="str">
        <f>VLOOKUP(Table1_2[[#This Row],[Categories]],Sheet3!$A$1:$B$27,2,FALSE)</f>
        <v>Household Items</v>
      </c>
    </row>
    <row r="3840" spans="1:7" x14ac:dyDescent="0.3">
      <c r="A3840" t="s">
        <v>34</v>
      </c>
      <c r="B3840">
        <v>2016</v>
      </c>
      <c r="C3840" t="s">
        <v>46</v>
      </c>
      <c r="D3840" s="2">
        <v>42705</v>
      </c>
      <c r="E3840" t="s">
        <v>28</v>
      </c>
      <c r="F3840">
        <v>123.9</v>
      </c>
      <c r="G3840" t="str">
        <f>VLOOKUP(Table1_2[[#This Row],[Categories]],Sheet3!$A$1:$B$27,2,FALSE)</f>
        <v>Miscellaneous</v>
      </c>
    </row>
    <row r="3841" spans="1:7" x14ac:dyDescent="0.3">
      <c r="A3841" t="s">
        <v>34</v>
      </c>
      <c r="B3841">
        <v>2016</v>
      </c>
      <c r="C3841" t="s">
        <v>46</v>
      </c>
      <c r="D3841" s="2">
        <v>42705</v>
      </c>
      <c r="E3841" t="s">
        <v>29</v>
      </c>
      <c r="F3841">
        <v>130.4</v>
      </c>
      <c r="G3841" t="str">
        <f>VLOOKUP(Table1_2[[#This Row],[Categories]],Sheet3!$A$1:$B$27,2,FALSE)</f>
        <v>General index</v>
      </c>
    </row>
    <row r="3842" spans="1:7" x14ac:dyDescent="0.3">
      <c r="A3842" t="s">
        <v>30</v>
      </c>
      <c r="B3842">
        <v>2017</v>
      </c>
      <c r="C3842" t="s">
        <v>31</v>
      </c>
      <c r="D3842" s="2">
        <v>42736</v>
      </c>
      <c r="E3842" t="s">
        <v>3</v>
      </c>
      <c r="F3842">
        <v>133.1</v>
      </c>
      <c r="G3842" t="str">
        <f>VLOOKUP(Table1_2[[#This Row],[Categories]],Sheet3!$A$1:$B$27,2,FALSE)</f>
        <v>Food &amp;Beverage</v>
      </c>
    </row>
    <row r="3843" spans="1:7" x14ac:dyDescent="0.3">
      <c r="A3843" t="s">
        <v>30</v>
      </c>
      <c r="B3843">
        <v>2017</v>
      </c>
      <c r="C3843" t="s">
        <v>31</v>
      </c>
      <c r="D3843" s="2">
        <v>42736</v>
      </c>
      <c r="E3843" t="s">
        <v>4</v>
      </c>
      <c r="F3843">
        <v>137.80000000000001</v>
      </c>
      <c r="G3843" t="str">
        <f>VLOOKUP(Table1_2[[#This Row],[Categories]],Sheet3!$A$1:$B$27,2,FALSE)</f>
        <v>Food &amp;Beverage</v>
      </c>
    </row>
    <row r="3844" spans="1:7" x14ac:dyDescent="0.3">
      <c r="A3844" t="s">
        <v>30</v>
      </c>
      <c r="B3844">
        <v>2017</v>
      </c>
      <c r="C3844" t="s">
        <v>31</v>
      </c>
      <c r="D3844" s="2">
        <v>42736</v>
      </c>
      <c r="E3844" t="s">
        <v>5</v>
      </c>
      <c r="F3844">
        <v>131.9</v>
      </c>
      <c r="G3844" t="str">
        <f>VLOOKUP(Table1_2[[#This Row],[Categories]],Sheet3!$A$1:$B$27,2,FALSE)</f>
        <v>Food &amp;Beverage</v>
      </c>
    </row>
    <row r="3845" spans="1:7" x14ac:dyDescent="0.3">
      <c r="A3845" t="s">
        <v>30</v>
      </c>
      <c r="B3845">
        <v>2017</v>
      </c>
      <c r="C3845" t="s">
        <v>31</v>
      </c>
      <c r="D3845" s="2">
        <v>42736</v>
      </c>
      <c r="E3845" t="s">
        <v>6</v>
      </c>
      <c r="F3845">
        <v>136.69999999999999</v>
      </c>
      <c r="G3845" t="str">
        <f>VLOOKUP(Table1_2[[#This Row],[Categories]],Sheet3!$A$1:$B$27,2,FALSE)</f>
        <v>Food &amp;Beverage</v>
      </c>
    </row>
    <row r="3846" spans="1:7" x14ac:dyDescent="0.3">
      <c r="A3846" t="s">
        <v>30</v>
      </c>
      <c r="B3846">
        <v>2017</v>
      </c>
      <c r="C3846" t="s">
        <v>31</v>
      </c>
      <c r="D3846" s="2">
        <v>42736</v>
      </c>
      <c r="E3846" t="s">
        <v>7</v>
      </c>
      <c r="F3846">
        <v>122</v>
      </c>
      <c r="G3846" t="str">
        <f>VLOOKUP(Table1_2[[#This Row],[Categories]],Sheet3!$A$1:$B$27,2,FALSE)</f>
        <v>Food &amp;Beverage</v>
      </c>
    </row>
    <row r="3847" spans="1:7" x14ac:dyDescent="0.3">
      <c r="A3847" t="s">
        <v>30</v>
      </c>
      <c r="B3847">
        <v>2017</v>
      </c>
      <c r="C3847" t="s">
        <v>31</v>
      </c>
      <c r="D3847" s="2">
        <v>42736</v>
      </c>
      <c r="E3847" t="s">
        <v>8</v>
      </c>
      <c r="F3847">
        <v>136</v>
      </c>
      <c r="G3847" t="str">
        <f>VLOOKUP(Table1_2[[#This Row],[Categories]],Sheet3!$A$1:$B$27,2,FALSE)</f>
        <v>Food &amp;Beverage</v>
      </c>
    </row>
    <row r="3848" spans="1:7" x14ac:dyDescent="0.3">
      <c r="A3848" t="s">
        <v>30</v>
      </c>
      <c r="B3848">
        <v>2017</v>
      </c>
      <c r="C3848" t="s">
        <v>31</v>
      </c>
      <c r="D3848" s="2">
        <v>42736</v>
      </c>
      <c r="E3848" t="s">
        <v>9</v>
      </c>
      <c r="F3848">
        <v>119.8</v>
      </c>
      <c r="G3848" t="str">
        <f>VLOOKUP(Table1_2[[#This Row],[Categories]],Sheet3!$A$1:$B$27,2,FALSE)</f>
        <v>Food &amp;Beverage</v>
      </c>
    </row>
    <row r="3849" spans="1:7" x14ac:dyDescent="0.3">
      <c r="A3849" t="s">
        <v>30</v>
      </c>
      <c r="B3849">
        <v>2017</v>
      </c>
      <c r="C3849" t="s">
        <v>31</v>
      </c>
      <c r="D3849" s="2">
        <v>42736</v>
      </c>
      <c r="E3849" t="s">
        <v>10</v>
      </c>
      <c r="F3849">
        <v>161.69999999999999</v>
      </c>
      <c r="G3849" t="str">
        <f>VLOOKUP(Table1_2[[#This Row],[Categories]],Sheet3!$A$1:$B$27,2,FALSE)</f>
        <v>Food &amp;Beverage</v>
      </c>
    </row>
    <row r="3850" spans="1:7" x14ac:dyDescent="0.3">
      <c r="A3850" t="s">
        <v>30</v>
      </c>
      <c r="B3850">
        <v>2017</v>
      </c>
      <c r="C3850" t="s">
        <v>31</v>
      </c>
      <c r="D3850" s="2">
        <v>42736</v>
      </c>
      <c r="E3850" t="s">
        <v>11</v>
      </c>
      <c r="F3850">
        <v>114.8</v>
      </c>
      <c r="G3850" t="str">
        <f>VLOOKUP(Table1_2[[#This Row],[Categories]],Sheet3!$A$1:$B$27,2,FALSE)</f>
        <v>Food &amp;Beverage</v>
      </c>
    </row>
    <row r="3851" spans="1:7" x14ac:dyDescent="0.3">
      <c r="A3851" t="s">
        <v>30</v>
      </c>
      <c r="B3851">
        <v>2017</v>
      </c>
      <c r="C3851" t="s">
        <v>31</v>
      </c>
      <c r="D3851" s="2">
        <v>42736</v>
      </c>
      <c r="E3851" t="s">
        <v>12</v>
      </c>
      <c r="F3851">
        <v>136.9</v>
      </c>
      <c r="G3851" t="str">
        <f>VLOOKUP(Table1_2[[#This Row],[Categories]],Sheet3!$A$1:$B$27,2,FALSE)</f>
        <v>Food &amp;Beverage</v>
      </c>
    </row>
    <row r="3852" spans="1:7" x14ac:dyDescent="0.3">
      <c r="A3852" t="s">
        <v>30</v>
      </c>
      <c r="B3852">
        <v>2017</v>
      </c>
      <c r="C3852" t="s">
        <v>31</v>
      </c>
      <c r="D3852" s="2">
        <v>42736</v>
      </c>
      <c r="E3852" t="s">
        <v>13</v>
      </c>
      <c r="F3852">
        <v>129</v>
      </c>
      <c r="G3852" t="str">
        <f>VLOOKUP(Table1_2[[#This Row],[Categories]],Sheet3!$A$1:$B$27,2,FALSE)</f>
        <v>Food &amp;Beverage</v>
      </c>
    </row>
    <row r="3853" spans="1:7" x14ac:dyDescent="0.3">
      <c r="A3853" t="s">
        <v>30</v>
      </c>
      <c r="B3853">
        <v>2017</v>
      </c>
      <c r="C3853" t="s">
        <v>31</v>
      </c>
      <c r="D3853" s="2">
        <v>42736</v>
      </c>
      <c r="E3853" t="s">
        <v>14</v>
      </c>
      <c r="F3853">
        <v>143.9</v>
      </c>
      <c r="G3853" t="str">
        <f>VLOOKUP(Table1_2[[#This Row],[Categories]],Sheet3!$A$1:$B$27,2,FALSE)</f>
        <v>Food &amp;Beverage</v>
      </c>
    </row>
    <row r="3854" spans="1:7" x14ac:dyDescent="0.3">
      <c r="A3854" t="s">
        <v>30</v>
      </c>
      <c r="B3854">
        <v>2017</v>
      </c>
      <c r="C3854" t="s">
        <v>31</v>
      </c>
      <c r="D3854" s="2">
        <v>42736</v>
      </c>
      <c r="E3854" t="s">
        <v>15</v>
      </c>
      <c r="F3854">
        <v>133.69999999999999</v>
      </c>
      <c r="G3854" t="str">
        <f>VLOOKUP(Table1_2[[#This Row],[Categories]],Sheet3!$A$1:$B$27,2,FALSE)</f>
        <v>Food &amp;Beverage</v>
      </c>
    </row>
    <row r="3855" spans="1:7" x14ac:dyDescent="0.3">
      <c r="A3855" t="s">
        <v>30</v>
      </c>
      <c r="B3855">
        <v>2017</v>
      </c>
      <c r="C3855" t="s">
        <v>31</v>
      </c>
      <c r="D3855" s="2">
        <v>42736</v>
      </c>
      <c r="E3855" t="s">
        <v>16</v>
      </c>
      <c r="F3855">
        <v>143.1</v>
      </c>
      <c r="G3855" t="str">
        <f>VLOOKUP(Table1_2[[#This Row],[Categories]],Sheet3!$A$1:$B$27,2,FALSE)</f>
        <v>Recreation and amusement</v>
      </c>
    </row>
    <row r="3856" spans="1:7" x14ac:dyDescent="0.3">
      <c r="A3856" t="s">
        <v>30</v>
      </c>
      <c r="B3856">
        <v>2017</v>
      </c>
      <c r="C3856" t="s">
        <v>31</v>
      </c>
      <c r="D3856" s="2">
        <v>42736</v>
      </c>
      <c r="E3856" t="s">
        <v>17</v>
      </c>
      <c r="F3856">
        <v>140.69999999999999</v>
      </c>
      <c r="G3856" t="str">
        <f>VLOOKUP(Table1_2[[#This Row],[Categories]],Sheet3!$A$1:$B$27,2,FALSE)</f>
        <v>Clothing and footwear</v>
      </c>
    </row>
    <row r="3857" spans="1:7" x14ac:dyDescent="0.3">
      <c r="A3857" t="s">
        <v>30</v>
      </c>
      <c r="B3857">
        <v>2017</v>
      </c>
      <c r="C3857" t="s">
        <v>31</v>
      </c>
      <c r="D3857" s="2">
        <v>42736</v>
      </c>
      <c r="E3857" t="s">
        <v>18</v>
      </c>
      <c r="F3857">
        <v>135.80000000000001</v>
      </c>
      <c r="G3857" t="str">
        <f>VLOOKUP(Table1_2[[#This Row],[Categories]],Sheet3!$A$1:$B$27,2,FALSE)</f>
        <v>Clothing and footwear</v>
      </c>
    </row>
    <row r="3858" spans="1:7" x14ac:dyDescent="0.3">
      <c r="A3858" t="s">
        <v>30</v>
      </c>
      <c r="B3858">
        <v>2017</v>
      </c>
      <c r="C3858" t="s">
        <v>31</v>
      </c>
      <c r="D3858" s="2">
        <v>42736</v>
      </c>
      <c r="E3858" t="s">
        <v>19</v>
      </c>
      <c r="F3858">
        <v>140</v>
      </c>
      <c r="G3858" t="str">
        <f>VLOOKUP(Table1_2[[#This Row],[Categories]],Sheet3!$A$1:$B$27,2,FALSE)</f>
        <v>Clothing and footwear</v>
      </c>
    </row>
    <row r="3859" spans="1:7" x14ac:dyDescent="0.3">
      <c r="A3859" t="s">
        <v>30</v>
      </c>
      <c r="B3859">
        <v>2017</v>
      </c>
      <c r="C3859" t="s">
        <v>31</v>
      </c>
      <c r="D3859" s="2">
        <v>42736</v>
      </c>
      <c r="E3859" t="s">
        <v>21</v>
      </c>
      <c r="F3859">
        <v>132.1</v>
      </c>
      <c r="G3859" t="str">
        <f>VLOOKUP(Table1_2[[#This Row],[Categories]],Sheet3!$A$1:$B$27,2,FALSE)</f>
        <v>Fuel and light</v>
      </c>
    </row>
    <row r="3860" spans="1:7" x14ac:dyDescent="0.3">
      <c r="A3860" t="s">
        <v>30</v>
      </c>
      <c r="B3860">
        <v>2017</v>
      </c>
      <c r="C3860" t="s">
        <v>31</v>
      </c>
      <c r="D3860" s="2">
        <v>42736</v>
      </c>
      <c r="E3860" t="s">
        <v>22</v>
      </c>
      <c r="F3860">
        <v>133.19999999999999</v>
      </c>
      <c r="G3860" t="str">
        <f>VLOOKUP(Table1_2[[#This Row],[Categories]],Sheet3!$A$1:$B$27,2,FALSE)</f>
        <v>Household Items</v>
      </c>
    </row>
    <row r="3861" spans="1:7" x14ac:dyDescent="0.3">
      <c r="A3861" t="s">
        <v>30</v>
      </c>
      <c r="B3861">
        <v>2017</v>
      </c>
      <c r="C3861" t="s">
        <v>31</v>
      </c>
      <c r="D3861" s="2">
        <v>42736</v>
      </c>
      <c r="E3861" t="s">
        <v>23</v>
      </c>
      <c r="F3861">
        <v>129.9</v>
      </c>
      <c r="G3861" t="str">
        <f>VLOOKUP(Table1_2[[#This Row],[Categories]],Sheet3!$A$1:$B$27,2,FALSE)</f>
        <v>Health</v>
      </c>
    </row>
    <row r="3862" spans="1:7" x14ac:dyDescent="0.3">
      <c r="A3862" t="s">
        <v>30</v>
      </c>
      <c r="B3862">
        <v>2017</v>
      </c>
      <c r="C3862" t="s">
        <v>31</v>
      </c>
      <c r="D3862" s="2">
        <v>42736</v>
      </c>
      <c r="E3862" t="s">
        <v>24</v>
      </c>
      <c r="F3862">
        <v>119.1</v>
      </c>
      <c r="G3862" t="str">
        <f>VLOOKUP(Table1_2[[#This Row],[Categories]],Sheet3!$A$1:$B$27,2,FALSE)</f>
        <v>Transport and communication</v>
      </c>
    </row>
    <row r="3863" spans="1:7" x14ac:dyDescent="0.3">
      <c r="A3863" t="s">
        <v>30</v>
      </c>
      <c r="B3863">
        <v>2017</v>
      </c>
      <c r="C3863" t="s">
        <v>31</v>
      </c>
      <c r="D3863" s="2">
        <v>42736</v>
      </c>
      <c r="E3863" t="s">
        <v>25</v>
      </c>
      <c r="F3863">
        <v>127</v>
      </c>
      <c r="G3863" t="str">
        <f>VLOOKUP(Table1_2[[#This Row],[Categories]],Sheet3!$A$1:$B$27,2,FALSE)</f>
        <v>Recreation and amusement</v>
      </c>
    </row>
    <row r="3864" spans="1:7" x14ac:dyDescent="0.3">
      <c r="A3864" t="s">
        <v>30</v>
      </c>
      <c r="B3864">
        <v>2017</v>
      </c>
      <c r="C3864" t="s">
        <v>31</v>
      </c>
      <c r="D3864" s="2">
        <v>42736</v>
      </c>
      <c r="E3864" t="s">
        <v>26</v>
      </c>
      <c r="F3864">
        <v>134.6</v>
      </c>
      <c r="G3864" t="str">
        <f>VLOOKUP(Table1_2[[#This Row],[Categories]],Sheet3!$A$1:$B$27,2,FALSE)</f>
        <v>Education</v>
      </c>
    </row>
    <row r="3865" spans="1:7" x14ac:dyDescent="0.3">
      <c r="A3865" t="s">
        <v>30</v>
      </c>
      <c r="B3865">
        <v>2017</v>
      </c>
      <c r="C3865" t="s">
        <v>31</v>
      </c>
      <c r="D3865" s="2">
        <v>42736</v>
      </c>
      <c r="E3865" t="s">
        <v>27</v>
      </c>
      <c r="F3865">
        <v>122.3</v>
      </c>
      <c r="G3865" t="str">
        <f>VLOOKUP(Table1_2[[#This Row],[Categories]],Sheet3!$A$1:$B$27,2,FALSE)</f>
        <v>Household Items</v>
      </c>
    </row>
    <row r="3866" spans="1:7" x14ac:dyDescent="0.3">
      <c r="A3866" t="s">
        <v>30</v>
      </c>
      <c r="B3866">
        <v>2017</v>
      </c>
      <c r="C3866" t="s">
        <v>31</v>
      </c>
      <c r="D3866" s="2">
        <v>42736</v>
      </c>
      <c r="E3866" t="s">
        <v>28</v>
      </c>
      <c r="F3866">
        <v>126.6</v>
      </c>
      <c r="G3866" t="str">
        <f>VLOOKUP(Table1_2[[#This Row],[Categories]],Sheet3!$A$1:$B$27,2,FALSE)</f>
        <v>Miscellaneous</v>
      </c>
    </row>
    <row r="3867" spans="1:7" x14ac:dyDescent="0.3">
      <c r="A3867" t="s">
        <v>30</v>
      </c>
      <c r="B3867">
        <v>2017</v>
      </c>
      <c r="C3867" t="s">
        <v>31</v>
      </c>
      <c r="D3867" s="2">
        <v>42736</v>
      </c>
      <c r="E3867" t="s">
        <v>29</v>
      </c>
      <c r="F3867">
        <v>132.4</v>
      </c>
      <c r="G3867" t="str">
        <f>VLOOKUP(Table1_2[[#This Row],[Categories]],Sheet3!$A$1:$B$27,2,FALSE)</f>
        <v>General index</v>
      </c>
    </row>
    <row r="3868" spans="1:7" x14ac:dyDescent="0.3">
      <c r="A3868" t="s">
        <v>33</v>
      </c>
      <c r="B3868">
        <v>2017</v>
      </c>
      <c r="C3868" t="s">
        <v>31</v>
      </c>
      <c r="D3868" s="2">
        <v>42736</v>
      </c>
      <c r="E3868" t="s">
        <v>3</v>
      </c>
      <c r="F3868">
        <v>132.19999999999999</v>
      </c>
      <c r="G3868" t="str">
        <f>VLOOKUP(Table1_2[[#This Row],[Categories]],Sheet3!$A$1:$B$27,2,FALSE)</f>
        <v>Food &amp;Beverage</v>
      </c>
    </row>
    <row r="3869" spans="1:7" x14ac:dyDescent="0.3">
      <c r="A3869" t="s">
        <v>33</v>
      </c>
      <c r="B3869">
        <v>2017</v>
      </c>
      <c r="C3869" t="s">
        <v>31</v>
      </c>
      <c r="D3869" s="2">
        <v>42736</v>
      </c>
      <c r="E3869" t="s">
        <v>4</v>
      </c>
      <c r="F3869">
        <v>138.9</v>
      </c>
      <c r="G3869" t="str">
        <f>VLOOKUP(Table1_2[[#This Row],[Categories]],Sheet3!$A$1:$B$27,2,FALSE)</f>
        <v>Food &amp;Beverage</v>
      </c>
    </row>
    <row r="3870" spans="1:7" x14ac:dyDescent="0.3">
      <c r="A3870" t="s">
        <v>33</v>
      </c>
      <c r="B3870">
        <v>2017</v>
      </c>
      <c r="C3870" t="s">
        <v>31</v>
      </c>
      <c r="D3870" s="2">
        <v>42736</v>
      </c>
      <c r="E3870" t="s">
        <v>5</v>
      </c>
      <c r="F3870">
        <v>132.6</v>
      </c>
      <c r="G3870" t="str">
        <f>VLOOKUP(Table1_2[[#This Row],[Categories]],Sheet3!$A$1:$B$27,2,FALSE)</f>
        <v>Food &amp;Beverage</v>
      </c>
    </row>
    <row r="3871" spans="1:7" x14ac:dyDescent="0.3">
      <c r="A3871" t="s">
        <v>33</v>
      </c>
      <c r="B3871">
        <v>2017</v>
      </c>
      <c r="C3871" t="s">
        <v>31</v>
      </c>
      <c r="D3871" s="2">
        <v>42736</v>
      </c>
      <c r="E3871" t="s">
        <v>6</v>
      </c>
      <c r="F3871">
        <v>133.1</v>
      </c>
      <c r="G3871" t="str">
        <f>VLOOKUP(Table1_2[[#This Row],[Categories]],Sheet3!$A$1:$B$27,2,FALSE)</f>
        <v>Food &amp;Beverage</v>
      </c>
    </row>
    <row r="3872" spans="1:7" x14ac:dyDescent="0.3">
      <c r="A3872" t="s">
        <v>33</v>
      </c>
      <c r="B3872">
        <v>2017</v>
      </c>
      <c r="C3872" t="s">
        <v>31</v>
      </c>
      <c r="D3872" s="2">
        <v>42736</v>
      </c>
      <c r="E3872" t="s">
        <v>7</v>
      </c>
      <c r="F3872">
        <v>114</v>
      </c>
      <c r="G3872" t="str">
        <f>VLOOKUP(Table1_2[[#This Row],[Categories]],Sheet3!$A$1:$B$27,2,FALSE)</f>
        <v>Food &amp;Beverage</v>
      </c>
    </row>
    <row r="3873" spans="1:7" x14ac:dyDescent="0.3">
      <c r="A3873" t="s">
        <v>33</v>
      </c>
      <c r="B3873">
        <v>2017</v>
      </c>
      <c r="C3873" t="s">
        <v>31</v>
      </c>
      <c r="D3873" s="2">
        <v>42736</v>
      </c>
      <c r="E3873" t="s">
        <v>8</v>
      </c>
      <c r="F3873">
        <v>129.6</v>
      </c>
      <c r="G3873" t="str">
        <f>VLOOKUP(Table1_2[[#This Row],[Categories]],Sheet3!$A$1:$B$27,2,FALSE)</f>
        <v>Food &amp;Beverage</v>
      </c>
    </row>
    <row r="3874" spans="1:7" x14ac:dyDescent="0.3">
      <c r="A3874" t="s">
        <v>33</v>
      </c>
      <c r="B3874">
        <v>2017</v>
      </c>
      <c r="C3874" t="s">
        <v>31</v>
      </c>
      <c r="D3874" s="2">
        <v>42736</v>
      </c>
      <c r="E3874" t="s">
        <v>9</v>
      </c>
      <c r="F3874">
        <v>118.7</v>
      </c>
      <c r="G3874" t="str">
        <f>VLOOKUP(Table1_2[[#This Row],[Categories]],Sheet3!$A$1:$B$27,2,FALSE)</f>
        <v>Food &amp;Beverage</v>
      </c>
    </row>
    <row r="3875" spans="1:7" x14ac:dyDescent="0.3">
      <c r="A3875" t="s">
        <v>33</v>
      </c>
      <c r="B3875">
        <v>2017</v>
      </c>
      <c r="C3875" t="s">
        <v>31</v>
      </c>
      <c r="D3875" s="2">
        <v>42736</v>
      </c>
      <c r="E3875" t="s">
        <v>10</v>
      </c>
      <c r="F3875">
        <v>155.1</v>
      </c>
      <c r="G3875" t="str">
        <f>VLOOKUP(Table1_2[[#This Row],[Categories]],Sheet3!$A$1:$B$27,2,FALSE)</f>
        <v>Food &amp;Beverage</v>
      </c>
    </row>
    <row r="3876" spans="1:7" x14ac:dyDescent="0.3">
      <c r="A3876" t="s">
        <v>33</v>
      </c>
      <c r="B3876">
        <v>2017</v>
      </c>
      <c r="C3876" t="s">
        <v>31</v>
      </c>
      <c r="D3876" s="2">
        <v>42736</v>
      </c>
      <c r="E3876" t="s">
        <v>11</v>
      </c>
      <c r="F3876">
        <v>117.3</v>
      </c>
      <c r="G3876" t="str">
        <f>VLOOKUP(Table1_2[[#This Row],[Categories]],Sheet3!$A$1:$B$27,2,FALSE)</f>
        <v>Food &amp;Beverage</v>
      </c>
    </row>
    <row r="3877" spans="1:7" x14ac:dyDescent="0.3">
      <c r="A3877" t="s">
        <v>33</v>
      </c>
      <c r="B3877">
        <v>2017</v>
      </c>
      <c r="C3877" t="s">
        <v>31</v>
      </c>
      <c r="D3877" s="2">
        <v>42736</v>
      </c>
      <c r="E3877" t="s">
        <v>12</v>
      </c>
      <c r="F3877">
        <v>144.9</v>
      </c>
      <c r="G3877" t="str">
        <f>VLOOKUP(Table1_2[[#This Row],[Categories]],Sheet3!$A$1:$B$27,2,FALSE)</f>
        <v>Food &amp;Beverage</v>
      </c>
    </row>
    <row r="3878" spans="1:7" x14ac:dyDescent="0.3">
      <c r="A3878" t="s">
        <v>33</v>
      </c>
      <c r="B3878">
        <v>2017</v>
      </c>
      <c r="C3878" t="s">
        <v>31</v>
      </c>
      <c r="D3878" s="2">
        <v>42736</v>
      </c>
      <c r="E3878" t="s">
        <v>13</v>
      </c>
      <c r="F3878">
        <v>123.2</v>
      </c>
      <c r="G3878" t="str">
        <f>VLOOKUP(Table1_2[[#This Row],[Categories]],Sheet3!$A$1:$B$27,2,FALSE)</f>
        <v>Food &amp;Beverage</v>
      </c>
    </row>
    <row r="3879" spans="1:7" x14ac:dyDescent="0.3">
      <c r="A3879" t="s">
        <v>33</v>
      </c>
      <c r="B3879">
        <v>2017</v>
      </c>
      <c r="C3879" t="s">
        <v>31</v>
      </c>
      <c r="D3879" s="2">
        <v>42736</v>
      </c>
      <c r="E3879" t="s">
        <v>14</v>
      </c>
      <c r="F3879">
        <v>141.6</v>
      </c>
      <c r="G3879" t="str">
        <f>VLOOKUP(Table1_2[[#This Row],[Categories]],Sheet3!$A$1:$B$27,2,FALSE)</f>
        <v>Food &amp;Beverage</v>
      </c>
    </row>
    <row r="3880" spans="1:7" x14ac:dyDescent="0.3">
      <c r="A3880" t="s">
        <v>33</v>
      </c>
      <c r="B3880">
        <v>2017</v>
      </c>
      <c r="C3880" t="s">
        <v>31</v>
      </c>
      <c r="D3880" s="2">
        <v>42736</v>
      </c>
      <c r="E3880" t="s">
        <v>15</v>
      </c>
      <c r="F3880">
        <v>132</v>
      </c>
      <c r="G3880" t="str">
        <f>VLOOKUP(Table1_2[[#This Row],[Categories]],Sheet3!$A$1:$B$27,2,FALSE)</f>
        <v>Food &amp;Beverage</v>
      </c>
    </row>
    <row r="3881" spans="1:7" x14ac:dyDescent="0.3">
      <c r="A3881" t="s">
        <v>33</v>
      </c>
      <c r="B3881">
        <v>2017</v>
      </c>
      <c r="C3881" t="s">
        <v>31</v>
      </c>
      <c r="D3881" s="2">
        <v>42736</v>
      </c>
      <c r="E3881" t="s">
        <v>16</v>
      </c>
      <c r="F3881">
        <v>145.6</v>
      </c>
      <c r="G3881" t="str">
        <f>VLOOKUP(Table1_2[[#This Row],[Categories]],Sheet3!$A$1:$B$27,2,FALSE)</f>
        <v>Recreation and amusement</v>
      </c>
    </row>
    <row r="3882" spans="1:7" x14ac:dyDescent="0.3">
      <c r="A3882" t="s">
        <v>33</v>
      </c>
      <c r="B3882">
        <v>2017</v>
      </c>
      <c r="C3882" t="s">
        <v>31</v>
      </c>
      <c r="D3882" s="2">
        <v>42736</v>
      </c>
      <c r="E3882" t="s">
        <v>17</v>
      </c>
      <c r="F3882">
        <v>130.19999999999999</v>
      </c>
      <c r="G3882" t="str">
        <f>VLOOKUP(Table1_2[[#This Row],[Categories]],Sheet3!$A$1:$B$27,2,FALSE)</f>
        <v>Clothing and footwear</v>
      </c>
    </row>
    <row r="3883" spans="1:7" x14ac:dyDescent="0.3">
      <c r="A3883" t="s">
        <v>33</v>
      </c>
      <c r="B3883">
        <v>2017</v>
      </c>
      <c r="C3883" t="s">
        <v>31</v>
      </c>
      <c r="D3883" s="2">
        <v>42736</v>
      </c>
      <c r="E3883" t="s">
        <v>18</v>
      </c>
      <c r="F3883">
        <v>122.3</v>
      </c>
      <c r="G3883" t="str">
        <f>VLOOKUP(Table1_2[[#This Row],[Categories]],Sheet3!$A$1:$B$27,2,FALSE)</f>
        <v>Clothing and footwear</v>
      </c>
    </row>
    <row r="3884" spans="1:7" x14ac:dyDescent="0.3">
      <c r="A3884" t="s">
        <v>33</v>
      </c>
      <c r="B3884">
        <v>2017</v>
      </c>
      <c r="C3884" t="s">
        <v>31</v>
      </c>
      <c r="D3884" s="2">
        <v>42736</v>
      </c>
      <c r="E3884" t="s">
        <v>19</v>
      </c>
      <c r="F3884">
        <v>129</v>
      </c>
      <c r="G3884" t="str">
        <f>VLOOKUP(Table1_2[[#This Row],[Categories]],Sheet3!$A$1:$B$27,2,FALSE)</f>
        <v>Clothing and footwear</v>
      </c>
    </row>
    <row r="3885" spans="1:7" x14ac:dyDescent="0.3">
      <c r="A3885" t="s">
        <v>33</v>
      </c>
      <c r="B3885">
        <v>2017</v>
      </c>
      <c r="C3885" t="s">
        <v>31</v>
      </c>
      <c r="D3885" s="2">
        <v>42736</v>
      </c>
      <c r="E3885" t="s">
        <v>20</v>
      </c>
      <c r="F3885">
        <v>129.6</v>
      </c>
      <c r="G3885" t="str">
        <f>VLOOKUP(Table1_2[[#This Row],[Categories]],Sheet3!$A$1:$B$27,2,FALSE)</f>
        <v>Housing</v>
      </c>
    </row>
    <row r="3886" spans="1:7" x14ac:dyDescent="0.3">
      <c r="A3886" t="s">
        <v>33</v>
      </c>
      <c r="B3886">
        <v>2017</v>
      </c>
      <c r="C3886" t="s">
        <v>31</v>
      </c>
      <c r="D3886" s="2">
        <v>42736</v>
      </c>
      <c r="E3886" t="s">
        <v>21</v>
      </c>
      <c r="F3886">
        <v>118</v>
      </c>
      <c r="G3886" t="str">
        <f>VLOOKUP(Table1_2[[#This Row],[Categories]],Sheet3!$A$1:$B$27,2,FALSE)</f>
        <v>Fuel and light</v>
      </c>
    </row>
    <row r="3887" spans="1:7" x14ac:dyDescent="0.3">
      <c r="A3887" t="s">
        <v>33</v>
      </c>
      <c r="B3887">
        <v>2017</v>
      </c>
      <c r="C3887" t="s">
        <v>31</v>
      </c>
      <c r="D3887" s="2">
        <v>42736</v>
      </c>
      <c r="E3887" t="s">
        <v>22</v>
      </c>
      <c r="F3887">
        <v>125.1</v>
      </c>
      <c r="G3887" t="str">
        <f>VLOOKUP(Table1_2[[#This Row],[Categories]],Sheet3!$A$1:$B$27,2,FALSE)</f>
        <v>Household Items</v>
      </c>
    </row>
    <row r="3888" spans="1:7" x14ac:dyDescent="0.3">
      <c r="A3888" t="s">
        <v>33</v>
      </c>
      <c r="B3888">
        <v>2017</v>
      </c>
      <c r="C3888" t="s">
        <v>31</v>
      </c>
      <c r="D3888" s="2">
        <v>42736</v>
      </c>
      <c r="E3888" t="s">
        <v>23</v>
      </c>
      <c r="F3888">
        <v>122.6</v>
      </c>
      <c r="G3888" t="str">
        <f>VLOOKUP(Table1_2[[#This Row],[Categories]],Sheet3!$A$1:$B$27,2,FALSE)</f>
        <v>Health</v>
      </c>
    </row>
    <row r="3889" spans="1:7" x14ac:dyDescent="0.3">
      <c r="A3889" t="s">
        <v>33</v>
      </c>
      <c r="B3889">
        <v>2017</v>
      </c>
      <c r="C3889" t="s">
        <v>31</v>
      </c>
      <c r="D3889" s="2">
        <v>42736</v>
      </c>
      <c r="E3889" t="s">
        <v>24</v>
      </c>
      <c r="F3889">
        <v>115.2</v>
      </c>
      <c r="G3889" t="str">
        <f>VLOOKUP(Table1_2[[#This Row],[Categories]],Sheet3!$A$1:$B$27,2,FALSE)</f>
        <v>Transport and communication</v>
      </c>
    </row>
    <row r="3890" spans="1:7" x14ac:dyDescent="0.3">
      <c r="A3890" t="s">
        <v>33</v>
      </c>
      <c r="B3890">
        <v>2017</v>
      </c>
      <c r="C3890" t="s">
        <v>31</v>
      </c>
      <c r="D3890" s="2">
        <v>42736</v>
      </c>
      <c r="E3890" t="s">
        <v>25</v>
      </c>
      <c r="F3890">
        <v>122</v>
      </c>
      <c r="G3890" t="str">
        <f>VLOOKUP(Table1_2[[#This Row],[Categories]],Sheet3!$A$1:$B$27,2,FALSE)</f>
        <v>Recreation and amusement</v>
      </c>
    </row>
    <row r="3891" spans="1:7" x14ac:dyDescent="0.3">
      <c r="A3891" t="s">
        <v>33</v>
      </c>
      <c r="B3891">
        <v>2017</v>
      </c>
      <c r="C3891" t="s">
        <v>31</v>
      </c>
      <c r="D3891" s="2">
        <v>42736</v>
      </c>
      <c r="E3891" t="s">
        <v>26</v>
      </c>
      <c r="F3891">
        <v>132.4</v>
      </c>
      <c r="G3891" t="str">
        <f>VLOOKUP(Table1_2[[#This Row],[Categories]],Sheet3!$A$1:$B$27,2,FALSE)</f>
        <v>Education</v>
      </c>
    </row>
    <row r="3892" spans="1:7" x14ac:dyDescent="0.3">
      <c r="A3892" t="s">
        <v>33</v>
      </c>
      <c r="B3892">
        <v>2017</v>
      </c>
      <c r="C3892" t="s">
        <v>31</v>
      </c>
      <c r="D3892" s="2">
        <v>42736</v>
      </c>
      <c r="E3892" t="s">
        <v>27</v>
      </c>
      <c r="F3892">
        <v>120.9</v>
      </c>
      <c r="G3892" t="str">
        <f>VLOOKUP(Table1_2[[#This Row],[Categories]],Sheet3!$A$1:$B$27,2,FALSE)</f>
        <v>Household Items</v>
      </c>
    </row>
    <row r="3893" spans="1:7" x14ac:dyDescent="0.3">
      <c r="A3893" t="s">
        <v>33</v>
      </c>
      <c r="B3893">
        <v>2017</v>
      </c>
      <c r="C3893" t="s">
        <v>31</v>
      </c>
      <c r="D3893" s="2">
        <v>42736</v>
      </c>
      <c r="E3893" t="s">
        <v>28</v>
      </c>
      <c r="F3893">
        <v>122.1</v>
      </c>
      <c r="G3893" t="str">
        <f>VLOOKUP(Table1_2[[#This Row],[Categories]],Sheet3!$A$1:$B$27,2,FALSE)</f>
        <v>Miscellaneous</v>
      </c>
    </row>
    <row r="3894" spans="1:7" x14ac:dyDescent="0.3">
      <c r="A3894" t="s">
        <v>33</v>
      </c>
      <c r="B3894">
        <v>2017</v>
      </c>
      <c r="C3894" t="s">
        <v>31</v>
      </c>
      <c r="D3894" s="2">
        <v>42736</v>
      </c>
      <c r="E3894" t="s">
        <v>29</v>
      </c>
      <c r="F3894">
        <v>127.8</v>
      </c>
      <c r="G3894" t="str">
        <f>VLOOKUP(Table1_2[[#This Row],[Categories]],Sheet3!$A$1:$B$27,2,FALSE)</f>
        <v>General index</v>
      </c>
    </row>
    <row r="3895" spans="1:7" x14ac:dyDescent="0.3">
      <c r="A3895" t="s">
        <v>34</v>
      </c>
      <c r="B3895">
        <v>2017</v>
      </c>
      <c r="C3895" t="s">
        <v>31</v>
      </c>
      <c r="D3895" s="2">
        <v>42736</v>
      </c>
      <c r="E3895" t="s">
        <v>3</v>
      </c>
      <c r="F3895">
        <v>132.80000000000001</v>
      </c>
      <c r="G3895" t="str">
        <f>VLOOKUP(Table1_2[[#This Row],[Categories]],Sheet3!$A$1:$B$27,2,FALSE)</f>
        <v>Food &amp;Beverage</v>
      </c>
    </row>
    <row r="3896" spans="1:7" x14ac:dyDescent="0.3">
      <c r="A3896" t="s">
        <v>34</v>
      </c>
      <c r="B3896">
        <v>2017</v>
      </c>
      <c r="C3896" t="s">
        <v>31</v>
      </c>
      <c r="D3896" s="2">
        <v>42736</v>
      </c>
      <c r="E3896" t="s">
        <v>4</v>
      </c>
      <c r="F3896">
        <v>138.19999999999999</v>
      </c>
      <c r="G3896" t="str">
        <f>VLOOKUP(Table1_2[[#This Row],[Categories]],Sheet3!$A$1:$B$27,2,FALSE)</f>
        <v>Food &amp;Beverage</v>
      </c>
    </row>
    <row r="3897" spans="1:7" x14ac:dyDescent="0.3">
      <c r="A3897" t="s">
        <v>34</v>
      </c>
      <c r="B3897">
        <v>2017</v>
      </c>
      <c r="C3897" t="s">
        <v>31</v>
      </c>
      <c r="D3897" s="2">
        <v>42736</v>
      </c>
      <c r="E3897" t="s">
        <v>5</v>
      </c>
      <c r="F3897">
        <v>132.19999999999999</v>
      </c>
      <c r="G3897" t="str">
        <f>VLOOKUP(Table1_2[[#This Row],[Categories]],Sheet3!$A$1:$B$27,2,FALSE)</f>
        <v>Food &amp;Beverage</v>
      </c>
    </row>
    <row r="3898" spans="1:7" x14ac:dyDescent="0.3">
      <c r="A3898" t="s">
        <v>34</v>
      </c>
      <c r="B3898">
        <v>2017</v>
      </c>
      <c r="C3898" t="s">
        <v>31</v>
      </c>
      <c r="D3898" s="2">
        <v>42736</v>
      </c>
      <c r="E3898" t="s">
        <v>6</v>
      </c>
      <c r="F3898">
        <v>135.4</v>
      </c>
      <c r="G3898" t="str">
        <f>VLOOKUP(Table1_2[[#This Row],[Categories]],Sheet3!$A$1:$B$27,2,FALSE)</f>
        <v>Food &amp;Beverage</v>
      </c>
    </row>
    <row r="3899" spans="1:7" x14ac:dyDescent="0.3">
      <c r="A3899" t="s">
        <v>34</v>
      </c>
      <c r="B3899">
        <v>2017</v>
      </c>
      <c r="C3899" t="s">
        <v>31</v>
      </c>
      <c r="D3899" s="2">
        <v>42736</v>
      </c>
      <c r="E3899" t="s">
        <v>7</v>
      </c>
      <c r="F3899">
        <v>119.1</v>
      </c>
      <c r="G3899" t="str">
        <f>VLOOKUP(Table1_2[[#This Row],[Categories]],Sheet3!$A$1:$B$27,2,FALSE)</f>
        <v>Food &amp;Beverage</v>
      </c>
    </row>
    <row r="3900" spans="1:7" x14ac:dyDescent="0.3">
      <c r="A3900" t="s">
        <v>34</v>
      </c>
      <c r="B3900">
        <v>2017</v>
      </c>
      <c r="C3900" t="s">
        <v>31</v>
      </c>
      <c r="D3900" s="2">
        <v>42736</v>
      </c>
      <c r="E3900" t="s">
        <v>8</v>
      </c>
      <c r="F3900">
        <v>133</v>
      </c>
      <c r="G3900" t="str">
        <f>VLOOKUP(Table1_2[[#This Row],[Categories]],Sheet3!$A$1:$B$27,2,FALSE)</f>
        <v>Food &amp;Beverage</v>
      </c>
    </row>
    <row r="3901" spans="1:7" x14ac:dyDescent="0.3">
      <c r="A3901" t="s">
        <v>34</v>
      </c>
      <c r="B3901">
        <v>2017</v>
      </c>
      <c r="C3901" t="s">
        <v>31</v>
      </c>
      <c r="D3901" s="2">
        <v>42736</v>
      </c>
      <c r="E3901" t="s">
        <v>9</v>
      </c>
      <c r="F3901">
        <v>119.4</v>
      </c>
      <c r="G3901" t="str">
        <f>VLOOKUP(Table1_2[[#This Row],[Categories]],Sheet3!$A$1:$B$27,2,FALSE)</f>
        <v>Food &amp;Beverage</v>
      </c>
    </row>
    <row r="3902" spans="1:7" x14ac:dyDescent="0.3">
      <c r="A3902" t="s">
        <v>34</v>
      </c>
      <c r="B3902">
        <v>2017</v>
      </c>
      <c r="C3902" t="s">
        <v>31</v>
      </c>
      <c r="D3902" s="2">
        <v>42736</v>
      </c>
      <c r="E3902" t="s">
        <v>10</v>
      </c>
      <c r="F3902">
        <v>159.5</v>
      </c>
      <c r="G3902" t="str">
        <f>VLOOKUP(Table1_2[[#This Row],[Categories]],Sheet3!$A$1:$B$27,2,FALSE)</f>
        <v>Food &amp;Beverage</v>
      </c>
    </row>
    <row r="3903" spans="1:7" x14ac:dyDescent="0.3">
      <c r="A3903" t="s">
        <v>34</v>
      </c>
      <c r="B3903">
        <v>2017</v>
      </c>
      <c r="C3903" t="s">
        <v>31</v>
      </c>
      <c r="D3903" s="2">
        <v>42736</v>
      </c>
      <c r="E3903" t="s">
        <v>11</v>
      </c>
      <c r="F3903">
        <v>115.6</v>
      </c>
      <c r="G3903" t="str">
        <f>VLOOKUP(Table1_2[[#This Row],[Categories]],Sheet3!$A$1:$B$27,2,FALSE)</f>
        <v>Food &amp;Beverage</v>
      </c>
    </row>
    <row r="3904" spans="1:7" x14ac:dyDescent="0.3">
      <c r="A3904" t="s">
        <v>34</v>
      </c>
      <c r="B3904">
        <v>2017</v>
      </c>
      <c r="C3904" t="s">
        <v>31</v>
      </c>
      <c r="D3904" s="2">
        <v>42736</v>
      </c>
      <c r="E3904" t="s">
        <v>12</v>
      </c>
      <c r="F3904">
        <v>139.6</v>
      </c>
      <c r="G3904" t="str">
        <f>VLOOKUP(Table1_2[[#This Row],[Categories]],Sheet3!$A$1:$B$27,2,FALSE)</f>
        <v>Food &amp;Beverage</v>
      </c>
    </row>
    <row r="3905" spans="1:7" x14ac:dyDescent="0.3">
      <c r="A3905" t="s">
        <v>34</v>
      </c>
      <c r="B3905">
        <v>2017</v>
      </c>
      <c r="C3905" t="s">
        <v>31</v>
      </c>
      <c r="D3905" s="2">
        <v>42736</v>
      </c>
      <c r="E3905" t="s">
        <v>13</v>
      </c>
      <c r="F3905">
        <v>126.6</v>
      </c>
      <c r="G3905" t="str">
        <f>VLOOKUP(Table1_2[[#This Row],[Categories]],Sheet3!$A$1:$B$27,2,FALSE)</f>
        <v>Food &amp;Beverage</v>
      </c>
    </row>
    <row r="3906" spans="1:7" x14ac:dyDescent="0.3">
      <c r="A3906" t="s">
        <v>34</v>
      </c>
      <c r="B3906">
        <v>2017</v>
      </c>
      <c r="C3906" t="s">
        <v>31</v>
      </c>
      <c r="D3906" s="2">
        <v>42736</v>
      </c>
      <c r="E3906" t="s">
        <v>14</v>
      </c>
      <c r="F3906">
        <v>142.80000000000001</v>
      </c>
      <c r="G3906" t="str">
        <f>VLOOKUP(Table1_2[[#This Row],[Categories]],Sheet3!$A$1:$B$27,2,FALSE)</f>
        <v>Food &amp;Beverage</v>
      </c>
    </row>
    <row r="3907" spans="1:7" x14ac:dyDescent="0.3">
      <c r="A3907" t="s">
        <v>34</v>
      </c>
      <c r="B3907">
        <v>2017</v>
      </c>
      <c r="C3907" t="s">
        <v>31</v>
      </c>
      <c r="D3907" s="2">
        <v>42736</v>
      </c>
      <c r="E3907" t="s">
        <v>15</v>
      </c>
      <c r="F3907">
        <v>133.1</v>
      </c>
      <c r="G3907" t="str">
        <f>VLOOKUP(Table1_2[[#This Row],[Categories]],Sheet3!$A$1:$B$27,2,FALSE)</f>
        <v>Food &amp;Beverage</v>
      </c>
    </row>
    <row r="3908" spans="1:7" x14ac:dyDescent="0.3">
      <c r="A3908" t="s">
        <v>34</v>
      </c>
      <c r="B3908">
        <v>2017</v>
      </c>
      <c r="C3908" t="s">
        <v>31</v>
      </c>
      <c r="D3908" s="2">
        <v>42736</v>
      </c>
      <c r="E3908" t="s">
        <v>16</v>
      </c>
      <c r="F3908">
        <v>143.80000000000001</v>
      </c>
      <c r="G3908" t="str">
        <f>VLOOKUP(Table1_2[[#This Row],[Categories]],Sheet3!$A$1:$B$27,2,FALSE)</f>
        <v>Recreation and amusement</v>
      </c>
    </row>
    <row r="3909" spans="1:7" x14ac:dyDescent="0.3">
      <c r="A3909" t="s">
        <v>34</v>
      </c>
      <c r="B3909">
        <v>2017</v>
      </c>
      <c r="C3909" t="s">
        <v>31</v>
      </c>
      <c r="D3909" s="2">
        <v>42736</v>
      </c>
      <c r="E3909" t="s">
        <v>17</v>
      </c>
      <c r="F3909">
        <v>136.6</v>
      </c>
      <c r="G3909" t="str">
        <f>VLOOKUP(Table1_2[[#This Row],[Categories]],Sheet3!$A$1:$B$27,2,FALSE)</f>
        <v>Clothing and footwear</v>
      </c>
    </row>
    <row r="3910" spans="1:7" x14ac:dyDescent="0.3">
      <c r="A3910" t="s">
        <v>34</v>
      </c>
      <c r="B3910">
        <v>2017</v>
      </c>
      <c r="C3910" t="s">
        <v>31</v>
      </c>
      <c r="D3910" s="2">
        <v>42736</v>
      </c>
      <c r="E3910" t="s">
        <v>18</v>
      </c>
      <c r="F3910">
        <v>130.19999999999999</v>
      </c>
      <c r="G3910" t="str">
        <f>VLOOKUP(Table1_2[[#This Row],[Categories]],Sheet3!$A$1:$B$27,2,FALSE)</f>
        <v>Clothing and footwear</v>
      </c>
    </row>
    <row r="3911" spans="1:7" x14ac:dyDescent="0.3">
      <c r="A3911" t="s">
        <v>34</v>
      </c>
      <c r="B3911">
        <v>2017</v>
      </c>
      <c r="C3911" t="s">
        <v>31</v>
      </c>
      <c r="D3911" s="2">
        <v>42736</v>
      </c>
      <c r="E3911" t="s">
        <v>19</v>
      </c>
      <c r="F3911">
        <v>135.6</v>
      </c>
      <c r="G3911" t="str">
        <f>VLOOKUP(Table1_2[[#This Row],[Categories]],Sheet3!$A$1:$B$27,2,FALSE)</f>
        <v>Clothing and footwear</v>
      </c>
    </row>
    <row r="3912" spans="1:7" x14ac:dyDescent="0.3">
      <c r="A3912" t="s">
        <v>34</v>
      </c>
      <c r="B3912">
        <v>2017</v>
      </c>
      <c r="C3912" t="s">
        <v>31</v>
      </c>
      <c r="D3912" s="2">
        <v>42736</v>
      </c>
      <c r="E3912" t="s">
        <v>20</v>
      </c>
      <c r="F3912">
        <v>129.6</v>
      </c>
      <c r="G3912" t="str">
        <f>VLOOKUP(Table1_2[[#This Row],[Categories]],Sheet3!$A$1:$B$27,2,FALSE)</f>
        <v>Housing</v>
      </c>
    </row>
    <row r="3913" spans="1:7" x14ac:dyDescent="0.3">
      <c r="A3913" t="s">
        <v>34</v>
      </c>
      <c r="B3913">
        <v>2017</v>
      </c>
      <c r="C3913" t="s">
        <v>31</v>
      </c>
      <c r="D3913" s="2">
        <v>42736</v>
      </c>
      <c r="E3913" t="s">
        <v>21</v>
      </c>
      <c r="F3913">
        <v>126.8</v>
      </c>
      <c r="G3913" t="str">
        <f>VLOOKUP(Table1_2[[#This Row],[Categories]],Sheet3!$A$1:$B$27,2,FALSE)</f>
        <v>Fuel and light</v>
      </c>
    </row>
    <row r="3914" spans="1:7" x14ac:dyDescent="0.3">
      <c r="A3914" t="s">
        <v>34</v>
      </c>
      <c r="B3914">
        <v>2017</v>
      </c>
      <c r="C3914" t="s">
        <v>31</v>
      </c>
      <c r="D3914" s="2">
        <v>42736</v>
      </c>
      <c r="E3914" t="s">
        <v>22</v>
      </c>
      <c r="F3914">
        <v>129.4</v>
      </c>
      <c r="G3914" t="str">
        <f>VLOOKUP(Table1_2[[#This Row],[Categories]],Sheet3!$A$1:$B$27,2,FALSE)</f>
        <v>Household Items</v>
      </c>
    </row>
    <row r="3915" spans="1:7" x14ac:dyDescent="0.3">
      <c r="A3915" t="s">
        <v>34</v>
      </c>
      <c r="B3915">
        <v>2017</v>
      </c>
      <c r="C3915" t="s">
        <v>31</v>
      </c>
      <c r="D3915" s="2">
        <v>42736</v>
      </c>
      <c r="E3915" t="s">
        <v>23</v>
      </c>
      <c r="F3915">
        <v>127.1</v>
      </c>
      <c r="G3915" t="str">
        <f>VLOOKUP(Table1_2[[#This Row],[Categories]],Sheet3!$A$1:$B$27,2,FALSE)</f>
        <v>Health</v>
      </c>
    </row>
    <row r="3916" spans="1:7" x14ac:dyDescent="0.3">
      <c r="A3916" t="s">
        <v>34</v>
      </c>
      <c r="B3916">
        <v>2017</v>
      </c>
      <c r="C3916" t="s">
        <v>31</v>
      </c>
      <c r="D3916" s="2">
        <v>42736</v>
      </c>
      <c r="E3916" t="s">
        <v>24</v>
      </c>
      <c r="F3916">
        <v>117</v>
      </c>
      <c r="G3916" t="str">
        <f>VLOOKUP(Table1_2[[#This Row],[Categories]],Sheet3!$A$1:$B$27,2,FALSE)</f>
        <v>Transport and communication</v>
      </c>
    </row>
    <row r="3917" spans="1:7" x14ac:dyDescent="0.3">
      <c r="A3917" t="s">
        <v>34</v>
      </c>
      <c r="B3917">
        <v>2017</v>
      </c>
      <c r="C3917" t="s">
        <v>31</v>
      </c>
      <c r="D3917" s="2">
        <v>42736</v>
      </c>
      <c r="E3917" t="s">
        <v>25</v>
      </c>
      <c r="F3917">
        <v>124.2</v>
      </c>
      <c r="G3917" t="str">
        <f>VLOOKUP(Table1_2[[#This Row],[Categories]],Sheet3!$A$1:$B$27,2,FALSE)</f>
        <v>Recreation and amusement</v>
      </c>
    </row>
    <row r="3918" spans="1:7" x14ac:dyDescent="0.3">
      <c r="A3918" t="s">
        <v>34</v>
      </c>
      <c r="B3918">
        <v>2017</v>
      </c>
      <c r="C3918" t="s">
        <v>31</v>
      </c>
      <c r="D3918" s="2">
        <v>42736</v>
      </c>
      <c r="E3918" t="s">
        <v>26</v>
      </c>
      <c r="F3918">
        <v>133.30000000000001</v>
      </c>
      <c r="G3918" t="str">
        <f>VLOOKUP(Table1_2[[#This Row],[Categories]],Sheet3!$A$1:$B$27,2,FALSE)</f>
        <v>Education</v>
      </c>
    </row>
    <row r="3919" spans="1:7" x14ac:dyDescent="0.3">
      <c r="A3919" t="s">
        <v>34</v>
      </c>
      <c r="B3919">
        <v>2017</v>
      </c>
      <c r="C3919" t="s">
        <v>31</v>
      </c>
      <c r="D3919" s="2">
        <v>42736</v>
      </c>
      <c r="E3919" t="s">
        <v>27</v>
      </c>
      <c r="F3919">
        <v>121.7</v>
      </c>
      <c r="G3919" t="str">
        <f>VLOOKUP(Table1_2[[#This Row],[Categories]],Sheet3!$A$1:$B$27,2,FALSE)</f>
        <v>Household Items</v>
      </c>
    </row>
    <row r="3920" spans="1:7" x14ac:dyDescent="0.3">
      <c r="A3920" t="s">
        <v>34</v>
      </c>
      <c r="B3920">
        <v>2017</v>
      </c>
      <c r="C3920" t="s">
        <v>31</v>
      </c>
      <c r="D3920" s="2">
        <v>42736</v>
      </c>
      <c r="E3920" t="s">
        <v>28</v>
      </c>
      <c r="F3920">
        <v>124.4</v>
      </c>
      <c r="G3920" t="str">
        <f>VLOOKUP(Table1_2[[#This Row],[Categories]],Sheet3!$A$1:$B$27,2,FALSE)</f>
        <v>Miscellaneous</v>
      </c>
    </row>
    <row r="3921" spans="1:7" x14ac:dyDescent="0.3">
      <c r="A3921" t="s">
        <v>34</v>
      </c>
      <c r="B3921">
        <v>2017</v>
      </c>
      <c r="C3921" t="s">
        <v>31</v>
      </c>
      <c r="D3921" s="2">
        <v>42736</v>
      </c>
      <c r="E3921" t="s">
        <v>29</v>
      </c>
      <c r="F3921">
        <v>130.30000000000001</v>
      </c>
      <c r="G3921" t="str">
        <f>VLOOKUP(Table1_2[[#This Row],[Categories]],Sheet3!$A$1:$B$27,2,FALSE)</f>
        <v>General index</v>
      </c>
    </row>
    <row r="3922" spans="1:7" x14ac:dyDescent="0.3">
      <c r="A3922" t="s">
        <v>30</v>
      </c>
      <c r="B3922">
        <v>2017</v>
      </c>
      <c r="C3922" t="s">
        <v>35</v>
      </c>
      <c r="D3922" s="2">
        <v>42767</v>
      </c>
      <c r="E3922" t="s">
        <v>3</v>
      </c>
      <c r="F3922">
        <v>133.30000000000001</v>
      </c>
      <c r="G3922" t="str">
        <f>VLOOKUP(Table1_2[[#This Row],[Categories]],Sheet3!$A$1:$B$27,2,FALSE)</f>
        <v>Food &amp;Beverage</v>
      </c>
    </row>
    <row r="3923" spans="1:7" x14ac:dyDescent="0.3">
      <c r="A3923" t="s">
        <v>30</v>
      </c>
      <c r="B3923">
        <v>2017</v>
      </c>
      <c r="C3923" t="s">
        <v>35</v>
      </c>
      <c r="D3923" s="2">
        <v>42767</v>
      </c>
      <c r="E3923" t="s">
        <v>4</v>
      </c>
      <c r="F3923">
        <v>138.30000000000001</v>
      </c>
      <c r="G3923" t="str">
        <f>VLOOKUP(Table1_2[[#This Row],[Categories]],Sheet3!$A$1:$B$27,2,FALSE)</f>
        <v>Food &amp;Beverage</v>
      </c>
    </row>
    <row r="3924" spans="1:7" x14ac:dyDescent="0.3">
      <c r="A3924" t="s">
        <v>30</v>
      </c>
      <c r="B3924">
        <v>2017</v>
      </c>
      <c r="C3924" t="s">
        <v>35</v>
      </c>
      <c r="D3924" s="2">
        <v>42767</v>
      </c>
      <c r="E3924" t="s">
        <v>5</v>
      </c>
      <c r="F3924">
        <v>129.30000000000001</v>
      </c>
      <c r="G3924" t="str">
        <f>VLOOKUP(Table1_2[[#This Row],[Categories]],Sheet3!$A$1:$B$27,2,FALSE)</f>
        <v>Food &amp;Beverage</v>
      </c>
    </row>
    <row r="3925" spans="1:7" x14ac:dyDescent="0.3">
      <c r="A3925" t="s">
        <v>30</v>
      </c>
      <c r="B3925">
        <v>2017</v>
      </c>
      <c r="C3925" t="s">
        <v>35</v>
      </c>
      <c r="D3925" s="2">
        <v>42767</v>
      </c>
      <c r="E3925" t="s">
        <v>6</v>
      </c>
      <c r="F3925">
        <v>137.19999999999999</v>
      </c>
      <c r="G3925" t="str">
        <f>VLOOKUP(Table1_2[[#This Row],[Categories]],Sheet3!$A$1:$B$27,2,FALSE)</f>
        <v>Food &amp;Beverage</v>
      </c>
    </row>
    <row r="3926" spans="1:7" x14ac:dyDescent="0.3">
      <c r="A3926" t="s">
        <v>30</v>
      </c>
      <c r="B3926">
        <v>2017</v>
      </c>
      <c r="C3926" t="s">
        <v>35</v>
      </c>
      <c r="D3926" s="2">
        <v>42767</v>
      </c>
      <c r="E3926" t="s">
        <v>7</v>
      </c>
      <c r="F3926">
        <v>122.1</v>
      </c>
      <c r="G3926" t="str">
        <f>VLOOKUP(Table1_2[[#This Row],[Categories]],Sheet3!$A$1:$B$27,2,FALSE)</f>
        <v>Food &amp;Beverage</v>
      </c>
    </row>
    <row r="3927" spans="1:7" x14ac:dyDescent="0.3">
      <c r="A3927" t="s">
        <v>30</v>
      </c>
      <c r="B3927">
        <v>2017</v>
      </c>
      <c r="C3927" t="s">
        <v>35</v>
      </c>
      <c r="D3927" s="2">
        <v>42767</v>
      </c>
      <c r="E3927" t="s">
        <v>8</v>
      </c>
      <c r="F3927">
        <v>138.69999999999999</v>
      </c>
      <c r="G3927" t="str">
        <f>VLOOKUP(Table1_2[[#This Row],[Categories]],Sheet3!$A$1:$B$27,2,FALSE)</f>
        <v>Food &amp;Beverage</v>
      </c>
    </row>
    <row r="3928" spans="1:7" x14ac:dyDescent="0.3">
      <c r="A3928" t="s">
        <v>30</v>
      </c>
      <c r="B3928">
        <v>2017</v>
      </c>
      <c r="C3928" t="s">
        <v>35</v>
      </c>
      <c r="D3928" s="2">
        <v>42767</v>
      </c>
      <c r="E3928" t="s">
        <v>9</v>
      </c>
      <c r="F3928">
        <v>119.1</v>
      </c>
      <c r="G3928" t="str">
        <f>VLOOKUP(Table1_2[[#This Row],[Categories]],Sheet3!$A$1:$B$27,2,FALSE)</f>
        <v>Food &amp;Beverage</v>
      </c>
    </row>
    <row r="3929" spans="1:7" x14ac:dyDescent="0.3">
      <c r="A3929" t="s">
        <v>30</v>
      </c>
      <c r="B3929">
        <v>2017</v>
      </c>
      <c r="C3929" t="s">
        <v>35</v>
      </c>
      <c r="D3929" s="2">
        <v>42767</v>
      </c>
      <c r="E3929" t="s">
        <v>10</v>
      </c>
      <c r="F3929">
        <v>156.9</v>
      </c>
      <c r="G3929" t="str">
        <f>VLOOKUP(Table1_2[[#This Row],[Categories]],Sheet3!$A$1:$B$27,2,FALSE)</f>
        <v>Food &amp;Beverage</v>
      </c>
    </row>
    <row r="3930" spans="1:7" x14ac:dyDescent="0.3">
      <c r="A3930" t="s">
        <v>30</v>
      </c>
      <c r="B3930">
        <v>2017</v>
      </c>
      <c r="C3930" t="s">
        <v>35</v>
      </c>
      <c r="D3930" s="2">
        <v>42767</v>
      </c>
      <c r="E3930" t="s">
        <v>11</v>
      </c>
      <c r="F3930">
        <v>116.2</v>
      </c>
      <c r="G3930" t="str">
        <f>VLOOKUP(Table1_2[[#This Row],[Categories]],Sheet3!$A$1:$B$27,2,FALSE)</f>
        <v>Food &amp;Beverage</v>
      </c>
    </row>
    <row r="3931" spans="1:7" x14ac:dyDescent="0.3">
      <c r="A3931" t="s">
        <v>30</v>
      </c>
      <c r="B3931">
        <v>2017</v>
      </c>
      <c r="C3931" t="s">
        <v>35</v>
      </c>
      <c r="D3931" s="2">
        <v>42767</v>
      </c>
      <c r="E3931" t="s">
        <v>12</v>
      </c>
      <c r="F3931">
        <v>136</v>
      </c>
      <c r="G3931" t="str">
        <f>VLOOKUP(Table1_2[[#This Row],[Categories]],Sheet3!$A$1:$B$27,2,FALSE)</f>
        <v>Food &amp;Beverage</v>
      </c>
    </row>
    <row r="3932" spans="1:7" x14ac:dyDescent="0.3">
      <c r="A3932" t="s">
        <v>30</v>
      </c>
      <c r="B3932">
        <v>2017</v>
      </c>
      <c r="C3932" t="s">
        <v>35</v>
      </c>
      <c r="D3932" s="2">
        <v>42767</v>
      </c>
      <c r="E3932" t="s">
        <v>13</v>
      </c>
      <c r="F3932">
        <v>129.4</v>
      </c>
      <c r="G3932" t="str">
        <f>VLOOKUP(Table1_2[[#This Row],[Categories]],Sheet3!$A$1:$B$27,2,FALSE)</f>
        <v>Food &amp;Beverage</v>
      </c>
    </row>
    <row r="3933" spans="1:7" x14ac:dyDescent="0.3">
      <c r="A3933" t="s">
        <v>30</v>
      </c>
      <c r="B3933">
        <v>2017</v>
      </c>
      <c r="C3933" t="s">
        <v>35</v>
      </c>
      <c r="D3933" s="2">
        <v>42767</v>
      </c>
      <c r="E3933" t="s">
        <v>14</v>
      </c>
      <c r="F3933">
        <v>144.4</v>
      </c>
      <c r="G3933" t="str">
        <f>VLOOKUP(Table1_2[[#This Row],[Categories]],Sheet3!$A$1:$B$27,2,FALSE)</f>
        <v>Food &amp;Beverage</v>
      </c>
    </row>
    <row r="3934" spans="1:7" x14ac:dyDescent="0.3">
      <c r="A3934" t="s">
        <v>30</v>
      </c>
      <c r="B3934">
        <v>2017</v>
      </c>
      <c r="C3934" t="s">
        <v>35</v>
      </c>
      <c r="D3934" s="2">
        <v>42767</v>
      </c>
      <c r="E3934" t="s">
        <v>15</v>
      </c>
      <c r="F3934">
        <v>133.6</v>
      </c>
      <c r="G3934" t="str">
        <f>VLOOKUP(Table1_2[[#This Row],[Categories]],Sheet3!$A$1:$B$27,2,FALSE)</f>
        <v>Food &amp;Beverage</v>
      </c>
    </row>
    <row r="3935" spans="1:7" x14ac:dyDescent="0.3">
      <c r="A3935" t="s">
        <v>30</v>
      </c>
      <c r="B3935">
        <v>2017</v>
      </c>
      <c r="C3935" t="s">
        <v>35</v>
      </c>
      <c r="D3935" s="2">
        <v>42767</v>
      </c>
      <c r="E3935" t="s">
        <v>16</v>
      </c>
      <c r="F3935">
        <v>143.69999999999999</v>
      </c>
      <c r="G3935" t="str">
        <f>VLOOKUP(Table1_2[[#This Row],[Categories]],Sheet3!$A$1:$B$27,2,FALSE)</f>
        <v>Recreation and amusement</v>
      </c>
    </row>
    <row r="3936" spans="1:7" x14ac:dyDescent="0.3">
      <c r="A3936" t="s">
        <v>30</v>
      </c>
      <c r="B3936">
        <v>2017</v>
      </c>
      <c r="C3936" t="s">
        <v>35</v>
      </c>
      <c r="D3936" s="2">
        <v>42767</v>
      </c>
      <c r="E3936" t="s">
        <v>17</v>
      </c>
      <c r="F3936">
        <v>140.9</v>
      </c>
      <c r="G3936" t="str">
        <f>VLOOKUP(Table1_2[[#This Row],[Categories]],Sheet3!$A$1:$B$27,2,FALSE)</f>
        <v>Clothing and footwear</v>
      </c>
    </row>
    <row r="3937" spans="1:7" x14ac:dyDescent="0.3">
      <c r="A3937" t="s">
        <v>30</v>
      </c>
      <c r="B3937">
        <v>2017</v>
      </c>
      <c r="C3937" t="s">
        <v>35</v>
      </c>
      <c r="D3937" s="2">
        <v>42767</v>
      </c>
      <c r="E3937" t="s">
        <v>18</v>
      </c>
      <c r="F3937">
        <v>135.80000000000001</v>
      </c>
      <c r="G3937" t="str">
        <f>VLOOKUP(Table1_2[[#This Row],[Categories]],Sheet3!$A$1:$B$27,2,FALSE)</f>
        <v>Clothing and footwear</v>
      </c>
    </row>
    <row r="3938" spans="1:7" x14ac:dyDescent="0.3">
      <c r="A3938" t="s">
        <v>30</v>
      </c>
      <c r="B3938">
        <v>2017</v>
      </c>
      <c r="C3938" t="s">
        <v>35</v>
      </c>
      <c r="D3938" s="2">
        <v>42767</v>
      </c>
      <c r="E3938" t="s">
        <v>19</v>
      </c>
      <c r="F3938">
        <v>140.19999999999999</v>
      </c>
      <c r="G3938" t="str">
        <f>VLOOKUP(Table1_2[[#This Row],[Categories]],Sheet3!$A$1:$B$27,2,FALSE)</f>
        <v>Clothing and footwear</v>
      </c>
    </row>
    <row r="3939" spans="1:7" x14ac:dyDescent="0.3">
      <c r="A3939" t="s">
        <v>30</v>
      </c>
      <c r="B3939">
        <v>2017</v>
      </c>
      <c r="C3939" t="s">
        <v>35</v>
      </c>
      <c r="D3939" s="2">
        <v>42767</v>
      </c>
      <c r="E3939" t="s">
        <v>21</v>
      </c>
      <c r="F3939">
        <v>133.19999999999999</v>
      </c>
      <c r="G3939" t="str">
        <f>VLOOKUP(Table1_2[[#This Row],[Categories]],Sheet3!$A$1:$B$27,2,FALSE)</f>
        <v>Fuel and light</v>
      </c>
    </row>
    <row r="3940" spans="1:7" x14ac:dyDescent="0.3">
      <c r="A3940" t="s">
        <v>30</v>
      </c>
      <c r="B3940">
        <v>2017</v>
      </c>
      <c r="C3940" t="s">
        <v>35</v>
      </c>
      <c r="D3940" s="2">
        <v>42767</v>
      </c>
      <c r="E3940" t="s">
        <v>22</v>
      </c>
      <c r="F3940">
        <v>133.6</v>
      </c>
      <c r="G3940" t="str">
        <f>VLOOKUP(Table1_2[[#This Row],[Categories]],Sheet3!$A$1:$B$27,2,FALSE)</f>
        <v>Household Items</v>
      </c>
    </row>
    <row r="3941" spans="1:7" x14ac:dyDescent="0.3">
      <c r="A3941" t="s">
        <v>30</v>
      </c>
      <c r="B3941">
        <v>2017</v>
      </c>
      <c r="C3941" t="s">
        <v>35</v>
      </c>
      <c r="D3941" s="2">
        <v>42767</v>
      </c>
      <c r="E3941" t="s">
        <v>23</v>
      </c>
      <c r="F3941">
        <v>130.1</v>
      </c>
      <c r="G3941" t="str">
        <f>VLOOKUP(Table1_2[[#This Row],[Categories]],Sheet3!$A$1:$B$27,2,FALSE)</f>
        <v>Health</v>
      </c>
    </row>
    <row r="3942" spans="1:7" x14ac:dyDescent="0.3">
      <c r="A3942" t="s">
        <v>30</v>
      </c>
      <c r="B3942">
        <v>2017</v>
      </c>
      <c r="C3942" t="s">
        <v>35</v>
      </c>
      <c r="D3942" s="2">
        <v>42767</v>
      </c>
      <c r="E3942" t="s">
        <v>24</v>
      </c>
      <c r="F3942">
        <v>119.5</v>
      </c>
      <c r="G3942" t="str">
        <f>VLOOKUP(Table1_2[[#This Row],[Categories]],Sheet3!$A$1:$B$27,2,FALSE)</f>
        <v>Transport and communication</v>
      </c>
    </row>
    <row r="3943" spans="1:7" x14ac:dyDescent="0.3">
      <c r="A3943" t="s">
        <v>30</v>
      </c>
      <c r="B3943">
        <v>2017</v>
      </c>
      <c r="C3943" t="s">
        <v>35</v>
      </c>
      <c r="D3943" s="2">
        <v>42767</v>
      </c>
      <c r="E3943" t="s">
        <v>25</v>
      </c>
      <c r="F3943">
        <v>127.7</v>
      </c>
      <c r="G3943" t="str">
        <f>VLOOKUP(Table1_2[[#This Row],[Categories]],Sheet3!$A$1:$B$27,2,FALSE)</f>
        <v>Recreation and amusement</v>
      </c>
    </row>
    <row r="3944" spans="1:7" x14ac:dyDescent="0.3">
      <c r="A3944" t="s">
        <v>30</v>
      </c>
      <c r="B3944">
        <v>2017</v>
      </c>
      <c r="C3944" t="s">
        <v>35</v>
      </c>
      <c r="D3944" s="2">
        <v>42767</v>
      </c>
      <c r="E3944" t="s">
        <v>26</v>
      </c>
      <c r="F3944">
        <v>134.9</v>
      </c>
      <c r="G3944" t="str">
        <f>VLOOKUP(Table1_2[[#This Row],[Categories]],Sheet3!$A$1:$B$27,2,FALSE)</f>
        <v>Education</v>
      </c>
    </row>
    <row r="3945" spans="1:7" x14ac:dyDescent="0.3">
      <c r="A3945" t="s">
        <v>30</v>
      </c>
      <c r="B3945">
        <v>2017</v>
      </c>
      <c r="C3945" t="s">
        <v>35</v>
      </c>
      <c r="D3945" s="2">
        <v>42767</v>
      </c>
      <c r="E3945" t="s">
        <v>27</v>
      </c>
      <c r="F3945">
        <v>123.2</v>
      </c>
      <c r="G3945" t="str">
        <f>VLOOKUP(Table1_2[[#This Row],[Categories]],Sheet3!$A$1:$B$27,2,FALSE)</f>
        <v>Household Items</v>
      </c>
    </row>
    <row r="3946" spans="1:7" x14ac:dyDescent="0.3">
      <c r="A3946" t="s">
        <v>30</v>
      </c>
      <c r="B3946">
        <v>2017</v>
      </c>
      <c r="C3946" t="s">
        <v>35</v>
      </c>
      <c r="D3946" s="2">
        <v>42767</v>
      </c>
      <c r="E3946" t="s">
        <v>28</v>
      </c>
      <c r="F3946">
        <v>127</v>
      </c>
      <c r="G3946" t="str">
        <f>VLOOKUP(Table1_2[[#This Row],[Categories]],Sheet3!$A$1:$B$27,2,FALSE)</f>
        <v>Miscellaneous</v>
      </c>
    </row>
    <row r="3947" spans="1:7" x14ac:dyDescent="0.3">
      <c r="A3947" t="s">
        <v>30</v>
      </c>
      <c r="B3947">
        <v>2017</v>
      </c>
      <c r="C3947" t="s">
        <v>35</v>
      </c>
      <c r="D3947" s="2">
        <v>42767</v>
      </c>
      <c r="E3947" t="s">
        <v>29</v>
      </c>
      <c r="F3947">
        <v>132.6</v>
      </c>
      <c r="G3947" t="str">
        <f>VLOOKUP(Table1_2[[#This Row],[Categories]],Sheet3!$A$1:$B$27,2,FALSE)</f>
        <v>General index</v>
      </c>
    </row>
    <row r="3948" spans="1:7" x14ac:dyDescent="0.3">
      <c r="A3948" t="s">
        <v>33</v>
      </c>
      <c r="B3948">
        <v>2017</v>
      </c>
      <c r="C3948" t="s">
        <v>35</v>
      </c>
      <c r="D3948" s="2">
        <v>42767</v>
      </c>
      <c r="E3948" t="s">
        <v>3</v>
      </c>
      <c r="F3948">
        <v>132.80000000000001</v>
      </c>
      <c r="G3948" t="str">
        <f>VLOOKUP(Table1_2[[#This Row],[Categories]],Sheet3!$A$1:$B$27,2,FALSE)</f>
        <v>Food &amp;Beverage</v>
      </c>
    </row>
    <row r="3949" spans="1:7" x14ac:dyDescent="0.3">
      <c r="A3949" t="s">
        <v>33</v>
      </c>
      <c r="B3949">
        <v>2017</v>
      </c>
      <c r="C3949" t="s">
        <v>35</v>
      </c>
      <c r="D3949" s="2">
        <v>42767</v>
      </c>
      <c r="E3949" t="s">
        <v>4</v>
      </c>
      <c r="F3949">
        <v>139.80000000000001</v>
      </c>
      <c r="G3949" t="str">
        <f>VLOOKUP(Table1_2[[#This Row],[Categories]],Sheet3!$A$1:$B$27,2,FALSE)</f>
        <v>Food &amp;Beverage</v>
      </c>
    </row>
    <row r="3950" spans="1:7" x14ac:dyDescent="0.3">
      <c r="A3950" t="s">
        <v>33</v>
      </c>
      <c r="B3950">
        <v>2017</v>
      </c>
      <c r="C3950" t="s">
        <v>35</v>
      </c>
      <c r="D3950" s="2">
        <v>42767</v>
      </c>
      <c r="E3950" t="s">
        <v>5</v>
      </c>
      <c r="F3950">
        <v>129.30000000000001</v>
      </c>
      <c r="G3950" t="str">
        <f>VLOOKUP(Table1_2[[#This Row],[Categories]],Sheet3!$A$1:$B$27,2,FALSE)</f>
        <v>Food &amp;Beverage</v>
      </c>
    </row>
    <row r="3951" spans="1:7" x14ac:dyDescent="0.3">
      <c r="A3951" t="s">
        <v>33</v>
      </c>
      <c r="B3951">
        <v>2017</v>
      </c>
      <c r="C3951" t="s">
        <v>35</v>
      </c>
      <c r="D3951" s="2">
        <v>42767</v>
      </c>
      <c r="E3951" t="s">
        <v>6</v>
      </c>
      <c r="F3951">
        <v>133.5</v>
      </c>
      <c r="G3951" t="str">
        <f>VLOOKUP(Table1_2[[#This Row],[Categories]],Sheet3!$A$1:$B$27,2,FALSE)</f>
        <v>Food &amp;Beverage</v>
      </c>
    </row>
    <row r="3952" spans="1:7" x14ac:dyDescent="0.3">
      <c r="A3952" t="s">
        <v>33</v>
      </c>
      <c r="B3952">
        <v>2017</v>
      </c>
      <c r="C3952" t="s">
        <v>35</v>
      </c>
      <c r="D3952" s="2">
        <v>42767</v>
      </c>
      <c r="E3952" t="s">
        <v>7</v>
      </c>
      <c r="F3952">
        <v>114.3</v>
      </c>
      <c r="G3952" t="str">
        <f>VLOOKUP(Table1_2[[#This Row],[Categories]],Sheet3!$A$1:$B$27,2,FALSE)</f>
        <v>Food &amp;Beverage</v>
      </c>
    </row>
    <row r="3953" spans="1:7" x14ac:dyDescent="0.3">
      <c r="A3953" t="s">
        <v>33</v>
      </c>
      <c r="B3953">
        <v>2017</v>
      </c>
      <c r="C3953" t="s">
        <v>35</v>
      </c>
      <c r="D3953" s="2">
        <v>42767</v>
      </c>
      <c r="E3953" t="s">
        <v>8</v>
      </c>
      <c r="F3953">
        <v>131.4</v>
      </c>
      <c r="G3953" t="str">
        <f>VLOOKUP(Table1_2[[#This Row],[Categories]],Sheet3!$A$1:$B$27,2,FALSE)</f>
        <v>Food &amp;Beverage</v>
      </c>
    </row>
    <row r="3954" spans="1:7" x14ac:dyDescent="0.3">
      <c r="A3954" t="s">
        <v>33</v>
      </c>
      <c r="B3954">
        <v>2017</v>
      </c>
      <c r="C3954" t="s">
        <v>35</v>
      </c>
      <c r="D3954" s="2">
        <v>42767</v>
      </c>
      <c r="E3954" t="s">
        <v>9</v>
      </c>
      <c r="F3954">
        <v>120.2</v>
      </c>
      <c r="G3954" t="str">
        <f>VLOOKUP(Table1_2[[#This Row],[Categories]],Sheet3!$A$1:$B$27,2,FALSE)</f>
        <v>Food &amp;Beverage</v>
      </c>
    </row>
    <row r="3955" spans="1:7" x14ac:dyDescent="0.3">
      <c r="A3955" t="s">
        <v>33</v>
      </c>
      <c r="B3955">
        <v>2017</v>
      </c>
      <c r="C3955" t="s">
        <v>35</v>
      </c>
      <c r="D3955" s="2">
        <v>42767</v>
      </c>
      <c r="E3955" t="s">
        <v>10</v>
      </c>
      <c r="F3955">
        <v>143.1</v>
      </c>
      <c r="G3955" t="str">
        <f>VLOOKUP(Table1_2[[#This Row],[Categories]],Sheet3!$A$1:$B$27,2,FALSE)</f>
        <v>Food &amp;Beverage</v>
      </c>
    </row>
    <row r="3956" spans="1:7" x14ac:dyDescent="0.3">
      <c r="A3956" t="s">
        <v>33</v>
      </c>
      <c r="B3956">
        <v>2017</v>
      </c>
      <c r="C3956" t="s">
        <v>35</v>
      </c>
      <c r="D3956" s="2">
        <v>42767</v>
      </c>
      <c r="E3956" t="s">
        <v>11</v>
      </c>
      <c r="F3956">
        <v>119.5</v>
      </c>
      <c r="G3956" t="str">
        <f>VLOOKUP(Table1_2[[#This Row],[Categories]],Sheet3!$A$1:$B$27,2,FALSE)</f>
        <v>Food &amp;Beverage</v>
      </c>
    </row>
    <row r="3957" spans="1:7" x14ac:dyDescent="0.3">
      <c r="A3957" t="s">
        <v>33</v>
      </c>
      <c r="B3957">
        <v>2017</v>
      </c>
      <c r="C3957" t="s">
        <v>35</v>
      </c>
      <c r="D3957" s="2">
        <v>42767</v>
      </c>
      <c r="E3957" t="s">
        <v>12</v>
      </c>
      <c r="F3957">
        <v>144</v>
      </c>
      <c r="G3957" t="str">
        <f>VLOOKUP(Table1_2[[#This Row],[Categories]],Sheet3!$A$1:$B$27,2,FALSE)</f>
        <v>Food &amp;Beverage</v>
      </c>
    </row>
    <row r="3958" spans="1:7" x14ac:dyDescent="0.3">
      <c r="A3958" t="s">
        <v>33</v>
      </c>
      <c r="B3958">
        <v>2017</v>
      </c>
      <c r="C3958" t="s">
        <v>35</v>
      </c>
      <c r="D3958" s="2">
        <v>42767</v>
      </c>
      <c r="E3958" t="s">
        <v>13</v>
      </c>
      <c r="F3958">
        <v>123.4</v>
      </c>
      <c r="G3958" t="str">
        <f>VLOOKUP(Table1_2[[#This Row],[Categories]],Sheet3!$A$1:$B$27,2,FALSE)</f>
        <v>Food &amp;Beverage</v>
      </c>
    </row>
    <row r="3959" spans="1:7" x14ac:dyDescent="0.3">
      <c r="A3959" t="s">
        <v>33</v>
      </c>
      <c r="B3959">
        <v>2017</v>
      </c>
      <c r="C3959" t="s">
        <v>35</v>
      </c>
      <c r="D3959" s="2">
        <v>42767</v>
      </c>
      <c r="E3959" t="s">
        <v>14</v>
      </c>
      <c r="F3959">
        <v>141.9</v>
      </c>
      <c r="G3959" t="str">
        <f>VLOOKUP(Table1_2[[#This Row],[Categories]],Sheet3!$A$1:$B$27,2,FALSE)</f>
        <v>Food &amp;Beverage</v>
      </c>
    </row>
    <row r="3960" spans="1:7" x14ac:dyDescent="0.3">
      <c r="A3960" t="s">
        <v>33</v>
      </c>
      <c r="B3960">
        <v>2017</v>
      </c>
      <c r="C3960" t="s">
        <v>35</v>
      </c>
      <c r="D3960" s="2">
        <v>42767</v>
      </c>
      <c r="E3960" t="s">
        <v>15</v>
      </c>
      <c r="F3960">
        <v>132.1</v>
      </c>
      <c r="G3960" t="str">
        <f>VLOOKUP(Table1_2[[#This Row],[Categories]],Sheet3!$A$1:$B$27,2,FALSE)</f>
        <v>Food &amp;Beverage</v>
      </c>
    </row>
    <row r="3961" spans="1:7" x14ac:dyDescent="0.3">
      <c r="A3961" t="s">
        <v>33</v>
      </c>
      <c r="B3961">
        <v>2017</v>
      </c>
      <c r="C3961" t="s">
        <v>35</v>
      </c>
      <c r="D3961" s="2">
        <v>42767</v>
      </c>
      <c r="E3961" t="s">
        <v>16</v>
      </c>
      <c r="F3961">
        <v>146.30000000000001</v>
      </c>
      <c r="G3961" t="str">
        <f>VLOOKUP(Table1_2[[#This Row],[Categories]],Sheet3!$A$1:$B$27,2,FALSE)</f>
        <v>Recreation and amusement</v>
      </c>
    </row>
    <row r="3962" spans="1:7" x14ac:dyDescent="0.3">
      <c r="A3962" t="s">
        <v>33</v>
      </c>
      <c r="B3962">
        <v>2017</v>
      </c>
      <c r="C3962" t="s">
        <v>35</v>
      </c>
      <c r="D3962" s="2">
        <v>42767</v>
      </c>
      <c r="E3962" t="s">
        <v>17</v>
      </c>
      <c r="F3962">
        <v>130.5</v>
      </c>
      <c r="G3962" t="str">
        <f>VLOOKUP(Table1_2[[#This Row],[Categories]],Sheet3!$A$1:$B$27,2,FALSE)</f>
        <v>Clothing and footwear</v>
      </c>
    </row>
    <row r="3963" spans="1:7" x14ac:dyDescent="0.3">
      <c r="A3963" t="s">
        <v>33</v>
      </c>
      <c r="B3963">
        <v>2017</v>
      </c>
      <c r="C3963" t="s">
        <v>35</v>
      </c>
      <c r="D3963" s="2">
        <v>42767</v>
      </c>
      <c r="E3963" t="s">
        <v>18</v>
      </c>
      <c r="F3963">
        <v>122.5</v>
      </c>
      <c r="G3963" t="str">
        <f>VLOOKUP(Table1_2[[#This Row],[Categories]],Sheet3!$A$1:$B$27,2,FALSE)</f>
        <v>Clothing and footwear</v>
      </c>
    </row>
    <row r="3964" spans="1:7" x14ac:dyDescent="0.3">
      <c r="A3964" t="s">
        <v>33</v>
      </c>
      <c r="B3964">
        <v>2017</v>
      </c>
      <c r="C3964" t="s">
        <v>35</v>
      </c>
      <c r="D3964" s="2">
        <v>42767</v>
      </c>
      <c r="E3964" t="s">
        <v>19</v>
      </c>
      <c r="F3964">
        <v>129.30000000000001</v>
      </c>
      <c r="G3964" t="str">
        <f>VLOOKUP(Table1_2[[#This Row],[Categories]],Sheet3!$A$1:$B$27,2,FALSE)</f>
        <v>Clothing and footwear</v>
      </c>
    </row>
    <row r="3965" spans="1:7" x14ac:dyDescent="0.3">
      <c r="A3965" t="s">
        <v>33</v>
      </c>
      <c r="B3965">
        <v>2017</v>
      </c>
      <c r="C3965" t="s">
        <v>35</v>
      </c>
      <c r="D3965" s="2">
        <v>42767</v>
      </c>
      <c r="E3965" t="s">
        <v>20</v>
      </c>
      <c r="F3965">
        <v>130.5</v>
      </c>
      <c r="G3965" t="str">
        <f>VLOOKUP(Table1_2[[#This Row],[Categories]],Sheet3!$A$1:$B$27,2,FALSE)</f>
        <v>Housing</v>
      </c>
    </row>
    <row r="3966" spans="1:7" x14ac:dyDescent="0.3">
      <c r="A3966" t="s">
        <v>33</v>
      </c>
      <c r="B3966">
        <v>2017</v>
      </c>
      <c r="C3966" t="s">
        <v>35</v>
      </c>
      <c r="D3966" s="2">
        <v>42767</v>
      </c>
      <c r="E3966" t="s">
        <v>21</v>
      </c>
      <c r="F3966">
        <v>119.2</v>
      </c>
      <c r="G3966" t="str">
        <f>VLOOKUP(Table1_2[[#This Row],[Categories]],Sheet3!$A$1:$B$27,2,FALSE)</f>
        <v>Fuel and light</v>
      </c>
    </row>
    <row r="3967" spans="1:7" x14ac:dyDescent="0.3">
      <c r="A3967" t="s">
        <v>33</v>
      </c>
      <c r="B3967">
        <v>2017</v>
      </c>
      <c r="C3967" t="s">
        <v>35</v>
      </c>
      <c r="D3967" s="2">
        <v>42767</v>
      </c>
      <c r="E3967" t="s">
        <v>22</v>
      </c>
      <c r="F3967">
        <v>125.3</v>
      </c>
      <c r="G3967" t="str">
        <f>VLOOKUP(Table1_2[[#This Row],[Categories]],Sheet3!$A$1:$B$27,2,FALSE)</f>
        <v>Household Items</v>
      </c>
    </row>
    <row r="3968" spans="1:7" x14ac:dyDescent="0.3">
      <c r="A3968" t="s">
        <v>33</v>
      </c>
      <c r="B3968">
        <v>2017</v>
      </c>
      <c r="C3968" t="s">
        <v>35</v>
      </c>
      <c r="D3968" s="2">
        <v>42767</v>
      </c>
      <c r="E3968" t="s">
        <v>23</v>
      </c>
      <c r="F3968">
        <v>122.9</v>
      </c>
      <c r="G3968" t="str">
        <f>VLOOKUP(Table1_2[[#This Row],[Categories]],Sheet3!$A$1:$B$27,2,FALSE)</f>
        <v>Health</v>
      </c>
    </row>
    <row r="3969" spans="1:7" x14ac:dyDescent="0.3">
      <c r="A3969" t="s">
        <v>33</v>
      </c>
      <c r="B3969">
        <v>2017</v>
      </c>
      <c r="C3969" t="s">
        <v>35</v>
      </c>
      <c r="D3969" s="2">
        <v>42767</v>
      </c>
      <c r="E3969" t="s">
        <v>24</v>
      </c>
      <c r="F3969">
        <v>115.5</v>
      </c>
      <c r="G3969" t="str">
        <f>VLOOKUP(Table1_2[[#This Row],[Categories]],Sheet3!$A$1:$B$27,2,FALSE)</f>
        <v>Transport and communication</v>
      </c>
    </row>
    <row r="3970" spans="1:7" x14ac:dyDescent="0.3">
      <c r="A3970" t="s">
        <v>33</v>
      </c>
      <c r="B3970">
        <v>2017</v>
      </c>
      <c r="C3970" t="s">
        <v>35</v>
      </c>
      <c r="D3970" s="2">
        <v>42767</v>
      </c>
      <c r="E3970" t="s">
        <v>25</v>
      </c>
      <c r="F3970">
        <v>122.2</v>
      </c>
      <c r="G3970" t="str">
        <f>VLOOKUP(Table1_2[[#This Row],[Categories]],Sheet3!$A$1:$B$27,2,FALSE)</f>
        <v>Recreation and amusement</v>
      </c>
    </row>
    <row r="3971" spans="1:7" x14ac:dyDescent="0.3">
      <c r="A3971" t="s">
        <v>33</v>
      </c>
      <c r="B3971">
        <v>2017</v>
      </c>
      <c r="C3971" t="s">
        <v>35</v>
      </c>
      <c r="D3971" s="2">
        <v>42767</v>
      </c>
      <c r="E3971" t="s">
        <v>26</v>
      </c>
      <c r="F3971">
        <v>132.4</v>
      </c>
      <c r="G3971" t="str">
        <f>VLOOKUP(Table1_2[[#This Row],[Categories]],Sheet3!$A$1:$B$27,2,FALSE)</f>
        <v>Education</v>
      </c>
    </row>
    <row r="3972" spans="1:7" x14ac:dyDescent="0.3">
      <c r="A3972" t="s">
        <v>33</v>
      </c>
      <c r="B3972">
        <v>2017</v>
      </c>
      <c r="C3972" t="s">
        <v>35</v>
      </c>
      <c r="D3972" s="2">
        <v>42767</v>
      </c>
      <c r="E3972" t="s">
        <v>27</v>
      </c>
      <c r="F3972">
        <v>121.7</v>
      </c>
      <c r="G3972" t="str">
        <f>VLOOKUP(Table1_2[[#This Row],[Categories]],Sheet3!$A$1:$B$27,2,FALSE)</f>
        <v>Household Items</v>
      </c>
    </row>
    <row r="3973" spans="1:7" x14ac:dyDescent="0.3">
      <c r="A3973" t="s">
        <v>33</v>
      </c>
      <c r="B3973">
        <v>2017</v>
      </c>
      <c r="C3973" t="s">
        <v>35</v>
      </c>
      <c r="D3973" s="2">
        <v>42767</v>
      </c>
      <c r="E3973" t="s">
        <v>28</v>
      </c>
      <c r="F3973">
        <v>122.4</v>
      </c>
      <c r="G3973" t="str">
        <f>VLOOKUP(Table1_2[[#This Row],[Categories]],Sheet3!$A$1:$B$27,2,FALSE)</f>
        <v>Miscellaneous</v>
      </c>
    </row>
    <row r="3974" spans="1:7" x14ac:dyDescent="0.3">
      <c r="A3974" t="s">
        <v>33</v>
      </c>
      <c r="B3974">
        <v>2017</v>
      </c>
      <c r="C3974" t="s">
        <v>35</v>
      </c>
      <c r="D3974" s="2">
        <v>42767</v>
      </c>
      <c r="E3974" t="s">
        <v>29</v>
      </c>
      <c r="F3974">
        <v>128.19999999999999</v>
      </c>
      <c r="G3974" t="str">
        <f>VLOOKUP(Table1_2[[#This Row],[Categories]],Sheet3!$A$1:$B$27,2,FALSE)</f>
        <v>General index</v>
      </c>
    </row>
    <row r="3975" spans="1:7" x14ac:dyDescent="0.3">
      <c r="A3975" t="s">
        <v>34</v>
      </c>
      <c r="B3975">
        <v>2017</v>
      </c>
      <c r="C3975" t="s">
        <v>35</v>
      </c>
      <c r="D3975" s="2">
        <v>42767</v>
      </c>
      <c r="E3975" t="s">
        <v>3</v>
      </c>
      <c r="F3975">
        <v>133.1</v>
      </c>
      <c r="G3975" t="str">
        <f>VLOOKUP(Table1_2[[#This Row],[Categories]],Sheet3!$A$1:$B$27,2,FALSE)</f>
        <v>Food &amp;Beverage</v>
      </c>
    </row>
    <row r="3976" spans="1:7" x14ac:dyDescent="0.3">
      <c r="A3976" t="s">
        <v>34</v>
      </c>
      <c r="B3976">
        <v>2017</v>
      </c>
      <c r="C3976" t="s">
        <v>35</v>
      </c>
      <c r="D3976" s="2">
        <v>42767</v>
      </c>
      <c r="E3976" t="s">
        <v>4</v>
      </c>
      <c r="F3976">
        <v>138.80000000000001</v>
      </c>
      <c r="G3976" t="str">
        <f>VLOOKUP(Table1_2[[#This Row],[Categories]],Sheet3!$A$1:$B$27,2,FALSE)</f>
        <v>Food &amp;Beverage</v>
      </c>
    </row>
    <row r="3977" spans="1:7" x14ac:dyDescent="0.3">
      <c r="A3977" t="s">
        <v>34</v>
      </c>
      <c r="B3977">
        <v>2017</v>
      </c>
      <c r="C3977" t="s">
        <v>35</v>
      </c>
      <c r="D3977" s="2">
        <v>42767</v>
      </c>
      <c r="E3977" t="s">
        <v>5</v>
      </c>
      <c r="F3977">
        <v>129.30000000000001</v>
      </c>
      <c r="G3977" t="str">
        <f>VLOOKUP(Table1_2[[#This Row],[Categories]],Sheet3!$A$1:$B$27,2,FALSE)</f>
        <v>Food &amp;Beverage</v>
      </c>
    </row>
    <row r="3978" spans="1:7" x14ac:dyDescent="0.3">
      <c r="A3978" t="s">
        <v>34</v>
      </c>
      <c r="B3978">
        <v>2017</v>
      </c>
      <c r="C3978" t="s">
        <v>35</v>
      </c>
      <c r="D3978" s="2">
        <v>42767</v>
      </c>
      <c r="E3978" t="s">
        <v>6</v>
      </c>
      <c r="F3978">
        <v>135.80000000000001</v>
      </c>
      <c r="G3978" t="str">
        <f>VLOOKUP(Table1_2[[#This Row],[Categories]],Sheet3!$A$1:$B$27,2,FALSE)</f>
        <v>Food &amp;Beverage</v>
      </c>
    </row>
    <row r="3979" spans="1:7" x14ac:dyDescent="0.3">
      <c r="A3979" t="s">
        <v>34</v>
      </c>
      <c r="B3979">
        <v>2017</v>
      </c>
      <c r="C3979" t="s">
        <v>35</v>
      </c>
      <c r="D3979" s="2">
        <v>42767</v>
      </c>
      <c r="E3979" t="s">
        <v>7</v>
      </c>
      <c r="F3979">
        <v>119.2</v>
      </c>
      <c r="G3979" t="str">
        <f>VLOOKUP(Table1_2[[#This Row],[Categories]],Sheet3!$A$1:$B$27,2,FALSE)</f>
        <v>Food &amp;Beverage</v>
      </c>
    </row>
    <row r="3980" spans="1:7" x14ac:dyDescent="0.3">
      <c r="A3980" t="s">
        <v>34</v>
      </c>
      <c r="B3980">
        <v>2017</v>
      </c>
      <c r="C3980" t="s">
        <v>35</v>
      </c>
      <c r="D3980" s="2">
        <v>42767</v>
      </c>
      <c r="E3980" t="s">
        <v>8</v>
      </c>
      <c r="F3980">
        <v>135.30000000000001</v>
      </c>
      <c r="G3980" t="str">
        <f>VLOOKUP(Table1_2[[#This Row],[Categories]],Sheet3!$A$1:$B$27,2,FALSE)</f>
        <v>Food &amp;Beverage</v>
      </c>
    </row>
    <row r="3981" spans="1:7" x14ac:dyDescent="0.3">
      <c r="A3981" t="s">
        <v>34</v>
      </c>
      <c r="B3981">
        <v>2017</v>
      </c>
      <c r="C3981" t="s">
        <v>35</v>
      </c>
      <c r="D3981" s="2">
        <v>42767</v>
      </c>
      <c r="E3981" t="s">
        <v>9</v>
      </c>
      <c r="F3981">
        <v>119.5</v>
      </c>
      <c r="G3981" t="str">
        <f>VLOOKUP(Table1_2[[#This Row],[Categories]],Sheet3!$A$1:$B$27,2,FALSE)</f>
        <v>Food &amp;Beverage</v>
      </c>
    </row>
    <row r="3982" spans="1:7" x14ac:dyDescent="0.3">
      <c r="A3982" t="s">
        <v>34</v>
      </c>
      <c r="B3982">
        <v>2017</v>
      </c>
      <c r="C3982" t="s">
        <v>35</v>
      </c>
      <c r="D3982" s="2">
        <v>42767</v>
      </c>
      <c r="E3982" t="s">
        <v>10</v>
      </c>
      <c r="F3982">
        <v>152.19999999999999</v>
      </c>
      <c r="G3982" t="str">
        <f>VLOOKUP(Table1_2[[#This Row],[Categories]],Sheet3!$A$1:$B$27,2,FALSE)</f>
        <v>Food &amp;Beverage</v>
      </c>
    </row>
    <row r="3983" spans="1:7" x14ac:dyDescent="0.3">
      <c r="A3983" t="s">
        <v>34</v>
      </c>
      <c r="B3983">
        <v>2017</v>
      </c>
      <c r="C3983" t="s">
        <v>35</v>
      </c>
      <c r="D3983" s="2">
        <v>42767</v>
      </c>
      <c r="E3983" t="s">
        <v>11</v>
      </c>
      <c r="F3983">
        <v>117.3</v>
      </c>
      <c r="G3983" t="str">
        <f>VLOOKUP(Table1_2[[#This Row],[Categories]],Sheet3!$A$1:$B$27,2,FALSE)</f>
        <v>Food &amp;Beverage</v>
      </c>
    </row>
    <row r="3984" spans="1:7" x14ac:dyDescent="0.3">
      <c r="A3984" t="s">
        <v>34</v>
      </c>
      <c r="B3984">
        <v>2017</v>
      </c>
      <c r="C3984" t="s">
        <v>35</v>
      </c>
      <c r="D3984" s="2">
        <v>42767</v>
      </c>
      <c r="E3984" t="s">
        <v>12</v>
      </c>
      <c r="F3984">
        <v>138.69999999999999</v>
      </c>
      <c r="G3984" t="str">
        <f>VLOOKUP(Table1_2[[#This Row],[Categories]],Sheet3!$A$1:$B$27,2,FALSE)</f>
        <v>Food &amp;Beverage</v>
      </c>
    </row>
    <row r="3985" spans="1:7" x14ac:dyDescent="0.3">
      <c r="A3985" t="s">
        <v>34</v>
      </c>
      <c r="B3985">
        <v>2017</v>
      </c>
      <c r="C3985" t="s">
        <v>35</v>
      </c>
      <c r="D3985" s="2">
        <v>42767</v>
      </c>
      <c r="E3985" t="s">
        <v>13</v>
      </c>
      <c r="F3985">
        <v>126.9</v>
      </c>
      <c r="G3985" t="str">
        <f>VLOOKUP(Table1_2[[#This Row],[Categories]],Sheet3!$A$1:$B$27,2,FALSE)</f>
        <v>Food &amp;Beverage</v>
      </c>
    </row>
    <row r="3986" spans="1:7" x14ac:dyDescent="0.3">
      <c r="A3986" t="s">
        <v>34</v>
      </c>
      <c r="B3986">
        <v>2017</v>
      </c>
      <c r="C3986" t="s">
        <v>35</v>
      </c>
      <c r="D3986" s="2">
        <v>42767</v>
      </c>
      <c r="E3986" t="s">
        <v>14</v>
      </c>
      <c r="F3986">
        <v>143.19999999999999</v>
      </c>
      <c r="G3986" t="str">
        <f>VLOOKUP(Table1_2[[#This Row],[Categories]],Sheet3!$A$1:$B$27,2,FALSE)</f>
        <v>Food &amp;Beverage</v>
      </c>
    </row>
    <row r="3987" spans="1:7" x14ac:dyDescent="0.3">
      <c r="A3987" t="s">
        <v>34</v>
      </c>
      <c r="B3987">
        <v>2017</v>
      </c>
      <c r="C3987" t="s">
        <v>35</v>
      </c>
      <c r="D3987" s="2">
        <v>42767</v>
      </c>
      <c r="E3987" t="s">
        <v>15</v>
      </c>
      <c r="F3987">
        <v>133</v>
      </c>
      <c r="G3987" t="str">
        <f>VLOOKUP(Table1_2[[#This Row],[Categories]],Sheet3!$A$1:$B$27,2,FALSE)</f>
        <v>Food &amp;Beverage</v>
      </c>
    </row>
    <row r="3988" spans="1:7" x14ac:dyDescent="0.3">
      <c r="A3988" t="s">
        <v>34</v>
      </c>
      <c r="B3988">
        <v>2017</v>
      </c>
      <c r="C3988" t="s">
        <v>35</v>
      </c>
      <c r="D3988" s="2">
        <v>42767</v>
      </c>
      <c r="E3988" t="s">
        <v>16</v>
      </c>
      <c r="F3988">
        <v>144.4</v>
      </c>
      <c r="G3988" t="str">
        <f>VLOOKUP(Table1_2[[#This Row],[Categories]],Sheet3!$A$1:$B$27,2,FALSE)</f>
        <v>Recreation and amusement</v>
      </c>
    </row>
    <row r="3989" spans="1:7" x14ac:dyDescent="0.3">
      <c r="A3989" t="s">
        <v>34</v>
      </c>
      <c r="B3989">
        <v>2017</v>
      </c>
      <c r="C3989" t="s">
        <v>35</v>
      </c>
      <c r="D3989" s="2">
        <v>42767</v>
      </c>
      <c r="E3989" t="s">
        <v>17</v>
      </c>
      <c r="F3989">
        <v>136.80000000000001</v>
      </c>
      <c r="G3989" t="str">
        <f>VLOOKUP(Table1_2[[#This Row],[Categories]],Sheet3!$A$1:$B$27,2,FALSE)</f>
        <v>Clothing and footwear</v>
      </c>
    </row>
    <row r="3990" spans="1:7" x14ac:dyDescent="0.3">
      <c r="A3990" t="s">
        <v>34</v>
      </c>
      <c r="B3990">
        <v>2017</v>
      </c>
      <c r="C3990" t="s">
        <v>35</v>
      </c>
      <c r="D3990" s="2">
        <v>42767</v>
      </c>
      <c r="E3990" t="s">
        <v>18</v>
      </c>
      <c r="F3990">
        <v>130.30000000000001</v>
      </c>
      <c r="G3990" t="str">
        <f>VLOOKUP(Table1_2[[#This Row],[Categories]],Sheet3!$A$1:$B$27,2,FALSE)</f>
        <v>Clothing and footwear</v>
      </c>
    </row>
    <row r="3991" spans="1:7" x14ac:dyDescent="0.3">
      <c r="A3991" t="s">
        <v>34</v>
      </c>
      <c r="B3991">
        <v>2017</v>
      </c>
      <c r="C3991" t="s">
        <v>35</v>
      </c>
      <c r="D3991" s="2">
        <v>42767</v>
      </c>
      <c r="E3991" t="s">
        <v>19</v>
      </c>
      <c r="F3991">
        <v>135.9</v>
      </c>
      <c r="G3991" t="str">
        <f>VLOOKUP(Table1_2[[#This Row],[Categories]],Sheet3!$A$1:$B$27,2,FALSE)</f>
        <v>Clothing and footwear</v>
      </c>
    </row>
    <row r="3992" spans="1:7" x14ac:dyDescent="0.3">
      <c r="A3992" t="s">
        <v>34</v>
      </c>
      <c r="B3992">
        <v>2017</v>
      </c>
      <c r="C3992" t="s">
        <v>35</v>
      </c>
      <c r="D3992" s="2">
        <v>42767</v>
      </c>
      <c r="E3992" t="s">
        <v>20</v>
      </c>
      <c r="F3992">
        <v>130.5</v>
      </c>
      <c r="G3992" t="str">
        <f>VLOOKUP(Table1_2[[#This Row],[Categories]],Sheet3!$A$1:$B$27,2,FALSE)</f>
        <v>Housing</v>
      </c>
    </row>
    <row r="3993" spans="1:7" x14ac:dyDescent="0.3">
      <c r="A3993" t="s">
        <v>34</v>
      </c>
      <c r="B3993">
        <v>2017</v>
      </c>
      <c r="C3993" t="s">
        <v>35</v>
      </c>
      <c r="D3993" s="2">
        <v>42767</v>
      </c>
      <c r="E3993" t="s">
        <v>21</v>
      </c>
      <c r="F3993">
        <v>127.9</v>
      </c>
      <c r="G3993" t="str">
        <f>VLOOKUP(Table1_2[[#This Row],[Categories]],Sheet3!$A$1:$B$27,2,FALSE)</f>
        <v>Fuel and light</v>
      </c>
    </row>
    <row r="3994" spans="1:7" x14ac:dyDescent="0.3">
      <c r="A3994" t="s">
        <v>34</v>
      </c>
      <c r="B3994">
        <v>2017</v>
      </c>
      <c r="C3994" t="s">
        <v>35</v>
      </c>
      <c r="D3994" s="2">
        <v>42767</v>
      </c>
      <c r="E3994" t="s">
        <v>22</v>
      </c>
      <c r="F3994">
        <v>129.69999999999999</v>
      </c>
      <c r="G3994" t="str">
        <f>VLOOKUP(Table1_2[[#This Row],[Categories]],Sheet3!$A$1:$B$27,2,FALSE)</f>
        <v>Household Items</v>
      </c>
    </row>
    <row r="3995" spans="1:7" x14ac:dyDescent="0.3">
      <c r="A3995" t="s">
        <v>34</v>
      </c>
      <c r="B3995">
        <v>2017</v>
      </c>
      <c r="C3995" t="s">
        <v>35</v>
      </c>
      <c r="D3995" s="2">
        <v>42767</v>
      </c>
      <c r="E3995" t="s">
        <v>23</v>
      </c>
      <c r="F3995">
        <v>127.4</v>
      </c>
      <c r="G3995" t="str">
        <f>VLOOKUP(Table1_2[[#This Row],[Categories]],Sheet3!$A$1:$B$27,2,FALSE)</f>
        <v>Health</v>
      </c>
    </row>
    <row r="3996" spans="1:7" x14ac:dyDescent="0.3">
      <c r="A3996" t="s">
        <v>34</v>
      </c>
      <c r="B3996">
        <v>2017</v>
      </c>
      <c r="C3996" t="s">
        <v>35</v>
      </c>
      <c r="D3996" s="2">
        <v>42767</v>
      </c>
      <c r="E3996" t="s">
        <v>24</v>
      </c>
      <c r="F3996">
        <v>117.4</v>
      </c>
      <c r="G3996" t="str">
        <f>VLOOKUP(Table1_2[[#This Row],[Categories]],Sheet3!$A$1:$B$27,2,FALSE)</f>
        <v>Transport and communication</v>
      </c>
    </row>
    <row r="3997" spans="1:7" x14ac:dyDescent="0.3">
      <c r="A3997" t="s">
        <v>34</v>
      </c>
      <c r="B3997">
        <v>2017</v>
      </c>
      <c r="C3997" t="s">
        <v>35</v>
      </c>
      <c r="D3997" s="2">
        <v>42767</v>
      </c>
      <c r="E3997" t="s">
        <v>25</v>
      </c>
      <c r="F3997">
        <v>124.6</v>
      </c>
      <c r="G3997" t="str">
        <f>VLOOKUP(Table1_2[[#This Row],[Categories]],Sheet3!$A$1:$B$27,2,FALSE)</f>
        <v>Recreation and amusement</v>
      </c>
    </row>
    <row r="3998" spans="1:7" x14ac:dyDescent="0.3">
      <c r="A3998" t="s">
        <v>34</v>
      </c>
      <c r="B3998">
        <v>2017</v>
      </c>
      <c r="C3998" t="s">
        <v>35</v>
      </c>
      <c r="D3998" s="2">
        <v>42767</v>
      </c>
      <c r="E3998" t="s">
        <v>26</v>
      </c>
      <c r="F3998">
        <v>133.4</v>
      </c>
      <c r="G3998" t="str">
        <f>VLOOKUP(Table1_2[[#This Row],[Categories]],Sheet3!$A$1:$B$27,2,FALSE)</f>
        <v>Education</v>
      </c>
    </row>
    <row r="3999" spans="1:7" x14ac:dyDescent="0.3">
      <c r="A3999" t="s">
        <v>34</v>
      </c>
      <c r="B3999">
        <v>2017</v>
      </c>
      <c r="C3999" t="s">
        <v>35</v>
      </c>
      <c r="D3999" s="2">
        <v>42767</v>
      </c>
      <c r="E3999" t="s">
        <v>27</v>
      </c>
      <c r="F3999">
        <v>122.6</v>
      </c>
      <c r="G3999" t="str">
        <f>VLOOKUP(Table1_2[[#This Row],[Categories]],Sheet3!$A$1:$B$27,2,FALSE)</f>
        <v>Household Items</v>
      </c>
    </row>
    <row r="4000" spans="1:7" x14ac:dyDescent="0.3">
      <c r="A4000" t="s">
        <v>34</v>
      </c>
      <c r="B4000">
        <v>2017</v>
      </c>
      <c r="C4000" t="s">
        <v>35</v>
      </c>
      <c r="D4000" s="2">
        <v>42767</v>
      </c>
      <c r="E4000" t="s">
        <v>28</v>
      </c>
      <c r="F4000">
        <v>124.8</v>
      </c>
      <c r="G4000" t="str">
        <f>VLOOKUP(Table1_2[[#This Row],[Categories]],Sheet3!$A$1:$B$27,2,FALSE)</f>
        <v>Miscellaneous</v>
      </c>
    </row>
    <row r="4001" spans="1:7" x14ac:dyDescent="0.3">
      <c r="A4001" t="s">
        <v>34</v>
      </c>
      <c r="B4001">
        <v>2017</v>
      </c>
      <c r="C4001" t="s">
        <v>35</v>
      </c>
      <c r="D4001" s="2">
        <v>42767</v>
      </c>
      <c r="E4001" t="s">
        <v>29</v>
      </c>
      <c r="F4001">
        <v>130.6</v>
      </c>
      <c r="G4001" t="str">
        <f>VLOOKUP(Table1_2[[#This Row],[Categories]],Sheet3!$A$1:$B$27,2,FALSE)</f>
        <v>General index</v>
      </c>
    </row>
    <row r="4002" spans="1:7" x14ac:dyDescent="0.3">
      <c r="A4002" t="s">
        <v>30</v>
      </c>
      <c r="B4002">
        <v>2017</v>
      </c>
      <c r="C4002" t="s">
        <v>36</v>
      </c>
      <c r="D4002" s="2">
        <v>42795</v>
      </c>
      <c r="E4002" t="s">
        <v>3</v>
      </c>
      <c r="F4002">
        <v>133.6</v>
      </c>
      <c r="G4002" t="str">
        <f>VLOOKUP(Table1_2[[#This Row],[Categories]],Sheet3!$A$1:$B$27,2,FALSE)</f>
        <v>Food &amp;Beverage</v>
      </c>
    </row>
    <row r="4003" spans="1:7" x14ac:dyDescent="0.3">
      <c r="A4003" t="s">
        <v>30</v>
      </c>
      <c r="B4003">
        <v>2017</v>
      </c>
      <c r="C4003" t="s">
        <v>36</v>
      </c>
      <c r="D4003" s="2">
        <v>42795</v>
      </c>
      <c r="E4003" t="s">
        <v>4</v>
      </c>
      <c r="F4003">
        <v>138.80000000000001</v>
      </c>
      <c r="G4003" t="str">
        <f>VLOOKUP(Table1_2[[#This Row],[Categories]],Sheet3!$A$1:$B$27,2,FALSE)</f>
        <v>Food &amp;Beverage</v>
      </c>
    </row>
    <row r="4004" spans="1:7" x14ac:dyDescent="0.3">
      <c r="A4004" t="s">
        <v>30</v>
      </c>
      <c r="B4004">
        <v>2017</v>
      </c>
      <c r="C4004" t="s">
        <v>36</v>
      </c>
      <c r="D4004" s="2">
        <v>42795</v>
      </c>
      <c r="E4004" t="s">
        <v>5</v>
      </c>
      <c r="F4004">
        <v>128.80000000000001</v>
      </c>
      <c r="G4004" t="str">
        <f>VLOOKUP(Table1_2[[#This Row],[Categories]],Sheet3!$A$1:$B$27,2,FALSE)</f>
        <v>Food &amp;Beverage</v>
      </c>
    </row>
    <row r="4005" spans="1:7" x14ac:dyDescent="0.3">
      <c r="A4005" t="s">
        <v>30</v>
      </c>
      <c r="B4005">
        <v>2017</v>
      </c>
      <c r="C4005" t="s">
        <v>36</v>
      </c>
      <c r="D4005" s="2">
        <v>42795</v>
      </c>
      <c r="E4005" t="s">
        <v>6</v>
      </c>
      <c r="F4005">
        <v>137.19999999999999</v>
      </c>
      <c r="G4005" t="str">
        <f>VLOOKUP(Table1_2[[#This Row],[Categories]],Sheet3!$A$1:$B$27,2,FALSE)</f>
        <v>Food &amp;Beverage</v>
      </c>
    </row>
    <row r="4006" spans="1:7" x14ac:dyDescent="0.3">
      <c r="A4006" t="s">
        <v>30</v>
      </c>
      <c r="B4006">
        <v>2017</v>
      </c>
      <c r="C4006" t="s">
        <v>36</v>
      </c>
      <c r="D4006" s="2">
        <v>42795</v>
      </c>
      <c r="E4006" t="s">
        <v>7</v>
      </c>
      <c r="F4006">
        <v>121.6</v>
      </c>
      <c r="G4006" t="str">
        <f>VLOOKUP(Table1_2[[#This Row],[Categories]],Sheet3!$A$1:$B$27,2,FALSE)</f>
        <v>Food &amp;Beverage</v>
      </c>
    </row>
    <row r="4007" spans="1:7" x14ac:dyDescent="0.3">
      <c r="A4007" t="s">
        <v>30</v>
      </c>
      <c r="B4007">
        <v>2017</v>
      </c>
      <c r="C4007" t="s">
        <v>36</v>
      </c>
      <c r="D4007" s="2">
        <v>42795</v>
      </c>
      <c r="E4007" t="s">
        <v>8</v>
      </c>
      <c r="F4007">
        <v>139.69999999999999</v>
      </c>
      <c r="G4007" t="str">
        <f>VLOOKUP(Table1_2[[#This Row],[Categories]],Sheet3!$A$1:$B$27,2,FALSE)</f>
        <v>Food &amp;Beverage</v>
      </c>
    </row>
    <row r="4008" spans="1:7" x14ac:dyDescent="0.3">
      <c r="A4008" t="s">
        <v>30</v>
      </c>
      <c r="B4008">
        <v>2017</v>
      </c>
      <c r="C4008" t="s">
        <v>36</v>
      </c>
      <c r="D4008" s="2">
        <v>42795</v>
      </c>
      <c r="E4008" t="s">
        <v>9</v>
      </c>
      <c r="F4008">
        <v>119.7</v>
      </c>
      <c r="G4008" t="str">
        <f>VLOOKUP(Table1_2[[#This Row],[Categories]],Sheet3!$A$1:$B$27,2,FALSE)</f>
        <v>Food &amp;Beverage</v>
      </c>
    </row>
    <row r="4009" spans="1:7" x14ac:dyDescent="0.3">
      <c r="A4009" t="s">
        <v>30</v>
      </c>
      <c r="B4009">
        <v>2017</v>
      </c>
      <c r="C4009" t="s">
        <v>36</v>
      </c>
      <c r="D4009" s="2">
        <v>42795</v>
      </c>
      <c r="E4009" t="s">
        <v>10</v>
      </c>
      <c r="F4009">
        <v>148</v>
      </c>
      <c r="G4009" t="str">
        <f>VLOOKUP(Table1_2[[#This Row],[Categories]],Sheet3!$A$1:$B$27,2,FALSE)</f>
        <v>Food &amp;Beverage</v>
      </c>
    </row>
    <row r="4010" spans="1:7" x14ac:dyDescent="0.3">
      <c r="A4010" t="s">
        <v>30</v>
      </c>
      <c r="B4010">
        <v>2017</v>
      </c>
      <c r="C4010" t="s">
        <v>36</v>
      </c>
      <c r="D4010" s="2">
        <v>42795</v>
      </c>
      <c r="E4010" t="s">
        <v>11</v>
      </c>
      <c r="F4010">
        <v>116.9</v>
      </c>
      <c r="G4010" t="str">
        <f>VLOOKUP(Table1_2[[#This Row],[Categories]],Sheet3!$A$1:$B$27,2,FALSE)</f>
        <v>Food &amp;Beverage</v>
      </c>
    </row>
    <row r="4011" spans="1:7" x14ac:dyDescent="0.3">
      <c r="A4011" t="s">
        <v>30</v>
      </c>
      <c r="B4011">
        <v>2017</v>
      </c>
      <c r="C4011" t="s">
        <v>36</v>
      </c>
      <c r="D4011" s="2">
        <v>42795</v>
      </c>
      <c r="E4011" t="s">
        <v>12</v>
      </c>
      <c r="F4011">
        <v>135.6</v>
      </c>
      <c r="G4011" t="str">
        <f>VLOOKUP(Table1_2[[#This Row],[Categories]],Sheet3!$A$1:$B$27,2,FALSE)</f>
        <v>Food &amp;Beverage</v>
      </c>
    </row>
    <row r="4012" spans="1:7" x14ac:dyDescent="0.3">
      <c r="A4012" t="s">
        <v>30</v>
      </c>
      <c r="B4012">
        <v>2017</v>
      </c>
      <c r="C4012" t="s">
        <v>36</v>
      </c>
      <c r="D4012" s="2">
        <v>42795</v>
      </c>
      <c r="E4012" t="s">
        <v>13</v>
      </c>
      <c r="F4012">
        <v>129.80000000000001</v>
      </c>
      <c r="G4012" t="str">
        <f>VLOOKUP(Table1_2[[#This Row],[Categories]],Sheet3!$A$1:$B$27,2,FALSE)</f>
        <v>Food &amp;Beverage</v>
      </c>
    </row>
    <row r="4013" spans="1:7" x14ac:dyDescent="0.3">
      <c r="A4013" t="s">
        <v>30</v>
      </c>
      <c r="B4013">
        <v>2017</v>
      </c>
      <c r="C4013" t="s">
        <v>36</v>
      </c>
      <c r="D4013" s="2">
        <v>42795</v>
      </c>
      <c r="E4013" t="s">
        <v>14</v>
      </c>
      <c r="F4013">
        <v>145.4</v>
      </c>
      <c r="G4013" t="str">
        <f>VLOOKUP(Table1_2[[#This Row],[Categories]],Sheet3!$A$1:$B$27,2,FALSE)</f>
        <v>Food &amp;Beverage</v>
      </c>
    </row>
    <row r="4014" spans="1:7" x14ac:dyDescent="0.3">
      <c r="A4014" t="s">
        <v>30</v>
      </c>
      <c r="B4014">
        <v>2017</v>
      </c>
      <c r="C4014" t="s">
        <v>36</v>
      </c>
      <c r="D4014" s="2">
        <v>42795</v>
      </c>
      <c r="E4014" t="s">
        <v>15</v>
      </c>
      <c r="F4014">
        <v>133.4</v>
      </c>
      <c r="G4014" t="str">
        <f>VLOOKUP(Table1_2[[#This Row],[Categories]],Sheet3!$A$1:$B$27,2,FALSE)</f>
        <v>Food &amp;Beverage</v>
      </c>
    </row>
    <row r="4015" spans="1:7" x14ac:dyDescent="0.3">
      <c r="A4015" t="s">
        <v>30</v>
      </c>
      <c r="B4015">
        <v>2017</v>
      </c>
      <c r="C4015" t="s">
        <v>36</v>
      </c>
      <c r="D4015" s="2">
        <v>42795</v>
      </c>
      <c r="E4015" t="s">
        <v>16</v>
      </c>
      <c r="F4015">
        <v>144.19999999999999</v>
      </c>
      <c r="G4015" t="str">
        <f>VLOOKUP(Table1_2[[#This Row],[Categories]],Sheet3!$A$1:$B$27,2,FALSE)</f>
        <v>Recreation and amusement</v>
      </c>
    </row>
    <row r="4016" spans="1:7" x14ac:dyDescent="0.3">
      <c r="A4016" t="s">
        <v>30</v>
      </c>
      <c r="B4016">
        <v>2017</v>
      </c>
      <c r="C4016" t="s">
        <v>36</v>
      </c>
      <c r="D4016" s="2">
        <v>42795</v>
      </c>
      <c r="E4016" t="s">
        <v>17</v>
      </c>
      <c r="F4016">
        <v>141.6</v>
      </c>
      <c r="G4016" t="str">
        <f>VLOOKUP(Table1_2[[#This Row],[Categories]],Sheet3!$A$1:$B$27,2,FALSE)</f>
        <v>Clothing and footwear</v>
      </c>
    </row>
    <row r="4017" spans="1:7" x14ac:dyDescent="0.3">
      <c r="A4017" t="s">
        <v>30</v>
      </c>
      <c r="B4017">
        <v>2017</v>
      </c>
      <c r="C4017" t="s">
        <v>36</v>
      </c>
      <c r="D4017" s="2">
        <v>42795</v>
      </c>
      <c r="E4017" t="s">
        <v>18</v>
      </c>
      <c r="F4017">
        <v>136.19999999999999</v>
      </c>
      <c r="G4017" t="str">
        <f>VLOOKUP(Table1_2[[#This Row],[Categories]],Sheet3!$A$1:$B$27,2,FALSE)</f>
        <v>Clothing and footwear</v>
      </c>
    </row>
    <row r="4018" spans="1:7" x14ac:dyDescent="0.3">
      <c r="A4018" t="s">
        <v>30</v>
      </c>
      <c r="B4018">
        <v>2017</v>
      </c>
      <c r="C4018" t="s">
        <v>36</v>
      </c>
      <c r="D4018" s="2">
        <v>42795</v>
      </c>
      <c r="E4018" t="s">
        <v>19</v>
      </c>
      <c r="F4018">
        <v>140.80000000000001</v>
      </c>
      <c r="G4018" t="str">
        <f>VLOOKUP(Table1_2[[#This Row],[Categories]],Sheet3!$A$1:$B$27,2,FALSE)</f>
        <v>Clothing and footwear</v>
      </c>
    </row>
    <row r="4019" spans="1:7" x14ac:dyDescent="0.3">
      <c r="A4019" t="s">
        <v>30</v>
      </c>
      <c r="B4019">
        <v>2017</v>
      </c>
      <c r="C4019" t="s">
        <v>36</v>
      </c>
      <c r="D4019" s="2">
        <v>42795</v>
      </c>
      <c r="E4019" t="s">
        <v>21</v>
      </c>
      <c r="F4019">
        <v>134.19999999999999</v>
      </c>
      <c r="G4019" t="str">
        <f>VLOOKUP(Table1_2[[#This Row],[Categories]],Sheet3!$A$1:$B$27,2,FALSE)</f>
        <v>Fuel and light</v>
      </c>
    </row>
    <row r="4020" spans="1:7" x14ac:dyDescent="0.3">
      <c r="A4020" t="s">
        <v>30</v>
      </c>
      <c r="B4020">
        <v>2017</v>
      </c>
      <c r="C4020" t="s">
        <v>36</v>
      </c>
      <c r="D4020" s="2">
        <v>42795</v>
      </c>
      <c r="E4020" t="s">
        <v>22</v>
      </c>
      <c r="F4020">
        <v>134.1</v>
      </c>
      <c r="G4020" t="str">
        <f>VLOOKUP(Table1_2[[#This Row],[Categories]],Sheet3!$A$1:$B$27,2,FALSE)</f>
        <v>Household Items</v>
      </c>
    </row>
    <row r="4021" spans="1:7" x14ac:dyDescent="0.3">
      <c r="A4021" t="s">
        <v>30</v>
      </c>
      <c r="B4021">
        <v>2017</v>
      </c>
      <c r="C4021" t="s">
        <v>36</v>
      </c>
      <c r="D4021" s="2">
        <v>42795</v>
      </c>
      <c r="E4021" t="s">
        <v>23</v>
      </c>
      <c r="F4021">
        <v>130.6</v>
      </c>
      <c r="G4021" t="str">
        <f>VLOOKUP(Table1_2[[#This Row],[Categories]],Sheet3!$A$1:$B$27,2,FALSE)</f>
        <v>Health</v>
      </c>
    </row>
    <row r="4022" spans="1:7" x14ac:dyDescent="0.3">
      <c r="A4022" t="s">
        <v>30</v>
      </c>
      <c r="B4022">
        <v>2017</v>
      </c>
      <c r="C4022" t="s">
        <v>36</v>
      </c>
      <c r="D4022" s="2">
        <v>42795</v>
      </c>
      <c r="E4022" t="s">
        <v>24</v>
      </c>
      <c r="F4022">
        <v>119.8</v>
      </c>
      <c r="G4022" t="str">
        <f>VLOOKUP(Table1_2[[#This Row],[Categories]],Sheet3!$A$1:$B$27,2,FALSE)</f>
        <v>Transport and communication</v>
      </c>
    </row>
    <row r="4023" spans="1:7" x14ac:dyDescent="0.3">
      <c r="A4023" t="s">
        <v>30</v>
      </c>
      <c r="B4023">
        <v>2017</v>
      </c>
      <c r="C4023" t="s">
        <v>36</v>
      </c>
      <c r="D4023" s="2">
        <v>42795</v>
      </c>
      <c r="E4023" t="s">
        <v>25</v>
      </c>
      <c r="F4023">
        <v>128.30000000000001</v>
      </c>
      <c r="G4023" t="str">
        <f>VLOOKUP(Table1_2[[#This Row],[Categories]],Sheet3!$A$1:$B$27,2,FALSE)</f>
        <v>Recreation and amusement</v>
      </c>
    </row>
    <row r="4024" spans="1:7" x14ac:dyDescent="0.3">
      <c r="A4024" t="s">
        <v>30</v>
      </c>
      <c r="B4024">
        <v>2017</v>
      </c>
      <c r="C4024" t="s">
        <v>36</v>
      </c>
      <c r="D4024" s="2">
        <v>42795</v>
      </c>
      <c r="E4024" t="s">
        <v>26</v>
      </c>
      <c r="F4024">
        <v>135.19999999999999</v>
      </c>
      <c r="G4024" t="str">
        <f>VLOOKUP(Table1_2[[#This Row],[Categories]],Sheet3!$A$1:$B$27,2,FALSE)</f>
        <v>Education</v>
      </c>
    </row>
    <row r="4025" spans="1:7" x14ac:dyDescent="0.3">
      <c r="A4025" t="s">
        <v>30</v>
      </c>
      <c r="B4025">
        <v>2017</v>
      </c>
      <c r="C4025" t="s">
        <v>36</v>
      </c>
      <c r="D4025" s="2">
        <v>42795</v>
      </c>
      <c r="E4025" t="s">
        <v>27</v>
      </c>
      <c r="F4025">
        <v>123.3</v>
      </c>
      <c r="G4025" t="str">
        <f>VLOOKUP(Table1_2[[#This Row],[Categories]],Sheet3!$A$1:$B$27,2,FALSE)</f>
        <v>Household Items</v>
      </c>
    </row>
    <row r="4026" spans="1:7" x14ac:dyDescent="0.3">
      <c r="A4026" t="s">
        <v>30</v>
      </c>
      <c r="B4026">
        <v>2017</v>
      </c>
      <c r="C4026" t="s">
        <v>36</v>
      </c>
      <c r="D4026" s="2">
        <v>42795</v>
      </c>
      <c r="E4026" t="s">
        <v>28</v>
      </c>
      <c r="F4026">
        <v>127.4</v>
      </c>
      <c r="G4026" t="str">
        <f>VLOOKUP(Table1_2[[#This Row],[Categories]],Sheet3!$A$1:$B$27,2,FALSE)</f>
        <v>Miscellaneous</v>
      </c>
    </row>
    <row r="4027" spans="1:7" x14ac:dyDescent="0.3">
      <c r="A4027" t="s">
        <v>30</v>
      </c>
      <c r="B4027">
        <v>2017</v>
      </c>
      <c r="C4027" t="s">
        <v>36</v>
      </c>
      <c r="D4027" s="2">
        <v>42795</v>
      </c>
      <c r="E4027" t="s">
        <v>29</v>
      </c>
      <c r="F4027">
        <v>132.80000000000001</v>
      </c>
      <c r="G4027" t="str">
        <f>VLOOKUP(Table1_2[[#This Row],[Categories]],Sheet3!$A$1:$B$27,2,FALSE)</f>
        <v>General index</v>
      </c>
    </row>
    <row r="4028" spans="1:7" x14ac:dyDescent="0.3">
      <c r="A4028" t="s">
        <v>33</v>
      </c>
      <c r="B4028">
        <v>2017</v>
      </c>
      <c r="C4028" t="s">
        <v>36</v>
      </c>
      <c r="D4028" s="2">
        <v>42795</v>
      </c>
      <c r="E4028" t="s">
        <v>3</v>
      </c>
      <c r="F4028">
        <v>132.69999999999999</v>
      </c>
      <c r="G4028" t="str">
        <f>VLOOKUP(Table1_2[[#This Row],[Categories]],Sheet3!$A$1:$B$27,2,FALSE)</f>
        <v>Food &amp;Beverage</v>
      </c>
    </row>
    <row r="4029" spans="1:7" x14ac:dyDescent="0.3">
      <c r="A4029" t="s">
        <v>33</v>
      </c>
      <c r="B4029">
        <v>2017</v>
      </c>
      <c r="C4029" t="s">
        <v>36</v>
      </c>
      <c r="D4029" s="2">
        <v>42795</v>
      </c>
      <c r="E4029" t="s">
        <v>4</v>
      </c>
      <c r="F4029">
        <v>139.4</v>
      </c>
      <c r="G4029" t="str">
        <f>VLOOKUP(Table1_2[[#This Row],[Categories]],Sheet3!$A$1:$B$27,2,FALSE)</f>
        <v>Food &amp;Beverage</v>
      </c>
    </row>
    <row r="4030" spans="1:7" x14ac:dyDescent="0.3">
      <c r="A4030" t="s">
        <v>33</v>
      </c>
      <c r="B4030">
        <v>2017</v>
      </c>
      <c r="C4030" t="s">
        <v>36</v>
      </c>
      <c r="D4030" s="2">
        <v>42795</v>
      </c>
      <c r="E4030" t="s">
        <v>5</v>
      </c>
      <c r="F4030">
        <v>128.4</v>
      </c>
      <c r="G4030" t="str">
        <f>VLOOKUP(Table1_2[[#This Row],[Categories]],Sheet3!$A$1:$B$27,2,FALSE)</f>
        <v>Food &amp;Beverage</v>
      </c>
    </row>
    <row r="4031" spans="1:7" x14ac:dyDescent="0.3">
      <c r="A4031" t="s">
        <v>33</v>
      </c>
      <c r="B4031">
        <v>2017</v>
      </c>
      <c r="C4031" t="s">
        <v>36</v>
      </c>
      <c r="D4031" s="2">
        <v>42795</v>
      </c>
      <c r="E4031" t="s">
        <v>6</v>
      </c>
      <c r="F4031">
        <v>134.9</v>
      </c>
      <c r="G4031" t="str">
        <f>VLOOKUP(Table1_2[[#This Row],[Categories]],Sheet3!$A$1:$B$27,2,FALSE)</f>
        <v>Food &amp;Beverage</v>
      </c>
    </row>
    <row r="4032" spans="1:7" x14ac:dyDescent="0.3">
      <c r="A4032" t="s">
        <v>33</v>
      </c>
      <c r="B4032">
        <v>2017</v>
      </c>
      <c r="C4032" t="s">
        <v>36</v>
      </c>
      <c r="D4032" s="2">
        <v>42795</v>
      </c>
      <c r="E4032" t="s">
        <v>7</v>
      </c>
      <c r="F4032">
        <v>114</v>
      </c>
      <c r="G4032" t="str">
        <f>VLOOKUP(Table1_2[[#This Row],[Categories]],Sheet3!$A$1:$B$27,2,FALSE)</f>
        <v>Food &amp;Beverage</v>
      </c>
    </row>
    <row r="4033" spans="1:7" x14ac:dyDescent="0.3">
      <c r="A4033" t="s">
        <v>33</v>
      </c>
      <c r="B4033">
        <v>2017</v>
      </c>
      <c r="C4033" t="s">
        <v>36</v>
      </c>
      <c r="D4033" s="2">
        <v>42795</v>
      </c>
      <c r="E4033" t="s">
        <v>8</v>
      </c>
      <c r="F4033">
        <v>136.80000000000001</v>
      </c>
      <c r="G4033" t="str">
        <f>VLOOKUP(Table1_2[[#This Row],[Categories]],Sheet3!$A$1:$B$27,2,FALSE)</f>
        <v>Food &amp;Beverage</v>
      </c>
    </row>
    <row r="4034" spans="1:7" x14ac:dyDescent="0.3">
      <c r="A4034" t="s">
        <v>33</v>
      </c>
      <c r="B4034">
        <v>2017</v>
      </c>
      <c r="C4034" t="s">
        <v>36</v>
      </c>
      <c r="D4034" s="2">
        <v>42795</v>
      </c>
      <c r="E4034" t="s">
        <v>9</v>
      </c>
      <c r="F4034">
        <v>122.2</v>
      </c>
      <c r="G4034" t="str">
        <f>VLOOKUP(Table1_2[[#This Row],[Categories]],Sheet3!$A$1:$B$27,2,FALSE)</f>
        <v>Food &amp;Beverage</v>
      </c>
    </row>
    <row r="4035" spans="1:7" x14ac:dyDescent="0.3">
      <c r="A4035" t="s">
        <v>33</v>
      </c>
      <c r="B4035">
        <v>2017</v>
      </c>
      <c r="C4035" t="s">
        <v>36</v>
      </c>
      <c r="D4035" s="2">
        <v>42795</v>
      </c>
      <c r="E4035" t="s">
        <v>10</v>
      </c>
      <c r="F4035">
        <v>135.80000000000001</v>
      </c>
      <c r="G4035" t="str">
        <f>VLOOKUP(Table1_2[[#This Row],[Categories]],Sheet3!$A$1:$B$27,2,FALSE)</f>
        <v>Food &amp;Beverage</v>
      </c>
    </row>
    <row r="4036" spans="1:7" x14ac:dyDescent="0.3">
      <c r="A4036" t="s">
        <v>33</v>
      </c>
      <c r="B4036">
        <v>2017</v>
      </c>
      <c r="C4036" t="s">
        <v>36</v>
      </c>
      <c r="D4036" s="2">
        <v>42795</v>
      </c>
      <c r="E4036" t="s">
        <v>11</v>
      </c>
      <c r="F4036">
        <v>120.3</v>
      </c>
      <c r="G4036" t="str">
        <f>VLOOKUP(Table1_2[[#This Row],[Categories]],Sheet3!$A$1:$B$27,2,FALSE)</f>
        <v>Food &amp;Beverage</v>
      </c>
    </row>
    <row r="4037" spans="1:7" x14ac:dyDescent="0.3">
      <c r="A4037" t="s">
        <v>33</v>
      </c>
      <c r="B4037">
        <v>2017</v>
      </c>
      <c r="C4037" t="s">
        <v>36</v>
      </c>
      <c r="D4037" s="2">
        <v>42795</v>
      </c>
      <c r="E4037" t="s">
        <v>12</v>
      </c>
      <c r="F4037">
        <v>142.6</v>
      </c>
      <c r="G4037" t="str">
        <f>VLOOKUP(Table1_2[[#This Row],[Categories]],Sheet3!$A$1:$B$27,2,FALSE)</f>
        <v>Food &amp;Beverage</v>
      </c>
    </row>
    <row r="4038" spans="1:7" x14ac:dyDescent="0.3">
      <c r="A4038" t="s">
        <v>33</v>
      </c>
      <c r="B4038">
        <v>2017</v>
      </c>
      <c r="C4038" t="s">
        <v>36</v>
      </c>
      <c r="D4038" s="2">
        <v>42795</v>
      </c>
      <c r="E4038" t="s">
        <v>13</v>
      </c>
      <c r="F4038">
        <v>123.6</v>
      </c>
      <c r="G4038" t="str">
        <f>VLOOKUP(Table1_2[[#This Row],[Categories]],Sheet3!$A$1:$B$27,2,FALSE)</f>
        <v>Food &amp;Beverage</v>
      </c>
    </row>
    <row r="4039" spans="1:7" x14ac:dyDescent="0.3">
      <c r="A4039" t="s">
        <v>33</v>
      </c>
      <c r="B4039">
        <v>2017</v>
      </c>
      <c r="C4039" t="s">
        <v>36</v>
      </c>
      <c r="D4039" s="2">
        <v>42795</v>
      </c>
      <c r="E4039" t="s">
        <v>14</v>
      </c>
      <c r="F4039">
        <v>142.4</v>
      </c>
      <c r="G4039" t="str">
        <f>VLOOKUP(Table1_2[[#This Row],[Categories]],Sheet3!$A$1:$B$27,2,FALSE)</f>
        <v>Food &amp;Beverage</v>
      </c>
    </row>
    <row r="4040" spans="1:7" x14ac:dyDescent="0.3">
      <c r="A4040" t="s">
        <v>33</v>
      </c>
      <c r="B4040">
        <v>2017</v>
      </c>
      <c r="C4040" t="s">
        <v>36</v>
      </c>
      <c r="D4040" s="2">
        <v>42795</v>
      </c>
      <c r="E4040" t="s">
        <v>15</v>
      </c>
      <c r="F4040">
        <v>132.6</v>
      </c>
      <c r="G4040" t="str">
        <f>VLOOKUP(Table1_2[[#This Row],[Categories]],Sheet3!$A$1:$B$27,2,FALSE)</f>
        <v>Food &amp;Beverage</v>
      </c>
    </row>
    <row r="4041" spans="1:7" x14ac:dyDescent="0.3">
      <c r="A4041" t="s">
        <v>33</v>
      </c>
      <c r="B4041">
        <v>2017</v>
      </c>
      <c r="C4041" t="s">
        <v>36</v>
      </c>
      <c r="D4041" s="2">
        <v>42795</v>
      </c>
      <c r="E4041" t="s">
        <v>16</v>
      </c>
      <c r="F4041">
        <v>147.5</v>
      </c>
      <c r="G4041" t="str">
        <f>VLOOKUP(Table1_2[[#This Row],[Categories]],Sheet3!$A$1:$B$27,2,FALSE)</f>
        <v>Recreation and amusement</v>
      </c>
    </row>
    <row r="4042" spans="1:7" x14ac:dyDescent="0.3">
      <c r="A4042" t="s">
        <v>33</v>
      </c>
      <c r="B4042">
        <v>2017</v>
      </c>
      <c r="C4042" t="s">
        <v>36</v>
      </c>
      <c r="D4042" s="2">
        <v>42795</v>
      </c>
      <c r="E4042" t="s">
        <v>17</v>
      </c>
      <c r="F4042">
        <v>130.80000000000001</v>
      </c>
      <c r="G4042" t="str">
        <f>VLOOKUP(Table1_2[[#This Row],[Categories]],Sheet3!$A$1:$B$27,2,FALSE)</f>
        <v>Clothing and footwear</v>
      </c>
    </row>
    <row r="4043" spans="1:7" x14ac:dyDescent="0.3">
      <c r="A4043" t="s">
        <v>33</v>
      </c>
      <c r="B4043">
        <v>2017</v>
      </c>
      <c r="C4043" t="s">
        <v>36</v>
      </c>
      <c r="D4043" s="2">
        <v>42795</v>
      </c>
      <c r="E4043" t="s">
        <v>18</v>
      </c>
      <c r="F4043">
        <v>122.8</v>
      </c>
      <c r="G4043" t="str">
        <f>VLOOKUP(Table1_2[[#This Row],[Categories]],Sheet3!$A$1:$B$27,2,FALSE)</f>
        <v>Clothing and footwear</v>
      </c>
    </row>
    <row r="4044" spans="1:7" x14ac:dyDescent="0.3">
      <c r="A4044" t="s">
        <v>33</v>
      </c>
      <c r="B4044">
        <v>2017</v>
      </c>
      <c r="C4044" t="s">
        <v>36</v>
      </c>
      <c r="D4044" s="2">
        <v>42795</v>
      </c>
      <c r="E4044" t="s">
        <v>19</v>
      </c>
      <c r="F4044">
        <v>129.6</v>
      </c>
      <c r="G4044" t="str">
        <f>VLOOKUP(Table1_2[[#This Row],[Categories]],Sheet3!$A$1:$B$27,2,FALSE)</f>
        <v>Clothing and footwear</v>
      </c>
    </row>
    <row r="4045" spans="1:7" x14ac:dyDescent="0.3">
      <c r="A4045" t="s">
        <v>33</v>
      </c>
      <c r="B4045">
        <v>2017</v>
      </c>
      <c r="C4045" t="s">
        <v>36</v>
      </c>
      <c r="D4045" s="2">
        <v>42795</v>
      </c>
      <c r="E4045" t="s">
        <v>20</v>
      </c>
      <c r="F4045">
        <v>131.1</v>
      </c>
      <c r="G4045" t="str">
        <f>VLOOKUP(Table1_2[[#This Row],[Categories]],Sheet3!$A$1:$B$27,2,FALSE)</f>
        <v>Housing</v>
      </c>
    </row>
    <row r="4046" spans="1:7" x14ac:dyDescent="0.3">
      <c r="A4046" t="s">
        <v>33</v>
      </c>
      <c r="B4046">
        <v>2017</v>
      </c>
      <c r="C4046" t="s">
        <v>36</v>
      </c>
      <c r="D4046" s="2">
        <v>42795</v>
      </c>
      <c r="E4046" t="s">
        <v>21</v>
      </c>
      <c r="F4046">
        <v>120.8</v>
      </c>
      <c r="G4046" t="str">
        <f>VLOOKUP(Table1_2[[#This Row],[Categories]],Sheet3!$A$1:$B$27,2,FALSE)</f>
        <v>Fuel and light</v>
      </c>
    </row>
    <row r="4047" spans="1:7" x14ac:dyDescent="0.3">
      <c r="A4047" t="s">
        <v>33</v>
      </c>
      <c r="B4047">
        <v>2017</v>
      </c>
      <c r="C4047" t="s">
        <v>36</v>
      </c>
      <c r="D4047" s="2">
        <v>42795</v>
      </c>
      <c r="E4047" t="s">
        <v>22</v>
      </c>
      <c r="F4047">
        <v>125.6</v>
      </c>
      <c r="G4047" t="str">
        <f>VLOOKUP(Table1_2[[#This Row],[Categories]],Sheet3!$A$1:$B$27,2,FALSE)</f>
        <v>Household Items</v>
      </c>
    </row>
    <row r="4048" spans="1:7" x14ac:dyDescent="0.3">
      <c r="A4048" t="s">
        <v>33</v>
      </c>
      <c r="B4048">
        <v>2017</v>
      </c>
      <c r="C4048" t="s">
        <v>36</v>
      </c>
      <c r="D4048" s="2">
        <v>42795</v>
      </c>
      <c r="E4048" t="s">
        <v>23</v>
      </c>
      <c r="F4048">
        <v>123.1</v>
      </c>
      <c r="G4048" t="str">
        <f>VLOOKUP(Table1_2[[#This Row],[Categories]],Sheet3!$A$1:$B$27,2,FALSE)</f>
        <v>Health</v>
      </c>
    </row>
    <row r="4049" spans="1:7" x14ac:dyDescent="0.3">
      <c r="A4049" t="s">
        <v>33</v>
      </c>
      <c r="B4049">
        <v>2017</v>
      </c>
      <c r="C4049" t="s">
        <v>36</v>
      </c>
      <c r="D4049" s="2">
        <v>42795</v>
      </c>
      <c r="E4049" t="s">
        <v>24</v>
      </c>
      <c r="F4049">
        <v>115.6</v>
      </c>
      <c r="G4049" t="str">
        <f>VLOOKUP(Table1_2[[#This Row],[Categories]],Sheet3!$A$1:$B$27,2,FALSE)</f>
        <v>Transport and communication</v>
      </c>
    </row>
    <row r="4050" spans="1:7" x14ac:dyDescent="0.3">
      <c r="A4050" t="s">
        <v>33</v>
      </c>
      <c r="B4050">
        <v>2017</v>
      </c>
      <c r="C4050" t="s">
        <v>36</v>
      </c>
      <c r="D4050" s="2">
        <v>42795</v>
      </c>
      <c r="E4050" t="s">
        <v>25</v>
      </c>
      <c r="F4050">
        <v>122.4</v>
      </c>
      <c r="G4050" t="str">
        <f>VLOOKUP(Table1_2[[#This Row],[Categories]],Sheet3!$A$1:$B$27,2,FALSE)</f>
        <v>Recreation and amusement</v>
      </c>
    </row>
    <row r="4051" spans="1:7" x14ac:dyDescent="0.3">
      <c r="A4051" t="s">
        <v>33</v>
      </c>
      <c r="B4051">
        <v>2017</v>
      </c>
      <c r="C4051" t="s">
        <v>36</v>
      </c>
      <c r="D4051" s="2">
        <v>42795</v>
      </c>
      <c r="E4051" t="s">
        <v>26</v>
      </c>
      <c r="F4051">
        <v>132.80000000000001</v>
      </c>
      <c r="G4051" t="str">
        <f>VLOOKUP(Table1_2[[#This Row],[Categories]],Sheet3!$A$1:$B$27,2,FALSE)</f>
        <v>Education</v>
      </c>
    </row>
    <row r="4052" spans="1:7" x14ac:dyDescent="0.3">
      <c r="A4052" t="s">
        <v>33</v>
      </c>
      <c r="B4052">
        <v>2017</v>
      </c>
      <c r="C4052" t="s">
        <v>36</v>
      </c>
      <c r="D4052" s="2">
        <v>42795</v>
      </c>
      <c r="E4052" t="s">
        <v>27</v>
      </c>
      <c r="F4052">
        <v>121.7</v>
      </c>
      <c r="G4052" t="str">
        <f>VLOOKUP(Table1_2[[#This Row],[Categories]],Sheet3!$A$1:$B$27,2,FALSE)</f>
        <v>Household Items</v>
      </c>
    </row>
    <row r="4053" spans="1:7" x14ac:dyDescent="0.3">
      <c r="A4053" t="s">
        <v>33</v>
      </c>
      <c r="B4053">
        <v>2017</v>
      </c>
      <c r="C4053" t="s">
        <v>36</v>
      </c>
      <c r="D4053" s="2">
        <v>42795</v>
      </c>
      <c r="E4053" t="s">
        <v>28</v>
      </c>
      <c r="F4053">
        <v>122.6</v>
      </c>
      <c r="G4053" t="str">
        <f>VLOOKUP(Table1_2[[#This Row],[Categories]],Sheet3!$A$1:$B$27,2,FALSE)</f>
        <v>Miscellaneous</v>
      </c>
    </row>
    <row r="4054" spans="1:7" x14ac:dyDescent="0.3">
      <c r="A4054" t="s">
        <v>33</v>
      </c>
      <c r="B4054">
        <v>2017</v>
      </c>
      <c r="C4054" t="s">
        <v>36</v>
      </c>
      <c r="D4054" s="2">
        <v>42795</v>
      </c>
      <c r="E4054" t="s">
        <v>29</v>
      </c>
      <c r="F4054">
        <v>128.69999999999999</v>
      </c>
      <c r="G4054" t="str">
        <f>VLOOKUP(Table1_2[[#This Row],[Categories]],Sheet3!$A$1:$B$27,2,FALSE)</f>
        <v>General index</v>
      </c>
    </row>
    <row r="4055" spans="1:7" x14ac:dyDescent="0.3">
      <c r="A4055" t="s">
        <v>34</v>
      </c>
      <c r="B4055">
        <v>2017</v>
      </c>
      <c r="C4055" t="s">
        <v>36</v>
      </c>
      <c r="D4055" s="2">
        <v>42795</v>
      </c>
      <c r="E4055" t="s">
        <v>3</v>
      </c>
      <c r="F4055">
        <v>133.30000000000001</v>
      </c>
      <c r="G4055" t="str">
        <f>VLOOKUP(Table1_2[[#This Row],[Categories]],Sheet3!$A$1:$B$27,2,FALSE)</f>
        <v>Food &amp;Beverage</v>
      </c>
    </row>
    <row r="4056" spans="1:7" x14ac:dyDescent="0.3">
      <c r="A4056" t="s">
        <v>34</v>
      </c>
      <c r="B4056">
        <v>2017</v>
      </c>
      <c r="C4056" t="s">
        <v>36</v>
      </c>
      <c r="D4056" s="2">
        <v>42795</v>
      </c>
      <c r="E4056" t="s">
        <v>4</v>
      </c>
      <c r="F4056">
        <v>139</v>
      </c>
      <c r="G4056" t="str">
        <f>VLOOKUP(Table1_2[[#This Row],[Categories]],Sheet3!$A$1:$B$27,2,FALSE)</f>
        <v>Food &amp;Beverage</v>
      </c>
    </row>
    <row r="4057" spans="1:7" x14ac:dyDescent="0.3">
      <c r="A4057" t="s">
        <v>34</v>
      </c>
      <c r="B4057">
        <v>2017</v>
      </c>
      <c r="C4057" t="s">
        <v>36</v>
      </c>
      <c r="D4057" s="2">
        <v>42795</v>
      </c>
      <c r="E4057" t="s">
        <v>5</v>
      </c>
      <c r="F4057">
        <v>128.6</v>
      </c>
      <c r="G4057" t="str">
        <f>VLOOKUP(Table1_2[[#This Row],[Categories]],Sheet3!$A$1:$B$27,2,FALSE)</f>
        <v>Food &amp;Beverage</v>
      </c>
    </row>
    <row r="4058" spans="1:7" x14ac:dyDescent="0.3">
      <c r="A4058" t="s">
        <v>34</v>
      </c>
      <c r="B4058">
        <v>2017</v>
      </c>
      <c r="C4058" t="s">
        <v>36</v>
      </c>
      <c r="D4058" s="2">
        <v>42795</v>
      </c>
      <c r="E4058" t="s">
        <v>6</v>
      </c>
      <c r="F4058">
        <v>136.30000000000001</v>
      </c>
      <c r="G4058" t="str">
        <f>VLOOKUP(Table1_2[[#This Row],[Categories]],Sheet3!$A$1:$B$27,2,FALSE)</f>
        <v>Food &amp;Beverage</v>
      </c>
    </row>
    <row r="4059" spans="1:7" x14ac:dyDescent="0.3">
      <c r="A4059" t="s">
        <v>34</v>
      </c>
      <c r="B4059">
        <v>2017</v>
      </c>
      <c r="C4059" t="s">
        <v>36</v>
      </c>
      <c r="D4059" s="2">
        <v>42795</v>
      </c>
      <c r="E4059" t="s">
        <v>7</v>
      </c>
      <c r="F4059">
        <v>118.8</v>
      </c>
      <c r="G4059" t="str">
        <f>VLOOKUP(Table1_2[[#This Row],[Categories]],Sheet3!$A$1:$B$27,2,FALSE)</f>
        <v>Food &amp;Beverage</v>
      </c>
    </row>
    <row r="4060" spans="1:7" x14ac:dyDescent="0.3">
      <c r="A4060" t="s">
        <v>34</v>
      </c>
      <c r="B4060">
        <v>2017</v>
      </c>
      <c r="C4060" t="s">
        <v>36</v>
      </c>
      <c r="D4060" s="2">
        <v>42795</v>
      </c>
      <c r="E4060" t="s">
        <v>8</v>
      </c>
      <c r="F4060">
        <v>138.30000000000001</v>
      </c>
      <c r="G4060" t="str">
        <f>VLOOKUP(Table1_2[[#This Row],[Categories]],Sheet3!$A$1:$B$27,2,FALSE)</f>
        <v>Food &amp;Beverage</v>
      </c>
    </row>
    <row r="4061" spans="1:7" x14ac:dyDescent="0.3">
      <c r="A4061" t="s">
        <v>34</v>
      </c>
      <c r="B4061">
        <v>2017</v>
      </c>
      <c r="C4061" t="s">
        <v>36</v>
      </c>
      <c r="D4061" s="2">
        <v>42795</v>
      </c>
      <c r="E4061" t="s">
        <v>9</v>
      </c>
      <c r="F4061">
        <v>120.5</v>
      </c>
      <c r="G4061" t="str">
        <f>VLOOKUP(Table1_2[[#This Row],[Categories]],Sheet3!$A$1:$B$27,2,FALSE)</f>
        <v>Food &amp;Beverage</v>
      </c>
    </row>
    <row r="4062" spans="1:7" x14ac:dyDescent="0.3">
      <c r="A4062" t="s">
        <v>34</v>
      </c>
      <c r="B4062">
        <v>2017</v>
      </c>
      <c r="C4062" t="s">
        <v>36</v>
      </c>
      <c r="D4062" s="2">
        <v>42795</v>
      </c>
      <c r="E4062" t="s">
        <v>10</v>
      </c>
      <c r="F4062">
        <v>143.9</v>
      </c>
      <c r="G4062" t="str">
        <f>VLOOKUP(Table1_2[[#This Row],[Categories]],Sheet3!$A$1:$B$27,2,FALSE)</f>
        <v>Food &amp;Beverage</v>
      </c>
    </row>
    <row r="4063" spans="1:7" x14ac:dyDescent="0.3">
      <c r="A4063" t="s">
        <v>34</v>
      </c>
      <c r="B4063">
        <v>2017</v>
      </c>
      <c r="C4063" t="s">
        <v>36</v>
      </c>
      <c r="D4063" s="2">
        <v>42795</v>
      </c>
      <c r="E4063" t="s">
        <v>11</v>
      </c>
      <c r="F4063">
        <v>118</v>
      </c>
      <c r="G4063" t="str">
        <f>VLOOKUP(Table1_2[[#This Row],[Categories]],Sheet3!$A$1:$B$27,2,FALSE)</f>
        <v>Food &amp;Beverage</v>
      </c>
    </row>
    <row r="4064" spans="1:7" x14ac:dyDescent="0.3">
      <c r="A4064" t="s">
        <v>34</v>
      </c>
      <c r="B4064">
        <v>2017</v>
      </c>
      <c r="C4064" t="s">
        <v>36</v>
      </c>
      <c r="D4064" s="2">
        <v>42795</v>
      </c>
      <c r="E4064" t="s">
        <v>12</v>
      </c>
      <c r="F4064">
        <v>137.9</v>
      </c>
      <c r="G4064" t="str">
        <f>VLOOKUP(Table1_2[[#This Row],[Categories]],Sheet3!$A$1:$B$27,2,FALSE)</f>
        <v>Food &amp;Beverage</v>
      </c>
    </row>
    <row r="4065" spans="1:7" x14ac:dyDescent="0.3">
      <c r="A4065" t="s">
        <v>34</v>
      </c>
      <c r="B4065">
        <v>2017</v>
      </c>
      <c r="C4065" t="s">
        <v>36</v>
      </c>
      <c r="D4065" s="2">
        <v>42795</v>
      </c>
      <c r="E4065" t="s">
        <v>13</v>
      </c>
      <c r="F4065">
        <v>127.2</v>
      </c>
      <c r="G4065" t="str">
        <f>VLOOKUP(Table1_2[[#This Row],[Categories]],Sheet3!$A$1:$B$27,2,FALSE)</f>
        <v>Food &amp;Beverage</v>
      </c>
    </row>
    <row r="4066" spans="1:7" x14ac:dyDescent="0.3">
      <c r="A4066" t="s">
        <v>34</v>
      </c>
      <c r="B4066">
        <v>2017</v>
      </c>
      <c r="C4066" t="s">
        <v>36</v>
      </c>
      <c r="D4066" s="2">
        <v>42795</v>
      </c>
      <c r="E4066" t="s">
        <v>14</v>
      </c>
      <c r="F4066">
        <v>144</v>
      </c>
      <c r="G4066" t="str">
        <f>VLOOKUP(Table1_2[[#This Row],[Categories]],Sheet3!$A$1:$B$27,2,FALSE)</f>
        <v>Food &amp;Beverage</v>
      </c>
    </row>
    <row r="4067" spans="1:7" x14ac:dyDescent="0.3">
      <c r="A4067" t="s">
        <v>34</v>
      </c>
      <c r="B4067">
        <v>2017</v>
      </c>
      <c r="C4067" t="s">
        <v>36</v>
      </c>
      <c r="D4067" s="2">
        <v>42795</v>
      </c>
      <c r="E4067" t="s">
        <v>15</v>
      </c>
      <c r="F4067">
        <v>133.1</v>
      </c>
      <c r="G4067" t="str">
        <f>VLOOKUP(Table1_2[[#This Row],[Categories]],Sheet3!$A$1:$B$27,2,FALSE)</f>
        <v>Food &amp;Beverage</v>
      </c>
    </row>
    <row r="4068" spans="1:7" x14ac:dyDescent="0.3">
      <c r="A4068" t="s">
        <v>34</v>
      </c>
      <c r="B4068">
        <v>2017</v>
      </c>
      <c r="C4068" t="s">
        <v>36</v>
      </c>
      <c r="D4068" s="2">
        <v>42795</v>
      </c>
      <c r="E4068" t="s">
        <v>16</v>
      </c>
      <c r="F4068">
        <v>145.1</v>
      </c>
      <c r="G4068" t="str">
        <f>VLOOKUP(Table1_2[[#This Row],[Categories]],Sheet3!$A$1:$B$27,2,FALSE)</f>
        <v>Recreation and amusement</v>
      </c>
    </row>
    <row r="4069" spans="1:7" x14ac:dyDescent="0.3">
      <c r="A4069" t="s">
        <v>34</v>
      </c>
      <c r="B4069">
        <v>2017</v>
      </c>
      <c r="C4069" t="s">
        <v>36</v>
      </c>
      <c r="D4069" s="2">
        <v>42795</v>
      </c>
      <c r="E4069" t="s">
        <v>17</v>
      </c>
      <c r="F4069">
        <v>137.30000000000001</v>
      </c>
      <c r="G4069" t="str">
        <f>VLOOKUP(Table1_2[[#This Row],[Categories]],Sheet3!$A$1:$B$27,2,FALSE)</f>
        <v>Clothing and footwear</v>
      </c>
    </row>
    <row r="4070" spans="1:7" x14ac:dyDescent="0.3">
      <c r="A4070" t="s">
        <v>34</v>
      </c>
      <c r="B4070">
        <v>2017</v>
      </c>
      <c r="C4070" t="s">
        <v>36</v>
      </c>
      <c r="D4070" s="2">
        <v>42795</v>
      </c>
      <c r="E4070" t="s">
        <v>18</v>
      </c>
      <c r="F4070">
        <v>130.6</v>
      </c>
      <c r="G4070" t="str">
        <f>VLOOKUP(Table1_2[[#This Row],[Categories]],Sheet3!$A$1:$B$27,2,FALSE)</f>
        <v>Clothing and footwear</v>
      </c>
    </row>
    <row r="4071" spans="1:7" x14ac:dyDescent="0.3">
      <c r="A4071" t="s">
        <v>34</v>
      </c>
      <c r="B4071">
        <v>2017</v>
      </c>
      <c r="C4071" t="s">
        <v>36</v>
      </c>
      <c r="D4071" s="2">
        <v>42795</v>
      </c>
      <c r="E4071" t="s">
        <v>19</v>
      </c>
      <c r="F4071">
        <v>136.4</v>
      </c>
      <c r="G4071" t="str">
        <f>VLOOKUP(Table1_2[[#This Row],[Categories]],Sheet3!$A$1:$B$27,2,FALSE)</f>
        <v>Clothing and footwear</v>
      </c>
    </row>
    <row r="4072" spans="1:7" x14ac:dyDescent="0.3">
      <c r="A4072" t="s">
        <v>34</v>
      </c>
      <c r="B4072">
        <v>2017</v>
      </c>
      <c r="C4072" t="s">
        <v>36</v>
      </c>
      <c r="D4072" s="2">
        <v>42795</v>
      </c>
      <c r="E4072" t="s">
        <v>20</v>
      </c>
      <c r="F4072">
        <v>131.1</v>
      </c>
      <c r="G4072" t="str">
        <f>VLOOKUP(Table1_2[[#This Row],[Categories]],Sheet3!$A$1:$B$27,2,FALSE)</f>
        <v>Housing</v>
      </c>
    </row>
    <row r="4073" spans="1:7" x14ac:dyDescent="0.3">
      <c r="A4073" t="s">
        <v>34</v>
      </c>
      <c r="B4073">
        <v>2017</v>
      </c>
      <c r="C4073" t="s">
        <v>36</v>
      </c>
      <c r="D4073" s="2">
        <v>42795</v>
      </c>
      <c r="E4073" t="s">
        <v>21</v>
      </c>
      <c r="F4073">
        <v>129.1</v>
      </c>
      <c r="G4073" t="str">
        <f>VLOOKUP(Table1_2[[#This Row],[Categories]],Sheet3!$A$1:$B$27,2,FALSE)</f>
        <v>Fuel and light</v>
      </c>
    </row>
    <row r="4074" spans="1:7" x14ac:dyDescent="0.3">
      <c r="A4074" t="s">
        <v>34</v>
      </c>
      <c r="B4074">
        <v>2017</v>
      </c>
      <c r="C4074" t="s">
        <v>36</v>
      </c>
      <c r="D4074" s="2">
        <v>42795</v>
      </c>
      <c r="E4074" t="s">
        <v>22</v>
      </c>
      <c r="F4074">
        <v>130.1</v>
      </c>
      <c r="G4074" t="str">
        <f>VLOOKUP(Table1_2[[#This Row],[Categories]],Sheet3!$A$1:$B$27,2,FALSE)</f>
        <v>Household Items</v>
      </c>
    </row>
    <row r="4075" spans="1:7" x14ac:dyDescent="0.3">
      <c r="A4075" t="s">
        <v>34</v>
      </c>
      <c r="B4075">
        <v>2017</v>
      </c>
      <c r="C4075" t="s">
        <v>36</v>
      </c>
      <c r="D4075" s="2">
        <v>42795</v>
      </c>
      <c r="E4075" t="s">
        <v>23</v>
      </c>
      <c r="F4075">
        <v>127.8</v>
      </c>
      <c r="G4075" t="str">
        <f>VLOOKUP(Table1_2[[#This Row],[Categories]],Sheet3!$A$1:$B$27,2,FALSE)</f>
        <v>Health</v>
      </c>
    </row>
    <row r="4076" spans="1:7" x14ac:dyDescent="0.3">
      <c r="A4076" t="s">
        <v>34</v>
      </c>
      <c r="B4076">
        <v>2017</v>
      </c>
      <c r="C4076" t="s">
        <v>36</v>
      </c>
      <c r="D4076" s="2">
        <v>42795</v>
      </c>
      <c r="E4076" t="s">
        <v>24</v>
      </c>
      <c r="F4076">
        <v>117.6</v>
      </c>
      <c r="G4076" t="str">
        <f>VLOOKUP(Table1_2[[#This Row],[Categories]],Sheet3!$A$1:$B$27,2,FALSE)</f>
        <v>Transport and communication</v>
      </c>
    </row>
    <row r="4077" spans="1:7" x14ac:dyDescent="0.3">
      <c r="A4077" t="s">
        <v>34</v>
      </c>
      <c r="B4077">
        <v>2017</v>
      </c>
      <c r="C4077" t="s">
        <v>36</v>
      </c>
      <c r="D4077" s="2">
        <v>42795</v>
      </c>
      <c r="E4077" t="s">
        <v>25</v>
      </c>
      <c r="F4077">
        <v>125</v>
      </c>
      <c r="G4077" t="str">
        <f>VLOOKUP(Table1_2[[#This Row],[Categories]],Sheet3!$A$1:$B$27,2,FALSE)</f>
        <v>Recreation and amusement</v>
      </c>
    </row>
    <row r="4078" spans="1:7" x14ac:dyDescent="0.3">
      <c r="A4078" t="s">
        <v>34</v>
      </c>
      <c r="B4078">
        <v>2017</v>
      </c>
      <c r="C4078" t="s">
        <v>36</v>
      </c>
      <c r="D4078" s="2">
        <v>42795</v>
      </c>
      <c r="E4078" t="s">
        <v>26</v>
      </c>
      <c r="F4078">
        <v>133.80000000000001</v>
      </c>
      <c r="G4078" t="str">
        <f>VLOOKUP(Table1_2[[#This Row],[Categories]],Sheet3!$A$1:$B$27,2,FALSE)</f>
        <v>Education</v>
      </c>
    </row>
    <row r="4079" spans="1:7" x14ac:dyDescent="0.3">
      <c r="A4079" t="s">
        <v>34</v>
      </c>
      <c r="B4079">
        <v>2017</v>
      </c>
      <c r="C4079" t="s">
        <v>36</v>
      </c>
      <c r="D4079" s="2">
        <v>42795</v>
      </c>
      <c r="E4079" t="s">
        <v>27</v>
      </c>
      <c r="F4079">
        <v>122.6</v>
      </c>
      <c r="G4079" t="str">
        <f>VLOOKUP(Table1_2[[#This Row],[Categories]],Sheet3!$A$1:$B$27,2,FALSE)</f>
        <v>Household Items</v>
      </c>
    </row>
    <row r="4080" spans="1:7" x14ac:dyDescent="0.3">
      <c r="A4080" t="s">
        <v>34</v>
      </c>
      <c r="B4080">
        <v>2017</v>
      </c>
      <c r="C4080" t="s">
        <v>36</v>
      </c>
      <c r="D4080" s="2">
        <v>42795</v>
      </c>
      <c r="E4080" t="s">
        <v>28</v>
      </c>
      <c r="F4080">
        <v>125.1</v>
      </c>
      <c r="G4080" t="str">
        <f>VLOOKUP(Table1_2[[#This Row],[Categories]],Sheet3!$A$1:$B$27,2,FALSE)</f>
        <v>Miscellaneous</v>
      </c>
    </row>
    <row r="4081" spans="1:7" x14ac:dyDescent="0.3">
      <c r="A4081" t="s">
        <v>34</v>
      </c>
      <c r="B4081">
        <v>2017</v>
      </c>
      <c r="C4081" t="s">
        <v>36</v>
      </c>
      <c r="D4081" s="2">
        <v>42795</v>
      </c>
      <c r="E4081" t="s">
        <v>29</v>
      </c>
      <c r="F4081">
        <v>130.9</v>
      </c>
      <c r="G4081" t="str">
        <f>VLOOKUP(Table1_2[[#This Row],[Categories]],Sheet3!$A$1:$B$27,2,FALSE)</f>
        <v>General index</v>
      </c>
    </row>
    <row r="4082" spans="1:7" x14ac:dyDescent="0.3">
      <c r="A4082" t="s">
        <v>30</v>
      </c>
      <c r="B4082">
        <v>2017</v>
      </c>
      <c r="C4082" t="s">
        <v>37</v>
      </c>
      <c r="D4082" s="2">
        <v>42826</v>
      </c>
      <c r="E4082" t="s">
        <v>3</v>
      </c>
      <c r="F4082">
        <v>133.19999999999999</v>
      </c>
      <c r="G4082" t="str">
        <f>VLOOKUP(Table1_2[[#This Row],[Categories]],Sheet3!$A$1:$B$27,2,FALSE)</f>
        <v>Food &amp;Beverage</v>
      </c>
    </row>
    <row r="4083" spans="1:7" x14ac:dyDescent="0.3">
      <c r="A4083" t="s">
        <v>30</v>
      </c>
      <c r="B4083">
        <v>2017</v>
      </c>
      <c r="C4083" t="s">
        <v>37</v>
      </c>
      <c r="D4083" s="2">
        <v>42826</v>
      </c>
      <c r="E4083" t="s">
        <v>4</v>
      </c>
      <c r="F4083">
        <v>138.69999999999999</v>
      </c>
      <c r="G4083" t="str">
        <f>VLOOKUP(Table1_2[[#This Row],[Categories]],Sheet3!$A$1:$B$27,2,FALSE)</f>
        <v>Food &amp;Beverage</v>
      </c>
    </row>
    <row r="4084" spans="1:7" x14ac:dyDescent="0.3">
      <c r="A4084" t="s">
        <v>30</v>
      </c>
      <c r="B4084">
        <v>2017</v>
      </c>
      <c r="C4084" t="s">
        <v>37</v>
      </c>
      <c r="D4084" s="2">
        <v>42826</v>
      </c>
      <c r="E4084" t="s">
        <v>5</v>
      </c>
      <c r="F4084">
        <v>127.1</v>
      </c>
      <c r="G4084" t="str">
        <f>VLOOKUP(Table1_2[[#This Row],[Categories]],Sheet3!$A$1:$B$27,2,FALSE)</f>
        <v>Food &amp;Beverage</v>
      </c>
    </row>
    <row r="4085" spans="1:7" x14ac:dyDescent="0.3">
      <c r="A4085" t="s">
        <v>30</v>
      </c>
      <c r="B4085">
        <v>2017</v>
      </c>
      <c r="C4085" t="s">
        <v>37</v>
      </c>
      <c r="D4085" s="2">
        <v>42826</v>
      </c>
      <c r="E4085" t="s">
        <v>6</v>
      </c>
      <c r="F4085">
        <v>137.69999999999999</v>
      </c>
      <c r="G4085" t="str">
        <f>VLOOKUP(Table1_2[[#This Row],[Categories]],Sheet3!$A$1:$B$27,2,FALSE)</f>
        <v>Food &amp;Beverage</v>
      </c>
    </row>
    <row r="4086" spans="1:7" x14ac:dyDescent="0.3">
      <c r="A4086" t="s">
        <v>30</v>
      </c>
      <c r="B4086">
        <v>2017</v>
      </c>
      <c r="C4086" t="s">
        <v>37</v>
      </c>
      <c r="D4086" s="2">
        <v>42826</v>
      </c>
      <c r="E4086" t="s">
        <v>7</v>
      </c>
      <c r="F4086">
        <v>121.3</v>
      </c>
      <c r="G4086" t="str">
        <f>VLOOKUP(Table1_2[[#This Row],[Categories]],Sheet3!$A$1:$B$27,2,FALSE)</f>
        <v>Food &amp;Beverage</v>
      </c>
    </row>
    <row r="4087" spans="1:7" x14ac:dyDescent="0.3">
      <c r="A4087" t="s">
        <v>30</v>
      </c>
      <c r="B4087">
        <v>2017</v>
      </c>
      <c r="C4087" t="s">
        <v>37</v>
      </c>
      <c r="D4087" s="2">
        <v>42826</v>
      </c>
      <c r="E4087" t="s">
        <v>8</v>
      </c>
      <c r="F4087">
        <v>141.80000000000001</v>
      </c>
      <c r="G4087" t="str">
        <f>VLOOKUP(Table1_2[[#This Row],[Categories]],Sheet3!$A$1:$B$27,2,FALSE)</f>
        <v>Food &amp;Beverage</v>
      </c>
    </row>
    <row r="4088" spans="1:7" x14ac:dyDescent="0.3">
      <c r="A4088" t="s">
        <v>30</v>
      </c>
      <c r="B4088">
        <v>2017</v>
      </c>
      <c r="C4088" t="s">
        <v>37</v>
      </c>
      <c r="D4088" s="2">
        <v>42826</v>
      </c>
      <c r="E4088" t="s">
        <v>9</v>
      </c>
      <c r="F4088">
        <v>121.5</v>
      </c>
      <c r="G4088" t="str">
        <f>VLOOKUP(Table1_2[[#This Row],[Categories]],Sheet3!$A$1:$B$27,2,FALSE)</f>
        <v>Food &amp;Beverage</v>
      </c>
    </row>
    <row r="4089" spans="1:7" x14ac:dyDescent="0.3">
      <c r="A4089" t="s">
        <v>30</v>
      </c>
      <c r="B4089">
        <v>2017</v>
      </c>
      <c r="C4089" t="s">
        <v>37</v>
      </c>
      <c r="D4089" s="2">
        <v>42826</v>
      </c>
      <c r="E4089" t="s">
        <v>10</v>
      </c>
      <c r="F4089">
        <v>144.5</v>
      </c>
      <c r="G4089" t="str">
        <f>VLOOKUP(Table1_2[[#This Row],[Categories]],Sheet3!$A$1:$B$27,2,FALSE)</f>
        <v>Food &amp;Beverage</v>
      </c>
    </row>
    <row r="4090" spans="1:7" x14ac:dyDescent="0.3">
      <c r="A4090" t="s">
        <v>30</v>
      </c>
      <c r="B4090">
        <v>2017</v>
      </c>
      <c r="C4090" t="s">
        <v>37</v>
      </c>
      <c r="D4090" s="2">
        <v>42826</v>
      </c>
      <c r="E4090" t="s">
        <v>11</v>
      </c>
      <c r="F4090">
        <v>117.4</v>
      </c>
      <c r="G4090" t="str">
        <f>VLOOKUP(Table1_2[[#This Row],[Categories]],Sheet3!$A$1:$B$27,2,FALSE)</f>
        <v>Food &amp;Beverage</v>
      </c>
    </row>
    <row r="4091" spans="1:7" x14ac:dyDescent="0.3">
      <c r="A4091" t="s">
        <v>30</v>
      </c>
      <c r="B4091">
        <v>2017</v>
      </c>
      <c r="C4091" t="s">
        <v>37</v>
      </c>
      <c r="D4091" s="2">
        <v>42826</v>
      </c>
      <c r="E4091" t="s">
        <v>12</v>
      </c>
      <c r="F4091">
        <v>134.1</v>
      </c>
      <c r="G4091" t="str">
        <f>VLOOKUP(Table1_2[[#This Row],[Categories]],Sheet3!$A$1:$B$27,2,FALSE)</f>
        <v>Food &amp;Beverage</v>
      </c>
    </row>
    <row r="4092" spans="1:7" x14ac:dyDescent="0.3">
      <c r="A4092" t="s">
        <v>30</v>
      </c>
      <c r="B4092">
        <v>2017</v>
      </c>
      <c r="C4092" t="s">
        <v>37</v>
      </c>
      <c r="D4092" s="2">
        <v>42826</v>
      </c>
      <c r="E4092" t="s">
        <v>13</v>
      </c>
      <c r="F4092">
        <v>130</v>
      </c>
      <c r="G4092" t="str">
        <f>VLOOKUP(Table1_2[[#This Row],[Categories]],Sheet3!$A$1:$B$27,2,FALSE)</f>
        <v>Food &amp;Beverage</v>
      </c>
    </row>
    <row r="4093" spans="1:7" x14ac:dyDescent="0.3">
      <c r="A4093" t="s">
        <v>30</v>
      </c>
      <c r="B4093">
        <v>2017</v>
      </c>
      <c r="C4093" t="s">
        <v>37</v>
      </c>
      <c r="D4093" s="2">
        <v>42826</v>
      </c>
      <c r="E4093" t="s">
        <v>14</v>
      </c>
      <c r="F4093">
        <v>145.5</v>
      </c>
      <c r="G4093" t="str">
        <f>VLOOKUP(Table1_2[[#This Row],[Categories]],Sheet3!$A$1:$B$27,2,FALSE)</f>
        <v>Food &amp;Beverage</v>
      </c>
    </row>
    <row r="4094" spans="1:7" x14ac:dyDescent="0.3">
      <c r="A4094" t="s">
        <v>30</v>
      </c>
      <c r="B4094">
        <v>2017</v>
      </c>
      <c r="C4094" t="s">
        <v>37</v>
      </c>
      <c r="D4094" s="2">
        <v>42826</v>
      </c>
      <c r="E4094" t="s">
        <v>15</v>
      </c>
      <c r="F4094">
        <v>133.5</v>
      </c>
      <c r="G4094" t="str">
        <f>VLOOKUP(Table1_2[[#This Row],[Categories]],Sheet3!$A$1:$B$27,2,FALSE)</f>
        <v>Food &amp;Beverage</v>
      </c>
    </row>
    <row r="4095" spans="1:7" x14ac:dyDescent="0.3">
      <c r="A4095" t="s">
        <v>30</v>
      </c>
      <c r="B4095">
        <v>2017</v>
      </c>
      <c r="C4095" t="s">
        <v>37</v>
      </c>
      <c r="D4095" s="2">
        <v>42826</v>
      </c>
      <c r="E4095" t="s">
        <v>16</v>
      </c>
      <c r="F4095">
        <v>144.4</v>
      </c>
      <c r="G4095" t="str">
        <f>VLOOKUP(Table1_2[[#This Row],[Categories]],Sheet3!$A$1:$B$27,2,FALSE)</f>
        <v>Recreation and amusement</v>
      </c>
    </row>
    <row r="4096" spans="1:7" x14ac:dyDescent="0.3">
      <c r="A4096" t="s">
        <v>30</v>
      </c>
      <c r="B4096">
        <v>2017</v>
      </c>
      <c r="C4096" t="s">
        <v>37</v>
      </c>
      <c r="D4096" s="2">
        <v>42826</v>
      </c>
      <c r="E4096" t="s">
        <v>17</v>
      </c>
      <c r="F4096">
        <v>142.4</v>
      </c>
      <c r="G4096" t="str">
        <f>VLOOKUP(Table1_2[[#This Row],[Categories]],Sheet3!$A$1:$B$27,2,FALSE)</f>
        <v>Clothing and footwear</v>
      </c>
    </row>
    <row r="4097" spans="1:7" x14ac:dyDescent="0.3">
      <c r="A4097" t="s">
        <v>30</v>
      </c>
      <c r="B4097">
        <v>2017</v>
      </c>
      <c r="C4097" t="s">
        <v>37</v>
      </c>
      <c r="D4097" s="2">
        <v>42826</v>
      </c>
      <c r="E4097" t="s">
        <v>18</v>
      </c>
      <c r="F4097">
        <v>136.80000000000001</v>
      </c>
      <c r="G4097" t="str">
        <f>VLOOKUP(Table1_2[[#This Row],[Categories]],Sheet3!$A$1:$B$27,2,FALSE)</f>
        <v>Clothing and footwear</v>
      </c>
    </row>
    <row r="4098" spans="1:7" x14ac:dyDescent="0.3">
      <c r="A4098" t="s">
        <v>30</v>
      </c>
      <c r="B4098">
        <v>2017</v>
      </c>
      <c r="C4098" t="s">
        <v>37</v>
      </c>
      <c r="D4098" s="2">
        <v>42826</v>
      </c>
      <c r="E4098" t="s">
        <v>19</v>
      </c>
      <c r="F4098">
        <v>141.6</v>
      </c>
      <c r="G4098" t="str">
        <f>VLOOKUP(Table1_2[[#This Row],[Categories]],Sheet3!$A$1:$B$27,2,FALSE)</f>
        <v>Clothing and footwear</v>
      </c>
    </row>
    <row r="4099" spans="1:7" x14ac:dyDescent="0.3">
      <c r="A4099" t="s">
        <v>30</v>
      </c>
      <c r="B4099">
        <v>2017</v>
      </c>
      <c r="C4099" t="s">
        <v>37</v>
      </c>
      <c r="D4099" s="2">
        <v>42826</v>
      </c>
      <c r="E4099" t="s">
        <v>21</v>
      </c>
      <c r="F4099">
        <v>135</v>
      </c>
      <c r="G4099" t="str">
        <f>VLOOKUP(Table1_2[[#This Row],[Categories]],Sheet3!$A$1:$B$27,2,FALSE)</f>
        <v>Fuel and light</v>
      </c>
    </row>
    <row r="4100" spans="1:7" x14ac:dyDescent="0.3">
      <c r="A4100" t="s">
        <v>30</v>
      </c>
      <c r="B4100">
        <v>2017</v>
      </c>
      <c r="C4100" t="s">
        <v>37</v>
      </c>
      <c r="D4100" s="2">
        <v>42826</v>
      </c>
      <c r="E4100" t="s">
        <v>22</v>
      </c>
      <c r="F4100">
        <v>134.30000000000001</v>
      </c>
      <c r="G4100" t="str">
        <f>VLOOKUP(Table1_2[[#This Row],[Categories]],Sheet3!$A$1:$B$27,2,FALSE)</f>
        <v>Household Items</v>
      </c>
    </row>
    <row r="4101" spans="1:7" x14ac:dyDescent="0.3">
      <c r="A4101" t="s">
        <v>30</v>
      </c>
      <c r="B4101">
        <v>2017</v>
      </c>
      <c r="C4101" t="s">
        <v>37</v>
      </c>
      <c r="D4101" s="2">
        <v>42826</v>
      </c>
      <c r="E4101" t="s">
        <v>23</v>
      </c>
      <c r="F4101">
        <v>131</v>
      </c>
      <c r="G4101" t="str">
        <f>VLOOKUP(Table1_2[[#This Row],[Categories]],Sheet3!$A$1:$B$27,2,FALSE)</f>
        <v>Health</v>
      </c>
    </row>
    <row r="4102" spans="1:7" x14ac:dyDescent="0.3">
      <c r="A4102" t="s">
        <v>30</v>
      </c>
      <c r="B4102">
        <v>2017</v>
      </c>
      <c r="C4102" t="s">
        <v>37</v>
      </c>
      <c r="D4102" s="2">
        <v>42826</v>
      </c>
      <c r="E4102" t="s">
        <v>24</v>
      </c>
      <c r="F4102">
        <v>119.2</v>
      </c>
      <c r="G4102" t="str">
        <f>VLOOKUP(Table1_2[[#This Row],[Categories]],Sheet3!$A$1:$B$27,2,FALSE)</f>
        <v>Transport and communication</v>
      </c>
    </row>
    <row r="4103" spans="1:7" x14ac:dyDescent="0.3">
      <c r="A4103" t="s">
        <v>30</v>
      </c>
      <c r="B4103">
        <v>2017</v>
      </c>
      <c r="C4103" t="s">
        <v>37</v>
      </c>
      <c r="D4103" s="2">
        <v>42826</v>
      </c>
      <c r="E4103" t="s">
        <v>25</v>
      </c>
      <c r="F4103">
        <v>128.30000000000001</v>
      </c>
      <c r="G4103" t="str">
        <f>VLOOKUP(Table1_2[[#This Row],[Categories]],Sheet3!$A$1:$B$27,2,FALSE)</f>
        <v>Recreation and amusement</v>
      </c>
    </row>
    <row r="4104" spans="1:7" x14ac:dyDescent="0.3">
      <c r="A4104" t="s">
        <v>30</v>
      </c>
      <c r="B4104">
        <v>2017</v>
      </c>
      <c r="C4104" t="s">
        <v>37</v>
      </c>
      <c r="D4104" s="2">
        <v>42826</v>
      </c>
      <c r="E4104" t="s">
        <v>26</v>
      </c>
      <c r="F4104">
        <v>135.69999999999999</v>
      </c>
      <c r="G4104" t="str">
        <f>VLOOKUP(Table1_2[[#This Row],[Categories]],Sheet3!$A$1:$B$27,2,FALSE)</f>
        <v>Education</v>
      </c>
    </row>
    <row r="4105" spans="1:7" x14ac:dyDescent="0.3">
      <c r="A4105" t="s">
        <v>30</v>
      </c>
      <c r="B4105">
        <v>2017</v>
      </c>
      <c r="C4105" t="s">
        <v>37</v>
      </c>
      <c r="D4105" s="2">
        <v>42826</v>
      </c>
      <c r="E4105" t="s">
        <v>27</v>
      </c>
      <c r="F4105">
        <v>123.7</v>
      </c>
      <c r="G4105" t="str">
        <f>VLOOKUP(Table1_2[[#This Row],[Categories]],Sheet3!$A$1:$B$27,2,FALSE)</f>
        <v>Household Items</v>
      </c>
    </row>
    <row r="4106" spans="1:7" x14ac:dyDescent="0.3">
      <c r="A4106" t="s">
        <v>30</v>
      </c>
      <c r="B4106">
        <v>2017</v>
      </c>
      <c r="C4106" t="s">
        <v>37</v>
      </c>
      <c r="D4106" s="2">
        <v>42826</v>
      </c>
      <c r="E4106" t="s">
        <v>28</v>
      </c>
      <c r="F4106">
        <v>127.5</v>
      </c>
      <c r="G4106" t="str">
        <f>VLOOKUP(Table1_2[[#This Row],[Categories]],Sheet3!$A$1:$B$27,2,FALSE)</f>
        <v>Miscellaneous</v>
      </c>
    </row>
    <row r="4107" spans="1:7" x14ac:dyDescent="0.3">
      <c r="A4107" t="s">
        <v>30</v>
      </c>
      <c r="B4107">
        <v>2017</v>
      </c>
      <c r="C4107" t="s">
        <v>37</v>
      </c>
      <c r="D4107" s="2">
        <v>42826</v>
      </c>
      <c r="E4107" t="s">
        <v>29</v>
      </c>
      <c r="F4107">
        <v>132.9</v>
      </c>
      <c r="G4107" t="str">
        <f>VLOOKUP(Table1_2[[#This Row],[Categories]],Sheet3!$A$1:$B$27,2,FALSE)</f>
        <v>General index</v>
      </c>
    </row>
    <row r="4108" spans="1:7" x14ac:dyDescent="0.3">
      <c r="A4108" t="s">
        <v>33</v>
      </c>
      <c r="B4108">
        <v>2017</v>
      </c>
      <c r="C4108" t="s">
        <v>37</v>
      </c>
      <c r="D4108" s="2">
        <v>42826</v>
      </c>
      <c r="E4108" t="s">
        <v>3</v>
      </c>
      <c r="F4108">
        <v>132.69999999999999</v>
      </c>
      <c r="G4108" t="str">
        <f>VLOOKUP(Table1_2[[#This Row],[Categories]],Sheet3!$A$1:$B$27,2,FALSE)</f>
        <v>Food &amp;Beverage</v>
      </c>
    </row>
    <row r="4109" spans="1:7" x14ac:dyDescent="0.3">
      <c r="A4109" t="s">
        <v>33</v>
      </c>
      <c r="B4109">
        <v>2017</v>
      </c>
      <c r="C4109" t="s">
        <v>37</v>
      </c>
      <c r="D4109" s="2">
        <v>42826</v>
      </c>
      <c r="E4109" t="s">
        <v>4</v>
      </c>
      <c r="F4109">
        <v>140.6</v>
      </c>
      <c r="G4109" t="str">
        <f>VLOOKUP(Table1_2[[#This Row],[Categories]],Sheet3!$A$1:$B$27,2,FALSE)</f>
        <v>Food &amp;Beverage</v>
      </c>
    </row>
    <row r="4110" spans="1:7" x14ac:dyDescent="0.3">
      <c r="A4110" t="s">
        <v>33</v>
      </c>
      <c r="B4110">
        <v>2017</v>
      </c>
      <c r="C4110" t="s">
        <v>37</v>
      </c>
      <c r="D4110" s="2">
        <v>42826</v>
      </c>
      <c r="E4110" t="s">
        <v>5</v>
      </c>
      <c r="F4110">
        <v>124.5</v>
      </c>
      <c r="G4110" t="str">
        <f>VLOOKUP(Table1_2[[#This Row],[Categories]],Sheet3!$A$1:$B$27,2,FALSE)</f>
        <v>Food &amp;Beverage</v>
      </c>
    </row>
    <row r="4111" spans="1:7" x14ac:dyDescent="0.3">
      <c r="A4111" t="s">
        <v>33</v>
      </c>
      <c r="B4111">
        <v>2017</v>
      </c>
      <c r="C4111" t="s">
        <v>37</v>
      </c>
      <c r="D4111" s="2">
        <v>42826</v>
      </c>
      <c r="E4111" t="s">
        <v>6</v>
      </c>
      <c r="F4111">
        <v>136.30000000000001</v>
      </c>
      <c r="G4111" t="str">
        <f>VLOOKUP(Table1_2[[#This Row],[Categories]],Sheet3!$A$1:$B$27,2,FALSE)</f>
        <v>Food &amp;Beverage</v>
      </c>
    </row>
    <row r="4112" spans="1:7" x14ac:dyDescent="0.3">
      <c r="A4112" t="s">
        <v>33</v>
      </c>
      <c r="B4112">
        <v>2017</v>
      </c>
      <c r="C4112" t="s">
        <v>37</v>
      </c>
      <c r="D4112" s="2">
        <v>42826</v>
      </c>
      <c r="E4112" t="s">
        <v>7</v>
      </c>
      <c r="F4112">
        <v>113.5</v>
      </c>
      <c r="G4112" t="str">
        <f>VLOOKUP(Table1_2[[#This Row],[Categories]],Sheet3!$A$1:$B$27,2,FALSE)</f>
        <v>Food &amp;Beverage</v>
      </c>
    </row>
    <row r="4113" spans="1:7" x14ac:dyDescent="0.3">
      <c r="A4113" t="s">
        <v>33</v>
      </c>
      <c r="B4113">
        <v>2017</v>
      </c>
      <c r="C4113" t="s">
        <v>37</v>
      </c>
      <c r="D4113" s="2">
        <v>42826</v>
      </c>
      <c r="E4113" t="s">
        <v>8</v>
      </c>
      <c r="F4113">
        <v>137.69999999999999</v>
      </c>
      <c r="G4113" t="str">
        <f>VLOOKUP(Table1_2[[#This Row],[Categories]],Sheet3!$A$1:$B$27,2,FALSE)</f>
        <v>Food &amp;Beverage</v>
      </c>
    </row>
    <row r="4114" spans="1:7" x14ac:dyDescent="0.3">
      <c r="A4114" t="s">
        <v>33</v>
      </c>
      <c r="B4114">
        <v>2017</v>
      </c>
      <c r="C4114" t="s">
        <v>37</v>
      </c>
      <c r="D4114" s="2">
        <v>42826</v>
      </c>
      <c r="E4114" t="s">
        <v>9</v>
      </c>
      <c r="F4114">
        <v>127.1</v>
      </c>
      <c r="G4114" t="str">
        <f>VLOOKUP(Table1_2[[#This Row],[Categories]],Sheet3!$A$1:$B$27,2,FALSE)</f>
        <v>Food &amp;Beverage</v>
      </c>
    </row>
    <row r="4115" spans="1:7" x14ac:dyDescent="0.3">
      <c r="A4115" t="s">
        <v>33</v>
      </c>
      <c r="B4115">
        <v>2017</v>
      </c>
      <c r="C4115" t="s">
        <v>37</v>
      </c>
      <c r="D4115" s="2">
        <v>42826</v>
      </c>
      <c r="E4115" t="s">
        <v>10</v>
      </c>
      <c r="F4115">
        <v>133.80000000000001</v>
      </c>
      <c r="G4115" t="str">
        <f>VLOOKUP(Table1_2[[#This Row],[Categories]],Sheet3!$A$1:$B$27,2,FALSE)</f>
        <v>Food &amp;Beverage</v>
      </c>
    </row>
    <row r="4116" spans="1:7" x14ac:dyDescent="0.3">
      <c r="A4116" t="s">
        <v>33</v>
      </c>
      <c r="B4116">
        <v>2017</v>
      </c>
      <c r="C4116" t="s">
        <v>37</v>
      </c>
      <c r="D4116" s="2">
        <v>42826</v>
      </c>
      <c r="E4116" t="s">
        <v>11</v>
      </c>
      <c r="F4116">
        <v>120.8</v>
      </c>
      <c r="G4116" t="str">
        <f>VLOOKUP(Table1_2[[#This Row],[Categories]],Sheet3!$A$1:$B$27,2,FALSE)</f>
        <v>Food &amp;Beverage</v>
      </c>
    </row>
    <row r="4117" spans="1:7" x14ac:dyDescent="0.3">
      <c r="A4117" t="s">
        <v>33</v>
      </c>
      <c r="B4117">
        <v>2017</v>
      </c>
      <c r="C4117" t="s">
        <v>37</v>
      </c>
      <c r="D4117" s="2">
        <v>42826</v>
      </c>
      <c r="E4117" t="s">
        <v>12</v>
      </c>
      <c r="F4117">
        <v>141.30000000000001</v>
      </c>
      <c r="G4117" t="str">
        <f>VLOOKUP(Table1_2[[#This Row],[Categories]],Sheet3!$A$1:$B$27,2,FALSE)</f>
        <v>Food &amp;Beverage</v>
      </c>
    </row>
    <row r="4118" spans="1:7" x14ac:dyDescent="0.3">
      <c r="A4118" t="s">
        <v>33</v>
      </c>
      <c r="B4118">
        <v>2017</v>
      </c>
      <c r="C4118" t="s">
        <v>37</v>
      </c>
      <c r="D4118" s="2">
        <v>42826</v>
      </c>
      <c r="E4118" t="s">
        <v>13</v>
      </c>
      <c r="F4118">
        <v>123.8</v>
      </c>
      <c r="G4118" t="str">
        <f>VLOOKUP(Table1_2[[#This Row],[Categories]],Sheet3!$A$1:$B$27,2,FALSE)</f>
        <v>Food &amp;Beverage</v>
      </c>
    </row>
    <row r="4119" spans="1:7" x14ac:dyDescent="0.3">
      <c r="A4119" t="s">
        <v>33</v>
      </c>
      <c r="B4119">
        <v>2017</v>
      </c>
      <c r="C4119" t="s">
        <v>37</v>
      </c>
      <c r="D4119" s="2">
        <v>42826</v>
      </c>
      <c r="E4119" t="s">
        <v>14</v>
      </c>
      <c r="F4119">
        <v>142.6</v>
      </c>
      <c r="G4119" t="str">
        <f>VLOOKUP(Table1_2[[#This Row],[Categories]],Sheet3!$A$1:$B$27,2,FALSE)</f>
        <v>Food &amp;Beverage</v>
      </c>
    </row>
    <row r="4120" spans="1:7" x14ac:dyDescent="0.3">
      <c r="A4120" t="s">
        <v>33</v>
      </c>
      <c r="B4120">
        <v>2017</v>
      </c>
      <c r="C4120" t="s">
        <v>37</v>
      </c>
      <c r="D4120" s="2">
        <v>42826</v>
      </c>
      <c r="E4120" t="s">
        <v>15</v>
      </c>
      <c r="F4120">
        <v>133.4</v>
      </c>
      <c r="G4120" t="str">
        <f>VLOOKUP(Table1_2[[#This Row],[Categories]],Sheet3!$A$1:$B$27,2,FALSE)</f>
        <v>Food &amp;Beverage</v>
      </c>
    </row>
    <row r="4121" spans="1:7" x14ac:dyDescent="0.3">
      <c r="A4121" t="s">
        <v>33</v>
      </c>
      <c r="B4121">
        <v>2017</v>
      </c>
      <c r="C4121" t="s">
        <v>37</v>
      </c>
      <c r="D4121" s="2">
        <v>42826</v>
      </c>
      <c r="E4121" t="s">
        <v>16</v>
      </c>
      <c r="F4121">
        <v>148</v>
      </c>
      <c r="G4121" t="str">
        <f>VLOOKUP(Table1_2[[#This Row],[Categories]],Sheet3!$A$1:$B$27,2,FALSE)</f>
        <v>Recreation and amusement</v>
      </c>
    </row>
    <row r="4122" spans="1:7" x14ac:dyDescent="0.3">
      <c r="A4122" t="s">
        <v>33</v>
      </c>
      <c r="B4122">
        <v>2017</v>
      </c>
      <c r="C4122" t="s">
        <v>37</v>
      </c>
      <c r="D4122" s="2">
        <v>42826</v>
      </c>
      <c r="E4122" t="s">
        <v>17</v>
      </c>
      <c r="F4122">
        <v>131.19999999999999</v>
      </c>
      <c r="G4122" t="str">
        <f>VLOOKUP(Table1_2[[#This Row],[Categories]],Sheet3!$A$1:$B$27,2,FALSE)</f>
        <v>Clothing and footwear</v>
      </c>
    </row>
    <row r="4123" spans="1:7" x14ac:dyDescent="0.3">
      <c r="A4123" t="s">
        <v>33</v>
      </c>
      <c r="B4123">
        <v>2017</v>
      </c>
      <c r="C4123" t="s">
        <v>37</v>
      </c>
      <c r="D4123" s="2">
        <v>42826</v>
      </c>
      <c r="E4123" t="s">
        <v>18</v>
      </c>
      <c r="F4123">
        <v>123</v>
      </c>
      <c r="G4123" t="str">
        <f>VLOOKUP(Table1_2[[#This Row],[Categories]],Sheet3!$A$1:$B$27,2,FALSE)</f>
        <v>Clothing and footwear</v>
      </c>
    </row>
    <row r="4124" spans="1:7" x14ac:dyDescent="0.3">
      <c r="A4124" t="s">
        <v>33</v>
      </c>
      <c r="B4124">
        <v>2017</v>
      </c>
      <c r="C4124" t="s">
        <v>37</v>
      </c>
      <c r="D4124" s="2">
        <v>42826</v>
      </c>
      <c r="E4124" t="s">
        <v>19</v>
      </c>
      <c r="F4124">
        <v>130</v>
      </c>
      <c r="G4124" t="str">
        <f>VLOOKUP(Table1_2[[#This Row],[Categories]],Sheet3!$A$1:$B$27,2,FALSE)</f>
        <v>Clothing and footwear</v>
      </c>
    </row>
    <row r="4125" spans="1:7" x14ac:dyDescent="0.3">
      <c r="A4125" t="s">
        <v>33</v>
      </c>
      <c r="B4125">
        <v>2017</v>
      </c>
      <c r="C4125" t="s">
        <v>37</v>
      </c>
      <c r="D4125" s="2">
        <v>42826</v>
      </c>
      <c r="E4125" t="s">
        <v>20</v>
      </c>
      <c r="F4125">
        <v>131.69999999999999</v>
      </c>
      <c r="G4125" t="str">
        <f>VLOOKUP(Table1_2[[#This Row],[Categories]],Sheet3!$A$1:$B$27,2,FALSE)</f>
        <v>Housing</v>
      </c>
    </row>
    <row r="4126" spans="1:7" x14ac:dyDescent="0.3">
      <c r="A4126" t="s">
        <v>33</v>
      </c>
      <c r="B4126">
        <v>2017</v>
      </c>
      <c r="C4126" t="s">
        <v>37</v>
      </c>
      <c r="D4126" s="2">
        <v>42826</v>
      </c>
      <c r="E4126" t="s">
        <v>21</v>
      </c>
      <c r="F4126">
        <v>121.4</v>
      </c>
      <c r="G4126" t="str">
        <f>VLOOKUP(Table1_2[[#This Row],[Categories]],Sheet3!$A$1:$B$27,2,FALSE)</f>
        <v>Fuel and light</v>
      </c>
    </row>
    <row r="4127" spans="1:7" x14ac:dyDescent="0.3">
      <c r="A4127" t="s">
        <v>33</v>
      </c>
      <c r="B4127">
        <v>2017</v>
      </c>
      <c r="C4127" t="s">
        <v>37</v>
      </c>
      <c r="D4127" s="2">
        <v>42826</v>
      </c>
      <c r="E4127" t="s">
        <v>22</v>
      </c>
      <c r="F4127">
        <v>126</v>
      </c>
      <c r="G4127" t="str">
        <f>VLOOKUP(Table1_2[[#This Row],[Categories]],Sheet3!$A$1:$B$27,2,FALSE)</f>
        <v>Household Items</v>
      </c>
    </row>
    <row r="4128" spans="1:7" x14ac:dyDescent="0.3">
      <c r="A4128" t="s">
        <v>33</v>
      </c>
      <c r="B4128">
        <v>2017</v>
      </c>
      <c r="C4128" t="s">
        <v>37</v>
      </c>
      <c r="D4128" s="2">
        <v>42826</v>
      </c>
      <c r="E4128" t="s">
        <v>23</v>
      </c>
      <c r="F4128">
        <v>123.4</v>
      </c>
      <c r="G4128" t="str">
        <f>VLOOKUP(Table1_2[[#This Row],[Categories]],Sheet3!$A$1:$B$27,2,FALSE)</f>
        <v>Health</v>
      </c>
    </row>
    <row r="4129" spans="1:7" x14ac:dyDescent="0.3">
      <c r="A4129" t="s">
        <v>33</v>
      </c>
      <c r="B4129">
        <v>2017</v>
      </c>
      <c r="C4129" t="s">
        <v>37</v>
      </c>
      <c r="D4129" s="2">
        <v>42826</v>
      </c>
      <c r="E4129" t="s">
        <v>24</v>
      </c>
      <c r="F4129">
        <v>114.3</v>
      </c>
      <c r="G4129" t="str">
        <f>VLOOKUP(Table1_2[[#This Row],[Categories]],Sheet3!$A$1:$B$27,2,FALSE)</f>
        <v>Transport and communication</v>
      </c>
    </row>
    <row r="4130" spans="1:7" x14ac:dyDescent="0.3">
      <c r="A4130" t="s">
        <v>33</v>
      </c>
      <c r="B4130">
        <v>2017</v>
      </c>
      <c r="C4130" t="s">
        <v>37</v>
      </c>
      <c r="D4130" s="2">
        <v>42826</v>
      </c>
      <c r="E4130" t="s">
        <v>25</v>
      </c>
      <c r="F4130">
        <v>122.6</v>
      </c>
      <c r="G4130" t="str">
        <f>VLOOKUP(Table1_2[[#This Row],[Categories]],Sheet3!$A$1:$B$27,2,FALSE)</f>
        <v>Recreation and amusement</v>
      </c>
    </row>
    <row r="4131" spans="1:7" x14ac:dyDescent="0.3">
      <c r="A4131" t="s">
        <v>33</v>
      </c>
      <c r="B4131">
        <v>2017</v>
      </c>
      <c r="C4131" t="s">
        <v>37</v>
      </c>
      <c r="D4131" s="2">
        <v>42826</v>
      </c>
      <c r="E4131" t="s">
        <v>26</v>
      </c>
      <c r="F4131">
        <v>133.6</v>
      </c>
      <c r="G4131" t="str">
        <f>VLOOKUP(Table1_2[[#This Row],[Categories]],Sheet3!$A$1:$B$27,2,FALSE)</f>
        <v>Education</v>
      </c>
    </row>
    <row r="4132" spans="1:7" x14ac:dyDescent="0.3">
      <c r="A4132" t="s">
        <v>33</v>
      </c>
      <c r="B4132">
        <v>2017</v>
      </c>
      <c r="C4132" t="s">
        <v>37</v>
      </c>
      <c r="D4132" s="2">
        <v>42826</v>
      </c>
      <c r="E4132" t="s">
        <v>27</v>
      </c>
      <c r="F4132">
        <v>122.2</v>
      </c>
      <c r="G4132" t="str">
        <f>VLOOKUP(Table1_2[[#This Row],[Categories]],Sheet3!$A$1:$B$27,2,FALSE)</f>
        <v>Household Items</v>
      </c>
    </row>
    <row r="4133" spans="1:7" x14ac:dyDescent="0.3">
      <c r="A4133" t="s">
        <v>33</v>
      </c>
      <c r="B4133">
        <v>2017</v>
      </c>
      <c r="C4133" t="s">
        <v>37</v>
      </c>
      <c r="D4133" s="2">
        <v>42826</v>
      </c>
      <c r="E4133" t="s">
        <v>28</v>
      </c>
      <c r="F4133">
        <v>122.5</v>
      </c>
      <c r="G4133" t="str">
        <f>VLOOKUP(Table1_2[[#This Row],[Categories]],Sheet3!$A$1:$B$27,2,FALSE)</f>
        <v>Miscellaneous</v>
      </c>
    </row>
    <row r="4134" spans="1:7" x14ac:dyDescent="0.3">
      <c r="A4134" t="s">
        <v>33</v>
      </c>
      <c r="B4134">
        <v>2017</v>
      </c>
      <c r="C4134" t="s">
        <v>37</v>
      </c>
      <c r="D4134" s="2">
        <v>42826</v>
      </c>
      <c r="E4134" t="s">
        <v>29</v>
      </c>
      <c r="F4134">
        <v>129.1</v>
      </c>
      <c r="G4134" t="str">
        <f>VLOOKUP(Table1_2[[#This Row],[Categories]],Sheet3!$A$1:$B$27,2,FALSE)</f>
        <v>General index</v>
      </c>
    </row>
    <row r="4135" spans="1:7" x14ac:dyDescent="0.3">
      <c r="A4135" t="s">
        <v>34</v>
      </c>
      <c r="B4135">
        <v>2017</v>
      </c>
      <c r="C4135" t="s">
        <v>37</v>
      </c>
      <c r="D4135" s="2">
        <v>42826</v>
      </c>
      <c r="E4135" t="s">
        <v>3</v>
      </c>
      <c r="F4135">
        <v>133</v>
      </c>
      <c r="G4135" t="str">
        <f>VLOOKUP(Table1_2[[#This Row],[Categories]],Sheet3!$A$1:$B$27,2,FALSE)</f>
        <v>Food &amp;Beverage</v>
      </c>
    </row>
    <row r="4136" spans="1:7" x14ac:dyDescent="0.3">
      <c r="A4136" t="s">
        <v>34</v>
      </c>
      <c r="B4136">
        <v>2017</v>
      </c>
      <c r="C4136" t="s">
        <v>37</v>
      </c>
      <c r="D4136" s="2">
        <v>42826</v>
      </c>
      <c r="E4136" t="s">
        <v>4</v>
      </c>
      <c r="F4136">
        <v>139.4</v>
      </c>
      <c r="G4136" t="str">
        <f>VLOOKUP(Table1_2[[#This Row],[Categories]],Sheet3!$A$1:$B$27,2,FALSE)</f>
        <v>Food &amp;Beverage</v>
      </c>
    </row>
    <row r="4137" spans="1:7" x14ac:dyDescent="0.3">
      <c r="A4137" t="s">
        <v>34</v>
      </c>
      <c r="B4137">
        <v>2017</v>
      </c>
      <c r="C4137" t="s">
        <v>37</v>
      </c>
      <c r="D4137" s="2">
        <v>42826</v>
      </c>
      <c r="E4137" t="s">
        <v>5</v>
      </c>
      <c r="F4137">
        <v>126.1</v>
      </c>
      <c r="G4137" t="str">
        <f>VLOOKUP(Table1_2[[#This Row],[Categories]],Sheet3!$A$1:$B$27,2,FALSE)</f>
        <v>Food &amp;Beverage</v>
      </c>
    </row>
    <row r="4138" spans="1:7" x14ac:dyDescent="0.3">
      <c r="A4138" t="s">
        <v>34</v>
      </c>
      <c r="B4138">
        <v>2017</v>
      </c>
      <c r="C4138" t="s">
        <v>37</v>
      </c>
      <c r="D4138" s="2">
        <v>42826</v>
      </c>
      <c r="E4138" t="s">
        <v>6</v>
      </c>
      <c r="F4138">
        <v>137.19999999999999</v>
      </c>
      <c r="G4138" t="str">
        <f>VLOOKUP(Table1_2[[#This Row],[Categories]],Sheet3!$A$1:$B$27,2,FALSE)</f>
        <v>Food &amp;Beverage</v>
      </c>
    </row>
    <row r="4139" spans="1:7" x14ac:dyDescent="0.3">
      <c r="A4139" t="s">
        <v>34</v>
      </c>
      <c r="B4139">
        <v>2017</v>
      </c>
      <c r="C4139" t="s">
        <v>37</v>
      </c>
      <c r="D4139" s="2">
        <v>42826</v>
      </c>
      <c r="E4139" t="s">
        <v>7</v>
      </c>
      <c r="F4139">
        <v>118.4</v>
      </c>
      <c r="G4139" t="str">
        <f>VLOOKUP(Table1_2[[#This Row],[Categories]],Sheet3!$A$1:$B$27,2,FALSE)</f>
        <v>Food &amp;Beverage</v>
      </c>
    </row>
    <row r="4140" spans="1:7" x14ac:dyDescent="0.3">
      <c r="A4140" t="s">
        <v>34</v>
      </c>
      <c r="B4140">
        <v>2017</v>
      </c>
      <c r="C4140" t="s">
        <v>37</v>
      </c>
      <c r="D4140" s="2">
        <v>42826</v>
      </c>
      <c r="E4140" t="s">
        <v>8</v>
      </c>
      <c r="F4140">
        <v>139.9</v>
      </c>
      <c r="G4140" t="str">
        <f>VLOOKUP(Table1_2[[#This Row],[Categories]],Sheet3!$A$1:$B$27,2,FALSE)</f>
        <v>Food &amp;Beverage</v>
      </c>
    </row>
    <row r="4141" spans="1:7" x14ac:dyDescent="0.3">
      <c r="A4141" t="s">
        <v>34</v>
      </c>
      <c r="B4141">
        <v>2017</v>
      </c>
      <c r="C4141" t="s">
        <v>37</v>
      </c>
      <c r="D4141" s="2">
        <v>42826</v>
      </c>
      <c r="E4141" t="s">
        <v>9</v>
      </c>
      <c r="F4141">
        <v>123.4</v>
      </c>
      <c r="G4141" t="str">
        <f>VLOOKUP(Table1_2[[#This Row],[Categories]],Sheet3!$A$1:$B$27,2,FALSE)</f>
        <v>Food &amp;Beverage</v>
      </c>
    </row>
    <row r="4142" spans="1:7" x14ac:dyDescent="0.3">
      <c r="A4142" t="s">
        <v>34</v>
      </c>
      <c r="B4142">
        <v>2017</v>
      </c>
      <c r="C4142" t="s">
        <v>37</v>
      </c>
      <c r="D4142" s="2">
        <v>42826</v>
      </c>
      <c r="E4142" t="s">
        <v>10</v>
      </c>
      <c r="F4142">
        <v>140.9</v>
      </c>
      <c r="G4142" t="str">
        <f>VLOOKUP(Table1_2[[#This Row],[Categories]],Sheet3!$A$1:$B$27,2,FALSE)</f>
        <v>Food &amp;Beverage</v>
      </c>
    </row>
    <row r="4143" spans="1:7" x14ac:dyDescent="0.3">
      <c r="A4143" t="s">
        <v>34</v>
      </c>
      <c r="B4143">
        <v>2017</v>
      </c>
      <c r="C4143" t="s">
        <v>37</v>
      </c>
      <c r="D4143" s="2">
        <v>42826</v>
      </c>
      <c r="E4143" t="s">
        <v>11</v>
      </c>
      <c r="F4143">
        <v>118.5</v>
      </c>
      <c r="G4143" t="str">
        <f>VLOOKUP(Table1_2[[#This Row],[Categories]],Sheet3!$A$1:$B$27,2,FALSE)</f>
        <v>Food &amp;Beverage</v>
      </c>
    </row>
    <row r="4144" spans="1:7" x14ac:dyDescent="0.3">
      <c r="A4144" t="s">
        <v>34</v>
      </c>
      <c r="B4144">
        <v>2017</v>
      </c>
      <c r="C4144" t="s">
        <v>37</v>
      </c>
      <c r="D4144" s="2">
        <v>42826</v>
      </c>
      <c r="E4144" t="s">
        <v>12</v>
      </c>
      <c r="F4144">
        <v>136.5</v>
      </c>
      <c r="G4144" t="str">
        <f>VLOOKUP(Table1_2[[#This Row],[Categories]],Sheet3!$A$1:$B$27,2,FALSE)</f>
        <v>Food &amp;Beverage</v>
      </c>
    </row>
    <row r="4145" spans="1:7" x14ac:dyDescent="0.3">
      <c r="A4145" t="s">
        <v>34</v>
      </c>
      <c r="B4145">
        <v>2017</v>
      </c>
      <c r="C4145" t="s">
        <v>37</v>
      </c>
      <c r="D4145" s="2">
        <v>42826</v>
      </c>
      <c r="E4145" t="s">
        <v>13</v>
      </c>
      <c r="F4145">
        <v>127.4</v>
      </c>
      <c r="G4145" t="str">
        <f>VLOOKUP(Table1_2[[#This Row],[Categories]],Sheet3!$A$1:$B$27,2,FALSE)</f>
        <v>Food &amp;Beverage</v>
      </c>
    </row>
    <row r="4146" spans="1:7" x14ac:dyDescent="0.3">
      <c r="A4146" t="s">
        <v>34</v>
      </c>
      <c r="B4146">
        <v>2017</v>
      </c>
      <c r="C4146" t="s">
        <v>37</v>
      </c>
      <c r="D4146" s="2">
        <v>42826</v>
      </c>
      <c r="E4146" t="s">
        <v>14</v>
      </c>
      <c r="F4146">
        <v>144.19999999999999</v>
      </c>
      <c r="G4146" t="str">
        <f>VLOOKUP(Table1_2[[#This Row],[Categories]],Sheet3!$A$1:$B$27,2,FALSE)</f>
        <v>Food &amp;Beverage</v>
      </c>
    </row>
    <row r="4147" spans="1:7" x14ac:dyDescent="0.3">
      <c r="A4147" t="s">
        <v>34</v>
      </c>
      <c r="B4147">
        <v>2017</v>
      </c>
      <c r="C4147" t="s">
        <v>37</v>
      </c>
      <c r="D4147" s="2">
        <v>42826</v>
      </c>
      <c r="E4147" t="s">
        <v>15</v>
      </c>
      <c r="F4147">
        <v>133.5</v>
      </c>
      <c r="G4147" t="str">
        <f>VLOOKUP(Table1_2[[#This Row],[Categories]],Sheet3!$A$1:$B$27,2,FALSE)</f>
        <v>Food &amp;Beverage</v>
      </c>
    </row>
    <row r="4148" spans="1:7" x14ac:dyDescent="0.3">
      <c r="A4148" t="s">
        <v>34</v>
      </c>
      <c r="B4148">
        <v>2017</v>
      </c>
      <c r="C4148" t="s">
        <v>37</v>
      </c>
      <c r="D4148" s="2">
        <v>42826</v>
      </c>
      <c r="E4148" t="s">
        <v>16</v>
      </c>
      <c r="F4148">
        <v>145.4</v>
      </c>
      <c r="G4148" t="str">
        <f>VLOOKUP(Table1_2[[#This Row],[Categories]],Sheet3!$A$1:$B$27,2,FALSE)</f>
        <v>Recreation and amusement</v>
      </c>
    </row>
    <row r="4149" spans="1:7" x14ac:dyDescent="0.3">
      <c r="A4149" t="s">
        <v>34</v>
      </c>
      <c r="B4149">
        <v>2017</v>
      </c>
      <c r="C4149" t="s">
        <v>37</v>
      </c>
      <c r="D4149" s="2">
        <v>42826</v>
      </c>
      <c r="E4149" t="s">
        <v>17</v>
      </c>
      <c r="F4149">
        <v>138</v>
      </c>
      <c r="G4149" t="str">
        <f>VLOOKUP(Table1_2[[#This Row],[Categories]],Sheet3!$A$1:$B$27,2,FALSE)</f>
        <v>Clothing and footwear</v>
      </c>
    </row>
    <row r="4150" spans="1:7" x14ac:dyDescent="0.3">
      <c r="A4150" t="s">
        <v>34</v>
      </c>
      <c r="B4150">
        <v>2017</v>
      </c>
      <c r="C4150" t="s">
        <v>37</v>
      </c>
      <c r="D4150" s="2">
        <v>42826</v>
      </c>
      <c r="E4150" t="s">
        <v>18</v>
      </c>
      <c r="F4150">
        <v>131.1</v>
      </c>
      <c r="G4150" t="str">
        <f>VLOOKUP(Table1_2[[#This Row],[Categories]],Sheet3!$A$1:$B$27,2,FALSE)</f>
        <v>Clothing and footwear</v>
      </c>
    </row>
    <row r="4151" spans="1:7" x14ac:dyDescent="0.3">
      <c r="A4151" t="s">
        <v>34</v>
      </c>
      <c r="B4151">
        <v>2017</v>
      </c>
      <c r="C4151" t="s">
        <v>37</v>
      </c>
      <c r="D4151" s="2">
        <v>42826</v>
      </c>
      <c r="E4151" t="s">
        <v>19</v>
      </c>
      <c r="F4151">
        <v>137</v>
      </c>
      <c r="G4151" t="str">
        <f>VLOOKUP(Table1_2[[#This Row],[Categories]],Sheet3!$A$1:$B$27,2,FALSE)</f>
        <v>Clothing and footwear</v>
      </c>
    </row>
    <row r="4152" spans="1:7" x14ac:dyDescent="0.3">
      <c r="A4152" t="s">
        <v>34</v>
      </c>
      <c r="B4152">
        <v>2017</v>
      </c>
      <c r="C4152" t="s">
        <v>37</v>
      </c>
      <c r="D4152" s="2">
        <v>42826</v>
      </c>
      <c r="E4152" t="s">
        <v>20</v>
      </c>
      <c r="F4152">
        <v>131.69999999999999</v>
      </c>
      <c r="G4152" t="str">
        <f>VLOOKUP(Table1_2[[#This Row],[Categories]],Sheet3!$A$1:$B$27,2,FALSE)</f>
        <v>Housing</v>
      </c>
    </row>
    <row r="4153" spans="1:7" x14ac:dyDescent="0.3">
      <c r="A4153" t="s">
        <v>34</v>
      </c>
      <c r="B4153">
        <v>2017</v>
      </c>
      <c r="C4153" t="s">
        <v>37</v>
      </c>
      <c r="D4153" s="2">
        <v>42826</v>
      </c>
      <c r="E4153" t="s">
        <v>21</v>
      </c>
      <c r="F4153">
        <v>129.80000000000001</v>
      </c>
      <c r="G4153" t="str">
        <f>VLOOKUP(Table1_2[[#This Row],[Categories]],Sheet3!$A$1:$B$27,2,FALSE)</f>
        <v>Fuel and light</v>
      </c>
    </row>
    <row r="4154" spans="1:7" x14ac:dyDescent="0.3">
      <c r="A4154" t="s">
        <v>34</v>
      </c>
      <c r="B4154">
        <v>2017</v>
      </c>
      <c r="C4154" t="s">
        <v>37</v>
      </c>
      <c r="D4154" s="2">
        <v>42826</v>
      </c>
      <c r="E4154" t="s">
        <v>22</v>
      </c>
      <c r="F4154">
        <v>130.4</v>
      </c>
      <c r="G4154" t="str">
        <f>VLOOKUP(Table1_2[[#This Row],[Categories]],Sheet3!$A$1:$B$27,2,FALSE)</f>
        <v>Household Items</v>
      </c>
    </row>
    <row r="4155" spans="1:7" x14ac:dyDescent="0.3">
      <c r="A4155" t="s">
        <v>34</v>
      </c>
      <c r="B4155">
        <v>2017</v>
      </c>
      <c r="C4155" t="s">
        <v>37</v>
      </c>
      <c r="D4155" s="2">
        <v>42826</v>
      </c>
      <c r="E4155" t="s">
        <v>23</v>
      </c>
      <c r="F4155">
        <v>128.1</v>
      </c>
      <c r="G4155" t="str">
        <f>VLOOKUP(Table1_2[[#This Row],[Categories]],Sheet3!$A$1:$B$27,2,FALSE)</f>
        <v>Health</v>
      </c>
    </row>
    <row r="4156" spans="1:7" x14ac:dyDescent="0.3">
      <c r="A4156" t="s">
        <v>34</v>
      </c>
      <c r="B4156">
        <v>2017</v>
      </c>
      <c r="C4156" t="s">
        <v>37</v>
      </c>
      <c r="D4156" s="2">
        <v>42826</v>
      </c>
      <c r="E4156" t="s">
        <v>24</v>
      </c>
      <c r="F4156">
        <v>116.6</v>
      </c>
      <c r="G4156" t="str">
        <f>VLOOKUP(Table1_2[[#This Row],[Categories]],Sheet3!$A$1:$B$27,2,FALSE)</f>
        <v>Transport and communication</v>
      </c>
    </row>
    <row r="4157" spans="1:7" x14ac:dyDescent="0.3">
      <c r="A4157" t="s">
        <v>34</v>
      </c>
      <c r="B4157">
        <v>2017</v>
      </c>
      <c r="C4157" t="s">
        <v>37</v>
      </c>
      <c r="D4157" s="2">
        <v>42826</v>
      </c>
      <c r="E4157" t="s">
        <v>25</v>
      </c>
      <c r="F4157">
        <v>125.1</v>
      </c>
      <c r="G4157" t="str">
        <f>VLOOKUP(Table1_2[[#This Row],[Categories]],Sheet3!$A$1:$B$27,2,FALSE)</f>
        <v>Recreation and amusement</v>
      </c>
    </row>
    <row r="4158" spans="1:7" x14ac:dyDescent="0.3">
      <c r="A4158" t="s">
        <v>34</v>
      </c>
      <c r="B4158">
        <v>2017</v>
      </c>
      <c r="C4158" t="s">
        <v>37</v>
      </c>
      <c r="D4158" s="2">
        <v>42826</v>
      </c>
      <c r="E4158" t="s">
        <v>26</v>
      </c>
      <c r="F4158">
        <v>134.5</v>
      </c>
      <c r="G4158" t="str">
        <f>VLOOKUP(Table1_2[[#This Row],[Categories]],Sheet3!$A$1:$B$27,2,FALSE)</f>
        <v>Education</v>
      </c>
    </row>
    <row r="4159" spans="1:7" x14ac:dyDescent="0.3">
      <c r="A4159" t="s">
        <v>34</v>
      </c>
      <c r="B4159">
        <v>2017</v>
      </c>
      <c r="C4159" t="s">
        <v>37</v>
      </c>
      <c r="D4159" s="2">
        <v>42826</v>
      </c>
      <c r="E4159" t="s">
        <v>27</v>
      </c>
      <c r="F4159">
        <v>123.1</v>
      </c>
      <c r="G4159" t="str">
        <f>VLOOKUP(Table1_2[[#This Row],[Categories]],Sheet3!$A$1:$B$27,2,FALSE)</f>
        <v>Household Items</v>
      </c>
    </row>
    <row r="4160" spans="1:7" x14ac:dyDescent="0.3">
      <c r="A4160" t="s">
        <v>34</v>
      </c>
      <c r="B4160">
        <v>2017</v>
      </c>
      <c r="C4160" t="s">
        <v>37</v>
      </c>
      <c r="D4160" s="2">
        <v>42826</v>
      </c>
      <c r="E4160" t="s">
        <v>28</v>
      </c>
      <c r="F4160">
        <v>125.1</v>
      </c>
      <c r="G4160" t="str">
        <f>VLOOKUP(Table1_2[[#This Row],[Categories]],Sheet3!$A$1:$B$27,2,FALSE)</f>
        <v>Miscellaneous</v>
      </c>
    </row>
    <row r="4161" spans="1:7" x14ac:dyDescent="0.3">
      <c r="A4161" t="s">
        <v>34</v>
      </c>
      <c r="B4161">
        <v>2017</v>
      </c>
      <c r="C4161" t="s">
        <v>37</v>
      </c>
      <c r="D4161" s="2">
        <v>42826</v>
      </c>
      <c r="E4161" t="s">
        <v>29</v>
      </c>
      <c r="F4161">
        <v>131.1</v>
      </c>
      <c r="G4161" t="str">
        <f>VLOOKUP(Table1_2[[#This Row],[Categories]],Sheet3!$A$1:$B$27,2,FALSE)</f>
        <v>General index</v>
      </c>
    </row>
    <row r="4162" spans="1:7" x14ac:dyDescent="0.3">
      <c r="A4162" t="s">
        <v>30</v>
      </c>
      <c r="B4162">
        <v>2017</v>
      </c>
      <c r="C4162" t="s">
        <v>38</v>
      </c>
      <c r="D4162" s="2">
        <v>42856</v>
      </c>
      <c r="E4162" t="s">
        <v>3</v>
      </c>
      <c r="F4162">
        <v>133.1</v>
      </c>
      <c r="G4162" t="str">
        <f>VLOOKUP(Table1_2[[#This Row],[Categories]],Sheet3!$A$1:$B$27,2,FALSE)</f>
        <v>Food &amp;Beverage</v>
      </c>
    </row>
    <row r="4163" spans="1:7" x14ac:dyDescent="0.3">
      <c r="A4163" t="s">
        <v>30</v>
      </c>
      <c r="B4163">
        <v>2017</v>
      </c>
      <c r="C4163" t="s">
        <v>38</v>
      </c>
      <c r="D4163" s="2">
        <v>42856</v>
      </c>
      <c r="E4163" t="s">
        <v>4</v>
      </c>
      <c r="F4163">
        <v>140.30000000000001</v>
      </c>
      <c r="G4163" t="str">
        <f>VLOOKUP(Table1_2[[#This Row],[Categories]],Sheet3!$A$1:$B$27,2,FALSE)</f>
        <v>Food &amp;Beverage</v>
      </c>
    </row>
    <row r="4164" spans="1:7" x14ac:dyDescent="0.3">
      <c r="A4164" t="s">
        <v>30</v>
      </c>
      <c r="B4164">
        <v>2017</v>
      </c>
      <c r="C4164" t="s">
        <v>38</v>
      </c>
      <c r="D4164" s="2">
        <v>42856</v>
      </c>
      <c r="E4164" t="s">
        <v>5</v>
      </c>
      <c r="F4164">
        <v>126.8</v>
      </c>
      <c r="G4164" t="str">
        <f>VLOOKUP(Table1_2[[#This Row],[Categories]],Sheet3!$A$1:$B$27,2,FALSE)</f>
        <v>Food &amp;Beverage</v>
      </c>
    </row>
    <row r="4165" spans="1:7" x14ac:dyDescent="0.3">
      <c r="A4165" t="s">
        <v>30</v>
      </c>
      <c r="B4165">
        <v>2017</v>
      </c>
      <c r="C4165" t="s">
        <v>38</v>
      </c>
      <c r="D4165" s="2">
        <v>42856</v>
      </c>
      <c r="E4165" t="s">
        <v>6</v>
      </c>
      <c r="F4165">
        <v>138.19999999999999</v>
      </c>
      <c r="G4165" t="str">
        <f>VLOOKUP(Table1_2[[#This Row],[Categories]],Sheet3!$A$1:$B$27,2,FALSE)</f>
        <v>Food &amp;Beverage</v>
      </c>
    </row>
    <row r="4166" spans="1:7" x14ac:dyDescent="0.3">
      <c r="A4166" t="s">
        <v>30</v>
      </c>
      <c r="B4166">
        <v>2017</v>
      </c>
      <c r="C4166" t="s">
        <v>38</v>
      </c>
      <c r="D4166" s="2">
        <v>42856</v>
      </c>
      <c r="E4166" t="s">
        <v>7</v>
      </c>
      <c r="F4166">
        <v>120.8</v>
      </c>
      <c r="G4166" t="str">
        <f>VLOOKUP(Table1_2[[#This Row],[Categories]],Sheet3!$A$1:$B$27,2,FALSE)</f>
        <v>Food &amp;Beverage</v>
      </c>
    </row>
    <row r="4167" spans="1:7" x14ac:dyDescent="0.3">
      <c r="A4167" t="s">
        <v>30</v>
      </c>
      <c r="B4167">
        <v>2017</v>
      </c>
      <c r="C4167" t="s">
        <v>38</v>
      </c>
      <c r="D4167" s="2">
        <v>42856</v>
      </c>
      <c r="E4167" t="s">
        <v>8</v>
      </c>
      <c r="F4167">
        <v>140.19999999999999</v>
      </c>
      <c r="G4167" t="str">
        <f>VLOOKUP(Table1_2[[#This Row],[Categories]],Sheet3!$A$1:$B$27,2,FALSE)</f>
        <v>Food &amp;Beverage</v>
      </c>
    </row>
    <row r="4168" spans="1:7" x14ac:dyDescent="0.3">
      <c r="A4168" t="s">
        <v>30</v>
      </c>
      <c r="B4168">
        <v>2017</v>
      </c>
      <c r="C4168" t="s">
        <v>38</v>
      </c>
      <c r="D4168" s="2">
        <v>42856</v>
      </c>
      <c r="E4168" t="s">
        <v>9</v>
      </c>
      <c r="F4168">
        <v>123.8</v>
      </c>
      <c r="G4168" t="str">
        <f>VLOOKUP(Table1_2[[#This Row],[Categories]],Sheet3!$A$1:$B$27,2,FALSE)</f>
        <v>Food &amp;Beverage</v>
      </c>
    </row>
    <row r="4169" spans="1:7" x14ac:dyDescent="0.3">
      <c r="A4169" t="s">
        <v>30</v>
      </c>
      <c r="B4169">
        <v>2017</v>
      </c>
      <c r="C4169" t="s">
        <v>38</v>
      </c>
      <c r="D4169" s="2">
        <v>42856</v>
      </c>
      <c r="E4169" t="s">
        <v>10</v>
      </c>
      <c r="F4169">
        <v>141.80000000000001</v>
      </c>
      <c r="G4169" t="str">
        <f>VLOOKUP(Table1_2[[#This Row],[Categories]],Sheet3!$A$1:$B$27,2,FALSE)</f>
        <v>Food &amp;Beverage</v>
      </c>
    </row>
    <row r="4170" spans="1:7" x14ac:dyDescent="0.3">
      <c r="A4170" t="s">
        <v>30</v>
      </c>
      <c r="B4170">
        <v>2017</v>
      </c>
      <c r="C4170" t="s">
        <v>38</v>
      </c>
      <c r="D4170" s="2">
        <v>42856</v>
      </c>
      <c r="E4170" t="s">
        <v>11</v>
      </c>
      <c r="F4170">
        <v>118.6</v>
      </c>
      <c r="G4170" t="str">
        <f>VLOOKUP(Table1_2[[#This Row],[Categories]],Sheet3!$A$1:$B$27,2,FALSE)</f>
        <v>Food &amp;Beverage</v>
      </c>
    </row>
    <row r="4171" spans="1:7" x14ac:dyDescent="0.3">
      <c r="A4171" t="s">
        <v>30</v>
      </c>
      <c r="B4171">
        <v>2017</v>
      </c>
      <c r="C4171" t="s">
        <v>38</v>
      </c>
      <c r="D4171" s="2">
        <v>42856</v>
      </c>
      <c r="E4171" t="s">
        <v>12</v>
      </c>
      <c r="F4171">
        <v>134</v>
      </c>
      <c r="G4171" t="str">
        <f>VLOOKUP(Table1_2[[#This Row],[Categories]],Sheet3!$A$1:$B$27,2,FALSE)</f>
        <v>Food &amp;Beverage</v>
      </c>
    </row>
    <row r="4172" spans="1:7" x14ac:dyDescent="0.3">
      <c r="A4172" t="s">
        <v>30</v>
      </c>
      <c r="B4172">
        <v>2017</v>
      </c>
      <c r="C4172" t="s">
        <v>38</v>
      </c>
      <c r="D4172" s="2">
        <v>42856</v>
      </c>
      <c r="E4172" t="s">
        <v>13</v>
      </c>
      <c r="F4172">
        <v>130.30000000000001</v>
      </c>
      <c r="G4172" t="str">
        <f>VLOOKUP(Table1_2[[#This Row],[Categories]],Sheet3!$A$1:$B$27,2,FALSE)</f>
        <v>Food &amp;Beverage</v>
      </c>
    </row>
    <row r="4173" spans="1:7" x14ac:dyDescent="0.3">
      <c r="A4173" t="s">
        <v>30</v>
      </c>
      <c r="B4173">
        <v>2017</v>
      </c>
      <c r="C4173" t="s">
        <v>38</v>
      </c>
      <c r="D4173" s="2">
        <v>42856</v>
      </c>
      <c r="E4173" t="s">
        <v>14</v>
      </c>
      <c r="F4173">
        <v>145.80000000000001</v>
      </c>
      <c r="G4173" t="str">
        <f>VLOOKUP(Table1_2[[#This Row],[Categories]],Sheet3!$A$1:$B$27,2,FALSE)</f>
        <v>Food &amp;Beverage</v>
      </c>
    </row>
    <row r="4174" spans="1:7" x14ac:dyDescent="0.3">
      <c r="A4174" t="s">
        <v>30</v>
      </c>
      <c r="B4174">
        <v>2017</v>
      </c>
      <c r="C4174" t="s">
        <v>38</v>
      </c>
      <c r="D4174" s="2">
        <v>42856</v>
      </c>
      <c r="E4174" t="s">
        <v>15</v>
      </c>
      <c r="F4174">
        <v>133.80000000000001</v>
      </c>
      <c r="G4174" t="str">
        <f>VLOOKUP(Table1_2[[#This Row],[Categories]],Sheet3!$A$1:$B$27,2,FALSE)</f>
        <v>Food &amp;Beverage</v>
      </c>
    </row>
    <row r="4175" spans="1:7" x14ac:dyDescent="0.3">
      <c r="A4175" t="s">
        <v>30</v>
      </c>
      <c r="B4175">
        <v>2017</v>
      </c>
      <c r="C4175" t="s">
        <v>38</v>
      </c>
      <c r="D4175" s="2">
        <v>42856</v>
      </c>
      <c r="E4175" t="s">
        <v>16</v>
      </c>
      <c r="F4175">
        <v>145.5</v>
      </c>
      <c r="G4175" t="str">
        <f>VLOOKUP(Table1_2[[#This Row],[Categories]],Sheet3!$A$1:$B$27,2,FALSE)</f>
        <v>Recreation and amusement</v>
      </c>
    </row>
    <row r="4176" spans="1:7" x14ac:dyDescent="0.3">
      <c r="A4176" t="s">
        <v>30</v>
      </c>
      <c r="B4176">
        <v>2017</v>
      </c>
      <c r="C4176" t="s">
        <v>38</v>
      </c>
      <c r="D4176" s="2">
        <v>42856</v>
      </c>
      <c r="E4176" t="s">
        <v>17</v>
      </c>
      <c r="F4176">
        <v>142.5</v>
      </c>
      <c r="G4176" t="str">
        <f>VLOOKUP(Table1_2[[#This Row],[Categories]],Sheet3!$A$1:$B$27,2,FALSE)</f>
        <v>Clothing and footwear</v>
      </c>
    </row>
    <row r="4177" spans="1:7" x14ac:dyDescent="0.3">
      <c r="A4177" t="s">
        <v>30</v>
      </c>
      <c r="B4177">
        <v>2017</v>
      </c>
      <c r="C4177" t="s">
        <v>38</v>
      </c>
      <c r="D4177" s="2">
        <v>42856</v>
      </c>
      <c r="E4177" t="s">
        <v>18</v>
      </c>
      <c r="F4177">
        <v>137.30000000000001</v>
      </c>
      <c r="G4177" t="str">
        <f>VLOOKUP(Table1_2[[#This Row],[Categories]],Sheet3!$A$1:$B$27,2,FALSE)</f>
        <v>Clothing and footwear</v>
      </c>
    </row>
    <row r="4178" spans="1:7" x14ac:dyDescent="0.3">
      <c r="A4178" t="s">
        <v>30</v>
      </c>
      <c r="B4178">
        <v>2017</v>
      </c>
      <c r="C4178" t="s">
        <v>38</v>
      </c>
      <c r="D4178" s="2">
        <v>42856</v>
      </c>
      <c r="E4178" t="s">
        <v>19</v>
      </c>
      <c r="F4178">
        <v>141.80000000000001</v>
      </c>
      <c r="G4178" t="str">
        <f>VLOOKUP(Table1_2[[#This Row],[Categories]],Sheet3!$A$1:$B$27,2,FALSE)</f>
        <v>Clothing and footwear</v>
      </c>
    </row>
    <row r="4179" spans="1:7" x14ac:dyDescent="0.3">
      <c r="A4179" t="s">
        <v>30</v>
      </c>
      <c r="B4179">
        <v>2017</v>
      </c>
      <c r="C4179" t="s">
        <v>38</v>
      </c>
      <c r="D4179" s="2">
        <v>42856</v>
      </c>
      <c r="E4179" t="s">
        <v>21</v>
      </c>
      <c r="F4179">
        <v>135</v>
      </c>
      <c r="G4179" t="str">
        <f>VLOOKUP(Table1_2[[#This Row],[Categories]],Sheet3!$A$1:$B$27,2,FALSE)</f>
        <v>Fuel and light</v>
      </c>
    </row>
    <row r="4180" spans="1:7" x14ac:dyDescent="0.3">
      <c r="A4180" t="s">
        <v>30</v>
      </c>
      <c r="B4180">
        <v>2017</v>
      </c>
      <c r="C4180" t="s">
        <v>38</v>
      </c>
      <c r="D4180" s="2">
        <v>42856</v>
      </c>
      <c r="E4180" t="s">
        <v>22</v>
      </c>
      <c r="F4180">
        <v>134.9</v>
      </c>
      <c r="G4180" t="str">
        <f>VLOOKUP(Table1_2[[#This Row],[Categories]],Sheet3!$A$1:$B$27,2,FALSE)</f>
        <v>Household Items</v>
      </c>
    </row>
    <row r="4181" spans="1:7" x14ac:dyDescent="0.3">
      <c r="A4181" t="s">
        <v>30</v>
      </c>
      <c r="B4181">
        <v>2017</v>
      </c>
      <c r="C4181" t="s">
        <v>38</v>
      </c>
      <c r="D4181" s="2">
        <v>42856</v>
      </c>
      <c r="E4181" t="s">
        <v>23</v>
      </c>
      <c r="F4181">
        <v>131.4</v>
      </c>
      <c r="G4181" t="str">
        <f>VLOOKUP(Table1_2[[#This Row],[Categories]],Sheet3!$A$1:$B$27,2,FALSE)</f>
        <v>Health</v>
      </c>
    </row>
    <row r="4182" spans="1:7" x14ac:dyDescent="0.3">
      <c r="A4182" t="s">
        <v>30</v>
      </c>
      <c r="B4182">
        <v>2017</v>
      </c>
      <c r="C4182" t="s">
        <v>38</v>
      </c>
      <c r="D4182" s="2">
        <v>42856</v>
      </c>
      <c r="E4182" t="s">
        <v>24</v>
      </c>
      <c r="F4182">
        <v>119.4</v>
      </c>
      <c r="G4182" t="str">
        <f>VLOOKUP(Table1_2[[#This Row],[Categories]],Sheet3!$A$1:$B$27,2,FALSE)</f>
        <v>Transport and communication</v>
      </c>
    </row>
    <row r="4183" spans="1:7" x14ac:dyDescent="0.3">
      <c r="A4183" t="s">
        <v>30</v>
      </c>
      <c r="B4183">
        <v>2017</v>
      </c>
      <c r="C4183" t="s">
        <v>38</v>
      </c>
      <c r="D4183" s="2">
        <v>42856</v>
      </c>
      <c r="E4183" t="s">
        <v>25</v>
      </c>
      <c r="F4183">
        <v>129.4</v>
      </c>
      <c r="G4183" t="str">
        <f>VLOOKUP(Table1_2[[#This Row],[Categories]],Sheet3!$A$1:$B$27,2,FALSE)</f>
        <v>Recreation and amusement</v>
      </c>
    </row>
    <row r="4184" spans="1:7" x14ac:dyDescent="0.3">
      <c r="A4184" t="s">
        <v>30</v>
      </c>
      <c r="B4184">
        <v>2017</v>
      </c>
      <c r="C4184" t="s">
        <v>38</v>
      </c>
      <c r="D4184" s="2">
        <v>42856</v>
      </c>
      <c r="E4184" t="s">
        <v>26</v>
      </c>
      <c r="F4184">
        <v>136.30000000000001</v>
      </c>
      <c r="G4184" t="str">
        <f>VLOOKUP(Table1_2[[#This Row],[Categories]],Sheet3!$A$1:$B$27,2,FALSE)</f>
        <v>Education</v>
      </c>
    </row>
    <row r="4185" spans="1:7" x14ac:dyDescent="0.3">
      <c r="A4185" t="s">
        <v>30</v>
      </c>
      <c r="B4185">
        <v>2017</v>
      </c>
      <c r="C4185" t="s">
        <v>38</v>
      </c>
      <c r="D4185" s="2">
        <v>42856</v>
      </c>
      <c r="E4185" t="s">
        <v>27</v>
      </c>
      <c r="F4185">
        <v>123.7</v>
      </c>
      <c r="G4185" t="str">
        <f>VLOOKUP(Table1_2[[#This Row],[Categories]],Sheet3!$A$1:$B$27,2,FALSE)</f>
        <v>Household Items</v>
      </c>
    </row>
    <row r="4186" spans="1:7" x14ac:dyDescent="0.3">
      <c r="A4186" t="s">
        <v>30</v>
      </c>
      <c r="B4186">
        <v>2017</v>
      </c>
      <c r="C4186" t="s">
        <v>38</v>
      </c>
      <c r="D4186" s="2">
        <v>42856</v>
      </c>
      <c r="E4186" t="s">
        <v>28</v>
      </c>
      <c r="F4186">
        <v>127.9</v>
      </c>
      <c r="G4186" t="str">
        <f>VLOOKUP(Table1_2[[#This Row],[Categories]],Sheet3!$A$1:$B$27,2,FALSE)</f>
        <v>Miscellaneous</v>
      </c>
    </row>
    <row r="4187" spans="1:7" x14ac:dyDescent="0.3">
      <c r="A4187" t="s">
        <v>30</v>
      </c>
      <c r="B4187">
        <v>2017</v>
      </c>
      <c r="C4187" t="s">
        <v>38</v>
      </c>
      <c r="D4187" s="2">
        <v>42856</v>
      </c>
      <c r="E4187" t="s">
        <v>29</v>
      </c>
      <c r="F4187">
        <v>133.30000000000001</v>
      </c>
      <c r="G4187" t="str">
        <f>VLOOKUP(Table1_2[[#This Row],[Categories]],Sheet3!$A$1:$B$27,2,FALSE)</f>
        <v>General index</v>
      </c>
    </row>
    <row r="4188" spans="1:7" x14ac:dyDescent="0.3">
      <c r="A4188" t="s">
        <v>33</v>
      </c>
      <c r="B4188">
        <v>2017</v>
      </c>
      <c r="C4188" t="s">
        <v>38</v>
      </c>
      <c r="D4188" s="2">
        <v>42856</v>
      </c>
      <c r="E4188" t="s">
        <v>3</v>
      </c>
      <c r="F4188">
        <v>132.6</v>
      </c>
      <c r="G4188" t="str">
        <f>VLOOKUP(Table1_2[[#This Row],[Categories]],Sheet3!$A$1:$B$27,2,FALSE)</f>
        <v>Food &amp;Beverage</v>
      </c>
    </row>
    <row r="4189" spans="1:7" x14ac:dyDescent="0.3">
      <c r="A4189" t="s">
        <v>33</v>
      </c>
      <c r="B4189">
        <v>2017</v>
      </c>
      <c r="C4189" t="s">
        <v>38</v>
      </c>
      <c r="D4189" s="2">
        <v>42856</v>
      </c>
      <c r="E4189" t="s">
        <v>4</v>
      </c>
      <c r="F4189">
        <v>144.1</v>
      </c>
      <c r="G4189" t="str">
        <f>VLOOKUP(Table1_2[[#This Row],[Categories]],Sheet3!$A$1:$B$27,2,FALSE)</f>
        <v>Food &amp;Beverage</v>
      </c>
    </row>
    <row r="4190" spans="1:7" x14ac:dyDescent="0.3">
      <c r="A4190" t="s">
        <v>33</v>
      </c>
      <c r="B4190">
        <v>2017</v>
      </c>
      <c r="C4190" t="s">
        <v>38</v>
      </c>
      <c r="D4190" s="2">
        <v>42856</v>
      </c>
      <c r="E4190" t="s">
        <v>5</v>
      </c>
      <c r="F4190">
        <v>125.6</v>
      </c>
      <c r="G4190" t="str">
        <f>VLOOKUP(Table1_2[[#This Row],[Categories]],Sheet3!$A$1:$B$27,2,FALSE)</f>
        <v>Food &amp;Beverage</v>
      </c>
    </row>
    <row r="4191" spans="1:7" x14ac:dyDescent="0.3">
      <c r="A4191" t="s">
        <v>33</v>
      </c>
      <c r="B4191">
        <v>2017</v>
      </c>
      <c r="C4191" t="s">
        <v>38</v>
      </c>
      <c r="D4191" s="2">
        <v>42856</v>
      </c>
      <c r="E4191" t="s">
        <v>6</v>
      </c>
      <c r="F4191">
        <v>136.80000000000001</v>
      </c>
      <c r="G4191" t="str">
        <f>VLOOKUP(Table1_2[[#This Row],[Categories]],Sheet3!$A$1:$B$27,2,FALSE)</f>
        <v>Food &amp;Beverage</v>
      </c>
    </row>
    <row r="4192" spans="1:7" x14ac:dyDescent="0.3">
      <c r="A4192" t="s">
        <v>33</v>
      </c>
      <c r="B4192">
        <v>2017</v>
      </c>
      <c r="C4192" t="s">
        <v>38</v>
      </c>
      <c r="D4192" s="2">
        <v>42856</v>
      </c>
      <c r="E4192" t="s">
        <v>7</v>
      </c>
      <c r="F4192">
        <v>113.4</v>
      </c>
      <c r="G4192" t="str">
        <f>VLOOKUP(Table1_2[[#This Row],[Categories]],Sheet3!$A$1:$B$27,2,FALSE)</f>
        <v>Food &amp;Beverage</v>
      </c>
    </row>
    <row r="4193" spans="1:7" x14ac:dyDescent="0.3">
      <c r="A4193" t="s">
        <v>33</v>
      </c>
      <c r="B4193">
        <v>2017</v>
      </c>
      <c r="C4193" t="s">
        <v>38</v>
      </c>
      <c r="D4193" s="2">
        <v>42856</v>
      </c>
      <c r="E4193" t="s">
        <v>8</v>
      </c>
      <c r="F4193">
        <v>135.19999999999999</v>
      </c>
      <c r="G4193" t="str">
        <f>VLOOKUP(Table1_2[[#This Row],[Categories]],Sheet3!$A$1:$B$27,2,FALSE)</f>
        <v>Food &amp;Beverage</v>
      </c>
    </row>
    <row r="4194" spans="1:7" x14ac:dyDescent="0.3">
      <c r="A4194" t="s">
        <v>33</v>
      </c>
      <c r="B4194">
        <v>2017</v>
      </c>
      <c r="C4194" t="s">
        <v>38</v>
      </c>
      <c r="D4194" s="2">
        <v>42856</v>
      </c>
      <c r="E4194" t="s">
        <v>9</v>
      </c>
      <c r="F4194">
        <v>129.19999999999999</v>
      </c>
      <c r="G4194" t="str">
        <f>VLOOKUP(Table1_2[[#This Row],[Categories]],Sheet3!$A$1:$B$27,2,FALSE)</f>
        <v>Food &amp;Beverage</v>
      </c>
    </row>
    <row r="4195" spans="1:7" x14ac:dyDescent="0.3">
      <c r="A4195" t="s">
        <v>33</v>
      </c>
      <c r="B4195">
        <v>2017</v>
      </c>
      <c r="C4195" t="s">
        <v>38</v>
      </c>
      <c r="D4195" s="2">
        <v>42856</v>
      </c>
      <c r="E4195" t="s">
        <v>10</v>
      </c>
      <c r="F4195">
        <v>131.5</v>
      </c>
      <c r="G4195" t="str">
        <f>VLOOKUP(Table1_2[[#This Row],[Categories]],Sheet3!$A$1:$B$27,2,FALSE)</f>
        <v>Food &amp;Beverage</v>
      </c>
    </row>
    <row r="4196" spans="1:7" x14ac:dyDescent="0.3">
      <c r="A4196" t="s">
        <v>33</v>
      </c>
      <c r="B4196">
        <v>2017</v>
      </c>
      <c r="C4196" t="s">
        <v>38</v>
      </c>
      <c r="D4196" s="2">
        <v>42856</v>
      </c>
      <c r="E4196" t="s">
        <v>11</v>
      </c>
      <c r="F4196">
        <v>121</v>
      </c>
      <c r="G4196" t="str">
        <f>VLOOKUP(Table1_2[[#This Row],[Categories]],Sheet3!$A$1:$B$27,2,FALSE)</f>
        <v>Food &amp;Beverage</v>
      </c>
    </row>
    <row r="4197" spans="1:7" x14ac:dyDescent="0.3">
      <c r="A4197" t="s">
        <v>33</v>
      </c>
      <c r="B4197">
        <v>2017</v>
      </c>
      <c r="C4197" t="s">
        <v>38</v>
      </c>
      <c r="D4197" s="2">
        <v>42856</v>
      </c>
      <c r="E4197" t="s">
        <v>12</v>
      </c>
      <c r="F4197">
        <v>139.9</v>
      </c>
      <c r="G4197" t="str">
        <f>VLOOKUP(Table1_2[[#This Row],[Categories]],Sheet3!$A$1:$B$27,2,FALSE)</f>
        <v>Food &amp;Beverage</v>
      </c>
    </row>
    <row r="4198" spans="1:7" x14ac:dyDescent="0.3">
      <c r="A4198" t="s">
        <v>33</v>
      </c>
      <c r="B4198">
        <v>2017</v>
      </c>
      <c r="C4198" t="s">
        <v>38</v>
      </c>
      <c r="D4198" s="2">
        <v>42856</v>
      </c>
      <c r="E4198" t="s">
        <v>13</v>
      </c>
      <c r="F4198">
        <v>123.8</v>
      </c>
      <c r="G4198" t="str">
        <f>VLOOKUP(Table1_2[[#This Row],[Categories]],Sheet3!$A$1:$B$27,2,FALSE)</f>
        <v>Food &amp;Beverage</v>
      </c>
    </row>
    <row r="4199" spans="1:7" x14ac:dyDescent="0.3">
      <c r="A4199" t="s">
        <v>33</v>
      </c>
      <c r="B4199">
        <v>2017</v>
      </c>
      <c r="C4199" t="s">
        <v>38</v>
      </c>
      <c r="D4199" s="2">
        <v>42856</v>
      </c>
      <c r="E4199" t="s">
        <v>14</v>
      </c>
      <c r="F4199">
        <v>142.9</v>
      </c>
      <c r="G4199" t="str">
        <f>VLOOKUP(Table1_2[[#This Row],[Categories]],Sheet3!$A$1:$B$27,2,FALSE)</f>
        <v>Food &amp;Beverage</v>
      </c>
    </row>
    <row r="4200" spans="1:7" x14ac:dyDescent="0.3">
      <c r="A4200" t="s">
        <v>33</v>
      </c>
      <c r="B4200">
        <v>2017</v>
      </c>
      <c r="C4200" t="s">
        <v>38</v>
      </c>
      <c r="D4200" s="2">
        <v>42856</v>
      </c>
      <c r="E4200" t="s">
        <v>15</v>
      </c>
      <c r="F4200">
        <v>133.6</v>
      </c>
      <c r="G4200" t="str">
        <f>VLOOKUP(Table1_2[[#This Row],[Categories]],Sheet3!$A$1:$B$27,2,FALSE)</f>
        <v>Food &amp;Beverage</v>
      </c>
    </row>
    <row r="4201" spans="1:7" x14ac:dyDescent="0.3">
      <c r="A4201" t="s">
        <v>33</v>
      </c>
      <c r="B4201">
        <v>2017</v>
      </c>
      <c r="C4201" t="s">
        <v>38</v>
      </c>
      <c r="D4201" s="2">
        <v>42856</v>
      </c>
      <c r="E4201" t="s">
        <v>16</v>
      </c>
      <c r="F4201">
        <v>148.30000000000001</v>
      </c>
      <c r="G4201" t="str">
        <f>VLOOKUP(Table1_2[[#This Row],[Categories]],Sheet3!$A$1:$B$27,2,FALSE)</f>
        <v>Recreation and amusement</v>
      </c>
    </row>
    <row r="4202" spans="1:7" x14ac:dyDescent="0.3">
      <c r="A4202" t="s">
        <v>33</v>
      </c>
      <c r="B4202">
        <v>2017</v>
      </c>
      <c r="C4202" t="s">
        <v>38</v>
      </c>
      <c r="D4202" s="2">
        <v>42856</v>
      </c>
      <c r="E4202" t="s">
        <v>17</v>
      </c>
      <c r="F4202">
        <v>131.5</v>
      </c>
      <c r="G4202" t="str">
        <f>VLOOKUP(Table1_2[[#This Row],[Categories]],Sheet3!$A$1:$B$27,2,FALSE)</f>
        <v>Clothing and footwear</v>
      </c>
    </row>
    <row r="4203" spans="1:7" x14ac:dyDescent="0.3">
      <c r="A4203" t="s">
        <v>33</v>
      </c>
      <c r="B4203">
        <v>2017</v>
      </c>
      <c r="C4203" t="s">
        <v>38</v>
      </c>
      <c r="D4203" s="2">
        <v>42856</v>
      </c>
      <c r="E4203" t="s">
        <v>18</v>
      </c>
      <c r="F4203">
        <v>123.2</v>
      </c>
      <c r="G4203" t="str">
        <f>VLOOKUP(Table1_2[[#This Row],[Categories]],Sheet3!$A$1:$B$27,2,FALSE)</f>
        <v>Clothing and footwear</v>
      </c>
    </row>
    <row r="4204" spans="1:7" x14ac:dyDescent="0.3">
      <c r="A4204" t="s">
        <v>33</v>
      </c>
      <c r="B4204">
        <v>2017</v>
      </c>
      <c r="C4204" t="s">
        <v>38</v>
      </c>
      <c r="D4204" s="2">
        <v>42856</v>
      </c>
      <c r="E4204" t="s">
        <v>19</v>
      </c>
      <c r="F4204">
        <v>130.19999999999999</v>
      </c>
      <c r="G4204" t="str">
        <f>VLOOKUP(Table1_2[[#This Row],[Categories]],Sheet3!$A$1:$B$27,2,FALSE)</f>
        <v>Clothing and footwear</v>
      </c>
    </row>
    <row r="4205" spans="1:7" x14ac:dyDescent="0.3">
      <c r="A4205" t="s">
        <v>33</v>
      </c>
      <c r="B4205">
        <v>2017</v>
      </c>
      <c r="C4205" t="s">
        <v>38</v>
      </c>
      <c r="D4205" s="2">
        <v>42856</v>
      </c>
      <c r="E4205" t="s">
        <v>20</v>
      </c>
      <c r="F4205">
        <v>132.1</v>
      </c>
      <c r="G4205" t="str">
        <f>VLOOKUP(Table1_2[[#This Row],[Categories]],Sheet3!$A$1:$B$27,2,FALSE)</f>
        <v>Housing</v>
      </c>
    </row>
    <row r="4206" spans="1:7" x14ac:dyDescent="0.3">
      <c r="A4206" t="s">
        <v>33</v>
      </c>
      <c r="B4206">
        <v>2017</v>
      </c>
      <c r="C4206" t="s">
        <v>38</v>
      </c>
      <c r="D4206" s="2">
        <v>42856</v>
      </c>
      <c r="E4206" t="s">
        <v>21</v>
      </c>
      <c r="F4206">
        <v>120.1</v>
      </c>
      <c r="G4206" t="str">
        <f>VLOOKUP(Table1_2[[#This Row],[Categories]],Sheet3!$A$1:$B$27,2,FALSE)</f>
        <v>Fuel and light</v>
      </c>
    </row>
    <row r="4207" spans="1:7" x14ac:dyDescent="0.3">
      <c r="A4207" t="s">
        <v>33</v>
      </c>
      <c r="B4207">
        <v>2017</v>
      </c>
      <c r="C4207" t="s">
        <v>38</v>
      </c>
      <c r="D4207" s="2">
        <v>42856</v>
      </c>
      <c r="E4207" t="s">
        <v>22</v>
      </c>
      <c r="F4207">
        <v>126.5</v>
      </c>
      <c r="G4207" t="str">
        <f>VLOOKUP(Table1_2[[#This Row],[Categories]],Sheet3!$A$1:$B$27,2,FALSE)</f>
        <v>Household Items</v>
      </c>
    </row>
    <row r="4208" spans="1:7" x14ac:dyDescent="0.3">
      <c r="A4208" t="s">
        <v>33</v>
      </c>
      <c r="B4208">
        <v>2017</v>
      </c>
      <c r="C4208" t="s">
        <v>38</v>
      </c>
      <c r="D4208" s="2">
        <v>42856</v>
      </c>
      <c r="E4208" t="s">
        <v>23</v>
      </c>
      <c r="F4208">
        <v>123.6</v>
      </c>
      <c r="G4208" t="str">
        <f>VLOOKUP(Table1_2[[#This Row],[Categories]],Sheet3!$A$1:$B$27,2,FALSE)</f>
        <v>Health</v>
      </c>
    </row>
    <row r="4209" spans="1:7" x14ac:dyDescent="0.3">
      <c r="A4209" t="s">
        <v>33</v>
      </c>
      <c r="B4209">
        <v>2017</v>
      </c>
      <c r="C4209" t="s">
        <v>38</v>
      </c>
      <c r="D4209" s="2">
        <v>42856</v>
      </c>
      <c r="E4209" t="s">
        <v>24</v>
      </c>
      <c r="F4209">
        <v>114.3</v>
      </c>
      <c r="G4209" t="str">
        <f>VLOOKUP(Table1_2[[#This Row],[Categories]],Sheet3!$A$1:$B$27,2,FALSE)</f>
        <v>Transport and communication</v>
      </c>
    </row>
    <row r="4210" spans="1:7" x14ac:dyDescent="0.3">
      <c r="A4210" t="s">
        <v>33</v>
      </c>
      <c r="B4210">
        <v>2017</v>
      </c>
      <c r="C4210" t="s">
        <v>38</v>
      </c>
      <c r="D4210" s="2">
        <v>42856</v>
      </c>
      <c r="E4210" t="s">
        <v>25</v>
      </c>
      <c r="F4210">
        <v>122.8</v>
      </c>
      <c r="G4210" t="str">
        <f>VLOOKUP(Table1_2[[#This Row],[Categories]],Sheet3!$A$1:$B$27,2,FALSE)</f>
        <v>Recreation and amusement</v>
      </c>
    </row>
    <row r="4211" spans="1:7" x14ac:dyDescent="0.3">
      <c r="A4211" t="s">
        <v>33</v>
      </c>
      <c r="B4211">
        <v>2017</v>
      </c>
      <c r="C4211" t="s">
        <v>38</v>
      </c>
      <c r="D4211" s="2">
        <v>42856</v>
      </c>
      <c r="E4211" t="s">
        <v>26</v>
      </c>
      <c r="F4211">
        <v>133.80000000000001</v>
      </c>
      <c r="G4211" t="str">
        <f>VLOOKUP(Table1_2[[#This Row],[Categories]],Sheet3!$A$1:$B$27,2,FALSE)</f>
        <v>Education</v>
      </c>
    </row>
    <row r="4212" spans="1:7" x14ac:dyDescent="0.3">
      <c r="A4212" t="s">
        <v>33</v>
      </c>
      <c r="B4212">
        <v>2017</v>
      </c>
      <c r="C4212" t="s">
        <v>38</v>
      </c>
      <c r="D4212" s="2">
        <v>42856</v>
      </c>
      <c r="E4212" t="s">
        <v>27</v>
      </c>
      <c r="F4212">
        <v>122</v>
      </c>
      <c r="G4212" t="str">
        <f>VLOOKUP(Table1_2[[#This Row],[Categories]],Sheet3!$A$1:$B$27,2,FALSE)</f>
        <v>Household Items</v>
      </c>
    </row>
    <row r="4213" spans="1:7" x14ac:dyDescent="0.3">
      <c r="A4213" t="s">
        <v>33</v>
      </c>
      <c r="B4213">
        <v>2017</v>
      </c>
      <c r="C4213" t="s">
        <v>38</v>
      </c>
      <c r="D4213" s="2">
        <v>42856</v>
      </c>
      <c r="E4213" t="s">
        <v>28</v>
      </c>
      <c r="F4213">
        <v>122.6</v>
      </c>
      <c r="G4213" t="str">
        <f>VLOOKUP(Table1_2[[#This Row],[Categories]],Sheet3!$A$1:$B$27,2,FALSE)</f>
        <v>Miscellaneous</v>
      </c>
    </row>
    <row r="4214" spans="1:7" x14ac:dyDescent="0.3">
      <c r="A4214" t="s">
        <v>33</v>
      </c>
      <c r="B4214">
        <v>2017</v>
      </c>
      <c r="C4214" t="s">
        <v>38</v>
      </c>
      <c r="D4214" s="2">
        <v>42856</v>
      </c>
      <c r="E4214" t="s">
        <v>29</v>
      </c>
      <c r="F4214">
        <v>129.30000000000001</v>
      </c>
      <c r="G4214" t="str">
        <f>VLOOKUP(Table1_2[[#This Row],[Categories]],Sheet3!$A$1:$B$27,2,FALSE)</f>
        <v>General index</v>
      </c>
    </row>
    <row r="4215" spans="1:7" x14ac:dyDescent="0.3">
      <c r="A4215" t="s">
        <v>34</v>
      </c>
      <c r="B4215">
        <v>2017</v>
      </c>
      <c r="C4215" t="s">
        <v>38</v>
      </c>
      <c r="D4215" s="2">
        <v>42856</v>
      </c>
      <c r="E4215" t="s">
        <v>3</v>
      </c>
      <c r="F4215">
        <v>132.9</v>
      </c>
      <c r="G4215" t="str">
        <f>VLOOKUP(Table1_2[[#This Row],[Categories]],Sheet3!$A$1:$B$27,2,FALSE)</f>
        <v>Food &amp;Beverage</v>
      </c>
    </row>
    <row r="4216" spans="1:7" x14ac:dyDescent="0.3">
      <c r="A4216" t="s">
        <v>34</v>
      </c>
      <c r="B4216">
        <v>2017</v>
      </c>
      <c r="C4216" t="s">
        <v>38</v>
      </c>
      <c r="D4216" s="2">
        <v>42856</v>
      </c>
      <c r="E4216" t="s">
        <v>4</v>
      </c>
      <c r="F4216">
        <v>141.6</v>
      </c>
      <c r="G4216" t="str">
        <f>VLOOKUP(Table1_2[[#This Row],[Categories]],Sheet3!$A$1:$B$27,2,FALSE)</f>
        <v>Food &amp;Beverage</v>
      </c>
    </row>
    <row r="4217" spans="1:7" x14ac:dyDescent="0.3">
      <c r="A4217" t="s">
        <v>34</v>
      </c>
      <c r="B4217">
        <v>2017</v>
      </c>
      <c r="C4217" t="s">
        <v>38</v>
      </c>
      <c r="D4217" s="2">
        <v>42856</v>
      </c>
      <c r="E4217" t="s">
        <v>5</v>
      </c>
      <c r="F4217">
        <v>126.3</v>
      </c>
      <c r="G4217" t="str">
        <f>VLOOKUP(Table1_2[[#This Row],[Categories]],Sheet3!$A$1:$B$27,2,FALSE)</f>
        <v>Food &amp;Beverage</v>
      </c>
    </row>
    <row r="4218" spans="1:7" x14ac:dyDescent="0.3">
      <c r="A4218" t="s">
        <v>34</v>
      </c>
      <c r="B4218">
        <v>2017</v>
      </c>
      <c r="C4218" t="s">
        <v>38</v>
      </c>
      <c r="D4218" s="2">
        <v>42856</v>
      </c>
      <c r="E4218" t="s">
        <v>6</v>
      </c>
      <c r="F4218">
        <v>137.69999999999999</v>
      </c>
      <c r="G4218" t="str">
        <f>VLOOKUP(Table1_2[[#This Row],[Categories]],Sheet3!$A$1:$B$27,2,FALSE)</f>
        <v>Food &amp;Beverage</v>
      </c>
    </row>
    <row r="4219" spans="1:7" x14ac:dyDescent="0.3">
      <c r="A4219" t="s">
        <v>34</v>
      </c>
      <c r="B4219">
        <v>2017</v>
      </c>
      <c r="C4219" t="s">
        <v>38</v>
      </c>
      <c r="D4219" s="2">
        <v>42856</v>
      </c>
      <c r="E4219" t="s">
        <v>7</v>
      </c>
      <c r="F4219">
        <v>118.1</v>
      </c>
      <c r="G4219" t="str">
        <f>VLOOKUP(Table1_2[[#This Row],[Categories]],Sheet3!$A$1:$B$27,2,FALSE)</f>
        <v>Food &amp;Beverage</v>
      </c>
    </row>
    <row r="4220" spans="1:7" x14ac:dyDescent="0.3">
      <c r="A4220" t="s">
        <v>34</v>
      </c>
      <c r="B4220">
        <v>2017</v>
      </c>
      <c r="C4220" t="s">
        <v>38</v>
      </c>
      <c r="D4220" s="2">
        <v>42856</v>
      </c>
      <c r="E4220" t="s">
        <v>8</v>
      </c>
      <c r="F4220">
        <v>137.9</v>
      </c>
      <c r="G4220" t="str">
        <f>VLOOKUP(Table1_2[[#This Row],[Categories]],Sheet3!$A$1:$B$27,2,FALSE)</f>
        <v>Food &amp;Beverage</v>
      </c>
    </row>
    <row r="4221" spans="1:7" x14ac:dyDescent="0.3">
      <c r="A4221" t="s">
        <v>34</v>
      </c>
      <c r="B4221">
        <v>2017</v>
      </c>
      <c r="C4221" t="s">
        <v>38</v>
      </c>
      <c r="D4221" s="2">
        <v>42856</v>
      </c>
      <c r="E4221" t="s">
        <v>9</v>
      </c>
      <c r="F4221">
        <v>125.6</v>
      </c>
      <c r="G4221" t="str">
        <f>VLOOKUP(Table1_2[[#This Row],[Categories]],Sheet3!$A$1:$B$27,2,FALSE)</f>
        <v>Food &amp;Beverage</v>
      </c>
    </row>
    <row r="4222" spans="1:7" x14ac:dyDescent="0.3">
      <c r="A4222" t="s">
        <v>34</v>
      </c>
      <c r="B4222">
        <v>2017</v>
      </c>
      <c r="C4222" t="s">
        <v>38</v>
      </c>
      <c r="D4222" s="2">
        <v>42856</v>
      </c>
      <c r="E4222" t="s">
        <v>10</v>
      </c>
      <c r="F4222">
        <v>138.30000000000001</v>
      </c>
      <c r="G4222" t="str">
        <f>VLOOKUP(Table1_2[[#This Row],[Categories]],Sheet3!$A$1:$B$27,2,FALSE)</f>
        <v>Food &amp;Beverage</v>
      </c>
    </row>
    <row r="4223" spans="1:7" x14ac:dyDescent="0.3">
      <c r="A4223" t="s">
        <v>34</v>
      </c>
      <c r="B4223">
        <v>2017</v>
      </c>
      <c r="C4223" t="s">
        <v>38</v>
      </c>
      <c r="D4223" s="2">
        <v>42856</v>
      </c>
      <c r="E4223" t="s">
        <v>11</v>
      </c>
      <c r="F4223">
        <v>119.4</v>
      </c>
      <c r="G4223" t="str">
        <f>VLOOKUP(Table1_2[[#This Row],[Categories]],Sheet3!$A$1:$B$27,2,FALSE)</f>
        <v>Food &amp;Beverage</v>
      </c>
    </row>
    <row r="4224" spans="1:7" x14ac:dyDescent="0.3">
      <c r="A4224" t="s">
        <v>34</v>
      </c>
      <c r="B4224">
        <v>2017</v>
      </c>
      <c r="C4224" t="s">
        <v>38</v>
      </c>
      <c r="D4224" s="2">
        <v>42856</v>
      </c>
      <c r="E4224" t="s">
        <v>12</v>
      </c>
      <c r="F4224">
        <v>136</v>
      </c>
      <c r="G4224" t="str">
        <f>VLOOKUP(Table1_2[[#This Row],[Categories]],Sheet3!$A$1:$B$27,2,FALSE)</f>
        <v>Food &amp;Beverage</v>
      </c>
    </row>
    <row r="4225" spans="1:7" x14ac:dyDescent="0.3">
      <c r="A4225" t="s">
        <v>34</v>
      </c>
      <c r="B4225">
        <v>2017</v>
      </c>
      <c r="C4225" t="s">
        <v>38</v>
      </c>
      <c r="D4225" s="2">
        <v>42856</v>
      </c>
      <c r="E4225" t="s">
        <v>13</v>
      </c>
      <c r="F4225">
        <v>127.6</v>
      </c>
      <c r="G4225" t="str">
        <f>VLOOKUP(Table1_2[[#This Row],[Categories]],Sheet3!$A$1:$B$27,2,FALSE)</f>
        <v>Food &amp;Beverage</v>
      </c>
    </row>
    <row r="4226" spans="1:7" x14ac:dyDescent="0.3">
      <c r="A4226" t="s">
        <v>34</v>
      </c>
      <c r="B4226">
        <v>2017</v>
      </c>
      <c r="C4226" t="s">
        <v>38</v>
      </c>
      <c r="D4226" s="2">
        <v>42856</v>
      </c>
      <c r="E4226" t="s">
        <v>14</v>
      </c>
      <c r="F4226">
        <v>144.5</v>
      </c>
      <c r="G4226" t="str">
        <f>VLOOKUP(Table1_2[[#This Row],[Categories]],Sheet3!$A$1:$B$27,2,FALSE)</f>
        <v>Food &amp;Beverage</v>
      </c>
    </row>
    <row r="4227" spans="1:7" x14ac:dyDescent="0.3">
      <c r="A4227" t="s">
        <v>34</v>
      </c>
      <c r="B4227">
        <v>2017</v>
      </c>
      <c r="C4227" t="s">
        <v>38</v>
      </c>
      <c r="D4227" s="2">
        <v>42856</v>
      </c>
      <c r="E4227" t="s">
        <v>15</v>
      </c>
      <c r="F4227">
        <v>133.69999999999999</v>
      </c>
      <c r="G4227" t="str">
        <f>VLOOKUP(Table1_2[[#This Row],[Categories]],Sheet3!$A$1:$B$27,2,FALSE)</f>
        <v>Food &amp;Beverage</v>
      </c>
    </row>
    <row r="4228" spans="1:7" x14ac:dyDescent="0.3">
      <c r="A4228" t="s">
        <v>34</v>
      </c>
      <c r="B4228">
        <v>2017</v>
      </c>
      <c r="C4228" t="s">
        <v>38</v>
      </c>
      <c r="D4228" s="2">
        <v>42856</v>
      </c>
      <c r="E4228" t="s">
        <v>16</v>
      </c>
      <c r="F4228">
        <v>146.19999999999999</v>
      </c>
      <c r="G4228" t="str">
        <f>VLOOKUP(Table1_2[[#This Row],[Categories]],Sheet3!$A$1:$B$27,2,FALSE)</f>
        <v>Recreation and amusement</v>
      </c>
    </row>
    <row r="4229" spans="1:7" x14ac:dyDescent="0.3">
      <c r="A4229" t="s">
        <v>34</v>
      </c>
      <c r="B4229">
        <v>2017</v>
      </c>
      <c r="C4229" t="s">
        <v>38</v>
      </c>
      <c r="D4229" s="2">
        <v>42856</v>
      </c>
      <c r="E4229" t="s">
        <v>17</v>
      </c>
      <c r="F4229">
        <v>138.19999999999999</v>
      </c>
      <c r="G4229" t="str">
        <f>VLOOKUP(Table1_2[[#This Row],[Categories]],Sheet3!$A$1:$B$27,2,FALSE)</f>
        <v>Clothing and footwear</v>
      </c>
    </row>
    <row r="4230" spans="1:7" x14ac:dyDescent="0.3">
      <c r="A4230" t="s">
        <v>34</v>
      </c>
      <c r="B4230">
        <v>2017</v>
      </c>
      <c r="C4230" t="s">
        <v>38</v>
      </c>
      <c r="D4230" s="2">
        <v>42856</v>
      </c>
      <c r="E4230" t="s">
        <v>18</v>
      </c>
      <c r="F4230">
        <v>131.4</v>
      </c>
      <c r="G4230" t="str">
        <f>VLOOKUP(Table1_2[[#This Row],[Categories]],Sheet3!$A$1:$B$27,2,FALSE)</f>
        <v>Clothing and footwear</v>
      </c>
    </row>
    <row r="4231" spans="1:7" x14ac:dyDescent="0.3">
      <c r="A4231" t="s">
        <v>34</v>
      </c>
      <c r="B4231">
        <v>2017</v>
      </c>
      <c r="C4231" t="s">
        <v>38</v>
      </c>
      <c r="D4231" s="2">
        <v>42856</v>
      </c>
      <c r="E4231" t="s">
        <v>19</v>
      </c>
      <c r="F4231">
        <v>137.19999999999999</v>
      </c>
      <c r="G4231" t="str">
        <f>VLOOKUP(Table1_2[[#This Row],[Categories]],Sheet3!$A$1:$B$27,2,FALSE)</f>
        <v>Clothing and footwear</v>
      </c>
    </row>
    <row r="4232" spans="1:7" x14ac:dyDescent="0.3">
      <c r="A4232" t="s">
        <v>34</v>
      </c>
      <c r="B4232">
        <v>2017</v>
      </c>
      <c r="C4232" t="s">
        <v>38</v>
      </c>
      <c r="D4232" s="2">
        <v>42856</v>
      </c>
      <c r="E4232" t="s">
        <v>20</v>
      </c>
      <c r="F4232">
        <v>132.1</v>
      </c>
      <c r="G4232" t="str">
        <f>VLOOKUP(Table1_2[[#This Row],[Categories]],Sheet3!$A$1:$B$27,2,FALSE)</f>
        <v>Housing</v>
      </c>
    </row>
    <row r="4233" spans="1:7" x14ac:dyDescent="0.3">
      <c r="A4233" t="s">
        <v>34</v>
      </c>
      <c r="B4233">
        <v>2017</v>
      </c>
      <c r="C4233" t="s">
        <v>38</v>
      </c>
      <c r="D4233" s="2">
        <v>42856</v>
      </c>
      <c r="E4233" t="s">
        <v>21</v>
      </c>
      <c r="F4233">
        <v>129.4</v>
      </c>
      <c r="G4233" t="str">
        <f>VLOOKUP(Table1_2[[#This Row],[Categories]],Sheet3!$A$1:$B$27,2,FALSE)</f>
        <v>Fuel and light</v>
      </c>
    </row>
    <row r="4234" spans="1:7" x14ac:dyDescent="0.3">
      <c r="A4234" t="s">
        <v>34</v>
      </c>
      <c r="B4234">
        <v>2017</v>
      </c>
      <c r="C4234" t="s">
        <v>38</v>
      </c>
      <c r="D4234" s="2">
        <v>42856</v>
      </c>
      <c r="E4234" t="s">
        <v>22</v>
      </c>
      <c r="F4234">
        <v>130.9</v>
      </c>
      <c r="G4234" t="str">
        <f>VLOOKUP(Table1_2[[#This Row],[Categories]],Sheet3!$A$1:$B$27,2,FALSE)</f>
        <v>Household Items</v>
      </c>
    </row>
    <row r="4235" spans="1:7" x14ac:dyDescent="0.3">
      <c r="A4235" t="s">
        <v>34</v>
      </c>
      <c r="B4235">
        <v>2017</v>
      </c>
      <c r="C4235" t="s">
        <v>38</v>
      </c>
      <c r="D4235" s="2">
        <v>42856</v>
      </c>
      <c r="E4235" t="s">
        <v>23</v>
      </c>
      <c r="F4235">
        <v>128.4</v>
      </c>
      <c r="G4235" t="str">
        <f>VLOOKUP(Table1_2[[#This Row],[Categories]],Sheet3!$A$1:$B$27,2,FALSE)</f>
        <v>Health</v>
      </c>
    </row>
    <row r="4236" spans="1:7" x14ac:dyDescent="0.3">
      <c r="A4236" t="s">
        <v>34</v>
      </c>
      <c r="B4236">
        <v>2017</v>
      </c>
      <c r="C4236" t="s">
        <v>38</v>
      </c>
      <c r="D4236" s="2">
        <v>42856</v>
      </c>
      <c r="E4236" t="s">
        <v>24</v>
      </c>
      <c r="F4236">
        <v>116.7</v>
      </c>
      <c r="G4236" t="str">
        <f>VLOOKUP(Table1_2[[#This Row],[Categories]],Sheet3!$A$1:$B$27,2,FALSE)</f>
        <v>Transport and communication</v>
      </c>
    </row>
    <row r="4237" spans="1:7" x14ac:dyDescent="0.3">
      <c r="A4237" t="s">
        <v>34</v>
      </c>
      <c r="B4237">
        <v>2017</v>
      </c>
      <c r="C4237" t="s">
        <v>38</v>
      </c>
      <c r="D4237" s="2">
        <v>42856</v>
      </c>
      <c r="E4237" t="s">
        <v>25</v>
      </c>
      <c r="F4237">
        <v>125.7</v>
      </c>
      <c r="G4237" t="str">
        <f>VLOOKUP(Table1_2[[#This Row],[Categories]],Sheet3!$A$1:$B$27,2,FALSE)</f>
        <v>Recreation and amusement</v>
      </c>
    </row>
    <row r="4238" spans="1:7" x14ac:dyDescent="0.3">
      <c r="A4238" t="s">
        <v>34</v>
      </c>
      <c r="B4238">
        <v>2017</v>
      </c>
      <c r="C4238" t="s">
        <v>38</v>
      </c>
      <c r="D4238" s="2">
        <v>42856</v>
      </c>
      <c r="E4238" t="s">
        <v>26</v>
      </c>
      <c r="F4238">
        <v>134.80000000000001</v>
      </c>
      <c r="G4238" t="str">
        <f>VLOOKUP(Table1_2[[#This Row],[Categories]],Sheet3!$A$1:$B$27,2,FALSE)</f>
        <v>Education</v>
      </c>
    </row>
    <row r="4239" spans="1:7" x14ac:dyDescent="0.3">
      <c r="A4239" t="s">
        <v>34</v>
      </c>
      <c r="B4239">
        <v>2017</v>
      </c>
      <c r="C4239" t="s">
        <v>38</v>
      </c>
      <c r="D4239" s="2">
        <v>42856</v>
      </c>
      <c r="E4239" t="s">
        <v>27</v>
      </c>
      <c r="F4239">
        <v>123</v>
      </c>
      <c r="G4239" t="str">
        <f>VLOOKUP(Table1_2[[#This Row],[Categories]],Sheet3!$A$1:$B$27,2,FALSE)</f>
        <v>Household Items</v>
      </c>
    </row>
    <row r="4240" spans="1:7" x14ac:dyDescent="0.3">
      <c r="A4240" t="s">
        <v>34</v>
      </c>
      <c r="B4240">
        <v>2017</v>
      </c>
      <c r="C4240" t="s">
        <v>38</v>
      </c>
      <c r="D4240" s="2">
        <v>42856</v>
      </c>
      <c r="E4240" t="s">
        <v>28</v>
      </c>
      <c r="F4240">
        <v>125.3</v>
      </c>
      <c r="G4240" t="str">
        <f>VLOOKUP(Table1_2[[#This Row],[Categories]],Sheet3!$A$1:$B$27,2,FALSE)</f>
        <v>Miscellaneous</v>
      </c>
    </row>
    <row r="4241" spans="1:7" x14ac:dyDescent="0.3">
      <c r="A4241" t="s">
        <v>34</v>
      </c>
      <c r="B4241">
        <v>2017</v>
      </c>
      <c r="C4241" t="s">
        <v>38</v>
      </c>
      <c r="D4241" s="2">
        <v>42856</v>
      </c>
      <c r="E4241" t="s">
        <v>29</v>
      </c>
      <c r="F4241">
        <v>131.4</v>
      </c>
      <c r="G4241" t="str">
        <f>VLOOKUP(Table1_2[[#This Row],[Categories]],Sheet3!$A$1:$B$27,2,FALSE)</f>
        <v>General index</v>
      </c>
    </row>
    <row r="4242" spans="1:7" x14ac:dyDescent="0.3">
      <c r="A4242" t="s">
        <v>30</v>
      </c>
      <c r="B4242">
        <v>2017</v>
      </c>
      <c r="C4242" t="s">
        <v>39</v>
      </c>
      <c r="D4242" s="2">
        <v>42887</v>
      </c>
      <c r="E4242" t="s">
        <v>3</v>
      </c>
      <c r="F4242">
        <v>133.5</v>
      </c>
      <c r="G4242" t="str">
        <f>VLOOKUP(Table1_2[[#This Row],[Categories]],Sheet3!$A$1:$B$27,2,FALSE)</f>
        <v>Food &amp;Beverage</v>
      </c>
    </row>
    <row r="4243" spans="1:7" x14ac:dyDescent="0.3">
      <c r="A4243" t="s">
        <v>30</v>
      </c>
      <c r="B4243">
        <v>2017</v>
      </c>
      <c r="C4243" t="s">
        <v>39</v>
      </c>
      <c r="D4243" s="2">
        <v>42887</v>
      </c>
      <c r="E4243" t="s">
        <v>4</v>
      </c>
      <c r="F4243">
        <v>143.69999999999999</v>
      </c>
      <c r="G4243" t="str">
        <f>VLOOKUP(Table1_2[[#This Row],[Categories]],Sheet3!$A$1:$B$27,2,FALSE)</f>
        <v>Food &amp;Beverage</v>
      </c>
    </row>
    <row r="4244" spans="1:7" x14ac:dyDescent="0.3">
      <c r="A4244" t="s">
        <v>30</v>
      </c>
      <c r="B4244">
        <v>2017</v>
      </c>
      <c r="C4244" t="s">
        <v>39</v>
      </c>
      <c r="D4244" s="2">
        <v>42887</v>
      </c>
      <c r="E4244" t="s">
        <v>5</v>
      </c>
      <c r="F4244">
        <v>128</v>
      </c>
      <c r="G4244" t="str">
        <f>VLOOKUP(Table1_2[[#This Row],[Categories]],Sheet3!$A$1:$B$27,2,FALSE)</f>
        <v>Food &amp;Beverage</v>
      </c>
    </row>
    <row r="4245" spans="1:7" x14ac:dyDescent="0.3">
      <c r="A4245" t="s">
        <v>30</v>
      </c>
      <c r="B4245">
        <v>2017</v>
      </c>
      <c r="C4245" t="s">
        <v>39</v>
      </c>
      <c r="D4245" s="2">
        <v>42887</v>
      </c>
      <c r="E4245" t="s">
        <v>6</v>
      </c>
      <c r="F4245">
        <v>138.6</v>
      </c>
      <c r="G4245" t="str">
        <f>VLOOKUP(Table1_2[[#This Row],[Categories]],Sheet3!$A$1:$B$27,2,FALSE)</f>
        <v>Food &amp;Beverage</v>
      </c>
    </row>
    <row r="4246" spans="1:7" x14ac:dyDescent="0.3">
      <c r="A4246" t="s">
        <v>30</v>
      </c>
      <c r="B4246">
        <v>2017</v>
      </c>
      <c r="C4246" t="s">
        <v>39</v>
      </c>
      <c r="D4246" s="2">
        <v>42887</v>
      </c>
      <c r="E4246" t="s">
        <v>7</v>
      </c>
      <c r="F4246">
        <v>120.9</v>
      </c>
      <c r="G4246" t="str">
        <f>VLOOKUP(Table1_2[[#This Row],[Categories]],Sheet3!$A$1:$B$27,2,FALSE)</f>
        <v>Food &amp;Beverage</v>
      </c>
    </row>
    <row r="4247" spans="1:7" x14ac:dyDescent="0.3">
      <c r="A4247" t="s">
        <v>30</v>
      </c>
      <c r="B4247">
        <v>2017</v>
      </c>
      <c r="C4247" t="s">
        <v>39</v>
      </c>
      <c r="D4247" s="2">
        <v>42887</v>
      </c>
      <c r="E4247" t="s">
        <v>8</v>
      </c>
      <c r="F4247">
        <v>140.9</v>
      </c>
      <c r="G4247" t="str">
        <f>VLOOKUP(Table1_2[[#This Row],[Categories]],Sheet3!$A$1:$B$27,2,FALSE)</f>
        <v>Food &amp;Beverage</v>
      </c>
    </row>
    <row r="4248" spans="1:7" x14ac:dyDescent="0.3">
      <c r="A4248" t="s">
        <v>30</v>
      </c>
      <c r="B4248">
        <v>2017</v>
      </c>
      <c r="C4248" t="s">
        <v>39</v>
      </c>
      <c r="D4248" s="2">
        <v>42887</v>
      </c>
      <c r="E4248" t="s">
        <v>9</v>
      </c>
      <c r="F4248">
        <v>128.80000000000001</v>
      </c>
      <c r="G4248" t="str">
        <f>VLOOKUP(Table1_2[[#This Row],[Categories]],Sheet3!$A$1:$B$27,2,FALSE)</f>
        <v>Food &amp;Beverage</v>
      </c>
    </row>
    <row r="4249" spans="1:7" x14ac:dyDescent="0.3">
      <c r="A4249" t="s">
        <v>30</v>
      </c>
      <c r="B4249">
        <v>2017</v>
      </c>
      <c r="C4249" t="s">
        <v>39</v>
      </c>
      <c r="D4249" s="2">
        <v>42887</v>
      </c>
      <c r="E4249" t="s">
        <v>10</v>
      </c>
      <c r="F4249">
        <v>140.19999999999999</v>
      </c>
      <c r="G4249" t="str">
        <f>VLOOKUP(Table1_2[[#This Row],[Categories]],Sheet3!$A$1:$B$27,2,FALSE)</f>
        <v>Food &amp;Beverage</v>
      </c>
    </row>
    <row r="4250" spans="1:7" x14ac:dyDescent="0.3">
      <c r="A4250" t="s">
        <v>30</v>
      </c>
      <c r="B4250">
        <v>2017</v>
      </c>
      <c r="C4250" t="s">
        <v>39</v>
      </c>
      <c r="D4250" s="2">
        <v>42887</v>
      </c>
      <c r="E4250" t="s">
        <v>11</v>
      </c>
      <c r="F4250">
        <v>118.9</v>
      </c>
      <c r="G4250" t="str">
        <f>VLOOKUP(Table1_2[[#This Row],[Categories]],Sheet3!$A$1:$B$27,2,FALSE)</f>
        <v>Food &amp;Beverage</v>
      </c>
    </row>
    <row r="4251" spans="1:7" x14ac:dyDescent="0.3">
      <c r="A4251" t="s">
        <v>30</v>
      </c>
      <c r="B4251">
        <v>2017</v>
      </c>
      <c r="C4251" t="s">
        <v>39</v>
      </c>
      <c r="D4251" s="2">
        <v>42887</v>
      </c>
      <c r="E4251" t="s">
        <v>12</v>
      </c>
      <c r="F4251">
        <v>133.5</v>
      </c>
      <c r="G4251" t="str">
        <f>VLOOKUP(Table1_2[[#This Row],[Categories]],Sheet3!$A$1:$B$27,2,FALSE)</f>
        <v>Food &amp;Beverage</v>
      </c>
    </row>
    <row r="4252" spans="1:7" x14ac:dyDescent="0.3">
      <c r="A4252" t="s">
        <v>30</v>
      </c>
      <c r="B4252">
        <v>2017</v>
      </c>
      <c r="C4252" t="s">
        <v>39</v>
      </c>
      <c r="D4252" s="2">
        <v>42887</v>
      </c>
      <c r="E4252" t="s">
        <v>13</v>
      </c>
      <c r="F4252">
        <v>130.4</v>
      </c>
      <c r="G4252" t="str">
        <f>VLOOKUP(Table1_2[[#This Row],[Categories]],Sheet3!$A$1:$B$27,2,FALSE)</f>
        <v>Food &amp;Beverage</v>
      </c>
    </row>
    <row r="4253" spans="1:7" x14ac:dyDescent="0.3">
      <c r="A4253" t="s">
        <v>30</v>
      </c>
      <c r="B4253">
        <v>2017</v>
      </c>
      <c r="C4253" t="s">
        <v>39</v>
      </c>
      <c r="D4253" s="2">
        <v>42887</v>
      </c>
      <c r="E4253" t="s">
        <v>14</v>
      </c>
      <c r="F4253">
        <v>146.5</v>
      </c>
      <c r="G4253" t="str">
        <f>VLOOKUP(Table1_2[[#This Row],[Categories]],Sheet3!$A$1:$B$27,2,FALSE)</f>
        <v>Food &amp;Beverage</v>
      </c>
    </row>
    <row r="4254" spans="1:7" x14ac:dyDescent="0.3">
      <c r="A4254" t="s">
        <v>30</v>
      </c>
      <c r="B4254">
        <v>2017</v>
      </c>
      <c r="C4254" t="s">
        <v>39</v>
      </c>
      <c r="D4254" s="2">
        <v>42887</v>
      </c>
      <c r="E4254" t="s">
        <v>15</v>
      </c>
      <c r="F4254">
        <v>134.9</v>
      </c>
      <c r="G4254" t="str">
        <f>VLOOKUP(Table1_2[[#This Row],[Categories]],Sheet3!$A$1:$B$27,2,FALSE)</f>
        <v>Food &amp;Beverage</v>
      </c>
    </row>
    <row r="4255" spans="1:7" x14ac:dyDescent="0.3">
      <c r="A4255" t="s">
        <v>30</v>
      </c>
      <c r="B4255">
        <v>2017</v>
      </c>
      <c r="C4255" t="s">
        <v>39</v>
      </c>
      <c r="D4255" s="2">
        <v>42887</v>
      </c>
      <c r="E4255" t="s">
        <v>16</v>
      </c>
      <c r="F4255">
        <v>145.80000000000001</v>
      </c>
      <c r="G4255" t="str">
        <f>VLOOKUP(Table1_2[[#This Row],[Categories]],Sheet3!$A$1:$B$27,2,FALSE)</f>
        <v>Recreation and amusement</v>
      </c>
    </row>
    <row r="4256" spans="1:7" x14ac:dyDescent="0.3">
      <c r="A4256" t="s">
        <v>30</v>
      </c>
      <c r="B4256">
        <v>2017</v>
      </c>
      <c r="C4256" t="s">
        <v>39</v>
      </c>
      <c r="D4256" s="2">
        <v>42887</v>
      </c>
      <c r="E4256" t="s">
        <v>17</v>
      </c>
      <c r="F4256">
        <v>143.1</v>
      </c>
      <c r="G4256" t="str">
        <f>VLOOKUP(Table1_2[[#This Row],[Categories]],Sheet3!$A$1:$B$27,2,FALSE)</f>
        <v>Clothing and footwear</v>
      </c>
    </row>
    <row r="4257" spans="1:7" x14ac:dyDescent="0.3">
      <c r="A4257" t="s">
        <v>30</v>
      </c>
      <c r="B4257">
        <v>2017</v>
      </c>
      <c r="C4257" t="s">
        <v>39</v>
      </c>
      <c r="D4257" s="2">
        <v>42887</v>
      </c>
      <c r="E4257" t="s">
        <v>18</v>
      </c>
      <c r="F4257">
        <v>137.69999999999999</v>
      </c>
      <c r="G4257" t="str">
        <f>VLOOKUP(Table1_2[[#This Row],[Categories]],Sheet3!$A$1:$B$27,2,FALSE)</f>
        <v>Clothing and footwear</v>
      </c>
    </row>
    <row r="4258" spans="1:7" x14ac:dyDescent="0.3">
      <c r="A4258" t="s">
        <v>30</v>
      </c>
      <c r="B4258">
        <v>2017</v>
      </c>
      <c r="C4258" t="s">
        <v>39</v>
      </c>
      <c r="D4258" s="2">
        <v>42887</v>
      </c>
      <c r="E4258" t="s">
        <v>19</v>
      </c>
      <c r="F4258">
        <v>142.30000000000001</v>
      </c>
      <c r="G4258" t="str">
        <f>VLOOKUP(Table1_2[[#This Row],[Categories]],Sheet3!$A$1:$B$27,2,FALSE)</f>
        <v>Clothing and footwear</v>
      </c>
    </row>
    <row r="4259" spans="1:7" x14ac:dyDescent="0.3">
      <c r="A4259" t="s">
        <v>30</v>
      </c>
      <c r="B4259">
        <v>2017</v>
      </c>
      <c r="C4259" t="s">
        <v>39</v>
      </c>
      <c r="D4259" s="2">
        <v>42887</v>
      </c>
      <c r="E4259" t="s">
        <v>21</v>
      </c>
      <c r="F4259">
        <v>134.80000000000001</v>
      </c>
      <c r="G4259" t="str">
        <f>VLOOKUP(Table1_2[[#This Row],[Categories]],Sheet3!$A$1:$B$27,2,FALSE)</f>
        <v>Fuel and light</v>
      </c>
    </row>
    <row r="4260" spans="1:7" x14ac:dyDescent="0.3">
      <c r="A4260" t="s">
        <v>30</v>
      </c>
      <c r="B4260">
        <v>2017</v>
      </c>
      <c r="C4260" t="s">
        <v>39</v>
      </c>
      <c r="D4260" s="2">
        <v>42887</v>
      </c>
      <c r="E4260" t="s">
        <v>22</v>
      </c>
      <c r="F4260">
        <v>135.19999999999999</v>
      </c>
      <c r="G4260" t="str">
        <f>VLOOKUP(Table1_2[[#This Row],[Categories]],Sheet3!$A$1:$B$27,2,FALSE)</f>
        <v>Household Items</v>
      </c>
    </row>
    <row r="4261" spans="1:7" x14ac:dyDescent="0.3">
      <c r="A4261" t="s">
        <v>30</v>
      </c>
      <c r="B4261">
        <v>2017</v>
      </c>
      <c r="C4261" t="s">
        <v>39</v>
      </c>
      <c r="D4261" s="2">
        <v>42887</v>
      </c>
      <c r="E4261" t="s">
        <v>23</v>
      </c>
      <c r="F4261">
        <v>131.30000000000001</v>
      </c>
      <c r="G4261" t="str">
        <f>VLOOKUP(Table1_2[[#This Row],[Categories]],Sheet3!$A$1:$B$27,2,FALSE)</f>
        <v>Health</v>
      </c>
    </row>
    <row r="4262" spans="1:7" x14ac:dyDescent="0.3">
      <c r="A4262" t="s">
        <v>30</v>
      </c>
      <c r="B4262">
        <v>2017</v>
      </c>
      <c r="C4262" t="s">
        <v>39</v>
      </c>
      <c r="D4262" s="2">
        <v>42887</v>
      </c>
      <c r="E4262" t="s">
        <v>24</v>
      </c>
      <c r="F4262">
        <v>119.4</v>
      </c>
      <c r="G4262" t="str">
        <f>VLOOKUP(Table1_2[[#This Row],[Categories]],Sheet3!$A$1:$B$27,2,FALSE)</f>
        <v>Transport and communication</v>
      </c>
    </row>
    <row r="4263" spans="1:7" x14ac:dyDescent="0.3">
      <c r="A4263" t="s">
        <v>30</v>
      </c>
      <c r="B4263">
        <v>2017</v>
      </c>
      <c r="C4263" t="s">
        <v>39</v>
      </c>
      <c r="D4263" s="2">
        <v>42887</v>
      </c>
      <c r="E4263" t="s">
        <v>25</v>
      </c>
      <c r="F4263">
        <v>129.80000000000001</v>
      </c>
      <c r="G4263" t="str">
        <f>VLOOKUP(Table1_2[[#This Row],[Categories]],Sheet3!$A$1:$B$27,2,FALSE)</f>
        <v>Recreation and amusement</v>
      </c>
    </row>
    <row r="4264" spans="1:7" x14ac:dyDescent="0.3">
      <c r="A4264" t="s">
        <v>30</v>
      </c>
      <c r="B4264">
        <v>2017</v>
      </c>
      <c r="C4264" t="s">
        <v>39</v>
      </c>
      <c r="D4264" s="2">
        <v>42887</v>
      </c>
      <c r="E4264" t="s">
        <v>26</v>
      </c>
      <c r="F4264">
        <v>136.9</v>
      </c>
      <c r="G4264" t="str">
        <f>VLOOKUP(Table1_2[[#This Row],[Categories]],Sheet3!$A$1:$B$27,2,FALSE)</f>
        <v>Education</v>
      </c>
    </row>
    <row r="4265" spans="1:7" x14ac:dyDescent="0.3">
      <c r="A4265" t="s">
        <v>30</v>
      </c>
      <c r="B4265">
        <v>2017</v>
      </c>
      <c r="C4265" t="s">
        <v>39</v>
      </c>
      <c r="D4265" s="2">
        <v>42887</v>
      </c>
      <c r="E4265" t="s">
        <v>27</v>
      </c>
      <c r="F4265">
        <v>124.1</v>
      </c>
      <c r="G4265" t="str">
        <f>VLOOKUP(Table1_2[[#This Row],[Categories]],Sheet3!$A$1:$B$27,2,FALSE)</f>
        <v>Household Items</v>
      </c>
    </row>
    <row r="4266" spans="1:7" x14ac:dyDescent="0.3">
      <c r="A4266" t="s">
        <v>30</v>
      </c>
      <c r="B4266">
        <v>2017</v>
      </c>
      <c r="C4266" t="s">
        <v>39</v>
      </c>
      <c r="D4266" s="2">
        <v>42887</v>
      </c>
      <c r="E4266" t="s">
        <v>28</v>
      </c>
      <c r="F4266">
        <v>128.1</v>
      </c>
      <c r="G4266" t="str">
        <f>VLOOKUP(Table1_2[[#This Row],[Categories]],Sheet3!$A$1:$B$27,2,FALSE)</f>
        <v>Miscellaneous</v>
      </c>
    </row>
    <row r="4267" spans="1:7" x14ac:dyDescent="0.3">
      <c r="A4267" t="s">
        <v>30</v>
      </c>
      <c r="B4267">
        <v>2017</v>
      </c>
      <c r="C4267" t="s">
        <v>39</v>
      </c>
      <c r="D4267" s="2">
        <v>42887</v>
      </c>
      <c r="E4267" t="s">
        <v>29</v>
      </c>
      <c r="F4267">
        <v>133.9</v>
      </c>
      <c r="G4267" t="str">
        <f>VLOOKUP(Table1_2[[#This Row],[Categories]],Sheet3!$A$1:$B$27,2,FALSE)</f>
        <v>General index</v>
      </c>
    </row>
    <row r="4268" spans="1:7" x14ac:dyDescent="0.3">
      <c r="A4268" t="s">
        <v>33</v>
      </c>
      <c r="B4268">
        <v>2017</v>
      </c>
      <c r="C4268" t="s">
        <v>39</v>
      </c>
      <c r="D4268" s="2">
        <v>42887</v>
      </c>
      <c r="E4268" t="s">
        <v>3</v>
      </c>
      <c r="F4268">
        <v>132.9</v>
      </c>
      <c r="G4268" t="str">
        <f>VLOOKUP(Table1_2[[#This Row],[Categories]],Sheet3!$A$1:$B$27,2,FALSE)</f>
        <v>Food &amp;Beverage</v>
      </c>
    </row>
    <row r="4269" spans="1:7" x14ac:dyDescent="0.3">
      <c r="A4269" t="s">
        <v>33</v>
      </c>
      <c r="B4269">
        <v>2017</v>
      </c>
      <c r="C4269" t="s">
        <v>39</v>
      </c>
      <c r="D4269" s="2">
        <v>42887</v>
      </c>
      <c r="E4269" t="s">
        <v>4</v>
      </c>
      <c r="F4269">
        <v>148.69999999999999</v>
      </c>
      <c r="G4269" t="str">
        <f>VLOOKUP(Table1_2[[#This Row],[Categories]],Sheet3!$A$1:$B$27,2,FALSE)</f>
        <v>Food &amp;Beverage</v>
      </c>
    </row>
    <row r="4270" spans="1:7" x14ac:dyDescent="0.3">
      <c r="A4270" t="s">
        <v>33</v>
      </c>
      <c r="B4270">
        <v>2017</v>
      </c>
      <c r="C4270" t="s">
        <v>39</v>
      </c>
      <c r="D4270" s="2">
        <v>42887</v>
      </c>
      <c r="E4270" t="s">
        <v>5</v>
      </c>
      <c r="F4270">
        <v>128.30000000000001</v>
      </c>
      <c r="G4270" t="str">
        <f>VLOOKUP(Table1_2[[#This Row],[Categories]],Sheet3!$A$1:$B$27,2,FALSE)</f>
        <v>Food &amp;Beverage</v>
      </c>
    </row>
    <row r="4271" spans="1:7" x14ac:dyDescent="0.3">
      <c r="A4271" t="s">
        <v>33</v>
      </c>
      <c r="B4271">
        <v>2017</v>
      </c>
      <c r="C4271" t="s">
        <v>39</v>
      </c>
      <c r="D4271" s="2">
        <v>42887</v>
      </c>
      <c r="E4271" t="s">
        <v>6</v>
      </c>
      <c r="F4271">
        <v>137.30000000000001</v>
      </c>
      <c r="G4271" t="str">
        <f>VLOOKUP(Table1_2[[#This Row],[Categories]],Sheet3!$A$1:$B$27,2,FALSE)</f>
        <v>Food &amp;Beverage</v>
      </c>
    </row>
    <row r="4272" spans="1:7" x14ac:dyDescent="0.3">
      <c r="A4272" t="s">
        <v>33</v>
      </c>
      <c r="B4272">
        <v>2017</v>
      </c>
      <c r="C4272" t="s">
        <v>39</v>
      </c>
      <c r="D4272" s="2">
        <v>42887</v>
      </c>
      <c r="E4272" t="s">
        <v>7</v>
      </c>
      <c r="F4272">
        <v>113.5</v>
      </c>
      <c r="G4272" t="str">
        <f>VLOOKUP(Table1_2[[#This Row],[Categories]],Sheet3!$A$1:$B$27,2,FALSE)</f>
        <v>Food &amp;Beverage</v>
      </c>
    </row>
    <row r="4273" spans="1:7" x14ac:dyDescent="0.3">
      <c r="A4273" t="s">
        <v>33</v>
      </c>
      <c r="B4273">
        <v>2017</v>
      </c>
      <c r="C4273" t="s">
        <v>39</v>
      </c>
      <c r="D4273" s="2">
        <v>42887</v>
      </c>
      <c r="E4273" t="s">
        <v>8</v>
      </c>
      <c r="F4273">
        <v>137.19999999999999</v>
      </c>
      <c r="G4273" t="str">
        <f>VLOOKUP(Table1_2[[#This Row],[Categories]],Sheet3!$A$1:$B$27,2,FALSE)</f>
        <v>Food &amp;Beverage</v>
      </c>
    </row>
    <row r="4274" spans="1:7" x14ac:dyDescent="0.3">
      <c r="A4274" t="s">
        <v>33</v>
      </c>
      <c r="B4274">
        <v>2017</v>
      </c>
      <c r="C4274" t="s">
        <v>39</v>
      </c>
      <c r="D4274" s="2">
        <v>42887</v>
      </c>
      <c r="E4274" t="s">
        <v>9</v>
      </c>
      <c r="F4274">
        <v>142.19999999999999</v>
      </c>
      <c r="G4274" t="str">
        <f>VLOOKUP(Table1_2[[#This Row],[Categories]],Sheet3!$A$1:$B$27,2,FALSE)</f>
        <v>Food &amp;Beverage</v>
      </c>
    </row>
    <row r="4275" spans="1:7" x14ac:dyDescent="0.3">
      <c r="A4275" t="s">
        <v>33</v>
      </c>
      <c r="B4275">
        <v>2017</v>
      </c>
      <c r="C4275" t="s">
        <v>39</v>
      </c>
      <c r="D4275" s="2">
        <v>42887</v>
      </c>
      <c r="E4275" t="s">
        <v>10</v>
      </c>
      <c r="F4275">
        <v>128.19999999999999</v>
      </c>
      <c r="G4275" t="str">
        <f>VLOOKUP(Table1_2[[#This Row],[Categories]],Sheet3!$A$1:$B$27,2,FALSE)</f>
        <v>Food &amp;Beverage</v>
      </c>
    </row>
    <row r="4276" spans="1:7" x14ac:dyDescent="0.3">
      <c r="A4276" t="s">
        <v>33</v>
      </c>
      <c r="B4276">
        <v>2017</v>
      </c>
      <c r="C4276" t="s">
        <v>39</v>
      </c>
      <c r="D4276" s="2">
        <v>42887</v>
      </c>
      <c r="E4276" t="s">
        <v>11</v>
      </c>
      <c r="F4276">
        <v>120.9</v>
      </c>
      <c r="G4276" t="str">
        <f>VLOOKUP(Table1_2[[#This Row],[Categories]],Sheet3!$A$1:$B$27,2,FALSE)</f>
        <v>Food &amp;Beverage</v>
      </c>
    </row>
    <row r="4277" spans="1:7" x14ac:dyDescent="0.3">
      <c r="A4277" t="s">
        <v>33</v>
      </c>
      <c r="B4277">
        <v>2017</v>
      </c>
      <c r="C4277" t="s">
        <v>39</v>
      </c>
      <c r="D4277" s="2">
        <v>42887</v>
      </c>
      <c r="E4277" t="s">
        <v>12</v>
      </c>
      <c r="F4277">
        <v>138.80000000000001</v>
      </c>
      <c r="G4277" t="str">
        <f>VLOOKUP(Table1_2[[#This Row],[Categories]],Sheet3!$A$1:$B$27,2,FALSE)</f>
        <v>Food &amp;Beverage</v>
      </c>
    </row>
    <row r="4278" spans="1:7" x14ac:dyDescent="0.3">
      <c r="A4278" t="s">
        <v>33</v>
      </c>
      <c r="B4278">
        <v>2017</v>
      </c>
      <c r="C4278" t="s">
        <v>39</v>
      </c>
      <c r="D4278" s="2">
        <v>42887</v>
      </c>
      <c r="E4278" t="s">
        <v>13</v>
      </c>
      <c r="F4278">
        <v>124.2</v>
      </c>
      <c r="G4278" t="str">
        <f>VLOOKUP(Table1_2[[#This Row],[Categories]],Sheet3!$A$1:$B$27,2,FALSE)</f>
        <v>Food &amp;Beverage</v>
      </c>
    </row>
    <row r="4279" spans="1:7" x14ac:dyDescent="0.3">
      <c r="A4279" t="s">
        <v>33</v>
      </c>
      <c r="B4279">
        <v>2017</v>
      </c>
      <c r="C4279" t="s">
        <v>39</v>
      </c>
      <c r="D4279" s="2">
        <v>42887</v>
      </c>
      <c r="E4279" t="s">
        <v>14</v>
      </c>
      <c r="F4279">
        <v>143.1</v>
      </c>
      <c r="G4279" t="str">
        <f>VLOOKUP(Table1_2[[#This Row],[Categories]],Sheet3!$A$1:$B$27,2,FALSE)</f>
        <v>Food &amp;Beverage</v>
      </c>
    </row>
    <row r="4280" spans="1:7" x14ac:dyDescent="0.3">
      <c r="A4280" t="s">
        <v>33</v>
      </c>
      <c r="B4280">
        <v>2017</v>
      </c>
      <c r="C4280" t="s">
        <v>39</v>
      </c>
      <c r="D4280" s="2">
        <v>42887</v>
      </c>
      <c r="E4280" t="s">
        <v>15</v>
      </c>
      <c r="F4280">
        <v>135.69999999999999</v>
      </c>
      <c r="G4280" t="str">
        <f>VLOOKUP(Table1_2[[#This Row],[Categories]],Sheet3!$A$1:$B$27,2,FALSE)</f>
        <v>Food &amp;Beverage</v>
      </c>
    </row>
    <row r="4281" spans="1:7" x14ac:dyDescent="0.3">
      <c r="A4281" t="s">
        <v>33</v>
      </c>
      <c r="B4281">
        <v>2017</v>
      </c>
      <c r="C4281" t="s">
        <v>39</v>
      </c>
      <c r="D4281" s="2">
        <v>42887</v>
      </c>
      <c r="E4281" t="s">
        <v>16</v>
      </c>
      <c r="F4281">
        <v>148.6</v>
      </c>
      <c r="G4281" t="str">
        <f>VLOOKUP(Table1_2[[#This Row],[Categories]],Sheet3!$A$1:$B$27,2,FALSE)</f>
        <v>Recreation and amusement</v>
      </c>
    </row>
    <row r="4282" spans="1:7" x14ac:dyDescent="0.3">
      <c r="A4282" t="s">
        <v>33</v>
      </c>
      <c r="B4282">
        <v>2017</v>
      </c>
      <c r="C4282" t="s">
        <v>39</v>
      </c>
      <c r="D4282" s="2">
        <v>42887</v>
      </c>
      <c r="E4282" t="s">
        <v>17</v>
      </c>
      <c r="F4282">
        <v>131.5</v>
      </c>
      <c r="G4282" t="str">
        <f>VLOOKUP(Table1_2[[#This Row],[Categories]],Sheet3!$A$1:$B$27,2,FALSE)</f>
        <v>Clothing and footwear</v>
      </c>
    </row>
    <row r="4283" spans="1:7" x14ac:dyDescent="0.3">
      <c r="A4283" t="s">
        <v>33</v>
      </c>
      <c r="B4283">
        <v>2017</v>
      </c>
      <c r="C4283" t="s">
        <v>39</v>
      </c>
      <c r="D4283" s="2">
        <v>42887</v>
      </c>
      <c r="E4283" t="s">
        <v>18</v>
      </c>
      <c r="F4283">
        <v>123.2</v>
      </c>
      <c r="G4283" t="str">
        <f>VLOOKUP(Table1_2[[#This Row],[Categories]],Sheet3!$A$1:$B$27,2,FALSE)</f>
        <v>Clothing and footwear</v>
      </c>
    </row>
    <row r="4284" spans="1:7" x14ac:dyDescent="0.3">
      <c r="A4284" t="s">
        <v>33</v>
      </c>
      <c r="B4284">
        <v>2017</v>
      </c>
      <c r="C4284" t="s">
        <v>39</v>
      </c>
      <c r="D4284" s="2">
        <v>42887</v>
      </c>
      <c r="E4284" t="s">
        <v>19</v>
      </c>
      <c r="F4284">
        <v>130.19999999999999</v>
      </c>
      <c r="G4284" t="str">
        <f>VLOOKUP(Table1_2[[#This Row],[Categories]],Sheet3!$A$1:$B$27,2,FALSE)</f>
        <v>Clothing and footwear</v>
      </c>
    </row>
    <row r="4285" spans="1:7" x14ac:dyDescent="0.3">
      <c r="A4285" t="s">
        <v>33</v>
      </c>
      <c r="B4285">
        <v>2017</v>
      </c>
      <c r="C4285" t="s">
        <v>39</v>
      </c>
      <c r="D4285" s="2">
        <v>42887</v>
      </c>
      <c r="E4285" t="s">
        <v>20</v>
      </c>
      <c r="F4285">
        <v>131.4</v>
      </c>
      <c r="G4285" t="str">
        <f>VLOOKUP(Table1_2[[#This Row],[Categories]],Sheet3!$A$1:$B$27,2,FALSE)</f>
        <v>Housing</v>
      </c>
    </row>
    <row r="4286" spans="1:7" x14ac:dyDescent="0.3">
      <c r="A4286" t="s">
        <v>33</v>
      </c>
      <c r="B4286">
        <v>2017</v>
      </c>
      <c r="C4286" t="s">
        <v>39</v>
      </c>
      <c r="D4286" s="2">
        <v>42887</v>
      </c>
      <c r="E4286" t="s">
        <v>21</v>
      </c>
      <c r="F4286">
        <v>119</v>
      </c>
      <c r="G4286" t="str">
        <f>VLOOKUP(Table1_2[[#This Row],[Categories]],Sheet3!$A$1:$B$27,2,FALSE)</f>
        <v>Fuel and light</v>
      </c>
    </row>
    <row r="4287" spans="1:7" x14ac:dyDescent="0.3">
      <c r="A4287" t="s">
        <v>33</v>
      </c>
      <c r="B4287">
        <v>2017</v>
      </c>
      <c r="C4287" t="s">
        <v>39</v>
      </c>
      <c r="D4287" s="2">
        <v>42887</v>
      </c>
      <c r="E4287" t="s">
        <v>22</v>
      </c>
      <c r="F4287">
        <v>126.8</v>
      </c>
      <c r="G4287" t="str">
        <f>VLOOKUP(Table1_2[[#This Row],[Categories]],Sheet3!$A$1:$B$27,2,FALSE)</f>
        <v>Household Items</v>
      </c>
    </row>
    <row r="4288" spans="1:7" x14ac:dyDescent="0.3">
      <c r="A4288" t="s">
        <v>33</v>
      </c>
      <c r="B4288">
        <v>2017</v>
      </c>
      <c r="C4288" t="s">
        <v>39</v>
      </c>
      <c r="D4288" s="2">
        <v>42887</v>
      </c>
      <c r="E4288" t="s">
        <v>23</v>
      </c>
      <c r="F4288">
        <v>123.8</v>
      </c>
      <c r="G4288" t="str">
        <f>VLOOKUP(Table1_2[[#This Row],[Categories]],Sheet3!$A$1:$B$27,2,FALSE)</f>
        <v>Health</v>
      </c>
    </row>
    <row r="4289" spans="1:7" x14ac:dyDescent="0.3">
      <c r="A4289" t="s">
        <v>33</v>
      </c>
      <c r="B4289">
        <v>2017</v>
      </c>
      <c r="C4289" t="s">
        <v>39</v>
      </c>
      <c r="D4289" s="2">
        <v>42887</v>
      </c>
      <c r="E4289" t="s">
        <v>24</v>
      </c>
      <c r="F4289">
        <v>113.9</v>
      </c>
      <c r="G4289" t="str">
        <f>VLOOKUP(Table1_2[[#This Row],[Categories]],Sheet3!$A$1:$B$27,2,FALSE)</f>
        <v>Transport and communication</v>
      </c>
    </row>
    <row r="4290" spans="1:7" x14ac:dyDescent="0.3">
      <c r="A4290" t="s">
        <v>33</v>
      </c>
      <c r="B4290">
        <v>2017</v>
      </c>
      <c r="C4290" t="s">
        <v>39</v>
      </c>
      <c r="D4290" s="2">
        <v>42887</v>
      </c>
      <c r="E4290" t="s">
        <v>25</v>
      </c>
      <c r="F4290">
        <v>122.9</v>
      </c>
      <c r="G4290" t="str">
        <f>VLOOKUP(Table1_2[[#This Row],[Categories]],Sheet3!$A$1:$B$27,2,FALSE)</f>
        <v>Recreation and amusement</v>
      </c>
    </row>
    <row r="4291" spans="1:7" x14ac:dyDescent="0.3">
      <c r="A4291" t="s">
        <v>33</v>
      </c>
      <c r="B4291">
        <v>2017</v>
      </c>
      <c r="C4291" t="s">
        <v>39</v>
      </c>
      <c r="D4291" s="2">
        <v>42887</v>
      </c>
      <c r="E4291" t="s">
        <v>26</v>
      </c>
      <c r="F4291">
        <v>134.30000000000001</v>
      </c>
      <c r="G4291" t="str">
        <f>VLOOKUP(Table1_2[[#This Row],[Categories]],Sheet3!$A$1:$B$27,2,FALSE)</f>
        <v>Education</v>
      </c>
    </row>
    <row r="4292" spans="1:7" x14ac:dyDescent="0.3">
      <c r="A4292" t="s">
        <v>33</v>
      </c>
      <c r="B4292">
        <v>2017</v>
      </c>
      <c r="C4292" t="s">
        <v>39</v>
      </c>
      <c r="D4292" s="2">
        <v>42887</v>
      </c>
      <c r="E4292" t="s">
        <v>27</v>
      </c>
      <c r="F4292">
        <v>122.5</v>
      </c>
      <c r="G4292" t="str">
        <f>VLOOKUP(Table1_2[[#This Row],[Categories]],Sheet3!$A$1:$B$27,2,FALSE)</f>
        <v>Household Items</v>
      </c>
    </row>
    <row r="4293" spans="1:7" x14ac:dyDescent="0.3">
      <c r="A4293" t="s">
        <v>33</v>
      </c>
      <c r="B4293">
        <v>2017</v>
      </c>
      <c r="C4293" t="s">
        <v>39</v>
      </c>
      <c r="D4293" s="2">
        <v>42887</v>
      </c>
      <c r="E4293" t="s">
        <v>28</v>
      </c>
      <c r="F4293">
        <v>122.7</v>
      </c>
      <c r="G4293" t="str">
        <f>VLOOKUP(Table1_2[[#This Row],[Categories]],Sheet3!$A$1:$B$27,2,FALSE)</f>
        <v>Miscellaneous</v>
      </c>
    </row>
    <row r="4294" spans="1:7" x14ac:dyDescent="0.3">
      <c r="A4294" t="s">
        <v>33</v>
      </c>
      <c r="B4294">
        <v>2017</v>
      </c>
      <c r="C4294" t="s">
        <v>39</v>
      </c>
      <c r="D4294" s="2">
        <v>42887</v>
      </c>
      <c r="E4294" t="s">
        <v>29</v>
      </c>
      <c r="F4294">
        <v>129.9</v>
      </c>
      <c r="G4294" t="str">
        <f>VLOOKUP(Table1_2[[#This Row],[Categories]],Sheet3!$A$1:$B$27,2,FALSE)</f>
        <v>General index</v>
      </c>
    </row>
    <row r="4295" spans="1:7" x14ac:dyDescent="0.3">
      <c r="A4295" t="s">
        <v>34</v>
      </c>
      <c r="B4295">
        <v>2017</v>
      </c>
      <c r="C4295" t="s">
        <v>39</v>
      </c>
      <c r="D4295" s="2">
        <v>42887</v>
      </c>
      <c r="E4295" t="s">
        <v>3</v>
      </c>
      <c r="F4295">
        <v>133.30000000000001</v>
      </c>
      <c r="G4295" t="str">
        <f>VLOOKUP(Table1_2[[#This Row],[Categories]],Sheet3!$A$1:$B$27,2,FALSE)</f>
        <v>Food &amp;Beverage</v>
      </c>
    </row>
    <row r="4296" spans="1:7" x14ac:dyDescent="0.3">
      <c r="A4296" t="s">
        <v>34</v>
      </c>
      <c r="B4296">
        <v>2017</v>
      </c>
      <c r="C4296" t="s">
        <v>39</v>
      </c>
      <c r="D4296" s="2">
        <v>42887</v>
      </c>
      <c r="E4296" t="s">
        <v>4</v>
      </c>
      <c r="F4296">
        <v>145.5</v>
      </c>
      <c r="G4296" t="str">
        <f>VLOOKUP(Table1_2[[#This Row],[Categories]],Sheet3!$A$1:$B$27,2,FALSE)</f>
        <v>Food &amp;Beverage</v>
      </c>
    </row>
    <row r="4297" spans="1:7" x14ac:dyDescent="0.3">
      <c r="A4297" t="s">
        <v>34</v>
      </c>
      <c r="B4297">
        <v>2017</v>
      </c>
      <c r="C4297" t="s">
        <v>39</v>
      </c>
      <c r="D4297" s="2">
        <v>42887</v>
      </c>
      <c r="E4297" t="s">
        <v>5</v>
      </c>
      <c r="F4297">
        <v>128.1</v>
      </c>
      <c r="G4297" t="str">
        <f>VLOOKUP(Table1_2[[#This Row],[Categories]],Sheet3!$A$1:$B$27,2,FALSE)</f>
        <v>Food &amp;Beverage</v>
      </c>
    </row>
    <row r="4298" spans="1:7" x14ac:dyDescent="0.3">
      <c r="A4298" t="s">
        <v>34</v>
      </c>
      <c r="B4298">
        <v>2017</v>
      </c>
      <c r="C4298" t="s">
        <v>39</v>
      </c>
      <c r="D4298" s="2">
        <v>42887</v>
      </c>
      <c r="E4298" t="s">
        <v>6</v>
      </c>
      <c r="F4298">
        <v>138.1</v>
      </c>
      <c r="G4298" t="str">
        <f>VLOOKUP(Table1_2[[#This Row],[Categories]],Sheet3!$A$1:$B$27,2,FALSE)</f>
        <v>Food &amp;Beverage</v>
      </c>
    </row>
    <row r="4299" spans="1:7" x14ac:dyDescent="0.3">
      <c r="A4299" t="s">
        <v>34</v>
      </c>
      <c r="B4299">
        <v>2017</v>
      </c>
      <c r="C4299" t="s">
        <v>39</v>
      </c>
      <c r="D4299" s="2">
        <v>42887</v>
      </c>
      <c r="E4299" t="s">
        <v>7</v>
      </c>
      <c r="F4299">
        <v>118.2</v>
      </c>
      <c r="G4299" t="str">
        <f>VLOOKUP(Table1_2[[#This Row],[Categories]],Sheet3!$A$1:$B$27,2,FALSE)</f>
        <v>Food &amp;Beverage</v>
      </c>
    </row>
    <row r="4300" spans="1:7" x14ac:dyDescent="0.3">
      <c r="A4300" t="s">
        <v>34</v>
      </c>
      <c r="B4300">
        <v>2017</v>
      </c>
      <c r="C4300" t="s">
        <v>39</v>
      </c>
      <c r="D4300" s="2">
        <v>42887</v>
      </c>
      <c r="E4300" t="s">
        <v>8</v>
      </c>
      <c r="F4300">
        <v>139.19999999999999</v>
      </c>
      <c r="G4300" t="str">
        <f>VLOOKUP(Table1_2[[#This Row],[Categories]],Sheet3!$A$1:$B$27,2,FALSE)</f>
        <v>Food &amp;Beverage</v>
      </c>
    </row>
    <row r="4301" spans="1:7" x14ac:dyDescent="0.3">
      <c r="A4301" t="s">
        <v>34</v>
      </c>
      <c r="B4301">
        <v>2017</v>
      </c>
      <c r="C4301" t="s">
        <v>39</v>
      </c>
      <c r="D4301" s="2">
        <v>42887</v>
      </c>
      <c r="E4301" t="s">
        <v>9</v>
      </c>
      <c r="F4301">
        <v>133.30000000000001</v>
      </c>
      <c r="G4301" t="str">
        <f>VLOOKUP(Table1_2[[#This Row],[Categories]],Sheet3!$A$1:$B$27,2,FALSE)</f>
        <v>Food &amp;Beverage</v>
      </c>
    </row>
    <row r="4302" spans="1:7" x14ac:dyDescent="0.3">
      <c r="A4302" t="s">
        <v>34</v>
      </c>
      <c r="B4302">
        <v>2017</v>
      </c>
      <c r="C4302" t="s">
        <v>39</v>
      </c>
      <c r="D4302" s="2">
        <v>42887</v>
      </c>
      <c r="E4302" t="s">
        <v>10</v>
      </c>
      <c r="F4302">
        <v>136.19999999999999</v>
      </c>
      <c r="G4302" t="str">
        <f>VLOOKUP(Table1_2[[#This Row],[Categories]],Sheet3!$A$1:$B$27,2,FALSE)</f>
        <v>Food &amp;Beverage</v>
      </c>
    </row>
    <row r="4303" spans="1:7" x14ac:dyDescent="0.3">
      <c r="A4303" t="s">
        <v>34</v>
      </c>
      <c r="B4303">
        <v>2017</v>
      </c>
      <c r="C4303" t="s">
        <v>39</v>
      </c>
      <c r="D4303" s="2">
        <v>42887</v>
      </c>
      <c r="E4303" t="s">
        <v>11</v>
      </c>
      <c r="F4303">
        <v>119.6</v>
      </c>
      <c r="G4303" t="str">
        <f>VLOOKUP(Table1_2[[#This Row],[Categories]],Sheet3!$A$1:$B$27,2,FALSE)</f>
        <v>Food &amp;Beverage</v>
      </c>
    </row>
    <row r="4304" spans="1:7" x14ac:dyDescent="0.3">
      <c r="A4304" t="s">
        <v>34</v>
      </c>
      <c r="B4304">
        <v>2017</v>
      </c>
      <c r="C4304" t="s">
        <v>39</v>
      </c>
      <c r="D4304" s="2">
        <v>42887</v>
      </c>
      <c r="E4304" t="s">
        <v>12</v>
      </c>
      <c r="F4304">
        <v>135.30000000000001</v>
      </c>
      <c r="G4304" t="str">
        <f>VLOOKUP(Table1_2[[#This Row],[Categories]],Sheet3!$A$1:$B$27,2,FALSE)</f>
        <v>Food &amp;Beverage</v>
      </c>
    </row>
    <row r="4305" spans="1:7" x14ac:dyDescent="0.3">
      <c r="A4305" t="s">
        <v>34</v>
      </c>
      <c r="B4305">
        <v>2017</v>
      </c>
      <c r="C4305" t="s">
        <v>39</v>
      </c>
      <c r="D4305" s="2">
        <v>42887</v>
      </c>
      <c r="E4305" t="s">
        <v>13</v>
      </c>
      <c r="F4305">
        <v>127.8</v>
      </c>
      <c r="G4305" t="str">
        <f>VLOOKUP(Table1_2[[#This Row],[Categories]],Sheet3!$A$1:$B$27,2,FALSE)</f>
        <v>Food &amp;Beverage</v>
      </c>
    </row>
    <row r="4306" spans="1:7" x14ac:dyDescent="0.3">
      <c r="A4306" t="s">
        <v>34</v>
      </c>
      <c r="B4306">
        <v>2017</v>
      </c>
      <c r="C4306" t="s">
        <v>39</v>
      </c>
      <c r="D4306" s="2">
        <v>42887</v>
      </c>
      <c r="E4306" t="s">
        <v>14</v>
      </c>
      <c r="F4306">
        <v>144.9</v>
      </c>
      <c r="G4306" t="str">
        <f>VLOOKUP(Table1_2[[#This Row],[Categories]],Sheet3!$A$1:$B$27,2,FALSE)</f>
        <v>Food &amp;Beverage</v>
      </c>
    </row>
    <row r="4307" spans="1:7" x14ac:dyDescent="0.3">
      <c r="A4307" t="s">
        <v>34</v>
      </c>
      <c r="B4307">
        <v>2017</v>
      </c>
      <c r="C4307" t="s">
        <v>39</v>
      </c>
      <c r="D4307" s="2">
        <v>42887</v>
      </c>
      <c r="E4307" t="s">
        <v>15</v>
      </c>
      <c r="F4307">
        <v>135.19999999999999</v>
      </c>
      <c r="G4307" t="str">
        <f>VLOOKUP(Table1_2[[#This Row],[Categories]],Sheet3!$A$1:$B$27,2,FALSE)</f>
        <v>Food &amp;Beverage</v>
      </c>
    </row>
    <row r="4308" spans="1:7" x14ac:dyDescent="0.3">
      <c r="A4308" t="s">
        <v>34</v>
      </c>
      <c r="B4308">
        <v>2017</v>
      </c>
      <c r="C4308" t="s">
        <v>39</v>
      </c>
      <c r="D4308" s="2">
        <v>42887</v>
      </c>
      <c r="E4308" t="s">
        <v>16</v>
      </c>
      <c r="F4308">
        <v>146.5</v>
      </c>
      <c r="G4308" t="str">
        <f>VLOOKUP(Table1_2[[#This Row],[Categories]],Sheet3!$A$1:$B$27,2,FALSE)</f>
        <v>Recreation and amusement</v>
      </c>
    </row>
    <row r="4309" spans="1:7" x14ac:dyDescent="0.3">
      <c r="A4309" t="s">
        <v>34</v>
      </c>
      <c r="B4309">
        <v>2017</v>
      </c>
      <c r="C4309" t="s">
        <v>39</v>
      </c>
      <c r="D4309" s="2">
        <v>42887</v>
      </c>
      <c r="E4309" t="s">
        <v>17</v>
      </c>
      <c r="F4309">
        <v>138.5</v>
      </c>
      <c r="G4309" t="str">
        <f>VLOOKUP(Table1_2[[#This Row],[Categories]],Sheet3!$A$1:$B$27,2,FALSE)</f>
        <v>Clothing and footwear</v>
      </c>
    </row>
    <row r="4310" spans="1:7" x14ac:dyDescent="0.3">
      <c r="A4310" t="s">
        <v>34</v>
      </c>
      <c r="B4310">
        <v>2017</v>
      </c>
      <c r="C4310" t="s">
        <v>39</v>
      </c>
      <c r="D4310" s="2">
        <v>42887</v>
      </c>
      <c r="E4310" t="s">
        <v>18</v>
      </c>
      <c r="F4310">
        <v>131.69999999999999</v>
      </c>
      <c r="G4310" t="str">
        <f>VLOOKUP(Table1_2[[#This Row],[Categories]],Sheet3!$A$1:$B$27,2,FALSE)</f>
        <v>Clothing and footwear</v>
      </c>
    </row>
    <row r="4311" spans="1:7" x14ac:dyDescent="0.3">
      <c r="A4311" t="s">
        <v>34</v>
      </c>
      <c r="B4311">
        <v>2017</v>
      </c>
      <c r="C4311" t="s">
        <v>39</v>
      </c>
      <c r="D4311" s="2">
        <v>42887</v>
      </c>
      <c r="E4311" t="s">
        <v>19</v>
      </c>
      <c r="F4311">
        <v>137.5</v>
      </c>
      <c r="G4311" t="str">
        <f>VLOOKUP(Table1_2[[#This Row],[Categories]],Sheet3!$A$1:$B$27,2,FALSE)</f>
        <v>Clothing and footwear</v>
      </c>
    </row>
    <row r="4312" spans="1:7" x14ac:dyDescent="0.3">
      <c r="A4312" t="s">
        <v>34</v>
      </c>
      <c r="B4312">
        <v>2017</v>
      </c>
      <c r="C4312" t="s">
        <v>39</v>
      </c>
      <c r="D4312" s="2">
        <v>42887</v>
      </c>
      <c r="E4312" t="s">
        <v>20</v>
      </c>
      <c r="F4312">
        <v>131.4</v>
      </c>
      <c r="G4312" t="str">
        <f>VLOOKUP(Table1_2[[#This Row],[Categories]],Sheet3!$A$1:$B$27,2,FALSE)</f>
        <v>Housing</v>
      </c>
    </row>
    <row r="4313" spans="1:7" x14ac:dyDescent="0.3">
      <c r="A4313" t="s">
        <v>34</v>
      </c>
      <c r="B4313">
        <v>2017</v>
      </c>
      <c r="C4313" t="s">
        <v>39</v>
      </c>
      <c r="D4313" s="2">
        <v>42887</v>
      </c>
      <c r="E4313" t="s">
        <v>21</v>
      </c>
      <c r="F4313">
        <v>128.80000000000001</v>
      </c>
      <c r="G4313" t="str">
        <f>VLOOKUP(Table1_2[[#This Row],[Categories]],Sheet3!$A$1:$B$27,2,FALSE)</f>
        <v>Fuel and light</v>
      </c>
    </row>
    <row r="4314" spans="1:7" x14ac:dyDescent="0.3">
      <c r="A4314" t="s">
        <v>34</v>
      </c>
      <c r="B4314">
        <v>2017</v>
      </c>
      <c r="C4314" t="s">
        <v>39</v>
      </c>
      <c r="D4314" s="2">
        <v>42887</v>
      </c>
      <c r="E4314" t="s">
        <v>22</v>
      </c>
      <c r="F4314">
        <v>131.19999999999999</v>
      </c>
      <c r="G4314" t="str">
        <f>VLOOKUP(Table1_2[[#This Row],[Categories]],Sheet3!$A$1:$B$27,2,FALSE)</f>
        <v>Household Items</v>
      </c>
    </row>
    <row r="4315" spans="1:7" x14ac:dyDescent="0.3">
      <c r="A4315" t="s">
        <v>34</v>
      </c>
      <c r="B4315">
        <v>2017</v>
      </c>
      <c r="C4315" t="s">
        <v>39</v>
      </c>
      <c r="D4315" s="2">
        <v>42887</v>
      </c>
      <c r="E4315" t="s">
        <v>23</v>
      </c>
      <c r="F4315">
        <v>128.5</v>
      </c>
      <c r="G4315" t="str">
        <f>VLOOKUP(Table1_2[[#This Row],[Categories]],Sheet3!$A$1:$B$27,2,FALSE)</f>
        <v>Health</v>
      </c>
    </row>
    <row r="4316" spans="1:7" x14ac:dyDescent="0.3">
      <c r="A4316" t="s">
        <v>34</v>
      </c>
      <c r="B4316">
        <v>2017</v>
      </c>
      <c r="C4316" t="s">
        <v>39</v>
      </c>
      <c r="D4316" s="2">
        <v>42887</v>
      </c>
      <c r="E4316" t="s">
        <v>24</v>
      </c>
      <c r="F4316">
        <v>116.5</v>
      </c>
      <c r="G4316" t="str">
        <f>VLOOKUP(Table1_2[[#This Row],[Categories]],Sheet3!$A$1:$B$27,2,FALSE)</f>
        <v>Transport and communication</v>
      </c>
    </row>
    <row r="4317" spans="1:7" x14ac:dyDescent="0.3">
      <c r="A4317" t="s">
        <v>34</v>
      </c>
      <c r="B4317">
        <v>2017</v>
      </c>
      <c r="C4317" t="s">
        <v>39</v>
      </c>
      <c r="D4317" s="2">
        <v>42887</v>
      </c>
      <c r="E4317" t="s">
        <v>25</v>
      </c>
      <c r="F4317">
        <v>125.9</v>
      </c>
      <c r="G4317" t="str">
        <f>VLOOKUP(Table1_2[[#This Row],[Categories]],Sheet3!$A$1:$B$27,2,FALSE)</f>
        <v>Recreation and amusement</v>
      </c>
    </row>
    <row r="4318" spans="1:7" x14ac:dyDescent="0.3">
      <c r="A4318" t="s">
        <v>34</v>
      </c>
      <c r="B4318">
        <v>2017</v>
      </c>
      <c r="C4318" t="s">
        <v>39</v>
      </c>
      <c r="D4318" s="2">
        <v>42887</v>
      </c>
      <c r="E4318" t="s">
        <v>26</v>
      </c>
      <c r="F4318">
        <v>135.4</v>
      </c>
      <c r="G4318" t="str">
        <f>VLOOKUP(Table1_2[[#This Row],[Categories]],Sheet3!$A$1:$B$27,2,FALSE)</f>
        <v>Education</v>
      </c>
    </row>
    <row r="4319" spans="1:7" x14ac:dyDescent="0.3">
      <c r="A4319" t="s">
        <v>34</v>
      </c>
      <c r="B4319">
        <v>2017</v>
      </c>
      <c r="C4319" t="s">
        <v>39</v>
      </c>
      <c r="D4319" s="2">
        <v>42887</v>
      </c>
      <c r="E4319" t="s">
        <v>27</v>
      </c>
      <c r="F4319">
        <v>123.4</v>
      </c>
      <c r="G4319" t="str">
        <f>VLOOKUP(Table1_2[[#This Row],[Categories]],Sheet3!$A$1:$B$27,2,FALSE)</f>
        <v>Household Items</v>
      </c>
    </row>
    <row r="4320" spans="1:7" x14ac:dyDescent="0.3">
      <c r="A4320" t="s">
        <v>34</v>
      </c>
      <c r="B4320">
        <v>2017</v>
      </c>
      <c r="C4320" t="s">
        <v>39</v>
      </c>
      <c r="D4320" s="2">
        <v>42887</v>
      </c>
      <c r="E4320" t="s">
        <v>28</v>
      </c>
      <c r="F4320">
        <v>125.5</v>
      </c>
      <c r="G4320" t="str">
        <f>VLOOKUP(Table1_2[[#This Row],[Categories]],Sheet3!$A$1:$B$27,2,FALSE)</f>
        <v>Miscellaneous</v>
      </c>
    </row>
    <row r="4321" spans="1:7" x14ac:dyDescent="0.3">
      <c r="A4321" t="s">
        <v>34</v>
      </c>
      <c r="B4321">
        <v>2017</v>
      </c>
      <c r="C4321" t="s">
        <v>39</v>
      </c>
      <c r="D4321" s="2">
        <v>42887</v>
      </c>
      <c r="E4321" t="s">
        <v>29</v>
      </c>
      <c r="F4321">
        <v>132</v>
      </c>
      <c r="G4321" t="str">
        <f>VLOOKUP(Table1_2[[#This Row],[Categories]],Sheet3!$A$1:$B$27,2,FALSE)</f>
        <v>General index</v>
      </c>
    </row>
    <row r="4322" spans="1:7" x14ac:dyDescent="0.3">
      <c r="A4322" t="s">
        <v>30</v>
      </c>
      <c r="B4322">
        <v>2017</v>
      </c>
      <c r="C4322" t="s">
        <v>40</v>
      </c>
      <c r="D4322" s="2">
        <v>42917</v>
      </c>
      <c r="E4322" t="s">
        <v>3</v>
      </c>
      <c r="F4322">
        <v>134</v>
      </c>
      <c r="G4322" t="str">
        <f>VLOOKUP(Table1_2[[#This Row],[Categories]],Sheet3!$A$1:$B$27,2,FALSE)</f>
        <v>Food &amp;Beverage</v>
      </c>
    </row>
    <row r="4323" spans="1:7" x14ac:dyDescent="0.3">
      <c r="A4323" t="s">
        <v>30</v>
      </c>
      <c r="B4323">
        <v>2017</v>
      </c>
      <c r="C4323" t="s">
        <v>40</v>
      </c>
      <c r="D4323" s="2">
        <v>42917</v>
      </c>
      <c r="E4323" t="s">
        <v>4</v>
      </c>
      <c r="F4323">
        <v>144.19999999999999</v>
      </c>
      <c r="G4323" t="str">
        <f>VLOOKUP(Table1_2[[#This Row],[Categories]],Sheet3!$A$1:$B$27,2,FALSE)</f>
        <v>Food &amp;Beverage</v>
      </c>
    </row>
    <row r="4324" spans="1:7" x14ac:dyDescent="0.3">
      <c r="A4324" t="s">
        <v>30</v>
      </c>
      <c r="B4324">
        <v>2017</v>
      </c>
      <c r="C4324" t="s">
        <v>40</v>
      </c>
      <c r="D4324" s="2">
        <v>42917</v>
      </c>
      <c r="E4324" t="s">
        <v>5</v>
      </c>
      <c r="F4324">
        <v>129.80000000000001</v>
      </c>
      <c r="G4324" t="str">
        <f>VLOOKUP(Table1_2[[#This Row],[Categories]],Sheet3!$A$1:$B$27,2,FALSE)</f>
        <v>Food &amp;Beverage</v>
      </c>
    </row>
    <row r="4325" spans="1:7" x14ac:dyDescent="0.3">
      <c r="A4325" t="s">
        <v>30</v>
      </c>
      <c r="B4325">
        <v>2017</v>
      </c>
      <c r="C4325" t="s">
        <v>40</v>
      </c>
      <c r="D4325" s="2">
        <v>42917</v>
      </c>
      <c r="E4325" t="s">
        <v>6</v>
      </c>
      <c r="F4325">
        <v>139</v>
      </c>
      <c r="G4325" t="str">
        <f>VLOOKUP(Table1_2[[#This Row],[Categories]],Sheet3!$A$1:$B$27,2,FALSE)</f>
        <v>Food &amp;Beverage</v>
      </c>
    </row>
    <row r="4326" spans="1:7" x14ac:dyDescent="0.3">
      <c r="A4326" t="s">
        <v>30</v>
      </c>
      <c r="B4326">
        <v>2017</v>
      </c>
      <c r="C4326" t="s">
        <v>40</v>
      </c>
      <c r="D4326" s="2">
        <v>42917</v>
      </c>
      <c r="E4326" t="s">
        <v>7</v>
      </c>
      <c r="F4326">
        <v>120.9</v>
      </c>
      <c r="G4326" t="str">
        <f>VLOOKUP(Table1_2[[#This Row],[Categories]],Sheet3!$A$1:$B$27,2,FALSE)</f>
        <v>Food &amp;Beverage</v>
      </c>
    </row>
    <row r="4327" spans="1:7" x14ac:dyDescent="0.3">
      <c r="A4327" t="s">
        <v>30</v>
      </c>
      <c r="B4327">
        <v>2017</v>
      </c>
      <c r="C4327" t="s">
        <v>40</v>
      </c>
      <c r="D4327" s="2">
        <v>42917</v>
      </c>
      <c r="E4327" t="s">
        <v>8</v>
      </c>
      <c r="F4327">
        <v>143.9</v>
      </c>
      <c r="G4327" t="str">
        <f>VLOOKUP(Table1_2[[#This Row],[Categories]],Sheet3!$A$1:$B$27,2,FALSE)</f>
        <v>Food &amp;Beverage</v>
      </c>
    </row>
    <row r="4328" spans="1:7" x14ac:dyDescent="0.3">
      <c r="A4328" t="s">
        <v>30</v>
      </c>
      <c r="B4328">
        <v>2017</v>
      </c>
      <c r="C4328" t="s">
        <v>40</v>
      </c>
      <c r="D4328" s="2">
        <v>42917</v>
      </c>
      <c r="E4328" t="s">
        <v>9</v>
      </c>
      <c r="F4328">
        <v>151.5</v>
      </c>
      <c r="G4328" t="str">
        <f>VLOOKUP(Table1_2[[#This Row],[Categories]],Sheet3!$A$1:$B$27,2,FALSE)</f>
        <v>Food &amp;Beverage</v>
      </c>
    </row>
    <row r="4329" spans="1:7" x14ac:dyDescent="0.3">
      <c r="A4329" t="s">
        <v>30</v>
      </c>
      <c r="B4329">
        <v>2017</v>
      </c>
      <c r="C4329" t="s">
        <v>40</v>
      </c>
      <c r="D4329" s="2">
        <v>42917</v>
      </c>
      <c r="E4329" t="s">
        <v>10</v>
      </c>
      <c r="F4329">
        <v>138.1</v>
      </c>
      <c r="G4329" t="str">
        <f>VLOOKUP(Table1_2[[#This Row],[Categories]],Sheet3!$A$1:$B$27,2,FALSE)</f>
        <v>Food &amp;Beverage</v>
      </c>
    </row>
    <row r="4330" spans="1:7" x14ac:dyDescent="0.3">
      <c r="A4330" t="s">
        <v>30</v>
      </c>
      <c r="B4330">
        <v>2017</v>
      </c>
      <c r="C4330" t="s">
        <v>40</v>
      </c>
      <c r="D4330" s="2">
        <v>42917</v>
      </c>
      <c r="E4330" t="s">
        <v>11</v>
      </c>
      <c r="F4330">
        <v>120</v>
      </c>
      <c r="G4330" t="str">
        <f>VLOOKUP(Table1_2[[#This Row],[Categories]],Sheet3!$A$1:$B$27,2,FALSE)</f>
        <v>Food &amp;Beverage</v>
      </c>
    </row>
    <row r="4331" spans="1:7" x14ac:dyDescent="0.3">
      <c r="A4331" t="s">
        <v>30</v>
      </c>
      <c r="B4331">
        <v>2017</v>
      </c>
      <c r="C4331" t="s">
        <v>40</v>
      </c>
      <c r="D4331" s="2">
        <v>42917</v>
      </c>
      <c r="E4331" t="s">
        <v>12</v>
      </c>
      <c r="F4331">
        <v>133.9</v>
      </c>
      <c r="G4331" t="str">
        <f>VLOOKUP(Table1_2[[#This Row],[Categories]],Sheet3!$A$1:$B$27,2,FALSE)</f>
        <v>Food &amp;Beverage</v>
      </c>
    </row>
    <row r="4332" spans="1:7" x14ac:dyDescent="0.3">
      <c r="A4332" t="s">
        <v>30</v>
      </c>
      <c r="B4332">
        <v>2017</v>
      </c>
      <c r="C4332" t="s">
        <v>40</v>
      </c>
      <c r="D4332" s="2">
        <v>42917</v>
      </c>
      <c r="E4332" t="s">
        <v>13</v>
      </c>
      <c r="F4332">
        <v>131.4</v>
      </c>
      <c r="G4332" t="str">
        <f>VLOOKUP(Table1_2[[#This Row],[Categories]],Sheet3!$A$1:$B$27,2,FALSE)</f>
        <v>Food &amp;Beverage</v>
      </c>
    </row>
    <row r="4333" spans="1:7" x14ac:dyDescent="0.3">
      <c r="A4333" t="s">
        <v>30</v>
      </c>
      <c r="B4333">
        <v>2017</v>
      </c>
      <c r="C4333" t="s">
        <v>40</v>
      </c>
      <c r="D4333" s="2">
        <v>42917</v>
      </c>
      <c r="E4333" t="s">
        <v>14</v>
      </c>
      <c r="F4333">
        <v>147.69999999999999</v>
      </c>
      <c r="G4333" t="str">
        <f>VLOOKUP(Table1_2[[#This Row],[Categories]],Sheet3!$A$1:$B$27,2,FALSE)</f>
        <v>Food &amp;Beverage</v>
      </c>
    </row>
    <row r="4334" spans="1:7" x14ac:dyDescent="0.3">
      <c r="A4334" t="s">
        <v>30</v>
      </c>
      <c r="B4334">
        <v>2017</v>
      </c>
      <c r="C4334" t="s">
        <v>40</v>
      </c>
      <c r="D4334" s="2">
        <v>42917</v>
      </c>
      <c r="E4334" t="s">
        <v>15</v>
      </c>
      <c r="F4334">
        <v>138.5</v>
      </c>
      <c r="G4334" t="str">
        <f>VLOOKUP(Table1_2[[#This Row],[Categories]],Sheet3!$A$1:$B$27,2,FALSE)</f>
        <v>Food &amp;Beverage</v>
      </c>
    </row>
    <row r="4335" spans="1:7" x14ac:dyDescent="0.3">
      <c r="A4335" t="s">
        <v>30</v>
      </c>
      <c r="B4335">
        <v>2017</v>
      </c>
      <c r="C4335" t="s">
        <v>40</v>
      </c>
      <c r="D4335" s="2">
        <v>42917</v>
      </c>
      <c r="E4335" t="s">
        <v>16</v>
      </c>
      <c r="F4335">
        <v>147.4</v>
      </c>
      <c r="G4335" t="str">
        <f>VLOOKUP(Table1_2[[#This Row],[Categories]],Sheet3!$A$1:$B$27,2,FALSE)</f>
        <v>Recreation and amusement</v>
      </c>
    </row>
    <row r="4336" spans="1:7" x14ac:dyDescent="0.3">
      <c r="A4336" t="s">
        <v>30</v>
      </c>
      <c r="B4336">
        <v>2017</v>
      </c>
      <c r="C4336" t="s">
        <v>40</v>
      </c>
      <c r="D4336" s="2">
        <v>42917</v>
      </c>
      <c r="E4336" t="s">
        <v>17</v>
      </c>
      <c r="F4336">
        <v>144.30000000000001</v>
      </c>
      <c r="G4336" t="str">
        <f>VLOOKUP(Table1_2[[#This Row],[Categories]],Sheet3!$A$1:$B$27,2,FALSE)</f>
        <v>Clothing and footwear</v>
      </c>
    </row>
    <row r="4337" spans="1:7" x14ac:dyDescent="0.3">
      <c r="A4337" t="s">
        <v>30</v>
      </c>
      <c r="B4337">
        <v>2017</v>
      </c>
      <c r="C4337" t="s">
        <v>40</v>
      </c>
      <c r="D4337" s="2">
        <v>42917</v>
      </c>
      <c r="E4337" t="s">
        <v>18</v>
      </c>
      <c r="F4337">
        <v>138.1</v>
      </c>
      <c r="G4337" t="str">
        <f>VLOOKUP(Table1_2[[#This Row],[Categories]],Sheet3!$A$1:$B$27,2,FALSE)</f>
        <v>Clothing and footwear</v>
      </c>
    </row>
    <row r="4338" spans="1:7" x14ac:dyDescent="0.3">
      <c r="A4338" t="s">
        <v>30</v>
      </c>
      <c r="B4338">
        <v>2017</v>
      </c>
      <c r="C4338" t="s">
        <v>40</v>
      </c>
      <c r="D4338" s="2">
        <v>42917</v>
      </c>
      <c r="E4338" t="s">
        <v>19</v>
      </c>
      <c r="F4338">
        <v>143.5</v>
      </c>
      <c r="G4338" t="str">
        <f>VLOOKUP(Table1_2[[#This Row],[Categories]],Sheet3!$A$1:$B$27,2,FALSE)</f>
        <v>Clothing and footwear</v>
      </c>
    </row>
    <row r="4339" spans="1:7" x14ac:dyDescent="0.3">
      <c r="A4339" t="s">
        <v>30</v>
      </c>
      <c r="B4339">
        <v>2017</v>
      </c>
      <c r="C4339" t="s">
        <v>40</v>
      </c>
      <c r="D4339" s="2">
        <v>42917</v>
      </c>
      <c r="E4339" t="s">
        <v>21</v>
      </c>
      <c r="F4339">
        <v>135.30000000000001</v>
      </c>
      <c r="G4339" t="str">
        <f>VLOOKUP(Table1_2[[#This Row],[Categories]],Sheet3!$A$1:$B$27,2,FALSE)</f>
        <v>Fuel and light</v>
      </c>
    </row>
    <row r="4340" spans="1:7" x14ac:dyDescent="0.3">
      <c r="A4340" t="s">
        <v>30</v>
      </c>
      <c r="B4340">
        <v>2017</v>
      </c>
      <c r="C4340" t="s">
        <v>40</v>
      </c>
      <c r="D4340" s="2">
        <v>42917</v>
      </c>
      <c r="E4340" t="s">
        <v>22</v>
      </c>
      <c r="F4340">
        <v>136.1</v>
      </c>
      <c r="G4340" t="str">
        <f>VLOOKUP(Table1_2[[#This Row],[Categories]],Sheet3!$A$1:$B$27,2,FALSE)</f>
        <v>Household Items</v>
      </c>
    </row>
    <row r="4341" spans="1:7" x14ac:dyDescent="0.3">
      <c r="A4341" t="s">
        <v>30</v>
      </c>
      <c r="B4341">
        <v>2017</v>
      </c>
      <c r="C4341" t="s">
        <v>40</v>
      </c>
      <c r="D4341" s="2">
        <v>42917</v>
      </c>
      <c r="E4341" t="s">
        <v>23</v>
      </c>
      <c r="F4341">
        <v>132.1</v>
      </c>
      <c r="G4341" t="str">
        <f>VLOOKUP(Table1_2[[#This Row],[Categories]],Sheet3!$A$1:$B$27,2,FALSE)</f>
        <v>Health</v>
      </c>
    </row>
    <row r="4342" spans="1:7" x14ac:dyDescent="0.3">
      <c r="A4342" t="s">
        <v>30</v>
      </c>
      <c r="B4342">
        <v>2017</v>
      </c>
      <c r="C4342" t="s">
        <v>40</v>
      </c>
      <c r="D4342" s="2">
        <v>42917</v>
      </c>
      <c r="E4342" t="s">
        <v>24</v>
      </c>
      <c r="F4342">
        <v>119.1</v>
      </c>
      <c r="G4342" t="str">
        <f>VLOOKUP(Table1_2[[#This Row],[Categories]],Sheet3!$A$1:$B$27,2,FALSE)</f>
        <v>Transport and communication</v>
      </c>
    </row>
    <row r="4343" spans="1:7" x14ac:dyDescent="0.3">
      <c r="A4343" t="s">
        <v>30</v>
      </c>
      <c r="B4343">
        <v>2017</v>
      </c>
      <c r="C4343" t="s">
        <v>40</v>
      </c>
      <c r="D4343" s="2">
        <v>42917</v>
      </c>
      <c r="E4343" t="s">
        <v>25</v>
      </c>
      <c r="F4343">
        <v>130.6</v>
      </c>
      <c r="G4343" t="str">
        <f>VLOOKUP(Table1_2[[#This Row],[Categories]],Sheet3!$A$1:$B$27,2,FALSE)</f>
        <v>Recreation and amusement</v>
      </c>
    </row>
    <row r="4344" spans="1:7" x14ac:dyDescent="0.3">
      <c r="A4344" t="s">
        <v>30</v>
      </c>
      <c r="B4344">
        <v>2017</v>
      </c>
      <c r="C4344" t="s">
        <v>40</v>
      </c>
      <c r="D4344" s="2">
        <v>42917</v>
      </c>
      <c r="E4344" t="s">
        <v>26</v>
      </c>
      <c r="F4344">
        <v>138.6</v>
      </c>
      <c r="G4344" t="str">
        <f>VLOOKUP(Table1_2[[#This Row],[Categories]],Sheet3!$A$1:$B$27,2,FALSE)</f>
        <v>Education</v>
      </c>
    </row>
    <row r="4345" spans="1:7" x14ac:dyDescent="0.3">
      <c r="A4345" t="s">
        <v>30</v>
      </c>
      <c r="B4345">
        <v>2017</v>
      </c>
      <c r="C4345" t="s">
        <v>40</v>
      </c>
      <c r="D4345" s="2">
        <v>42917</v>
      </c>
      <c r="E4345" t="s">
        <v>27</v>
      </c>
      <c r="F4345">
        <v>124.4</v>
      </c>
      <c r="G4345" t="str">
        <f>VLOOKUP(Table1_2[[#This Row],[Categories]],Sheet3!$A$1:$B$27,2,FALSE)</f>
        <v>Household Items</v>
      </c>
    </row>
    <row r="4346" spans="1:7" x14ac:dyDescent="0.3">
      <c r="A4346" t="s">
        <v>30</v>
      </c>
      <c r="B4346">
        <v>2017</v>
      </c>
      <c r="C4346" t="s">
        <v>40</v>
      </c>
      <c r="D4346" s="2">
        <v>42917</v>
      </c>
      <c r="E4346" t="s">
        <v>28</v>
      </c>
      <c r="F4346">
        <v>128.6</v>
      </c>
      <c r="G4346" t="str">
        <f>VLOOKUP(Table1_2[[#This Row],[Categories]],Sheet3!$A$1:$B$27,2,FALSE)</f>
        <v>Miscellaneous</v>
      </c>
    </row>
    <row r="4347" spans="1:7" x14ac:dyDescent="0.3">
      <c r="A4347" t="s">
        <v>30</v>
      </c>
      <c r="B4347">
        <v>2017</v>
      </c>
      <c r="C4347" t="s">
        <v>40</v>
      </c>
      <c r="D4347" s="2">
        <v>42917</v>
      </c>
      <c r="E4347" t="s">
        <v>29</v>
      </c>
      <c r="F4347">
        <v>136.19999999999999</v>
      </c>
      <c r="G4347" t="str">
        <f>VLOOKUP(Table1_2[[#This Row],[Categories]],Sheet3!$A$1:$B$27,2,FALSE)</f>
        <v>General index</v>
      </c>
    </row>
    <row r="4348" spans="1:7" x14ac:dyDescent="0.3">
      <c r="A4348" t="s">
        <v>33</v>
      </c>
      <c r="B4348">
        <v>2017</v>
      </c>
      <c r="C4348" t="s">
        <v>40</v>
      </c>
      <c r="D4348" s="2">
        <v>42917</v>
      </c>
      <c r="E4348" t="s">
        <v>3</v>
      </c>
      <c r="F4348">
        <v>132.80000000000001</v>
      </c>
      <c r="G4348" t="str">
        <f>VLOOKUP(Table1_2[[#This Row],[Categories]],Sheet3!$A$1:$B$27,2,FALSE)</f>
        <v>Food &amp;Beverage</v>
      </c>
    </row>
    <row r="4349" spans="1:7" x14ac:dyDescent="0.3">
      <c r="A4349" t="s">
        <v>33</v>
      </c>
      <c r="B4349">
        <v>2017</v>
      </c>
      <c r="C4349" t="s">
        <v>40</v>
      </c>
      <c r="D4349" s="2">
        <v>42917</v>
      </c>
      <c r="E4349" t="s">
        <v>4</v>
      </c>
      <c r="F4349">
        <v>148.4</v>
      </c>
      <c r="G4349" t="str">
        <f>VLOOKUP(Table1_2[[#This Row],[Categories]],Sheet3!$A$1:$B$27,2,FALSE)</f>
        <v>Food &amp;Beverage</v>
      </c>
    </row>
    <row r="4350" spans="1:7" x14ac:dyDescent="0.3">
      <c r="A4350" t="s">
        <v>33</v>
      </c>
      <c r="B4350">
        <v>2017</v>
      </c>
      <c r="C4350" t="s">
        <v>40</v>
      </c>
      <c r="D4350" s="2">
        <v>42917</v>
      </c>
      <c r="E4350" t="s">
        <v>5</v>
      </c>
      <c r="F4350">
        <v>129.4</v>
      </c>
      <c r="G4350" t="str">
        <f>VLOOKUP(Table1_2[[#This Row],[Categories]],Sheet3!$A$1:$B$27,2,FALSE)</f>
        <v>Food &amp;Beverage</v>
      </c>
    </row>
    <row r="4351" spans="1:7" x14ac:dyDescent="0.3">
      <c r="A4351" t="s">
        <v>33</v>
      </c>
      <c r="B4351">
        <v>2017</v>
      </c>
      <c r="C4351" t="s">
        <v>40</v>
      </c>
      <c r="D4351" s="2">
        <v>42917</v>
      </c>
      <c r="E4351" t="s">
        <v>6</v>
      </c>
      <c r="F4351">
        <v>137.69999999999999</v>
      </c>
      <c r="G4351" t="str">
        <f>VLOOKUP(Table1_2[[#This Row],[Categories]],Sheet3!$A$1:$B$27,2,FALSE)</f>
        <v>Food &amp;Beverage</v>
      </c>
    </row>
    <row r="4352" spans="1:7" x14ac:dyDescent="0.3">
      <c r="A4352" t="s">
        <v>33</v>
      </c>
      <c r="B4352">
        <v>2017</v>
      </c>
      <c r="C4352" t="s">
        <v>40</v>
      </c>
      <c r="D4352" s="2">
        <v>42917</v>
      </c>
      <c r="E4352" t="s">
        <v>7</v>
      </c>
      <c r="F4352">
        <v>113.4</v>
      </c>
      <c r="G4352" t="str">
        <f>VLOOKUP(Table1_2[[#This Row],[Categories]],Sheet3!$A$1:$B$27,2,FALSE)</f>
        <v>Food &amp;Beverage</v>
      </c>
    </row>
    <row r="4353" spans="1:7" x14ac:dyDescent="0.3">
      <c r="A4353" t="s">
        <v>33</v>
      </c>
      <c r="B4353">
        <v>2017</v>
      </c>
      <c r="C4353" t="s">
        <v>40</v>
      </c>
      <c r="D4353" s="2">
        <v>42917</v>
      </c>
      <c r="E4353" t="s">
        <v>8</v>
      </c>
      <c r="F4353">
        <v>139.4</v>
      </c>
      <c r="G4353" t="str">
        <f>VLOOKUP(Table1_2[[#This Row],[Categories]],Sheet3!$A$1:$B$27,2,FALSE)</f>
        <v>Food &amp;Beverage</v>
      </c>
    </row>
    <row r="4354" spans="1:7" x14ac:dyDescent="0.3">
      <c r="A4354" t="s">
        <v>33</v>
      </c>
      <c r="B4354">
        <v>2017</v>
      </c>
      <c r="C4354" t="s">
        <v>40</v>
      </c>
      <c r="D4354" s="2">
        <v>42917</v>
      </c>
      <c r="E4354" t="s">
        <v>9</v>
      </c>
      <c r="F4354">
        <v>175.1</v>
      </c>
      <c r="G4354" t="str">
        <f>VLOOKUP(Table1_2[[#This Row],[Categories]],Sheet3!$A$1:$B$27,2,FALSE)</f>
        <v>Food &amp;Beverage</v>
      </c>
    </row>
    <row r="4355" spans="1:7" x14ac:dyDescent="0.3">
      <c r="A4355" t="s">
        <v>33</v>
      </c>
      <c r="B4355">
        <v>2017</v>
      </c>
      <c r="C4355" t="s">
        <v>40</v>
      </c>
      <c r="D4355" s="2">
        <v>42917</v>
      </c>
      <c r="E4355" t="s">
        <v>10</v>
      </c>
      <c r="F4355">
        <v>124.7</v>
      </c>
      <c r="G4355" t="str">
        <f>VLOOKUP(Table1_2[[#This Row],[Categories]],Sheet3!$A$1:$B$27,2,FALSE)</f>
        <v>Food &amp;Beverage</v>
      </c>
    </row>
    <row r="4356" spans="1:7" x14ac:dyDescent="0.3">
      <c r="A4356" t="s">
        <v>33</v>
      </c>
      <c r="B4356">
        <v>2017</v>
      </c>
      <c r="C4356" t="s">
        <v>40</v>
      </c>
      <c r="D4356" s="2">
        <v>42917</v>
      </c>
      <c r="E4356" t="s">
        <v>11</v>
      </c>
      <c r="F4356">
        <v>121.5</v>
      </c>
      <c r="G4356" t="str">
        <f>VLOOKUP(Table1_2[[#This Row],[Categories]],Sheet3!$A$1:$B$27,2,FALSE)</f>
        <v>Food &amp;Beverage</v>
      </c>
    </row>
    <row r="4357" spans="1:7" x14ac:dyDescent="0.3">
      <c r="A4357" t="s">
        <v>33</v>
      </c>
      <c r="B4357">
        <v>2017</v>
      </c>
      <c r="C4357" t="s">
        <v>40</v>
      </c>
      <c r="D4357" s="2">
        <v>42917</v>
      </c>
      <c r="E4357" t="s">
        <v>12</v>
      </c>
      <c r="F4357">
        <v>137.80000000000001</v>
      </c>
      <c r="G4357" t="str">
        <f>VLOOKUP(Table1_2[[#This Row],[Categories]],Sheet3!$A$1:$B$27,2,FALSE)</f>
        <v>Food &amp;Beverage</v>
      </c>
    </row>
    <row r="4358" spans="1:7" x14ac:dyDescent="0.3">
      <c r="A4358" t="s">
        <v>33</v>
      </c>
      <c r="B4358">
        <v>2017</v>
      </c>
      <c r="C4358" t="s">
        <v>40</v>
      </c>
      <c r="D4358" s="2">
        <v>42917</v>
      </c>
      <c r="E4358" t="s">
        <v>13</v>
      </c>
      <c r="F4358">
        <v>124.4</v>
      </c>
      <c r="G4358" t="str">
        <f>VLOOKUP(Table1_2[[#This Row],[Categories]],Sheet3!$A$1:$B$27,2,FALSE)</f>
        <v>Food &amp;Beverage</v>
      </c>
    </row>
    <row r="4359" spans="1:7" x14ac:dyDescent="0.3">
      <c r="A4359" t="s">
        <v>33</v>
      </c>
      <c r="B4359">
        <v>2017</v>
      </c>
      <c r="C4359" t="s">
        <v>40</v>
      </c>
      <c r="D4359" s="2">
        <v>42917</v>
      </c>
      <c r="E4359" t="s">
        <v>14</v>
      </c>
      <c r="F4359">
        <v>143.69999999999999</v>
      </c>
      <c r="G4359" t="str">
        <f>VLOOKUP(Table1_2[[#This Row],[Categories]],Sheet3!$A$1:$B$27,2,FALSE)</f>
        <v>Food &amp;Beverage</v>
      </c>
    </row>
    <row r="4360" spans="1:7" x14ac:dyDescent="0.3">
      <c r="A4360" t="s">
        <v>33</v>
      </c>
      <c r="B4360">
        <v>2017</v>
      </c>
      <c r="C4360" t="s">
        <v>40</v>
      </c>
      <c r="D4360" s="2">
        <v>42917</v>
      </c>
      <c r="E4360" t="s">
        <v>15</v>
      </c>
      <c r="F4360">
        <v>139.80000000000001</v>
      </c>
      <c r="G4360" t="str">
        <f>VLOOKUP(Table1_2[[#This Row],[Categories]],Sheet3!$A$1:$B$27,2,FALSE)</f>
        <v>Food &amp;Beverage</v>
      </c>
    </row>
    <row r="4361" spans="1:7" x14ac:dyDescent="0.3">
      <c r="A4361" t="s">
        <v>33</v>
      </c>
      <c r="B4361">
        <v>2017</v>
      </c>
      <c r="C4361" t="s">
        <v>40</v>
      </c>
      <c r="D4361" s="2">
        <v>42917</v>
      </c>
      <c r="E4361" t="s">
        <v>16</v>
      </c>
      <c r="F4361">
        <v>150.5</v>
      </c>
      <c r="G4361" t="str">
        <f>VLOOKUP(Table1_2[[#This Row],[Categories]],Sheet3!$A$1:$B$27,2,FALSE)</f>
        <v>Recreation and amusement</v>
      </c>
    </row>
    <row r="4362" spans="1:7" x14ac:dyDescent="0.3">
      <c r="A4362" t="s">
        <v>33</v>
      </c>
      <c r="B4362">
        <v>2017</v>
      </c>
      <c r="C4362" t="s">
        <v>40</v>
      </c>
      <c r="D4362" s="2">
        <v>42917</v>
      </c>
      <c r="E4362" t="s">
        <v>17</v>
      </c>
      <c r="F4362">
        <v>131.6</v>
      </c>
      <c r="G4362" t="str">
        <f>VLOOKUP(Table1_2[[#This Row],[Categories]],Sheet3!$A$1:$B$27,2,FALSE)</f>
        <v>Clothing and footwear</v>
      </c>
    </row>
    <row r="4363" spans="1:7" x14ac:dyDescent="0.3">
      <c r="A4363" t="s">
        <v>33</v>
      </c>
      <c r="B4363">
        <v>2017</v>
      </c>
      <c r="C4363" t="s">
        <v>40</v>
      </c>
      <c r="D4363" s="2">
        <v>42917</v>
      </c>
      <c r="E4363" t="s">
        <v>18</v>
      </c>
      <c r="F4363">
        <v>123.7</v>
      </c>
      <c r="G4363" t="str">
        <f>VLOOKUP(Table1_2[[#This Row],[Categories]],Sheet3!$A$1:$B$27,2,FALSE)</f>
        <v>Clothing and footwear</v>
      </c>
    </row>
    <row r="4364" spans="1:7" x14ac:dyDescent="0.3">
      <c r="A4364" t="s">
        <v>33</v>
      </c>
      <c r="B4364">
        <v>2017</v>
      </c>
      <c r="C4364" t="s">
        <v>40</v>
      </c>
      <c r="D4364" s="2">
        <v>42917</v>
      </c>
      <c r="E4364" t="s">
        <v>19</v>
      </c>
      <c r="F4364">
        <v>130.4</v>
      </c>
      <c r="G4364" t="str">
        <f>VLOOKUP(Table1_2[[#This Row],[Categories]],Sheet3!$A$1:$B$27,2,FALSE)</f>
        <v>Clothing and footwear</v>
      </c>
    </row>
    <row r="4365" spans="1:7" x14ac:dyDescent="0.3">
      <c r="A4365" t="s">
        <v>33</v>
      </c>
      <c r="B4365">
        <v>2017</v>
      </c>
      <c r="C4365" t="s">
        <v>40</v>
      </c>
      <c r="D4365" s="2">
        <v>42917</v>
      </c>
      <c r="E4365" t="s">
        <v>20</v>
      </c>
      <c r="F4365">
        <v>132.6</v>
      </c>
      <c r="G4365" t="str">
        <f>VLOOKUP(Table1_2[[#This Row],[Categories]],Sheet3!$A$1:$B$27,2,FALSE)</f>
        <v>Housing</v>
      </c>
    </row>
    <row r="4366" spans="1:7" x14ac:dyDescent="0.3">
      <c r="A4366" t="s">
        <v>33</v>
      </c>
      <c r="B4366">
        <v>2017</v>
      </c>
      <c r="C4366" t="s">
        <v>40</v>
      </c>
      <c r="D4366" s="2">
        <v>42917</v>
      </c>
      <c r="E4366" t="s">
        <v>21</v>
      </c>
      <c r="F4366">
        <v>119.7</v>
      </c>
      <c r="G4366" t="str">
        <f>VLOOKUP(Table1_2[[#This Row],[Categories]],Sheet3!$A$1:$B$27,2,FALSE)</f>
        <v>Fuel and light</v>
      </c>
    </row>
    <row r="4367" spans="1:7" x14ac:dyDescent="0.3">
      <c r="A4367" t="s">
        <v>33</v>
      </c>
      <c r="B4367">
        <v>2017</v>
      </c>
      <c r="C4367" t="s">
        <v>40</v>
      </c>
      <c r="D4367" s="2">
        <v>42917</v>
      </c>
      <c r="E4367" t="s">
        <v>22</v>
      </c>
      <c r="F4367">
        <v>127.2</v>
      </c>
      <c r="G4367" t="str">
        <f>VLOOKUP(Table1_2[[#This Row],[Categories]],Sheet3!$A$1:$B$27,2,FALSE)</f>
        <v>Household Items</v>
      </c>
    </row>
    <row r="4368" spans="1:7" x14ac:dyDescent="0.3">
      <c r="A4368" t="s">
        <v>33</v>
      </c>
      <c r="B4368">
        <v>2017</v>
      </c>
      <c r="C4368" t="s">
        <v>40</v>
      </c>
      <c r="D4368" s="2">
        <v>42917</v>
      </c>
      <c r="E4368" t="s">
        <v>23</v>
      </c>
      <c r="F4368">
        <v>125</v>
      </c>
      <c r="G4368" t="str">
        <f>VLOOKUP(Table1_2[[#This Row],[Categories]],Sheet3!$A$1:$B$27,2,FALSE)</f>
        <v>Health</v>
      </c>
    </row>
    <row r="4369" spans="1:7" x14ac:dyDescent="0.3">
      <c r="A4369" t="s">
        <v>33</v>
      </c>
      <c r="B4369">
        <v>2017</v>
      </c>
      <c r="C4369" t="s">
        <v>40</v>
      </c>
      <c r="D4369" s="2">
        <v>42917</v>
      </c>
      <c r="E4369" t="s">
        <v>24</v>
      </c>
      <c r="F4369">
        <v>113.2</v>
      </c>
      <c r="G4369" t="str">
        <f>VLOOKUP(Table1_2[[#This Row],[Categories]],Sheet3!$A$1:$B$27,2,FALSE)</f>
        <v>Transport and communication</v>
      </c>
    </row>
    <row r="4370" spans="1:7" x14ac:dyDescent="0.3">
      <c r="A4370" t="s">
        <v>33</v>
      </c>
      <c r="B4370">
        <v>2017</v>
      </c>
      <c r="C4370" t="s">
        <v>40</v>
      </c>
      <c r="D4370" s="2">
        <v>42917</v>
      </c>
      <c r="E4370" t="s">
        <v>25</v>
      </c>
      <c r="F4370">
        <v>123.5</v>
      </c>
      <c r="G4370" t="str">
        <f>VLOOKUP(Table1_2[[#This Row],[Categories]],Sheet3!$A$1:$B$27,2,FALSE)</f>
        <v>Recreation and amusement</v>
      </c>
    </row>
    <row r="4371" spans="1:7" x14ac:dyDescent="0.3">
      <c r="A4371" t="s">
        <v>33</v>
      </c>
      <c r="B4371">
        <v>2017</v>
      </c>
      <c r="C4371" t="s">
        <v>40</v>
      </c>
      <c r="D4371" s="2">
        <v>42917</v>
      </c>
      <c r="E4371" t="s">
        <v>26</v>
      </c>
      <c r="F4371">
        <v>135.5</v>
      </c>
      <c r="G4371" t="str">
        <f>VLOOKUP(Table1_2[[#This Row],[Categories]],Sheet3!$A$1:$B$27,2,FALSE)</f>
        <v>Education</v>
      </c>
    </row>
    <row r="4372" spans="1:7" x14ac:dyDescent="0.3">
      <c r="A4372" t="s">
        <v>33</v>
      </c>
      <c r="B4372">
        <v>2017</v>
      </c>
      <c r="C4372" t="s">
        <v>40</v>
      </c>
      <c r="D4372" s="2">
        <v>42917</v>
      </c>
      <c r="E4372" t="s">
        <v>27</v>
      </c>
      <c r="F4372">
        <v>122.4</v>
      </c>
      <c r="G4372" t="str">
        <f>VLOOKUP(Table1_2[[#This Row],[Categories]],Sheet3!$A$1:$B$27,2,FALSE)</f>
        <v>Household Items</v>
      </c>
    </row>
    <row r="4373" spans="1:7" x14ac:dyDescent="0.3">
      <c r="A4373" t="s">
        <v>33</v>
      </c>
      <c r="B4373">
        <v>2017</v>
      </c>
      <c r="C4373" t="s">
        <v>40</v>
      </c>
      <c r="D4373" s="2">
        <v>42917</v>
      </c>
      <c r="E4373" t="s">
        <v>28</v>
      </c>
      <c r="F4373">
        <v>123</v>
      </c>
      <c r="G4373" t="str">
        <f>VLOOKUP(Table1_2[[#This Row],[Categories]],Sheet3!$A$1:$B$27,2,FALSE)</f>
        <v>Miscellaneous</v>
      </c>
    </row>
    <row r="4374" spans="1:7" x14ac:dyDescent="0.3">
      <c r="A4374" t="s">
        <v>33</v>
      </c>
      <c r="B4374">
        <v>2017</v>
      </c>
      <c r="C4374" t="s">
        <v>40</v>
      </c>
      <c r="D4374" s="2">
        <v>42917</v>
      </c>
      <c r="E4374" t="s">
        <v>29</v>
      </c>
      <c r="F4374">
        <v>131.80000000000001</v>
      </c>
      <c r="G4374" t="str">
        <f>VLOOKUP(Table1_2[[#This Row],[Categories]],Sheet3!$A$1:$B$27,2,FALSE)</f>
        <v>General index</v>
      </c>
    </row>
    <row r="4375" spans="1:7" x14ac:dyDescent="0.3">
      <c r="A4375" t="s">
        <v>34</v>
      </c>
      <c r="B4375">
        <v>2017</v>
      </c>
      <c r="C4375" t="s">
        <v>40</v>
      </c>
      <c r="D4375" s="2">
        <v>42917</v>
      </c>
      <c r="E4375" t="s">
        <v>3</v>
      </c>
      <c r="F4375">
        <v>133.6</v>
      </c>
      <c r="G4375" t="str">
        <f>VLOOKUP(Table1_2[[#This Row],[Categories]],Sheet3!$A$1:$B$27,2,FALSE)</f>
        <v>Food &amp;Beverage</v>
      </c>
    </row>
    <row r="4376" spans="1:7" x14ac:dyDescent="0.3">
      <c r="A4376" t="s">
        <v>34</v>
      </c>
      <c r="B4376">
        <v>2017</v>
      </c>
      <c r="C4376" t="s">
        <v>40</v>
      </c>
      <c r="D4376" s="2">
        <v>42917</v>
      </c>
      <c r="E4376" t="s">
        <v>4</v>
      </c>
      <c r="F4376">
        <v>145.69999999999999</v>
      </c>
      <c r="G4376" t="str">
        <f>VLOOKUP(Table1_2[[#This Row],[Categories]],Sheet3!$A$1:$B$27,2,FALSE)</f>
        <v>Food &amp;Beverage</v>
      </c>
    </row>
    <row r="4377" spans="1:7" x14ac:dyDescent="0.3">
      <c r="A4377" t="s">
        <v>34</v>
      </c>
      <c r="B4377">
        <v>2017</v>
      </c>
      <c r="C4377" t="s">
        <v>40</v>
      </c>
      <c r="D4377" s="2">
        <v>42917</v>
      </c>
      <c r="E4377" t="s">
        <v>5</v>
      </c>
      <c r="F4377">
        <v>129.6</v>
      </c>
      <c r="G4377" t="str">
        <f>VLOOKUP(Table1_2[[#This Row],[Categories]],Sheet3!$A$1:$B$27,2,FALSE)</f>
        <v>Food &amp;Beverage</v>
      </c>
    </row>
    <row r="4378" spans="1:7" x14ac:dyDescent="0.3">
      <c r="A4378" t="s">
        <v>34</v>
      </c>
      <c r="B4378">
        <v>2017</v>
      </c>
      <c r="C4378" t="s">
        <v>40</v>
      </c>
      <c r="D4378" s="2">
        <v>42917</v>
      </c>
      <c r="E4378" t="s">
        <v>6</v>
      </c>
      <c r="F4378">
        <v>138.5</v>
      </c>
      <c r="G4378" t="str">
        <f>VLOOKUP(Table1_2[[#This Row],[Categories]],Sheet3!$A$1:$B$27,2,FALSE)</f>
        <v>Food &amp;Beverage</v>
      </c>
    </row>
    <row r="4379" spans="1:7" x14ac:dyDescent="0.3">
      <c r="A4379" t="s">
        <v>34</v>
      </c>
      <c r="B4379">
        <v>2017</v>
      </c>
      <c r="C4379" t="s">
        <v>40</v>
      </c>
      <c r="D4379" s="2">
        <v>42917</v>
      </c>
      <c r="E4379" t="s">
        <v>7</v>
      </c>
      <c r="F4379">
        <v>118.1</v>
      </c>
      <c r="G4379" t="str">
        <f>VLOOKUP(Table1_2[[#This Row],[Categories]],Sheet3!$A$1:$B$27,2,FALSE)</f>
        <v>Food &amp;Beverage</v>
      </c>
    </row>
    <row r="4380" spans="1:7" x14ac:dyDescent="0.3">
      <c r="A4380" t="s">
        <v>34</v>
      </c>
      <c r="B4380">
        <v>2017</v>
      </c>
      <c r="C4380" t="s">
        <v>40</v>
      </c>
      <c r="D4380" s="2">
        <v>42917</v>
      </c>
      <c r="E4380" t="s">
        <v>8</v>
      </c>
      <c r="F4380">
        <v>141.80000000000001</v>
      </c>
      <c r="G4380" t="str">
        <f>VLOOKUP(Table1_2[[#This Row],[Categories]],Sheet3!$A$1:$B$27,2,FALSE)</f>
        <v>Food &amp;Beverage</v>
      </c>
    </row>
    <row r="4381" spans="1:7" x14ac:dyDescent="0.3">
      <c r="A4381" t="s">
        <v>34</v>
      </c>
      <c r="B4381">
        <v>2017</v>
      </c>
      <c r="C4381" t="s">
        <v>40</v>
      </c>
      <c r="D4381" s="2">
        <v>42917</v>
      </c>
      <c r="E4381" t="s">
        <v>9</v>
      </c>
      <c r="F4381">
        <v>159.5</v>
      </c>
      <c r="G4381" t="str">
        <f>VLOOKUP(Table1_2[[#This Row],[Categories]],Sheet3!$A$1:$B$27,2,FALSE)</f>
        <v>Food &amp;Beverage</v>
      </c>
    </row>
    <row r="4382" spans="1:7" x14ac:dyDescent="0.3">
      <c r="A4382" t="s">
        <v>34</v>
      </c>
      <c r="B4382">
        <v>2017</v>
      </c>
      <c r="C4382" t="s">
        <v>40</v>
      </c>
      <c r="D4382" s="2">
        <v>42917</v>
      </c>
      <c r="E4382" t="s">
        <v>10</v>
      </c>
      <c r="F4382">
        <v>133.6</v>
      </c>
      <c r="G4382" t="str">
        <f>VLOOKUP(Table1_2[[#This Row],[Categories]],Sheet3!$A$1:$B$27,2,FALSE)</f>
        <v>Food &amp;Beverage</v>
      </c>
    </row>
    <row r="4383" spans="1:7" x14ac:dyDescent="0.3">
      <c r="A4383" t="s">
        <v>34</v>
      </c>
      <c r="B4383">
        <v>2017</v>
      </c>
      <c r="C4383" t="s">
        <v>40</v>
      </c>
      <c r="D4383" s="2">
        <v>42917</v>
      </c>
      <c r="E4383" t="s">
        <v>11</v>
      </c>
      <c r="F4383">
        <v>120.5</v>
      </c>
      <c r="G4383" t="str">
        <f>VLOOKUP(Table1_2[[#This Row],[Categories]],Sheet3!$A$1:$B$27,2,FALSE)</f>
        <v>Food &amp;Beverage</v>
      </c>
    </row>
    <row r="4384" spans="1:7" x14ac:dyDescent="0.3">
      <c r="A4384" t="s">
        <v>34</v>
      </c>
      <c r="B4384">
        <v>2017</v>
      </c>
      <c r="C4384" t="s">
        <v>40</v>
      </c>
      <c r="D4384" s="2">
        <v>42917</v>
      </c>
      <c r="E4384" t="s">
        <v>12</v>
      </c>
      <c r="F4384">
        <v>135.19999999999999</v>
      </c>
      <c r="G4384" t="str">
        <f>VLOOKUP(Table1_2[[#This Row],[Categories]],Sheet3!$A$1:$B$27,2,FALSE)</f>
        <v>Food &amp;Beverage</v>
      </c>
    </row>
    <row r="4385" spans="1:7" x14ac:dyDescent="0.3">
      <c r="A4385" t="s">
        <v>34</v>
      </c>
      <c r="B4385">
        <v>2017</v>
      </c>
      <c r="C4385" t="s">
        <v>40</v>
      </c>
      <c r="D4385" s="2">
        <v>42917</v>
      </c>
      <c r="E4385" t="s">
        <v>13</v>
      </c>
      <c r="F4385">
        <v>128.5</v>
      </c>
      <c r="G4385" t="str">
        <f>VLOOKUP(Table1_2[[#This Row],[Categories]],Sheet3!$A$1:$B$27,2,FALSE)</f>
        <v>Food &amp;Beverage</v>
      </c>
    </row>
    <row r="4386" spans="1:7" x14ac:dyDescent="0.3">
      <c r="A4386" t="s">
        <v>34</v>
      </c>
      <c r="B4386">
        <v>2017</v>
      </c>
      <c r="C4386" t="s">
        <v>40</v>
      </c>
      <c r="D4386" s="2">
        <v>42917</v>
      </c>
      <c r="E4386" t="s">
        <v>14</v>
      </c>
      <c r="F4386">
        <v>145.80000000000001</v>
      </c>
      <c r="G4386" t="str">
        <f>VLOOKUP(Table1_2[[#This Row],[Categories]],Sheet3!$A$1:$B$27,2,FALSE)</f>
        <v>Food &amp;Beverage</v>
      </c>
    </row>
    <row r="4387" spans="1:7" x14ac:dyDescent="0.3">
      <c r="A4387" t="s">
        <v>34</v>
      </c>
      <c r="B4387">
        <v>2017</v>
      </c>
      <c r="C4387" t="s">
        <v>40</v>
      </c>
      <c r="D4387" s="2">
        <v>42917</v>
      </c>
      <c r="E4387" t="s">
        <v>15</v>
      </c>
      <c r="F4387">
        <v>139</v>
      </c>
      <c r="G4387" t="str">
        <f>VLOOKUP(Table1_2[[#This Row],[Categories]],Sheet3!$A$1:$B$27,2,FALSE)</f>
        <v>Food &amp;Beverage</v>
      </c>
    </row>
    <row r="4388" spans="1:7" x14ac:dyDescent="0.3">
      <c r="A4388" t="s">
        <v>34</v>
      </c>
      <c r="B4388">
        <v>2017</v>
      </c>
      <c r="C4388" t="s">
        <v>40</v>
      </c>
      <c r="D4388" s="2">
        <v>42917</v>
      </c>
      <c r="E4388" t="s">
        <v>16</v>
      </c>
      <c r="F4388">
        <v>148.19999999999999</v>
      </c>
      <c r="G4388" t="str">
        <f>VLOOKUP(Table1_2[[#This Row],[Categories]],Sheet3!$A$1:$B$27,2,FALSE)</f>
        <v>Recreation and amusement</v>
      </c>
    </row>
    <row r="4389" spans="1:7" x14ac:dyDescent="0.3">
      <c r="A4389" t="s">
        <v>34</v>
      </c>
      <c r="B4389">
        <v>2017</v>
      </c>
      <c r="C4389" t="s">
        <v>40</v>
      </c>
      <c r="D4389" s="2">
        <v>42917</v>
      </c>
      <c r="E4389" t="s">
        <v>17</v>
      </c>
      <c r="F4389">
        <v>139.30000000000001</v>
      </c>
      <c r="G4389" t="str">
        <f>VLOOKUP(Table1_2[[#This Row],[Categories]],Sheet3!$A$1:$B$27,2,FALSE)</f>
        <v>Clothing and footwear</v>
      </c>
    </row>
    <row r="4390" spans="1:7" x14ac:dyDescent="0.3">
      <c r="A4390" t="s">
        <v>34</v>
      </c>
      <c r="B4390">
        <v>2017</v>
      </c>
      <c r="C4390" t="s">
        <v>40</v>
      </c>
      <c r="D4390" s="2">
        <v>42917</v>
      </c>
      <c r="E4390" t="s">
        <v>18</v>
      </c>
      <c r="F4390">
        <v>132.1</v>
      </c>
      <c r="G4390" t="str">
        <f>VLOOKUP(Table1_2[[#This Row],[Categories]],Sheet3!$A$1:$B$27,2,FALSE)</f>
        <v>Clothing and footwear</v>
      </c>
    </row>
    <row r="4391" spans="1:7" x14ac:dyDescent="0.3">
      <c r="A4391" t="s">
        <v>34</v>
      </c>
      <c r="B4391">
        <v>2017</v>
      </c>
      <c r="C4391" t="s">
        <v>40</v>
      </c>
      <c r="D4391" s="2">
        <v>42917</v>
      </c>
      <c r="E4391" t="s">
        <v>19</v>
      </c>
      <c r="F4391">
        <v>138.30000000000001</v>
      </c>
      <c r="G4391" t="str">
        <f>VLOOKUP(Table1_2[[#This Row],[Categories]],Sheet3!$A$1:$B$27,2,FALSE)</f>
        <v>Clothing and footwear</v>
      </c>
    </row>
    <row r="4392" spans="1:7" x14ac:dyDescent="0.3">
      <c r="A4392" t="s">
        <v>34</v>
      </c>
      <c r="B4392">
        <v>2017</v>
      </c>
      <c r="C4392" t="s">
        <v>40</v>
      </c>
      <c r="D4392" s="2">
        <v>42917</v>
      </c>
      <c r="E4392" t="s">
        <v>20</v>
      </c>
      <c r="F4392">
        <v>132.6</v>
      </c>
      <c r="G4392" t="str">
        <f>VLOOKUP(Table1_2[[#This Row],[Categories]],Sheet3!$A$1:$B$27,2,FALSE)</f>
        <v>Housing</v>
      </c>
    </row>
    <row r="4393" spans="1:7" x14ac:dyDescent="0.3">
      <c r="A4393" t="s">
        <v>34</v>
      </c>
      <c r="B4393">
        <v>2017</v>
      </c>
      <c r="C4393" t="s">
        <v>40</v>
      </c>
      <c r="D4393" s="2">
        <v>42917</v>
      </c>
      <c r="E4393" t="s">
        <v>21</v>
      </c>
      <c r="F4393">
        <v>129.4</v>
      </c>
      <c r="G4393" t="str">
        <f>VLOOKUP(Table1_2[[#This Row],[Categories]],Sheet3!$A$1:$B$27,2,FALSE)</f>
        <v>Fuel and light</v>
      </c>
    </row>
    <row r="4394" spans="1:7" x14ac:dyDescent="0.3">
      <c r="A4394" t="s">
        <v>34</v>
      </c>
      <c r="B4394">
        <v>2017</v>
      </c>
      <c r="C4394" t="s">
        <v>40</v>
      </c>
      <c r="D4394" s="2">
        <v>42917</v>
      </c>
      <c r="E4394" t="s">
        <v>22</v>
      </c>
      <c r="F4394">
        <v>131.9</v>
      </c>
      <c r="G4394" t="str">
        <f>VLOOKUP(Table1_2[[#This Row],[Categories]],Sheet3!$A$1:$B$27,2,FALSE)</f>
        <v>Household Items</v>
      </c>
    </row>
    <row r="4395" spans="1:7" x14ac:dyDescent="0.3">
      <c r="A4395" t="s">
        <v>34</v>
      </c>
      <c r="B4395">
        <v>2017</v>
      </c>
      <c r="C4395" t="s">
        <v>40</v>
      </c>
      <c r="D4395" s="2">
        <v>42917</v>
      </c>
      <c r="E4395" t="s">
        <v>23</v>
      </c>
      <c r="F4395">
        <v>129.4</v>
      </c>
      <c r="G4395" t="str">
        <f>VLOOKUP(Table1_2[[#This Row],[Categories]],Sheet3!$A$1:$B$27,2,FALSE)</f>
        <v>Health</v>
      </c>
    </row>
    <row r="4396" spans="1:7" x14ac:dyDescent="0.3">
      <c r="A4396" t="s">
        <v>34</v>
      </c>
      <c r="B4396">
        <v>2017</v>
      </c>
      <c r="C4396" t="s">
        <v>40</v>
      </c>
      <c r="D4396" s="2">
        <v>42917</v>
      </c>
      <c r="E4396" t="s">
        <v>24</v>
      </c>
      <c r="F4396">
        <v>116</v>
      </c>
      <c r="G4396" t="str">
        <f>VLOOKUP(Table1_2[[#This Row],[Categories]],Sheet3!$A$1:$B$27,2,FALSE)</f>
        <v>Transport and communication</v>
      </c>
    </row>
    <row r="4397" spans="1:7" x14ac:dyDescent="0.3">
      <c r="A4397" t="s">
        <v>34</v>
      </c>
      <c r="B4397">
        <v>2017</v>
      </c>
      <c r="C4397" t="s">
        <v>40</v>
      </c>
      <c r="D4397" s="2">
        <v>42917</v>
      </c>
      <c r="E4397" t="s">
        <v>25</v>
      </c>
      <c r="F4397">
        <v>126.6</v>
      </c>
      <c r="G4397" t="str">
        <f>VLOOKUP(Table1_2[[#This Row],[Categories]],Sheet3!$A$1:$B$27,2,FALSE)</f>
        <v>Recreation and amusement</v>
      </c>
    </row>
    <row r="4398" spans="1:7" x14ac:dyDescent="0.3">
      <c r="A4398" t="s">
        <v>34</v>
      </c>
      <c r="B4398">
        <v>2017</v>
      </c>
      <c r="C4398" t="s">
        <v>40</v>
      </c>
      <c r="D4398" s="2">
        <v>42917</v>
      </c>
      <c r="E4398" t="s">
        <v>26</v>
      </c>
      <c r="F4398">
        <v>136.80000000000001</v>
      </c>
      <c r="G4398" t="str">
        <f>VLOOKUP(Table1_2[[#This Row],[Categories]],Sheet3!$A$1:$B$27,2,FALSE)</f>
        <v>Education</v>
      </c>
    </row>
    <row r="4399" spans="1:7" x14ac:dyDescent="0.3">
      <c r="A4399" t="s">
        <v>34</v>
      </c>
      <c r="B4399">
        <v>2017</v>
      </c>
      <c r="C4399" t="s">
        <v>40</v>
      </c>
      <c r="D4399" s="2">
        <v>42917</v>
      </c>
      <c r="E4399" t="s">
        <v>27</v>
      </c>
      <c r="F4399">
        <v>123.6</v>
      </c>
      <c r="G4399" t="str">
        <f>VLOOKUP(Table1_2[[#This Row],[Categories]],Sheet3!$A$1:$B$27,2,FALSE)</f>
        <v>Household Items</v>
      </c>
    </row>
    <row r="4400" spans="1:7" x14ac:dyDescent="0.3">
      <c r="A4400" t="s">
        <v>34</v>
      </c>
      <c r="B4400">
        <v>2017</v>
      </c>
      <c r="C4400" t="s">
        <v>40</v>
      </c>
      <c r="D4400" s="2">
        <v>42917</v>
      </c>
      <c r="E4400" t="s">
        <v>28</v>
      </c>
      <c r="F4400">
        <v>125.9</v>
      </c>
      <c r="G4400" t="str">
        <f>VLOOKUP(Table1_2[[#This Row],[Categories]],Sheet3!$A$1:$B$27,2,FALSE)</f>
        <v>Miscellaneous</v>
      </c>
    </row>
    <row r="4401" spans="1:7" x14ac:dyDescent="0.3">
      <c r="A4401" t="s">
        <v>34</v>
      </c>
      <c r="B4401">
        <v>2017</v>
      </c>
      <c r="C4401" t="s">
        <v>40</v>
      </c>
      <c r="D4401" s="2">
        <v>42917</v>
      </c>
      <c r="E4401" t="s">
        <v>29</v>
      </c>
      <c r="F4401">
        <v>134.19999999999999</v>
      </c>
      <c r="G4401" t="str">
        <f>VLOOKUP(Table1_2[[#This Row],[Categories]],Sheet3!$A$1:$B$27,2,FALSE)</f>
        <v>General index</v>
      </c>
    </row>
    <row r="4402" spans="1:7" x14ac:dyDescent="0.3">
      <c r="A4402" t="s">
        <v>30</v>
      </c>
      <c r="B4402">
        <v>2017</v>
      </c>
      <c r="C4402" t="s">
        <v>41</v>
      </c>
      <c r="D4402" s="2">
        <v>42948</v>
      </c>
      <c r="E4402" t="s">
        <v>3</v>
      </c>
      <c r="F4402">
        <v>134.80000000000001</v>
      </c>
      <c r="G4402" t="str">
        <f>VLOOKUP(Table1_2[[#This Row],[Categories]],Sheet3!$A$1:$B$27,2,FALSE)</f>
        <v>Food &amp;Beverage</v>
      </c>
    </row>
    <row r="4403" spans="1:7" x14ac:dyDescent="0.3">
      <c r="A4403" t="s">
        <v>30</v>
      </c>
      <c r="B4403">
        <v>2017</v>
      </c>
      <c r="C4403" t="s">
        <v>41</v>
      </c>
      <c r="D4403" s="2">
        <v>42948</v>
      </c>
      <c r="E4403" t="s">
        <v>4</v>
      </c>
      <c r="F4403">
        <v>143.1</v>
      </c>
      <c r="G4403" t="str">
        <f>VLOOKUP(Table1_2[[#This Row],[Categories]],Sheet3!$A$1:$B$27,2,FALSE)</f>
        <v>Food &amp;Beverage</v>
      </c>
    </row>
    <row r="4404" spans="1:7" x14ac:dyDescent="0.3">
      <c r="A4404" t="s">
        <v>30</v>
      </c>
      <c r="B4404">
        <v>2017</v>
      </c>
      <c r="C4404" t="s">
        <v>41</v>
      </c>
      <c r="D4404" s="2">
        <v>42948</v>
      </c>
      <c r="E4404" t="s">
        <v>5</v>
      </c>
      <c r="F4404">
        <v>130</v>
      </c>
      <c r="G4404" t="str">
        <f>VLOOKUP(Table1_2[[#This Row],[Categories]],Sheet3!$A$1:$B$27,2,FALSE)</f>
        <v>Food &amp;Beverage</v>
      </c>
    </row>
    <row r="4405" spans="1:7" x14ac:dyDescent="0.3">
      <c r="A4405" t="s">
        <v>30</v>
      </c>
      <c r="B4405">
        <v>2017</v>
      </c>
      <c r="C4405" t="s">
        <v>41</v>
      </c>
      <c r="D4405" s="2">
        <v>42948</v>
      </c>
      <c r="E4405" t="s">
        <v>6</v>
      </c>
      <c r="F4405">
        <v>139.4</v>
      </c>
      <c r="G4405" t="str">
        <f>VLOOKUP(Table1_2[[#This Row],[Categories]],Sheet3!$A$1:$B$27,2,FALSE)</f>
        <v>Food &amp;Beverage</v>
      </c>
    </row>
    <row r="4406" spans="1:7" x14ac:dyDescent="0.3">
      <c r="A4406" t="s">
        <v>30</v>
      </c>
      <c r="B4406">
        <v>2017</v>
      </c>
      <c r="C4406" t="s">
        <v>41</v>
      </c>
      <c r="D4406" s="2">
        <v>42948</v>
      </c>
      <c r="E4406" t="s">
        <v>7</v>
      </c>
      <c r="F4406">
        <v>120.5</v>
      </c>
      <c r="G4406" t="str">
        <f>VLOOKUP(Table1_2[[#This Row],[Categories]],Sheet3!$A$1:$B$27,2,FALSE)</f>
        <v>Food &amp;Beverage</v>
      </c>
    </row>
    <row r="4407" spans="1:7" x14ac:dyDescent="0.3">
      <c r="A4407" t="s">
        <v>30</v>
      </c>
      <c r="B4407">
        <v>2017</v>
      </c>
      <c r="C4407" t="s">
        <v>41</v>
      </c>
      <c r="D4407" s="2">
        <v>42948</v>
      </c>
      <c r="E4407" t="s">
        <v>8</v>
      </c>
      <c r="F4407">
        <v>148</v>
      </c>
      <c r="G4407" t="str">
        <f>VLOOKUP(Table1_2[[#This Row],[Categories]],Sheet3!$A$1:$B$27,2,FALSE)</f>
        <v>Food &amp;Beverage</v>
      </c>
    </row>
    <row r="4408" spans="1:7" x14ac:dyDescent="0.3">
      <c r="A4408" t="s">
        <v>30</v>
      </c>
      <c r="B4408">
        <v>2017</v>
      </c>
      <c r="C4408" t="s">
        <v>41</v>
      </c>
      <c r="D4408" s="2">
        <v>42948</v>
      </c>
      <c r="E4408" t="s">
        <v>9</v>
      </c>
      <c r="F4408">
        <v>162.9</v>
      </c>
      <c r="G4408" t="str">
        <f>VLOOKUP(Table1_2[[#This Row],[Categories]],Sheet3!$A$1:$B$27,2,FALSE)</f>
        <v>Food &amp;Beverage</v>
      </c>
    </row>
    <row r="4409" spans="1:7" x14ac:dyDescent="0.3">
      <c r="A4409" t="s">
        <v>30</v>
      </c>
      <c r="B4409">
        <v>2017</v>
      </c>
      <c r="C4409" t="s">
        <v>41</v>
      </c>
      <c r="D4409" s="2">
        <v>42948</v>
      </c>
      <c r="E4409" t="s">
        <v>10</v>
      </c>
      <c r="F4409">
        <v>137.4</v>
      </c>
      <c r="G4409" t="str">
        <f>VLOOKUP(Table1_2[[#This Row],[Categories]],Sheet3!$A$1:$B$27,2,FALSE)</f>
        <v>Food &amp;Beverage</v>
      </c>
    </row>
    <row r="4410" spans="1:7" x14ac:dyDescent="0.3">
      <c r="A4410" t="s">
        <v>30</v>
      </c>
      <c r="B4410">
        <v>2017</v>
      </c>
      <c r="C4410" t="s">
        <v>41</v>
      </c>
      <c r="D4410" s="2">
        <v>42948</v>
      </c>
      <c r="E4410" t="s">
        <v>11</v>
      </c>
      <c r="F4410">
        <v>120.8</v>
      </c>
      <c r="G4410" t="str">
        <f>VLOOKUP(Table1_2[[#This Row],[Categories]],Sheet3!$A$1:$B$27,2,FALSE)</f>
        <v>Food &amp;Beverage</v>
      </c>
    </row>
    <row r="4411" spans="1:7" x14ac:dyDescent="0.3">
      <c r="A4411" t="s">
        <v>30</v>
      </c>
      <c r="B4411">
        <v>2017</v>
      </c>
      <c r="C4411" t="s">
        <v>41</v>
      </c>
      <c r="D4411" s="2">
        <v>42948</v>
      </c>
      <c r="E4411" t="s">
        <v>12</v>
      </c>
      <c r="F4411">
        <v>134.69999999999999</v>
      </c>
      <c r="G4411" t="str">
        <f>VLOOKUP(Table1_2[[#This Row],[Categories]],Sheet3!$A$1:$B$27,2,FALSE)</f>
        <v>Food &amp;Beverage</v>
      </c>
    </row>
    <row r="4412" spans="1:7" x14ac:dyDescent="0.3">
      <c r="A4412" t="s">
        <v>30</v>
      </c>
      <c r="B4412">
        <v>2017</v>
      </c>
      <c r="C4412" t="s">
        <v>41</v>
      </c>
      <c r="D4412" s="2">
        <v>42948</v>
      </c>
      <c r="E4412" t="s">
        <v>13</v>
      </c>
      <c r="F4412">
        <v>131.6</v>
      </c>
      <c r="G4412" t="str">
        <f>VLOOKUP(Table1_2[[#This Row],[Categories]],Sheet3!$A$1:$B$27,2,FALSE)</f>
        <v>Food &amp;Beverage</v>
      </c>
    </row>
    <row r="4413" spans="1:7" x14ac:dyDescent="0.3">
      <c r="A4413" t="s">
        <v>30</v>
      </c>
      <c r="B4413">
        <v>2017</v>
      </c>
      <c r="C4413" t="s">
        <v>41</v>
      </c>
      <c r="D4413" s="2">
        <v>42948</v>
      </c>
      <c r="E4413" t="s">
        <v>14</v>
      </c>
      <c r="F4413">
        <v>148.69999999999999</v>
      </c>
      <c r="G4413" t="str">
        <f>VLOOKUP(Table1_2[[#This Row],[Categories]],Sheet3!$A$1:$B$27,2,FALSE)</f>
        <v>Food &amp;Beverage</v>
      </c>
    </row>
    <row r="4414" spans="1:7" x14ac:dyDescent="0.3">
      <c r="A4414" t="s">
        <v>30</v>
      </c>
      <c r="B4414">
        <v>2017</v>
      </c>
      <c r="C4414" t="s">
        <v>41</v>
      </c>
      <c r="D4414" s="2">
        <v>42948</v>
      </c>
      <c r="E4414" t="s">
        <v>15</v>
      </c>
      <c r="F4414">
        <v>140.6</v>
      </c>
      <c r="G4414" t="str">
        <f>VLOOKUP(Table1_2[[#This Row],[Categories]],Sheet3!$A$1:$B$27,2,FALSE)</f>
        <v>Food &amp;Beverage</v>
      </c>
    </row>
    <row r="4415" spans="1:7" x14ac:dyDescent="0.3">
      <c r="A4415" t="s">
        <v>30</v>
      </c>
      <c r="B4415">
        <v>2017</v>
      </c>
      <c r="C4415" t="s">
        <v>41</v>
      </c>
      <c r="D4415" s="2">
        <v>42948</v>
      </c>
      <c r="E4415" t="s">
        <v>16</v>
      </c>
      <c r="F4415">
        <v>149</v>
      </c>
      <c r="G4415" t="str">
        <f>VLOOKUP(Table1_2[[#This Row],[Categories]],Sheet3!$A$1:$B$27,2,FALSE)</f>
        <v>Recreation and amusement</v>
      </c>
    </row>
    <row r="4416" spans="1:7" x14ac:dyDescent="0.3">
      <c r="A4416" t="s">
        <v>30</v>
      </c>
      <c r="B4416">
        <v>2017</v>
      </c>
      <c r="C4416" t="s">
        <v>41</v>
      </c>
      <c r="D4416" s="2">
        <v>42948</v>
      </c>
      <c r="E4416" t="s">
        <v>17</v>
      </c>
      <c r="F4416">
        <v>145.30000000000001</v>
      </c>
      <c r="G4416" t="str">
        <f>VLOOKUP(Table1_2[[#This Row],[Categories]],Sheet3!$A$1:$B$27,2,FALSE)</f>
        <v>Clothing and footwear</v>
      </c>
    </row>
    <row r="4417" spans="1:7" x14ac:dyDescent="0.3">
      <c r="A4417" t="s">
        <v>30</v>
      </c>
      <c r="B4417">
        <v>2017</v>
      </c>
      <c r="C4417" t="s">
        <v>41</v>
      </c>
      <c r="D4417" s="2">
        <v>42948</v>
      </c>
      <c r="E4417" t="s">
        <v>18</v>
      </c>
      <c r="F4417">
        <v>139.19999999999999</v>
      </c>
      <c r="G4417" t="str">
        <f>VLOOKUP(Table1_2[[#This Row],[Categories]],Sheet3!$A$1:$B$27,2,FALSE)</f>
        <v>Clothing and footwear</v>
      </c>
    </row>
    <row r="4418" spans="1:7" x14ac:dyDescent="0.3">
      <c r="A4418" t="s">
        <v>30</v>
      </c>
      <c r="B4418">
        <v>2017</v>
      </c>
      <c r="C4418" t="s">
        <v>41</v>
      </c>
      <c r="D4418" s="2">
        <v>42948</v>
      </c>
      <c r="E4418" t="s">
        <v>19</v>
      </c>
      <c r="F4418">
        <v>144.5</v>
      </c>
      <c r="G4418" t="str">
        <f>VLOOKUP(Table1_2[[#This Row],[Categories]],Sheet3!$A$1:$B$27,2,FALSE)</f>
        <v>Clothing and footwear</v>
      </c>
    </row>
    <row r="4419" spans="1:7" x14ac:dyDescent="0.3">
      <c r="A4419" t="s">
        <v>30</v>
      </c>
      <c r="B4419">
        <v>2017</v>
      </c>
      <c r="C4419" t="s">
        <v>41</v>
      </c>
      <c r="D4419" s="2">
        <v>42948</v>
      </c>
      <c r="E4419" t="s">
        <v>21</v>
      </c>
      <c r="F4419">
        <v>136.4</v>
      </c>
      <c r="G4419" t="str">
        <f>VLOOKUP(Table1_2[[#This Row],[Categories]],Sheet3!$A$1:$B$27,2,FALSE)</f>
        <v>Fuel and light</v>
      </c>
    </row>
    <row r="4420" spans="1:7" x14ac:dyDescent="0.3">
      <c r="A4420" t="s">
        <v>30</v>
      </c>
      <c r="B4420">
        <v>2017</v>
      </c>
      <c r="C4420" t="s">
        <v>41</v>
      </c>
      <c r="D4420" s="2">
        <v>42948</v>
      </c>
      <c r="E4420" t="s">
        <v>22</v>
      </c>
      <c r="F4420">
        <v>137.30000000000001</v>
      </c>
      <c r="G4420" t="str">
        <f>VLOOKUP(Table1_2[[#This Row],[Categories]],Sheet3!$A$1:$B$27,2,FALSE)</f>
        <v>Household Items</v>
      </c>
    </row>
    <row r="4421" spans="1:7" x14ac:dyDescent="0.3">
      <c r="A4421" t="s">
        <v>30</v>
      </c>
      <c r="B4421">
        <v>2017</v>
      </c>
      <c r="C4421" t="s">
        <v>41</v>
      </c>
      <c r="D4421" s="2">
        <v>42948</v>
      </c>
      <c r="E4421" t="s">
        <v>23</v>
      </c>
      <c r="F4421">
        <v>133</v>
      </c>
      <c r="G4421" t="str">
        <f>VLOOKUP(Table1_2[[#This Row],[Categories]],Sheet3!$A$1:$B$27,2,FALSE)</f>
        <v>Health</v>
      </c>
    </row>
    <row r="4422" spans="1:7" x14ac:dyDescent="0.3">
      <c r="A4422" t="s">
        <v>30</v>
      </c>
      <c r="B4422">
        <v>2017</v>
      </c>
      <c r="C4422" t="s">
        <v>41</v>
      </c>
      <c r="D4422" s="2">
        <v>42948</v>
      </c>
      <c r="E4422" t="s">
        <v>24</v>
      </c>
      <c r="F4422">
        <v>120.3</v>
      </c>
      <c r="G4422" t="str">
        <f>VLOOKUP(Table1_2[[#This Row],[Categories]],Sheet3!$A$1:$B$27,2,FALSE)</f>
        <v>Transport and communication</v>
      </c>
    </row>
    <row r="4423" spans="1:7" x14ac:dyDescent="0.3">
      <c r="A4423" t="s">
        <v>30</v>
      </c>
      <c r="B4423">
        <v>2017</v>
      </c>
      <c r="C4423" t="s">
        <v>41</v>
      </c>
      <c r="D4423" s="2">
        <v>42948</v>
      </c>
      <c r="E4423" t="s">
        <v>25</v>
      </c>
      <c r="F4423">
        <v>131.5</v>
      </c>
      <c r="G4423" t="str">
        <f>VLOOKUP(Table1_2[[#This Row],[Categories]],Sheet3!$A$1:$B$27,2,FALSE)</f>
        <v>Recreation and amusement</v>
      </c>
    </row>
    <row r="4424" spans="1:7" x14ac:dyDescent="0.3">
      <c r="A4424" t="s">
        <v>30</v>
      </c>
      <c r="B4424">
        <v>2017</v>
      </c>
      <c r="C4424" t="s">
        <v>41</v>
      </c>
      <c r="D4424" s="2">
        <v>42948</v>
      </c>
      <c r="E4424" t="s">
        <v>26</v>
      </c>
      <c r="F4424">
        <v>140.19999999999999</v>
      </c>
      <c r="G4424" t="str">
        <f>VLOOKUP(Table1_2[[#This Row],[Categories]],Sheet3!$A$1:$B$27,2,FALSE)</f>
        <v>Education</v>
      </c>
    </row>
    <row r="4425" spans="1:7" x14ac:dyDescent="0.3">
      <c r="A4425" t="s">
        <v>30</v>
      </c>
      <c r="B4425">
        <v>2017</v>
      </c>
      <c r="C4425" t="s">
        <v>41</v>
      </c>
      <c r="D4425" s="2">
        <v>42948</v>
      </c>
      <c r="E4425" t="s">
        <v>27</v>
      </c>
      <c r="F4425">
        <v>125.4</v>
      </c>
      <c r="G4425" t="str">
        <f>VLOOKUP(Table1_2[[#This Row],[Categories]],Sheet3!$A$1:$B$27,2,FALSE)</f>
        <v>Household Items</v>
      </c>
    </row>
    <row r="4426" spans="1:7" x14ac:dyDescent="0.3">
      <c r="A4426" t="s">
        <v>30</v>
      </c>
      <c r="B4426">
        <v>2017</v>
      </c>
      <c r="C4426" t="s">
        <v>41</v>
      </c>
      <c r="D4426" s="2">
        <v>42948</v>
      </c>
      <c r="E4426" t="s">
        <v>28</v>
      </c>
      <c r="F4426">
        <v>129.69999999999999</v>
      </c>
      <c r="G4426" t="str">
        <f>VLOOKUP(Table1_2[[#This Row],[Categories]],Sheet3!$A$1:$B$27,2,FALSE)</f>
        <v>Miscellaneous</v>
      </c>
    </row>
    <row r="4427" spans="1:7" x14ac:dyDescent="0.3">
      <c r="A4427" t="s">
        <v>30</v>
      </c>
      <c r="B4427">
        <v>2017</v>
      </c>
      <c r="C4427" t="s">
        <v>41</v>
      </c>
      <c r="D4427" s="2">
        <v>42948</v>
      </c>
      <c r="E4427" t="s">
        <v>29</v>
      </c>
      <c r="F4427">
        <v>137.80000000000001</v>
      </c>
      <c r="G4427" t="str">
        <f>VLOOKUP(Table1_2[[#This Row],[Categories]],Sheet3!$A$1:$B$27,2,FALSE)</f>
        <v>General index</v>
      </c>
    </row>
    <row r="4428" spans="1:7" x14ac:dyDescent="0.3">
      <c r="A4428" t="s">
        <v>33</v>
      </c>
      <c r="B4428">
        <v>2017</v>
      </c>
      <c r="C4428" t="s">
        <v>41</v>
      </c>
      <c r="D4428" s="2">
        <v>42948</v>
      </c>
      <c r="E4428" t="s">
        <v>3</v>
      </c>
      <c r="F4428">
        <v>133.19999999999999</v>
      </c>
      <c r="G4428" t="str">
        <f>VLOOKUP(Table1_2[[#This Row],[Categories]],Sheet3!$A$1:$B$27,2,FALSE)</f>
        <v>Food &amp;Beverage</v>
      </c>
    </row>
    <row r="4429" spans="1:7" x14ac:dyDescent="0.3">
      <c r="A4429" t="s">
        <v>33</v>
      </c>
      <c r="B4429">
        <v>2017</v>
      </c>
      <c r="C4429" t="s">
        <v>41</v>
      </c>
      <c r="D4429" s="2">
        <v>42948</v>
      </c>
      <c r="E4429" t="s">
        <v>4</v>
      </c>
      <c r="F4429">
        <v>143.9</v>
      </c>
      <c r="G4429" t="str">
        <f>VLOOKUP(Table1_2[[#This Row],[Categories]],Sheet3!$A$1:$B$27,2,FALSE)</f>
        <v>Food &amp;Beverage</v>
      </c>
    </row>
    <row r="4430" spans="1:7" x14ac:dyDescent="0.3">
      <c r="A4430" t="s">
        <v>33</v>
      </c>
      <c r="B4430">
        <v>2017</v>
      </c>
      <c r="C4430" t="s">
        <v>41</v>
      </c>
      <c r="D4430" s="2">
        <v>42948</v>
      </c>
      <c r="E4430" t="s">
        <v>5</v>
      </c>
      <c r="F4430">
        <v>128.30000000000001</v>
      </c>
      <c r="G4430" t="str">
        <f>VLOOKUP(Table1_2[[#This Row],[Categories]],Sheet3!$A$1:$B$27,2,FALSE)</f>
        <v>Food &amp;Beverage</v>
      </c>
    </row>
    <row r="4431" spans="1:7" x14ac:dyDescent="0.3">
      <c r="A4431" t="s">
        <v>33</v>
      </c>
      <c r="B4431">
        <v>2017</v>
      </c>
      <c r="C4431" t="s">
        <v>41</v>
      </c>
      <c r="D4431" s="2">
        <v>42948</v>
      </c>
      <c r="E4431" t="s">
        <v>6</v>
      </c>
      <c r="F4431">
        <v>138.30000000000001</v>
      </c>
      <c r="G4431" t="str">
        <f>VLOOKUP(Table1_2[[#This Row],[Categories]],Sheet3!$A$1:$B$27,2,FALSE)</f>
        <v>Food &amp;Beverage</v>
      </c>
    </row>
    <row r="4432" spans="1:7" x14ac:dyDescent="0.3">
      <c r="A4432" t="s">
        <v>33</v>
      </c>
      <c r="B4432">
        <v>2017</v>
      </c>
      <c r="C4432" t="s">
        <v>41</v>
      </c>
      <c r="D4432" s="2">
        <v>42948</v>
      </c>
      <c r="E4432" t="s">
        <v>7</v>
      </c>
      <c r="F4432">
        <v>114.1</v>
      </c>
      <c r="G4432" t="str">
        <f>VLOOKUP(Table1_2[[#This Row],[Categories]],Sheet3!$A$1:$B$27,2,FALSE)</f>
        <v>Food &amp;Beverage</v>
      </c>
    </row>
    <row r="4433" spans="1:7" x14ac:dyDescent="0.3">
      <c r="A4433" t="s">
        <v>33</v>
      </c>
      <c r="B4433">
        <v>2017</v>
      </c>
      <c r="C4433" t="s">
        <v>41</v>
      </c>
      <c r="D4433" s="2">
        <v>42948</v>
      </c>
      <c r="E4433" t="s">
        <v>8</v>
      </c>
      <c r="F4433">
        <v>142.69999999999999</v>
      </c>
      <c r="G4433" t="str">
        <f>VLOOKUP(Table1_2[[#This Row],[Categories]],Sheet3!$A$1:$B$27,2,FALSE)</f>
        <v>Food &amp;Beverage</v>
      </c>
    </row>
    <row r="4434" spans="1:7" x14ac:dyDescent="0.3">
      <c r="A4434" t="s">
        <v>33</v>
      </c>
      <c r="B4434">
        <v>2017</v>
      </c>
      <c r="C4434" t="s">
        <v>41</v>
      </c>
      <c r="D4434" s="2">
        <v>42948</v>
      </c>
      <c r="E4434" t="s">
        <v>9</v>
      </c>
      <c r="F4434">
        <v>179.8</v>
      </c>
      <c r="G4434" t="str">
        <f>VLOOKUP(Table1_2[[#This Row],[Categories]],Sheet3!$A$1:$B$27,2,FALSE)</f>
        <v>Food &amp;Beverage</v>
      </c>
    </row>
    <row r="4435" spans="1:7" x14ac:dyDescent="0.3">
      <c r="A4435" t="s">
        <v>33</v>
      </c>
      <c r="B4435">
        <v>2017</v>
      </c>
      <c r="C4435" t="s">
        <v>41</v>
      </c>
      <c r="D4435" s="2">
        <v>42948</v>
      </c>
      <c r="E4435" t="s">
        <v>10</v>
      </c>
      <c r="F4435">
        <v>123.5</v>
      </c>
      <c r="G4435" t="str">
        <f>VLOOKUP(Table1_2[[#This Row],[Categories]],Sheet3!$A$1:$B$27,2,FALSE)</f>
        <v>Food &amp;Beverage</v>
      </c>
    </row>
    <row r="4436" spans="1:7" x14ac:dyDescent="0.3">
      <c r="A4436" t="s">
        <v>33</v>
      </c>
      <c r="B4436">
        <v>2017</v>
      </c>
      <c r="C4436" t="s">
        <v>41</v>
      </c>
      <c r="D4436" s="2">
        <v>42948</v>
      </c>
      <c r="E4436" t="s">
        <v>11</v>
      </c>
      <c r="F4436">
        <v>122.1</v>
      </c>
      <c r="G4436" t="str">
        <f>VLOOKUP(Table1_2[[#This Row],[Categories]],Sheet3!$A$1:$B$27,2,FALSE)</f>
        <v>Food &amp;Beverage</v>
      </c>
    </row>
    <row r="4437" spans="1:7" x14ac:dyDescent="0.3">
      <c r="A4437" t="s">
        <v>33</v>
      </c>
      <c r="B4437">
        <v>2017</v>
      </c>
      <c r="C4437" t="s">
        <v>41</v>
      </c>
      <c r="D4437" s="2">
        <v>42948</v>
      </c>
      <c r="E4437" t="s">
        <v>12</v>
      </c>
      <c r="F4437">
        <v>137.5</v>
      </c>
      <c r="G4437" t="str">
        <f>VLOOKUP(Table1_2[[#This Row],[Categories]],Sheet3!$A$1:$B$27,2,FALSE)</f>
        <v>Food &amp;Beverage</v>
      </c>
    </row>
    <row r="4438" spans="1:7" x14ac:dyDescent="0.3">
      <c r="A4438" t="s">
        <v>33</v>
      </c>
      <c r="B4438">
        <v>2017</v>
      </c>
      <c r="C4438" t="s">
        <v>41</v>
      </c>
      <c r="D4438" s="2">
        <v>42948</v>
      </c>
      <c r="E4438" t="s">
        <v>13</v>
      </c>
      <c r="F4438">
        <v>124.6</v>
      </c>
      <c r="G4438" t="str">
        <f>VLOOKUP(Table1_2[[#This Row],[Categories]],Sheet3!$A$1:$B$27,2,FALSE)</f>
        <v>Food &amp;Beverage</v>
      </c>
    </row>
    <row r="4439" spans="1:7" x14ac:dyDescent="0.3">
      <c r="A4439" t="s">
        <v>33</v>
      </c>
      <c r="B4439">
        <v>2017</v>
      </c>
      <c r="C4439" t="s">
        <v>41</v>
      </c>
      <c r="D4439" s="2">
        <v>42948</v>
      </c>
      <c r="E4439" t="s">
        <v>14</v>
      </c>
      <c r="F4439">
        <v>144.5</v>
      </c>
      <c r="G4439" t="str">
        <f>VLOOKUP(Table1_2[[#This Row],[Categories]],Sheet3!$A$1:$B$27,2,FALSE)</f>
        <v>Food &amp;Beverage</v>
      </c>
    </row>
    <row r="4440" spans="1:7" x14ac:dyDescent="0.3">
      <c r="A4440" t="s">
        <v>33</v>
      </c>
      <c r="B4440">
        <v>2017</v>
      </c>
      <c r="C4440" t="s">
        <v>41</v>
      </c>
      <c r="D4440" s="2">
        <v>42948</v>
      </c>
      <c r="E4440" t="s">
        <v>15</v>
      </c>
      <c r="F4440">
        <v>140.5</v>
      </c>
      <c r="G4440" t="str">
        <f>VLOOKUP(Table1_2[[#This Row],[Categories]],Sheet3!$A$1:$B$27,2,FALSE)</f>
        <v>Food &amp;Beverage</v>
      </c>
    </row>
    <row r="4441" spans="1:7" x14ac:dyDescent="0.3">
      <c r="A4441" t="s">
        <v>33</v>
      </c>
      <c r="B4441">
        <v>2017</v>
      </c>
      <c r="C4441" t="s">
        <v>41</v>
      </c>
      <c r="D4441" s="2">
        <v>42948</v>
      </c>
      <c r="E4441" t="s">
        <v>16</v>
      </c>
      <c r="F4441">
        <v>152.1</v>
      </c>
      <c r="G4441" t="str">
        <f>VLOOKUP(Table1_2[[#This Row],[Categories]],Sheet3!$A$1:$B$27,2,FALSE)</f>
        <v>Recreation and amusement</v>
      </c>
    </row>
    <row r="4442" spans="1:7" x14ac:dyDescent="0.3">
      <c r="A4442" t="s">
        <v>33</v>
      </c>
      <c r="B4442">
        <v>2017</v>
      </c>
      <c r="C4442" t="s">
        <v>41</v>
      </c>
      <c r="D4442" s="2">
        <v>42948</v>
      </c>
      <c r="E4442" t="s">
        <v>17</v>
      </c>
      <c r="F4442">
        <v>132.69999999999999</v>
      </c>
      <c r="G4442" t="str">
        <f>VLOOKUP(Table1_2[[#This Row],[Categories]],Sheet3!$A$1:$B$27,2,FALSE)</f>
        <v>Clothing and footwear</v>
      </c>
    </row>
    <row r="4443" spans="1:7" x14ac:dyDescent="0.3">
      <c r="A4443" t="s">
        <v>33</v>
      </c>
      <c r="B4443">
        <v>2017</v>
      </c>
      <c r="C4443" t="s">
        <v>41</v>
      </c>
      <c r="D4443" s="2">
        <v>42948</v>
      </c>
      <c r="E4443" t="s">
        <v>18</v>
      </c>
      <c r="F4443">
        <v>124.3</v>
      </c>
      <c r="G4443" t="str">
        <f>VLOOKUP(Table1_2[[#This Row],[Categories]],Sheet3!$A$1:$B$27,2,FALSE)</f>
        <v>Clothing and footwear</v>
      </c>
    </row>
    <row r="4444" spans="1:7" x14ac:dyDescent="0.3">
      <c r="A4444" t="s">
        <v>33</v>
      </c>
      <c r="B4444">
        <v>2017</v>
      </c>
      <c r="C4444" t="s">
        <v>41</v>
      </c>
      <c r="D4444" s="2">
        <v>42948</v>
      </c>
      <c r="E4444" t="s">
        <v>19</v>
      </c>
      <c r="F4444">
        <v>131.4</v>
      </c>
      <c r="G4444" t="str">
        <f>VLOOKUP(Table1_2[[#This Row],[Categories]],Sheet3!$A$1:$B$27,2,FALSE)</f>
        <v>Clothing and footwear</v>
      </c>
    </row>
    <row r="4445" spans="1:7" x14ac:dyDescent="0.3">
      <c r="A4445" t="s">
        <v>33</v>
      </c>
      <c r="B4445">
        <v>2017</v>
      </c>
      <c r="C4445" t="s">
        <v>41</v>
      </c>
      <c r="D4445" s="2">
        <v>42948</v>
      </c>
      <c r="E4445" t="s">
        <v>20</v>
      </c>
      <c r="F4445">
        <v>134.4</v>
      </c>
      <c r="G4445" t="str">
        <f>VLOOKUP(Table1_2[[#This Row],[Categories]],Sheet3!$A$1:$B$27,2,FALSE)</f>
        <v>Housing</v>
      </c>
    </row>
    <row r="4446" spans="1:7" x14ac:dyDescent="0.3">
      <c r="A4446" t="s">
        <v>33</v>
      </c>
      <c r="B4446">
        <v>2017</v>
      </c>
      <c r="C4446" t="s">
        <v>41</v>
      </c>
      <c r="D4446" s="2">
        <v>42948</v>
      </c>
      <c r="E4446" t="s">
        <v>21</v>
      </c>
      <c r="F4446">
        <v>118.9</v>
      </c>
      <c r="G4446" t="str">
        <f>VLOOKUP(Table1_2[[#This Row],[Categories]],Sheet3!$A$1:$B$27,2,FALSE)</f>
        <v>Fuel and light</v>
      </c>
    </row>
    <row r="4447" spans="1:7" x14ac:dyDescent="0.3">
      <c r="A4447" t="s">
        <v>33</v>
      </c>
      <c r="B4447">
        <v>2017</v>
      </c>
      <c r="C4447" t="s">
        <v>41</v>
      </c>
      <c r="D4447" s="2">
        <v>42948</v>
      </c>
      <c r="E4447" t="s">
        <v>22</v>
      </c>
      <c r="F4447">
        <v>127.7</v>
      </c>
      <c r="G4447" t="str">
        <f>VLOOKUP(Table1_2[[#This Row],[Categories]],Sheet3!$A$1:$B$27,2,FALSE)</f>
        <v>Household Items</v>
      </c>
    </row>
    <row r="4448" spans="1:7" x14ac:dyDescent="0.3">
      <c r="A4448" t="s">
        <v>33</v>
      </c>
      <c r="B4448">
        <v>2017</v>
      </c>
      <c r="C4448" t="s">
        <v>41</v>
      </c>
      <c r="D4448" s="2">
        <v>42948</v>
      </c>
      <c r="E4448" t="s">
        <v>23</v>
      </c>
      <c r="F4448">
        <v>125.7</v>
      </c>
      <c r="G4448" t="str">
        <f>VLOOKUP(Table1_2[[#This Row],[Categories]],Sheet3!$A$1:$B$27,2,FALSE)</f>
        <v>Health</v>
      </c>
    </row>
    <row r="4449" spans="1:7" x14ac:dyDescent="0.3">
      <c r="A4449" t="s">
        <v>33</v>
      </c>
      <c r="B4449">
        <v>2017</v>
      </c>
      <c r="C4449" t="s">
        <v>41</v>
      </c>
      <c r="D4449" s="2">
        <v>42948</v>
      </c>
      <c r="E4449" t="s">
        <v>24</v>
      </c>
      <c r="F4449">
        <v>114.6</v>
      </c>
      <c r="G4449" t="str">
        <f>VLOOKUP(Table1_2[[#This Row],[Categories]],Sheet3!$A$1:$B$27,2,FALSE)</f>
        <v>Transport and communication</v>
      </c>
    </row>
    <row r="4450" spans="1:7" x14ac:dyDescent="0.3">
      <c r="A4450" t="s">
        <v>33</v>
      </c>
      <c r="B4450">
        <v>2017</v>
      </c>
      <c r="C4450" t="s">
        <v>41</v>
      </c>
      <c r="D4450" s="2">
        <v>42948</v>
      </c>
      <c r="E4450" t="s">
        <v>25</v>
      </c>
      <c r="F4450">
        <v>124.1</v>
      </c>
      <c r="G4450" t="str">
        <f>VLOOKUP(Table1_2[[#This Row],[Categories]],Sheet3!$A$1:$B$27,2,FALSE)</f>
        <v>Recreation and amusement</v>
      </c>
    </row>
    <row r="4451" spans="1:7" x14ac:dyDescent="0.3">
      <c r="A4451" t="s">
        <v>33</v>
      </c>
      <c r="B4451">
        <v>2017</v>
      </c>
      <c r="C4451" t="s">
        <v>41</v>
      </c>
      <c r="D4451" s="2">
        <v>42948</v>
      </c>
      <c r="E4451" t="s">
        <v>26</v>
      </c>
      <c r="F4451">
        <v>135.69999999999999</v>
      </c>
      <c r="G4451" t="str">
        <f>VLOOKUP(Table1_2[[#This Row],[Categories]],Sheet3!$A$1:$B$27,2,FALSE)</f>
        <v>Education</v>
      </c>
    </row>
    <row r="4452" spans="1:7" x14ac:dyDescent="0.3">
      <c r="A4452" t="s">
        <v>33</v>
      </c>
      <c r="B4452">
        <v>2017</v>
      </c>
      <c r="C4452" t="s">
        <v>41</v>
      </c>
      <c r="D4452" s="2">
        <v>42948</v>
      </c>
      <c r="E4452" t="s">
        <v>27</v>
      </c>
      <c r="F4452">
        <v>123.3</v>
      </c>
      <c r="G4452" t="str">
        <f>VLOOKUP(Table1_2[[#This Row],[Categories]],Sheet3!$A$1:$B$27,2,FALSE)</f>
        <v>Household Items</v>
      </c>
    </row>
    <row r="4453" spans="1:7" x14ac:dyDescent="0.3">
      <c r="A4453" t="s">
        <v>33</v>
      </c>
      <c r="B4453">
        <v>2017</v>
      </c>
      <c r="C4453" t="s">
        <v>41</v>
      </c>
      <c r="D4453" s="2">
        <v>42948</v>
      </c>
      <c r="E4453" t="s">
        <v>28</v>
      </c>
      <c r="F4453">
        <v>123.8</v>
      </c>
      <c r="G4453" t="str">
        <f>VLOOKUP(Table1_2[[#This Row],[Categories]],Sheet3!$A$1:$B$27,2,FALSE)</f>
        <v>Miscellaneous</v>
      </c>
    </row>
    <row r="4454" spans="1:7" x14ac:dyDescent="0.3">
      <c r="A4454" t="s">
        <v>33</v>
      </c>
      <c r="B4454">
        <v>2017</v>
      </c>
      <c r="C4454" t="s">
        <v>41</v>
      </c>
      <c r="D4454" s="2">
        <v>42948</v>
      </c>
      <c r="E4454" t="s">
        <v>29</v>
      </c>
      <c r="F4454">
        <v>132.69999999999999</v>
      </c>
      <c r="G4454" t="str">
        <f>VLOOKUP(Table1_2[[#This Row],[Categories]],Sheet3!$A$1:$B$27,2,FALSE)</f>
        <v>General index</v>
      </c>
    </row>
    <row r="4455" spans="1:7" x14ac:dyDescent="0.3">
      <c r="A4455" t="s">
        <v>34</v>
      </c>
      <c r="B4455">
        <v>2017</v>
      </c>
      <c r="C4455" t="s">
        <v>41</v>
      </c>
      <c r="D4455" s="2">
        <v>42948</v>
      </c>
      <c r="E4455" t="s">
        <v>3</v>
      </c>
      <c r="F4455">
        <v>134.30000000000001</v>
      </c>
      <c r="G4455" t="str">
        <f>VLOOKUP(Table1_2[[#This Row],[Categories]],Sheet3!$A$1:$B$27,2,FALSE)</f>
        <v>Food &amp;Beverage</v>
      </c>
    </row>
    <row r="4456" spans="1:7" x14ac:dyDescent="0.3">
      <c r="A4456" t="s">
        <v>34</v>
      </c>
      <c r="B4456">
        <v>2017</v>
      </c>
      <c r="C4456" t="s">
        <v>41</v>
      </c>
      <c r="D4456" s="2">
        <v>42948</v>
      </c>
      <c r="E4456" t="s">
        <v>4</v>
      </c>
      <c r="F4456">
        <v>143.4</v>
      </c>
      <c r="G4456" t="str">
        <f>VLOOKUP(Table1_2[[#This Row],[Categories]],Sheet3!$A$1:$B$27,2,FALSE)</f>
        <v>Food &amp;Beverage</v>
      </c>
    </row>
    <row r="4457" spans="1:7" x14ac:dyDescent="0.3">
      <c r="A4457" t="s">
        <v>34</v>
      </c>
      <c r="B4457">
        <v>2017</v>
      </c>
      <c r="C4457" t="s">
        <v>41</v>
      </c>
      <c r="D4457" s="2">
        <v>42948</v>
      </c>
      <c r="E4457" t="s">
        <v>5</v>
      </c>
      <c r="F4457">
        <v>129.30000000000001</v>
      </c>
      <c r="G4457" t="str">
        <f>VLOOKUP(Table1_2[[#This Row],[Categories]],Sheet3!$A$1:$B$27,2,FALSE)</f>
        <v>Food &amp;Beverage</v>
      </c>
    </row>
    <row r="4458" spans="1:7" x14ac:dyDescent="0.3">
      <c r="A4458" t="s">
        <v>34</v>
      </c>
      <c r="B4458">
        <v>2017</v>
      </c>
      <c r="C4458" t="s">
        <v>41</v>
      </c>
      <c r="D4458" s="2">
        <v>42948</v>
      </c>
      <c r="E4458" t="s">
        <v>6</v>
      </c>
      <c r="F4458">
        <v>139</v>
      </c>
      <c r="G4458" t="str">
        <f>VLOOKUP(Table1_2[[#This Row],[Categories]],Sheet3!$A$1:$B$27,2,FALSE)</f>
        <v>Food &amp;Beverage</v>
      </c>
    </row>
    <row r="4459" spans="1:7" x14ac:dyDescent="0.3">
      <c r="A4459" t="s">
        <v>34</v>
      </c>
      <c r="B4459">
        <v>2017</v>
      </c>
      <c r="C4459" t="s">
        <v>41</v>
      </c>
      <c r="D4459" s="2">
        <v>42948</v>
      </c>
      <c r="E4459" t="s">
        <v>7</v>
      </c>
      <c r="F4459">
        <v>118.1</v>
      </c>
      <c r="G4459" t="str">
        <f>VLOOKUP(Table1_2[[#This Row],[Categories]],Sheet3!$A$1:$B$27,2,FALSE)</f>
        <v>Food &amp;Beverage</v>
      </c>
    </row>
    <row r="4460" spans="1:7" x14ac:dyDescent="0.3">
      <c r="A4460" t="s">
        <v>34</v>
      </c>
      <c r="B4460">
        <v>2017</v>
      </c>
      <c r="C4460" t="s">
        <v>41</v>
      </c>
      <c r="D4460" s="2">
        <v>42948</v>
      </c>
      <c r="E4460" t="s">
        <v>8</v>
      </c>
      <c r="F4460">
        <v>145.5</v>
      </c>
      <c r="G4460" t="str">
        <f>VLOOKUP(Table1_2[[#This Row],[Categories]],Sheet3!$A$1:$B$27,2,FALSE)</f>
        <v>Food &amp;Beverage</v>
      </c>
    </row>
    <row r="4461" spans="1:7" x14ac:dyDescent="0.3">
      <c r="A4461" t="s">
        <v>34</v>
      </c>
      <c r="B4461">
        <v>2017</v>
      </c>
      <c r="C4461" t="s">
        <v>41</v>
      </c>
      <c r="D4461" s="2">
        <v>42948</v>
      </c>
      <c r="E4461" t="s">
        <v>9</v>
      </c>
      <c r="F4461">
        <v>168.6</v>
      </c>
      <c r="G4461" t="str">
        <f>VLOOKUP(Table1_2[[#This Row],[Categories]],Sheet3!$A$1:$B$27,2,FALSE)</f>
        <v>Food &amp;Beverage</v>
      </c>
    </row>
    <row r="4462" spans="1:7" x14ac:dyDescent="0.3">
      <c r="A4462" t="s">
        <v>34</v>
      </c>
      <c r="B4462">
        <v>2017</v>
      </c>
      <c r="C4462" t="s">
        <v>41</v>
      </c>
      <c r="D4462" s="2">
        <v>42948</v>
      </c>
      <c r="E4462" t="s">
        <v>10</v>
      </c>
      <c r="F4462">
        <v>132.69999999999999</v>
      </c>
      <c r="G4462" t="str">
        <f>VLOOKUP(Table1_2[[#This Row],[Categories]],Sheet3!$A$1:$B$27,2,FALSE)</f>
        <v>Food &amp;Beverage</v>
      </c>
    </row>
    <row r="4463" spans="1:7" x14ac:dyDescent="0.3">
      <c r="A4463" t="s">
        <v>34</v>
      </c>
      <c r="B4463">
        <v>2017</v>
      </c>
      <c r="C4463" t="s">
        <v>41</v>
      </c>
      <c r="D4463" s="2">
        <v>42948</v>
      </c>
      <c r="E4463" t="s">
        <v>11</v>
      </c>
      <c r="F4463">
        <v>121.2</v>
      </c>
      <c r="G4463" t="str">
        <f>VLOOKUP(Table1_2[[#This Row],[Categories]],Sheet3!$A$1:$B$27,2,FALSE)</f>
        <v>Food &amp;Beverage</v>
      </c>
    </row>
    <row r="4464" spans="1:7" x14ac:dyDescent="0.3">
      <c r="A4464" t="s">
        <v>34</v>
      </c>
      <c r="B4464">
        <v>2017</v>
      </c>
      <c r="C4464" t="s">
        <v>41</v>
      </c>
      <c r="D4464" s="2">
        <v>42948</v>
      </c>
      <c r="E4464" t="s">
        <v>12</v>
      </c>
      <c r="F4464">
        <v>135.6</v>
      </c>
      <c r="G4464" t="str">
        <f>VLOOKUP(Table1_2[[#This Row],[Categories]],Sheet3!$A$1:$B$27,2,FALSE)</f>
        <v>Food &amp;Beverage</v>
      </c>
    </row>
    <row r="4465" spans="1:7" x14ac:dyDescent="0.3">
      <c r="A4465" t="s">
        <v>34</v>
      </c>
      <c r="B4465">
        <v>2017</v>
      </c>
      <c r="C4465" t="s">
        <v>41</v>
      </c>
      <c r="D4465" s="2">
        <v>42948</v>
      </c>
      <c r="E4465" t="s">
        <v>13</v>
      </c>
      <c r="F4465">
        <v>128.69999999999999</v>
      </c>
      <c r="G4465" t="str">
        <f>VLOOKUP(Table1_2[[#This Row],[Categories]],Sheet3!$A$1:$B$27,2,FALSE)</f>
        <v>Food &amp;Beverage</v>
      </c>
    </row>
    <row r="4466" spans="1:7" x14ac:dyDescent="0.3">
      <c r="A4466" t="s">
        <v>34</v>
      </c>
      <c r="B4466">
        <v>2017</v>
      </c>
      <c r="C4466" t="s">
        <v>41</v>
      </c>
      <c r="D4466" s="2">
        <v>42948</v>
      </c>
      <c r="E4466" t="s">
        <v>14</v>
      </c>
      <c r="F4466">
        <v>146.80000000000001</v>
      </c>
      <c r="G4466" t="str">
        <f>VLOOKUP(Table1_2[[#This Row],[Categories]],Sheet3!$A$1:$B$27,2,FALSE)</f>
        <v>Food &amp;Beverage</v>
      </c>
    </row>
    <row r="4467" spans="1:7" x14ac:dyDescent="0.3">
      <c r="A4467" t="s">
        <v>34</v>
      </c>
      <c r="B4467">
        <v>2017</v>
      </c>
      <c r="C4467" t="s">
        <v>41</v>
      </c>
      <c r="D4467" s="2">
        <v>42948</v>
      </c>
      <c r="E4467" t="s">
        <v>15</v>
      </c>
      <c r="F4467">
        <v>140.6</v>
      </c>
      <c r="G4467" t="str">
        <f>VLOOKUP(Table1_2[[#This Row],[Categories]],Sheet3!$A$1:$B$27,2,FALSE)</f>
        <v>Food &amp;Beverage</v>
      </c>
    </row>
    <row r="4468" spans="1:7" x14ac:dyDescent="0.3">
      <c r="A4468" t="s">
        <v>34</v>
      </c>
      <c r="B4468">
        <v>2017</v>
      </c>
      <c r="C4468" t="s">
        <v>41</v>
      </c>
      <c r="D4468" s="2">
        <v>42948</v>
      </c>
      <c r="E4468" t="s">
        <v>16</v>
      </c>
      <c r="F4468">
        <v>149.80000000000001</v>
      </c>
      <c r="G4468" t="str">
        <f>VLOOKUP(Table1_2[[#This Row],[Categories]],Sheet3!$A$1:$B$27,2,FALSE)</f>
        <v>Recreation and amusement</v>
      </c>
    </row>
    <row r="4469" spans="1:7" x14ac:dyDescent="0.3">
      <c r="A4469" t="s">
        <v>34</v>
      </c>
      <c r="B4469">
        <v>2017</v>
      </c>
      <c r="C4469" t="s">
        <v>41</v>
      </c>
      <c r="D4469" s="2">
        <v>42948</v>
      </c>
      <c r="E4469" t="s">
        <v>17</v>
      </c>
      <c r="F4469">
        <v>140.30000000000001</v>
      </c>
      <c r="G4469" t="str">
        <f>VLOOKUP(Table1_2[[#This Row],[Categories]],Sheet3!$A$1:$B$27,2,FALSE)</f>
        <v>Clothing and footwear</v>
      </c>
    </row>
    <row r="4470" spans="1:7" x14ac:dyDescent="0.3">
      <c r="A4470" t="s">
        <v>34</v>
      </c>
      <c r="B4470">
        <v>2017</v>
      </c>
      <c r="C4470" t="s">
        <v>41</v>
      </c>
      <c r="D4470" s="2">
        <v>42948</v>
      </c>
      <c r="E4470" t="s">
        <v>18</v>
      </c>
      <c r="F4470">
        <v>133</v>
      </c>
      <c r="G4470" t="str">
        <f>VLOOKUP(Table1_2[[#This Row],[Categories]],Sheet3!$A$1:$B$27,2,FALSE)</f>
        <v>Clothing and footwear</v>
      </c>
    </row>
    <row r="4471" spans="1:7" x14ac:dyDescent="0.3">
      <c r="A4471" t="s">
        <v>34</v>
      </c>
      <c r="B4471">
        <v>2017</v>
      </c>
      <c r="C4471" t="s">
        <v>41</v>
      </c>
      <c r="D4471" s="2">
        <v>42948</v>
      </c>
      <c r="E4471" t="s">
        <v>19</v>
      </c>
      <c r="F4471">
        <v>139.30000000000001</v>
      </c>
      <c r="G4471" t="str">
        <f>VLOOKUP(Table1_2[[#This Row],[Categories]],Sheet3!$A$1:$B$27,2,FALSE)</f>
        <v>Clothing and footwear</v>
      </c>
    </row>
    <row r="4472" spans="1:7" x14ac:dyDescent="0.3">
      <c r="A4472" t="s">
        <v>34</v>
      </c>
      <c r="B4472">
        <v>2017</v>
      </c>
      <c r="C4472" t="s">
        <v>41</v>
      </c>
      <c r="D4472" s="2">
        <v>42948</v>
      </c>
      <c r="E4472" t="s">
        <v>20</v>
      </c>
      <c r="F4472">
        <v>134.4</v>
      </c>
      <c r="G4472" t="str">
        <f>VLOOKUP(Table1_2[[#This Row],[Categories]],Sheet3!$A$1:$B$27,2,FALSE)</f>
        <v>Housing</v>
      </c>
    </row>
    <row r="4473" spans="1:7" x14ac:dyDescent="0.3">
      <c r="A4473" t="s">
        <v>34</v>
      </c>
      <c r="B4473">
        <v>2017</v>
      </c>
      <c r="C4473" t="s">
        <v>41</v>
      </c>
      <c r="D4473" s="2">
        <v>42948</v>
      </c>
      <c r="E4473" t="s">
        <v>21</v>
      </c>
      <c r="F4473">
        <v>129.80000000000001</v>
      </c>
      <c r="G4473" t="str">
        <f>VLOOKUP(Table1_2[[#This Row],[Categories]],Sheet3!$A$1:$B$27,2,FALSE)</f>
        <v>Fuel and light</v>
      </c>
    </row>
    <row r="4474" spans="1:7" x14ac:dyDescent="0.3">
      <c r="A4474" t="s">
        <v>34</v>
      </c>
      <c r="B4474">
        <v>2017</v>
      </c>
      <c r="C4474" t="s">
        <v>41</v>
      </c>
      <c r="D4474" s="2">
        <v>42948</v>
      </c>
      <c r="E4474" t="s">
        <v>22</v>
      </c>
      <c r="F4474">
        <v>132.80000000000001</v>
      </c>
      <c r="G4474" t="str">
        <f>VLOOKUP(Table1_2[[#This Row],[Categories]],Sheet3!$A$1:$B$27,2,FALSE)</f>
        <v>Household Items</v>
      </c>
    </row>
    <row r="4475" spans="1:7" x14ac:dyDescent="0.3">
      <c r="A4475" t="s">
        <v>34</v>
      </c>
      <c r="B4475">
        <v>2017</v>
      </c>
      <c r="C4475" t="s">
        <v>41</v>
      </c>
      <c r="D4475" s="2">
        <v>42948</v>
      </c>
      <c r="E4475" t="s">
        <v>23</v>
      </c>
      <c r="F4475">
        <v>130.19999999999999</v>
      </c>
      <c r="G4475" t="str">
        <f>VLOOKUP(Table1_2[[#This Row],[Categories]],Sheet3!$A$1:$B$27,2,FALSE)</f>
        <v>Health</v>
      </c>
    </row>
    <row r="4476" spans="1:7" x14ac:dyDescent="0.3">
      <c r="A4476" t="s">
        <v>34</v>
      </c>
      <c r="B4476">
        <v>2017</v>
      </c>
      <c r="C4476" t="s">
        <v>41</v>
      </c>
      <c r="D4476" s="2">
        <v>42948</v>
      </c>
      <c r="E4476" t="s">
        <v>24</v>
      </c>
      <c r="F4476">
        <v>117.3</v>
      </c>
      <c r="G4476" t="str">
        <f>VLOOKUP(Table1_2[[#This Row],[Categories]],Sheet3!$A$1:$B$27,2,FALSE)</f>
        <v>Transport and communication</v>
      </c>
    </row>
    <row r="4477" spans="1:7" x14ac:dyDescent="0.3">
      <c r="A4477" t="s">
        <v>34</v>
      </c>
      <c r="B4477">
        <v>2017</v>
      </c>
      <c r="C4477" t="s">
        <v>41</v>
      </c>
      <c r="D4477" s="2">
        <v>42948</v>
      </c>
      <c r="E4477" t="s">
        <v>25</v>
      </c>
      <c r="F4477">
        <v>127.3</v>
      </c>
      <c r="G4477" t="str">
        <f>VLOOKUP(Table1_2[[#This Row],[Categories]],Sheet3!$A$1:$B$27,2,FALSE)</f>
        <v>Recreation and amusement</v>
      </c>
    </row>
    <row r="4478" spans="1:7" x14ac:dyDescent="0.3">
      <c r="A4478" t="s">
        <v>34</v>
      </c>
      <c r="B4478">
        <v>2017</v>
      </c>
      <c r="C4478" t="s">
        <v>41</v>
      </c>
      <c r="D4478" s="2">
        <v>42948</v>
      </c>
      <c r="E4478" t="s">
        <v>26</v>
      </c>
      <c r="F4478">
        <v>137.6</v>
      </c>
      <c r="G4478" t="str">
        <f>VLOOKUP(Table1_2[[#This Row],[Categories]],Sheet3!$A$1:$B$27,2,FALSE)</f>
        <v>Education</v>
      </c>
    </row>
    <row r="4479" spans="1:7" x14ac:dyDescent="0.3">
      <c r="A4479" t="s">
        <v>34</v>
      </c>
      <c r="B4479">
        <v>2017</v>
      </c>
      <c r="C4479" t="s">
        <v>41</v>
      </c>
      <c r="D4479" s="2">
        <v>42948</v>
      </c>
      <c r="E4479" t="s">
        <v>27</v>
      </c>
      <c r="F4479">
        <v>124.5</v>
      </c>
      <c r="G4479" t="str">
        <f>VLOOKUP(Table1_2[[#This Row],[Categories]],Sheet3!$A$1:$B$27,2,FALSE)</f>
        <v>Household Items</v>
      </c>
    </row>
    <row r="4480" spans="1:7" x14ac:dyDescent="0.3">
      <c r="A4480" t="s">
        <v>34</v>
      </c>
      <c r="B4480">
        <v>2017</v>
      </c>
      <c r="C4480" t="s">
        <v>41</v>
      </c>
      <c r="D4480" s="2">
        <v>42948</v>
      </c>
      <c r="E4480" t="s">
        <v>28</v>
      </c>
      <c r="F4480">
        <v>126.8</v>
      </c>
      <c r="G4480" t="str">
        <f>VLOOKUP(Table1_2[[#This Row],[Categories]],Sheet3!$A$1:$B$27,2,FALSE)</f>
        <v>Miscellaneous</v>
      </c>
    </row>
    <row r="4481" spans="1:7" x14ac:dyDescent="0.3">
      <c r="A4481" t="s">
        <v>34</v>
      </c>
      <c r="B4481">
        <v>2017</v>
      </c>
      <c r="C4481" t="s">
        <v>41</v>
      </c>
      <c r="D4481" s="2">
        <v>42948</v>
      </c>
      <c r="E4481" t="s">
        <v>29</v>
      </c>
      <c r="F4481">
        <v>135.4</v>
      </c>
      <c r="G4481" t="str">
        <f>VLOOKUP(Table1_2[[#This Row],[Categories]],Sheet3!$A$1:$B$27,2,FALSE)</f>
        <v>General index</v>
      </c>
    </row>
    <row r="4482" spans="1:7" x14ac:dyDescent="0.3">
      <c r="A4482" t="s">
        <v>30</v>
      </c>
      <c r="B4482">
        <v>2017</v>
      </c>
      <c r="C4482" t="s">
        <v>42</v>
      </c>
      <c r="D4482" s="2">
        <v>42979</v>
      </c>
      <c r="E4482" t="s">
        <v>3</v>
      </c>
      <c r="F4482">
        <v>135.19999999999999</v>
      </c>
      <c r="G4482" t="str">
        <f>VLOOKUP(Table1_2[[#This Row],[Categories]],Sheet3!$A$1:$B$27,2,FALSE)</f>
        <v>Food &amp;Beverage</v>
      </c>
    </row>
    <row r="4483" spans="1:7" x14ac:dyDescent="0.3">
      <c r="A4483" t="s">
        <v>30</v>
      </c>
      <c r="B4483">
        <v>2017</v>
      </c>
      <c r="C4483" t="s">
        <v>42</v>
      </c>
      <c r="D4483" s="2">
        <v>42979</v>
      </c>
      <c r="E4483" t="s">
        <v>4</v>
      </c>
      <c r="F4483">
        <v>142</v>
      </c>
      <c r="G4483" t="str">
        <f>VLOOKUP(Table1_2[[#This Row],[Categories]],Sheet3!$A$1:$B$27,2,FALSE)</f>
        <v>Food &amp;Beverage</v>
      </c>
    </row>
    <row r="4484" spans="1:7" x14ac:dyDescent="0.3">
      <c r="A4484" t="s">
        <v>30</v>
      </c>
      <c r="B4484">
        <v>2017</v>
      </c>
      <c r="C4484" t="s">
        <v>42</v>
      </c>
      <c r="D4484" s="2">
        <v>42979</v>
      </c>
      <c r="E4484" t="s">
        <v>5</v>
      </c>
      <c r="F4484">
        <v>130.5</v>
      </c>
      <c r="G4484" t="str">
        <f>VLOOKUP(Table1_2[[#This Row],[Categories]],Sheet3!$A$1:$B$27,2,FALSE)</f>
        <v>Food &amp;Beverage</v>
      </c>
    </row>
    <row r="4485" spans="1:7" x14ac:dyDescent="0.3">
      <c r="A4485" t="s">
        <v>30</v>
      </c>
      <c r="B4485">
        <v>2017</v>
      </c>
      <c r="C4485" t="s">
        <v>42</v>
      </c>
      <c r="D4485" s="2">
        <v>42979</v>
      </c>
      <c r="E4485" t="s">
        <v>6</v>
      </c>
      <c r="F4485">
        <v>140.19999999999999</v>
      </c>
      <c r="G4485" t="str">
        <f>VLOOKUP(Table1_2[[#This Row],[Categories]],Sheet3!$A$1:$B$27,2,FALSE)</f>
        <v>Food &amp;Beverage</v>
      </c>
    </row>
    <row r="4486" spans="1:7" x14ac:dyDescent="0.3">
      <c r="A4486" t="s">
        <v>30</v>
      </c>
      <c r="B4486">
        <v>2017</v>
      </c>
      <c r="C4486" t="s">
        <v>42</v>
      </c>
      <c r="D4486" s="2">
        <v>42979</v>
      </c>
      <c r="E4486" t="s">
        <v>7</v>
      </c>
      <c r="F4486">
        <v>120.7</v>
      </c>
      <c r="G4486" t="str">
        <f>VLOOKUP(Table1_2[[#This Row],[Categories]],Sheet3!$A$1:$B$27,2,FALSE)</f>
        <v>Food &amp;Beverage</v>
      </c>
    </row>
    <row r="4487" spans="1:7" x14ac:dyDescent="0.3">
      <c r="A4487" t="s">
        <v>30</v>
      </c>
      <c r="B4487">
        <v>2017</v>
      </c>
      <c r="C4487" t="s">
        <v>42</v>
      </c>
      <c r="D4487" s="2">
        <v>42979</v>
      </c>
      <c r="E4487" t="s">
        <v>8</v>
      </c>
      <c r="F4487">
        <v>147.80000000000001</v>
      </c>
      <c r="G4487" t="str">
        <f>VLOOKUP(Table1_2[[#This Row],[Categories]],Sheet3!$A$1:$B$27,2,FALSE)</f>
        <v>Food &amp;Beverage</v>
      </c>
    </row>
    <row r="4488" spans="1:7" x14ac:dyDescent="0.3">
      <c r="A4488" t="s">
        <v>30</v>
      </c>
      <c r="B4488">
        <v>2017</v>
      </c>
      <c r="C4488" t="s">
        <v>42</v>
      </c>
      <c r="D4488" s="2">
        <v>42979</v>
      </c>
      <c r="E4488" t="s">
        <v>9</v>
      </c>
      <c r="F4488">
        <v>154.5</v>
      </c>
      <c r="G4488" t="str">
        <f>VLOOKUP(Table1_2[[#This Row],[Categories]],Sheet3!$A$1:$B$27,2,FALSE)</f>
        <v>Food &amp;Beverage</v>
      </c>
    </row>
    <row r="4489" spans="1:7" x14ac:dyDescent="0.3">
      <c r="A4489" t="s">
        <v>30</v>
      </c>
      <c r="B4489">
        <v>2017</v>
      </c>
      <c r="C4489" t="s">
        <v>42</v>
      </c>
      <c r="D4489" s="2">
        <v>42979</v>
      </c>
      <c r="E4489" t="s">
        <v>10</v>
      </c>
      <c r="F4489">
        <v>137.1</v>
      </c>
      <c r="G4489" t="str">
        <f>VLOOKUP(Table1_2[[#This Row],[Categories]],Sheet3!$A$1:$B$27,2,FALSE)</f>
        <v>Food &amp;Beverage</v>
      </c>
    </row>
    <row r="4490" spans="1:7" x14ac:dyDescent="0.3">
      <c r="A4490" t="s">
        <v>30</v>
      </c>
      <c r="B4490">
        <v>2017</v>
      </c>
      <c r="C4490" t="s">
        <v>42</v>
      </c>
      <c r="D4490" s="2">
        <v>42979</v>
      </c>
      <c r="E4490" t="s">
        <v>11</v>
      </c>
      <c r="F4490">
        <v>121</v>
      </c>
      <c r="G4490" t="str">
        <f>VLOOKUP(Table1_2[[#This Row],[Categories]],Sheet3!$A$1:$B$27,2,FALSE)</f>
        <v>Food &amp;Beverage</v>
      </c>
    </row>
    <row r="4491" spans="1:7" x14ac:dyDescent="0.3">
      <c r="A4491" t="s">
        <v>30</v>
      </c>
      <c r="B4491">
        <v>2017</v>
      </c>
      <c r="C4491" t="s">
        <v>42</v>
      </c>
      <c r="D4491" s="2">
        <v>42979</v>
      </c>
      <c r="E4491" t="s">
        <v>12</v>
      </c>
      <c r="F4491">
        <v>134.69999999999999</v>
      </c>
      <c r="G4491" t="str">
        <f>VLOOKUP(Table1_2[[#This Row],[Categories]],Sheet3!$A$1:$B$27,2,FALSE)</f>
        <v>Food &amp;Beverage</v>
      </c>
    </row>
    <row r="4492" spans="1:7" x14ac:dyDescent="0.3">
      <c r="A4492" t="s">
        <v>30</v>
      </c>
      <c r="B4492">
        <v>2017</v>
      </c>
      <c r="C4492" t="s">
        <v>42</v>
      </c>
      <c r="D4492" s="2">
        <v>42979</v>
      </c>
      <c r="E4492" t="s">
        <v>13</v>
      </c>
      <c r="F4492">
        <v>131.69999999999999</v>
      </c>
      <c r="G4492" t="str">
        <f>VLOOKUP(Table1_2[[#This Row],[Categories]],Sheet3!$A$1:$B$27,2,FALSE)</f>
        <v>Food &amp;Beverage</v>
      </c>
    </row>
    <row r="4493" spans="1:7" x14ac:dyDescent="0.3">
      <c r="A4493" t="s">
        <v>30</v>
      </c>
      <c r="B4493">
        <v>2017</v>
      </c>
      <c r="C4493" t="s">
        <v>42</v>
      </c>
      <c r="D4493" s="2">
        <v>42979</v>
      </c>
      <c r="E4493" t="s">
        <v>14</v>
      </c>
      <c r="F4493">
        <v>149.30000000000001</v>
      </c>
      <c r="G4493" t="str">
        <f>VLOOKUP(Table1_2[[#This Row],[Categories]],Sheet3!$A$1:$B$27,2,FALSE)</f>
        <v>Food &amp;Beverage</v>
      </c>
    </row>
    <row r="4494" spans="1:7" x14ac:dyDescent="0.3">
      <c r="A4494" t="s">
        <v>30</v>
      </c>
      <c r="B4494">
        <v>2017</v>
      </c>
      <c r="C4494" t="s">
        <v>42</v>
      </c>
      <c r="D4494" s="2">
        <v>42979</v>
      </c>
      <c r="E4494" t="s">
        <v>15</v>
      </c>
      <c r="F4494">
        <v>139.6</v>
      </c>
      <c r="G4494" t="str">
        <f>VLOOKUP(Table1_2[[#This Row],[Categories]],Sheet3!$A$1:$B$27,2,FALSE)</f>
        <v>Food &amp;Beverage</v>
      </c>
    </row>
    <row r="4495" spans="1:7" x14ac:dyDescent="0.3">
      <c r="A4495" t="s">
        <v>30</v>
      </c>
      <c r="B4495">
        <v>2017</v>
      </c>
      <c r="C4495" t="s">
        <v>42</v>
      </c>
      <c r="D4495" s="2">
        <v>42979</v>
      </c>
      <c r="E4495" t="s">
        <v>16</v>
      </c>
      <c r="F4495">
        <v>149.80000000000001</v>
      </c>
      <c r="G4495" t="str">
        <f>VLOOKUP(Table1_2[[#This Row],[Categories]],Sheet3!$A$1:$B$27,2,FALSE)</f>
        <v>Recreation and amusement</v>
      </c>
    </row>
    <row r="4496" spans="1:7" x14ac:dyDescent="0.3">
      <c r="A4496" t="s">
        <v>30</v>
      </c>
      <c r="B4496">
        <v>2017</v>
      </c>
      <c r="C4496" t="s">
        <v>42</v>
      </c>
      <c r="D4496" s="2">
        <v>42979</v>
      </c>
      <c r="E4496" t="s">
        <v>17</v>
      </c>
      <c r="F4496">
        <v>146.1</v>
      </c>
      <c r="G4496" t="str">
        <f>VLOOKUP(Table1_2[[#This Row],[Categories]],Sheet3!$A$1:$B$27,2,FALSE)</f>
        <v>Clothing and footwear</v>
      </c>
    </row>
    <row r="4497" spans="1:7" x14ac:dyDescent="0.3">
      <c r="A4497" t="s">
        <v>30</v>
      </c>
      <c r="B4497">
        <v>2017</v>
      </c>
      <c r="C4497" t="s">
        <v>42</v>
      </c>
      <c r="D4497" s="2">
        <v>42979</v>
      </c>
      <c r="E4497" t="s">
        <v>18</v>
      </c>
      <c r="F4497">
        <v>139.69999999999999</v>
      </c>
      <c r="G4497" t="str">
        <f>VLOOKUP(Table1_2[[#This Row],[Categories]],Sheet3!$A$1:$B$27,2,FALSE)</f>
        <v>Clothing and footwear</v>
      </c>
    </row>
    <row r="4498" spans="1:7" x14ac:dyDescent="0.3">
      <c r="A4498" t="s">
        <v>30</v>
      </c>
      <c r="B4498">
        <v>2017</v>
      </c>
      <c r="C4498" t="s">
        <v>42</v>
      </c>
      <c r="D4498" s="2">
        <v>42979</v>
      </c>
      <c r="E4498" t="s">
        <v>19</v>
      </c>
      <c r="F4498">
        <v>145.19999999999999</v>
      </c>
      <c r="G4498" t="str">
        <f>VLOOKUP(Table1_2[[#This Row],[Categories]],Sheet3!$A$1:$B$27,2,FALSE)</f>
        <v>Clothing and footwear</v>
      </c>
    </row>
    <row r="4499" spans="1:7" x14ac:dyDescent="0.3">
      <c r="A4499" t="s">
        <v>30</v>
      </c>
      <c r="B4499">
        <v>2017</v>
      </c>
      <c r="C4499" t="s">
        <v>42</v>
      </c>
      <c r="D4499" s="2">
        <v>42979</v>
      </c>
      <c r="E4499" t="s">
        <v>21</v>
      </c>
      <c r="F4499">
        <v>137.4</v>
      </c>
      <c r="G4499" t="str">
        <f>VLOOKUP(Table1_2[[#This Row],[Categories]],Sheet3!$A$1:$B$27,2,FALSE)</f>
        <v>Fuel and light</v>
      </c>
    </row>
    <row r="4500" spans="1:7" x14ac:dyDescent="0.3">
      <c r="A4500" t="s">
        <v>30</v>
      </c>
      <c r="B4500">
        <v>2017</v>
      </c>
      <c r="C4500" t="s">
        <v>42</v>
      </c>
      <c r="D4500" s="2">
        <v>42979</v>
      </c>
      <c r="E4500" t="s">
        <v>22</v>
      </c>
      <c r="F4500">
        <v>137.9</v>
      </c>
      <c r="G4500" t="str">
        <f>VLOOKUP(Table1_2[[#This Row],[Categories]],Sheet3!$A$1:$B$27,2,FALSE)</f>
        <v>Household Items</v>
      </c>
    </row>
    <row r="4501" spans="1:7" x14ac:dyDescent="0.3">
      <c r="A4501" t="s">
        <v>30</v>
      </c>
      <c r="B4501">
        <v>2017</v>
      </c>
      <c r="C4501" t="s">
        <v>42</v>
      </c>
      <c r="D4501" s="2">
        <v>42979</v>
      </c>
      <c r="E4501" t="s">
        <v>23</v>
      </c>
      <c r="F4501">
        <v>133.4</v>
      </c>
      <c r="G4501" t="str">
        <f>VLOOKUP(Table1_2[[#This Row],[Categories]],Sheet3!$A$1:$B$27,2,FALSE)</f>
        <v>Health</v>
      </c>
    </row>
    <row r="4502" spans="1:7" x14ac:dyDescent="0.3">
      <c r="A4502" t="s">
        <v>30</v>
      </c>
      <c r="B4502">
        <v>2017</v>
      </c>
      <c r="C4502" t="s">
        <v>42</v>
      </c>
      <c r="D4502" s="2">
        <v>42979</v>
      </c>
      <c r="E4502" t="s">
        <v>24</v>
      </c>
      <c r="F4502">
        <v>121.2</v>
      </c>
      <c r="G4502" t="str">
        <f>VLOOKUP(Table1_2[[#This Row],[Categories]],Sheet3!$A$1:$B$27,2,FALSE)</f>
        <v>Transport and communication</v>
      </c>
    </row>
    <row r="4503" spans="1:7" x14ac:dyDescent="0.3">
      <c r="A4503" t="s">
        <v>30</v>
      </c>
      <c r="B4503">
        <v>2017</v>
      </c>
      <c r="C4503" t="s">
        <v>42</v>
      </c>
      <c r="D4503" s="2">
        <v>42979</v>
      </c>
      <c r="E4503" t="s">
        <v>25</v>
      </c>
      <c r="F4503">
        <v>132.30000000000001</v>
      </c>
      <c r="G4503" t="str">
        <f>VLOOKUP(Table1_2[[#This Row],[Categories]],Sheet3!$A$1:$B$27,2,FALSE)</f>
        <v>Recreation and amusement</v>
      </c>
    </row>
    <row r="4504" spans="1:7" x14ac:dyDescent="0.3">
      <c r="A4504" t="s">
        <v>30</v>
      </c>
      <c r="B4504">
        <v>2017</v>
      </c>
      <c r="C4504" t="s">
        <v>42</v>
      </c>
      <c r="D4504" s="2">
        <v>42979</v>
      </c>
      <c r="E4504" t="s">
        <v>26</v>
      </c>
      <c r="F4504">
        <v>139.6</v>
      </c>
      <c r="G4504" t="str">
        <f>VLOOKUP(Table1_2[[#This Row],[Categories]],Sheet3!$A$1:$B$27,2,FALSE)</f>
        <v>Education</v>
      </c>
    </row>
    <row r="4505" spans="1:7" x14ac:dyDescent="0.3">
      <c r="A4505" t="s">
        <v>30</v>
      </c>
      <c r="B4505">
        <v>2017</v>
      </c>
      <c r="C4505" t="s">
        <v>42</v>
      </c>
      <c r="D4505" s="2">
        <v>42979</v>
      </c>
      <c r="E4505" t="s">
        <v>27</v>
      </c>
      <c r="F4505">
        <v>126.7</v>
      </c>
      <c r="G4505" t="str">
        <f>VLOOKUP(Table1_2[[#This Row],[Categories]],Sheet3!$A$1:$B$27,2,FALSE)</f>
        <v>Household Items</v>
      </c>
    </row>
    <row r="4506" spans="1:7" x14ac:dyDescent="0.3">
      <c r="A4506" t="s">
        <v>30</v>
      </c>
      <c r="B4506">
        <v>2017</v>
      </c>
      <c r="C4506" t="s">
        <v>42</v>
      </c>
      <c r="D4506" s="2">
        <v>42979</v>
      </c>
      <c r="E4506" t="s">
        <v>28</v>
      </c>
      <c r="F4506">
        <v>130.30000000000001</v>
      </c>
      <c r="G4506" t="str">
        <f>VLOOKUP(Table1_2[[#This Row],[Categories]],Sheet3!$A$1:$B$27,2,FALSE)</f>
        <v>Miscellaneous</v>
      </c>
    </row>
    <row r="4507" spans="1:7" x14ac:dyDescent="0.3">
      <c r="A4507" t="s">
        <v>30</v>
      </c>
      <c r="B4507">
        <v>2017</v>
      </c>
      <c r="C4507" t="s">
        <v>42</v>
      </c>
      <c r="D4507" s="2">
        <v>42979</v>
      </c>
      <c r="E4507" t="s">
        <v>29</v>
      </c>
      <c r="F4507">
        <v>137.6</v>
      </c>
      <c r="G4507" t="str">
        <f>VLOOKUP(Table1_2[[#This Row],[Categories]],Sheet3!$A$1:$B$27,2,FALSE)</f>
        <v>General index</v>
      </c>
    </row>
    <row r="4508" spans="1:7" x14ac:dyDescent="0.3">
      <c r="A4508" t="s">
        <v>33</v>
      </c>
      <c r="B4508">
        <v>2017</v>
      </c>
      <c r="C4508" t="s">
        <v>42</v>
      </c>
      <c r="D4508" s="2">
        <v>42979</v>
      </c>
      <c r="E4508" t="s">
        <v>3</v>
      </c>
      <c r="F4508">
        <v>133.6</v>
      </c>
      <c r="G4508" t="str">
        <f>VLOOKUP(Table1_2[[#This Row],[Categories]],Sheet3!$A$1:$B$27,2,FALSE)</f>
        <v>Food &amp;Beverage</v>
      </c>
    </row>
    <row r="4509" spans="1:7" x14ac:dyDescent="0.3">
      <c r="A4509" t="s">
        <v>33</v>
      </c>
      <c r="B4509">
        <v>2017</v>
      </c>
      <c r="C4509" t="s">
        <v>42</v>
      </c>
      <c r="D4509" s="2">
        <v>42979</v>
      </c>
      <c r="E4509" t="s">
        <v>4</v>
      </c>
      <c r="F4509">
        <v>143</v>
      </c>
      <c r="G4509" t="str">
        <f>VLOOKUP(Table1_2[[#This Row],[Categories]],Sheet3!$A$1:$B$27,2,FALSE)</f>
        <v>Food &amp;Beverage</v>
      </c>
    </row>
    <row r="4510" spans="1:7" x14ac:dyDescent="0.3">
      <c r="A4510" t="s">
        <v>33</v>
      </c>
      <c r="B4510">
        <v>2017</v>
      </c>
      <c r="C4510" t="s">
        <v>42</v>
      </c>
      <c r="D4510" s="2">
        <v>42979</v>
      </c>
      <c r="E4510" t="s">
        <v>5</v>
      </c>
      <c r="F4510">
        <v>129.69999999999999</v>
      </c>
      <c r="G4510" t="str">
        <f>VLOOKUP(Table1_2[[#This Row],[Categories]],Sheet3!$A$1:$B$27,2,FALSE)</f>
        <v>Food &amp;Beverage</v>
      </c>
    </row>
    <row r="4511" spans="1:7" x14ac:dyDescent="0.3">
      <c r="A4511" t="s">
        <v>33</v>
      </c>
      <c r="B4511">
        <v>2017</v>
      </c>
      <c r="C4511" t="s">
        <v>42</v>
      </c>
      <c r="D4511" s="2">
        <v>42979</v>
      </c>
      <c r="E4511" t="s">
        <v>6</v>
      </c>
      <c r="F4511">
        <v>138.69999999999999</v>
      </c>
      <c r="G4511" t="str">
        <f>VLOOKUP(Table1_2[[#This Row],[Categories]],Sheet3!$A$1:$B$27,2,FALSE)</f>
        <v>Food &amp;Beverage</v>
      </c>
    </row>
    <row r="4512" spans="1:7" x14ac:dyDescent="0.3">
      <c r="A4512" t="s">
        <v>33</v>
      </c>
      <c r="B4512">
        <v>2017</v>
      </c>
      <c r="C4512" t="s">
        <v>42</v>
      </c>
      <c r="D4512" s="2">
        <v>42979</v>
      </c>
      <c r="E4512" t="s">
        <v>7</v>
      </c>
      <c r="F4512">
        <v>114.5</v>
      </c>
      <c r="G4512" t="str">
        <f>VLOOKUP(Table1_2[[#This Row],[Categories]],Sheet3!$A$1:$B$27,2,FALSE)</f>
        <v>Food &amp;Beverage</v>
      </c>
    </row>
    <row r="4513" spans="1:7" x14ac:dyDescent="0.3">
      <c r="A4513" t="s">
        <v>33</v>
      </c>
      <c r="B4513">
        <v>2017</v>
      </c>
      <c r="C4513" t="s">
        <v>42</v>
      </c>
      <c r="D4513" s="2">
        <v>42979</v>
      </c>
      <c r="E4513" t="s">
        <v>8</v>
      </c>
      <c r="F4513">
        <v>137.5</v>
      </c>
      <c r="G4513" t="str">
        <f>VLOOKUP(Table1_2[[#This Row],[Categories]],Sheet3!$A$1:$B$27,2,FALSE)</f>
        <v>Food &amp;Beverage</v>
      </c>
    </row>
    <row r="4514" spans="1:7" x14ac:dyDescent="0.3">
      <c r="A4514" t="s">
        <v>33</v>
      </c>
      <c r="B4514">
        <v>2017</v>
      </c>
      <c r="C4514" t="s">
        <v>42</v>
      </c>
      <c r="D4514" s="2">
        <v>42979</v>
      </c>
      <c r="E4514" t="s">
        <v>9</v>
      </c>
      <c r="F4514">
        <v>160.69999999999999</v>
      </c>
      <c r="G4514" t="str">
        <f>VLOOKUP(Table1_2[[#This Row],[Categories]],Sheet3!$A$1:$B$27,2,FALSE)</f>
        <v>Food &amp;Beverage</v>
      </c>
    </row>
    <row r="4515" spans="1:7" x14ac:dyDescent="0.3">
      <c r="A4515" t="s">
        <v>33</v>
      </c>
      <c r="B4515">
        <v>2017</v>
      </c>
      <c r="C4515" t="s">
        <v>42</v>
      </c>
      <c r="D4515" s="2">
        <v>42979</v>
      </c>
      <c r="E4515" t="s">
        <v>10</v>
      </c>
      <c r="F4515">
        <v>124.5</v>
      </c>
      <c r="G4515" t="str">
        <f>VLOOKUP(Table1_2[[#This Row],[Categories]],Sheet3!$A$1:$B$27,2,FALSE)</f>
        <v>Food &amp;Beverage</v>
      </c>
    </row>
    <row r="4516" spans="1:7" x14ac:dyDescent="0.3">
      <c r="A4516" t="s">
        <v>33</v>
      </c>
      <c r="B4516">
        <v>2017</v>
      </c>
      <c r="C4516" t="s">
        <v>42</v>
      </c>
      <c r="D4516" s="2">
        <v>42979</v>
      </c>
      <c r="E4516" t="s">
        <v>11</v>
      </c>
      <c r="F4516">
        <v>122.4</v>
      </c>
      <c r="G4516" t="str">
        <f>VLOOKUP(Table1_2[[#This Row],[Categories]],Sheet3!$A$1:$B$27,2,FALSE)</f>
        <v>Food &amp;Beverage</v>
      </c>
    </row>
    <row r="4517" spans="1:7" x14ac:dyDescent="0.3">
      <c r="A4517" t="s">
        <v>33</v>
      </c>
      <c r="B4517">
        <v>2017</v>
      </c>
      <c r="C4517" t="s">
        <v>42</v>
      </c>
      <c r="D4517" s="2">
        <v>42979</v>
      </c>
      <c r="E4517" t="s">
        <v>12</v>
      </c>
      <c r="F4517">
        <v>137.30000000000001</v>
      </c>
      <c r="G4517" t="str">
        <f>VLOOKUP(Table1_2[[#This Row],[Categories]],Sheet3!$A$1:$B$27,2,FALSE)</f>
        <v>Food &amp;Beverage</v>
      </c>
    </row>
    <row r="4518" spans="1:7" x14ac:dyDescent="0.3">
      <c r="A4518" t="s">
        <v>33</v>
      </c>
      <c r="B4518">
        <v>2017</v>
      </c>
      <c r="C4518" t="s">
        <v>42</v>
      </c>
      <c r="D4518" s="2">
        <v>42979</v>
      </c>
      <c r="E4518" t="s">
        <v>13</v>
      </c>
      <c r="F4518">
        <v>124.8</v>
      </c>
      <c r="G4518" t="str">
        <f>VLOOKUP(Table1_2[[#This Row],[Categories]],Sheet3!$A$1:$B$27,2,FALSE)</f>
        <v>Food &amp;Beverage</v>
      </c>
    </row>
    <row r="4519" spans="1:7" x14ac:dyDescent="0.3">
      <c r="A4519" t="s">
        <v>33</v>
      </c>
      <c r="B4519">
        <v>2017</v>
      </c>
      <c r="C4519" t="s">
        <v>42</v>
      </c>
      <c r="D4519" s="2">
        <v>42979</v>
      </c>
      <c r="E4519" t="s">
        <v>14</v>
      </c>
      <c r="F4519">
        <v>145</v>
      </c>
      <c r="G4519" t="str">
        <f>VLOOKUP(Table1_2[[#This Row],[Categories]],Sheet3!$A$1:$B$27,2,FALSE)</f>
        <v>Food &amp;Beverage</v>
      </c>
    </row>
    <row r="4520" spans="1:7" x14ac:dyDescent="0.3">
      <c r="A4520" t="s">
        <v>33</v>
      </c>
      <c r="B4520">
        <v>2017</v>
      </c>
      <c r="C4520" t="s">
        <v>42</v>
      </c>
      <c r="D4520" s="2">
        <v>42979</v>
      </c>
      <c r="E4520" t="s">
        <v>15</v>
      </c>
      <c r="F4520">
        <v>138</v>
      </c>
      <c r="G4520" t="str">
        <f>VLOOKUP(Table1_2[[#This Row],[Categories]],Sheet3!$A$1:$B$27,2,FALSE)</f>
        <v>Food &amp;Beverage</v>
      </c>
    </row>
    <row r="4521" spans="1:7" x14ac:dyDescent="0.3">
      <c r="A4521" t="s">
        <v>33</v>
      </c>
      <c r="B4521">
        <v>2017</v>
      </c>
      <c r="C4521" t="s">
        <v>42</v>
      </c>
      <c r="D4521" s="2">
        <v>42979</v>
      </c>
      <c r="E4521" t="s">
        <v>16</v>
      </c>
      <c r="F4521">
        <v>153.6</v>
      </c>
      <c r="G4521" t="str">
        <f>VLOOKUP(Table1_2[[#This Row],[Categories]],Sheet3!$A$1:$B$27,2,FALSE)</f>
        <v>Recreation and amusement</v>
      </c>
    </row>
    <row r="4522" spans="1:7" x14ac:dyDescent="0.3">
      <c r="A4522" t="s">
        <v>33</v>
      </c>
      <c r="B4522">
        <v>2017</v>
      </c>
      <c r="C4522" t="s">
        <v>42</v>
      </c>
      <c r="D4522" s="2">
        <v>42979</v>
      </c>
      <c r="E4522" t="s">
        <v>17</v>
      </c>
      <c r="F4522">
        <v>133.30000000000001</v>
      </c>
      <c r="G4522" t="str">
        <f>VLOOKUP(Table1_2[[#This Row],[Categories]],Sheet3!$A$1:$B$27,2,FALSE)</f>
        <v>Clothing and footwear</v>
      </c>
    </row>
    <row r="4523" spans="1:7" x14ac:dyDescent="0.3">
      <c r="A4523" t="s">
        <v>33</v>
      </c>
      <c r="B4523">
        <v>2017</v>
      </c>
      <c r="C4523" t="s">
        <v>42</v>
      </c>
      <c r="D4523" s="2">
        <v>42979</v>
      </c>
      <c r="E4523" t="s">
        <v>18</v>
      </c>
      <c r="F4523">
        <v>124.6</v>
      </c>
      <c r="G4523" t="str">
        <f>VLOOKUP(Table1_2[[#This Row],[Categories]],Sheet3!$A$1:$B$27,2,FALSE)</f>
        <v>Clothing and footwear</v>
      </c>
    </row>
    <row r="4524" spans="1:7" x14ac:dyDescent="0.3">
      <c r="A4524" t="s">
        <v>33</v>
      </c>
      <c r="B4524">
        <v>2017</v>
      </c>
      <c r="C4524" t="s">
        <v>42</v>
      </c>
      <c r="D4524" s="2">
        <v>42979</v>
      </c>
      <c r="E4524" t="s">
        <v>19</v>
      </c>
      <c r="F4524">
        <v>132</v>
      </c>
      <c r="G4524" t="str">
        <f>VLOOKUP(Table1_2[[#This Row],[Categories]],Sheet3!$A$1:$B$27,2,FALSE)</f>
        <v>Clothing and footwear</v>
      </c>
    </row>
    <row r="4525" spans="1:7" x14ac:dyDescent="0.3">
      <c r="A4525" t="s">
        <v>33</v>
      </c>
      <c r="B4525">
        <v>2017</v>
      </c>
      <c r="C4525" t="s">
        <v>42</v>
      </c>
      <c r="D4525" s="2">
        <v>42979</v>
      </c>
      <c r="E4525" t="s">
        <v>20</v>
      </c>
      <c r="F4525">
        <v>135.69999999999999</v>
      </c>
      <c r="G4525" t="str">
        <f>VLOOKUP(Table1_2[[#This Row],[Categories]],Sheet3!$A$1:$B$27,2,FALSE)</f>
        <v>Housing</v>
      </c>
    </row>
    <row r="4526" spans="1:7" x14ac:dyDescent="0.3">
      <c r="A4526" t="s">
        <v>33</v>
      </c>
      <c r="B4526">
        <v>2017</v>
      </c>
      <c r="C4526" t="s">
        <v>42</v>
      </c>
      <c r="D4526" s="2">
        <v>42979</v>
      </c>
      <c r="E4526" t="s">
        <v>21</v>
      </c>
      <c r="F4526">
        <v>120.6</v>
      </c>
      <c r="G4526" t="str">
        <f>VLOOKUP(Table1_2[[#This Row],[Categories]],Sheet3!$A$1:$B$27,2,FALSE)</f>
        <v>Fuel and light</v>
      </c>
    </row>
    <row r="4527" spans="1:7" x14ac:dyDescent="0.3">
      <c r="A4527" t="s">
        <v>33</v>
      </c>
      <c r="B4527">
        <v>2017</v>
      </c>
      <c r="C4527" t="s">
        <v>42</v>
      </c>
      <c r="D4527" s="2">
        <v>42979</v>
      </c>
      <c r="E4527" t="s">
        <v>22</v>
      </c>
      <c r="F4527">
        <v>128.1</v>
      </c>
      <c r="G4527" t="str">
        <f>VLOOKUP(Table1_2[[#This Row],[Categories]],Sheet3!$A$1:$B$27,2,FALSE)</f>
        <v>Household Items</v>
      </c>
    </row>
    <row r="4528" spans="1:7" x14ac:dyDescent="0.3">
      <c r="A4528" t="s">
        <v>33</v>
      </c>
      <c r="B4528">
        <v>2017</v>
      </c>
      <c r="C4528" t="s">
        <v>42</v>
      </c>
      <c r="D4528" s="2">
        <v>42979</v>
      </c>
      <c r="E4528" t="s">
        <v>23</v>
      </c>
      <c r="F4528">
        <v>126.1</v>
      </c>
      <c r="G4528" t="str">
        <f>VLOOKUP(Table1_2[[#This Row],[Categories]],Sheet3!$A$1:$B$27,2,FALSE)</f>
        <v>Health</v>
      </c>
    </row>
    <row r="4529" spans="1:7" x14ac:dyDescent="0.3">
      <c r="A4529" t="s">
        <v>33</v>
      </c>
      <c r="B4529">
        <v>2017</v>
      </c>
      <c r="C4529" t="s">
        <v>42</v>
      </c>
      <c r="D4529" s="2">
        <v>42979</v>
      </c>
      <c r="E4529" t="s">
        <v>24</v>
      </c>
      <c r="F4529">
        <v>115.7</v>
      </c>
      <c r="G4529" t="str">
        <f>VLOOKUP(Table1_2[[#This Row],[Categories]],Sheet3!$A$1:$B$27,2,FALSE)</f>
        <v>Transport and communication</v>
      </c>
    </row>
    <row r="4530" spans="1:7" x14ac:dyDescent="0.3">
      <c r="A4530" t="s">
        <v>33</v>
      </c>
      <c r="B4530">
        <v>2017</v>
      </c>
      <c r="C4530" t="s">
        <v>42</v>
      </c>
      <c r="D4530" s="2">
        <v>42979</v>
      </c>
      <c r="E4530" t="s">
        <v>25</v>
      </c>
      <c r="F4530">
        <v>124.5</v>
      </c>
      <c r="G4530" t="str">
        <f>VLOOKUP(Table1_2[[#This Row],[Categories]],Sheet3!$A$1:$B$27,2,FALSE)</f>
        <v>Recreation and amusement</v>
      </c>
    </row>
    <row r="4531" spans="1:7" x14ac:dyDescent="0.3">
      <c r="A4531" t="s">
        <v>33</v>
      </c>
      <c r="B4531">
        <v>2017</v>
      </c>
      <c r="C4531" t="s">
        <v>42</v>
      </c>
      <c r="D4531" s="2">
        <v>42979</v>
      </c>
      <c r="E4531" t="s">
        <v>26</v>
      </c>
      <c r="F4531">
        <v>135.9</v>
      </c>
      <c r="G4531" t="str">
        <f>VLOOKUP(Table1_2[[#This Row],[Categories]],Sheet3!$A$1:$B$27,2,FALSE)</f>
        <v>Education</v>
      </c>
    </row>
    <row r="4532" spans="1:7" x14ac:dyDescent="0.3">
      <c r="A4532" t="s">
        <v>33</v>
      </c>
      <c r="B4532">
        <v>2017</v>
      </c>
      <c r="C4532" t="s">
        <v>42</v>
      </c>
      <c r="D4532" s="2">
        <v>42979</v>
      </c>
      <c r="E4532" t="s">
        <v>27</v>
      </c>
      <c r="F4532">
        <v>124.4</v>
      </c>
      <c r="G4532" t="str">
        <f>VLOOKUP(Table1_2[[#This Row],[Categories]],Sheet3!$A$1:$B$27,2,FALSE)</f>
        <v>Household Items</v>
      </c>
    </row>
    <row r="4533" spans="1:7" x14ac:dyDescent="0.3">
      <c r="A4533" t="s">
        <v>33</v>
      </c>
      <c r="B4533">
        <v>2017</v>
      </c>
      <c r="C4533" t="s">
        <v>42</v>
      </c>
      <c r="D4533" s="2">
        <v>42979</v>
      </c>
      <c r="E4533" t="s">
        <v>28</v>
      </c>
      <c r="F4533">
        <v>124.5</v>
      </c>
      <c r="G4533" t="str">
        <f>VLOOKUP(Table1_2[[#This Row],[Categories]],Sheet3!$A$1:$B$27,2,FALSE)</f>
        <v>Miscellaneous</v>
      </c>
    </row>
    <row r="4534" spans="1:7" x14ac:dyDescent="0.3">
      <c r="A4534" t="s">
        <v>33</v>
      </c>
      <c r="B4534">
        <v>2017</v>
      </c>
      <c r="C4534" t="s">
        <v>42</v>
      </c>
      <c r="D4534" s="2">
        <v>42979</v>
      </c>
      <c r="E4534" t="s">
        <v>29</v>
      </c>
      <c r="F4534">
        <v>132.4</v>
      </c>
      <c r="G4534" t="str">
        <f>VLOOKUP(Table1_2[[#This Row],[Categories]],Sheet3!$A$1:$B$27,2,FALSE)</f>
        <v>General index</v>
      </c>
    </row>
    <row r="4535" spans="1:7" x14ac:dyDescent="0.3">
      <c r="A4535" t="s">
        <v>34</v>
      </c>
      <c r="B4535">
        <v>2017</v>
      </c>
      <c r="C4535" t="s">
        <v>42</v>
      </c>
      <c r="D4535" s="2">
        <v>42979</v>
      </c>
      <c r="E4535" t="s">
        <v>3</v>
      </c>
      <c r="F4535">
        <v>134.69999999999999</v>
      </c>
      <c r="G4535" t="str">
        <f>VLOOKUP(Table1_2[[#This Row],[Categories]],Sheet3!$A$1:$B$27,2,FALSE)</f>
        <v>Food &amp;Beverage</v>
      </c>
    </row>
    <row r="4536" spans="1:7" x14ac:dyDescent="0.3">
      <c r="A4536" t="s">
        <v>34</v>
      </c>
      <c r="B4536">
        <v>2017</v>
      </c>
      <c r="C4536" t="s">
        <v>42</v>
      </c>
      <c r="D4536" s="2">
        <v>42979</v>
      </c>
      <c r="E4536" t="s">
        <v>4</v>
      </c>
      <c r="F4536">
        <v>142.4</v>
      </c>
      <c r="G4536" t="str">
        <f>VLOOKUP(Table1_2[[#This Row],[Categories]],Sheet3!$A$1:$B$27,2,FALSE)</f>
        <v>Food &amp;Beverage</v>
      </c>
    </row>
    <row r="4537" spans="1:7" x14ac:dyDescent="0.3">
      <c r="A4537" t="s">
        <v>34</v>
      </c>
      <c r="B4537">
        <v>2017</v>
      </c>
      <c r="C4537" t="s">
        <v>42</v>
      </c>
      <c r="D4537" s="2">
        <v>42979</v>
      </c>
      <c r="E4537" t="s">
        <v>5</v>
      </c>
      <c r="F4537">
        <v>130.19999999999999</v>
      </c>
      <c r="G4537" t="str">
        <f>VLOOKUP(Table1_2[[#This Row],[Categories]],Sheet3!$A$1:$B$27,2,FALSE)</f>
        <v>Food &amp;Beverage</v>
      </c>
    </row>
    <row r="4538" spans="1:7" x14ac:dyDescent="0.3">
      <c r="A4538" t="s">
        <v>34</v>
      </c>
      <c r="B4538">
        <v>2017</v>
      </c>
      <c r="C4538" t="s">
        <v>42</v>
      </c>
      <c r="D4538" s="2">
        <v>42979</v>
      </c>
      <c r="E4538" t="s">
        <v>6</v>
      </c>
      <c r="F4538">
        <v>139.6</v>
      </c>
      <c r="G4538" t="str">
        <f>VLOOKUP(Table1_2[[#This Row],[Categories]],Sheet3!$A$1:$B$27,2,FALSE)</f>
        <v>Food &amp;Beverage</v>
      </c>
    </row>
    <row r="4539" spans="1:7" x14ac:dyDescent="0.3">
      <c r="A4539" t="s">
        <v>34</v>
      </c>
      <c r="B4539">
        <v>2017</v>
      </c>
      <c r="C4539" t="s">
        <v>42</v>
      </c>
      <c r="D4539" s="2">
        <v>42979</v>
      </c>
      <c r="E4539" t="s">
        <v>7</v>
      </c>
      <c r="F4539">
        <v>118.4</v>
      </c>
      <c r="G4539" t="str">
        <f>VLOOKUP(Table1_2[[#This Row],[Categories]],Sheet3!$A$1:$B$27,2,FALSE)</f>
        <v>Food &amp;Beverage</v>
      </c>
    </row>
    <row r="4540" spans="1:7" x14ac:dyDescent="0.3">
      <c r="A4540" t="s">
        <v>34</v>
      </c>
      <c r="B4540">
        <v>2017</v>
      </c>
      <c r="C4540" t="s">
        <v>42</v>
      </c>
      <c r="D4540" s="2">
        <v>42979</v>
      </c>
      <c r="E4540" t="s">
        <v>8</v>
      </c>
      <c r="F4540">
        <v>143</v>
      </c>
      <c r="G4540" t="str">
        <f>VLOOKUP(Table1_2[[#This Row],[Categories]],Sheet3!$A$1:$B$27,2,FALSE)</f>
        <v>Food &amp;Beverage</v>
      </c>
    </row>
    <row r="4541" spans="1:7" x14ac:dyDescent="0.3">
      <c r="A4541" t="s">
        <v>34</v>
      </c>
      <c r="B4541">
        <v>2017</v>
      </c>
      <c r="C4541" t="s">
        <v>42</v>
      </c>
      <c r="D4541" s="2">
        <v>42979</v>
      </c>
      <c r="E4541" t="s">
        <v>9</v>
      </c>
      <c r="F4541">
        <v>156.6</v>
      </c>
      <c r="G4541" t="str">
        <f>VLOOKUP(Table1_2[[#This Row],[Categories]],Sheet3!$A$1:$B$27,2,FALSE)</f>
        <v>Food &amp;Beverage</v>
      </c>
    </row>
    <row r="4542" spans="1:7" x14ac:dyDescent="0.3">
      <c r="A4542" t="s">
        <v>34</v>
      </c>
      <c r="B4542">
        <v>2017</v>
      </c>
      <c r="C4542" t="s">
        <v>42</v>
      </c>
      <c r="D4542" s="2">
        <v>42979</v>
      </c>
      <c r="E4542" t="s">
        <v>10</v>
      </c>
      <c r="F4542">
        <v>132.9</v>
      </c>
      <c r="G4542" t="str">
        <f>VLOOKUP(Table1_2[[#This Row],[Categories]],Sheet3!$A$1:$B$27,2,FALSE)</f>
        <v>Food &amp;Beverage</v>
      </c>
    </row>
    <row r="4543" spans="1:7" x14ac:dyDescent="0.3">
      <c r="A4543" t="s">
        <v>34</v>
      </c>
      <c r="B4543">
        <v>2017</v>
      </c>
      <c r="C4543" t="s">
        <v>42</v>
      </c>
      <c r="D4543" s="2">
        <v>42979</v>
      </c>
      <c r="E4543" t="s">
        <v>11</v>
      </c>
      <c r="F4543">
        <v>121.5</v>
      </c>
      <c r="G4543" t="str">
        <f>VLOOKUP(Table1_2[[#This Row],[Categories]],Sheet3!$A$1:$B$27,2,FALSE)</f>
        <v>Food &amp;Beverage</v>
      </c>
    </row>
    <row r="4544" spans="1:7" x14ac:dyDescent="0.3">
      <c r="A4544" t="s">
        <v>34</v>
      </c>
      <c r="B4544">
        <v>2017</v>
      </c>
      <c r="C4544" t="s">
        <v>42</v>
      </c>
      <c r="D4544" s="2">
        <v>42979</v>
      </c>
      <c r="E4544" t="s">
        <v>12</v>
      </c>
      <c r="F4544">
        <v>135.6</v>
      </c>
      <c r="G4544" t="str">
        <f>VLOOKUP(Table1_2[[#This Row],[Categories]],Sheet3!$A$1:$B$27,2,FALSE)</f>
        <v>Food &amp;Beverage</v>
      </c>
    </row>
    <row r="4545" spans="1:7" x14ac:dyDescent="0.3">
      <c r="A4545" t="s">
        <v>34</v>
      </c>
      <c r="B4545">
        <v>2017</v>
      </c>
      <c r="C4545" t="s">
        <v>42</v>
      </c>
      <c r="D4545" s="2">
        <v>42979</v>
      </c>
      <c r="E4545" t="s">
        <v>13</v>
      </c>
      <c r="F4545">
        <v>128.80000000000001</v>
      </c>
      <c r="G4545" t="str">
        <f>VLOOKUP(Table1_2[[#This Row],[Categories]],Sheet3!$A$1:$B$27,2,FALSE)</f>
        <v>Food &amp;Beverage</v>
      </c>
    </row>
    <row r="4546" spans="1:7" x14ac:dyDescent="0.3">
      <c r="A4546" t="s">
        <v>34</v>
      </c>
      <c r="B4546">
        <v>2017</v>
      </c>
      <c r="C4546" t="s">
        <v>42</v>
      </c>
      <c r="D4546" s="2">
        <v>42979</v>
      </c>
      <c r="E4546" t="s">
        <v>14</v>
      </c>
      <c r="F4546">
        <v>147.30000000000001</v>
      </c>
      <c r="G4546" t="str">
        <f>VLOOKUP(Table1_2[[#This Row],[Categories]],Sheet3!$A$1:$B$27,2,FALSE)</f>
        <v>Food &amp;Beverage</v>
      </c>
    </row>
    <row r="4547" spans="1:7" x14ac:dyDescent="0.3">
      <c r="A4547" t="s">
        <v>34</v>
      </c>
      <c r="B4547">
        <v>2017</v>
      </c>
      <c r="C4547" t="s">
        <v>42</v>
      </c>
      <c r="D4547" s="2">
        <v>42979</v>
      </c>
      <c r="E4547" t="s">
        <v>15</v>
      </c>
      <c r="F4547">
        <v>139</v>
      </c>
      <c r="G4547" t="str">
        <f>VLOOKUP(Table1_2[[#This Row],[Categories]],Sheet3!$A$1:$B$27,2,FALSE)</f>
        <v>Food &amp;Beverage</v>
      </c>
    </row>
    <row r="4548" spans="1:7" x14ac:dyDescent="0.3">
      <c r="A4548" t="s">
        <v>34</v>
      </c>
      <c r="B4548">
        <v>2017</v>
      </c>
      <c r="C4548" t="s">
        <v>42</v>
      </c>
      <c r="D4548" s="2">
        <v>42979</v>
      </c>
      <c r="E4548" t="s">
        <v>16</v>
      </c>
      <c r="F4548">
        <v>150.80000000000001</v>
      </c>
      <c r="G4548" t="str">
        <f>VLOOKUP(Table1_2[[#This Row],[Categories]],Sheet3!$A$1:$B$27,2,FALSE)</f>
        <v>Recreation and amusement</v>
      </c>
    </row>
    <row r="4549" spans="1:7" x14ac:dyDescent="0.3">
      <c r="A4549" t="s">
        <v>34</v>
      </c>
      <c r="B4549">
        <v>2017</v>
      </c>
      <c r="C4549" t="s">
        <v>42</v>
      </c>
      <c r="D4549" s="2">
        <v>42979</v>
      </c>
      <c r="E4549" t="s">
        <v>17</v>
      </c>
      <c r="F4549">
        <v>141.1</v>
      </c>
      <c r="G4549" t="str">
        <f>VLOOKUP(Table1_2[[#This Row],[Categories]],Sheet3!$A$1:$B$27,2,FALSE)</f>
        <v>Clothing and footwear</v>
      </c>
    </row>
    <row r="4550" spans="1:7" x14ac:dyDescent="0.3">
      <c r="A4550" t="s">
        <v>34</v>
      </c>
      <c r="B4550">
        <v>2017</v>
      </c>
      <c r="C4550" t="s">
        <v>42</v>
      </c>
      <c r="D4550" s="2">
        <v>42979</v>
      </c>
      <c r="E4550" t="s">
        <v>18</v>
      </c>
      <c r="F4550">
        <v>133.4</v>
      </c>
      <c r="G4550" t="str">
        <f>VLOOKUP(Table1_2[[#This Row],[Categories]],Sheet3!$A$1:$B$27,2,FALSE)</f>
        <v>Clothing and footwear</v>
      </c>
    </row>
    <row r="4551" spans="1:7" x14ac:dyDescent="0.3">
      <c r="A4551" t="s">
        <v>34</v>
      </c>
      <c r="B4551">
        <v>2017</v>
      </c>
      <c r="C4551" t="s">
        <v>42</v>
      </c>
      <c r="D4551" s="2">
        <v>42979</v>
      </c>
      <c r="E4551" t="s">
        <v>19</v>
      </c>
      <c r="F4551">
        <v>140</v>
      </c>
      <c r="G4551" t="str">
        <f>VLOOKUP(Table1_2[[#This Row],[Categories]],Sheet3!$A$1:$B$27,2,FALSE)</f>
        <v>Clothing and footwear</v>
      </c>
    </row>
    <row r="4552" spans="1:7" x14ac:dyDescent="0.3">
      <c r="A4552" t="s">
        <v>34</v>
      </c>
      <c r="B4552">
        <v>2017</v>
      </c>
      <c r="C4552" t="s">
        <v>42</v>
      </c>
      <c r="D4552" s="2">
        <v>42979</v>
      </c>
      <c r="E4552" t="s">
        <v>20</v>
      </c>
      <c r="F4552">
        <v>135.69999999999999</v>
      </c>
      <c r="G4552" t="str">
        <f>VLOOKUP(Table1_2[[#This Row],[Categories]],Sheet3!$A$1:$B$27,2,FALSE)</f>
        <v>Housing</v>
      </c>
    </row>
    <row r="4553" spans="1:7" x14ac:dyDescent="0.3">
      <c r="A4553" t="s">
        <v>34</v>
      </c>
      <c r="B4553">
        <v>2017</v>
      </c>
      <c r="C4553" t="s">
        <v>42</v>
      </c>
      <c r="D4553" s="2">
        <v>42979</v>
      </c>
      <c r="E4553" t="s">
        <v>21</v>
      </c>
      <c r="F4553">
        <v>131</v>
      </c>
      <c r="G4553" t="str">
        <f>VLOOKUP(Table1_2[[#This Row],[Categories]],Sheet3!$A$1:$B$27,2,FALSE)</f>
        <v>Fuel and light</v>
      </c>
    </row>
    <row r="4554" spans="1:7" x14ac:dyDescent="0.3">
      <c r="A4554" t="s">
        <v>34</v>
      </c>
      <c r="B4554">
        <v>2017</v>
      </c>
      <c r="C4554" t="s">
        <v>42</v>
      </c>
      <c r="D4554" s="2">
        <v>42979</v>
      </c>
      <c r="E4554" t="s">
        <v>22</v>
      </c>
      <c r="F4554">
        <v>133.30000000000001</v>
      </c>
      <c r="G4554" t="str">
        <f>VLOOKUP(Table1_2[[#This Row],[Categories]],Sheet3!$A$1:$B$27,2,FALSE)</f>
        <v>Household Items</v>
      </c>
    </row>
    <row r="4555" spans="1:7" x14ac:dyDescent="0.3">
      <c r="A4555" t="s">
        <v>34</v>
      </c>
      <c r="B4555">
        <v>2017</v>
      </c>
      <c r="C4555" t="s">
        <v>42</v>
      </c>
      <c r="D4555" s="2">
        <v>42979</v>
      </c>
      <c r="E4555" t="s">
        <v>23</v>
      </c>
      <c r="F4555">
        <v>130.6</v>
      </c>
      <c r="G4555" t="str">
        <f>VLOOKUP(Table1_2[[#This Row],[Categories]],Sheet3!$A$1:$B$27,2,FALSE)</f>
        <v>Health</v>
      </c>
    </row>
    <row r="4556" spans="1:7" x14ac:dyDescent="0.3">
      <c r="A4556" t="s">
        <v>34</v>
      </c>
      <c r="B4556">
        <v>2017</v>
      </c>
      <c r="C4556" t="s">
        <v>42</v>
      </c>
      <c r="D4556" s="2">
        <v>42979</v>
      </c>
      <c r="E4556" t="s">
        <v>24</v>
      </c>
      <c r="F4556">
        <v>118.3</v>
      </c>
      <c r="G4556" t="str">
        <f>VLOOKUP(Table1_2[[#This Row],[Categories]],Sheet3!$A$1:$B$27,2,FALSE)</f>
        <v>Transport and communication</v>
      </c>
    </row>
    <row r="4557" spans="1:7" x14ac:dyDescent="0.3">
      <c r="A4557" t="s">
        <v>34</v>
      </c>
      <c r="B4557">
        <v>2017</v>
      </c>
      <c r="C4557" t="s">
        <v>42</v>
      </c>
      <c r="D4557" s="2">
        <v>42979</v>
      </c>
      <c r="E4557" t="s">
        <v>25</v>
      </c>
      <c r="F4557">
        <v>127.9</v>
      </c>
      <c r="G4557" t="str">
        <f>VLOOKUP(Table1_2[[#This Row],[Categories]],Sheet3!$A$1:$B$27,2,FALSE)</f>
        <v>Recreation and amusement</v>
      </c>
    </row>
    <row r="4558" spans="1:7" x14ac:dyDescent="0.3">
      <c r="A4558" t="s">
        <v>34</v>
      </c>
      <c r="B4558">
        <v>2017</v>
      </c>
      <c r="C4558" t="s">
        <v>42</v>
      </c>
      <c r="D4558" s="2">
        <v>42979</v>
      </c>
      <c r="E4558" t="s">
        <v>26</v>
      </c>
      <c r="F4558">
        <v>137.4</v>
      </c>
      <c r="G4558" t="str">
        <f>VLOOKUP(Table1_2[[#This Row],[Categories]],Sheet3!$A$1:$B$27,2,FALSE)</f>
        <v>Education</v>
      </c>
    </row>
    <row r="4559" spans="1:7" x14ac:dyDescent="0.3">
      <c r="A4559" t="s">
        <v>34</v>
      </c>
      <c r="B4559">
        <v>2017</v>
      </c>
      <c r="C4559" t="s">
        <v>42</v>
      </c>
      <c r="D4559" s="2">
        <v>42979</v>
      </c>
      <c r="E4559" t="s">
        <v>27</v>
      </c>
      <c r="F4559">
        <v>125.7</v>
      </c>
      <c r="G4559" t="str">
        <f>VLOOKUP(Table1_2[[#This Row],[Categories]],Sheet3!$A$1:$B$27,2,FALSE)</f>
        <v>Household Items</v>
      </c>
    </row>
    <row r="4560" spans="1:7" x14ac:dyDescent="0.3">
      <c r="A4560" t="s">
        <v>34</v>
      </c>
      <c r="B4560">
        <v>2017</v>
      </c>
      <c r="C4560" t="s">
        <v>42</v>
      </c>
      <c r="D4560" s="2">
        <v>42979</v>
      </c>
      <c r="E4560" t="s">
        <v>28</v>
      </c>
      <c r="F4560">
        <v>127.5</v>
      </c>
      <c r="G4560" t="str">
        <f>VLOOKUP(Table1_2[[#This Row],[Categories]],Sheet3!$A$1:$B$27,2,FALSE)</f>
        <v>Miscellaneous</v>
      </c>
    </row>
    <row r="4561" spans="1:7" x14ac:dyDescent="0.3">
      <c r="A4561" t="s">
        <v>34</v>
      </c>
      <c r="B4561">
        <v>2017</v>
      </c>
      <c r="C4561" t="s">
        <v>42</v>
      </c>
      <c r="D4561" s="2">
        <v>42979</v>
      </c>
      <c r="E4561" t="s">
        <v>29</v>
      </c>
      <c r="F4561">
        <v>135.19999999999999</v>
      </c>
      <c r="G4561" t="str">
        <f>VLOOKUP(Table1_2[[#This Row],[Categories]],Sheet3!$A$1:$B$27,2,FALSE)</f>
        <v>General index</v>
      </c>
    </row>
    <row r="4562" spans="1:7" x14ac:dyDescent="0.3">
      <c r="A4562" t="s">
        <v>30</v>
      </c>
      <c r="B4562">
        <v>2017</v>
      </c>
      <c r="C4562" t="s">
        <v>43</v>
      </c>
      <c r="D4562" s="2">
        <v>43009</v>
      </c>
      <c r="E4562" t="s">
        <v>3</v>
      </c>
      <c r="F4562">
        <v>135.9</v>
      </c>
      <c r="G4562" t="str">
        <f>VLOOKUP(Table1_2[[#This Row],[Categories]],Sheet3!$A$1:$B$27,2,FALSE)</f>
        <v>Food &amp;Beverage</v>
      </c>
    </row>
    <row r="4563" spans="1:7" x14ac:dyDescent="0.3">
      <c r="A4563" t="s">
        <v>30</v>
      </c>
      <c r="B4563">
        <v>2017</v>
      </c>
      <c r="C4563" t="s">
        <v>43</v>
      </c>
      <c r="D4563" s="2">
        <v>43009</v>
      </c>
      <c r="E4563" t="s">
        <v>4</v>
      </c>
      <c r="F4563">
        <v>141.9</v>
      </c>
      <c r="G4563" t="str">
        <f>VLOOKUP(Table1_2[[#This Row],[Categories]],Sheet3!$A$1:$B$27,2,FALSE)</f>
        <v>Food &amp;Beverage</v>
      </c>
    </row>
    <row r="4564" spans="1:7" x14ac:dyDescent="0.3">
      <c r="A4564" t="s">
        <v>30</v>
      </c>
      <c r="B4564">
        <v>2017</v>
      </c>
      <c r="C4564" t="s">
        <v>43</v>
      </c>
      <c r="D4564" s="2">
        <v>43009</v>
      </c>
      <c r="E4564" t="s">
        <v>5</v>
      </c>
      <c r="F4564">
        <v>131</v>
      </c>
      <c r="G4564" t="str">
        <f>VLOOKUP(Table1_2[[#This Row],[Categories]],Sheet3!$A$1:$B$27,2,FALSE)</f>
        <v>Food &amp;Beverage</v>
      </c>
    </row>
    <row r="4565" spans="1:7" x14ac:dyDescent="0.3">
      <c r="A4565" t="s">
        <v>30</v>
      </c>
      <c r="B4565">
        <v>2017</v>
      </c>
      <c r="C4565" t="s">
        <v>43</v>
      </c>
      <c r="D4565" s="2">
        <v>43009</v>
      </c>
      <c r="E4565" t="s">
        <v>6</v>
      </c>
      <c r="F4565">
        <v>141.5</v>
      </c>
      <c r="G4565" t="str">
        <f>VLOOKUP(Table1_2[[#This Row],[Categories]],Sheet3!$A$1:$B$27,2,FALSE)</f>
        <v>Food &amp;Beverage</v>
      </c>
    </row>
    <row r="4566" spans="1:7" x14ac:dyDescent="0.3">
      <c r="A4566" t="s">
        <v>30</v>
      </c>
      <c r="B4566">
        <v>2017</v>
      </c>
      <c r="C4566" t="s">
        <v>43</v>
      </c>
      <c r="D4566" s="2">
        <v>43009</v>
      </c>
      <c r="E4566" t="s">
        <v>7</v>
      </c>
      <c r="F4566">
        <v>121.4</v>
      </c>
      <c r="G4566" t="str">
        <f>VLOOKUP(Table1_2[[#This Row],[Categories]],Sheet3!$A$1:$B$27,2,FALSE)</f>
        <v>Food &amp;Beverage</v>
      </c>
    </row>
    <row r="4567" spans="1:7" x14ac:dyDescent="0.3">
      <c r="A4567" t="s">
        <v>30</v>
      </c>
      <c r="B4567">
        <v>2017</v>
      </c>
      <c r="C4567" t="s">
        <v>43</v>
      </c>
      <c r="D4567" s="2">
        <v>43009</v>
      </c>
      <c r="E4567" t="s">
        <v>8</v>
      </c>
      <c r="F4567">
        <v>146.69999999999999</v>
      </c>
      <c r="G4567" t="str">
        <f>VLOOKUP(Table1_2[[#This Row],[Categories]],Sheet3!$A$1:$B$27,2,FALSE)</f>
        <v>Food &amp;Beverage</v>
      </c>
    </row>
    <row r="4568" spans="1:7" x14ac:dyDescent="0.3">
      <c r="A4568" t="s">
        <v>30</v>
      </c>
      <c r="B4568">
        <v>2017</v>
      </c>
      <c r="C4568" t="s">
        <v>43</v>
      </c>
      <c r="D4568" s="2">
        <v>43009</v>
      </c>
      <c r="E4568" t="s">
        <v>9</v>
      </c>
      <c r="F4568">
        <v>157.1</v>
      </c>
      <c r="G4568" t="str">
        <f>VLOOKUP(Table1_2[[#This Row],[Categories]],Sheet3!$A$1:$B$27,2,FALSE)</f>
        <v>Food &amp;Beverage</v>
      </c>
    </row>
    <row r="4569" spans="1:7" x14ac:dyDescent="0.3">
      <c r="A4569" t="s">
        <v>30</v>
      </c>
      <c r="B4569">
        <v>2017</v>
      </c>
      <c r="C4569" t="s">
        <v>43</v>
      </c>
      <c r="D4569" s="2">
        <v>43009</v>
      </c>
      <c r="E4569" t="s">
        <v>10</v>
      </c>
      <c r="F4569">
        <v>136.4</v>
      </c>
      <c r="G4569" t="str">
        <f>VLOOKUP(Table1_2[[#This Row],[Categories]],Sheet3!$A$1:$B$27,2,FALSE)</f>
        <v>Food &amp;Beverage</v>
      </c>
    </row>
    <row r="4570" spans="1:7" x14ac:dyDescent="0.3">
      <c r="A4570" t="s">
        <v>30</v>
      </c>
      <c r="B4570">
        <v>2017</v>
      </c>
      <c r="C4570" t="s">
        <v>43</v>
      </c>
      <c r="D4570" s="2">
        <v>43009</v>
      </c>
      <c r="E4570" t="s">
        <v>11</v>
      </c>
      <c r="F4570">
        <v>121.4</v>
      </c>
      <c r="G4570" t="str">
        <f>VLOOKUP(Table1_2[[#This Row],[Categories]],Sheet3!$A$1:$B$27,2,FALSE)</f>
        <v>Food &amp;Beverage</v>
      </c>
    </row>
    <row r="4571" spans="1:7" x14ac:dyDescent="0.3">
      <c r="A4571" t="s">
        <v>30</v>
      </c>
      <c r="B4571">
        <v>2017</v>
      </c>
      <c r="C4571" t="s">
        <v>43</v>
      </c>
      <c r="D4571" s="2">
        <v>43009</v>
      </c>
      <c r="E4571" t="s">
        <v>12</v>
      </c>
      <c r="F4571">
        <v>135.6</v>
      </c>
      <c r="G4571" t="str">
        <f>VLOOKUP(Table1_2[[#This Row],[Categories]],Sheet3!$A$1:$B$27,2,FALSE)</f>
        <v>Food &amp;Beverage</v>
      </c>
    </row>
    <row r="4572" spans="1:7" x14ac:dyDescent="0.3">
      <c r="A4572" t="s">
        <v>30</v>
      </c>
      <c r="B4572">
        <v>2017</v>
      </c>
      <c r="C4572" t="s">
        <v>43</v>
      </c>
      <c r="D4572" s="2">
        <v>43009</v>
      </c>
      <c r="E4572" t="s">
        <v>13</v>
      </c>
      <c r="F4572">
        <v>131.30000000000001</v>
      </c>
      <c r="G4572" t="str">
        <f>VLOOKUP(Table1_2[[#This Row],[Categories]],Sheet3!$A$1:$B$27,2,FALSE)</f>
        <v>Food &amp;Beverage</v>
      </c>
    </row>
    <row r="4573" spans="1:7" x14ac:dyDescent="0.3">
      <c r="A4573" t="s">
        <v>30</v>
      </c>
      <c r="B4573">
        <v>2017</v>
      </c>
      <c r="C4573" t="s">
        <v>43</v>
      </c>
      <c r="D4573" s="2">
        <v>43009</v>
      </c>
      <c r="E4573" t="s">
        <v>14</v>
      </c>
      <c r="F4573">
        <v>150.30000000000001</v>
      </c>
      <c r="G4573" t="str">
        <f>VLOOKUP(Table1_2[[#This Row],[Categories]],Sheet3!$A$1:$B$27,2,FALSE)</f>
        <v>Food &amp;Beverage</v>
      </c>
    </row>
    <row r="4574" spans="1:7" x14ac:dyDescent="0.3">
      <c r="A4574" t="s">
        <v>30</v>
      </c>
      <c r="B4574">
        <v>2017</v>
      </c>
      <c r="C4574" t="s">
        <v>43</v>
      </c>
      <c r="D4574" s="2">
        <v>43009</v>
      </c>
      <c r="E4574" t="s">
        <v>15</v>
      </c>
      <c r="F4574">
        <v>140.4</v>
      </c>
      <c r="G4574" t="str">
        <f>VLOOKUP(Table1_2[[#This Row],[Categories]],Sheet3!$A$1:$B$27,2,FALSE)</f>
        <v>Food &amp;Beverage</v>
      </c>
    </row>
    <row r="4575" spans="1:7" x14ac:dyDescent="0.3">
      <c r="A4575" t="s">
        <v>30</v>
      </c>
      <c r="B4575">
        <v>2017</v>
      </c>
      <c r="C4575" t="s">
        <v>43</v>
      </c>
      <c r="D4575" s="2">
        <v>43009</v>
      </c>
      <c r="E4575" t="s">
        <v>16</v>
      </c>
      <c r="F4575">
        <v>150.5</v>
      </c>
      <c r="G4575" t="str">
        <f>VLOOKUP(Table1_2[[#This Row],[Categories]],Sheet3!$A$1:$B$27,2,FALSE)</f>
        <v>Recreation and amusement</v>
      </c>
    </row>
    <row r="4576" spans="1:7" x14ac:dyDescent="0.3">
      <c r="A4576" t="s">
        <v>30</v>
      </c>
      <c r="B4576">
        <v>2017</v>
      </c>
      <c r="C4576" t="s">
        <v>43</v>
      </c>
      <c r="D4576" s="2">
        <v>43009</v>
      </c>
      <c r="E4576" t="s">
        <v>17</v>
      </c>
      <c r="F4576">
        <v>147.19999999999999</v>
      </c>
      <c r="G4576" t="str">
        <f>VLOOKUP(Table1_2[[#This Row],[Categories]],Sheet3!$A$1:$B$27,2,FALSE)</f>
        <v>Clothing and footwear</v>
      </c>
    </row>
    <row r="4577" spans="1:7" x14ac:dyDescent="0.3">
      <c r="A4577" t="s">
        <v>30</v>
      </c>
      <c r="B4577">
        <v>2017</v>
      </c>
      <c r="C4577" t="s">
        <v>43</v>
      </c>
      <c r="D4577" s="2">
        <v>43009</v>
      </c>
      <c r="E4577" t="s">
        <v>18</v>
      </c>
      <c r="F4577">
        <v>140.6</v>
      </c>
      <c r="G4577" t="str">
        <f>VLOOKUP(Table1_2[[#This Row],[Categories]],Sheet3!$A$1:$B$27,2,FALSE)</f>
        <v>Clothing and footwear</v>
      </c>
    </row>
    <row r="4578" spans="1:7" x14ac:dyDescent="0.3">
      <c r="A4578" t="s">
        <v>30</v>
      </c>
      <c r="B4578">
        <v>2017</v>
      </c>
      <c r="C4578" t="s">
        <v>43</v>
      </c>
      <c r="D4578" s="2">
        <v>43009</v>
      </c>
      <c r="E4578" t="s">
        <v>19</v>
      </c>
      <c r="F4578">
        <v>146.19999999999999</v>
      </c>
      <c r="G4578" t="str">
        <f>VLOOKUP(Table1_2[[#This Row],[Categories]],Sheet3!$A$1:$B$27,2,FALSE)</f>
        <v>Clothing and footwear</v>
      </c>
    </row>
    <row r="4579" spans="1:7" x14ac:dyDescent="0.3">
      <c r="A4579" t="s">
        <v>30</v>
      </c>
      <c r="B4579">
        <v>2017</v>
      </c>
      <c r="C4579" t="s">
        <v>43</v>
      </c>
      <c r="D4579" s="2">
        <v>43009</v>
      </c>
      <c r="E4579" t="s">
        <v>21</v>
      </c>
      <c r="F4579">
        <v>138.1</v>
      </c>
      <c r="G4579" t="str">
        <f>VLOOKUP(Table1_2[[#This Row],[Categories]],Sheet3!$A$1:$B$27,2,FALSE)</f>
        <v>Fuel and light</v>
      </c>
    </row>
    <row r="4580" spans="1:7" x14ac:dyDescent="0.3">
      <c r="A4580" t="s">
        <v>30</v>
      </c>
      <c r="B4580">
        <v>2017</v>
      </c>
      <c r="C4580" t="s">
        <v>43</v>
      </c>
      <c r="D4580" s="2">
        <v>43009</v>
      </c>
      <c r="E4580" t="s">
        <v>22</v>
      </c>
      <c r="F4580">
        <v>138.4</v>
      </c>
      <c r="G4580" t="str">
        <f>VLOOKUP(Table1_2[[#This Row],[Categories]],Sheet3!$A$1:$B$27,2,FALSE)</f>
        <v>Household Items</v>
      </c>
    </row>
    <row r="4581" spans="1:7" x14ac:dyDescent="0.3">
      <c r="A4581" t="s">
        <v>30</v>
      </c>
      <c r="B4581">
        <v>2017</v>
      </c>
      <c r="C4581" t="s">
        <v>43</v>
      </c>
      <c r="D4581" s="2">
        <v>43009</v>
      </c>
      <c r="E4581" t="s">
        <v>23</v>
      </c>
      <c r="F4581">
        <v>134.19999999999999</v>
      </c>
      <c r="G4581" t="str">
        <f>VLOOKUP(Table1_2[[#This Row],[Categories]],Sheet3!$A$1:$B$27,2,FALSE)</f>
        <v>Health</v>
      </c>
    </row>
    <row r="4582" spans="1:7" x14ac:dyDescent="0.3">
      <c r="A4582" t="s">
        <v>30</v>
      </c>
      <c r="B4582">
        <v>2017</v>
      </c>
      <c r="C4582" t="s">
        <v>43</v>
      </c>
      <c r="D4582" s="2">
        <v>43009</v>
      </c>
      <c r="E4582" t="s">
        <v>24</v>
      </c>
      <c r="F4582">
        <v>121</v>
      </c>
      <c r="G4582" t="str">
        <f>VLOOKUP(Table1_2[[#This Row],[Categories]],Sheet3!$A$1:$B$27,2,FALSE)</f>
        <v>Transport and communication</v>
      </c>
    </row>
    <row r="4583" spans="1:7" x14ac:dyDescent="0.3">
      <c r="A4583" t="s">
        <v>30</v>
      </c>
      <c r="B4583">
        <v>2017</v>
      </c>
      <c r="C4583" t="s">
        <v>43</v>
      </c>
      <c r="D4583" s="2">
        <v>43009</v>
      </c>
      <c r="E4583" t="s">
        <v>25</v>
      </c>
      <c r="F4583">
        <v>133</v>
      </c>
      <c r="G4583" t="str">
        <f>VLOOKUP(Table1_2[[#This Row],[Categories]],Sheet3!$A$1:$B$27,2,FALSE)</f>
        <v>Recreation and amusement</v>
      </c>
    </row>
    <row r="4584" spans="1:7" x14ac:dyDescent="0.3">
      <c r="A4584" t="s">
        <v>30</v>
      </c>
      <c r="B4584">
        <v>2017</v>
      </c>
      <c r="C4584" t="s">
        <v>43</v>
      </c>
      <c r="D4584" s="2">
        <v>43009</v>
      </c>
      <c r="E4584" t="s">
        <v>26</v>
      </c>
      <c r="F4584">
        <v>140.1</v>
      </c>
      <c r="G4584" t="str">
        <f>VLOOKUP(Table1_2[[#This Row],[Categories]],Sheet3!$A$1:$B$27,2,FALSE)</f>
        <v>Education</v>
      </c>
    </row>
    <row r="4585" spans="1:7" x14ac:dyDescent="0.3">
      <c r="A4585" t="s">
        <v>30</v>
      </c>
      <c r="B4585">
        <v>2017</v>
      </c>
      <c r="C4585" t="s">
        <v>43</v>
      </c>
      <c r="D4585" s="2">
        <v>43009</v>
      </c>
      <c r="E4585" t="s">
        <v>27</v>
      </c>
      <c r="F4585">
        <v>127.4</v>
      </c>
      <c r="G4585" t="str">
        <f>VLOOKUP(Table1_2[[#This Row],[Categories]],Sheet3!$A$1:$B$27,2,FALSE)</f>
        <v>Household Items</v>
      </c>
    </row>
    <row r="4586" spans="1:7" x14ac:dyDescent="0.3">
      <c r="A4586" t="s">
        <v>30</v>
      </c>
      <c r="B4586">
        <v>2017</v>
      </c>
      <c r="C4586" t="s">
        <v>43</v>
      </c>
      <c r="D4586" s="2">
        <v>43009</v>
      </c>
      <c r="E4586" t="s">
        <v>28</v>
      </c>
      <c r="F4586">
        <v>130.69999999999999</v>
      </c>
      <c r="G4586" t="str">
        <f>VLOOKUP(Table1_2[[#This Row],[Categories]],Sheet3!$A$1:$B$27,2,FALSE)</f>
        <v>Miscellaneous</v>
      </c>
    </row>
    <row r="4587" spans="1:7" x14ac:dyDescent="0.3">
      <c r="A4587" t="s">
        <v>30</v>
      </c>
      <c r="B4587">
        <v>2017</v>
      </c>
      <c r="C4587" t="s">
        <v>43</v>
      </c>
      <c r="D4587" s="2">
        <v>43009</v>
      </c>
      <c r="E4587" t="s">
        <v>29</v>
      </c>
      <c r="F4587">
        <v>138.30000000000001</v>
      </c>
      <c r="G4587" t="str">
        <f>VLOOKUP(Table1_2[[#This Row],[Categories]],Sheet3!$A$1:$B$27,2,FALSE)</f>
        <v>General index</v>
      </c>
    </row>
    <row r="4588" spans="1:7" x14ac:dyDescent="0.3">
      <c r="A4588" t="s">
        <v>33</v>
      </c>
      <c r="B4588">
        <v>2017</v>
      </c>
      <c r="C4588" t="s">
        <v>43</v>
      </c>
      <c r="D4588" s="2">
        <v>43009</v>
      </c>
      <c r="E4588" t="s">
        <v>3</v>
      </c>
      <c r="F4588">
        <v>133.9</v>
      </c>
      <c r="G4588" t="str">
        <f>VLOOKUP(Table1_2[[#This Row],[Categories]],Sheet3!$A$1:$B$27,2,FALSE)</f>
        <v>Food &amp;Beverage</v>
      </c>
    </row>
    <row r="4589" spans="1:7" x14ac:dyDescent="0.3">
      <c r="A4589" t="s">
        <v>33</v>
      </c>
      <c r="B4589">
        <v>2017</v>
      </c>
      <c r="C4589" t="s">
        <v>43</v>
      </c>
      <c r="D4589" s="2">
        <v>43009</v>
      </c>
      <c r="E4589" t="s">
        <v>4</v>
      </c>
      <c r="F4589">
        <v>142.80000000000001</v>
      </c>
      <c r="G4589" t="str">
        <f>VLOOKUP(Table1_2[[#This Row],[Categories]],Sheet3!$A$1:$B$27,2,FALSE)</f>
        <v>Food &amp;Beverage</v>
      </c>
    </row>
    <row r="4590" spans="1:7" x14ac:dyDescent="0.3">
      <c r="A4590" t="s">
        <v>33</v>
      </c>
      <c r="B4590">
        <v>2017</v>
      </c>
      <c r="C4590" t="s">
        <v>43</v>
      </c>
      <c r="D4590" s="2">
        <v>43009</v>
      </c>
      <c r="E4590" t="s">
        <v>5</v>
      </c>
      <c r="F4590">
        <v>131.4</v>
      </c>
      <c r="G4590" t="str">
        <f>VLOOKUP(Table1_2[[#This Row],[Categories]],Sheet3!$A$1:$B$27,2,FALSE)</f>
        <v>Food &amp;Beverage</v>
      </c>
    </row>
    <row r="4591" spans="1:7" x14ac:dyDescent="0.3">
      <c r="A4591" t="s">
        <v>33</v>
      </c>
      <c r="B4591">
        <v>2017</v>
      </c>
      <c r="C4591" t="s">
        <v>43</v>
      </c>
      <c r="D4591" s="2">
        <v>43009</v>
      </c>
      <c r="E4591" t="s">
        <v>6</v>
      </c>
      <c r="F4591">
        <v>139.1</v>
      </c>
      <c r="G4591" t="str">
        <f>VLOOKUP(Table1_2[[#This Row],[Categories]],Sheet3!$A$1:$B$27,2,FALSE)</f>
        <v>Food &amp;Beverage</v>
      </c>
    </row>
    <row r="4592" spans="1:7" x14ac:dyDescent="0.3">
      <c r="A4592" t="s">
        <v>33</v>
      </c>
      <c r="B4592">
        <v>2017</v>
      </c>
      <c r="C4592" t="s">
        <v>43</v>
      </c>
      <c r="D4592" s="2">
        <v>43009</v>
      </c>
      <c r="E4592" t="s">
        <v>7</v>
      </c>
      <c r="F4592">
        <v>114.9</v>
      </c>
      <c r="G4592" t="str">
        <f>VLOOKUP(Table1_2[[#This Row],[Categories]],Sheet3!$A$1:$B$27,2,FALSE)</f>
        <v>Food &amp;Beverage</v>
      </c>
    </row>
    <row r="4593" spans="1:7" x14ac:dyDescent="0.3">
      <c r="A4593" t="s">
        <v>33</v>
      </c>
      <c r="B4593">
        <v>2017</v>
      </c>
      <c r="C4593" t="s">
        <v>43</v>
      </c>
      <c r="D4593" s="2">
        <v>43009</v>
      </c>
      <c r="E4593" t="s">
        <v>8</v>
      </c>
      <c r="F4593">
        <v>135.6</v>
      </c>
      <c r="G4593" t="str">
        <f>VLOOKUP(Table1_2[[#This Row],[Categories]],Sheet3!$A$1:$B$27,2,FALSE)</f>
        <v>Food &amp;Beverage</v>
      </c>
    </row>
    <row r="4594" spans="1:7" x14ac:dyDescent="0.3">
      <c r="A4594" t="s">
        <v>33</v>
      </c>
      <c r="B4594">
        <v>2017</v>
      </c>
      <c r="C4594" t="s">
        <v>43</v>
      </c>
      <c r="D4594" s="2">
        <v>43009</v>
      </c>
      <c r="E4594" t="s">
        <v>9</v>
      </c>
      <c r="F4594">
        <v>173.2</v>
      </c>
      <c r="G4594" t="str">
        <f>VLOOKUP(Table1_2[[#This Row],[Categories]],Sheet3!$A$1:$B$27,2,FALSE)</f>
        <v>Food &amp;Beverage</v>
      </c>
    </row>
    <row r="4595" spans="1:7" x14ac:dyDescent="0.3">
      <c r="A4595" t="s">
        <v>33</v>
      </c>
      <c r="B4595">
        <v>2017</v>
      </c>
      <c r="C4595" t="s">
        <v>43</v>
      </c>
      <c r="D4595" s="2">
        <v>43009</v>
      </c>
      <c r="E4595" t="s">
        <v>10</v>
      </c>
      <c r="F4595">
        <v>124.1</v>
      </c>
      <c r="G4595" t="str">
        <f>VLOOKUP(Table1_2[[#This Row],[Categories]],Sheet3!$A$1:$B$27,2,FALSE)</f>
        <v>Food &amp;Beverage</v>
      </c>
    </row>
    <row r="4596" spans="1:7" x14ac:dyDescent="0.3">
      <c r="A4596" t="s">
        <v>33</v>
      </c>
      <c r="B4596">
        <v>2017</v>
      </c>
      <c r="C4596" t="s">
        <v>43</v>
      </c>
      <c r="D4596" s="2">
        <v>43009</v>
      </c>
      <c r="E4596" t="s">
        <v>11</v>
      </c>
      <c r="F4596">
        <v>122.6</v>
      </c>
      <c r="G4596" t="str">
        <f>VLOOKUP(Table1_2[[#This Row],[Categories]],Sheet3!$A$1:$B$27,2,FALSE)</f>
        <v>Food &amp;Beverage</v>
      </c>
    </row>
    <row r="4597" spans="1:7" x14ac:dyDescent="0.3">
      <c r="A4597" t="s">
        <v>33</v>
      </c>
      <c r="B4597">
        <v>2017</v>
      </c>
      <c r="C4597" t="s">
        <v>43</v>
      </c>
      <c r="D4597" s="2">
        <v>43009</v>
      </c>
      <c r="E4597" t="s">
        <v>12</v>
      </c>
      <c r="F4597">
        <v>137.80000000000001</v>
      </c>
      <c r="G4597" t="str">
        <f>VLOOKUP(Table1_2[[#This Row],[Categories]],Sheet3!$A$1:$B$27,2,FALSE)</f>
        <v>Food &amp;Beverage</v>
      </c>
    </row>
    <row r="4598" spans="1:7" x14ac:dyDescent="0.3">
      <c r="A4598" t="s">
        <v>33</v>
      </c>
      <c r="B4598">
        <v>2017</v>
      </c>
      <c r="C4598" t="s">
        <v>43</v>
      </c>
      <c r="D4598" s="2">
        <v>43009</v>
      </c>
      <c r="E4598" t="s">
        <v>13</v>
      </c>
      <c r="F4598">
        <v>125.1</v>
      </c>
      <c r="G4598" t="str">
        <f>VLOOKUP(Table1_2[[#This Row],[Categories]],Sheet3!$A$1:$B$27,2,FALSE)</f>
        <v>Food &amp;Beverage</v>
      </c>
    </row>
    <row r="4599" spans="1:7" x14ac:dyDescent="0.3">
      <c r="A4599" t="s">
        <v>33</v>
      </c>
      <c r="B4599">
        <v>2017</v>
      </c>
      <c r="C4599" t="s">
        <v>43</v>
      </c>
      <c r="D4599" s="2">
        <v>43009</v>
      </c>
      <c r="E4599" t="s">
        <v>14</v>
      </c>
      <c r="F4599">
        <v>145.5</v>
      </c>
      <c r="G4599" t="str">
        <f>VLOOKUP(Table1_2[[#This Row],[Categories]],Sheet3!$A$1:$B$27,2,FALSE)</f>
        <v>Food &amp;Beverage</v>
      </c>
    </row>
    <row r="4600" spans="1:7" x14ac:dyDescent="0.3">
      <c r="A4600" t="s">
        <v>33</v>
      </c>
      <c r="B4600">
        <v>2017</v>
      </c>
      <c r="C4600" t="s">
        <v>43</v>
      </c>
      <c r="D4600" s="2">
        <v>43009</v>
      </c>
      <c r="E4600" t="s">
        <v>15</v>
      </c>
      <c r="F4600">
        <v>139.69999999999999</v>
      </c>
      <c r="G4600" t="str">
        <f>VLOOKUP(Table1_2[[#This Row],[Categories]],Sheet3!$A$1:$B$27,2,FALSE)</f>
        <v>Food &amp;Beverage</v>
      </c>
    </row>
    <row r="4601" spans="1:7" x14ac:dyDescent="0.3">
      <c r="A4601" t="s">
        <v>33</v>
      </c>
      <c r="B4601">
        <v>2017</v>
      </c>
      <c r="C4601" t="s">
        <v>43</v>
      </c>
      <c r="D4601" s="2">
        <v>43009</v>
      </c>
      <c r="E4601" t="s">
        <v>16</v>
      </c>
      <c r="F4601">
        <v>154.6</v>
      </c>
      <c r="G4601" t="str">
        <f>VLOOKUP(Table1_2[[#This Row],[Categories]],Sheet3!$A$1:$B$27,2,FALSE)</f>
        <v>Recreation and amusement</v>
      </c>
    </row>
    <row r="4602" spans="1:7" x14ac:dyDescent="0.3">
      <c r="A4602" t="s">
        <v>33</v>
      </c>
      <c r="B4602">
        <v>2017</v>
      </c>
      <c r="C4602" t="s">
        <v>43</v>
      </c>
      <c r="D4602" s="2">
        <v>43009</v>
      </c>
      <c r="E4602" t="s">
        <v>17</v>
      </c>
      <c r="F4602">
        <v>134</v>
      </c>
      <c r="G4602" t="str">
        <f>VLOOKUP(Table1_2[[#This Row],[Categories]],Sheet3!$A$1:$B$27,2,FALSE)</f>
        <v>Clothing and footwear</v>
      </c>
    </row>
    <row r="4603" spans="1:7" x14ac:dyDescent="0.3">
      <c r="A4603" t="s">
        <v>33</v>
      </c>
      <c r="B4603">
        <v>2017</v>
      </c>
      <c r="C4603" t="s">
        <v>43</v>
      </c>
      <c r="D4603" s="2">
        <v>43009</v>
      </c>
      <c r="E4603" t="s">
        <v>18</v>
      </c>
      <c r="F4603">
        <v>124.9</v>
      </c>
      <c r="G4603" t="str">
        <f>VLOOKUP(Table1_2[[#This Row],[Categories]],Sheet3!$A$1:$B$27,2,FALSE)</f>
        <v>Clothing and footwear</v>
      </c>
    </row>
    <row r="4604" spans="1:7" x14ac:dyDescent="0.3">
      <c r="A4604" t="s">
        <v>33</v>
      </c>
      <c r="B4604">
        <v>2017</v>
      </c>
      <c r="C4604" t="s">
        <v>43</v>
      </c>
      <c r="D4604" s="2">
        <v>43009</v>
      </c>
      <c r="E4604" t="s">
        <v>19</v>
      </c>
      <c r="F4604">
        <v>132.6</v>
      </c>
      <c r="G4604" t="str">
        <f>VLOOKUP(Table1_2[[#This Row],[Categories]],Sheet3!$A$1:$B$27,2,FALSE)</f>
        <v>Clothing and footwear</v>
      </c>
    </row>
    <row r="4605" spans="1:7" x14ac:dyDescent="0.3">
      <c r="A4605" t="s">
        <v>33</v>
      </c>
      <c r="B4605">
        <v>2017</v>
      </c>
      <c r="C4605" t="s">
        <v>43</v>
      </c>
      <c r="D4605" s="2">
        <v>43009</v>
      </c>
      <c r="E4605" t="s">
        <v>20</v>
      </c>
      <c r="F4605">
        <v>137.30000000000001</v>
      </c>
      <c r="G4605" t="str">
        <f>VLOOKUP(Table1_2[[#This Row],[Categories]],Sheet3!$A$1:$B$27,2,FALSE)</f>
        <v>Housing</v>
      </c>
    </row>
    <row r="4606" spans="1:7" x14ac:dyDescent="0.3">
      <c r="A4606" t="s">
        <v>33</v>
      </c>
      <c r="B4606">
        <v>2017</v>
      </c>
      <c r="C4606" t="s">
        <v>43</v>
      </c>
      <c r="D4606" s="2">
        <v>43009</v>
      </c>
      <c r="E4606" t="s">
        <v>21</v>
      </c>
      <c r="F4606">
        <v>122.6</v>
      </c>
      <c r="G4606" t="str">
        <f>VLOOKUP(Table1_2[[#This Row],[Categories]],Sheet3!$A$1:$B$27,2,FALSE)</f>
        <v>Fuel and light</v>
      </c>
    </row>
    <row r="4607" spans="1:7" x14ac:dyDescent="0.3">
      <c r="A4607" t="s">
        <v>33</v>
      </c>
      <c r="B4607">
        <v>2017</v>
      </c>
      <c r="C4607" t="s">
        <v>43</v>
      </c>
      <c r="D4607" s="2">
        <v>43009</v>
      </c>
      <c r="E4607" t="s">
        <v>22</v>
      </c>
      <c r="F4607">
        <v>128.30000000000001</v>
      </c>
      <c r="G4607" t="str">
        <f>VLOOKUP(Table1_2[[#This Row],[Categories]],Sheet3!$A$1:$B$27,2,FALSE)</f>
        <v>Household Items</v>
      </c>
    </row>
    <row r="4608" spans="1:7" x14ac:dyDescent="0.3">
      <c r="A4608" t="s">
        <v>33</v>
      </c>
      <c r="B4608">
        <v>2017</v>
      </c>
      <c r="C4608" t="s">
        <v>43</v>
      </c>
      <c r="D4608" s="2">
        <v>43009</v>
      </c>
      <c r="E4608" t="s">
        <v>23</v>
      </c>
      <c r="F4608">
        <v>126.6</v>
      </c>
      <c r="G4608" t="str">
        <f>VLOOKUP(Table1_2[[#This Row],[Categories]],Sheet3!$A$1:$B$27,2,FALSE)</f>
        <v>Health</v>
      </c>
    </row>
    <row r="4609" spans="1:7" x14ac:dyDescent="0.3">
      <c r="A4609" t="s">
        <v>33</v>
      </c>
      <c r="B4609">
        <v>2017</v>
      </c>
      <c r="C4609" t="s">
        <v>43</v>
      </c>
      <c r="D4609" s="2">
        <v>43009</v>
      </c>
      <c r="E4609" t="s">
        <v>24</v>
      </c>
      <c r="F4609">
        <v>115</v>
      </c>
      <c r="G4609" t="str">
        <f>VLOOKUP(Table1_2[[#This Row],[Categories]],Sheet3!$A$1:$B$27,2,FALSE)</f>
        <v>Transport and communication</v>
      </c>
    </row>
    <row r="4610" spans="1:7" x14ac:dyDescent="0.3">
      <c r="A4610" t="s">
        <v>33</v>
      </c>
      <c r="B4610">
        <v>2017</v>
      </c>
      <c r="C4610" t="s">
        <v>43</v>
      </c>
      <c r="D4610" s="2">
        <v>43009</v>
      </c>
      <c r="E4610" t="s">
        <v>25</v>
      </c>
      <c r="F4610">
        <v>124.8</v>
      </c>
      <c r="G4610" t="str">
        <f>VLOOKUP(Table1_2[[#This Row],[Categories]],Sheet3!$A$1:$B$27,2,FALSE)</f>
        <v>Recreation and amusement</v>
      </c>
    </row>
    <row r="4611" spans="1:7" x14ac:dyDescent="0.3">
      <c r="A4611" t="s">
        <v>33</v>
      </c>
      <c r="B4611">
        <v>2017</v>
      </c>
      <c r="C4611" t="s">
        <v>43</v>
      </c>
      <c r="D4611" s="2">
        <v>43009</v>
      </c>
      <c r="E4611" t="s">
        <v>26</v>
      </c>
      <c r="F4611">
        <v>136.30000000000001</v>
      </c>
      <c r="G4611" t="str">
        <f>VLOOKUP(Table1_2[[#This Row],[Categories]],Sheet3!$A$1:$B$27,2,FALSE)</f>
        <v>Education</v>
      </c>
    </row>
    <row r="4612" spans="1:7" x14ac:dyDescent="0.3">
      <c r="A4612" t="s">
        <v>33</v>
      </c>
      <c r="B4612">
        <v>2017</v>
      </c>
      <c r="C4612" t="s">
        <v>43</v>
      </c>
      <c r="D4612" s="2">
        <v>43009</v>
      </c>
      <c r="E4612" t="s">
        <v>27</v>
      </c>
      <c r="F4612">
        <v>124.6</v>
      </c>
      <c r="G4612" t="str">
        <f>VLOOKUP(Table1_2[[#This Row],[Categories]],Sheet3!$A$1:$B$27,2,FALSE)</f>
        <v>Household Items</v>
      </c>
    </row>
    <row r="4613" spans="1:7" x14ac:dyDescent="0.3">
      <c r="A4613" t="s">
        <v>33</v>
      </c>
      <c r="B4613">
        <v>2017</v>
      </c>
      <c r="C4613" t="s">
        <v>43</v>
      </c>
      <c r="D4613" s="2">
        <v>43009</v>
      </c>
      <c r="E4613" t="s">
        <v>28</v>
      </c>
      <c r="F4613">
        <v>124.5</v>
      </c>
      <c r="G4613" t="str">
        <f>VLOOKUP(Table1_2[[#This Row],[Categories]],Sheet3!$A$1:$B$27,2,FALSE)</f>
        <v>Miscellaneous</v>
      </c>
    </row>
    <row r="4614" spans="1:7" x14ac:dyDescent="0.3">
      <c r="A4614" t="s">
        <v>33</v>
      </c>
      <c r="B4614">
        <v>2017</v>
      </c>
      <c r="C4614" t="s">
        <v>43</v>
      </c>
      <c r="D4614" s="2">
        <v>43009</v>
      </c>
      <c r="E4614" t="s">
        <v>29</v>
      </c>
      <c r="F4614">
        <v>133.5</v>
      </c>
      <c r="G4614" t="str">
        <f>VLOOKUP(Table1_2[[#This Row],[Categories]],Sheet3!$A$1:$B$27,2,FALSE)</f>
        <v>General index</v>
      </c>
    </row>
    <row r="4615" spans="1:7" x14ac:dyDescent="0.3">
      <c r="A4615" t="s">
        <v>34</v>
      </c>
      <c r="B4615">
        <v>2017</v>
      </c>
      <c r="C4615" t="s">
        <v>43</v>
      </c>
      <c r="D4615" s="2">
        <v>43009</v>
      </c>
      <c r="E4615" t="s">
        <v>3</v>
      </c>
      <c r="F4615">
        <v>135.30000000000001</v>
      </c>
      <c r="G4615" t="str">
        <f>VLOOKUP(Table1_2[[#This Row],[Categories]],Sheet3!$A$1:$B$27,2,FALSE)</f>
        <v>Food &amp;Beverage</v>
      </c>
    </row>
    <row r="4616" spans="1:7" x14ac:dyDescent="0.3">
      <c r="A4616" t="s">
        <v>34</v>
      </c>
      <c r="B4616">
        <v>2017</v>
      </c>
      <c r="C4616" t="s">
        <v>43</v>
      </c>
      <c r="D4616" s="2">
        <v>43009</v>
      </c>
      <c r="E4616" t="s">
        <v>4</v>
      </c>
      <c r="F4616">
        <v>142.19999999999999</v>
      </c>
      <c r="G4616" t="str">
        <f>VLOOKUP(Table1_2[[#This Row],[Categories]],Sheet3!$A$1:$B$27,2,FALSE)</f>
        <v>Food &amp;Beverage</v>
      </c>
    </row>
    <row r="4617" spans="1:7" x14ac:dyDescent="0.3">
      <c r="A4617" t="s">
        <v>34</v>
      </c>
      <c r="B4617">
        <v>2017</v>
      </c>
      <c r="C4617" t="s">
        <v>43</v>
      </c>
      <c r="D4617" s="2">
        <v>43009</v>
      </c>
      <c r="E4617" t="s">
        <v>5</v>
      </c>
      <c r="F4617">
        <v>131.19999999999999</v>
      </c>
      <c r="G4617" t="str">
        <f>VLOOKUP(Table1_2[[#This Row],[Categories]],Sheet3!$A$1:$B$27,2,FALSE)</f>
        <v>Food &amp;Beverage</v>
      </c>
    </row>
    <row r="4618" spans="1:7" x14ac:dyDescent="0.3">
      <c r="A4618" t="s">
        <v>34</v>
      </c>
      <c r="B4618">
        <v>2017</v>
      </c>
      <c r="C4618" t="s">
        <v>43</v>
      </c>
      <c r="D4618" s="2">
        <v>43009</v>
      </c>
      <c r="E4618" t="s">
        <v>6</v>
      </c>
      <c r="F4618">
        <v>140.6</v>
      </c>
      <c r="G4618" t="str">
        <f>VLOOKUP(Table1_2[[#This Row],[Categories]],Sheet3!$A$1:$B$27,2,FALSE)</f>
        <v>Food &amp;Beverage</v>
      </c>
    </row>
    <row r="4619" spans="1:7" x14ac:dyDescent="0.3">
      <c r="A4619" t="s">
        <v>34</v>
      </c>
      <c r="B4619">
        <v>2017</v>
      </c>
      <c r="C4619" t="s">
        <v>43</v>
      </c>
      <c r="D4619" s="2">
        <v>43009</v>
      </c>
      <c r="E4619" t="s">
        <v>7</v>
      </c>
      <c r="F4619">
        <v>119</v>
      </c>
      <c r="G4619" t="str">
        <f>VLOOKUP(Table1_2[[#This Row],[Categories]],Sheet3!$A$1:$B$27,2,FALSE)</f>
        <v>Food &amp;Beverage</v>
      </c>
    </row>
    <row r="4620" spans="1:7" x14ac:dyDescent="0.3">
      <c r="A4620" t="s">
        <v>34</v>
      </c>
      <c r="B4620">
        <v>2017</v>
      </c>
      <c r="C4620" t="s">
        <v>43</v>
      </c>
      <c r="D4620" s="2">
        <v>43009</v>
      </c>
      <c r="E4620" t="s">
        <v>8</v>
      </c>
      <c r="F4620">
        <v>141.5</v>
      </c>
      <c r="G4620" t="str">
        <f>VLOOKUP(Table1_2[[#This Row],[Categories]],Sheet3!$A$1:$B$27,2,FALSE)</f>
        <v>Food &amp;Beverage</v>
      </c>
    </row>
    <row r="4621" spans="1:7" x14ac:dyDescent="0.3">
      <c r="A4621" t="s">
        <v>34</v>
      </c>
      <c r="B4621">
        <v>2017</v>
      </c>
      <c r="C4621" t="s">
        <v>43</v>
      </c>
      <c r="D4621" s="2">
        <v>43009</v>
      </c>
      <c r="E4621" t="s">
        <v>9</v>
      </c>
      <c r="F4621">
        <v>162.6</v>
      </c>
      <c r="G4621" t="str">
        <f>VLOOKUP(Table1_2[[#This Row],[Categories]],Sheet3!$A$1:$B$27,2,FALSE)</f>
        <v>Food &amp;Beverage</v>
      </c>
    </row>
    <row r="4622" spans="1:7" x14ac:dyDescent="0.3">
      <c r="A4622" t="s">
        <v>34</v>
      </c>
      <c r="B4622">
        <v>2017</v>
      </c>
      <c r="C4622" t="s">
        <v>43</v>
      </c>
      <c r="D4622" s="2">
        <v>43009</v>
      </c>
      <c r="E4622" t="s">
        <v>10</v>
      </c>
      <c r="F4622">
        <v>132.30000000000001</v>
      </c>
      <c r="G4622" t="str">
        <f>VLOOKUP(Table1_2[[#This Row],[Categories]],Sheet3!$A$1:$B$27,2,FALSE)</f>
        <v>Food &amp;Beverage</v>
      </c>
    </row>
    <row r="4623" spans="1:7" x14ac:dyDescent="0.3">
      <c r="A4623" t="s">
        <v>34</v>
      </c>
      <c r="B4623">
        <v>2017</v>
      </c>
      <c r="C4623" t="s">
        <v>43</v>
      </c>
      <c r="D4623" s="2">
        <v>43009</v>
      </c>
      <c r="E4623" t="s">
        <v>11</v>
      </c>
      <c r="F4623">
        <v>121.8</v>
      </c>
      <c r="G4623" t="str">
        <f>VLOOKUP(Table1_2[[#This Row],[Categories]],Sheet3!$A$1:$B$27,2,FALSE)</f>
        <v>Food &amp;Beverage</v>
      </c>
    </row>
    <row r="4624" spans="1:7" x14ac:dyDescent="0.3">
      <c r="A4624" t="s">
        <v>34</v>
      </c>
      <c r="B4624">
        <v>2017</v>
      </c>
      <c r="C4624" t="s">
        <v>43</v>
      </c>
      <c r="D4624" s="2">
        <v>43009</v>
      </c>
      <c r="E4624" t="s">
        <v>12</v>
      </c>
      <c r="F4624">
        <v>136.30000000000001</v>
      </c>
      <c r="G4624" t="str">
        <f>VLOOKUP(Table1_2[[#This Row],[Categories]],Sheet3!$A$1:$B$27,2,FALSE)</f>
        <v>Food &amp;Beverage</v>
      </c>
    </row>
    <row r="4625" spans="1:7" x14ac:dyDescent="0.3">
      <c r="A4625" t="s">
        <v>34</v>
      </c>
      <c r="B4625">
        <v>2017</v>
      </c>
      <c r="C4625" t="s">
        <v>43</v>
      </c>
      <c r="D4625" s="2">
        <v>43009</v>
      </c>
      <c r="E4625" t="s">
        <v>13</v>
      </c>
      <c r="F4625">
        <v>128.69999999999999</v>
      </c>
      <c r="G4625" t="str">
        <f>VLOOKUP(Table1_2[[#This Row],[Categories]],Sheet3!$A$1:$B$27,2,FALSE)</f>
        <v>Food &amp;Beverage</v>
      </c>
    </row>
    <row r="4626" spans="1:7" x14ac:dyDescent="0.3">
      <c r="A4626" t="s">
        <v>34</v>
      </c>
      <c r="B4626">
        <v>2017</v>
      </c>
      <c r="C4626" t="s">
        <v>43</v>
      </c>
      <c r="D4626" s="2">
        <v>43009</v>
      </c>
      <c r="E4626" t="s">
        <v>14</v>
      </c>
      <c r="F4626">
        <v>148.1</v>
      </c>
      <c r="G4626" t="str">
        <f>VLOOKUP(Table1_2[[#This Row],[Categories]],Sheet3!$A$1:$B$27,2,FALSE)</f>
        <v>Food &amp;Beverage</v>
      </c>
    </row>
    <row r="4627" spans="1:7" x14ac:dyDescent="0.3">
      <c r="A4627" t="s">
        <v>34</v>
      </c>
      <c r="B4627">
        <v>2017</v>
      </c>
      <c r="C4627" t="s">
        <v>43</v>
      </c>
      <c r="D4627" s="2">
        <v>43009</v>
      </c>
      <c r="E4627" t="s">
        <v>15</v>
      </c>
      <c r="F4627">
        <v>140.1</v>
      </c>
      <c r="G4627" t="str">
        <f>VLOOKUP(Table1_2[[#This Row],[Categories]],Sheet3!$A$1:$B$27,2,FALSE)</f>
        <v>Food &amp;Beverage</v>
      </c>
    </row>
    <row r="4628" spans="1:7" x14ac:dyDescent="0.3">
      <c r="A4628" t="s">
        <v>34</v>
      </c>
      <c r="B4628">
        <v>2017</v>
      </c>
      <c r="C4628" t="s">
        <v>43</v>
      </c>
      <c r="D4628" s="2">
        <v>43009</v>
      </c>
      <c r="E4628" t="s">
        <v>16</v>
      </c>
      <c r="F4628">
        <v>151.6</v>
      </c>
      <c r="G4628" t="str">
        <f>VLOOKUP(Table1_2[[#This Row],[Categories]],Sheet3!$A$1:$B$27,2,FALSE)</f>
        <v>Recreation and amusement</v>
      </c>
    </row>
    <row r="4629" spans="1:7" x14ac:dyDescent="0.3">
      <c r="A4629" t="s">
        <v>34</v>
      </c>
      <c r="B4629">
        <v>2017</v>
      </c>
      <c r="C4629" t="s">
        <v>43</v>
      </c>
      <c r="D4629" s="2">
        <v>43009</v>
      </c>
      <c r="E4629" t="s">
        <v>17</v>
      </c>
      <c r="F4629">
        <v>142</v>
      </c>
      <c r="G4629" t="str">
        <f>VLOOKUP(Table1_2[[#This Row],[Categories]],Sheet3!$A$1:$B$27,2,FALSE)</f>
        <v>Clothing and footwear</v>
      </c>
    </row>
    <row r="4630" spans="1:7" x14ac:dyDescent="0.3">
      <c r="A4630" t="s">
        <v>34</v>
      </c>
      <c r="B4630">
        <v>2017</v>
      </c>
      <c r="C4630" t="s">
        <v>43</v>
      </c>
      <c r="D4630" s="2">
        <v>43009</v>
      </c>
      <c r="E4630" t="s">
        <v>18</v>
      </c>
      <c r="F4630">
        <v>134.1</v>
      </c>
      <c r="G4630" t="str">
        <f>VLOOKUP(Table1_2[[#This Row],[Categories]],Sheet3!$A$1:$B$27,2,FALSE)</f>
        <v>Clothing and footwear</v>
      </c>
    </row>
    <row r="4631" spans="1:7" x14ac:dyDescent="0.3">
      <c r="A4631" t="s">
        <v>34</v>
      </c>
      <c r="B4631">
        <v>2017</v>
      </c>
      <c r="C4631" t="s">
        <v>43</v>
      </c>
      <c r="D4631" s="2">
        <v>43009</v>
      </c>
      <c r="E4631" t="s">
        <v>19</v>
      </c>
      <c r="F4631">
        <v>140.80000000000001</v>
      </c>
      <c r="G4631" t="str">
        <f>VLOOKUP(Table1_2[[#This Row],[Categories]],Sheet3!$A$1:$B$27,2,FALSE)</f>
        <v>Clothing and footwear</v>
      </c>
    </row>
    <row r="4632" spans="1:7" x14ac:dyDescent="0.3">
      <c r="A4632" t="s">
        <v>34</v>
      </c>
      <c r="B4632">
        <v>2017</v>
      </c>
      <c r="C4632" t="s">
        <v>43</v>
      </c>
      <c r="D4632" s="2">
        <v>43009</v>
      </c>
      <c r="E4632" t="s">
        <v>20</v>
      </c>
      <c r="F4632">
        <v>137.30000000000001</v>
      </c>
      <c r="G4632" t="str">
        <f>VLOOKUP(Table1_2[[#This Row],[Categories]],Sheet3!$A$1:$B$27,2,FALSE)</f>
        <v>Housing</v>
      </c>
    </row>
    <row r="4633" spans="1:7" x14ac:dyDescent="0.3">
      <c r="A4633" t="s">
        <v>34</v>
      </c>
      <c r="B4633">
        <v>2017</v>
      </c>
      <c r="C4633" t="s">
        <v>43</v>
      </c>
      <c r="D4633" s="2">
        <v>43009</v>
      </c>
      <c r="E4633" t="s">
        <v>21</v>
      </c>
      <c r="F4633">
        <v>132.19999999999999</v>
      </c>
      <c r="G4633" t="str">
        <f>VLOOKUP(Table1_2[[#This Row],[Categories]],Sheet3!$A$1:$B$27,2,FALSE)</f>
        <v>Fuel and light</v>
      </c>
    </row>
    <row r="4634" spans="1:7" x14ac:dyDescent="0.3">
      <c r="A4634" t="s">
        <v>34</v>
      </c>
      <c r="B4634">
        <v>2017</v>
      </c>
      <c r="C4634" t="s">
        <v>43</v>
      </c>
      <c r="D4634" s="2">
        <v>43009</v>
      </c>
      <c r="E4634" t="s">
        <v>22</v>
      </c>
      <c r="F4634">
        <v>133.6</v>
      </c>
      <c r="G4634" t="str">
        <f>VLOOKUP(Table1_2[[#This Row],[Categories]],Sheet3!$A$1:$B$27,2,FALSE)</f>
        <v>Household Items</v>
      </c>
    </row>
    <row r="4635" spans="1:7" x14ac:dyDescent="0.3">
      <c r="A4635" t="s">
        <v>34</v>
      </c>
      <c r="B4635">
        <v>2017</v>
      </c>
      <c r="C4635" t="s">
        <v>43</v>
      </c>
      <c r="D4635" s="2">
        <v>43009</v>
      </c>
      <c r="E4635" t="s">
        <v>23</v>
      </c>
      <c r="F4635">
        <v>131.30000000000001</v>
      </c>
      <c r="G4635" t="str">
        <f>VLOOKUP(Table1_2[[#This Row],[Categories]],Sheet3!$A$1:$B$27,2,FALSE)</f>
        <v>Health</v>
      </c>
    </row>
    <row r="4636" spans="1:7" x14ac:dyDescent="0.3">
      <c r="A4636" t="s">
        <v>34</v>
      </c>
      <c r="B4636">
        <v>2017</v>
      </c>
      <c r="C4636" t="s">
        <v>43</v>
      </c>
      <c r="D4636" s="2">
        <v>43009</v>
      </c>
      <c r="E4636" t="s">
        <v>24</v>
      </c>
      <c r="F4636">
        <v>117.8</v>
      </c>
      <c r="G4636" t="str">
        <f>VLOOKUP(Table1_2[[#This Row],[Categories]],Sheet3!$A$1:$B$27,2,FALSE)</f>
        <v>Transport and communication</v>
      </c>
    </row>
    <row r="4637" spans="1:7" x14ac:dyDescent="0.3">
      <c r="A4637" t="s">
        <v>34</v>
      </c>
      <c r="B4637">
        <v>2017</v>
      </c>
      <c r="C4637" t="s">
        <v>43</v>
      </c>
      <c r="D4637" s="2">
        <v>43009</v>
      </c>
      <c r="E4637" t="s">
        <v>25</v>
      </c>
      <c r="F4637">
        <v>128.4</v>
      </c>
      <c r="G4637" t="str">
        <f>VLOOKUP(Table1_2[[#This Row],[Categories]],Sheet3!$A$1:$B$27,2,FALSE)</f>
        <v>Recreation and amusement</v>
      </c>
    </row>
    <row r="4638" spans="1:7" x14ac:dyDescent="0.3">
      <c r="A4638" t="s">
        <v>34</v>
      </c>
      <c r="B4638">
        <v>2017</v>
      </c>
      <c r="C4638" t="s">
        <v>43</v>
      </c>
      <c r="D4638" s="2">
        <v>43009</v>
      </c>
      <c r="E4638" t="s">
        <v>26</v>
      </c>
      <c r="F4638">
        <v>137.9</v>
      </c>
      <c r="G4638" t="str">
        <f>VLOOKUP(Table1_2[[#This Row],[Categories]],Sheet3!$A$1:$B$27,2,FALSE)</f>
        <v>Education</v>
      </c>
    </row>
    <row r="4639" spans="1:7" x14ac:dyDescent="0.3">
      <c r="A4639" t="s">
        <v>34</v>
      </c>
      <c r="B4639">
        <v>2017</v>
      </c>
      <c r="C4639" t="s">
        <v>43</v>
      </c>
      <c r="D4639" s="2">
        <v>43009</v>
      </c>
      <c r="E4639" t="s">
        <v>27</v>
      </c>
      <c r="F4639">
        <v>126.2</v>
      </c>
      <c r="G4639" t="str">
        <f>VLOOKUP(Table1_2[[#This Row],[Categories]],Sheet3!$A$1:$B$27,2,FALSE)</f>
        <v>Household Items</v>
      </c>
    </row>
    <row r="4640" spans="1:7" x14ac:dyDescent="0.3">
      <c r="A4640" t="s">
        <v>34</v>
      </c>
      <c r="B4640">
        <v>2017</v>
      </c>
      <c r="C4640" t="s">
        <v>43</v>
      </c>
      <c r="D4640" s="2">
        <v>43009</v>
      </c>
      <c r="E4640" t="s">
        <v>28</v>
      </c>
      <c r="F4640">
        <v>127.7</v>
      </c>
      <c r="G4640" t="str">
        <f>VLOOKUP(Table1_2[[#This Row],[Categories]],Sheet3!$A$1:$B$27,2,FALSE)</f>
        <v>Miscellaneous</v>
      </c>
    </row>
    <row r="4641" spans="1:7" x14ac:dyDescent="0.3">
      <c r="A4641" t="s">
        <v>34</v>
      </c>
      <c r="B4641">
        <v>2017</v>
      </c>
      <c r="C4641" t="s">
        <v>43</v>
      </c>
      <c r="D4641" s="2">
        <v>43009</v>
      </c>
      <c r="E4641" t="s">
        <v>29</v>
      </c>
      <c r="F4641">
        <v>136.1</v>
      </c>
      <c r="G4641" t="str">
        <f>VLOOKUP(Table1_2[[#This Row],[Categories]],Sheet3!$A$1:$B$27,2,FALSE)</f>
        <v>General index</v>
      </c>
    </row>
    <row r="4642" spans="1:7" x14ac:dyDescent="0.3">
      <c r="A4642" t="s">
        <v>30</v>
      </c>
      <c r="B4642">
        <v>2017</v>
      </c>
      <c r="C4642" t="s">
        <v>45</v>
      </c>
      <c r="D4642" s="2">
        <v>43040</v>
      </c>
      <c r="E4642" t="s">
        <v>3</v>
      </c>
      <c r="F4642">
        <v>136.30000000000001</v>
      </c>
      <c r="G4642" t="str">
        <f>VLOOKUP(Table1_2[[#This Row],[Categories]],Sheet3!$A$1:$B$27,2,FALSE)</f>
        <v>Food &amp;Beverage</v>
      </c>
    </row>
    <row r="4643" spans="1:7" x14ac:dyDescent="0.3">
      <c r="A4643" t="s">
        <v>30</v>
      </c>
      <c r="B4643">
        <v>2017</v>
      </c>
      <c r="C4643" t="s">
        <v>45</v>
      </c>
      <c r="D4643" s="2">
        <v>43040</v>
      </c>
      <c r="E4643" t="s">
        <v>4</v>
      </c>
      <c r="F4643">
        <v>142.5</v>
      </c>
      <c r="G4643" t="str">
        <f>VLOOKUP(Table1_2[[#This Row],[Categories]],Sheet3!$A$1:$B$27,2,FALSE)</f>
        <v>Food &amp;Beverage</v>
      </c>
    </row>
    <row r="4644" spans="1:7" x14ac:dyDescent="0.3">
      <c r="A4644" t="s">
        <v>30</v>
      </c>
      <c r="B4644">
        <v>2017</v>
      </c>
      <c r="C4644" t="s">
        <v>45</v>
      </c>
      <c r="D4644" s="2">
        <v>43040</v>
      </c>
      <c r="E4644" t="s">
        <v>5</v>
      </c>
      <c r="F4644">
        <v>140.5</v>
      </c>
      <c r="G4644" t="str">
        <f>VLOOKUP(Table1_2[[#This Row],[Categories]],Sheet3!$A$1:$B$27,2,FALSE)</f>
        <v>Food &amp;Beverage</v>
      </c>
    </row>
    <row r="4645" spans="1:7" x14ac:dyDescent="0.3">
      <c r="A4645" t="s">
        <v>30</v>
      </c>
      <c r="B4645">
        <v>2017</v>
      </c>
      <c r="C4645" t="s">
        <v>45</v>
      </c>
      <c r="D4645" s="2">
        <v>43040</v>
      </c>
      <c r="E4645" t="s">
        <v>6</v>
      </c>
      <c r="F4645">
        <v>141.5</v>
      </c>
      <c r="G4645" t="str">
        <f>VLOOKUP(Table1_2[[#This Row],[Categories]],Sheet3!$A$1:$B$27,2,FALSE)</f>
        <v>Food &amp;Beverage</v>
      </c>
    </row>
    <row r="4646" spans="1:7" x14ac:dyDescent="0.3">
      <c r="A4646" t="s">
        <v>30</v>
      </c>
      <c r="B4646">
        <v>2017</v>
      </c>
      <c r="C4646" t="s">
        <v>45</v>
      </c>
      <c r="D4646" s="2">
        <v>43040</v>
      </c>
      <c r="E4646" t="s">
        <v>7</v>
      </c>
      <c r="F4646">
        <v>121.6</v>
      </c>
      <c r="G4646" t="str">
        <f>VLOOKUP(Table1_2[[#This Row],[Categories]],Sheet3!$A$1:$B$27,2,FALSE)</f>
        <v>Food &amp;Beverage</v>
      </c>
    </row>
    <row r="4647" spans="1:7" x14ac:dyDescent="0.3">
      <c r="A4647" t="s">
        <v>30</v>
      </c>
      <c r="B4647">
        <v>2017</v>
      </c>
      <c r="C4647" t="s">
        <v>45</v>
      </c>
      <c r="D4647" s="2">
        <v>43040</v>
      </c>
      <c r="E4647" t="s">
        <v>8</v>
      </c>
      <c r="F4647">
        <v>147.30000000000001</v>
      </c>
      <c r="G4647" t="str">
        <f>VLOOKUP(Table1_2[[#This Row],[Categories]],Sheet3!$A$1:$B$27,2,FALSE)</f>
        <v>Food &amp;Beverage</v>
      </c>
    </row>
    <row r="4648" spans="1:7" x14ac:dyDescent="0.3">
      <c r="A4648" t="s">
        <v>30</v>
      </c>
      <c r="B4648">
        <v>2017</v>
      </c>
      <c r="C4648" t="s">
        <v>45</v>
      </c>
      <c r="D4648" s="2">
        <v>43040</v>
      </c>
      <c r="E4648" t="s">
        <v>9</v>
      </c>
      <c r="F4648">
        <v>168</v>
      </c>
      <c r="G4648" t="str">
        <f>VLOOKUP(Table1_2[[#This Row],[Categories]],Sheet3!$A$1:$B$27,2,FALSE)</f>
        <v>Food &amp;Beverage</v>
      </c>
    </row>
    <row r="4649" spans="1:7" x14ac:dyDescent="0.3">
      <c r="A4649" t="s">
        <v>30</v>
      </c>
      <c r="B4649">
        <v>2017</v>
      </c>
      <c r="C4649" t="s">
        <v>45</v>
      </c>
      <c r="D4649" s="2">
        <v>43040</v>
      </c>
      <c r="E4649" t="s">
        <v>10</v>
      </c>
      <c r="F4649">
        <v>135.80000000000001</v>
      </c>
      <c r="G4649" t="str">
        <f>VLOOKUP(Table1_2[[#This Row],[Categories]],Sheet3!$A$1:$B$27,2,FALSE)</f>
        <v>Food &amp;Beverage</v>
      </c>
    </row>
    <row r="4650" spans="1:7" x14ac:dyDescent="0.3">
      <c r="A4650" t="s">
        <v>30</v>
      </c>
      <c r="B4650">
        <v>2017</v>
      </c>
      <c r="C4650" t="s">
        <v>45</v>
      </c>
      <c r="D4650" s="2">
        <v>43040</v>
      </c>
      <c r="E4650" t="s">
        <v>11</v>
      </c>
      <c r="F4650">
        <v>122.5</v>
      </c>
      <c r="G4650" t="str">
        <f>VLOOKUP(Table1_2[[#This Row],[Categories]],Sheet3!$A$1:$B$27,2,FALSE)</f>
        <v>Food &amp;Beverage</v>
      </c>
    </row>
    <row r="4651" spans="1:7" x14ac:dyDescent="0.3">
      <c r="A4651" t="s">
        <v>30</v>
      </c>
      <c r="B4651">
        <v>2017</v>
      </c>
      <c r="C4651" t="s">
        <v>45</v>
      </c>
      <c r="D4651" s="2">
        <v>43040</v>
      </c>
      <c r="E4651" t="s">
        <v>12</v>
      </c>
      <c r="F4651">
        <v>136</v>
      </c>
      <c r="G4651" t="str">
        <f>VLOOKUP(Table1_2[[#This Row],[Categories]],Sheet3!$A$1:$B$27,2,FALSE)</f>
        <v>Food &amp;Beverage</v>
      </c>
    </row>
    <row r="4652" spans="1:7" x14ac:dyDescent="0.3">
      <c r="A4652" t="s">
        <v>30</v>
      </c>
      <c r="B4652">
        <v>2017</v>
      </c>
      <c r="C4652" t="s">
        <v>45</v>
      </c>
      <c r="D4652" s="2">
        <v>43040</v>
      </c>
      <c r="E4652" t="s">
        <v>13</v>
      </c>
      <c r="F4652">
        <v>131.9</v>
      </c>
      <c r="G4652" t="str">
        <f>VLOOKUP(Table1_2[[#This Row],[Categories]],Sheet3!$A$1:$B$27,2,FALSE)</f>
        <v>Food &amp;Beverage</v>
      </c>
    </row>
    <row r="4653" spans="1:7" x14ac:dyDescent="0.3">
      <c r="A4653" t="s">
        <v>30</v>
      </c>
      <c r="B4653">
        <v>2017</v>
      </c>
      <c r="C4653" t="s">
        <v>45</v>
      </c>
      <c r="D4653" s="2">
        <v>43040</v>
      </c>
      <c r="E4653" t="s">
        <v>14</v>
      </c>
      <c r="F4653">
        <v>151.4</v>
      </c>
      <c r="G4653" t="str">
        <f>VLOOKUP(Table1_2[[#This Row],[Categories]],Sheet3!$A$1:$B$27,2,FALSE)</f>
        <v>Food &amp;Beverage</v>
      </c>
    </row>
    <row r="4654" spans="1:7" x14ac:dyDescent="0.3">
      <c r="A4654" t="s">
        <v>30</v>
      </c>
      <c r="B4654">
        <v>2017</v>
      </c>
      <c r="C4654" t="s">
        <v>45</v>
      </c>
      <c r="D4654" s="2">
        <v>43040</v>
      </c>
      <c r="E4654" t="s">
        <v>15</v>
      </c>
      <c r="F4654">
        <v>142.4</v>
      </c>
      <c r="G4654" t="str">
        <f>VLOOKUP(Table1_2[[#This Row],[Categories]],Sheet3!$A$1:$B$27,2,FALSE)</f>
        <v>Food &amp;Beverage</v>
      </c>
    </row>
    <row r="4655" spans="1:7" x14ac:dyDescent="0.3">
      <c r="A4655" t="s">
        <v>30</v>
      </c>
      <c r="B4655">
        <v>2017</v>
      </c>
      <c r="C4655" t="s">
        <v>45</v>
      </c>
      <c r="D4655" s="2">
        <v>43040</v>
      </c>
      <c r="E4655" t="s">
        <v>16</v>
      </c>
      <c r="F4655">
        <v>152.1</v>
      </c>
      <c r="G4655" t="str">
        <f>VLOOKUP(Table1_2[[#This Row],[Categories]],Sheet3!$A$1:$B$27,2,FALSE)</f>
        <v>Recreation and amusement</v>
      </c>
    </row>
    <row r="4656" spans="1:7" x14ac:dyDescent="0.3">
      <c r="A4656" t="s">
        <v>30</v>
      </c>
      <c r="B4656">
        <v>2017</v>
      </c>
      <c r="C4656" t="s">
        <v>45</v>
      </c>
      <c r="D4656" s="2">
        <v>43040</v>
      </c>
      <c r="E4656" t="s">
        <v>17</v>
      </c>
      <c r="F4656">
        <v>148.19999999999999</v>
      </c>
      <c r="G4656" t="str">
        <f>VLOOKUP(Table1_2[[#This Row],[Categories]],Sheet3!$A$1:$B$27,2,FALSE)</f>
        <v>Clothing and footwear</v>
      </c>
    </row>
    <row r="4657" spans="1:7" x14ac:dyDescent="0.3">
      <c r="A4657" t="s">
        <v>30</v>
      </c>
      <c r="B4657">
        <v>2017</v>
      </c>
      <c r="C4657" t="s">
        <v>45</v>
      </c>
      <c r="D4657" s="2">
        <v>43040</v>
      </c>
      <c r="E4657" t="s">
        <v>18</v>
      </c>
      <c r="F4657">
        <v>141.5</v>
      </c>
      <c r="G4657" t="str">
        <f>VLOOKUP(Table1_2[[#This Row],[Categories]],Sheet3!$A$1:$B$27,2,FALSE)</f>
        <v>Clothing and footwear</v>
      </c>
    </row>
    <row r="4658" spans="1:7" x14ac:dyDescent="0.3">
      <c r="A4658" t="s">
        <v>30</v>
      </c>
      <c r="B4658">
        <v>2017</v>
      </c>
      <c r="C4658" t="s">
        <v>45</v>
      </c>
      <c r="D4658" s="2">
        <v>43040</v>
      </c>
      <c r="E4658" t="s">
        <v>19</v>
      </c>
      <c r="F4658">
        <v>147.30000000000001</v>
      </c>
      <c r="G4658" t="str">
        <f>VLOOKUP(Table1_2[[#This Row],[Categories]],Sheet3!$A$1:$B$27,2,FALSE)</f>
        <v>Clothing and footwear</v>
      </c>
    </row>
    <row r="4659" spans="1:7" x14ac:dyDescent="0.3">
      <c r="A4659" t="s">
        <v>30</v>
      </c>
      <c r="B4659">
        <v>2017</v>
      </c>
      <c r="C4659" t="s">
        <v>45</v>
      </c>
      <c r="D4659" s="2">
        <v>43040</v>
      </c>
      <c r="E4659" t="s">
        <v>21</v>
      </c>
      <c r="F4659">
        <v>141.1</v>
      </c>
      <c r="G4659" t="str">
        <f>VLOOKUP(Table1_2[[#This Row],[Categories]],Sheet3!$A$1:$B$27,2,FALSE)</f>
        <v>Fuel and light</v>
      </c>
    </row>
    <row r="4660" spans="1:7" x14ac:dyDescent="0.3">
      <c r="A4660" t="s">
        <v>30</v>
      </c>
      <c r="B4660">
        <v>2017</v>
      </c>
      <c r="C4660" t="s">
        <v>45</v>
      </c>
      <c r="D4660" s="2">
        <v>43040</v>
      </c>
      <c r="E4660" t="s">
        <v>22</v>
      </c>
      <c r="F4660">
        <v>139.4</v>
      </c>
      <c r="G4660" t="str">
        <f>VLOOKUP(Table1_2[[#This Row],[Categories]],Sheet3!$A$1:$B$27,2,FALSE)</f>
        <v>Household Items</v>
      </c>
    </row>
    <row r="4661" spans="1:7" x14ac:dyDescent="0.3">
      <c r="A4661" t="s">
        <v>30</v>
      </c>
      <c r="B4661">
        <v>2017</v>
      </c>
      <c r="C4661" t="s">
        <v>45</v>
      </c>
      <c r="D4661" s="2">
        <v>43040</v>
      </c>
      <c r="E4661" t="s">
        <v>23</v>
      </c>
      <c r="F4661">
        <v>135.80000000000001</v>
      </c>
      <c r="G4661" t="str">
        <f>VLOOKUP(Table1_2[[#This Row],[Categories]],Sheet3!$A$1:$B$27,2,FALSE)</f>
        <v>Health</v>
      </c>
    </row>
    <row r="4662" spans="1:7" x14ac:dyDescent="0.3">
      <c r="A4662" t="s">
        <v>30</v>
      </c>
      <c r="B4662">
        <v>2017</v>
      </c>
      <c r="C4662" t="s">
        <v>45</v>
      </c>
      <c r="D4662" s="2">
        <v>43040</v>
      </c>
      <c r="E4662" t="s">
        <v>24</v>
      </c>
      <c r="F4662">
        <v>121.6</v>
      </c>
      <c r="G4662" t="str">
        <f>VLOOKUP(Table1_2[[#This Row],[Categories]],Sheet3!$A$1:$B$27,2,FALSE)</f>
        <v>Transport and communication</v>
      </c>
    </row>
    <row r="4663" spans="1:7" x14ac:dyDescent="0.3">
      <c r="A4663" t="s">
        <v>30</v>
      </c>
      <c r="B4663">
        <v>2017</v>
      </c>
      <c r="C4663" t="s">
        <v>45</v>
      </c>
      <c r="D4663" s="2">
        <v>43040</v>
      </c>
      <c r="E4663" t="s">
        <v>25</v>
      </c>
      <c r="F4663">
        <v>133.69999999999999</v>
      </c>
      <c r="G4663" t="str">
        <f>VLOOKUP(Table1_2[[#This Row],[Categories]],Sheet3!$A$1:$B$27,2,FALSE)</f>
        <v>Recreation and amusement</v>
      </c>
    </row>
    <row r="4664" spans="1:7" x14ac:dyDescent="0.3">
      <c r="A4664" t="s">
        <v>30</v>
      </c>
      <c r="B4664">
        <v>2017</v>
      </c>
      <c r="C4664" t="s">
        <v>45</v>
      </c>
      <c r="D4664" s="2">
        <v>43040</v>
      </c>
      <c r="E4664" t="s">
        <v>26</v>
      </c>
      <c r="F4664">
        <v>141.5</v>
      </c>
      <c r="G4664" t="str">
        <f>VLOOKUP(Table1_2[[#This Row],[Categories]],Sheet3!$A$1:$B$27,2,FALSE)</f>
        <v>Education</v>
      </c>
    </row>
    <row r="4665" spans="1:7" x14ac:dyDescent="0.3">
      <c r="A4665" t="s">
        <v>30</v>
      </c>
      <c r="B4665">
        <v>2017</v>
      </c>
      <c r="C4665" t="s">
        <v>45</v>
      </c>
      <c r="D4665" s="2">
        <v>43040</v>
      </c>
      <c r="E4665" t="s">
        <v>27</v>
      </c>
      <c r="F4665">
        <v>128.1</v>
      </c>
      <c r="G4665" t="str">
        <f>VLOOKUP(Table1_2[[#This Row],[Categories]],Sheet3!$A$1:$B$27,2,FALSE)</f>
        <v>Household Items</v>
      </c>
    </row>
    <row r="4666" spans="1:7" x14ac:dyDescent="0.3">
      <c r="A4666" t="s">
        <v>30</v>
      </c>
      <c r="B4666">
        <v>2017</v>
      </c>
      <c r="C4666" t="s">
        <v>45</v>
      </c>
      <c r="D4666" s="2">
        <v>43040</v>
      </c>
      <c r="E4666" t="s">
        <v>28</v>
      </c>
      <c r="F4666">
        <v>131.69999999999999</v>
      </c>
      <c r="G4666" t="str">
        <f>VLOOKUP(Table1_2[[#This Row],[Categories]],Sheet3!$A$1:$B$27,2,FALSE)</f>
        <v>Miscellaneous</v>
      </c>
    </row>
    <row r="4667" spans="1:7" x14ac:dyDescent="0.3">
      <c r="A4667" t="s">
        <v>30</v>
      </c>
      <c r="B4667">
        <v>2017</v>
      </c>
      <c r="C4667" t="s">
        <v>45</v>
      </c>
      <c r="D4667" s="2">
        <v>43040</v>
      </c>
      <c r="E4667" t="s">
        <v>29</v>
      </c>
      <c r="F4667">
        <v>140</v>
      </c>
      <c r="G4667" t="str">
        <f>VLOOKUP(Table1_2[[#This Row],[Categories]],Sheet3!$A$1:$B$27,2,FALSE)</f>
        <v>General index</v>
      </c>
    </row>
    <row r="4668" spans="1:7" x14ac:dyDescent="0.3">
      <c r="A4668" t="s">
        <v>33</v>
      </c>
      <c r="B4668">
        <v>2017</v>
      </c>
      <c r="C4668" t="s">
        <v>45</v>
      </c>
      <c r="D4668" s="2">
        <v>43040</v>
      </c>
      <c r="E4668" t="s">
        <v>3</v>
      </c>
      <c r="F4668">
        <v>134.30000000000001</v>
      </c>
      <c r="G4668" t="str">
        <f>VLOOKUP(Table1_2[[#This Row],[Categories]],Sheet3!$A$1:$B$27,2,FALSE)</f>
        <v>Food &amp;Beverage</v>
      </c>
    </row>
    <row r="4669" spans="1:7" x14ac:dyDescent="0.3">
      <c r="A4669" t="s">
        <v>33</v>
      </c>
      <c r="B4669">
        <v>2017</v>
      </c>
      <c r="C4669" t="s">
        <v>45</v>
      </c>
      <c r="D4669" s="2">
        <v>43040</v>
      </c>
      <c r="E4669" t="s">
        <v>4</v>
      </c>
      <c r="F4669">
        <v>142.1</v>
      </c>
      <c r="G4669" t="str">
        <f>VLOOKUP(Table1_2[[#This Row],[Categories]],Sheet3!$A$1:$B$27,2,FALSE)</f>
        <v>Food &amp;Beverage</v>
      </c>
    </row>
    <row r="4670" spans="1:7" x14ac:dyDescent="0.3">
      <c r="A4670" t="s">
        <v>33</v>
      </c>
      <c r="B4670">
        <v>2017</v>
      </c>
      <c r="C4670" t="s">
        <v>45</v>
      </c>
      <c r="D4670" s="2">
        <v>43040</v>
      </c>
      <c r="E4670" t="s">
        <v>5</v>
      </c>
      <c r="F4670">
        <v>146.69999999999999</v>
      </c>
      <c r="G4670" t="str">
        <f>VLOOKUP(Table1_2[[#This Row],[Categories]],Sheet3!$A$1:$B$27,2,FALSE)</f>
        <v>Food &amp;Beverage</v>
      </c>
    </row>
    <row r="4671" spans="1:7" x14ac:dyDescent="0.3">
      <c r="A4671" t="s">
        <v>33</v>
      </c>
      <c r="B4671">
        <v>2017</v>
      </c>
      <c r="C4671" t="s">
        <v>45</v>
      </c>
      <c r="D4671" s="2">
        <v>43040</v>
      </c>
      <c r="E4671" t="s">
        <v>6</v>
      </c>
      <c r="F4671">
        <v>139.5</v>
      </c>
      <c r="G4671" t="str">
        <f>VLOOKUP(Table1_2[[#This Row],[Categories]],Sheet3!$A$1:$B$27,2,FALSE)</f>
        <v>Food &amp;Beverage</v>
      </c>
    </row>
    <row r="4672" spans="1:7" x14ac:dyDescent="0.3">
      <c r="A4672" t="s">
        <v>33</v>
      </c>
      <c r="B4672">
        <v>2017</v>
      </c>
      <c r="C4672" t="s">
        <v>45</v>
      </c>
      <c r="D4672" s="2">
        <v>43040</v>
      </c>
      <c r="E4672" t="s">
        <v>7</v>
      </c>
      <c r="F4672">
        <v>115.2</v>
      </c>
      <c r="G4672" t="str">
        <f>VLOOKUP(Table1_2[[#This Row],[Categories]],Sheet3!$A$1:$B$27,2,FALSE)</f>
        <v>Food &amp;Beverage</v>
      </c>
    </row>
    <row r="4673" spans="1:7" x14ac:dyDescent="0.3">
      <c r="A4673" t="s">
        <v>33</v>
      </c>
      <c r="B4673">
        <v>2017</v>
      </c>
      <c r="C4673" t="s">
        <v>45</v>
      </c>
      <c r="D4673" s="2">
        <v>43040</v>
      </c>
      <c r="E4673" t="s">
        <v>8</v>
      </c>
      <c r="F4673">
        <v>136.4</v>
      </c>
      <c r="G4673" t="str">
        <f>VLOOKUP(Table1_2[[#This Row],[Categories]],Sheet3!$A$1:$B$27,2,FALSE)</f>
        <v>Food &amp;Beverage</v>
      </c>
    </row>
    <row r="4674" spans="1:7" x14ac:dyDescent="0.3">
      <c r="A4674" t="s">
        <v>33</v>
      </c>
      <c r="B4674">
        <v>2017</v>
      </c>
      <c r="C4674" t="s">
        <v>45</v>
      </c>
      <c r="D4674" s="2">
        <v>43040</v>
      </c>
      <c r="E4674" t="s">
        <v>9</v>
      </c>
      <c r="F4674">
        <v>185.2</v>
      </c>
      <c r="G4674" t="str">
        <f>VLOOKUP(Table1_2[[#This Row],[Categories]],Sheet3!$A$1:$B$27,2,FALSE)</f>
        <v>Food &amp;Beverage</v>
      </c>
    </row>
    <row r="4675" spans="1:7" x14ac:dyDescent="0.3">
      <c r="A4675" t="s">
        <v>33</v>
      </c>
      <c r="B4675">
        <v>2017</v>
      </c>
      <c r="C4675" t="s">
        <v>45</v>
      </c>
      <c r="D4675" s="2">
        <v>43040</v>
      </c>
      <c r="E4675" t="s">
        <v>10</v>
      </c>
      <c r="F4675">
        <v>122.2</v>
      </c>
      <c r="G4675" t="str">
        <f>VLOOKUP(Table1_2[[#This Row],[Categories]],Sheet3!$A$1:$B$27,2,FALSE)</f>
        <v>Food &amp;Beverage</v>
      </c>
    </row>
    <row r="4676" spans="1:7" x14ac:dyDescent="0.3">
      <c r="A4676" t="s">
        <v>33</v>
      </c>
      <c r="B4676">
        <v>2017</v>
      </c>
      <c r="C4676" t="s">
        <v>45</v>
      </c>
      <c r="D4676" s="2">
        <v>43040</v>
      </c>
      <c r="E4676" t="s">
        <v>11</v>
      </c>
      <c r="F4676">
        <v>123.9</v>
      </c>
      <c r="G4676" t="str">
        <f>VLOOKUP(Table1_2[[#This Row],[Categories]],Sheet3!$A$1:$B$27,2,FALSE)</f>
        <v>Food &amp;Beverage</v>
      </c>
    </row>
    <row r="4677" spans="1:7" x14ac:dyDescent="0.3">
      <c r="A4677" t="s">
        <v>33</v>
      </c>
      <c r="B4677">
        <v>2017</v>
      </c>
      <c r="C4677" t="s">
        <v>45</v>
      </c>
      <c r="D4677" s="2">
        <v>43040</v>
      </c>
      <c r="E4677" t="s">
        <v>12</v>
      </c>
      <c r="F4677">
        <v>138.30000000000001</v>
      </c>
      <c r="G4677" t="str">
        <f>VLOOKUP(Table1_2[[#This Row],[Categories]],Sheet3!$A$1:$B$27,2,FALSE)</f>
        <v>Food &amp;Beverage</v>
      </c>
    </row>
    <row r="4678" spans="1:7" x14ac:dyDescent="0.3">
      <c r="A4678" t="s">
        <v>33</v>
      </c>
      <c r="B4678">
        <v>2017</v>
      </c>
      <c r="C4678" t="s">
        <v>45</v>
      </c>
      <c r="D4678" s="2">
        <v>43040</v>
      </c>
      <c r="E4678" t="s">
        <v>13</v>
      </c>
      <c r="F4678">
        <v>125.4</v>
      </c>
      <c r="G4678" t="str">
        <f>VLOOKUP(Table1_2[[#This Row],[Categories]],Sheet3!$A$1:$B$27,2,FALSE)</f>
        <v>Food &amp;Beverage</v>
      </c>
    </row>
    <row r="4679" spans="1:7" x14ac:dyDescent="0.3">
      <c r="A4679" t="s">
        <v>33</v>
      </c>
      <c r="B4679">
        <v>2017</v>
      </c>
      <c r="C4679" t="s">
        <v>45</v>
      </c>
      <c r="D4679" s="2">
        <v>43040</v>
      </c>
      <c r="E4679" t="s">
        <v>14</v>
      </c>
      <c r="F4679">
        <v>146</v>
      </c>
      <c r="G4679" t="str">
        <f>VLOOKUP(Table1_2[[#This Row],[Categories]],Sheet3!$A$1:$B$27,2,FALSE)</f>
        <v>Food &amp;Beverage</v>
      </c>
    </row>
    <row r="4680" spans="1:7" x14ac:dyDescent="0.3">
      <c r="A4680" t="s">
        <v>33</v>
      </c>
      <c r="B4680">
        <v>2017</v>
      </c>
      <c r="C4680" t="s">
        <v>45</v>
      </c>
      <c r="D4680" s="2">
        <v>43040</v>
      </c>
      <c r="E4680" t="s">
        <v>15</v>
      </c>
      <c r="F4680">
        <v>141.5</v>
      </c>
      <c r="G4680" t="str">
        <f>VLOOKUP(Table1_2[[#This Row],[Categories]],Sheet3!$A$1:$B$27,2,FALSE)</f>
        <v>Food &amp;Beverage</v>
      </c>
    </row>
    <row r="4681" spans="1:7" x14ac:dyDescent="0.3">
      <c r="A4681" t="s">
        <v>33</v>
      </c>
      <c r="B4681">
        <v>2017</v>
      </c>
      <c r="C4681" t="s">
        <v>45</v>
      </c>
      <c r="D4681" s="2">
        <v>43040</v>
      </c>
      <c r="E4681" t="s">
        <v>16</v>
      </c>
      <c r="F4681">
        <v>156.19999999999999</v>
      </c>
      <c r="G4681" t="str">
        <f>VLOOKUP(Table1_2[[#This Row],[Categories]],Sheet3!$A$1:$B$27,2,FALSE)</f>
        <v>Recreation and amusement</v>
      </c>
    </row>
    <row r="4682" spans="1:7" x14ac:dyDescent="0.3">
      <c r="A4682" t="s">
        <v>33</v>
      </c>
      <c r="B4682">
        <v>2017</v>
      </c>
      <c r="C4682" t="s">
        <v>45</v>
      </c>
      <c r="D4682" s="2">
        <v>43040</v>
      </c>
      <c r="E4682" t="s">
        <v>17</v>
      </c>
      <c r="F4682">
        <v>135</v>
      </c>
      <c r="G4682" t="str">
        <f>VLOOKUP(Table1_2[[#This Row],[Categories]],Sheet3!$A$1:$B$27,2,FALSE)</f>
        <v>Clothing and footwear</v>
      </c>
    </row>
    <row r="4683" spans="1:7" x14ac:dyDescent="0.3">
      <c r="A4683" t="s">
        <v>33</v>
      </c>
      <c r="B4683">
        <v>2017</v>
      </c>
      <c r="C4683" t="s">
        <v>45</v>
      </c>
      <c r="D4683" s="2">
        <v>43040</v>
      </c>
      <c r="E4683" t="s">
        <v>18</v>
      </c>
      <c r="F4683">
        <v>125.4</v>
      </c>
      <c r="G4683" t="str">
        <f>VLOOKUP(Table1_2[[#This Row],[Categories]],Sheet3!$A$1:$B$27,2,FALSE)</f>
        <v>Clothing and footwear</v>
      </c>
    </row>
    <row r="4684" spans="1:7" x14ac:dyDescent="0.3">
      <c r="A4684" t="s">
        <v>33</v>
      </c>
      <c r="B4684">
        <v>2017</v>
      </c>
      <c r="C4684" t="s">
        <v>45</v>
      </c>
      <c r="D4684" s="2">
        <v>43040</v>
      </c>
      <c r="E4684" t="s">
        <v>19</v>
      </c>
      <c r="F4684">
        <v>133.5</v>
      </c>
      <c r="G4684" t="str">
        <f>VLOOKUP(Table1_2[[#This Row],[Categories]],Sheet3!$A$1:$B$27,2,FALSE)</f>
        <v>Clothing and footwear</v>
      </c>
    </row>
    <row r="4685" spans="1:7" x14ac:dyDescent="0.3">
      <c r="A4685" t="s">
        <v>33</v>
      </c>
      <c r="B4685">
        <v>2017</v>
      </c>
      <c r="C4685" t="s">
        <v>45</v>
      </c>
      <c r="D4685" s="2">
        <v>43040</v>
      </c>
      <c r="E4685" t="s">
        <v>20</v>
      </c>
      <c r="F4685">
        <v>138.6</v>
      </c>
      <c r="G4685" t="str">
        <f>VLOOKUP(Table1_2[[#This Row],[Categories]],Sheet3!$A$1:$B$27,2,FALSE)</f>
        <v>Housing</v>
      </c>
    </row>
    <row r="4686" spans="1:7" x14ac:dyDescent="0.3">
      <c r="A4686" t="s">
        <v>33</v>
      </c>
      <c r="B4686">
        <v>2017</v>
      </c>
      <c r="C4686" t="s">
        <v>45</v>
      </c>
      <c r="D4686" s="2">
        <v>43040</v>
      </c>
      <c r="E4686" t="s">
        <v>21</v>
      </c>
      <c r="F4686">
        <v>125.7</v>
      </c>
      <c r="G4686" t="str">
        <f>VLOOKUP(Table1_2[[#This Row],[Categories]],Sheet3!$A$1:$B$27,2,FALSE)</f>
        <v>Fuel and light</v>
      </c>
    </row>
    <row r="4687" spans="1:7" x14ac:dyDescent="0.3">
      <c r="A4687" t="s">
        <v>33</v>
      </c>
      <c r="B4687">
        <v>2017</v>
      </c>
      <c r="C4687" t="s">
        <v>45</v>
      </c>
      <c r="D4687" s="2">
        <v>43040</v>
      </c>
      <c r="E4687" t="s">
        <v>22</v>
      </c>
      <c r="F4687">
        <v>128.80000000000001</v>
      </c>
      <c r="G4687" t="str">
        <f>VLOOKUP(Table1_2[[#This Row],[Categories]],Sheet3!$A$1:$B$27,2,FALSE)</f>
        <v>Household Items</v>
      </c>
    </row>
    <row r="4688" spans="1:7" x14ac:dyDescent="0.3">
      <c r="A4688" t="s">
        <v>33</v>
      </c>
      <c r="B4688">
        <v>2017</v>
      </c>
      <c r="C4688" t="s">
        <v>45</v>
      </c>
      <c r="D4688" s="2">
        <v>43040</v>
      </c>
      <c r="E4688" t="s">
        <v>23</v>
      </c>
      <c r="F4688">
        <v>127.4</v>
      </c>
      <c r="G4688" t="str">
        <f>VLOOKUP(Table1_2[[#This Row],[Categories]],Sheet3!$A$1:$B$27,2,FALSE)</f>
        <v>Health</v>
      </c>
    </row>
    <row r="4689" spans="1:7" x14ac:dyDescent="0.3">
      <c r="A4689" t="s">
        <v>33</v>
      </c>
      <c r="B4689">
        <v>2017</v>
      </c>
      <c r="C4689" t="s">
        <v>45</v>
      </c>
      <c r="D4689" s="2">
        <v>43040</v>
      </c>
      <c r="E4689" t="s">
        <v>24</v>
      </c>
      <c r="F4689">
        <v>115.3</v>
      </c>
      <c r="G4689" t="str">
        <f>VLOOKUP(Table1_2[[#This Row],[Categories]],Sheet3!$A$1:$B$27,2,FALSE)</f>
        <v>Transport and communication</v>
      </c>
    </row>
    <row r="4690" spans="1:7" x14ac:dyDescent="0.3">
      <c r="A4690" t="s">
        <v>33</v>
      </c>
      <c r="B4690">
        <v>2017</v>
      </c>
      <c r="C4690" t="s">
        <v>45</v>
      </c>
      <c r="D4690" s="2">
        <v>43040</v>
      </c>
      <c r="E4690" t="s">
        <v>25</v>
      </c>
      <c r="F4690">
        <v>125.1</v>
      </c>
      <c r="G4690" t="str">
        <f>VLOOKUP(Table1_2[[#This Row],[Categories]],Sheet3!$A$1:$B$27,2,FALSE)</f>
        <v>Recreation and amusement</v>
      </c>
    </row>
    <row r="4691" spans="1:7" x14ac:dyDescent="0.3">
      <c r="A4691" t="s">
        <v>33</v>
      </c>
      <c r="B4691">
        <v>2017</v>
      </c>
      <c r="C4691" t="s">
        <v>45</v>
      </c>
      <c r="D4691" s="2">
        <v>43040</v>
      </c>
      <c r="E4691" t="s">
        <v>26</v>
      </c>
      <c r="F4691">
        <v>136.6</v>
      </c>
      <c r="G4691" t="str">
        <f>VLOOKUP(Table1_2[[#This Row],[Categories]],Sheet3!$A$1:$B$27,2,FALSE)</f>
        <v>Education</v>
      </c>
    </row>
    <row r="4692" spans="1:7" x14ac:dyDescent="0.3">
      <c r="A4692" t="s">
        <v>33</v>
      </c>
      <c r="B4692">
        <v>2017</v>
      </c>
      <c r="C4692" t="s">
        <v>45</v>
      </c>
      <c r="D4692" s="2">
        <v>43040</v>
      </c>
      <c r="E4692" t="s">
        <v>27</v>
      </c>
      <c r="F4692">
        <v>124.9</v>
      </c>
      <c r="G4692" t="str">
        <f>VLOOKUP(Table1_2[[#This Row],[Categories]],Sheet3!$A$1:$B$27,2,FALSE)</f>
        <v>Household Items</v>
      </c>
    </row>
    <row r="4693" spans="1:7" x14ac:dyDescent="0.3">
      <c r="A4693" t="s">
        <v>33</v>
      </c>
      <c r="B4693">
        <v>2017</v>
      </c>
      <c r="C4693" t="s">
        <v>45</v>
      </c>
      <c r="D4693" s="2">
        <v>43040</v>
      </c>
      <c r="E4693" t="s">
        <v>28</v>
      </c>
      <c r="F4693">
        <v>124.9</v>
      </c>
      <c r="G4693" t="str">
        <f>VLOOKUP(Table1_2[[#This Row],[Categories]],Sheet3!$A$1:$B$27,2,FALSE)</f>
        <v>Miscellaneous</v>
      </c>
    </row>
    <row r="4694" spans="1:7" x14ac:dyDescent="0.3">
      <c r="A4694" t="s">
        <v>33</v>
      </c>
      <c r="B4694">
        <v>2017</v>
      </c>
      <c r="C4694" t="s">
        <v>45</v>
      </c>
      <c r="D4694" s="2">
        <v>43040</v>
      </c>
      <c r="E4694" t="s">
        <v>29</v>
      </c>
      <c r="F4694">
        <v>134.80000000000001</v>
      </c>
      <c r="G4694" t="str">
        <f>VLOOKUP(Table1_2[[#This Row],[Categories]],Sheet3!$A$1:$B$27,2,FALSE)</f>
        <v>General index</v>
      </c>
    </row>
    <row r="4695" spans="1:7" x14ac:dyDescent="0.3">
      <c r="A4695" t="s">
        <v>34</v>
      </c>
      <c r="B4695">
        <v>2017</v>
      </c>
      <c r="C4695" t="s">
        <v>45</v>
      </c>
      <c r="D4695" s="2">
        <v>43040</v>
      </c>
      <c r="E4695" t="s">
        <v>3</v>
      </c>
      <c r="F4695">
        <v>135.69999999999999</v>
      </c>
      <c r="G4695" t="str">
        <f>VLOOKUP(Table1_2[[#This Row],[Categories]],Sheet3!$A$1:$B$27,2,FALSE)</f>
        <v>Food &amp;Beverage</v>
      </c>
    </row>
    <row r="4696" spans="1:7" x14ac:dyDescent="0.3">
      <c r="A4696" t="s">
        <v>34</v>
      </c>
      <c r="B4696">
        <v>2017</v>
      </c>
      <c r="C4696" t="s">
        <v>45</v>
      </c>
      <c r="D4696" s="2">
        <v>43040</v>
      </c>
      <c r="E4696" t="s">
        <v>4</v>
      </c>
      <c r="F4696">
        <v>142.4</v>
      </c>
      <c r="G4696" t="str">
        <f>VLOOKUP(Table1_2[[#This Row],[Categories]],Sheet3!$A$1:$B$27,2,FALSE)</f>
        <v>Food &amp;Beverage</v>
      </c>
    </row>
    <row r="4697" spans="1:7" x14ac:dyDescent="0.3">
      <c r="A4697" t="s">
        <v>34</v>
      </c>
      <c r="B4697">
        <v>2017</v>
      </c>
      <c r="C4697" t="s">
        <v>45</v>
      </c>
      <c r="D4697" s="2">
        <v>43040</v>
      </c>
      <c r="E4697" t="s">
        <v>5</v>
      </c>
      <c r="F4697">
        <v>142.9</v>
      </c>
      <c r="G4697" t="str">
        <f>VLOOKUP(Table1_2[[#This Row],[Categories]],Sheet3!$A$1:$B$27,2,FALSE)</f>
        <v>Food &amp;Beverage</v>
      </c>
    </row>
    <row r="4698" spans="1:7" x14ac:dyDescent="0.3">
      <c r="A4698" t="s">
        <v>34</v>
      </c>
      <c r="B4698">
        <v>2017</v>
      </c>
      <c r="C4698" t="s">
        <v>45</v>
      </c>
      <c r="D4698" s="2">
        <v>43040</v>
      </c>
      <c r="E4698" t="s">
        <v>6</v>
      </c>
      <c r="F4698">
        <v>140.80000000000001</v>
      </c>
      <c r="G4698" t="str">
        <f>VLOOKUP(Table1_2[[#This Row],[Categories]],Sheet3!$A$1:$B$27,2,FALSE)</f>
        <v>Food &amp;Beverage</v>
      </c>
    </row>
    <row r="4699" spans="1:7" x14ac:dyDescent="0.3">
      <c r="A4699" t="s">
        <v>34</v>
      </c>
      <c r="B4699">
        <v>2017</v>
      </c>
      <c r="C4699" t="s">
        <v>45</v>
      </c>
      <c r="D4699" s="2">
        <v>43040</v>
      </c>
      <c r="E4699" t="s">
        <v>7</v>
      </c>
      <c r="F4699">
        <v>119.2</v>
      </c>
      <c r="G4699" t="str">
        <f>VLOOKUP(Table1_2[[#This Row],[Categories]],Sheet3!$A$1:$B$27,2,FALSE)</f>
        <v>Food &amp;Beverage</v>
      </c>
    </row>
    <row r="4700" spans="1:7" x14ac:dyDescent="0.3">
      <c r="A4700" t="s">
        <v>34</v>
      </c>
      <c r="B4700">
        <v>2017</v>
      </c>
      <c r="C4700" t="s">
        <v>45</v>
      </c>
      <c r="D4700" s="2">
        <v>43040</v>
      </c>
      <c r="E4700" t="s">
        <v>8</v>
      </c>
      <c r="F4700">
        <v>142.19999999999999</v>
      </c>
      <c r="G4700" t="str">
        <f>VLOOKUP(Table1_2[[#This Row],[Categories]],Sheet3!$A$1:$B$27,2,FALSE)</f>
        <v>Food &amp;Beverage</v>
      </c>
    </row>
    <row r="4701" spans="1:7" x14ac:dyDescent="0.3">
      <c r="A4701" t="s">
        <v>34</v>
      </c>
      <c r="B4701">
        <v>2017</v>
      </c>
      <c r="C4701" t="s">
        <v>45</v>
      </c>
      <c r="D4701" s="2">
        <v>43040</v>
      </c>
      <c r="E4701" t="s">
        <v>9</v>
      </c>
      <c r="F4701">
        <v>173.8</v>
      </c>
      <c r="G4701" t="str">
        <f>VLOOKUP(Table1_2[[#This Row],[Categories]],Sheet3!$A$1:$B$27,2,FALSE)</f>
        <v>Food &amp;Beverage</v>
      </c>
    </row>
    <row r="4702" spans="1:7" x14ac:dyDescent="0.3">
      <c r="A4702" t="s">
        <v>34</v>
      </c>
      <c r="B4702">
        <v>2017</v>
      </c>
      <c r="C4702" t="s">
        <v>45</v>
      </c>
      <c r="D4702" s="2">
        <v>43040</v>
      </c>
      <c r="E4702" t="s">
        <v>10</v>
      </c>
      <c r="F4702">
        <v>131.19999999999999</v>
      </c>
      <c r="G4702" t="str">
        <f>VLOOKUP(Table1_2[[#This Row],[Categories]],Sheet3!$A$1:$B$27,2,FALSE)</f>
        <v>Food &amp;Beverage</v>
      </c>
    </row>
    <row r="4703" spans="1:7" x14ac:dyDescent="0.3">
      <c r="A4703" t="s">
        <v>34</v>
      </c>
      <c r="B4703">
        <v>2017</v>
      </c>
      <c r="C4703" t="s">
        <v>45</v>
      </c>
      <c r="D4703" s="2">
        <v>43040</v>
      </c>
      <c r="E4703" t="s">
        <v>11</v>
      </c>
      <c r="F4703">
        <v>123</v>
      </c>
      <c r="G4703" t="str">
        <f>VLOOKUP(Table1_2[[#This Row],[Categories]],Sheet3!$A$1:$B$27,2,FALSE)</f>
        <v>Food &amp;Beverage</v>
      </c>
    </row>
    <row r="4704" spans="1:7" x14ac:dyDescent="0.3">
      <c r="A4704" t="s">
        <v>34</v>
      </c>
      <c r="B4704">
        <v>2017</v>
      </c>
      <c r="C4704" t="s">
        <v>45</v>
      </c>
      <c r="D4704" s="2">
        <v>43040</v>
      </c>
      <c r="E4704" t="s">
        <v>12</v>
      </c>
      <c r="F4704">
        <v>136.80000000000001</v>
      </c>
      <c r="G4704" t="str">
        <f>VLOOKUP(Table1_2[[#This Row],[Categories]],Sheet3!$A$1:$B$27,2,FALSE)</f>
        <v>Food &amp;Beverage</v>
      </c>
    </row>
    <row r="4705" spans="1:7" x14ac:dyDescent="0.3">
      <c r="A4705" t="s">
        <v>34</v>
      </c>
      <c r="B4705">
        <v>2017</v>
      </c>
      <c r="C4705" t="s">
        <v>45</v>
      </c>
      <c r="D4705" s="2">
        <v>43040</v>
      </c>
      <c r="E4705" t="s">
        <v>13</v>
      </c>
      <c r="F4705">
        <v>129.19999999999999</v>
      </c>
      <c r="G4705" t="str">
        <f>VLOOKUP(Table1_2[[#This Row],[Categories]],Sheet3!$A$1:$B$27,2,FALSE)</f>
        <v>Food &amp;Beverage</v>
      </c>
    </row>
    <row r="4706" spans="1:7" x14ac:dyDescent="0.3">
      <c r="A4706" t="s">
        <v>34</v>
      </c>
      <c r="B4706">
        <v>2017</v>
      </c>
      <c r="C4706" t="s">
        <v>45</v>
      </c>
      <c r="D4706" s="2">
        <v>43040</v>
      </c>
      <c r="E4706" t="s">
        <v>14</v>
      </c>
      <c r="F4706">
        <v>148.9</v>
      </c>
      <c r="G4706" t="str">
        <f>VLOOKUP(Table1_2[[#This Row],[Categories]],Sheet3!$A$1:$B$27,2,FALSE)</f>
        <v>Food &amp;Beverage</v>
      </c>
    </row>
    <row r="4707" spans="1:7" x14ac:dyDescent="0.3">
      <c r="A4707" t="s">
        <v>34</v>
      </c>
      <c r="B4707">
        <v>2017</v>
      </c>
      <c r="C4707" t="s">
        <v>45</v>
      </c>
      <c r="D4707" s="2">
        <v>43040</v>
      </c>
      <c r="E4707" t="s">
        <v>15</v>
      </c>
      <c r="F4707">
        <v>142.1</v>
      </c>
      <c r="G4707" t="str">
        <f>VLOOKUP(Table1_2[[#This Row],[Categories]],Sheet3!$A$1:$B$27,2,FALSE)</f>
        <v>Food &amp;Beverage</v>
      </c>
    </row>
    <row r="4708" spans="1:7" x14ac:dyDescent="0.3">
      <c r="A4708" t="s">
        <v>34</v>
      </c>
      <c r="B4708">
        <v>2017</v>
      </c>
      <c r="C4708" t="s">
        <v>45</v>
      </c>
      <c r="D4708" s="2">
        <v>43040</v>
      </c>
      <c r="E4708" t="s">
        <v>16</v>
      </c>
      <c r="F4708">
        <v>153.19999999999999</v>
      </c>
      <c r="G4708" t="str">
        <f>VLOOKUP(Table1_2[[#This Row],[Categories]],Sheet3!$A$1:$B$27,2,FALSE)</f>
        <v>Recreation and amusement</v>
      </c>
    </row>
    <row r="4709" spans="1:7" x14ac:dyDescent="0.3">
      <c r="A4709" t="s">
        <v>34</v>
      </c>
      <c r="B4709">
        <v>2017</v>
      </c>
      <c r="C4709" t="s">
        <v>45</v>
      </c>
      <c r="D4709" s="2">
        <v>43040</v>
      </c>
      <c r="E4709" t="s">
        <v>17</v>
      </c>
      <c r="F4709">
        <v>143</v>
      </c>
      <c r="G4709" t="str">
        <f>VLOOKUP(Table1_2[[#This Row],[Categories]],Sheet3!$A$1:$B$27,2,FALSE)</f>
        <v>Clothing and footwear</v>
      </c>
    </row>
    <row r="4710" spans="1:7" x14ac:dyDescent="0.3">
      <c r="A4710" t="s">
        <v>34</v>
      </c>
      <c r="B4710">
        <v>2017</v>
      </c>
      <c r="C4710" t="s">
        <v>45</v>
      </c>
      <c r="D4710" s="2">
        <v>43040</v>
      </c>
      <c r="E4710" t="s">
        <v>18</v>
      </c>
      <c r="F4710">
        <v>134.80000000000001</v>
      </c>
      <c r="G4710" t="str">
        <f>VLOOKUP(Table1_2[[#This Row],[Categories]],Sheet3!$A$1:$B$27,2,FALSE)</f>
        <v>Clothing and footwear</v>
      </c>
    </row>
    <row r="4711" spans="1:7" x14ac:dyDescent="0.3">
      <c r="A4711" t="s">
        <v>34</v>
      </c>
      <c r="B4711">
        <v>2017</v>
      </c>
      <c r="C4711" t="s">
        <v>45</v>
      </c>
      <c r="D4711" s="2">
        <v>43040</v>
      </c>
      <c r="E4711" t="s">
        <v>19</v>
      </c>
      <c r="F4711">
        <v>141.80000000000001</v>
      </c>
      <c r="G4711" t="str">
        <f>VLOOKUP(Table1_2[[#This Row],[Categories]],Sheet3!$A$1:$B$27,2,FALSE)</f>
        <v>Clothing and footwear</v>
      </c>
    </row>
    <row r="4712" spans="1:7" x14ac:dyDescent="0.3">
      <c r="A4712" t="s">
        <v>34</v>
      </c>
      <c r="B4712">
        <v>2017</v>
      </c>
      <c r="C4712" t="s">
        <v>45</v>
      </c>
      <c r="D4712" s="2">
        <v>43040</v>
      </c>
      <c r="E4712" t="s">
        <v>20</v>
      </c>
      <c r="F4712">
        <v>138.6</v>
      </c>
      <c r="G4712" t="str">
        <f>VLOOKUP(Table1_2[[#This Row],[Categories]],Sheet3!$A$1:$B$27,2,FALSE)</f>
        <v>Housing</v>
      </c>
    </row>
    <row r="4713" spans="1:7" x14ac:dyDescent="0.3">
      <c r="A4713" t="s">
        <v>34</v>
      </c>
      <c r="B4713">
        <v>2017</v>
      </c>
      <c r="C4713" t="s">
        <v>45</v>
      </c>
      <c r="D4713" s="2">
        <v>43040</v>
      </c>
      <c r="E4713" t="s">
        <v>21</v>
      </c>
      <c r="F4713">
        <v>135.30000000000001</v>
      </c>
      <c r="G4713" t="str">
        <f>VLOOKUP(Table1_2[[#This Row],[Categories]],Sheet3!$A$1:$B$27,2,FALSE)</f>
        <v>Fuel and light</v>
      </c>
    </row>
    <row r="4714" spans="1:7" x14ac:dyDescent="0.3">
      <c r="A4714" t="s">
        <v>34</v>
      </c>
      <c r="B4714">
        <v>2017</v>
      </c>
      <c r="C4714" t="s">
        <v>45</v>
      </c>
      <c r="D4714" s="2">
        <v>43040</v>
      </c>
      <c r="E4714" t="s">
        <v>22</v>
      </c>
      <c r="F4714">
        <v>134.4</v>
      </c>
      <c r="G4714" t="str">
        <f>VLOOKUP(Table1_2[[#This Row],[Categories]],Sheet3!$A$1:$B$27,2,FALSE)</f>
        <v>Household Items</v>
      </c>
    </row>
    <row r="4715" spans="1:7" x14ac:dyDescent="0.3">
      <c r="A4715" t="s">
        <v>34</v>
      </c>
      <c r="B4715">
        <v>2017</v>
      </c>
      <c r="C4715" t="s">
        <v>45</v>
      </c>
      <c r="D4715" s="2">
        <v>43040</v>
      </c>
      <c r="E4715" t="s">
        <v>23</v>
      </c>
      <c r="F4715">
        <v>132.6</v>
      </c>
      <c r="G4715" t="str">
        <f>VLOOKUP(Table1_2[[#This Row],[Categories]],Sheet3!$A$1:$B$27,2,FALSE)</f>
        <v>Health</v>
      </c>
    </row>
    <row r="4716" spans="1:7" x14ac:dyDescent="0.3">
      <c r="A4716" t="s">
        <v>34</v>
      </c>
      <c r="B4716">
        <v>2017</v>
      </c>
      <c r="C4716" t="s">
        <v>45</v>
      </c>
      <c r="D4716" s="2">
        <v>43040</v>
      </c>
      <c r="E4716" t="s">
        <v>24</v>
      </c>
      <c r="F4716">
        <v>118.3</v>
      </c>
      <c r="G4716" t="str">
        <f>VLOOKUP(Table1_2[[#This Row],[Categories]],Sheet3!$A$1:$B$27,2,FALSE)</f>
        <v>Transport and communication</v>
      </c>
    </row>
    <row r="4717" spans="1:7" x14ac:dyDescent="0.3">
      <c r="A4717" t="s">
        <v>34</v>
      </c>
      <c r="B4717">
        <v>2017</v>
      </c>
      <c r="C4717" t="s">
        <v>45</v>
      </c>
      <c r="D4717" s="2">
        <v>43040</v>
      </c>
      <c r="E4717" t="s">
        <v>25</v>
      </c>
      <c r="F4717">
        <v>128.9</v>
      </c>
      <c r="G4717" t="str">
        <f>VLOOKUP(Table1_2[[#This Row],[Categories]],Sheet3!$A$1:$B$27,2,FALSE)</f>
        <v>Recreation and amusement</v>
      </c>
    </row>
    <row r="4718" spans="1:7" x14ac:dyDescent="0.3">
      <c r="A4718" t="s">
        <v>34</v>
      </c>
      <c r="B4718">
        <v>2017</v>
      </c>
      <c r="C4718" t="s">
        <v>45</v>
      </c>
      <c r="D4718" s="2">
        <v>43040</v>
      </c>
      <c r="E4718" t="s">
        <v>26</v>
      </c>
      <c r="F4718">
        <v>138.6</v>
      </c>
      <c r="G4718" t="str">
        <f>VLOOKUP(Table1_2[[#This Row],[Categories]],Sheet3!$A$1:$B$27,2,FALSE)</f>
        <v>Education</v>
      </c>
    </row>
    <row r="4719" spans="1:7" x14ac:dyDescent="0.3">
      <c r="A4719" t="s">
        <v>34</v>
      </c>
      <c r="B4719">
        <v>2017</v>
      </c>
      <c r="C4719" t="s">
        <v>45</v>
      </c>
      <c r="D4719" s="2">
        <v>43040</v>
      </c>
      <c r="E4719" t="s">
        <v>27</v>
      </c>
      <c r="F4719">
        <v>126.8</v>
      </c>
      <c r="G4719" t="str">
        <f>VLOOKUP(Table1_2[[#This Row],[Categories]],Sheet3!$A$1:$B$27,2,FALSE)</f>
        <v>Household Items</v>
      </c>
    </row>
    <row r="4720" spans="1:7" x14ac:dyDescent="0.3">
      <c r="A4720" t="s">
        <v>34</v>
      </c>
      <c r="B4720">
        <v>2017</v>
      </c>
      <c r="C4720" t="s">
        <v>45</v>
      </c>
      <c r="D4720" s="2">
        <v>43040</v>
      </c>
      <c r="E4720" t="s">
        <v>28</v>
      </c>
      <c r="F4720">
        <v>128.4</v>
      </c>
      <c r="G4720" t="str">
        <f>VLOOKUP(Table1_2[[#This Row],[Categories]],Sheet3!$A$1:$B$27,2,FALSE)</f>
        <v>Miscellaneous</v>
      </c>
    </row>
    <row r="4721" spans="1:7" x14ac:dyDescent="0.3">
      <c r="A4721" t="s">
        <v>34</v>
      </c>
      <c r="B4721">
        <v>2017</v>
      </c>
      <c r="C4721" t="s">
        <v>45</v>
      </c>
      <c r="D4721" s="2">
        <v>43040</v>
      </c>
      <c r="E4721" t="s">
        <v>29</v>
      </c>
      <c r="F4721">
        <v>137.6</v>
      </c>
      <c r="G4721" t="str">
        <f>VLOOKUP(Table1_2[[#This Row],[Categories]],Sheet3!$A$1:$B$27,2,FALSE)</f>
        <v>General index</v>
      </c>
    </row>
    <row r="4722" spans="1:7" x14ac:dyDescent="0.3">
      <c r="A4722" t="s">
        <v>30</v>
      </c>
      <c r="B4722">
        <v>2017</v>
      </c>
      <c r="C4722" t="s">
        <v>46</v>
      </c>
      <c r="D4722" s="2">
        <v>43070</v>
      </c>
      <c r="E4722" t="s">
        <v>3</v>
      </c>
      <c r="F4722">
        <v>136.4</v>
      </c>
      <c r="G4722" t="str">
        <f>VLOOKUP(Table1_2[[#This Row],[Categories]],Sheet3!$A$1:$B$27,2,FALSE)</f>
        <v>Food &amp;Beverage</v>
      </c>
    </row>
    <row r="4723" spans="1:7" x14ac:dyDescent="0.3">
      <c r="A4723" t="s">
        <v>30</v>
      </c>
      <c r="B4723">
        <v>2017</v>
      </c>
      <c r="C4723" t="s">
        <v>46</v>
      </c>
      <c r="D4723" s="2">
        <v>43070</v>
      </c>
      <c r="E4723" t="s">
        <v>4</v>
      </c>
      <c r="F4723">
        <v>143.69999999999999</v>
      </c>
      <c r="G4723" t="str">
        <f>VLOOKUP(Table1_2[[#This Row],[Categories]],Sheet3!$A$1:$B$27,2,FALSE)</f>
        <v>Food &amp;Beverage</v>
      </c>
    </row>
    <row r="4724" spans="1:7" x14ac:dyDescent="0.3">
      <c r="A4724" t="s">
        <v>30</v>
      </c>
      <c r="B4724">
        <v>2017</v>
      </c>
      <c r="C4724" t="s">
        <v>46</v>
      </c>
      <c r="D4724" s="2">
        <v>43070</v>
      </c>
      <c r="E4724" t="s">
        <v>5</v>
      </c>
      <c r="F4724">
        <v>144.80000000000001</v>
      </c>
      <c r="G4724" t="str">
        <f>VLOOKUP(Table1_2[[#This Row],[Categories]],Sheet3!$A$1:$B$27,2,FALSE)</f>
        <v>Food &amp;Beverage</v>
      </c>
    </row>
    <row r="4725" spans="1:7" x14ac:dyDescent="0.3">
      <c r="A4725" t="s">
        <v>30</v>
      </c>
      <c r="B4725">
        <v>2017</v>
      </c>
      <c r="C4725" t="s">
        <v>46</v>
      </c>
      <c r="D4725" s="2">
        <v>43070</v>
      </c>
      <c r="E4725" t="s">
        <v>6</v>
      </c>
      <c r="F4725">
        <v>141.9</v>
      </c>
      <c r="G4725" t="str">
        <f>VLOOKUP(Table1_2[[#This Row],[Categories]],Sheet3!$A$1:$B$27,2,FALSE)</f>
        <v>Food &amp;Beverage</v>
      </c>
    </row>
    <row r="4726" spans="1:7" x14ac:dyDescent="0.3">
      <c r="A4726" t="s">
        <v>30</v>
      </c>
      <c r="B4726">
        <v>2017</v>
      </c>
      <c r="C4726" t="s">
        <v>46</v>
      </c>
      <c r="D4726" s="2">
        <v>43070</v>
      </c>
      <c r="E4726" t="s">
        <v>7</v>
      </c>
      <c r="F4726">
        <v>123.1</v>
      </c>
      <c r="G4726" t="str">
        <f>VLOOKUP(Table1_2[[#This Row],[Categories]],Sheet3!$A$1:$B$27,2,FALSE)</f>
        <v>Food &amp;Beverage</v>
      </c>
    </row>
    <row r="4727" spans="1:7" x14ac:dyDescent="0.3">
      <c r="A4727" t="s">
        <v>30</v>
      </c>
      <c r="B4727">
        <v>2017</v>
      </c>
      <c r="C4727" t="s">
        <v>46</v>
      </c>
      <c r="D4727" s="2">
        <v>43070</v>
      </c>
      <c r="E4727" t="s">
        <v>8</v>
      </c>
      <c r="F4727">
        <v>147.19999999999999</v>
      </c>
      <c r="G4727" t="str">
        <f>VLOOKUP(Table1_2[[#This Row],[Categories]],Sheet3!$A$1:$B$27,2,FALSE)</f>
        <v>Food &amp;Beverage</v>
      </c>
    </row>
    <row r="4728" spans="1:7" x14ac:dyDescent="0.3">
      <c r="A4728" t="s">
        <v>30</v>
      </c>
      <c r="B4728">
        <v>2017</v>
      </c>
      <c r="C4728" t="s">
        <v>46</v>
      </c>
      <c r="D4728" s="2">
        <v>43070</v>
      </c>
      <c r="E4728" t="s">
        <v>9</v>
      </c>
      <c r="F4728">
        <v>161</v>
      </c>
      <c r="G4728" t="str">
        <f>VLOOKUP(Table1_2[[#This Row],[Categories]],Sheet3!$A$1:$B$27,2,FALSE)</f>
        <v>Food &amp;Beverage</v>
      </c>
    </row>
    <row r="4729" spans="1:7" x14ac:dyDescent="0.3">
      <c r="A4729" t="s">
        <v>30</v>
      </c>
      <c r="B4729">
        <v>2017</v>
      </c>
      <c r="C4729" t="s">
        <v>46</v>
      </c>
      <c r="D4729" s="2">
        <v>43070</v>
      </c>
      <c r="E4729" t="s">
        <v>10</v>
      </c>
      <c r="F4729">
        <v>133.80000000000001</v>
      </c>
      <c r="G4729" t="str">
        <f>VLOOKUP(Table1_2[[#This Row],[Categories]],Sheet3!$A$1:$B$27,2,FALSE)</f>
        <v>Food &amp;Beverage</v>
      </c>
    </row>
    <row r="4730" spans="1:7" x14ac:dyDescent="0.3">
      <c r="A4730" t="s">
        <v>30</v>
      </c>
      <c r="B4730">
        <v>2017</v>
      </c>
      <c r="C4730" t="s">
        <v>46</v>
      </c>
      <c r="D4730" s="2">
        <v>43070</v>
      </c>
      <c r="E4730" t="s">
        <v>11</v>
      </c>
      <c r="F4730">
        <v>121.9</v>
      </c>
      <c r="G4730" t="str">
        <f>VLOOKUP(Table1_2[[#This Row],[Categories]],Sheet3!$A$1:$B$27,2,FALSE)</f>
        <v>Food &amp;Beverage</v>
      </c>
    </row>
    <row r="4731" spans="1:7" x14ac:dyDescent="0.3">
      <c r="A4731" t="s">
        <v>30</v>
      </c>
      <c r="B4731">
        <v>2017</v>
      </c>
      <c r="C4731" t="s">
        <v>46</v>
      </c>
      <c r="D4731" s="2">
        <v>43070</v>
      </c>
      <c r="E4731" t="s">
        <v>12</v>
      </c>
      <c r="F4731">
        <v>135.80000000000001</v>
      </c>
      <c r="G4731" t="str">
        <f>VLOOKUP(Table1_2[[#This Row],[Categories]],Sheet3!$A$1:$B$27,2,FALSE)</f>
        <v>Food &amp;Beverage</v>
      </c>
    </row>
    <row r="4732" spans="1:7" x14ac:dyDescent="0.3">
      <c r="A4732" t="s">
        <v>30</v>
      </c>
      <c r="B4732">
        <v>2017</v>
      </c>
      <c r="C4732" t="s">
        <v>46</v>
      </c>
      <c r="D4732" s="2">
        <v>43070</v>
      </c>
      <c r="E4732" t="s">
        <v>13</v>
      </c>
      <c r="F4732">
        <v>131.1</v>
      </c>
      <c r="G4732" t="str">
        <f>VLOOKUP(Table1_2[[#This Row],[Categories]],Sheet3!$A$1:$B$27,2,FALSE)</f>
        <v>Food &amp;Beverage</v>
      </c>
    </row>
    <row r="4733" spans="1:7" x14ac:dyDescent="0.3">
      <c r="A4733" t="s">
        <v>30</v>
      </c>
      <c r="B4733">
        <v>2017</v>
      </c>
      <c r="C4733" t="s">
        <v>46</v>
      </c>
      <c r="D4733" s="2">
        <v>43070</v>
      </c>
      <c r="E4733" t="s">
        <v>14</v>
      </c>
      <c r="F4733">
        <v>151.4</v>
      </c>
      <c r="G4733" t="str">
        <f>VLOOKUP(Table1_2[[#This Row],[Categories]],Sheet3!$A$1:$B$27,2,FALSE)</f>
        <v>Food &amp;Beverage</v>
      </c>
    </row>
    <row r="4734" spans="1:7" x14ac:dyDescent="0.3">
      <c r="A4734" t="s">
        <v>30</v>
      </c>
      <c r="B4734">
        <v>2017</v>
      </c>
      <c r="C4734" t="s">
        <v>46</v>
      </c>
      <c r="D4734" s="2">
        <v>43070</v>
      </c>
      <c r="E4734" t="s">
        <v>15</v>
      </c>
      <c r="F4734">
        <v>141.5</v>
      </c>
      <c r="G4734" t="str">
        <f>VLOOKUP(Table1_2[[#This Row],[Categories]],Sheet3!$A$1:$B$27,2,FALSE)</f>
        <v>Food &amp;Beverage</v>
      </c>
    </row>
    <row r="4735" spans="1:7" x14ac:dyDescent="0.3">
      <c r="A4735" t="s">
        <v>30</v>
      </c>
      <c r="B4735">
        <v>2017</v>
      </c>
      <c r="C4735" t="s">
        <v>46</v>
      </c>
      <c r="D4735" s="2">
        <v>43070</v>
      </c>
      <c r="E4735" t="s">
        <v>16</v>
      </c>
      <c r="F4735">
        <v>153.19999999999999</v>
      </c>
      <c r="G4735" t="str">
        <f>VLOOKUP(Table1_2[[#This Row],[Categories]],Sheet3!$A$1:$B$27,2,FALSE)</f>
        <v>Recreation and amusement</v>
      </c>
    </row>
    <row r="4736" spans="1:7" x14ac:dyDescent="0.3">
      <c r="A4736" t="s">
        <v>30</v>
      </c>
      <c r="B4736">
        <v>2017</v>
      </c>
      <c r="C4736" t="s">
        <v>46</v>
      </c>
      <c r="D4736" s="2">
        <v>43070</v>
      </c>
      <c r="E4736" t="s">
        <v>17</v>
      </c>
      <c r="F4736">
        <v>148</v>
      </c>
      <c r="G4736" t="str">
        <f>VLOOKUP(Table1_2[[#This Row],[Categories]],Sheet3!$A$1:$B$27,2,FALSE)</f>
        <v>Clothing and footwear</v>
      </c>
    </row>
    <row r="4737" spans="1:7" x14ac:dyDescent="0.3">
      <c r="A4737" t="s">
        <v>30</v>
      </c>
      <c r="B4737">
        <v>2017</v>
      </c>
      <c r="C4737" t="s">
        <v>46</v>
      </c>
      <c r="D4737" s="2">
        <v>43070</v>
      </c>
      <c r="E4737" t="s">
        <v>18</v>
      </c>
      <c r="F4737">
        <v>141.9</v>
      </c>
      <c r="G4737" t="str">
        <f>VLOOKUP(Table1_2[[#This Row],[Categories]],Sheet3!$A$1:$B$27,2,FALSE)</f>
        <v>Clothing and footwear</v>
      </c>
    </row>
    <row r="4738" spans="1:7" x14ac:dyDescent="0.3">
      <c r="A4738" t="s">
        <v>30</v>
      </c>
      <c r="B4738">
        <v>2017</v>
      </c>
      <c r="C4738" t="s">
        <v>46</v>
      </c>
      <c r="D4738" s="2">
        <v>43070</v>
      </c>
      <c r="E4738" t="s">
        <v>19</v>
      </c>
      <c r="F4738">
        <v>147.19999999999999</v>
      </c>
      <c r="G4738" t="str">
        <f>VLOOKUP(Table1_2[[#This Row],[Categories]],Sheet3!$A$1:$B$27,2,FALSE)</f>
        <v>Clothing and footwear</v>
      </c>
    </row>
    <row r="4739" spans="1:7" x14ac:dyDescent="0.3">
      <c r="A4739" t="s">
        <v>30</v>
      </c>
      <c r="B4739">
        <v>2017</v>
      </c>
      <c r="C4739" t="s">
        <v>46</v>
      </c>
      <c r="D4739" s="2">
        <v>43070</v>
      </c>
      <c r="E4739" t="s">
        <v>21</v>
      </c>
      <c r="F4739">
        <v>142.6</v>
      </c>
      <c r="G4739" t="str">
        <f>VLOOKUP(Table1_2[[#This Row],[Categories]],Sheet3!$A$1:$B$27,2,FALSE)</f>
        <v>Fuel and light</v>
      </c>
    </row>
    <row r="4740" spans="1:7" x14ac:dyDescent="0.3">
      <c r="A4740" t="s">
        <v>30</v>
      </c>
      <c r="B4740">
        <v>2017</v>
      </c>
      <c r="C4740" t="s">
        <v>46</v>
      </c>
      <c r="D4740" s="2">
        <v>43070</v>
      </c>
      <c r="E4740" t="s">
        <v>22</v>
      </c>
      <c r="F4740">
        <v>139.5</v>
      </c>
      <c r="G4740" t="str">
        <f>VLOOKUP(Table1_2[[#This Row],[Categories]],Sheet3!$A$1:$B$27,2,FALSE)</f>
        <v>Household Items</v>
      </c>
    </row>
    <row r="4741" spans="1:7" x14ac:dyDescent="0.3">
      <c r="A4741" t="s">
        <v>30</v>
      </c>
      <c r="B4741">
        <v>2017</v>
      </c>
      <c r="C4741" t="s">
        <v>46</v>
      </c>
      <c r="D4741" s="2">
        <v>43070</v>
      </c>
      <c r="E4741" t="s">
        <v>23</v>
      </c>
      <c r="F4741">
        <v>136.1</v>
      </c>
      <c r="G4741" t="str">
        <f>VLOOKUP(Table1_2[[#This Row],[Categories]],Sheet3!$A$1:$B$27,2,FALSE)</f>
        <v>Health</v>
      </c>
    </row>
    <row r="4742" spans="1:7" x14ac:dyDescent="0.3">
      <c r="A4742" t="s">
        <v>30</v>
      </c>
      <c r="B4742">
        <v>2017</v>
      </c>
      <c r="C4742" t="s">
        <v>46</v>
      </c>
      <c r="D4742" s="2">
        <v>43070</v>
      </c>
      <c r="E4742" t="s">
        <v>24</v>
      </c>
      <c r="F4742">
        <v>122</v>
      </c>
      <c r="G4742" t="str">
        <f>VLOOKUP(Table1_2[[#This Row],[Categories]],Sheet3!$A$1:$B$27,2,FALSE)</f>
        <v>Transport and communication</v>
      </c>
    </row>
    <row r="4743" spans="1:7" x14ac:dyDescent="0.3">
      <c r="A4743" t="s">
        <v>30</v>
      </c>
      <c r="B4743">
        <v>2017</v>
      </c>
      <c r="C4743" t="s">
        <v>46</v>
      </c>
      <c r="D4743" s="2">
        <v>43070</v>
      </c>
      <c r="E4743" t="s">
        <v>25</v>
      </c>
      <c r="F4743">
        <v>133.4</v>
      </c>
      <c r="G4743" t="str">
        <f>VLOOKUP(Table1_2[[#This Row],[Categories]],Sheet3!$A$1:$B$27,2,FALSE)</f>
        <v>Recreation and amusement</v>
      </c>
    </row>
    <row r="4744" spans="1:7" x14ac:dyDescent="0.3">
      <c r="A4744" t="s">
        <v>30</v>
      </c>
      <c r="B4744">
        <v>2017</v>
      </c>
      <c r="C4744" t="s">
        <v>46</v>
      </c>
      <c r="D4744" s="2">
        <v>43070</v>
      </c>
      <c r="E4744" t="s">
        <v>26</v>
      </c>
      <c r="F4744">
        <v>141.1</v>
      </c>
      <c r="G4744" t="str">
        <f>VLOOKUP(Table1_2[[#This Row],[Categories]],Sheet3!$A$1:$B$27,2,FALSE)</f>
        <v>Education</v>
      </c>
    </row>
    <row r="4745" spans="1:7" x14ac:dyDescent="0.3">
      <c r="A4745" t="s">
        <v>30</v>
      </c>
      <c r="B4745">
        <v>2017</v>
      </c>
      <c r="C4745" t="s">
        <v>46</v>
      </c>
      <c r="D4745" s="2">
        <v>43070</v>
      </c>
      <c r="E4745" t="s">
        <v>27</v>
      </c>
      <c r="F4745">
        <v>127.8</v>
      </c>
      <c r="G4745" t="str">
        <f>VLOOKUP(Table1_2[[#This Row],[Categories]],Sheet3!$A$1:$B$27,2,FALSE)</f>
        <v>Household Items</v>
      </c>
    </row>
    <row r="4746" spans="1:7" x14ac:dyDescent="0.3">
      <c r="A4746" t="s">
        <v>30</v>
      </c>
      <c r="B4746">
        <v>2017</v>
      </c>
      <c r="C4746" t="s">
        <v>46</v>
      </c>
      <c r="D4746" s="2">
        <v>43070</v>
      </c>
      <c r="E4746" t="s">
        <v>28</v>
      </c>
      <c r="F4746">
        <v>131.9</v>
      </c>
      <c r="G4746" t="str">
        <f>VLOOKUP(Table1_2[[#This Row],[Categories]],Sheet3!$A$1:$B$27,2,FALSE)</f>
        <v>Miscellaneous</v>
      </c>
    </row>
    <row r="4747" spans="1:7" x14ac:dyDescent="0.3">
      <c r="A4747" t="s">
        <v>30</v>
      </c>
      <c r="B4747">
        <v>2017</v>
      </c>
      <c r="C4747" t="s">
        <v>46</v>
      </c>
      <c r="D4747" s="2">
        <v>43070</v>
      </c>
      <c r="E4747" t="s">
        <v>29</v>
      </c>
      <c r="F4747">
        <v>139.80000000000001</v>
      </c>
      <c r="G4747" t="str">
        <f>VLOOKUP(Table1_2[[#This Row],[Categories]],Sheet3!$A$1:$B$27,2,FALSE)</f>
        <v>General index</v>
      </c>
    </row>
    <row r="4748" spans="1:7" x14ac:dyDescent="0.3">
      <c r="A4748" t="s">
        <v>33</v>
      </c>
      <c r="B4748">
        <v>2017</v>
      </c>
      <c r="C4748" t="s">
        <v>46</v>
      </c>
      <c r="D4748" s="2">
        <v>43070</v>
      </c>
      <c r="E4748" t="s">
        <v>3</v>
      </c>
      <c r="F4748">
        <v>134.4</v>
      </c>
      <c r="G4748" t="str">
        <f>VLOOKUP(Table1_2[[#This Row],[Categories]],Sheet3!$A$1:$B$27,2,FALSE)</f>
        <v>Food &amp;Beverage</v>
      </c>
    </row>
    <row r="4749" spans="1:7" x14ac:dyDescent="0.3">
      <c r="A4749" t="s">
        <v>33</v>
      </c>
      <c r="B4749">
        <v>2017</v>
      </c>
      <c r="C4749" t="s">
        <v>46</v>
      </c>
      <c r="D4749" s="2">
        <v>43070</v>
      </c>
      <c r="E4749" t="s">
        <v>4</v>
      </c>
      <c r="F4749">
        <v>142.6</v>
      </c>
      <c r="G4749" t="str">
        <f>VLOOKUP(Table1_2[[#This Row],[Categories]],Sheet3!$A$1:$B$27,2,FALSE)</f>
        <v>Food &amp;Beverage</v>
      </c>
    </row>
    <row r="4750" spans="1:7" x14ac:dyDescent="0.3">
      <c r="A4750" t="s">
        <v>33</v>
      </c>
      <c r="B4750">
        <v>2017</v>
      </c>
      <c r="C4750" t="s">
        <v>46</v>
      </c>
      <c r="D4750" s="2">
        <v>43070</v>
      </c>
      <c r="E4750" t="s">
        <v>5</v>
      </c>
      <c r="F4750">
        <v>145.9</v>
      </c>
      <c r="G4750" t="str">
        <f>VLOOKUP(Table1_2[[#This Row],[Categories]],Sheet3!$A$1:$B$27,2,FALSE)</f>
        <v>Food &amp;Beverage</v>
      </c>
    </row>
    <row r="4751" spans="1:7" x14ac:dyDescent="0.3">
      <c r="A4751" t="s">
        <v>33</v>
      </c>
      <c r="B4751">
        <v>2017</v>
      </c>
      <c r="C4751" t="s">
        <v>46</v>
      </c>
      <c r="D4751" s="2">
        <v>43070</v>
      </c>
      <c r="E4751" t="s">
        <v>6</v>
      </c>
      <c r="F4751">
        <v>139.5</v>
      </c>
      <c r="G4751" t="str">
        <f>VLOOKUP(Table1_2[[#This Row],[Categories]],Sheet3!$A$1:$B$27,2,FALSE)</f>
        <v>Food &amp;Beverage</v>
      </c>
    </row>
    <row r="4752" spans="1:7" x14ac:dyDescent="0.3">
      <c r="A4752" t="s">
        <v>33</v>
      </c>
      <c r="B4752">
        <v>2017</v>
      </c>
      <c r="C4752" t="s">
        <v>46</v>
      </c>
      <c r="D4752" s="2">
        <v>43070</v>
      </c>
      <c r="E4752" t="s">
        <v>7</v>
      </c>
      <c r="F4752">
        <v>115.9</v>
      </c>
      <c r="G4752" t="str">
        <f>VLOOKUP(Table1_2[[#This Row],[Categories]],Sheet3!$A$1:$B$27,2,FALSE)</f>
        <v>Food &amp;Beverage</v>
      </c>
    </row>
    <row r="4753" spans="1:7" x14ac:dyDescent="0.3">
      <c r="A4753" t="s">
        <v>33</v>
      </c>
      <c r="B4753">
        <v>2017</v>
      </c>
      <c r="C4753" t="s">
        <v>46</v>
      </c>
      <c r="D4753" s="2">
        <v>43070</v>
      </c>
      <c r="E4753" t="s">
        <v>8</v>
      </c>
      <c r="F4753">
        <v>135</v>
      </c>
      <c r="G4753" t="str">
        <f>VLOOKUP(Table1_2[[#This Row],[Categories]],Sheet3!$A$1:$B$27,2,FALSE)</f>
        <v>Food &amp;Beverage</v>
      </c>
    </row>
    <row r="4754" spans="1:7" x14ac:dyDescent="0.3">
      <c r="A4754" t="s">
        <v>33</v>
      </c>
      <c r="B4754">
        <v>2017</v>
      </c>
      <c r="C4754" t="s">
        <v>46</v>
      </c>
      <c r="D4754" s="2">
        <v>43070</v>
      </c>
      <c r="E4754" t="s">
        <v>9</v>
      </c>
      <c r="F4754">
        <v>163.19999999999999</v>
      </c>
      <c r="G4754" t="str">
        <f>VLOOKUP(Table1_2[[#This Row],[Categories]],Sheet3!$A$1:$B$27,2,FALSE)</f>
        <v>Food &amp;Beverage</v>
      </c>
    </row>
    <row r="4755" spans="1:7" x14ac:dyDescent="0.3">
      <c r="A4755" t="s">
        <v>33</v>
      </c>
      <c r="B4755">
        <v>2017</v>
      </c>
      <c r="C4755" t="s">
        <v>46</v>
      </c>
      <c r="D4755" s="2">
        <v>43070</v>
      </c>
      <c r="E4755" t="s">
        <v>10</v>
      </c>
      <c r="F4755">
        <v>119.8</v>
      </c>
      <c r="G4755" t="str">
        <f>VLOOKUP(Table1_2[[#This Row],[Categories]],Sheet3!$A$1:$B$27,2,FALSE)</f>
        <v>Food &amp;Beverage</v>
      </c>
    </row>
    <row r="4756" spans="1:7" x14ac:dyDescent="0.3">
      <c r="A4756" t="s">
        <v>33</v>
      </c>
      <c r="B4756">
        <v>2017</v>
      </c>
      <c r="C4756" t="s">
        <v>46</v>
      </c>
      <c r="D4756" s="2">
        <v>43070</v>
      </c>
      <c r="E4756" t="s">
        <v>11</v>
      </c>
      <c r="F4756">
        <v>120.7</v>
      </c>
      <c r="G4756" t="str">
        <f>VLOOKUP(Table1_2[[#This Row],[Categories]],Sheet3!$A$1:$B$27,2,FALSE)</f>
        <v>Food &amp;Beverage</v>
      </c>
    </row>
    <row r="4757" spans="1:7" x14ac:dyDescent="0.3">
      <c r="A4757" t="s">
        <v>33</v>
      </c>
      <c r="B4757">
        <v>2017</v>
      </c>
      <c r="C4757" t="s">
        <v>46</v>
      </c>
      <c r="D4757" s="2">
        <v>43070</v>
      </c>
      <c r="E4757" t="s">
        <v>12</v>
      </c>
      <c r="F4757">
        <v>139.69999999999999</v>
      </c>
      <c r="G4757" t="str">
        <f>VLOOKUP(Table1_2[[#This Row],[Categories]],Sheet3!$A$1:$B$27,2,FALSE)</f>
        <v>Food &amp;Beverage</v>
      </c>
    </row>
    <row r="4758" spans="1:7" x14ac:dyDescent="0.3">
      <c r="A4758" t="s">
        <v>33</v>
      </c>
      <c r="B4758">
        <v>2017</v>
      </c>
      <c r="C4758" t="s">
        <v>46</v>
      </c>
      <c r="D4758" s="2">
        <v>43070</v>
      </c>
      <c r="E4758" t="s">
        <v>13</v>
      </c>
      <c r="F4758">
        <v>125.7</v>
      </c>
      <c r="G4758" t="str">
        <f>VLOOKUP(Table1_2[[#This Row],[Categories]],Sheet3!$A$1:$B$27,2,FALSE)</f>
        <v>Food &amp;Beverage</v>
      </c>
    </row>
    <row r="4759" spans="1:7" x14ac:dyDescent="0.3">
      <c r="A4759" t="s">
        <v>33</v>
      </c>
      <c r="B4759">
        <v>2017</v>
      </c>
      <c r="C4759" t="s">
        <v>46</v>
      </c>
      <c r="D4759" s="2">
        <v>43070</v>
      </c>
      <c r="E4759" t="s">
        <v>14</v>
      </c>
      <c r="F4759">
        <v>146.30000000000001</v>
      </c>
      <c r="G4759" t="str">
        <f>VLOOKUP(Table1_2[[#This Row],[Categories]],Sheet3!$A$1:$B$27,2,FALSE)</f>
        <v>Food &amp;Beverage</v>
      </c>
    </row>
    <row r="4760" spans="1:7" x14ac:dyDescent="0.3">
      <c r="A4760" t="s">
        <v>33</v>
      </c>
      <c r="B4760">
        <v>2017</v>
      </c>
      <c r="C4760" t="s">
        <v>46</v>
      </c>
      <c r="D4760" s="2">
        <v>43070</v>
      </c>
      <c r="E4760" t="s">
        <v>15</v>
      </c>
      <c r="F4760">
        <v>138.80000000000001</v>
      </c>
      <c r="G4760" t="str">
        <f>VLOOKUP(Table1_2[[#This Row],[Categories]],Sheet3!$A$1:$B$27,2,FALSE)</f>
        <v>Food &amp;Beverage</v>
      </c>
    </row>
    <row r="4761" spans="1:7" x14ac:dyDescent="0.3">
      <c r="A4761" t="s">
        <v>33</v>
      </c>
      <c r="B4761">
        <v>2017</v>
      </c>
      <c r="C4761" t="s">
        <v>46</v>
      </c>
      <c r="D4761" s="2">
        <v>43070</v>
      </c>
      <c r="E4761" t="s">
        <v>16</v>
      </c>
      <c r="F4761">
        <v>157</v>
      </c>
      <c r="G4761" t="str">
        <f>VLOOKUP(Table1_2[[#This Row],[Categories]],Sheet3!$A$1:$B$27,2,FALSE)</f>
        <v>Recreation and amusement</v>
      </c>
    </row>
    <row r="4762" spans="1:7" x14ac:dyDescent="0.3">
      <c r="A4762" t="s">
        <v>33</v>
      </c>
      <c r="B4762">
        <v>2017</v>
      </c>
      <c r="C4762" t="s">
        <v>46</v>
      </c>
      <c r="D4762" s="2">
        <v>43070</v>
      </c>
      <c r="E4762" t="s">
        <v>17</v>
      </c>
      <c r="F4762">
        <v>135.6</v>
      </c>
      <c r="G4762" t="str">
        <f>VLOOKUP(Table1_2[[#This Row],[Categories]],Sheet3!$A$1:$B$27,2,FALSE)</f>
        <v>Clothing and footwear</v>
      </c>
    </row>
    <row r="4763" spans="1:7" x14ac:dyDescent="0.3">
      <c r="A4763" t="s">
        <v>33</v>
      </c>
      <c r="B4763">
        <v>2017</v>
      </c>
      <c r="C4763" t="s">
        <v>46</v>
      </c>
      <c r="D4763" s="2">
        <v>43070</v>
      </c>
      <c r="E4763" t="s">
        <v>18</v>
      </c>
      <c r="F4763">
        <v>125.6</v>
      </c>
      <c r="G4763" t="str">
        <f>VLOOKUP(Table1_2[[#This Row],[Categories]],Sheet3!$A$1:$B$27,2,FALSE)</f>
        <v>Clothing and footwear</v>
      </c>
    </row>
    <row r="4764" spans="1:7" x14ac:dyDescent="0.3">
      <c r="A4764" t="s">
        <v>33</v>
      </c>
      <c r="B4764">
        <v>2017</v>
      </c>
      <c r="C4764" t="s">
        <v>46</v>
      </c>
      <c r="D4764" s="2">
        <v>43070</v>
      </c>
      <c r="E4764" t="s">
        <v>19</v>
      </c>
      <c r="F4764">
        <v>134</v>
      </c>
      <c r="G4764" t="str">
        <f>VLOOKUP(Table1_2[[#This Row],[Categories]],Sheet3!$A$1:$B$27,2,FALSE)</f>
        <v>Clothing and footwear</v>
      </c>
    </row>
    <row r="4765" spans="1:7" x14ac:dyDescent="0.3">
      <c r="A4765" t="s">
        <v>33</v>
      </c>
      <c r="B4765">
        <v>2017</v>
      </c>
      <c r="C4765" t="s">
        <v>46</v>
      </c>
      <c r="D4765" s="2">
        <v>43070</v>
      </c>
      <c r="E4765" t="s">
        <v>20</v>
      </c>
      <c r="F4765">
        <v>139.1</v>
      </c>
      <c r="G4765" t="str">
        <f>VLOOKUP(Table1_2[[#This Row],[Categories]],Sheet3!$A$1:$B$27,2,FALSE)</f>
        <v>Housing</v>
      </c>
    </row>
    <row r="4766" spans="1:7" x14ac:dyDescent="0.3">
      <c r="A4766" t="s">
        <v>33</v>
      </c>
      <c r="B4766">
        <v>2017</v>
      </c>
      <c r="C4766" t="s">
        <v>46</v>
      </c>
      <c r="D4766" s="2">
        <v>43070</v>
      </c>
      <c r="E4766" t="s">
        <v>21</v>
      </c>
      <c r="F4766">
        <v>126.8</v>
      </c>
      <c r="G4766" t="str">
        <f>VLOOKUP(Table1_2[[#This Row],[Categories]],Sheet3!$A$1:$B$27,2,FALSE)</f>
        <v>Fuel and light</v>
      </c>
    </row>
    <row r="4767" spans="1:7" x14ac:dyDescent="0.3">
      <c r="A4767" t="s">
        <v>33</v>
      </c>
      <c r="B4767">
        <v>2017</v>
      </c>
      <c r="C4767" t="s">
        <v>46</v>
      </c>
      <c r="D4767" s="2">
        <v>43070</v>
      </c>
      <c r="E4767" t="s">
        <v>22</v>
      </c>
      <c r="F4767">
        <v>129.30000000000001</v>
      </c>
      <c r="G4767" t="str">
        <f>VLOOKUP(Table1_2[[#This Row],[Categories]],Sheet3!$A$1:$B$27,2,FALSE)</f>
        <v>Household Items</v>
      </c>
    </row>
    <row r="4768" spans="1:7" x14ac:dyDescent="0.3">
      <c r="A4768" t="s">
        <v>33</v>
      </c>
      <c r="B4768">
        <v>2017</v>
      </c>
      <c r="C4768" t="s">
        <v>46</v>
      </c>
      <c r="D4768" s="2">
        <v>43070</v>
      </c>
      <c r="E4768" t="s">
        <v>23</v>
      </c>
      <c r="F4768">
        <v>128.19999999999999</v>
      </c>
      <c r="G4768" t="str">
        <f>VLOOKUP(Table1_2[[#This Row],[Categories]],Sheet3!$A$1:$B$27,2,FALSE)</f>
        <v>Health</v>
      </c>
    </row>
    <row r="4769" spans="1:7" x14ac:dyDescent="0.3">
      <c r="A4769" t="s">
        <v>33</v>
      </c>
      <c r="B4769">
        <v>2017</v>
      </c>
      <c r="C4769" t="s">
        <v>46</v>
      </c>
      <c r="D4769" s="2">
        <v>43070</v>
      </c>
      <c r="E4769" t="s">
        <v>24</v>
      </c>
      <c r="F4769">
        <v>115.3</v>
      </c>
      <c r="G4769" t="str">
        <f>VLOOKUP(Table1_2[[#This Row],[Categories]],Sheet3!$A$1:$B$27,2,FALSE)</f>
        <v>Transport and communication</v>
      </c>
    </row>
    <row r="4770" spans="1:7" x14ac:dyDescent="0.3">
      <c r="A4770" t="s">
        <v>33</v>
      </c>
      <c r="B4770">
        <v>2017</v>
      </c>
      <c r="C4770" t="s">
        <v>46</v>
      </c>
      <c r="D4770" s="2">
        <v>43070</v>
      </c>
      <c r="E4770" t="s">
        <v>25</v>
      </c>
      <c r="F4770">
        <v>125.6</v>
      </c>
      <c r="G4770" t="str">
        <f>VLOOKUP(Table1_2[[#This Row],[Categories]],Sheet3!$A$1:$B$27,2,FALSE)</f>
        <v>Recreation and amusement</v>
      </c>
    </row>
    <row r="4771" spans="1:7" x14ac:dyDescent="0.3">
      <c r="A4771" t="s">
        <v>33</v>
      </c>
      <c r="B4771">
        <v>2017</v>
      </c>
      <c r="C4771" t="s">
        <v>46</v>
      </c>
      <c r="D4771" s="2">
        <v>43070</v>
      </c>
      <c r="E4771" t="s">
        <v>26</v>
      </c>
      <c r="F4771">
        <v>136.69999999999999</v>
      </c>
      <c r="G4771" t="str">
        <f>VLOOKUP(Table1_2[[#This Row],[Categories]],Sheet3!$A$1:$B$27,2,FALSE)</f>
        <v>Education</v>
      </c>
    </row>
    <row r="4772" spans="1:7" x14ac:dyDescent="0.3">
      <c r="A4772" t="s">
        <v>33</v>
      </c>
      <c r="B4772">
        <v>2017</v>
      </c>
      <c r="C4772" t="s">
        <v>46</v>
      </c>
      <c r="D4772" s="2">
        <v>43070</v>
      </c>
      <c r="E4772" t="s">
        <v>27</v>
      </c>
      <c r="F4772">
        <v>124.6</v>
      </c>
      <c r="G4772" t="str">
        <f>VLOOKUP(Table1_2[[#This Row],[Categories]],Sheet3!$A$1:$B$27,2,FALSE)</f>
        <v>Household Items</v>
      </c>
    </row>
    <row r="4773" spans="1:7" x14ac:dyDescent="0.3">
      <c r="A4773" t="s">
        <v>33</v>
      </c>
      <c r="B4773">
        <v>2017</v>
      </c>
      <c r="C4773" t="s">
        <v>46</v>
      </c>
      <c r="D4773" s="2">
        <v>43070</v>
      </c>
      <c r="E4773" t="s">
        <v>28</v>
      </c>
      <c r="F4773">
        <v>125.1</v>
      </c>
      <c r="G4773" t="str">
        <f>VLOOKUP(Table1_2[[#This Row],[Categories]],Sheet3!$A$1:$B$27,2,FALSE)</f>
        <v>Miscellaneous</v>
      </c>
    </row>
    <row r="4774" spans="1:7" x14ac:dyDescent="0.3">
      <c r="A4774" t="s">
        <v>33</v>
      </c>
      <c r="B4774">
        <v>2017</v>
      </c>
      <c r="C4774" t="s">
        <v>46</v>
      </c>
      <c r="D4774" s="2">
        <v>43070</v>
      </c>
      <c r="E4774" t="s">
        <v>29</v>
      </c>
      <c r="F4774">
        <v>134.1</v>
      </c>
      <c r="G4774" t="str">
        <f>VLOOKUP(Table1_2[[#This Row],[Categories]],Sheet3!$A$1:$B$27,2,FALSE)</f>
        <v>General index</v>
      </c>
    </row>
    <row r="4775" spans="1:7" x14ac:dyDescent="0.3">
      <c r="A4775" t="s">
        <v>34</v>
      </c>
      <c r="B4775">
        <v>2017</v>
      </c>
      <c r="C4775" t="s">
        <v>46</v>
      </c>
      <c r="D4775" s="2">
        <v>43070</v>
      </c>
      <c r="E4775" t="s">
        <v>3</v>
      </c>
      <c r="F4775">
        <v>135.80000000000001</v>
      </c>
      <c r="G4775" t="str">
        <f>VLOOKUP(Table1_2[[#This Row],[Categories]],Sheet3!$A$1:$B$27,2,FALSE)</f>
        <v>Food &amp;Beverage</v>
      </c>
    </row>
    <row r="4776" spans="1:7" x14ac:dyDescent="0.3">
      <c r="A4776" t="s">
        <v>34</v>
      </c>
      <c r="B4776">
        <v>2017</v>
      </c>
      <c r="C4776" t="s">
        <v>46</v>
      </c>
      <c r="D4776" s="2">
        <v>43070</v>
      </c>
      <c r="E4776" t="s">
        <v>4</v>
      </c>
      <c r="F4776">
        <v>143.30000000000001</v>
      </c>
      <c r="G4776" t="str">
        <f>VLOOKUP(Table1_2[[#This Row],[Categories]],Sheet3!$A$1:$B$27,2,FALSE)</f>
        <v>Food &amp;Beverage</v>
      </c>
    </row>
    <row r="4777" spans="1:7" x14ac:dyDescent="0.3">
      <c r="A4777" t="s">
        <v>34</v>
      </c>
      <c r="B4777">
        <v>2017</v>
      </c>
      <c r="C4777" t="s">
        <v>46</v>
      </c>
      <c r="D4777" s="2">
        <v>43070</v>
      </c>
      <c r="E4777" t="s">
        <v>5</v>
      </c>
      <c r="F4777">
        <v>145.19999999999999</v>
      </c>
      <c r="G4777" t="str">
        <f>VLOOKUP(Table1_2[[#This Row],[Categories]],Sheet3!$A$1:$B$27,2,FALSE)</f>
        <v>Food &amp;Beverage</v>
      </c>
    </row>
    <row r="4778" spans="1:7" x14ac:dyDescent="0.3">
      <c r="A4778" t="s">
        <v>34</v>
      </c>
      <c r="B4778">
        <v>2017</v>
      </c>
      <c r="C4778" t="s">
        <v>46</v>
      </c>
      <c r="D4778" s="2">
        <v>43070</v>
      </c>
      <c r="E4778" t="s">
        <v>6</v>
      </c>
      <c r="F4778">
        <v>141</v>
      </c>
      <c r="G4778" t="str">
        <f>VLOOKUP(Table1_2[[#This Row],[Categories]],Sheet3!$A$1:$B$27,2,FALSE)</f>
        <v>Food &amp;Beverage</v>
      </c>
    </row>
    <row r="4779" spans="1:7" x14ac:dyDescent="0.3">
      <c r="A4779" t="s">
        <v>34</v>
      </c>
      <c r="B4779">
        <v>2017</v>
      </c>
      <c r="C4779" t="s">
        <v>46</v>
      </c>
      <c r="D4779" s="2">
        <v>43070</v>
      </c>
      <c r="E4779" t="s">
        <v>7</v>
      </c>
      <c r="F4779">
        <v>120.5</v>
      </c>
      <c r="G4779" t="str">
        <f>VLOOKUP(Table1_2[[#This Row],[Categories]],Sheet3!$A$1:$B$27,2,FALSE)</f>
        <v>Food &amp;Beverage</v>
      </c>
    </row>
    <row r="4780" spans="1:7" x14ac:dyDescent="0.3">
      <c r="A4780" t="s">
        <v>34</v>
      </c>
      <c r="B4780">
        <v>2017</v>
      </c>
      <c r="C4780" t="s">
        <v>46</v>
      </c>
      <c r="D4780" s="2">
        <v>43070</v>
      </c>
      <c r="E4780" t="s">
        <v>8</v>
      </c>
      <c r="F4780">
        <v>141.5</v>
      </c>
      <c r="G4780" t="str">
        <f>VLOOKUP(Table1_2[[#This Row],[Categories]],Sheet3!$A$1:$B$27,2,FALSE)</f>
        <v>Food &amp;Beverage</v>
      </c>
    </row>
    <row r="4781" spans="1:7" x14ac:dyDescent="0.3">
      <c r="A4781" t="s">
        <v>34</v>
      </c>
      <c r="B4781">
        <v>2017</v>
      </c>
      <c r="C4781" t="s">
        <v>46</v>
      </c>
      <c r="D4781" s="2">
        <v>43070</v>
      </c>
      <c r="E4781" t="s">
        <v>9</v>
      </c>
      <c r="F4781">
        <v>161.69999999999999</v>
      </c>
      <c r="G4781" t="str">
        <f>VLOOKUP(Table1_2[[#This Row],[Categories]],Sheet3!$A$1:$B$27,2,FALSE)</f>
        <v>Food &amp;Beverage</v>
      </c>
    </row>
    <row r="4782" spans="1:7" x14ac:dyDescent="0.3">
      <c r="A4782" t="s">
        <v>34</v>
      </c>
      <c r="B4782">
        <v>2017</v>
      </c>
      <c r="C4782" t="s">
        <v>46</v>
      </c>
      <c r="D4782" s="2">
        <v>43070</v>
      </c>
      <c r="E4782" t="s">
        <v>10</v>
      </c>
      <c r="F4782">
        <v>129.1</v>
      </c>
      <c r="G4782" t="str">
        <f>VLOOKUP(Table1_2[[#This Row],[Categories]],Sheet3!$A$1:$B$27,2,FALSE)</f>
        <v>Food &amp;Beverage</v>
      </c>
    </row>
    <row r="4783" spans="1:7" x14ac:dyDescent="0.3">
      <c r="A4783" t="s">
        <v>34</v>
      </c>
      <c r="B4783">
        <v>2017</v>
      </c>
      <c r="C4783" t="s">
        <v>46</v>
      </c>
      <c r="D4783" s="2">
        <v>43070</v>
      </c>
      <c r="E4783" t="s">
        <v>11</v>
      </c>
      <c r="F4783">
        <v>121.5</v>
      </c>
      <c r="G4783" t="str">
        <f>VLOOKUP(Table1_2[[#This Row],[Categories]],Sheet3!$A$1:$B$27,2,FALSE)</f>
        <v>Food &amp;Beverage</v>
      </c>
    </row>
    <row r="4784" spans="1:7" x14ac:dyDescent="0.3">
      <c r="A4784" t="s">
        <v>34</v>
      </c>
      <c r="B4784">
        <v>2017</v>
      </c>
      <c r="C4784" t="s">
        <v>46</v>
      </c>
      <c r="D4784" s="2">
        <v>43070</v>
      </c>
      <c r="E4784" t="s">
        <v>12</v>
      </c>
      <c r="F4784">
        <v>137.1</v>
      </c>
      <c r="G4784" t="str">
        <f>VLOOKUP(Table1_2[[#This Row],[Categories]],Sheet3!$A$1:$B$27,2,FALSE)</f>
        <v>Food &amp;Beverage</v>
      </c>
    </row>
    <row r="4785" spans="1:7" x14ac:dyDescent="0.3">
      <c r="A4785" t="s">
        <v>34</v>
      </c>
      <c r="B4785">
        <v>2017</v>
      </c>
      <c r="C4785" t="s">
        <v>46</v>
      </c>
      <c r="D4785" s="2">
        <v>43070</v>
      </c>
      <c r="E4785" t="s">
        <v>13</v>
      </c>
      <c r="F4785">
        <v>128.80000000000001</v>
      </c>
      <c r="G4785" t="str">
        <f>VLOOKUP(Table1_2[[#This Row],[Categories]],Sheet3!$A$1:$B$27,2,FALSE)</f>
        <v>Food &amp;Beverage</v>
      </c>
    </row>
    <row r="4786" spans="1:7" x14ac:dyDescent="0.3">
      <c r="A4786" t="s">
        <v>34</v>
      </c>
      <c r="B4786">
        <v>2017</v>
      </c>
      <c r="C4786" t="s">
        <v>46</v>
      </c>
      <c r="D4786" s="2">
        <v>43070</v>
      </c>
      <c r="E4786" t="s">
        <v>14</v>
      </c>
      <c r="F4786">
        <v>149</v>
      </c>
      <c r="G4786" t="str">
        <f>VLOOKUP(Table1_2[[#This Row],[Categories]],Sheet3!$A$1:$B$27,2,FALSE)</f>
        <v>Food &amp;Beverage</v>
      </c>
    </row>
    <row r="4787" spans="1:7" x14ac:dyDescent="0.3">
      <c r="A4787" t="s">
        <v>34</v>
      </c>
      <c r="B4787">
        <v>2017</v>
      </c>
      <c r="C4787" t="s">
        <v>46</v>
      </c>
      <c r="D4787" s="2">
        <v>43070</v>
      </c>
      <c r="E4787" t="s">
        <v>15</v>
      </c>
      <c r="F4787">
        <v>140.5</v>
      </c>
      <c r="G4787" t="str">
        <f>VLOOKUP(Table1_2[[#This Row],[Categories]],Sheet3!$A$1:$B$27,2,FALSE)</f>
        <v>Food &amp;Beverage</v>
      </c>
    </row>
    <row r="4788" spans="1:7" x14ac:dyDescent="0.3">
      <c r="A4788" t="s">
        <v>34</v>
      </c>
      <c r="B4788">
        <v>2017</v>
      </c>
      <c r="C4788" t="s">
        <v>46</v>
      </c>
      <c r="D4788" s="2">
        <v>43070</v>
      </c>
      <c r="E4788" t="s">
        <v>16</v>
      </c>
      <c r="F4788">
        <v>154.19999999999999</v>
      </c>
      <c r="G4788" t="str">
        <f>VLOOKUP(Table1_2[[#This Row],[Categories]],Sheet3!$A$1:$B$27,2,FALSE)</f>
        <v>Recreation and amusement</v>
      </c>
    </row>
    <row r="4789" spans="1:7" x14ac:dyDescent="0.3">
      <c r="A4789" t="s">
        <v>34</v>
      </c>
      <c r="B4789">
        <v>2017</v>
      </c>
      <c r="C4789" t="s">
        <v>46</v>
      </c>
      <c r="D4789" s="2">
        <v>43070</v>
      </c>
      <c r="E4789" t="s">
        <v>17</v>
      </c>
      <c r="F4789">
        <v>143.1</v>
      </c>
      <c r="G4789" t="str">
        <f>VLOOKUP(Table1_2[[#This Row],[Categories]],Sheet3!$A$1:$B$27,2,FALSE)</f>
        <v>Clothing and footwear</v>
      </c>
    </row>
    <row r="4790" spans="1:7" x14ac:dyDescent="0.3">
      <c r="A4790" t="s">
        <v>34</v>
      </c>
      <c r="B4790">
        <v>2017</v>
      </c>
      <c r="C4790" t="s">
        <v>46</v>
      </c>
      <c r="D4790" s="2">
        <v>43070</v>
      </c>
      <c r="E4790" t="s">
        <v>18</v>
      </c>
      <c r="F4790">
        <v>135.1</v>
      </c>
      <c r="G4790" t="str">
        <f>VLOOKUP(Table1_2[[#This Row],[Categories]],Sheet3!$A$1:$B$27,2,FALSE)</f>
        <v>Clothing and footwear</v>
      </c>
    </row>
    <row r="4791" spans="1:7" x14ac:dyDescent="0.3">
      <c r="A4791" t="s">
        <v>34</v>
      </c>
      <c r="B4791">
        <v>2017</v>
      </c>
      <c r="C4791" t="s">
        <v>46</v>
      </c>
      <c r="D4791" s="2">
        <v>43070</v>
      </c>
      <c r="E4791" t="s">
        <v>19</v>
      </c>
      <c r="F4791">
        <v>142</v>
      </c>
      <c r="G4791" t="str">
        <f>VLOOKUP(Table1_2[[#This Row],[Categories]],Sheet3!$A$1:$B$27,2,FALSE)</f>
        <v>Clothing and footwear</v>
      </c>
    </row>
    <row r="4792" spans="1:7" x14ac:dyDescent="0.3">
      <c r="A4792" t="s">
        <v>34</v>
      </c>
      <c r="B4792">
        <v>2017</v>
      </c>
      <c r="C4792" t="s">
        <v>46</v>
      </c>
      <c r="D4792" s="2">
        <v>43070</v>
      </c>
      <c r="E4792" t="s">
        <v>20</v>
      </c>
      <c r="F4792">
        <v>139.1</v>
      </c>
      <c r="G4792" t="str">
        <f>VLOOKUP(Table1_2[[#This Row],[Categories]],Sheet3!$A$1:$B$27,2,FALSE)</f>
        <v>Housing</v>
      </c>
    </row>
    <row r="4793" spans="1:7" x14ac:dyDescent="0.3">
      <c r="A4793" t="s">
        <v>34</v>
      </c>
      <c r="B4793">
        <v>2017</v>
      </c>
      <c r="C4793" t="s">
        <v>46</v>
      </c>
      <c r="D4793" s="2">
        <v>43070</v>
      </c>
      <c r="E4793" t="s">
        <v>21</v>
      </c>
      <c r="F4793">
        <v>136.6</v>
      </c>
      <c r="G4793" t="str">
        <f>VLOOKUP(Table1_2[[#This Row],[Categories]],Sheet3!$A$1:$B$27,2,FALSE)</f>
        <v>Fuel and light</v>
      </c>
    </row>
    <row r="4794" spans="1:7" x14ac:dyDescent="0.3">
      <c r="A4794" t="s">
        <v>34</v>
      </c>
      <c r="B4794">
        <v>2017</v>
      </c>
      <c r="C4794" t="s">
        <v>46</v>
      </c>
      <c r="D4794" s="2">
        <v>43070</v>
      </c>
      <c r="E4794" t="s">
        <v>22</v>
      </c>
      <c r="F4794">
        <v>134.69999999999999</v>
      </c>
      <c r="G4794" t="str">
        <f>VLOOKUP(Table1_2[[#This Row],[Categories]],Sheet3!$A$1:$B$27,2,FALSE)</f>
        <v>Household Items</v>
      </c>
    </row>
    <row r="4795" spans="1:7" x14ac:dyDescent="0.3">
      <c r="A4795" t="s">
        <v>34</v>
      </c>
      <c r="B4795">
        <v>2017</v>
      </c>
      <c r="C4795" t="s">
        <v>46</v>
      </c>
      <c r="D4795" s="2">
        <v>43070</v>
      </c>
      <c r="E4795" t="s">
        <v>23</v>
      </c>
      <c r="F4795">
        <v>133.1</v>
      </c>
      <c r="G4795" t="str">
        <f>VLOOKUP(Table1_2[[#This Row],[Categories]],Sheet3!$A$1:$B$27,2,FALSE)</f>
        <v>Health</v>
      </c>
    </row>
    <row r="4796" spans="1:7" x14ac:dyDescent="0.3">
      <c r="A4796" t="s">
        <v>34</v>
      </c>
      <c r="B4796">
        <v>2017</v>
      </c>
      <c r="C4796" t="s">
        <v>46</v>
      </c>
      <c r="D4796" s="2">
        <v>43070</v>
      </c>
      <c r="E4796" t="s">
        <v>24</v>
      </c>
      <c r="F4796">
        <v>118.5</v>
      </c>
      <c r="G4796" t="str">
        <f>VLOOKUP(Table1_2[[#This Row],[Categories]],Sheet3!$A$1:$B$27,2,FALSE)</f>
        <v>Transport and communication</v>
      </c>
    </row>
    <row r="4797" spans="1:7" x14ac:dyDescent="0.3">
      <c r="A4797" t="s">
        <v>34</v>
      </c>
      <c r="B4797">
        <v>2017</v>
      </c>
      <c r="C4797" t="s">
        <v>46</v>
      </c>
      <c r="D4797" s="2">
        <v>43070</v>
      </c>
      <c r="E4797" t="s">
        <v>25</v>
      </c>
      <c r="F4797">
        <v>129</v>
      </c>
      <c r="G4797" t="str">
        <f>VLOOKUP(Table1_2[[#This Row],[Categories]],Sheet3!$A$1:$B$27,2,FALSE)</f>
        <v>Recreation and amusement</v>
      </c>
    </row>
    <row r="4798" spans="1:7" x14ac:dyDescent="0.3">
      <c r="A4798" t="s">
        <v>34</v>
      </c>
      <c r="B4798">
        <v>2017</v>
      </c>
      <c r="C4798" t="s">
        <v>46</v>
      </c>
      <c r="D4798" s="2">
        <v>43070</v>
      </c>
      <c r="E4798" t="s">
        <v>26</v>
      </c>
      <c r="F4798">
        <v>138.5</v>
      </c>
      <c r="G4798" t="str">
        <f>VLOOKUP(Table1_2[[#This Row],[Categories]],Sheet3!$A$1:$B$27,2,FALSE)</f>
        <v>Education</v>
      </c>
    </row>
    <row r="4799" spans="1:7" x14ac:dyDescent="0.3">
      <c r="A4799" t="s">
        <v>34</v>
      </c>
      <c r="B4799">
        <v>2017</v>
      </c>
      <c r="C4799" t="s">
        <v>46</v>
      </c>
      <c r="D4799" s="2">
        <v>43070</v>
      </c>
      <c r="E4799" t="s">
        <v>27</v>
      </c>
      <c r="F4799">
        <v>126.5</v>
      </c>
      <c r="G4799" t="str">
        <f>VLOOKUP(Table1_2[[#This Row],[Categories]],Sheet3!$A$1:$B$27,2,FALSE)</f>
        <v>Household Items</v>
      </c>
    </row>
    <row r="4800" spans="1:7" x14ac:dyDescent="0.3">
      <c r="A4800" t="s">
        <v>34</v>
      </c>
      <c r="B4800">
        <v>2017</v>
      </c>
      <c r="C4800" t="s">
        <v>46</v>
      </c>
      <c r="D4800" s="2">
        <v>43070</v>
      </c>
      <c r="E4800" t="s">
        <v>28</v>
      </c>
      <c r="F4800">
        <v>128.6</v>
      </c>
      <c r="G4800" t="str">
        <f>VLOOKUP(Table1_2[[#This Row],[Categories]],Sheet3!$A$1:$B$27,2,FALSE)</f>
        <v>Miscellaneous</v>
      </c>
    </row>
    <row r="4801" spans="1:7" x14ac:dyDescent="0.3">
      <c r="A4801" t="s">
        <v>34</v>
      </c>
      <c r="B4801">
        <v>2017</v>
      </c>
      <c r="C4801" t="s">
        <v>46</v>
      </c>
      <c r="D4801" s="2">
        <v>43070</v>
      </c>
      <c r="E4801" t="s">
        <v>29</v>
      </c>
      <c r="F4801">
        <v>137.19999999999999</v>
      </c>
      <c r="G4801" t="str">
        <f>VLOOKUP(Table1_2[[#This Row],[Categories]],Sheet3!$A$1:$B$27,2,FALSE)</f>
        <v>General index</v>
      </c>
    </row>
    <row r="4802" spans="1:7" x14ac:dyDescent="0.3">
      <c r="A4802" t="s">
        <v>30</v>
      </c>
      <c r="B4802">
        <v>2018</v>
      </c>
      <c r="C4802" t="s">
        <v>31</v>
      </c>
      <c r="D4802" s="2">
        <v>43101</v>
      </c>
      <c r="E4802" t="s">
        <v>3</v>
      </c>
      <c r="F4802">
        <v>136.6</v>
      </c>
      <c r="G4802" t="str">
        <f>VLOOKUP(Table1_2[[#This Row],[Categories]],Sheet3!$A$1:$B$27,2,FALSE)</f>
        <v>Food &amp;Beverage</v>
      </c>
    </row>
    <row r="4803" spans="1:7" x14ac:dyDescent="0.3">
      <c r="A4803" t="s">
        <v>30</v>
      </c>
      <c r="B4803">
        <v>2018</v>
      </c>
      <c r="C4803" t="s">
        <v>31</v>
      </c>
      <c r="D4803" s="2">
        <v>43101</v>
      </c>
      <c r="E4803" t="s">
        <v>4</v>
      </c>
      <c r="F4803">
        <v>144.4</v>
      </c>
      <c r="G4803" t="str">
        <f>VLOOKUP(Table1_2[[#This Row],[Categories]],Sheet3!$A$1:$B$27,2,FALSE)</f>
        <v>Food &amp;Beverage</v>
      </c>
    </row>
    <row r="4804" spans="1:7" x14ac:dyDescent="0.3">
      <c r="A4804" t="s">
        <v>30</v>
      </c>
      <c r="B4804">
        <v>2018</v>
      </c>
      <c r="C4804" t="s">
        <v>31</v>
      </c>
      <c r="D4804" s="2">
        <v>43101</v>
      </c>
      <c r="E4804" t="s">
        <v>5</v>
      </c>
      <c r="F4804">
        <v>143.80000000000001</v>
      </c>
      <c r="G4804" t="str">
        <f>VLOOKUP(Table1_2[[#This Row],[Categories]],Sheet3!$A$1:$B$27,2,FALSE)</f>
        <v>Food &amp;Beverage</v>
      </c>
    </row>
    <row r="4805" spans="1:7" x14ac:dyDescent="0.3">
      <c r="A4805" t="s">
        <v>30</v>
      </c>
      <c r="B4805">
        <v>2018</v>
      </c>
      <c r="C4805" t="s">
        <v>31</v>
      </c>
      <c r="D4805" s="2">
        <v>43101</v>
      </c>
      <c r="E4805" t="s">
        <v>6</v>
      </c>
      <c r="F4805">
        <v>142</v>
      </c>
      <c r="G4805" t="str">
        <f>VLOOKUP(Table1_2[[#This Row],[Categories]],Sheet3!$A$1:$B$27,2,FALSE)</f>
        <v>Food &amp;Beverage</v>
      </c>
    </row>
    <row r="4806" spans="1:7" x14ac:dyDescent="0.3">
      <c r="A4806" t="s">
        <v>30</v>
      </c>
      <c r="B4806">
        <v>2018</v>
      </c>
      <c r="C4806" t="s">
        <v>31</v>
      </c>
      <c r="D4806" s="2">
        <v>43101</v>
      </c>
      <c r="E4806" t="s">
        <v>7</v>
      </c>
      <c r="F4806">
        <v>123.2</v>
      </c>
      <c r="G4806" t="str">
        <f>VLOOKUP(Table1_2[[#This Row],[Categories]],Sheet3!$A$1:$B$27,2,FALSE)</f>
        <v>Food &amp;Beverage</v>
      </c>
    </row>
    <row r="4807" spans="1:7" x14ac:dyDescent="0.3">
      <c r="A4807" t="s">
        <v>30</v>
      </c>
      <c r="B4807">
        <v>2018</v>
      </c>
      <c r="C4807" t="s">
        <v>31</v>
      </c>
      <c r="D4807" s="2">
        <v>43101</v>
      </c>
      <c r="E4807" t="s">
        <v>8</v>
      </c>
      <c r="F4807">
        <v>147.9</v>
      </c>
      <c r="G4807" t="str">
        <f>VLOOKUP(Table1_2[[#This Row],[Categories]],Sheet3!$A$1:$B$27,2,FALSE)</f>
        <v>Food &amp;Beverage</v>
      </c>
    </row>
    <row r="4808" spans="1:7" x14ac:dyDescent="0.3">
      <c r="A4808" t="s">
        <v>30</v>
      </c>
      <c r="B4808">
        <v>2018</v>
      </c>
      <c r="C4808" t="s">
        <v>31</v>
      </c>
      <c r="D4808" s="2">
        <v>43101</v>
      </c>
      <c r="E4808" t="s">
        <v>9</v>
      </c>
      <c r="F4808">
        <v>152.1</v>
      </c>
      <c r="G4808" t="str">
        <f>VLOOKUP(Table1_2[[#This Row],[Categories]],Sheet3!$A$1:$B$27,2,FALSE)</f>
        <v>Food &amp;Beverage</v>
      </c>
    </row>
    <row r="4809" spans="1:7" x14ac:dyDescent="0.3">
      <c r="A4809" t="s">
        <v>30</v>
      </c>
      <c r="B4809">
        <v>2018</v>
      </c>
      <c r="C4809" t="s">
        <v>31</v>
      </c>
      <c r="D4809" s="2">
        <v>43101</v>
      </c>
      <c r="E4809" t="s">
        <v>10</v>
      </c>
      <c r="F4809">
        <v>131.80000000000001</v>
      </c>
      <c r="G4809" t="str">
        <f>VLOOKUP(Table1_2[[#This Row],[Categories]],Sheet3!$A$1:$B$27,2,FALSE)</f>
        <v>Food &amp;Beverage</v>
      </c>
    </row>
    <row r="4810" spans="1:7" x14ac:dyDescent="0.3">
      <c r="A4810" t="s">
        <v>30</v>
      </c>
      <c r="B4810">
        <v>2018</v>
      </c>
      <c r="C4810" t="s">
        <v>31</v>
      </c>
      <c r="D4810" s="2">
        <v>43101</v>
      </c>
      <c r="E4810" t="s">
        <v>11</v>
      </c>
      <c r="F4810">
        <v>119.5</v>
      </c>
      <c r="G4810" t="str">
        <f>VLOOKUP(Table1_2[[#This Row],[Categories]],Sheet3!$A$1:$B$27,2,FALSE)</f>
        <v>Food &amp;Beverage</v>
      </c>
    </row>
    <row r="4811" spans="1:7" x14ac:dyDescent="0.3">
      <c r="A4811" t="s">
        <v>30</v>
      </c>
      <c r="B4811">
        <v>2018</v>
      </c>
      <c r="C4811" t="s">
        <v>31</v>
      </c>
      <c r="D4811" s="2">
        <v>43101</v>
      </c>
      <c r="E4811" t="s">
        <v>12</v>
      </c>
      <c r="F4811">
        <v>136</v>
      </c>
      <c r="G4811" t="str">
        <f>VLOOKUP(Table1_2[[#This Row],[Categories]],Sheet3!$A$1:$B$27,2,FALSE)</f>
        <v>Food &amp;Beverage</v>
      </c>
    </row>
    <row r="4812" spans="1:7" x14ac:dyDescent="0.3">
      <c r="A4812" t="s">
        <v>30</v>
      </c>
      <c r="B4812">
        <v>2018</v>
      </c>
      <c r="C4812" t="s">
        <v>31</v>
      </c>
      <c r="D4812" s="2">
        <v>43101</v>
      </c>
      <c r="E4812" t="s">
        <v>13</v>
      </c>
      <c r="F4812">
        <v>131.19999999999999</v>
      </c>
      <c r="G4812" t="str">
        <f>VLOOKUP(Table1_2[[#This Row],[Categories]],Sheet3!$A$1:$B$27,2,FALSE)</f>
        <v>Food &amp;Beverage</v>
      </c>
    </row>
    <row r="4813" spans="1:7" x14ac:dyDescent="0.3">
      <c r="A4813" t="s">
        <v>30</v>
      </c>
      <c r="B4813">
        <v>2018</v>
      </c>
      <c r="C4813" t="s">
        <v>31</v>
      </c>
      <c r="D4813" s="2">
        <v>43101</v>
      </c>
      <c r="E4813" t="s">
        <v>14</v>
      </c>
      <c r="F4813">
        <v>151.80000000000001</v>
      </c>
      <c r="G4813" t="str">
        <f>VLOOKUP(Table1_2[[#This Row],[Categories]],Sheet3!$A$1:$B$27,2,FALSE)</f>
        <v>Food &amp;Beverage</v>
      </c>
    </row>
    <row r="4814" spans="1:7" x14ac:dyDescent="0.3">
      <c r="A4814" t="s">
        <v>30</v>
      </c>
      <c r="B4814">
        <v>2018</v>
      </c>
      <c r="C4814" t="s">
        <v>31</v>
      </c>
      <c r="D4814" s="2">
        <v>43101</v>
      </c>
      <c r="E4814" t="s">
        <v>15</v>
      </c>
      <c r="F4814">
        <v>140.4</v>
      </c>
      <c r="G4814" t="str">
        <f>VLOOKUP(Table1_2[[#This Row],[Categories]],Sheet3!$A$1:$B$27,2,FALSE)</f>
        <v>Food &amp;Beverage</v>
      </c>
    </row>
    <row r="4815" spans="1:7" x14ac:dyDescent="0.3">
      <c r="A4815" t="s">
        <v>30</v>
      </c>
      <c r="B4815">
        <v>2018</v>
      </c>
      <c r="C4815" t="s">
        <v>31</v>
      </c>
      <c r="D4815" s="2">
        <v>43101</v>
      </c>
      <c r="E4815" t="s">
        <v>16</v>
      </c>
      <c r="F4815">
        <v>153.6</v>
      </c>
      <c r="G4815" t="str">
        <f>VLOOKUP(Table1_2[[#This Row],[Categories]],Sheet3!$A$1:$B$27,2,FALSE)</f>
        <v>Recreation and amusement</v>
      </c>
    </row>
    <row r="4816" spans="1:7" x14ac:dyDescent="0.3">
      <c r="A4816" t="s">
        <v>30</v>
      </c>
      <c r="B4816">
        <v>2018</v>
      </c>
      <c r="C4816" t="s">
        <v>31</v>
      </c>
      <c r="D4816" s="2">
        <v>43101</v>
      </c>
      <c r="E4816" t="s">
        <v>17</v>
      </c>
      <c r="F4816">
        <v>148.30000000000001</v>
      </c>
      <c r="G4816" t="str">
        <f>VLOOKUP(Table1_2[[#This Row],[Categories]],Sheet3!$A$1:$B$27,2,FALSE)</f>
        <v>Clothing and footwear</v>
      </c>
    </row>
    <row r="4817" spans="1:7" x14ac:dyDescent="0.3">
      <c r="A4817" t="s">
        <v>30</v>
      </c>
      <c r="B4817">
        <v>2018</v>
      </c>
      <c r="C4817" t="s">
        <v>31</v>
      </c>
      <c r="D4817" s="2">
        <v>43101</v>
      </c>
      <c r="E4817" t="s">
        <v>18</v>
      </c>
      <c r="F4817">
        <v>142.30000000000001</v>
      </c>
      <c r="G4817" t="str">
        <f>VLOOKUP(Table1_2[[#This Row],[Categories]],Sheet3!$A$1:$B$27,2,FALSE)</f>
        <v>Clothing and footwear</v>
      </c>
    </row>
    <row r="4818" spans="1:7" x14ac:dyDescent="0.3">
      <c r="A4818" t="s">
        <v>30</v>
      </c>
      <c r="B4818">
        <v>2018</v>
      </c>
      <c r="C4818" t="s">
        <v>31</v>
      </c>
      <c r="D4818" s="2">
        <v>43101</v>
      </c>
      <c r="E4818" t="s">
        <v>19</v>
      </c>
      <c r="F4818">
        <v>147.5</v>
      </c>
      <c r="G4818" t="str">
        <f>VLOOKUP(Table1_2[[#This Row],[Categories]],Sheet3!$A$1:$B$27,2,FALSE)</f>
        <v>Clothing and footwear</v>
      </c>
    </row>
    <row r="4819" spans="1:7" x14ac:dyDescent="0.3">
      <c r="A4819" t="s">
        <v>30</v>
      </c>
      <c r="B4819">
        <v>2018</v>
      </c>
      <c r="C4819" t="s">
        <v>31</v>
      </c>
      <c r="D4819" s="2">
        <v>43101</v>
      </c>
      <c r="E4819" t="s">
        <v>21</v>
      </c>
      <c r="F4819">
        <v>142.30000000000001</v>
      </c>
      <c r="G4819" t="str">
        <f>VLOOKUP(Table1_2[[#This Row],[Categories]],Sheet3!$A$1:$B$27,2,FALSE)</f>
        <v>Fuel and light</v>
      </c>
    </row>
    <row r="4820" spans="1:7" x14ac:dyDescent="0.3">
      <c r="A4820" t="s">
        <v>30</v>
      </c>
      <c r="B4820">
        <v>2018</v>
      </c>
      <c r="C4820" t="s">
        <v>31</v>
      </c>
      <c r="D4820" s="2">
        <v>43101</v>
      </c>
      <c r="E4820" t="s">
        <v>22</v>
      </c>
      <c r="F4820">
        <v>139.80000000000001</v>
      </c>
      <c r="G4820" t="str">
        <f>VLOOKUP(Table1_2[[#This Row],[Categories]],Sheet3!$A$1:$B$27,2,FALSE)</f>
        <v>Household Items</v>
      </c>
    </row>
    <row r="4821" spans="1:7" x14ac:dyDescent="0.3">
      <c r="A4821" t="s">
        <v>30</v>
      </c>
      <c r="B4821">
        <v>2018</v>
      </c>
      <c r="C4821" t="s">
        <v>31</v>
      </c>
      <c r="D4821" s="2">
        <v>43101</v>
      </c>
      <c r="E4821" t="s">
        <v>23</v>
      </c>
      <c r="F4821">
        <v>136</v>
      </c>
      <c r="G4821" t="str">
        <f>VLOOKUP(Table1_2[[#This Row],[Categories]],Sheet3!$A$1:$B$27,2,FALSE)</f>
        <v>Health</v>
      </c>
    </row>
    <row r="4822" spans="1:7" x14ac:dyDescent="0.3">
      <c r="A4822" t="s">
        <v>30</v>
      </c>
      <c r="B4822">
        <v>2018</v>
      </c>
      <c r="C4822" t="s">
        <v>31</v>
      </c>
      <c r="D4822" s="2">
        <v>43101</v>
      </c>
      <c r="E4822" t="s">
        <v>24</v>
      </c>
      <c r="F4822">
        <v>122.7</v>
      </c>
      <c r="G4822" t="str">
        <f>VLOOKUP(Table1_2[[#This Row],[Categories]],Sheet3!$A$1:$B$27,2,FALSE)</f>
        <v>Transport and communication</v>
      </c>
    </row>
    <row r="4823" spans="1:7" x14ac:dyDescent="0.3">
      <c r="A4823" t="s">
        <v>30</v>
      </c>
      <c r="B4823">
        <v>2018</v>
      </c>
      <c r="C4823" t="s">
        <v>31</v>
      </c>
      <c r="D4823" s="2">
        <v>43101</v>
      </c>
      <c r="E4823" t="s">
        <v>25</v>
      </c>
      <c r="F4823">
        <v>134.30000000000001</v>
      </c>
      <c r="G4823" t="str">
        <f>VLOOKUP(Table1_2[[#This Row],[Categories]],Sheet3!$A$1:$B$27,2,FALSE)</f>
        <v>Recreation and amusement</v>
      </c>
    </row>
    <row r="4824" spans="1:7" x14ac:dyDescent="0.3">
      <c r="A4824" t="s">
        <v>30</v>
      </c>
      <c r="B4824">
        <v>2018</v>
      </c>
      <c r="C4824" t="s">
        <v>31</v>
      </c>
      <c r="D4824" s="2">
        <v>43101</v>
      </c>
      <c r="E4824" t="s">
        <v>26</v>
      </c>
      <c r="F4824">
        <v>141.6</v>
      </c>
      <c r="G4824" t="str">
        <f>VLOOKUP(Table1_2[[#This Row],[Categories]],Sheet3!$A$1:$B$27,2,FALSE)</f>
        <v>Education</v>
      </c>
    </row>
    <row r="4825" spans="1:7" x14ac:dyDescent="0.3">
      <c r="A4825" t="s">
        <v>30</v>
      </c>
      <c r="B4825">
        <v>2018</v>
      </c>
      <c r="C4825" t="s">
        <v>31</v>
      </c>
      <c r="D4825" s="2">
        <v>43101</v>
      </c>
      <c r="E4825" t="s">
        <v>27</v>
      </c>
      <c r="F4825">
        <v>128.6</v>
      </c>
      <c r="G4825" t="str">
        <f>VLOOKUP(Table1_2[[#This Row],[Categories]],Sheet3!$A$1:$B$27,2,FALSE)</f>
        <v>Household Items</v>
      </c>
    </row>
    <row r="4826" spans="1:7" x14ac:dyDescent="0.3">
      <c r="A4826" t="s">
        <v>30</v>
      </c>
      <c r="B4826">
        <v>2018</v>
      </c>
      <c r="C4826" t="s">
        <v>31</v>
      </c>
      <c r="D4826" s="2">
        <v>43101</v>
      </c>
      <c r="E4826" t="s">
        <v>28</v>
      </c>
      <c r="F4826">
        <v>132.30000000000001</v>
      </c>
      <c r="G4826" t="str">
        <f>VLOOKUP(Table1_2[[#This Row],[Categories]],Sheet3!$A$1:$B$27,2,FALSE)</f>
        <v>Miscellaneous</v>
      </c>
    </row>
    <row r="4827" spans="1:7" x14ac:dyDescent="0.3">
      <c r="A4827" t="s">
        <v>30</v>
      </c>
      <c r="B4827">
        <v>2018</v>
      </c>
      <c r="C4827" t="s">
        <v>31</v>
      </c>
      <c r="D4827" s="2">
        <v>43101</v>
      </c>
      <c r="E4827" t="s">
        <v>29</v>
      </c>
      <c r="F4827">
        <v>139.30000000000001</v>
      </c>
      <c r="G4827" t="str">
        <f>VLOOKUP(Table1_2[[#This Row],[Categories]],Sheet3!$A$1:$B$27,2,FALSE)</f>
        <v>General index</v>
      </c>
    </row>
    <row r="4828" spans="1:7" x14ac:dyDescent="0.3">
      <c r="A4828" t="s">
        <v>33</v>
      </c>
      <c r="B4828">
        <v>2018</v>
      </c>
      <c r="C4828" t="s">
        <v>31</v>
      </c>
      <c r="D4828" s="2">
        <v>43101</v>
      </c>
      <c r="E4828" t="s">
        <v>3</v>
      </c>
      <c r="F4828">
        <v>134.6</v>
      </c>
      <c r="G4828" t="str">
        <f>VLOOKUP(Table1_2[[#This Row],[Categories]],Sheet3!$A$1:$B$27,2,FALSE)</f>
        <v>Food &amp;Beverage</v>
      </c>
    </row>
    <row r="4829" spans="1:7" x14ac:dyDescent="0.3">
      <c r="A4829" t="s">
        <v>33</v>
      </c>
      <c r="B4829">
        <v>2018</v>
      </c>
      <c r="C4829" t="s">
        <v>31</v>
      </c>
      <c r="D4829" s="2">
        <v>43101</v>
      </c>
      <c r="E4829" t="s">
        <v>4</v>
      </c>
      <c r="F4829">
        <v>143.69999999999999</v>
      </c>
      <c r="G4829" t="str">
        <f>VLOOKUP(Table1_2[[#This Row],[Categories]],Sheet3!$A$1:$B$27,2,FALSE)</f>
        <v>Food &amp;Beverage</v>
      </c>
    </row>
    <row r="4830" spans="1:7" x14ac:dyDescent="0.3">
      <c r="A4830" t="s">
        <v>33</v>
      </c>
      <c r="B4830">
        <v>2018</v>
      </c>
      <c r="C4830" t="s">
        <v>31</v>
      </c>
      <c r="D4830" s="2">
        <v>43101</v>
      </c>
      <c r="E4830" t="s">
        <v>5</v>
      </c>
      <c r="F4830">
        <v>143.6</v>
      </c>
      <c r="G4830" t="str">
        <f>VLOOKUP(Table1_2[[#This Row],[Categories]],Sheet3!$A$1:$B$27,2,FALSE)</f>
        <v>Food &amp;Beverage</v>
      </c>
    </row>
    <row r="4831" spans="1:7" x14ac:dyDescent="0.3">
      <c r="A4831" t="s">
        <v>33</v>
      </c>
      <c r="B4831">
        <v>2018</v>
      </c>
      <c r="C4831" t="s">
        <v>31</v>
      </c>
      <c r="D4831" s="2">
        <v>43101</v>
      </c>
      <c r="E4831" t="s">
        <v>6</v>
      </c>
      <c r="F4831">
        <v>139.6</v>
      </c>
      <c r="G4831" t="str">
        <f>VLOOKUP(Table1_2[[#This Row],[Categories]],Sheet3!$A$1:$B$27,2,FALSE)</f>
        <v>Food &amp;Beverage</v>
      </c>
    </row>
    <row r="4832" spans="1:7" x14ac:dyDescent="0.3">
      <c r="A4832" t="s">
        <v>33</v>
      </c>
      <c r="B4832">
        <v>2018</v>
      </c>
      <c r="C4832" t="s">
        <v>31</v>
      </c>
      <c r="D4832" s="2">
        <v>43101</v>
      </c>
      <c r="E4832" t="s">
        <v>7</v>
      </c>
      <c r="F4832">
        <v>116.4</v>
      </c>
      <c r="G4832" t="str">
        <f>VLOOKUP(Table1_2[[#This Row],[Categories]],Sheet3!$A$1:$B$27,2,FALSE)</f>
        <v>Food &amp;Beverage</v>
      </c>
    </row>
    <row r="4833" spans="1:7" x14ac:dyDescent="0.3">
      <c r="A4833" t="s">
        <v>33</v>
      </c>
      <c r="B4833">
        <v>2018</v>
      </c>
      <c r="C4833" t="s">
        <v>31</v>
      </c>
      <c r="D4833" s="2">
        <v>43101</v>
      </c>
      <c r="E4833" t="s">
        <v>8</v>
      </c>
      <c r="F4833">
        <v>133.80000000000001</v>
      </c>
      <c r="G4833" t="str">
        <f>VLOOKUP(Table1_2[[#This Row],[Categories]],Sheet3!$A$1:$B$27,2,FALSE)</f>
        <v>Food &amp;Beverage</v>
      </c>
    </row>
    <row r="4834" spans="1:7" x14ac:dyDescent="0.3">
      <c r="A4834" t="s">
        <v>33</v>
      </c>
      <c r="B4834">
        <v>2018</v>
      </c>
      <c r="C4834" t="s">
        <v>31</v>
      </c>
      <c r="D4834" s="2">
        <v>43101</v>
      </c>
      <c r="E4834" t="s">
        <v>9</v>
      </c>
      <c r="F4834">
        <v>150.5</v>
      </c>
      <c r="G4834" t="str">
        <f>VLOOKUP(Table1_2[[#This Row],[Categories]],Sheet3!$A$1:$B$27,2,FALSE)</f>
        <v>Food &amp;Beverage</v>
      </c>
    </row>
    <row r="4835" spans="1:7" x14ac:dyDescent="0.3">
      <c r="A4835" t="s">
        <v>33</v>
      </c>
      <c r="B4835">
        <v>2018</v>
      </c>
      <c r="C4835" t="s">
        <v>31</v>
      </c>
      <c r="D4835" s="2">
        <v>43101</v>
      </c>
      <c r="E4835" t="s">
        <v>10</v>
      </c>
      <c r="F4835">
        <v>118.4</v>
      </c>
      <c r="G4835" t="str">
        <f>VLOOKUP(Table1_2[[#This Row],[Categories]],Sheet3!$A$1:$B$27,2,FALSE)</f>
        <v>Food &amp;Beverage</v>
      </c>
    </row>
    <row r="4836" spans="1:7" x14ac:dyDescent="0.3">
      <c r="A4836" t="s">
        <v>33</v>
      </c>
      <c r="B4836">
        <v>2018</v>
      </c>
      <c r="C4836" t="s">
        <v>31</v>
      </c>
      <c r="D4836" s="2">
        <v>43101</v>
      </c>
      <c r="E4836" t="s">
        <v>11</v>
      </c>
      <c r="F4836">
        <v>117.3</v>
      </c>
      <c r="G4836" t="str">
        <f>VLOOKUP(Table1_2[[#This Row],[Categories]],Sheet3!$A$1:$B$27,2,FALSE)</f>
        <v>Food &amp;Beverage</v>
      </c>
    </row>
    <row r="4837" spans="1:7" x14ac:dyDescent="0.3">
      <c r="A4837" t="s">
        <v>33</v>
      </c>
      <c r="B4837">
        <v>2018</v>
      </c>
      <c r="C4837" t="s">
        <v>31</v>
      </c>
      <c r="D4837" s="2">
        <v>43101</v>
      </c>
      <c r="E4837" t="s">
        <v>12</v>
      </c>
      <c r="F4837">
        <v>140.5</v>
      </c>
      <c r="G4837" t="str">
        <f>VLOOKUP(Table1_2[[#This Row],[Categories]],Sheet3!$A$1:$B$27,2,FALSE)</f>
        <v>Food &amp;Beverage</v>
      </c>
    </row>
    <row r="4838" spans="1:7" x14ac:dyDescent="0.3">
      <c r="A4838" t="s">
        <v>33</v>
      </c>
      <c r="B4838">
        <v>2018</v>
      </c>
      <c r="C4838" t="s">
        <v>31</v>
      </c>
      <c r="D4838" s="2">
        <v>43101</v>
      </c>
      <c r="E4838" t="s">
        <v>13</v>
      </c>
      <c r="F4838">
        <v>125.9</v>
      </c>
      <c r="G4838" t="str">
        <f>VLOOKUP(Table1_2[[#This Row],[Categories]],Sheet3!$A$1:$B$27,2,FALSE)</f>
        <v>Food &amp;Beverage</v>
      </c>
    </row>
    <row r="4839" spans="1:7" x14ac:dyDescent="0.3">
      <c r="A4839" t="s">
        <v>33</v>
      </c>
      <c r="B4839">
        <v>2018</v>
      </c>
      <c r="C4839" t="s">
        <v>31</v>
      </c>
      <c r="D4839" s="2">
        <v>43101</v>
      </c>
      <c r="E4839" t="s">
        <v>14</v>
      </c>
      <c r="F4839">
        <v>146.80000000000001</v>
      </c>
      <c r="G4839" t="str">
        <f>VLOOKUP(Table1_2[[#This Row],[Categories]],Sheet3!$A$1:$B$27,2,FALSE)</f>
        <v>Food &amp;Beverage</v>
      </c>
    </row>
    <row r="4840" spans="1:7" x14ac:dyDescent="0.3">
      <c r="A4840" t="s">
        <v>33</v>
      </c>
      <c r="B4840">
        <v>2018</v>
      </c>
      <c r="C4840" t="s">
        <v>31</v>
      </c>
      <c r="D4840" s="2">
        <v>43101</v>
      </c>
      <c r="E4840" t="s">
        <v>15</v>
      </c>
      <c r="F4840">
        <v>137.19999999999999</v>
      </c>
      <c r="G4840" t="str">
        <f>VLOOKUP(Table1_2[[#This Row],[Categories]],Sheet3!$A$1:$B$27,2,FALSE)</f>
        <v>Food &amp;Beverage</v>
      </c>
    </row>
    <row r="4841" spans="1:7" x14ac:dyDescent="0.3">
      <c r="A4841" t="s">
        <v>33</v>
      </c>
      <c r="B4841">
        <v>2018</v>
      </c>
      <c r="C4841" t="s">
        <v>31</v>
      </c>
      <c r="D4841" s="2">
        <v>43101</v>
      </c>
      <c r="E4841" t="s">
        <v>16</v>
      </c>
      <c r="F4841">
        <v>157.69999999999999</v>
      </c>
      <c r="G4841" t="str">
        <f>VLOOKUP(Table1_2[[#This Row],[Categories]],Sheet3!$A$1:$B$27,2,FALSE)</f>
        <v>Recreation and amusement</v>
      </c>
    </row>
    <row r="4842" spans="1:7" x14ac:dyDescent="0.3">
      <c r="A4842" t="s">
        <v>33</v>
      </c>
      <c r="B4842">
        <v>2018</v>
      </c>
      <c r="C4842" t="s">
        <v>31</v>
      </c>
      <c r="D4842" s="2">
        <v>43101</v>
      </c>
      <c r="E4842" t="s">
        <v>17</v>
      </c>
      <c r="F4842">
        <v>136</v>
      </c>
      <c r="G4842" t="str">
        <f>VLOOKUP(Table1_2[[#This Row],[Categories]],Sheet3!$A$1:$B$27,2,FALSE)</f>
        <v>Clothing and footwear</v>
      </c>
    </row>
    <row r="4843" spans="1:7" x14ac:dyDescent="0.3">
      <c r="A4843" t="s">
        <v>33</v>
      </c>
      <c r="B4843">
        <v>2018</v>
      </c>
      <c r="C4843" t="s">
        <v>31</v>
      </c>
      <c r="D4843" s="2">
        <v>43101</v>
      </c>
      <c r="E4843" t="s">
        <v>18</v>
      </c>
      <c r="F4843">
        <v>125.9</v>
      </c>
      <c r="G4843" t="str">
        <f>VLOOKUP(Table1_2[[#This Row],[Categories]],Sheet3!$A$1:$B$27,2,FALSE)</f>
        <v>Clothing and footwear</v>
      </c>
    </row>
    <row r="4844" spans="1:7" x14ac:dyDescent="0.3">
      <c r="A4844" t="s">
        <v>33</v>
      </c>
      <c r="B4844">
        <v>2018</v>
      </c>
      <c r="C4844" t="s">
        <v>31</v>
      </c>
      <c r="D4844" s="2">
        <v>43101</v>
      </c>
      <c r="E4844" t="s">
        <v>19</v>
      </c>
      <c r="F4844">
        <v>134.4</v>
      </c>
      <c r="G4844" t="str">
        <f>VLOOKUP(Table1_2[[#This Row],[Categories]],Sheet3!$A$1:$B$27,2,FALSE)</f>
        <v>Clothing and footwear</v>
      </c>
    </row>
    <row r="4845" spans="1:7" x14ac:dyDescent="0.3">
      <c r="A4845" t="s">
        <v>33</v>
      </c>
      <c r="B4845">
        <v>2018</v>
      </c>
      <c r="C4845" t="s">
        <v>31</v>
      </c>
      <c r="D4845" s="2">
        <v>43101</v>
      </c>
      <c r="E4845" t="s">
        <v>20</v>
      </c>
      <c r="F4845">
        <v>140.4</v>
      </c>
      <c r="G4845" t="str">
        <f>VLOOKUP(Table1_2[[#This Row],[Categories]],Sheet3!$A$1:$B$27,2,FALSE)</f>
        <v>Housing</v>
      </c>
    </row>
    <row r="4846" spans="1:7" x14ac:dyDescent="0.3">
      <c r="A4846" t="s">
        <v>33</v>
      </c>
      <c r="B4846">
        <v>2018</v>
      </c>
      <c r="C4846" t="s">
        <v>31</v>
      </c>
      <c r="D4846" s="2">
        <v>43101</v>
      </c>
      <c r="E4846" t="s">
        <v>21</v>
      </c>
      <c r="F4846">
        <v>127.3</v>
      </c>
      <c r="G4846" t="str">
        <f>VLOOKUP(Table1_2[[#This Row],[Categories]],Sheet3!$A$1:$B$27,2,FALSE)</f>
        <v>Fuel and light</v>
      </c>
    </row>
    <row r="4847" spans="1:7" x14ac:dyDescent="0.3">
      <c r="A4847" t="s">
        <v>33</v>
      </c>
      <c r="B4847">
        <v>2018</v>
      </c>
      <c r="C4847" t="s">
        <v>31</v>
      </c>
      <c r="D4847" s="2">
        <v>43101</v>
      </c>
      <c r="E4847" t="s">
        <v>22</v>
      </c>
      <c r="F4847">
        <v>129.5</v>
      </c>
      <c r="G4847" t="str">
        <f>VLOOKUP(Table1_2[[#This Row],[Categories]],Sheet3!$A$1:$B$27,2,FALSE)</f>
        <v>Household Items</v>
      </c>
    </row>
    <row r="4848" spans="1:7" x14ac:dyDescent="0.3">
      <c r="A4848" t="s">
        <v>33</v>
      </c>
      <c r="B4848">
        <v>2018</v>
      </c>
      <c r="C4848" t="s">
        <v>31</v>
      </c>
      <c r="D4848" s="2">
        <v>43101</v>
      </c>
      <c r="E4848" t="s">
        <v>23</v>
      </c>
      <c r="F4848">
        <v>129</v>
      </c>
      <c r="G4848" t="str">
        <f>VLOOKUP(Table1_2[[#This Row],[Categories]],Sheet3!$A$1:$B$27,2,FALSE)</f>
        <v>Health</v>
      </c>
    </row>
    <row r="4849" spans="1:7" x14ac:dyDescent="0.3">
      <c r="A4849" t="s">
        <v>33</v>
      </c>
      <c r="B4849">
        <v>2018</v>
      </c>
      <c r="C4849" t="s">
        <v>31</v>
      </c>
      <c r="D4849" s="2">
        <v>43101</v>
      </c>
      <c r="E4849" t="s">
        <v>24</v>
      </c>
      <c r="F4849">
        <v>116.3</v>
      </c>
      <c r="G4849" t="str">
        <f>VLOOKUP(Table1_2[[#This Row],[Categories]],Sheet3!$A$1:$B$27,2,FALSE)</f>
        <v>Transport and communication</v>
      </c>
    </row>
    <row r="4850" spans="1:7" x14ac:dyDescent="0.3">
      <c r="A4850" t="s">
        <v>33</v>
      </c>
      <c r="B4850">
        <v>2018</v>
      </c>
      <c r="C4850" t="s">
        <v>31</v>
      </c>
      <c r="D4850" s="2">
        <v>43101</v>
      </c>
      <c r="E4850" t="s">
        <v>25</v>
      </c>
      <c r="F4850">
        <v>126.2</v>
      </c>
      <c r="G4850" t="str">
        <f>VLOOKUP(Table1_2[[#This Row],[Categories]],Sheet3!$A$1:$B$27,2,FALSE)</f>
        <v>Recreation and amusement</v>
      </c>
    </row>
    <row r="4851" spans="1:7" x14ac:dyDescent="0.3">
      <c r="A4851" t="s">
        <v>33</v>
      </c>
      <c r="B4851">
        <v>2018</v>
      </c>
      <c r="C4851" t="s">
        <v>31</v>
      </c>
      <c r="D4851" s="2">
        <v>43101</v>
      </c>
      <c r="E4851" t="s">
        <v>26</v>
      </c>
      <c r="F4851">
        <v>137.1</v>
      </c>
      <c r="G4851" t="str">
        <f>VLOOKUP(Table1_2[[#This Row],[Categories]],Sheet3!$A$1:$B$27,2,FALSE)</f>
        <v>Education</v>
      </c>
    </row>
    <row r="4852" spans="1:7" x14ac:dyDescent="0.3">
      <c r="A4852" t="s">
        <v>33</v>
      </c>
      <c r="B4852">
        <v>2018</v>
      </c>
      <c r="C4852" t="s">
        <v>31</v>
      </c>
      <c r="D4852" s="2">
        <v>43101</v>
      </c>
      <c r="E4852" t="s">
        <v>27</v>
      </c>
      <c r="F4852">
        <v>125.5</v>
      </c>
      <c r="G4852" t="str">
        <f>VLOOKUP(Table1_2[[#This Row],[Categories]],Sheet3!$A$1:$B$27,2,FALSE)</f>
        <v>Household Items</v>
      </c>
    </row>
    <row r="4853" spans="1:7" x14ac:dyDescent="0.3">
      <c r="A4853" t="s">
        <v>33</v>
      </c>
      <c r="B4853">
        <v>2018</v>
      </c>
      <c r="C4853" t="s">
        <v>31</v>
      </c>
      <c r="D4853" s="2">
        <v>43101</v>
      </c>
      <c r="E4853" t="s">
        <v>28</v>
      </c>
      <c r="F4853">
        <v>125.8</v>
      </c>
      <c r="G4853" t="str">
        <f>VLOOKUP(Table1_2[[#This Row],[Categories]],Sheet3!$A$1:$B$27,2,FALSE)</f>
        <v>Miscellaneous</v>
      </c>
    </row>
    <row r="4854" spans="1:7" x14ac:dyDescent="0.3">
      <c r="A4854" t="s">
        <v>33</v>
      </c>
      <c r="B4854">
        <v>2018</v>
      </c>
      <c r="C4854" t="s">
        <v>31</v>
      </c>
      <c r="D4854" s="2">
        <v>43101</v>
      </c>
      <c r="E4854" t="s">
        <v>29</v>
      </c>
      <c r="F4854">
        <v>134.1</v>
      </c>
      <c r="G4854" t="str">
        <f>VLOOKUP(Table1_2[[#This Row],[Categories]],Sheet3!$A$1:$B$27,2,FALSE)</f>
        <v>General index</v>
      </c>
    </row>
    <row r="4855" spans="1:7" x14ac:dyDescent="0.3">
      <c r="A4855" t="s">
        <v>34</v>
      </c>
      <c r="B4855">
        <v>2018</v>
      </c>
      <c r="C4855" t="s">
        <v>31</v>
      </c>
      <c r="D4855" s="2">
        <v>43101</v>
      </c>
      <c r="E4855" t="s">
        <v>3</v>
      </c>
      <c r="F4855">
        <v>136</v>
      </c>
      <c r="G4855" t="str">
        <f>VLOOKUP(Table1_2[[#This Row],[Categories]],Sheet3!$A$1:$B$27,2,FALSE)</f>
        <v>Food &amp;Beverage</v>
      </c>
    </row>
    <row r="4856" spans="1:7" x14ac:dyDescent="0.3">
      <c r="A4856" t="s">
        <v>34</v>
      </c>
      <c r="B4856">
        <v>2018</v>
      </c>
      <c r="C4856" t="s">
        <v>31</v>
      </c>
      <c r="D4856" s="2">
        <v>43101</v>
      </c>
      <c r="E4856" t="s">
        <v>4</v>
      </c>
      <c r="F4856">
        <v>144.19999999999999</v>
      </c>
      <c r="G4856" t="str">
        <f>VLOOKUP(Table1_2[[#This Row],[Categories]],Sheet3!$A$1:$B$27,2,FALSE)</f>
        <v>Food &amp;Beverage</v>
      </c>
    </row>
    <row r="4857" spans="1:7" x14ac:dyDescent="0.3">
      <c r="A4857" t="s">
        <v>34</v>
      </c>
      <c r="B4857">
        <v>2018</v>
      </c>
      <c r="C4857" t="s">
        <v>31</v>
      </c>
      <c r="D4857" s="2">
        <v>43101</v>
      </c>
      <c r="E4857" t="s">
        <v>5</v>
      </c>
      <c r="F4857">
        <v>143.69999999999999</v>
      </c>
      <c r="G4857" t="str">
        <f>VLOOKUP(Table1_2[[#This Row],[Categories]],Sheet3!$A$1:$B$27,2,FALSE)</f>
        <v>Food &amp;Beverage</v>
      </c>
    </row>
    <row r="4858" spans="1:7" x14ac:dyDescent="0.3">
      <c r="A4858" t="s">
        <v>34</v>
      </c>
      <c r="B4858">
        <v>2018</v>
      </c>
      <c r="C4858" t="s">
        <v>31</v>
      </c>
      <c r="D4858" s="2">
        <v>43101</v>
      </c>
      <c r="E4858" t="s">
        <v>6</v>
      </c>
      <c r="F4858">
        <v>141.1</v>
      </c>
      <c r="G4858" t="str">
        <f>VLOOKUP(Table1_2[[#This Row],[Categories]],Sheet3!$A$1:$B$27,2,FALSE)</f>
        <v>Food &amp;Beverage</v>
      </c>
    </row>
    <row r="4859" spans="1:7" x14ac:dyDescent="0.3">
      <c r="A4859" t="s">
        <v>34</v>
      </c>
      <c r="B4859">
        <v>2018</v>
      </c>
      <c r="C4859" t="s">
        <v>31</v>
      </c>
      <c r="D4859" s="2">
        <v>43101</v>
      </c>
      <c r="E4859" t="s">
        <v>7</v>
      </c>
      <c r="F4859">
        <v>120.7</v>
      </c>
      <c r="G4859" t="str">
        <f>VLOOKUP(Table1_2[[#This Row],[Categories]],Sheet3!$A$1:$B$27,2,FALSE)</f>
        <v>Food &amp;Beverage</v>
      </c>
    </row>
    <row r="4860" spans="1:7" x14ac:dyDescent="0.3">
      <c r="A4860" t="s">
        <v>34</v>
      </c>
      <c r="B4860">
        <v>2018</v>
      </c>
      <c r="C4860" t="s">
        <v>31</v>
      </c>
      <c r="D4860" s="2">
        <v>43101</v>
      </c>
      <c r="E4860" t="s">
        <v>8</v>
      </c>
      <c r="F4860">
        <v>141.30000000000001</v>
      </c>
      <c r="G4860" t="str">
        <f>VLOOKUP(Table1_2[[#This Row],[Categories]],Sheet3!$A$1:$B$27,2,FALSE)</f>
        <v>Food &amp;Beverage</v>
      </c>
    </row>
    <row r="4861" spans="1:7" x14ac:dyDescent="0.3">
      <c r="A4861" t="s">
        <v>34</v>
      </c>
      <c r="B4861">
        <v>2018</v>
      </c>
      <c r="C4861" t="s">
        <v>31</v>
      </c>
      <c r="D4861" s="2">
        <v>43101</v>
      </c>
      <c r="E4861" t="s">
        <v>9</v>
      </c>
      <c r="F4861">
        <v>151.6</v>
      </c>
      <c r="G4861" t="str">
        <f>VLOOKUP(Table1_2[[#This Row],[Categories]],Sheet3!$A$1:$B$27,2,FALSE)</f>
        <v>Food &amp;Beverage</v>
      </c>
    </row>
    <row r="4862" spans="1:7" x14ac:dyDescent="0.3">
      <c r="A4862" t="s">
        <v>34</v>
      </c>
      <c r="B4862">
        <v>2018</v>
      </c>
      <c r="C4862" t="s">
        <v>31</v>
      </c>
      <c r="D4862" s="2">
        <v>43101</v>
      </c>
      <c r="E4862" t="s">
        <v>10</v>
      </c>
      <c r="F4862">
        <v>127.3</v>
      </c>
      <c r="G4862" t="str">
        <f>VLOOKUP(Table1_2[[#This Row],[Categories]],Sheet3!$A$1:$B$27,2,FALSE)</f>
        <v>Food &amp;Beverage</v>
      </c>
    </row>
    <row r="4863" spans="1:7" x14ac:dyDescent="0.3">
      <c r="A4863" t="s">
        <v>34</v>
      </c>
      <c r="B4863">
        <v>2018</v>
      </c>
      <c r="C4863" t="s">
        <v>31</v>
      </c>
      <c r="D4863" s="2">
        <v>43101</v>
      </c>
      <c r="E4863" t="s">
        <v>11</v>
      </c>
      <c r="F4863">
        <v>118.8</v>
      </c>
      <c r="G4863" t="str">
        <f>VLOOKUP(Table1_2[[#This Row],[Categories]],Sheet3!$A$1:$B$27,2,FALSE)</f>
        <v>Food &amp;Beverage</v>
      </c>
    </row>
    <row r="4864" spans="1:7" x14ac:dyDescent="0.3">
      <c r="A4864" t="s">
        <v>34</v>
      </c>
      <c r="B4864">
        <v>2018</v>
      </c>
      <c r="C4864" t="s">
        <v>31</v>
      </c>
      <c r="D4864" s="2">
        <v>43101</v>
      </c>
      <c r="E4864" t="s">
        <v>12</v>
      </c>
      <c r="F4864">
        <v>137.5</v>
      </c>
      <c r="G4864" t="str">
        <f>VLOOKUP(Table1_2[[#This Row],[Categories]],Sheet3!$A$1:$B$27,2,FALSE)</f>
        <v>Food &amp;Beverage</v>
      </c>
    </row>
    <row r="4865" spans="1:7" x14ac:dyDescent="0.3">
      <c r="A4865" t="s">
        <v>34</v>
      </c>
      <c r="B4865">
        <v>2018</v>
      </c>
      <c r="C4865" t="s">
        <v>31</v>
      </c>
      <c r="D4865" s="2">
        <v>43101</v>
      </c>
      <c r="E4865" t="s">
        <v>13</v>
      </c>
      <c r="F4865">
        <v>129</v>
      </c>
      <c r="G4865" t="str">
        <f>VLOOKUP(Table1_2[[#This Row],[Categories]],Sheet3!$A$1:$B$27,2,FALSE)</f>
        <v>Food &amp;Beverage</v>
      </c>
    </row>
    <row r="4866" spans="1:7" x14ac:dyDescent="0.3">
      <c r="A4866" t="s">
        <v>34</v>
      </c>
      <c r="B4866">
        <v>2018</v>
      </c>
      <c r="C4866" t="s">
        <v>31</v>
      </c>
      <c r="D4866" s="2">
        <v>43101</v>
      </c>
      <c r="E4866" t="s">
        <v>14</v>
      </c>
      <c r="F4866">
        <v>149.5</v>
      </c>
      <c r="G4866" t="str">
        <f>VLOOKUP(Table1_2[[#This Row],[Categories]],Sheet3!$A$1:$B$27,2,FALSE)</f>
        <v>Food &amp;Beverage</v>
      </c>
    </row>
    <row r="4867" spans="1:7" x14ac:dyDescent="0.3">
      <c r="A4867" t="s">
        <v>34</v>
      </c>
      <c r="B4867">
        <v>2018</v>
      </c>
      <c r="C4867" t="s">
        <v>31</v>
      </c>
      <c r="D4867" s="2">
        <v>43101</v>
      </c>
      <c r="E4867" t="s">
        <v>15</v>
      </c>
      <c r="F4867">
        <v>139.19999999999999</v>
      </c>
      <c r="G4867" t="str">
        <f>VLOOKUP(Table1_2[[#This Row],[Categories]],Sheet3!$A$1:$B$27,2,FALSE)</f>
        <v>Food &amp;Beverage</v>
      </c>
    </row>
    <row r="4868" spans="1:7" x14ac:dyDescent="0.3">
      <c r="A4868" t="s">
        <v>34</v>
      </c>
      <c r="B4868">
        <v>2018</v>
      </c>
      <c r="C4868" t="s">
        <v>31</v>
      </c>
      <c r="D4868" s="2">
        <v>43101</v>
      </c>
      <c r="E4868" t="s">
        <v>16</v>
      </c>
      <c r="F4868">
        <v>154.69999999999999</v>
      </c>
      <c r="G4868" t="str">
        <f>VLOOKUP(Table1_2[[#This Row],[Categories]],Sheet3!$A$1:$B$27,2,FALSE)</f>
        <v>Recreation and amusement</v>
      </c>
    </row>
    <row r="4869" spans="1:7" x14ac:dyDescent="0.3">
      <c r="A4869" t="s">
        <v>34</v>
      </c>
      <c r="B4869">
        <v>2018</v>
      </c>
      <c r="C4869" t="s">
        <v>31</v>
      </c>
      <c r="D4869" s="2">
        <v>43101</v>
      </c>
      <c r="E4869" t="s">
        <v>17</v>
      </c>
      <c r="F4869">
        <v>143.5</v>
      </c>
      <c r="G4869" t="str">
        <f>VLOOKUP(Table1_2[[#This Row],[Categories]],Sheet3!$A$1:$B$27,2,FALSE)</f>
        <v>Clothing and footwear</v>
      </c>
    </row>
    <row r="4870" spans="1:7" x14ac:dyDescent="0.3">
      <c r="A4870" t="s">
        <v>34</v>
      </c>
      <c r="B4870">
        <v>2018</v>
      </c>
      <c r="C4870" t="s">
        <v>31</v>
      </c>
      <c r="D4870" s="2">
        <v>43101</v>
      </c>
      <c r="E4870" t="s">
        <v>18</v>
      </c>
      <c r="F4870">
        <v>135.5</v>
      </c>
      <c r="G4870" t="str">
        <f>VLOOKUP(Table1_2[[#This Row],[Categories]],Sheet3!$A$1:$B$27,2,FALSE)</f>
        <v>Clothing and footwear</v>
      </c>
    </row>
    <row r="4871" spans="1:7" x14ac:dyDescent="0.3">
      <c r="A4871" t="s">
        <v>34</v>
      </c>
      <c r="B4871">
        <v>2018</v>
      </c>
      <c r="C4871" t="s">
        <v>31</v>
      </c>
      <c r="D4871" s="2">
        <v>43101</v>
      </c>
      <c r="E4871" t="s">
        <v>19</v>
      </c>
      <c r="F4871">
        <v>142.30000000000001</v>
      </c>
      <c r="G4871" t="str">
        <f>VLOOKUP(Table1_2[[#This Row],[Categories]],Sheet3!$A$1:$B$27,2,FALSE)</f>
        <v>Clothing and footwear</v>
      </c>
    </row>
    <row r="4872" spans="1:7" x14ac:dyDescent="0.3">
      <c r="A4872" t="s">
        <v>34</v>
      </c>
      <c r="B4872">
        <v>2018</v>
      </c>
      <c r="C4872" t="s">
        <v>31</v>
      </c>
      <c r="D4872" s="2">
        <v>43101</v>
      </c>
      <c r="E4872" t="s">
        <v>20</v>
      </c>
      <c r="F4872">
        <v>140.4</v>
      </c>
      <c r="G4872" t="str">
        <f>VLOOKUP(Table1_2[[#This Row],[Categories]],Sheet3!$A$1:$B$27,2,FALSE)</f>
        <v>Housing</v>
      </c>
    </row>
    <row r="4873" spans="1:7" x14ac:dyDescent="0.3">
      <c r="A4873" t="s">
        <v>34</v>
      </c>
      <c r="B4873">
        <v>2018</v>
      </c>
      <c r="C4873" t="s">
        <v>31</v>
      </c>
      <c r="D4873" s="2">
        <v>43101</v>
      </c>
      <c r="E4873" t="s">
        <v>21</v>
      </c>
      <c r="F4873">
        <v>136.6</v>
      </c>
      <c r="G4873" t="str">
        <f>VLOOKUP(Table1_2[[#This Row],[Categories]],Sheet3!$A$1:$B$27,2,FALSE)</f>
        <v>Fuel and light</v>
      </c>
    </row>
    <row r="4874" spans="1:7" x14ac:dyDescent="0.3">
      <c r="A4874" t="s">
        <v>34</v>
      </c>
      <c r="B4874">
        <v>2018</v>
      </c>
      <c r="C4874" t="s">
        <v>31</v>
      </c>
      <c r="D4874" s="2">
        <v>43101</v>
      </c>
      <c r="E4874" t="s">
        <v>22</v>
      </c>
      <c r="F4874">
        <v>134.9</v>
      </c>
      <c r="G4874" t="str">
        <f>VLOOKUP(Table1_2[[#This Row],[Categories]],Sheet3!$A$1:$B$27,2,FALSE)</f>
        <v>Household Items</v>
      </c>
    </row>
    <row r="4875" spans="1:7" x14ac:dyDescent="0.3">
      <c r="A4875" t="s">
        <v>34</v>
      </c>
      <c r="B4875">
        <v>2018</v>
      </c>
      <c r="C4875" t="s">
        <v>31</v>
      </c>
      <c r="D4875" s="2">
        <v>43101</v>
      </c>
      <c r="E4875" t="s">
        <v>23</v>
      </c>
      <c r="F4875">
        <v>133.30000000000001</v>
      </c>
      <c r="G4875" t="str">
        <f>VLOOKUP(Table1_2[[#This Row],[Categories]],Sheet3!$A$1:$B$27,2,FALSE)</f>
        <v>Health</v>
      </c>
    </row>
    <row r="4876" spans="1:7" x14ac:dyDescent="0.3">
      <c r="A4876" t="s">
        <v>34</v>
      </c>
      <c r="B4876">
        <v>2018</v>
      </c>
      <c r="C4876" t="s">
        <v>31</v>
      </c>
      <c r="D4876" s="2">
        <v>43101</v>
      </c>
      <c r="E4876" t="s">
        <v>24</v>
      </c>
      <c r="F4876">
        <v>119.3</v>
      </c>
      <c r="G4876" t="str">
        <f>VLOOKUP(Table1_2[[#This Row],[Categories]],Sheet3!$A$1:$B$27,2,FALSE)</f>
        <v>Transport and communication</v>
      </c>
    </row>
    <row r="4877" spans="1:7" x14ac:dyDescent="0.3">
      <c r="A4877" t="s">
        <v>34</v>
      </c>
      <c r="B4877">
        <v>2018</v>
      </c>
      <c r="C4877" t="s">
        <v>31</v>
      </c>
      <c r="D4877" s="2">
        <v>43101</v>
      </c>
      <c r="E4877" t="s">
        <v>25</v>
      </c>
      <c r="F4877">
        <v>129.69999999999999</v>
      </c>
      <c r="G4877" t="str">
        <f>VLOOKUP(Table1_2[[#This Row],[Categories]],Sheet3!$A$1:$B$27,2,FALSE)</f>
        <v>Recreation and amusement</v>
      </c>
    </row>
    <row r="4878" spans="1:7" x14ac:dyDescent="0.3">
      <c r="A4878" t="s">
        <v>34</v>
      </c>
      <c r="B4878">
        <v>2018</v>
      </c>
      <c r="C4878" t="s">
        <v>31</v>
      </c>
      <c r="D4878" s="2">
        <v>43101</v>
      </c>
      <c r="E4878" t="s">
        <v>26</v>
      </c>
      <c r="F4878">
        <v>139</v>
      </c>
      <c r="G4878" t="str">
        <f>VLOOKUP(Table1_2[[#This Row],[Categories]],Sheet3!$A$1:$B$27,2,FALSE)</f>
        <v>Education</v>
      </c>
    </row>
    <row r="4879" spans="1:7" x14ac:dyDescent="0.3">
      <c r="A4879" t="s">
        <v>34</v>
      </c>
      <c r="B4879">
        <v>2018</v>
      </c>
      <c r="C4879" t="s">
        <v>31</v>
      </c>
      <c r="D4879" s="2">
        <v>43101</v>
      </c>
      <c r="E4879" t="s">
        <v>27</v>
      </c>
      <c r="F4879">
        <v>127.3</v>
      </c>
      <c r="G4879" t="str">
        <f>VLOOKUP(Table1_2[[#This Row],[Categories]],Sheet3!$A$1:$B$27,2,FALSE)</f>
        <v>Household Items</v>
      </c>
    </row>
    <row r="4880" spans="1:7" x14ac:dyDescent="0.3">
      <c r="A4880" t="s">
        <v>34</v>
      </c>
      <c r="B4880">
        <v>2018</v>
      </c>
      <c r="C4880" t="s">
        <v>31</v>
      </c>
      <c r="D4880" s="2">
        <v>43101</v>
      </c>
      <c r="E4880" t="s">
        <v>28</v>
      </c>
      <c r="F4880">
        <v>129.1</v>
      </c>
      <c r="G4880" t="str">
        <f>VLOOKUP(Table1_2[[#This Row],[Categories]],Sheet3!$A$1:$B$27,2,FALSE)</f>
        <v>Miscellaneous</v>
      </c>
    </row>
    <row r="4881" spans="1:7" x14ac:dyDescent="0.3">
      <c r="A4881" t="s">
        <v>34</v>
      </c>
      <c r="B4881">
        <v>2018</v>
      </c>
      <c r="C4881" t="s">
        <v>31</v>
      </c>
      <c r="D4881" s="2">
        <v>43101</v>
      </c>
      <c r="E4881" t="s">
        <v>29</v>
      </c>
      <c r="F4881">
        <v>136.9</v>
      </c>
      <c r="G4881" t="str">
        <f>VLOOKUP(Table1_2[[#This Row],[Categories]],Sheet3!$A$1:$B$27,2,FALSE)</f>
        <v>General index</v>
      </c>
    </row>
    <row r="4882" spans="1:7" x14ac:dyDescent="0.3">
      <c r="A4882" t="s">
        <v>30</v>
      </c>
      <c r="B4882">
        <v>2018</v>
      </c>
      <c r="C4882" t="s">
        <v>35</v>
      </c>
      <c r="D4882" s="2">
        <v>43132</v>
      </c>
      <c r="E4882" t="s">
        <v>3</v>
      </c>
      <c r="F4882">
        <v>136.4</v>
      </c>
      <c r="G4882" t="str">
        <f>VLOOKUP(Table1_2[[#This Row],[Categories]],Sheet3!$A$1:$B$27,2,FALSE)</f>
        <v>Food &amp;Beverage</v>
      </c>
    </row>
    <row r="4883" spans="1:7" x14ac:dyDescent="0.3">
      <c r="A4883" t="s">
        <v>30</v>
      </c>
      <c r="B4883">
        <v>2018</v>
      </c>
      <c r="C4883" t="s">
        <v>35</v>
      </c>
      <c r="D4883" s="2">
        <v>43132</v>
      </c>
      <c r="E4883" t="s">
        <v>4</v>
      </c>
      <c r="F4883">
        <v>143.69999999999999</v>
      </c>
      <c r="G4883" t="str">
        <f>VLOOKUP(Table1_2[[#This Row],[Categories]],Sheet3!$A$1:$B$27,2,FALSE)</f>
        <v>Food &amp;Beverage</v>
      </c>
    </row>
    <row r="4884" spans="1:7" x14ac:dyDescent="0.3">
      <c r="A4884" t="s">
        <v>30</v>
      </c>
      <c r="B4884">
        <v>2018</v>
      </c>
      <c r="C4884" t="s">
        <v>35</v>
      </c>
      <c r="D4884" s="2">
        <v>43132</v>
      </c>
      <c r="E4884" t="s">
        <v>5</v>
      </c>
      <c r="F4884">
        <v>140.6</v>
      </c>
      <c r="G4884" t="str">
        <f>VLOOKUP(Table1_2[[#This Row],[Categories]],Sheet3!$A$1:$B$27,2,FALSE)</f>
        <v>Food &amp;Beverage</v>
      </c>
    </row>
    <row r="4885" spans="1:7" x14ac:dyDescent="0.3">
      <c r="A4885" t="s">
        <v>30</v>
      </c>
      <c r="B4885">
        <v>2018</v>
      </c>
      <c r="C4885" t="s">
        <v>35</v>
      </c>
      <c r="D4885" s="2">
        <v>43132</v>
      </c>
      <c r="E4885" t="s">
        <v>6</v>
      </c>
      <c r="F4885">
        <v>141.5</v>
      </c>
      <c r="G4885" t="str">
        <f>VLOOKUP(Table1_2[[#This Row],[Categories]],Sheet3!$A$1:$B$27,2,FALSE)</f>
        <v>Food &amp;Beverage</v>
      </c>
    </row>
    <row r="4886" spans="1:7" x14ac:dyDescent="0.3">
      <c r="A4886" t="s">
        <v>30</v>
      </c>
      <c r="B4886">
        <v>2018</v>
      </c>
      <c r="C4886" t="s">
        <v>35</v>
      </c>
      <c r="D4886" s="2">
        <v>43132</v>
      </c>
      <c r="E4886" t="s">
        <v>7</v>
      </c>
      <c r="F4886">
        <v>122.9</v>
      </c>
      <c r="G4886" t="str">
        <f>VLOOKUP(Table1_2[[#This Row],[Categories]],Sheet3!$A$1:$B$27,2,FALSE)</f>
        <v>Food &amp;Beverage</v>
      </c>
    </row>
    <row r="4887" spans="1:7" x14ac:dyDescent="0.3">
      <c r="A4887" t="s">
        <v>30</v>
      </c>
      <c r="B4887">
        <v>2018</v>
      </c>
      <c r="C4887" t="s">
        <v>35</v>
      </c>
      <c r="D4887" s="2">
        <v>43132</v>
      </c>
      <c r="E4887" t="s">
        <v>8</v>
      </c>
      <c r="F4887">
        <v>149.4</v>
      </c>
      <c r="G4887" t="str">
        <f>VLOOKUP(Table1_2[[#This Row],[Categories]],Sheet3!$A$1:$B$27,2,FALSE)</f>
        <v>Food &amp;Beverage</v>
      </c>
    </row>
    <row r="4888" spans="1:7" x14ac:dyDescent="0.3">
      <c r="A4888" t="s">
        <v>30</v>
      </c>
      <c r="B4888">
        <v>2018</v>
      </c>
      <c r="C4888" t="s">
        <v>35</v>
      </c>
      <c r="D4888" s="2">
        <v>43132</v>
      </c>
      <c r="E4888" t="s">
        <v>9</v>
      </c>
      <c r="F4888">
        <v>142.4</v>
      </c>
      <c r="G4888" t="str">
        <f>VLOOKUP(Table1_2[[#This Row],[Categories]],Sheet3!$A$1:$B$27,2,FALSE)</f>
        <v>Food &amp;Beverage</v>
      </c>
    </row>
    <row r="4889" spans="1:7" x14ac:dyDescent="0.3">
      <c r="A4889" t="s">
        <v>30</v>
      </c>
      <c r="B4889">
        <v>2018</v>
      </c>
      <c r="C4889" t="s">
        <v>35</v>
      </c>
      <c r="D4889" s="2">
        <v>43132</v>
      </c>
      <c r="E4889" t="s">
        <v>10</v>
      </c>
      <c r="F4889">
        <v>130.19999999999999</v>
      </c>
      <c r="G4889" t="str">
        <f>VLOOKUP(Table1_2[[#This Row],[Categories]],Sheet3!$A$1:$B$27,2,FALSE)</f>
        <v>Food &amp;Beverage</v>
      </c>
    </row>
    <row r="4890" spans="1:7" x14ac:dyDescent="0.3">
      <c r="A4890" t="s">
        <v>30</v>
      </c>
      <c r="B4890">
        <v>2018</v>
      </c>
      <c r="C4890" t="s">
        <v>35</v>
      </c>
      <c r="D4890" s="2">
        <v>43132</v>
      </c>
      <c r="E4890" t="s">
        <v>11</v>
      </c>
      <c r="F4890">
        <v>117.9</v>
      </c>
      <c r="G4890" t="str">
        <f>VLOOKUP(Table1_2[[#This Row],[Categories]],Sheet3!$A$1:$B$27,2,FALSE)</f>
        <v>Food &amp;Beverage</v>
      </c>
    </row>
    <row r="4891" spans="1:7" x14ac:dyDescent="0.3">
      <c r="A4891" t="s">
        <v>30</v>
      </c>
      <c r="B4891">
        <v>2018</v>
      </c>
      <c r="C4891" t="s">
        <v>35</v>
      </c>
      <c r="D4891" s="2">
        <v>43132</v>
      </c>
      <c r="E4891" t="s">
        <v>12</v>
      </c>
      <c r="F4891">
        <v>135.6</v>
      </c>
      <c r="G4891" t="str">
        <f>VLOOKUP(Table1_2[[#This Row],[Categories]],Sheet3!$A$1:$B$27,2,FALSE)</f>
        <v>Food &amp;Beverage</v>
      </c>
    </row>
    <row r="4892" spans="1:7" x14ac:dyDescent="0.3">
      <c r="A4892" t="s">
        <v>30</v>
      </c>
      <c r="B4892">
        <v>2018</v>
      </c>
      <c r="C4892" t="s">
        <v>35</v>
      </c>
      <c r="D4892" s="2">
        <v>43132</v>
      </c>
      <c r="E4892" t="s">
        <v>13</v>
      </c>
      <c r="F4892">
        <v>130.5</v>
      </c>
      <c r="G4892" t="str">
        <f>VLOOKUP(Table1_2[[#This Row],[Categories]],Sheet3!$A$1:$B$27,2,FALSE)</f>
        <v>Food &amp;Beverage</v>
      </c>
    </row>
    <row r="4893" spans="1:7" x14ac:dyDescent="0.3">
      <c r="A4893" t="s">
        <v>30</v>
      </c>
      <c r="B4893">
        <v>2018</v>
      </c>
      <c r="C4893" t="s">
        <v>35</v>
      </c>
      <c r="D4893" s="2">
        <v>43132</v>
      </c>
      <c r="E4893" t="s">
        <v>14</v>
      </c>
      <c r="F4893">
        <v>151.69999999999999</v>
      </c>
      <c r="G4893" t="str">
        <f>VLOOKUP(Table1_2[[#This Row],[Categories]],Sheet3!$A$1:$B$27,2,FALSE)</f>
        <v>Food &amp;Beverage</v>
      </c>
    </row>
    <row r="4894" spans="1:7" x14ac:dyDescent="0.3">
      <c r="A4894" t="s">
        <v>30</v>
      </c>
      <c r="B4894">
        <v>2018</v>
      </c>
      <c r="C4894" t="s">
        <v>35</v>
      </c>
      <c r="D4894" s="2">
        <v>43132</v>
      </c>
      <c r="E4894" t="s">
        <v>15</v>
      </c>
      <c r="F4894">
        <v>138.69999999999999</v>
      </c>
      <c r="G4894" t="str">
        <f>VLOOKUP(Table1_2[[#This Row],[Categories]],Sheet3!$A$1:$B$27,2,FALSE)</f>
        <v>Food &amp;Beverage</v>
      </c>
    </row>
    <row r="4895" spans="1:7" x14ac:dyDescent="0.3">
      <c r="A4895" t="s">
        <v>30</v>
      </c>
      <c r="B4895">
        <v>2018</v>
      </c>
      <c r="C4895" t="s">
        <v>35</v>
      </c>
      <c r="D4895" s="2">
        <v>43132</v>
      </c>
      <c r="E4895" t="s">
        <v>16</v>
      </c>
      <c r="F4895">
        <v>153.30000000000001</v>
      </c>
      <c r="G4895" t="str">
        <f>VLOOKUP(Table1_2[[#This Row],[Categories]],Sheet3!$A$1:$B$27,2,FALSE)</f>
        <v>Recreation and amusement</v>
      </c>
    </row>
    <row r="4896" spans="1:7" x14ac:dyDescent="0.3">
      <c r="A4896" t="s">
        <v>30</v>
      </c>
      <c r="B4896">
        <v>2018</v>
      </c>
      <c r="C4896" t="s">
        <v>35</v>
      </c>
      <c r="D4896" s="2">
        <v>43132</v>
      </c>
      <c r="E4896" t="s">
        <v>17</v>
      </c>
      <c r="F4896">
        <v>148.69999999999999</v>
      </c>
      <c r="G4896" t="str">
        <f>VLOOKUP(Table1_2[[#This Row],[Categories]],Sheet3!$A$1:$B$27,2,FALSE)</f>
        <v>Clothing and footwear</v>
      </c>
    </row>
    <row r="4897" spans="1:7" x14ac:dyDescent="0.3">
      <c r="A4897" t="s">
        <v>30</v>
      </c>
      <c r="B4897">
        <v>2018</v>
      </c>
      <c r="C4897" t="s">
        <v>35</v>
      </c>
      <c r="D4897" s="2">
        <v>43132</v>
      </c>
      <c r="E4897" t="s">
        <v>18</v>
      </c>
      <c r="F4897">
        <v>142.4</v>
      </c>
      <c r="G4897" t="str">
        <f>VLOOKUP(Table1_2[[#This Row],[Categories]],Sheet3!$A$1:$B$27,2,FALSE)</f>
        <v>Clothing and footwear</v>
      </c>
    </row>
    <row r="4898" spans="1:7" x14ac:dyDescent="0.3">
      <c r="A4898" t="s">
        <v>30</v>
      </c>
      <c r="B4898">
        <v>2018</v>
      </c>
      <c r="C4898" t="s">
        <v>35</v>
      </c>
      <c r="D4898" s="2">
        <v>43132</v>
      </c>
      <c r="E4898" t="s">
        <v>19</v>
      </c>
      <c r="F4898">
        <v>147.80000000000001</v>
      </c>
      <c r="G4898" t="str">
        <f>VLOOKUP(Table1_2[[#This Row],[Categories]],Sheet3!$A$1:$B$27,2,FALSE)</f>
        <v>Clothing and footwear</v>
      </c>
    </row>
    <row r="4899" spans="1:7" x14ac:dyDescent="0.3">
      <c r="A4899" t="s">
        <v>30</v>
      </c>
      <c r="B4899">
        <v>2018</v>
      </c>
      <c r="C4899" t="s">
        <v>35</v>
      </c>
      <c r="D4899" s="2">
        <v>43132</v>
      </c>
      <c r="E4899" t="s">
        <v>21</v>
      </c>
      <c r="F4899">
        <v>142.4</v>
      </c>
      <c r="G4899" t="str">
        <f>VLOOKUP(Table1_2[[#This Row],[Categories]],Sheet3!$A$1:$B$27,2,FALSE)</f>
        <v>Fuel and light</v>
      </c>
    </row>
    <row r="4900" spans="1:7" x14ac:dyDescent="0.3">
      <c r="A4900" t="s">
        <v>30</v>
      </c>
      <c r="B4900">
        <v>2018</v>
      </c>
      <c r="C4900" t="s">
        <v>35</v>
      </c>
      <c r="D4900" s="2">
        <v>43132</v>
      </c>
      <c r="E4900" t="s">
        <v>22</v>
      </c>
      <c r="F4900">
        <v>139.9</v>
      </c>
      <c r="G4900" t="str">
        <f>VLOOKUP(Table1_2[[#This Row],[Categories]],Sheet3!$A$1:$B$27,2,FALSE)</f>
        <v>Household Items</v>
      </c>
    </row>
    <row r="4901" spans="1:7" x14ac:dyDescent="0.3">
      <c r="A4901" t="s">
        <v>30</v>
      </c>
      <c r="B4901">
        <v>2018</v>
      </c>
      <c r="C4901" t="s">
        <v>35</v>
      </c>
      <c r="D4901" s="2">
        <v>43132</v>
      </c>
      <c r="E4901" t="s">
        <v>23</v>
      </c>
      <c r="F4901">
        <v>136.19999999999999</v>
      </c>
      <c r="G4901" t="str">
        <f>VLOOKUP(Table1_2[[#This Row],[Categories]],Sheet3!$A$1:$B$27,2,FALSE)</f>
        <v>Health</v>
      </c>
    </row>
    <row r="4902" spans="1:7" x14ac:dyDescent="0.3">
      <c r="A4902" t="s">
        <v>30</v>
      </c>
      <c r="B4902">
        <v>2018</v>
      </c>
      <c r="C4902" t="s">
        <v>35</v>
      </c>
      <c r="D4902" s="2">
        <v>43132</v>
      </c>
      <c r="E4902" t="s">
        <v>24</v>
      </c>
      <c r="F4902">
        <v>123.3</v>
      </c>
      <c r="G4902" t="str">
        <f>VLOOKUP(Table1_2[[#This Row],[Categories]],Sheet3!$A$1:$B$27,2,FALSE)</f>
        <v>Transport and communication</v>
      </c>
    </row>
    <row r="4903" spans="1:7" x14ac:dyDescent="0.3">
      <c r="A4903" t="s">
        <v>30</v>
      </c>
      <c r="B4903">
        <v>2018</v>
      </c>
      <c r="C4903" t="s">
        <v>35</v>
      </c>
      <c r="D4903" s="2">
        <v>43132</v>
      </c>
      <c r="E4903" t="s">
        <v>25</v>
      </c>
      <c r="F4903">
        <v>134.30000000000001</v>
      </c>
      <c r="G4903" t="str">
        <f>VLOOKUP(Table1_2[[#This Row],[Categories]],Sheet3!$A$1:$B$27,2,FALSE)</f>
        <v>Recreation and amusement</v>
      </c>
    </row>
    <row r="4904" spans="1:7" x14ac:dyDescent="0.3">
      <c r="A4904" t="s">
        <v>30</v>
      </c>
      <c r="B4904">
        <v>2018</v>
      </c>
      <c r="C4904" t="s">
        <v>35</v>
      </c>
      <c r="D4904" s="2">
        <v>43132</v>
      </c>
      <c r="E4904" t="s">
        <v>26</v>
      </c>
      <c r="F4904">
        <v>141.5</v>
      </c>
      <c r="G4904" t="str">
        <f>VLOOKUP(Table1_2[[#This Row],[Categories]],Sheet3!$A$1:$B$27,2,FALSE)</f>
        <v>Education</v>
      </c>
    </row>
    <row r="4905" spans="1:7" x14ac:dyDescent="0.3">
      <c r="A4905" t="s">
        <v>30</v>
      </c>
      <c r="B4905">
        <v>2018</v>
      </c>
      <c r="C4905" t="s">
        <v>35</v>
      </c>
      <c r="D4905" s="2">
        <v>43132</v>
      </c>
      <c r="E4905" t="s">
        <v>27</v>
      </c>
      <c r="F4905">
        <v>128.80000000000001</v>
      </c>
      <c r="G4905" t="str">
        <f>VLOOKUP(Table1_2[[#This Row],[Categories]],Sheet3!$A$1:$B$27,2,FALSE)</f>
        <v>Household Items</v>
      </c>
    </row>
    <row r="4906" spans="1:7" x14ac:dyDescent="0.3">
      <c r="A4906" t="s">
        <v>30</v>
      </c>
      <c r="B4906">
        <v>2018</v>
      </c>
      <c r="C4906" t="s">
        <v>35</v>
      </c>
      <c r="D4906" s="2">
        <v>43132</v>
      </c>
      <c r="E4906" t="s">
        <v>28</v>
      </c>
      <c r="F4906">
        <v>132.5</v>
      </c>
      <c r="G4906" t="str">
        <f>VLOOKUP(Table1_2[[#This Row],[Categories]],Sheet3!$A$1:$B$27,2,FALSE)</f>
        <v>Miscellaneous</v>
      </c>
    </row>
    <row r="4907" spans="1:7" x14ac:dyDescent="0.3">
      <c r="A4907" t="s">
        <v>30</v>
      </c>
      <c r="B4907">
        <v>2018</v>
      </c>
      <c r="C4907" t="s">
        <v>35</v>
      </c>
      <c r="D4907" s="2">
        <v>43132</v>
      </c>
      <c r="E4907" t="s">
        <v>29</v>
      </c>
      <c r="F4907">
        <v>138.5</v>
      </c>
      <c r="G4907" t="str">
        <f>VLOOKUP(Table1_2[[#This Row],[Categories]],Sheet3!$A$1:$B$27,2,FALSE)</f>
        <v>General index</v>
      </c>
    </row>
    <row r="4908" spans="1:7" x14ac:dyDescent="0.3">
      <c r="A4908" t="s">
        <v>33</v>
      </c>
      <c r="B4908">
        <v>2018</v>
      </c>
      <c r="C4908" t="s">
        <v>35</v>
      </c>
      <c r="D4908" s="2">
        <v>43132</v>
      </c>
      <c r="E4908" t="s">
        <v>3</v>
      </c>
      <c r="F4908">
        <v>134.80000000000001</v>
      </c>
      <c r="G4908" t="str">
        <f>VLOOKUP(Table1_2[[#This Row],[Categories]],Sheet3!$A$1:$B$27,2,FALSE)</f>
        <v>Food &amp;Beverage</v>
      </c>
    </row>
    <row r="4909" spans="1:7" x14ac:dyDescent="0.3">
      <c r="A4909" t="s">
        <v>33</v>
      </c>
      <c r="B4909">
        <v>2018</v>
      </c>
      <c r="C4909" t="s">
        <v>35</v>
      </c>
      <c r="D4909" s="2">
        <v>43132</v>
      </c>
      <c r="E4909" t="s">
        <v>4</v>
      </c>
      <c r="F4909">
        <v>143</v>
      </c>
      <c r="G4909" t="str">
        <f>VLOOKUP(Table1_2[[#This Row],[Categories]],Sheet3!$A$1:$B$27,2,FALSE)</f>
        <v>Food &amp;Beverage</v>
      </c>
    </row>
    <row r="4910" spans="1:7" x14ac:dyDescent="0.3">
      <c r="A4910" t="s">
        <v>33</v>
      </c>
      <c r="B4910">
        <v>2018</v>
      </c>
      <c r="C4910" t="s">
        <v>35</v>
      </c>
      <c r="D4910" s="2">
        <v>43132</v>
      </c>
      <c r="E4910" t="s">
        <v>5</v>
      </c>
      <c r="F4910">
        <v>139.9</v>
      </c>
      <c r="G4910" t="str">
        <f>VLOOKUP(Table1_2[[#This Row],[Categories]],Sheet3!$A$1:$B$27,2,FALSE)</f>
        <v>Food &amp;Beverage</v>
      </c>
    </row>
    <row r="4911" spans="1:7" x14ac:dyDescent="0.3">
      <c r="A4911" t="s">
        <v>33</v>
      </c>
      <c r="B4911">
        <v>2018</v>
      </c>
      <c r="C4911" t="s">
        <v>35</v>
      </c>
      <c r="D4911" s="2">
        <v>43132</v>
      </c>
      <c r="E4911" t="s">
        <v>6</v>
      </c>
      <c r="F4911">
        <v>139.9</v>
      </c>
      <c r="G4911" t="str">
        <f>VLOOKUP(Table1_2[[#This Row],[Categories]],Sheet3!$A$1:$B$27,2,FALSE)</f>
        <v>Food &amp;Beverage</v>
      </c>
    </row>
    <row r="4912" spans="1:7" x14ac:dyDescent="0.3">
      <c r="A4912" t="s">
        <v>33</v>
      </c>
      <c r="B4912">
        <v>2018</v>
      </c>
      <c r="C4912" t="s">
        <v>35</v>
      </c>
      <c r="D4912" s="2">
        <v>43132</v>
      </c>
      <c r="E4912" t="s">
        <v>7</v>
      </c>
      <c r="F4912">
        <v>116.2</v>
      </c>
      <c r="G4912" t="str">
        <f>VLOOKUP(Table1_2[[#This Row],[Categories]],Sheet3!$A$1:$B$27,2,FALSE)</f>
        <v>Food &amp;Beverage</v>
      </c>
    </row>
    <row r="4913" spans="1:7" x14ac:dyDescent="0.3">
      <c r="A4913" t="s">
        <v>33</v>
      </c>
      <c r="B4913">
        <v>2018</v>
      </c>
      <c r="C4913" t="s">
        <v>35</v>
      </c>
      <c r="D4913" s="2">
        <v>43132</v>
      </c>
      <c r="E4913" t="s">
        <v>8</v>
      </c>
      <c r="F4913">
        <v>135.5</v>
      </c>
      <c r="G4913" t="str">
        <f>VLOOKUP(Table1_2[[#This Row],[Categories]],Sheet3!$A$1:$B$27,2,FALSE)</f>
        <v>Food &amp;Beverage</v>
      </c>
    </row>
    <row r="4914" spans="1:7" x14ac:dyDescent="0.3">
      <c r="A4914" t="s">
        <v>33</v>
      </c>
      <c r="B4914">
        <v>2018</v>
      </c>
      <c r="C4914" t="s">
        <v>35</v>
      </c>
      <c r="D4914" s="2">
        <v>43132</v>
      </c>
      <c r="E4914" t="s">
        <v>9</v>
      </c>
      <c r="F4914">
        <v>136.9</v>
      </c>
      <c r="G4914" t="str">
        <f>VLOOKUP(Table1_2[[#This Row],[Categories]],Sheet3!$A$1:$B$27,2,FALSE)</f>
        <v>Food &amp;Beverage</v>
      </c>
    </row>
    <row r="4915" spans="1:7" x14ac:dyDescent="0.3">
      <c r="A4915" t="s">
        <v>33</v>
      </c>
      <c r="B4915">
        <v>2018</v>
      </c>
      <c r="C4915" t="s">
        <v>35</v>
      </c>
      <c r="D4915" s="2">
        <v>43132</v>
      </c>
      <c r="E4915" t="s">
        <v>10</v>
      </c>
      <c r="F4915">
        <v>117</v>
      </c>
      <c r="G4915" t="str">
        <f>VLOOKUP(Table1_2[[#This Row],[Categories]],Sheet3!$A$1:$B$27,2,FALSE)</f>
        <v>Food &amp;Beverage</v>
      </c>
    </row>
    <row r="4916" spans="1:7" x14ac:dyDescent="0.3">
      <c r="A4916" t="s">
        <v>33</v>
      </c>
      <c r="B4916">
        <v>2018</v>
      </c>
      <c r="C4916" t="s">
        <v>35</v>
      </c>
      <c r="D4916" s="2">
        <v>43132</v>
      </c>
      <c r="E4916" t="s">
        <v>11</v>
      </c>
      <c r="F4916">
        <v>115.4</v>
      </c>
      <c r="G4916" t="str">
        <f>VLOOKUP(Table1_2[[#This Row],[Categories]],Sheet3!$A$1:$B$27,2,FALSE)</f>
        <v>Food &amp;Beverage</v>
      </c>
    </row>
    <row r="4917" spans="1:7" x14ac:dyDescent="0.3">
      <c r="A4917" t="s">
        <v>33</v>
      </c>
      <c r="B4917">
        <v>2018</v>
      </c>
      <c r="C4917" t="s">
        <v>35</v>
      </c>
      <c r="D4917" s="2">
        <v>43132</v>
      </c>
      <c r="E4917" t="s">
        <v>12</v>
      </c>
      <c r="F4917">
        <v>140.69999999999999</v>
      </c>
      <c r="G4917" t="str">
        <f>VLOOKUP(Table1_2[[#This Row],[Categories]],Sheet3!$A$1:$B$27,2,FALSE)</f>
        <v>Food &amp;Beverage</v>
      </c>
    </row>
    <row r="4918" spans="1:7" x14ac:dyDescent="0.3">
      <c r="A4918" t="s">
        <v>33</v>
      </c>
      <c r="B4918">
        <v>2018</v>
      </c>
      <c r="C4918" t="s">
        <v>35</v>
      </c>
      <c r="D4918" s="2">
        <v>43132</v>
      </c>
      <c r="E4918" t="s">
        <v>13</v>
      </c>
      <c r="F4918">
        <v>125.9</v>
      </c>
      <c r="G4918" t="str">
        <f>VLOOKUP(Table1_2[[#This Row],[Categories]],Sheet3!$A$1:$B$27,2,FALSE)</f>
        <v>Food &amp;Beverage</v>
      </c>
    </row>
    <row r="4919" spans="1:7" x14ac:dyDescent="0.3">
      <c r="A4919" t="s">
        <v>33</v>
      </c>
      <c r="B4919">
        <v>2018</v>
      </c>
      <c r="C4919" t="s">
        <v>35</v>
      </c>
      <c r="D4919" s="2">
        <v>43132</v>
      </c>
      <c r="E4919" t="s">
        <v>14</v>
      </c>
      <c r="F4919">
        <v>147.1</v>
      </c>
      <c r="G4919" t="str">
        <f>VLOOKUP(Table1_2[[#This Row],[Categories]],Sheet3!$A$1:$B$27,2,FALSE)</f>
        <v>Food &amp;Beverage</v>
      </c>
    </row>
    <row r="4920" spans="1:7" x14ac:dyDescent="0.3">
      <c r="A4920" t="s">
        <v>33</v>
      </c>
      <c r="B4920">
        <v>2018</v>
      </c>
      <c r="C4920" t="s">
        <v>35</v>
      </c>
      <c r="D4920" s="2">
        <v>43132</v>
      </c>
      <c r="E4920" t="s">
        <v>15</v>
      </c>
      <c r="F4920">
        <v>135.6</v>
      </c>
      <c r="G4920" t="str">
        <f>VLOOKUP(Table1_2[[#This Row],[Categories]],Sheet3!$A$1:$B$27,2,FALSE)</f>
        <v>Food &amp;Beverage</v>
      </c>
    </row>
    <row r="4921" spans="1:7" x14ac:dyDescent="0.3">
      <c r="A4921" t="s">
        <v>33</v>
      </c>
      <c r="B4921">
        <v>2018</v>
      </c>
      <c r="C4921" t="s">
        <v>35</v>
      </c>
      <c r="D4921" s="2">
        <v>43132</v>
      </c>
      <c r="E4921" t="s">
        <v>16</v>
      </c>
      <c r="F4921">
        <v>159.30000000000001</v>
      </c>
      <c r="G4921" t="str">
        <f>VLOOKUP(Table1_2[[#This Row],[Categories]],Sheet3!$A$1:$B$27,2,FALSE)</f>
        <v>Recreation and amusement</v>
      </c>
    </row>
    <row r="4922" spans="1:7" x14ac:dyDescent="0.3">
      <c r="A4922" t="s">
        <v>33</v>
      </c>
      <c r="B4922">
        <v>2018</v>
      </c>
      <c r="C4922" t="s">
        <v>35</v>
      </c>
      <c r="D4922" s="2">
        <v>43132</v>
      </c>
      <c r="E4922" t="s">
        <v>17</v>
      </c>
      <c r="F4922">
        <v>136.30000000000001</v>
      </c>
      <c r="G4922" t="str">
        <f>VLOOKUP(Table1_2[[#This Row],[Categories]],Sheet3!$A$1:$B$27,2,FALSE)</f>
        <v>Clothing and footwear</v>
      </c>
    </row>
    <row r="4923" spans="1:7" x14ac:dyDescent="0.3">
      <c r="A4923" t="s">
        <v>33</v>
      </c>
      <c r="B4923">
        <v>2018</v>
      </c>
      <c r="C4923" t="s">
        <v>35</v>
      </c>
      <c r="D4923" s="2">
        <v>43132</v>
      </c>
      <c r="E4923" t="s">
        <v>18</v>
      </c>
      <c r="F4923">
        <v>126.1</v>
      </c>
      <c r="G4923" t="str">
        <f>VLOOKUP(Table1_2[[#This Row],[Categories]],Sheet3!$A$1:$B$27,2,FALSE)</f>
        <v>Clothing and footwear</v>
      </c>
    </row>
    <row r="4924" spans="1:7" x14ac:dyDescent="0.3">
      <c r="A4924" t="s">
        <v>33</v>
      </c>
      <c r="B4924">
        <v>2018</v>
      </c>
      <c r="C4924" t="s">
        <v>35</v>
      </c>
      <c r="D4924" s="2">
        <v>43132</v>
      </c>
      <c r="E4924" t="s">
        <v>19</v>
      </c>
      <c r="F4924">
        <v>134.69999999999999</v>
      </c>
      <c r="G4924" t="str">
        <f>VLOOKUP(Table1_2[[#This Row],[Categories]],Sheet3!$A$1:$B$27,2,FALSE)</f>
        <v>Clothing and footwear</v>
      </c>
    </row>
    <row r="4925" spans="1:7" x14ac:dyDescent="0.3">
      <c r="A4925" t="s">
        <v>33</v>
      </c>
      <c r="B4925">
        <v>2018</v>
      </c>
      <c r="C4925" t="s">
        <v>35</v>
      </c>
      <c r="D4925" s="2">
        <v>43132</v>
      </c>
      <c r="E4925" t="s">
        <v>20</v>
      </c>
      <c r="F4925">
        <v>141.30000000000001</v>
      </c>
      <c r="G4925" t="str">
        <f>VLOOKUP(Table1_2[[#This Row],[Categories]],Sheet3!$A$1:$B$27,2,FALSE)</f>
        <v>Housing</v>
      </c>
    </row>
    <row r="4926" spans="1:7" x14ac:dyDescent="0.3">
      <c r="A4926" t="s">
        <v>33</v>
      </c>
      <c r="B4926">
        <v>2018</v>
      </c>
      <c r="C4926" t="s">
        <v>35</v>
      </c>
      <c r="D4926" s="2">
        <v>43132</v>
      </c>
      <c r="E4926" t="s">
        <v>21</v>
      </c>
      <c r="F4926">
        <v>127.3</v>
      </c>
      <c r="G4926" t="str">
        <f>VLOOKUP(Table1_2[[#This Row],[Categories]],Sheet3!$A$1:$B$27,2,FALSE)</f>
        <v>Fuel and light</v>
      </c>
    </row>
    <row r="4927" spans="1:7" x14ac:dyDescent="0.3">
      <c r="A4927" t="s">
        <v>33</v>
      </c>
      <c r="B4927">
        <v>2018</v>
      </c>
      <c r="C4927" t="s">
        <v>35</v>
      </c>
      <c r="D4927" s="2">
        <v>43132</v>
      </c>
      <c r="E4927" t="s">
        <v>22</v>
      </c>
      <c r="F4927">
        <v>129.9</v>
      </c>
      <c r="G4927" t="str">
        <f>VLOOKUP(Table1_2[[#This Row],[Categories]],Sheet3!$A$1:$B$27,2,FALSE)</f>
        <v>Household Items</v>
      </c>
    </row>
    <row r="4928" spans="1:7" x14ac:dyDescent="0.3">
      <c r="A4928" t="s">
        <v>33</v>
      </c>
      <c r="B4928">
        <v>2018</v>
      </c>
      <c r="C4928" t="s">
        <v>35</v>
      </c>
      <c r="D4928" s="2">
        <v>43132</v>
      </c>
      <c r="E4928" t="s">
        <v>23</v>
      </c>
      <c r="F4928">
        <v>129.80000000000001</v>
      </c>
      <c r="G4928" t="str">
        <f>VLOOKUP(Table1_2[[#This Row],[Categories]],Sheet3!$A$1:$B$27,2,FALSE)</f>
        <v>Health</v>
      </c>
    </row>
    <row r="4929" spans="1:7" x14ac:dyDescent="0.3">
      <c r="A4929" t="s">
        <v>33</v>
      </c>
      <c r="B4929">
        <v>2018</v>
      </c>
      <c r="C4929" t="s">
        <v>35</v>
      </c>
      <c r="D4929" s="2">
        <v>43132</v>
      </c>
      <c r="E4929" t="s">
        <v>24</v>
      </c>
      <c r="F4929">
        <v>117.4</v>
      </c>
      <c r="G4929" t="str">
        <f>VLOOKUP(Table1_2[[#This Row],[Categories]],Sheet3!$A$1:$B$27,2,FALSE)</f>
        <v>Transport and communication</v>
      </c>
    </row>
    <row r="4930" spans="1:7" x14ac:dyDescent="0.3">
      <c r="A4930" t="s">
        <v>33</v>
      </c>
      <c r="B4930">
        <v>2018</v>
      </c>
      <c r="C4930" t="s">
        <v>35</v>
      </c>
      <c r="D4930" s="2">
        <v>43132</v>
      </c>
      <c r="E4930" t="s">
        <v>25</v>
      </c>
      <c r="F4930">
        <v>126.5</v>
      </c>
      <c r="G4930" t="str">
        <f>VLOOKUP(Table1_2[[#This Row],[Categories]],Sheet3!$A$1:$B$27,2,FALSE)</f>
        <v>Recreation and amusement</v>
      </c>
    </row>
    <row r="4931" spans="1:7" x14ac:dyDescent="0.3">
      <c r="A4931" t="s">
        <v>33</v>
      </c>
      <c r="B4931">
        <v>2018</v>
      </c>
      <c r="C4931" t="s">
        <v>35</v>
      </c>
      <c r="D4931" s="2">
        <v>43132</v>
      </c>
      <c r="E4931" t="s">
        <v>26</v>
      </c>
      <c r="F4931">
        <v>137.19999999999999</v>
      </c>
      <c r="G4931" t="str">
        <f>VLOOKUP(Table1_2[[#This Row],[Categories]],Sheet3!$A$1:$B$27,2,FALSE)</f>
        <v>Education</v>
      </c>
    </row>
    <row r="4932" spans="1:7" x14ac:dyDescent="0.3">
      <c r="A4932" t="s">
        <v>33</v>
      </c>
      <c r="B4932">
        <v>2018</v>
      </c>
      <c r="C4932" t="s">
        <v>35</v>
      </c>
      <c r="D4932" s="2">
        <v>43132</v>
      </c>
      <c r="E4932" t="s">
        <v>27</v>
      </c>
      <c r="F4932">
        <v>126.2</v>
      </c>
      <c r="G4932" t="str">
        <f>VLOOKUP(Table1_2[[#This Row],[Categories]],Sheet3!$A$1:$B$27,2,FALSE)</f>
        <v>Household Items</v>
      </c>
    </row>
    <row r="4933" spans="1:7" x14ac:dyDescent="0.3">
      <c r="A4933" t="s">
        <v>33</v>
      </c>
      <c r="B4933">
        <v>2018</v>
      </c>
      <c r="C4933" t="s">
        <v>35</v>
      </c>
      <c r="D4933" s="2">
        <v>43132</v>
      </c>
      <c r="E4933" t="s">
        <v>28</v>
      </c>
      <c r="F4933">
        <v>126.5</v>
      </c>
      <c r="G4933" t="str">
        <f>VLOOKUP(Table1_2[[#This Row],[Categories]],Sheet3!$A$1:$B$27,2,FALSE)</f>
        <v>Miscellaneous</v>
      </c>
    </row>
    <row r="4934" spans="1:7" x14ac:dyDescent="0.3">
      <c r="A4934" t="s">
        <v>33</v>
      </c>
      <c r="B4934">
        <v>2018</v>
      </c>
      <c r="C4934" t="s">
        <v>35</v>
      </c>
      <c r="D4934" s="2">
        <v>43132</v>
      </c>
      <c r="E4934" t="s">
        <v>29</v>
      </c>
      <c r="F4934">
        <v>134</v>
      </c>
      <c r="G4934" t="str">
        <f>VLOOKUP(Table1_2[[#This Row],[Categories]],Sheet3!$A$1:$B$27,2,FALSE)</f>
        <v>General index</v>
      </c>
    </row>
    <row r="4935" spans="1:7" x14ac:dyDescent="0.3">
      <c r="A4935" t="s">
        <v>34</v>
      </c>
      <c r="B4935">
        <v>2018</v>
      </c>
      <c r="C4935" t="s">
        <v>35</v>
      </c>
      <c r="D4935" s="2">
        <v>43132</v>
      </c>
      <c r="E4935" t="s">
        <v>3</v>
      </c>
      <c r="F4935">
        <v>135.9</v>
      </c>
      <c r="G4935" t="str">
        <f>VLOOKUP(Table1_2[[#This Row],[Categories]],Sheet3!$A$1:$B$27,2,FALSE)</f>
        <v>Food &amp;Beverage</v>
      </c>
    </row>
    <row r="4936" spans="1:7" x14ac:dyDescent="0.3">
      <c r="A4936" t="s">
        <v>34</v>
      </c>
      <c r="B4936">
        <v>2018</v>
      </c>
      <c r="C4936" t="s">
        <v>35</v>
      </c>
      <c r="D4936" s="2">
        <v>43132</v>
      </c>
      <c r="E4936" t="s">
        <v>4</v>
      </c>
      <c r="F4936">
        <v>143.5</v>
      </c>
      <c r="G4936" t="str">
        <f>VLOOKUP(Table1_2[[#This Row],[Categories]],Sheet3!$A$1:$B$27,2,FALSE)</f>
        <v>Food &amp;Beverage</v>
      </c>
    </row>
    <row r="4937" spans="1:7" x14ac:dyDescent="0.3">
      <c r="A4937" t="s">
        <v>34</v>
      </c>
      <c r="B4937">
        <v>2018</v>
      </c>
      <c r="C4937" t="s">
        <v>35</v>
      </c>
      <c r="D4937" s="2">
        <v>43132</v>
      </c>
      <c r="E4937" t="s">
        <v>5</v>
      </c>
      <c r="F4937">
        <v>140.30000000000001</v>
      </c>
      <c r="G4937" t="str">
        <f>VLOOKUP(Table1_2[[#This Row],[Categories]],Sheet3!$A$1:$B$27,2,FALSE)</f>
        <v>Food &amp;Beverage</v>
      </c>
    </row>
    <row r="4938" spans="1:7" x14ac:dyDescent="0.3">
      <c r="A4938" t="s">
        <v>34</v>
      </c>
      <c r="B4938">
        <v>2018</v>
      </c>
      <c r="C4938" t="s">
        <v>35</v>
      </c>
      <c r="D4938" s="2">
        <v>43132</v>
      </c>
      <c r="E4938" t="s">
        <v>6</v>
      </c>
      <c r="F4938">
        <v>140.9</v>
      </c>
      <c r="G4938" t="str">
        <f>VLOOKUP(Table1_2[[#This Row],[Categories]],Sheet3!$A$1:$B$27,2,FALSE)</f>
        <v>Food &amp;Beverage</v>
      </c>
    </row>
    <row r="4939" spans="1:7" x14ac:dyDescent="0.3">
      <c r="A4939" t="s">
        <v>34</v>
      </c>
      <c r="B4939">
        <v>2018</v>
      </c>
      <c r="C4939" t="s">
        <v>35</v>
      </c>
      <c r="D4939" s="2">
        <v>43132</v>
      </c>
      <c r="E4939" t="s">
        <v>7</v>
      </c>
      <c r="F4939">
        <v>120.4</v>
      </c>
      <c r="G4939" t="str">
        <f>VLOOKUP(Table1_2[[#This Row],[Categories]],Sheet3!$A$1:$B$27,2,FALSE)</f>
        <v>Food &amp;Beverage</v>
      </c>
    </row>
    <row r="4940" spans="1:7" x14ac:dyDescent="0.3">
      <c r="A4940" t="s">
        <v>34</v>
      </c>
      <c r="B4940">
        <v>2018</v>
      </c>
      <c r="C4940" t="s">
        <v>35</v>
      </c>
      <c r="D4940" s="2">
        <v>43132</v>
      </c>
      <c r="E4940" t="s">
        <v>8</v>
      </c>
      <c r="F4940">
        <v>142.9</v>
      </c>
      <c r="G4940" t="str">
        <f>VLOOKUP(Table1_2[[#This Row],[Categories]],Sheet3!$A$1:$B$27,2,FALSE)</f>
        <v>Food &amp;Beverage</v>
      </c>
    </row>
    <row r="4941" spans="1:7" x14ac:dyDescent="0.3">
      <c r="A4941" t="s">
        <v>34</v>
      </c>
      <c r="B4941">
        <v>2018</v>
      </c>
      <c r="C4941" t="s">
        <v>35</v>
      </c>
      <c r="D4941" s="2">
        <v>43132</v>
      </c>
      <c r="E4941" t="s">
        <v>9</v>
      </c>
      <c r="F4941">
        <v>140.5</v>
      </c>
      <c r="G4941" t="str">
        <f>VLOOKUP(Table1_2[[#This Row],[Categories]],Sheet3!$A$1:$B$27,2,FALSE)</f>
        <v>Food &amp;Beverage</v>
      </c>
    </row>
    <row r="4942" spans="1:7" x14ac:dyDescent="0.3">
      <c r="A4942" t="s">
        <v>34</v>
      </c>
      <c r="B4942">
        <v>2018</v>
      </c>
      <c r="C4942" t="s">
        <v>35</v>
      </c>
      <c r="D4942" s="2">
        <v>43132</v>
      </c>
      <c r="E4942" t="s">
        <v>10</v>
      </c>
      <c r="F4942">
        <v>125.8</v>
      </c>
      <c r="G4942" t="str">
        <f>VLOOKUP(Table1_2[[#This Row],[Categories]],Sheet3!$A$1:$B$27,2,FALSE)</f>
        <v>Food &amp;Beverage</v>
      </c>
    </row>
    <row r="4943" spans="1:7" x14ac:dyDescent="0.3">
      <c r="A4943" t="s">
        <v>34</v>
      </c>
      <c r="B4943">
        <v>2018</v>
      </c>
      <c r="C4943" t="s">
        <v>35</v>
      </c>
      <c r="D4943" s="2">
        <v>43132</v>
      </c>
      <c r="E4943" t="s">
        <v>11</v>
      </c>
      <c r="F4943">
        <v>117.1</v>
      </c>
      <c r="G4943" t="str">
        <f>VLOOKUP(Table1_2[[#This Row],[Categories]],Sheet3!$A$1:$B$27,2,FALSE)</f>
        <v>Food &amp;Beverage</v>
      </c>
    </row>
    <row r="4944" spans="1:7" x14ac:dyDescent="0.3">
      <c r="A4944" t="s">
        <v>34</v>
      </c>
      <c r="B4944">
        <v>2018</v>
      </c>
      <c r="C4944" t="s">
        <v>35</v>
      </c>
      <c r="D4944" s="2">
        <v>43132</v>
      </c>
      <c r="E4944" t="s">
        <v>12</v>
      </c>
      <c r="F4944">
        <v>137.30000000000001</v>
      </c>
      <c r="G4944" t="str">
        <f>VLOOKUP(Table1_2[[#This Row],[Categories]],Sheet3!$A$1:$B$27,2,FALSE)</f>
        <v>Food &amp;Beverage</v>
      </c>
    </row>
    <row r="4945" spans="1:7" x14ac:dyDescent="0.3">
      <c r="A4945" t="s">
        <v>34</v>
      </c>
      <c r="B4945">
        <v>2018</v>
      </c>
      <c r="C4945" t="s">
        <v>35</v>
      </c>
      <c r="D4945" s="2">
        <v>43132</v>
      </c>
      <c r="E4945" t="s">
        <v>13</v>
      </c>
      <c r="F4945">
        <v>128.6</v>
      </c>
      <c r="G4945" t="str">
        <f>VLOOKUP(Table1_2[[#This Row],[Categories]],Sheet3!$A$1:$B$27,2,FALSE)</f>
        <v>Food &amp;Beverage</v>
      </c>
    </row>
    <row r="4946" spans="1:7" x14ac:dyDescent="0.3">
      <c r="A4946" t="s">
        <v>34</v>
      </c>
      <c r="B4946">
        <v>2018</v>
      </c>
      <c r="C4946" t="s">
        <v>35</v>
      </c>
      <c r="D4946" s="2">
        <v>43132</v>
      </c>
      <c r="E4946" t="s">
        <v>14</v>
      </c>
      <c r="F4946">
        <v>149.6</v>
      </c>
      <c r="G4946" t="str">
        <f>VLOOKUP(Table1_2[[#This Row],[Categories]],Sheet3!$A$1:$B$27,2,FALSE)</f>
        <v>Food &amp;Beverage</v>
      </c>
    </row>
    <row r="4947" spans="1:7" x14ac:dyDescent="0.3">
      <c r="A4947" t="s">
        <v>34</v>
      </c>
      <c r="B4947">
        <v>2018</v>
      </c>
      <c r="C4947" t="s">
        <v>35</v>
      </c>
      <c r="D4947" s="2">
        <v>43132</v>
      </c>
      <c r="E4947" t="s">
        <v>15</v>
      </c>
      <c r="F4947">
        <v>137.6</v>
      </c>
      <c r="G4947" t="str">
        <f>VLOOKUP(Table1_2[[#This Row],[Categories]],Sheet3!$A$1:$B$27,2,FALSE)</f>
        <v>Food &amp;Beverage</v>
      </c>
    </row>
    <row r="4948" spans="1:7" x14ac:dyDescent="0.3">
      <c r="A4948" t="s">
        <v>34</v>
      </c>
      <c r="B4948">
        <v>2018</v>
      </c>
      <c r="C4948" t="s">
        <v>35</v>
      </c>
      <c r="D4948" s="2">
        <v>43132</v>
      </c>
      <c r="E4948" t="s">
        <v>16</v>
      </c>
      <c r="F4948">
        <v>154.9</v>
      </c>
      <c r="G4948" t="str">
        <f>VLOOKUP(Table1_2[[#This Row],[Categories]],Sheet3!$A$1:$B$27,2,FALSE)</f>
        <v>Recreation and amusement</v>
      </c>
    </row>
    <row r="4949" spans="1:7" x14ac:dyDescent="0.3">
      <c r="A4949" t="s">
        <v>34</v>
      </c>
      <c r="B4949">
        <v>2018</v>
      </c>
      <c r="C4949" t="s">
        <v>35</v>
      </c>
      <c r="D4949" s="2">
        <v>43132</v>
      </c>
      <c r="E4949" t="s">
        <v>17</v>
      </c>
      <c r="F4949">
        <v>143.80000000000001</v>
      </c>
      <c r="G4949" t="str">
        <f>VLOOKUP(Table1_2[[#This Row],[Categories]],Sheet3!$A$1:$B$27,2,FALSE)</f>
        <v>Clothing and footwear</v>
      </c>
    </row>
    <row r="4950" spans="1:7" x14ac:dyDescent="0.3">
      <c r="A4950" t="s">
        <v>34</v>
      </c>
      <c r="B4950">
        <v>2018</v>
      </c>
      <c r="C4950" t="s">
        <v>35</v>
      </c>
      <c r="D4950" s="2">
        <v>43132</v>
      </c>
      <c r="E4950" t="s">
        <v>18</v>
      </c>
      <c r="F4950">
        <v>135.6</v>
      </c>
      <c r="G4950" t="str">
        <f>VLOOKUP(Table1_2[[#This Row],[Categories]],Sheet3!$A$1:$B$27,2,FALSE)</f>
        <v>Clothing and footwear</v>
      </c>
    </row>
    <row r="4951" spans="1:7" x14ac:dyDescent="0.3">
      <c r="A4951" t="s">
        <v>34</v>
      </c>
      <c r="B4951">
        <v>2018</v>
      </c>
      <c r="C4951" t="s">
        <v>35</v>
      </c>
      <c r="D4951" s="2">
        <v>43132</v>
      </c>
      <c r="E4951" t="s">
        <v>19</v>
      </c>
      <c r="F4951">
        <v>142.6</v>
      </c>
      <c r="G4951" t="str">
        <f>VLOOKUP(Table1_2[[#This Row],[Categories]],Sheet3!$A$1:$B$27,2,FALSE)</f>
        <v>Clothing and footwear</v>
      </c>
    </row>
    <row r="4952" spans="1:7" x14ac:dyDescent="0.3">
      <c r="A4952" t="s">
        <v>34</v>
      </c>
      <c r="B4952">
        <v>2018</v>
      </c>
      <c r="C4952" t="s">
        <v>35</v>
      </c>
      <c r="D4952" s="2">
        <v>43132</v>
      </c>
      <c r="E4952" t="s">
        <v>20</v>
      </c>
      <c r="F4952">
        <v>141.30000000000001</v>
      </c>
      <c r="G4952" t="str">
        <f>VLOOKUP(Table1_2[[#This Row],[Categories]],Sheet3!$A$1:$B$27,2,FALSE)</f>
        <v>Housing</v>
      </c>
    </row>
    <row r="4953" spans="1:7" x14ac:dyDescent="0.3">
      <c r="A4953" t="s">
        <v>34</v>
      </c>
      <c r="B4953">
        <v>2018</v>
      </c>
      <c r="C4953" t="s">
        <v>35</v>
      </c>
      <c r="D4953" s="2">
        <v>43132</v>
      </c>
      <c r="E4953" t="s">
        <v>21</v>
      </c>
      <c r="F4953">
        <v>136.69999999999999</v>
      </c>
      <c r="G4953" t="str">
        <f>VLOOKUP(Table1_2[[#This Row],[Categories]],Sheet3!$A$1:$B$27,2,FALSE)</f>
        <v>Fuel and light</v>
      </c>
    </row>
    <row r="4954" spans="1:7" x14ac:dyDescent="0.3">
      <c r="A4954" t="s">
        <v>34</v>
      </c>
      <c r="B4954">
        <v>2018</v>
      </c>
      <c r="C4954" t="s">
        <v>35</v>
      </c>
      <c r="D4954" s="2">
        <v>43132</v>
      </c>
      <c r="E4954" t="s">
        <v>22</v>
      </c>
      <c r="F4954">
        <v>135.19999999999999</v>
      </c>
      <c r="G4954" t="str">
        <f>VLOOKUP(Table1_2[[#This Row],[Categories]],Sheet3!$A$1:$B$27,2,FALSE)</f>
        <v>Household Items</v>
      </c>
    </row>
    <row r="4955" spans="1:7" x14ac:dyDescent="0.3">
      <c r="A4955" t="s">
        <v>34</v>
      </c>
      <c r="B4955">
        <v>2018</v>
      </c>
      <c r="C4955" t="s">
        <v>35</v>
      </c>
      <c r="D4955" s="2">
        <v>43132</v>
      </c>
      <c r="E4955" t="s">
        <v>23</v>
      </c>
      <c r="F4955">
        <v>133.80000000000001</v>
      </c>
      <c r="G4955" t="str">
        <f>VLOOKUP(Table1_2[[#This Row],[Categories]],Sheet3!$A$1:$B$27,2,FALSE)</f>
        <v>Health</v>
      </c>
    </row>
    <row r="4956" spans="1:7" x14ac:dyDescent="0.3">
      <c r="A4956" t="s">
        <v>34</v>
      </c>
      <c r="B4956">
        <v>2018</v>
      </c>
      <c r="C4956" t="s">
        <v>35</v>
      </c>
      <c r="D4956" s="2">
        <v>43132</v>
      </c>
      <c r="E4956" t="s">
        <v>24</v>
      </c>
      <c r="F4956">
        <v>120.2</v>
      </c>
      <c r="G4956" t="str">
        <f>VLOOKUP(Table1_2[[#This Row],[Categories]],Sheet3!$A$1:$B$27,2,FALSE)</f>
        <v>Transport and communication</v>
      </c>
    </row>
    <row r="4957" spans="1:7" x14ac:dyDescent="0.3">
      <c r="A4957" t="s">
        <v>34</v>
      </c>
      <c r="B4957">
        <v>2018</v>
      </c>
      <c r="C4957" t="s">
        <v>35</v>
      </c>
      <c r="D4957" s="2">
        <v>43132</v>
      </c>
      <c r="E4957" t="s">
        <v>25</v>
      </c>
      <c r="F4957">
        <v>129.9</v>
      </c>
      <c r="G4957" t="str">
        <f>VLOOKUP(Table1_2[[#This Row],[Categories]],Sheet3!$A$1:$B$27,2,FALSE)</f>
        <v>Recreation and amusement</v>
      </c>
    </row>
    <row r="4958" spans="1:7" x14ac:dyDescent="0.3">
      <c r="A4958" t="s">
        <v>34</v>
      </c>
      <c r="B4958">
        <v>2018</v>
      </c>
      <c r="C4958" t="s">
        <v>35</v>
      </c>
      <c r="D4958" s="2">
        <v>43132</v>
      </c>
      <c r="E4958" t="s">
        <v>26</v>
      </c>
      <c r="F4958">
        <v>139</v>
      </c>
      <c r="G4958" t="str">
        <f>VLOOKUP(Table1_2[[#This Row],[Categories]],Sheet3!$A$1:$B$27,2,FALSE)</f>
        <v>Education</v>
      </c>
    </row>
    <row r="4959" spans="1:7" x14ac:dyDescent="0.3">
      <c r="A4959" t="s">
        <v>34</v>
      </c>
      <c r="B4959">
        <v>2018</v>
      </c>
      <c r="C4959" t="s">
        <v>35</v>
      </c>
      <c r="D4959" s="2">
        <v>43132</v>
      </c>
      <c r="E4959" t="s">
        <v>27</v>
      </c>
      <c r="F4959">
        <v>127.7</v>
      </c>
      <c r="G4959" t="str">
        <f>VLOOKUP(Table1_2[[#This Row],[Categories]],Sheet3!$A$1:$B$27,2,FALSE)</f>
        <v>Household Items</v>
      </c>
    </row>
    <row r="4960" spans="1:7" x14ac:dyDescent="0.3">
      <c r="A4960" t="s">
        <v>34</v>
      </c>
      <c r="B4960">
        <v>2018</v>
      </c>
      <c r="C4960" t="s">
        <v>35</v>
      </c>
      <c r="D4960" s="2">
        <v>43132</v>
      </c>
      <c r="E4960" t="s">
        <v>28</v>
      </c>
      <c r="F4960">
        <v>129.6</v>
      </c>
      <c r="G4960" t="str">
        <f>VLOOKUP(Table1_2[[#This Row],[Categories]],Sheet3!$A$1:$B$27,2,FALSE)</f>
        <v>Miscellaneous</v>
      </c>
    </row>
    <row r="4961" spans="1:7" x14ac:dyDescent="0.3">
      <c r="A4961" t="s">
        <v>34</v>
      </c>
      <c r="B4961">
        <v>2018</v>
      </c>
      <c r="C4961" t="s">
        <v>35</v>
      </c>
      <c r="D4961" s="2">
        <v>43132</v>
      </c>
      <c r="E4961" t="s">
        <v>29</v>
      </c>
      <c r="F4961">
        <v>136.4</v>
      </c>
      <c r="G4961" t="str">
        <f>VLOOKUP(Table1_2[[#This Row],[Categories]],Sheet3!$A$1:$B$27,2,FALSE)</f>
        <v>General index</v>
      </c>
    </row>
    <row r="4962" spans="1:7" x14ac:dyDescent="0.3">
      <c r="A4962" t="s">
        <v>30</v>
      </c>
      <c r="B4962">
        <v>2018</v>
      </c>
      <c r="C4962" t="s">
        <v>36</v>
      </c>
      <c r="D4962" s="2">
        <v>43160</v>
      </c>
      <c r="E4962" t="s">
        <v>3</v>
      </c>
      <c r="F4962">
        <v>136.80000000000001</v>
      </c>
      <c r="G4962" t="str">
        <f>VLOOKUP(Table1_2[[#This Row],[Categories]],Sheet3!$A$1:$B$27,2,FALSE)</f>
        <v>Food &amp;Beverage</v>
      </c>
    </row>
    <row r="4963" spans="1:7" x14ac:dyDescent="0.3">
      <c r="A4963" t="s">
        <v>30</v>
      </c>
      <c r="B4963">
        <v>2018</v>
      </c>
      <c r="C4963" t="s">
        <v>36</v>
      </c>
      <c r="D4963" s="2">
        <v>43160</v>
      </c>
      <c r="E4963" t="s">
        <v>4</v>
      </c>
      <c r="F4963">
        <v>143.80000000000001</v>
      </c>
      <c r="G4963" t="str">
        <f>VLOOKUP(Table1_2[[#This Row],[Categories]],Sheet3!$A$1:$B$27,2,FALSE)</f>
        <v>Food &amp;Beverage</v>
      </c>
    </row>
    <row r="4964" spans="1:7" x14ac:dyDescent="0.3">
      <c r="A4964" t="s">
        <v>30</v>
      </c>
      <c r="B4964">
        <v>2018</v>
      </c>
      <c r="C4964" t="s">
        <v>36</v>
      </c>
      <c r="D4964" s="2">
        <v>43160</v>
      </c>
      <c r="E4964" t="s">
        <v>5</v>
      </c>
      <c r="F4964">
        <v>140</v>
      </c>
      <c r="G4964" t="str">
        <f>VLOOKUP(Table1_2[[#This Row],[Categories]],Sheet3!$A$1:$B$27,2,FALSE)</f>
        <v>Food &amp;Beverage</v>
      </c>
    </row>
    <row r="4965" spans="1:7" x14ac:dyDescent="0.3">
      <c r="A4965" t="s">
        <v>30</v>
      </c>
      <c r="B4965">
        <v>2018</v>
      </c>
      <c r="C4965" t="s">
        <v>36</v>
      </c>
      <c r="D4965" s="2">
        <v>43160</v>
      </c>
      <c r="E4965" t="s">
        <v>6</v>
      </c>
      <c r="F4965">
        <v>142</v>
      </c>
      <c r="G4965" t="str">
        <f>VLOOKUP(Table1_2[[#This Row],[Categories]],Sheet3!$A$1:$B$27,2,FALSE)</f>
        <v>Food &amp;Beverage</v>
      </c>
    </row>
    <row r="4966" spans="1:7" x14ac:dyDescent="0.3">
      <c r="A4966" t="s">
        <v>30</v>
      </c>
      <c r="B4966">
        <v>2018</v>
      </c>
      <c r="C4966" t="s">
        <v>36</v>
      </c>
      <c r="D4966" s="2">
        <v>43160</v>
      </c>
      <c r="E4966" t="s">
        <v>7</v>
      </c>
      <c r="F4966">
        <v>123.2</v>
      </c>
      <c r="G4966" t="str">
        <f>VLOOKUP(Table1_2[[#This Row],[Categories]],Sheet3!$A$1:$B$27,2,FALSE)</f>
        <v>Food &amp;Beverage</v>
      </c>
    </row>
    <row r="4967" spans="1:7" x14ac:dyDescent="0.3">
      <c r="A4967" t="s">
        <v>30</v>
      </c>
      <c r="B4967">
        <v>2018</v>
      </c>
      <c r="C4967" t="s">
        <v>36</v>
      </c>
      <c r="D4967" s="2">
        <v>43160</v>
      </c>
      <c r="E4967" t="s">
        <v>8</v>
      </c>
      <c r="F4967">
        <v>152.9</v>
      </c>
      <c r="G4967" t="str">
        <f>VLOOKUP(Table1_2[[#This Row],[Categories]],Sheet3!$A$1:$B$27,2,FALSE)</f>
        <v>Food &amp;Beverage</v>
      </c>
    </row>
    <row r="4968" spans="1:7" x14ac:dyDescent="0.3">
      <c r="A4968" t="s">
        <v>30</v>
      </c>
      <c r="B4968">
        <v>2018</v>
      </c>
      <c r="C4968" t="s">
        <v>36</v>
      </c>
      <c r="D4968" s="2">
        <v>43160</v>
      </c>
      <c r="E4968" t="s">
        <v>9</v>
      </c>
      <c r="F4968">
        <v>138</v>
      </c>
      <c r="G4968" t="str">
        <f>VLOOKUP(Table1_2[[#This Row],[Categories]],Sheet3!$A$1:$B$27,2,FALSE)</f>
        <v>Food &amp;Beverage</v>
      </c>
    </row>
    <row r="4969" spans="1:7" x14ac:dyDescent="0.3">
      <c r="A4969" t="s">
        <v>30</v>
      </c>
      <c r="B4969">
        <v>2018</v>
      </c>
      <c r="C4969" t="s">
        <v>36</v>
      </c>
      <c r="D4969" s="2">
        <v>43160</v>
      </c>
      <c r="E4969" t="s">
        <v>10</v>
      </c>
      <c r="F4969">
        <v>129.30000000000001</v>
      </c>
      <c r="G4969" t="str">
        <f>VLOOKUP(Table1_2[[#This Row],[Categories]],Sheet3!$A$1:$B$27,2,FALSE)</f>
        <v>Food &amp;Beverage</v>
      </c>
    </row>
    <row r="4970" spans="1:7" x14ac:dyDescent="0.3">
      <c r="A4970" t="s">
        <v>30</v>
      </c>
      <c r="B4970">
        <v>2018</v>
      </c>
      <c r="C4970" t="s">
        <v>36</v>
      </c>
      <c r="D4970" s="2">
        <v>43160</v>
      </c>
      <c r="E4970" t="s">
        <v>11</v>
      </c>
      <c r="F4970">
        <v>117.1</v>
      </c>
      <c r="G4970" t="str">
        <f>VLOOKUP(Table1_2[[#This Row],[Categories]],Sheet3!$A$1:$B$27,2,FALSE)</f>
        <v>Food &amp;Beverage</v>
      </c>
    </row>
    <row r="4971" spans="1:7" x14ac:dyDescent="0.3">
      <c r="A4971" t="s">
        <v>30</v>
      </c>
      <c r="B4971">
        <v>2018</v>
      </c>
      <c r="C4971" t="s">
        <v>36</v>
      </c>
      <c r="D4971" s="2">
        <v>43160</v>
      </c>
      <c r="E4971" t="s">
        <v>12</v>
      </c>
      <c r="F4971">
        <v>136.30000000000001</v>
      </c>
      <c r="G4971" t="str">
        <f>VLOOKUP(Table1_2[[#This Row],[Categories]],Sheet3!$A$1:$B$27,2,FALSE)</f>
        <v>Food &amp;Beverage</v>
      </c>
    </row>
    <row r="4972" spans="1:7" x14ac:dyDescent="0.3">
      <c r="A4972" t="s">
        <v>30</v>
      </c>
      <c r="B4972">
        <v>2018</v>
      </c>
      <c r="C4972" t="s">
        <v>36</v>
      </c>
      <c r="D4972" s="2">
        <v>43160</v>
      </c>
      <c r="E4972" t="s">
        <v>13</v>
      </c>
      <c r="F4972">
        <v>131.19999999999999</v>
      </c>
      <c r="G4972" t="str">
        <f>VLOOKUP(Table1_2[[#This Row],[Categories]],Sheet3!$A$1:$B$27,2,FALSE)</f>
        <v>Food &amp;Beverage</v>
      </c>
    </row>
    <row r="4973" spans="1:7" x14ac:dyDescent="0.3">
      <c r="A4973" t="s">
        <v>30</v>
      </c>
      <c r="B4973">
        <v>2018</v>
      </c>
      <c r="C4973" t="s">
        <v>36</v>
      </c>
      <c r="D4973" s="2">
        <v>43160</v>
      </c>
      <c r="E4973" t="s">
        <v>14</v>
      </c>
      <c r="F4973">
        <v>152.80000000000001</v>
      </c>
      <c r="G4973" t="str">
        <f>VLOOKUP(Table1_2[[#This Row],[Categories]],Sheet3!$A$1:$B$27,2,FALSE)</f>
        <v>Food &amp;Beverage</v>
      </c>
    </row>
    <row r="4974" spans="1:7" x14ac:dyDescent="0.3">
      <c r="A4974" t="s">
        <v>30</v>
      </c>
      <c r="B4974">
        <v>2018</v>
      </c>
      <c r="C4974" t="s">
        <v>36</v>
      </c>
      <c r="D4974" s="2">
        <v>43160</v>
      </c>
      <c r="E4974" t="s">
        <v>15</v>
      </c>
      <c r="F4974">
        <v>138.6</v>
      </c>
      <c r="G4974" t="str">
        <f>VLOOKUP(Table1_2[[#This Row],[Categories]],Sheet3!$A$1:$B$27,2,FALSE)</f>
        <v>Food &amp;Beverage</v>
      </c>
    </row>
    <row r="4975" spans="1:7" x14ac:dyDescent="0.3">
      <c r="A4975" t="s">
        <v>30</v>
      </c>
      <c r="B4975">
        <v>2018</v>
      </c>
      <c r="C4975" t="s">
        <v>36</v>
      </c>
      <c r="D4975" s="2">
        <v>43160</v>
      </c>
      <c r="E4975" t="s">
        <v>16</v>
      </c>
      <c r="F4975">
        <v>155.1</v>
      </c>
      <c r="G4975" t="str">
        <f>VLOOKUP(Table1_2[[#This Row],[Categories]],Sheet3!$A$1:$B$27,2,FALSE)</f>
        <v>Recreation and amusement</v>
      </c>
    </row>
    <row r="4976" spans="1:7" x14ac:dyDescent="0.3">
      <c r="A4976" t="s">
        <v>30</v>
      </c>
      <c r="B4976">
        <v>2018</v>
      </c>
      <c r="C4976" t="s">
        <v>36</v>
      </c>
      <c r="D4976" s="2">
        <v>43160</v>
      </c>
      <c r="E4976" t="s">
        <v>17</v>
      </c>
      <c r="F4976">
        <v>149.19999999999999</v>
      </c>
      <c r="G4976" t="str">
        <f>VLOOKUP(Table1_2[[#This Row],[Categories]],Sheet3!$A$1:$B$27,2,FALSE)</f>
        <v>Clothing and footwear</v>
      </c>
    </row>
    <row r="4977" spans="1:7" x14ac:dyDescent="0.3">
      <c r="A4977" t="s">
        <v>30</v>
      </c>
      <c r="B4977">
        <v>2018</v>
      </c>
      <c r="C4977" t="s">
        <v>36</v>
      </c>
      <c r="D4977" s="2">
        <v>43160</v>
      </c>
      <c r="E4977" t="s">
        <v>18</v>
      </c>
      <c r="F4977">
        <v>143</v>
      </c>
      <c r="G4977" t="str">
        <f>VLOOKUP(Table1_2[[#This Row],[Categories]],Sheet3!$A$1:$B$27,2,FALSE)</f>
        <v>Clothing and footwear</v>
      </c>
    </row>
    <row r="4978" spans="1:7" x14ac:dyDescent="0.3">
      <c r="A4978" t="s">
        <v>30</v>
      </c>
      <c r="B4978">
        <v>2018</v>
      </c>
      <c r="C4978" t="s">
        <v>36</v>
      </c>
      <c r="D4978" s="2">
        <v>43160</v>
      </c>
      <c r="E4978" t="s">
        <v>19</v>
      </c>
      <c r="F4978">
        <v>148.30000000000001</v>
      </c>
      <c r="G4978" t="str">
        <f>VLOOKUP(Table1_2[[#This Row],[Categories]],Sheet3!$A$1:$B$27,2,FALSE)</f>
        <v>Clothing and footwear</v>
      </c>
    </row>
    <row r="4979" spans="1:7" x14ac:dyDescent="0.3">
      <c r="A4979" t="s">
        <v>30</v>
      </c>
      <c r="B4979">
        <v>2018</v>
      </c>
      <c r="C4979" t="s">
        <v>36</v>
      </c>
      <c r="D4979" s="2">
        <v>43160</v>
      </c>
      <c r="E4979" t="s">
        <v>21</v>
      </c>
      <c r="F4979">
        <v>142.6</v>
      </c>
      <c r="G4979" t="str">
        <f>VLOOKUP(Table1_2[[#This Row],[Categories]],Sheet3!$A$1:$B$27,2,FALSE)</f>
        <v>Fuel and light</v>
      </c>
    </row>
    <row r="4980" spans="1:7" x14ac:dyDescent="0.3">
      <c r="A4980" t="s">
        <v>30</v>
      </c>
      <c r="B4980">
        <v>2018</v>
      </c>
      <c r="C4980" t="s">
        <v>36</v>
      </c>
      <c r="D4980" s="2">
        <v>43160</v>
      </c>
      <c r="E4980" t="s">
        <v>22</v>
      </c>
      <c r="F4980">
        <v>139.9</v>
      </c>
      <c r="G4980" t="str">
        <f>VLOOKUP(Table1_2[[#This Row],[Categories]],Sheet3!$A$1:$B$27,2,FALSE)</f>
        <v>Household Items</v>
      </c>
    </row>
    <row r="4981" spans="1:7" x14ac:dyDescent="0.3">
      <c r="A4981" t="s">
        <v>30</v>
      </c>
      <c r="B4981">
        <v>2018</v>
      </c>
      <c r="C4981" t="s">
        <v>36</v>
      </c>
      <c r="D4981" s="2">
        <v>43160</v>
      </c>
      <c r="E4981" t="s">
        <v>23</v>
      </c>
      <c r="F4981">
        <v>136.69999999999999</v>
      </c>
      <c r="G4981" t="str">
        <f>VLOOKUP(Table1_2[[#This Row],[Categories]],Sheet3!$A$1:$B$27,2,FALSE)</f>
        <v>Health</v>
      </c>
    </row>
    <row r="4982" spans="1:7" x14ac:dyDescent="0.3">
      <c r="A4982" t="s">
        <v>30</v>
      </c>
      <c r="B4982">
        <v>2018</v>
      </c>
      <c r="C4982" t="s">
        <v>36</v>
      </c>
      <c r="D4982" s="2">
        <v>43160</v>
      </c>
      <c r="E4982" t="s">
        <v>24</v>
      </c>
      <c r="F4982">
        <v>124.6</v>
      </c>
      <c r="G4982" t="str">
        <f>VLOOKUP(Table1_2[[#This Row],[Categories]],Sheet3!$A$1:$B$27,2,FALSE)</f>
        <v>Transport and communication</v>
      </c>
    </row>
    <row r="4983" spans="1:7" x14ac:dyDescent="0.3">
      <c r="A4983" t="s">
        <v>30</v>
      </c>
      <c r="B4983">
        <v>2018</v>
      </c>
      <c r="C4983" t="s">
        <v>36</v>
      </c>
      <c r="D4983" s="2">
        <v>43160</v>
      </c>
      <c r="E4983" t="s">
        <v>25</v>
      </c>
      <c r="F4983">
        <v>135.1</v>
      </c>
      <c r="G4983" t="str">
        <f>VLOOKUP(Table1_2[[#This Row],[Categories]],Sheet3!$A$1:$B$27,2,FALSE)</f>
        <v>Recreation and amusement</v>
      </c>
    </row>
    <row r="4984" spans="1:7" x14ac:dyDescent="0.3">
      <c r="A4984" t="s">
        <v>30</v>
      </c>
      <c r="B4984">
        <v>2018</v>
      </c>
      <c r="C4984" t="s">
        <v>36</v>
      </c>
      <c r="D4984" s="2">
        <v>43160</v>
      </c>
      <c r="E4984" t="s">
        <v>26</v>
      </c>
      <c r="F4984">
        <v>142.69999999999999</v>
      </c>
      <c r="G4984" t="str">
        <f>VLOOKUP(Table1_2[[#This Row],[Categories]],Sheet3!$A$1:$B$27,2,FALSE)</f>
        <v>Education</v>
      </c>
    </row>
    <row r="4985" spans="1:7" x14ac:dyDescent="0.3">
      <c r="A4985" t="s">
        <v>30</v>
      </c>
      <c r="B4985">
        <v>2018</v>
      </c>
      <c r="C4985" t="s">
        <v>36</v>
      </c>
      <c r="D4985" s="2">
        <v>43160</v>
      </c>
      <c r="E4985" t="s">
        <v>27</v>
      </c>
      <c r="F4985">
        <v>129.30000000000001</v>
      </c>
      <c r="G4985" t="str">
        <f>VLOOKUP(Table1_2[[#This Row],[Categories]],Sheet3!$A$1:$B$27,2,FALSE)</f>
        <v>Household Items</v>
      </c>
    </row>
    <row r="4986" spans="1:7" x14ac:dyDescent="0.3">
      <c r="A4986" t="s">
        <v>30</v>
      </c>
      <c r="B4986">
        <v>2018</v>
      </c>
      <c r="C4986" t="s">
        <v>36</v>
      </c>
      <c r="D4986" s="2">
        <v>43160</v>
      </c>
      <c r="E4986" t="s">
        <v>28</v>
      </c>
      <c r="F4986">
        <v>133.30000000000001</v>
      </c>
      <c r="G4986" t="str">
        <f>VLOOKUP(Table1_2[[#This Row],[Categories]],Sheet3!$A$1:$B$27,2,FALSE)</f>
        <v>Miscellaneous</v>
      </c>
    </row>
    <row r="4987" spans="1:7" x14ac:dyDescent="0.3">
      <c r="A4987" t="s">
        <v>30</v>
      </c>
      <c r="B4987">
        <v>2018</v>
      </c>
      <c r="C4987" t="s">
        <v>36</v>
      </c>
      <c r="D4987" s="2">
        <v>43160</v>
      </c>
      <c r="E4987" t="s">
        <v>29</v>
      </c>
      <c r="F4987">
        <v>138.69999999999999</v>
      </c>
      <c r="G4987" t="str">
        <f>VLOOKUP(Table1_2[[#This Row],[Categories]],Sheet3!$A$1:$B$27,2,FALSE)</f>
        <v>General index</v>
      </c>
    </row>
    <row r="4988" spans="1:7" x14ac:dyDescent="0.3">
      <c r="A4988" t="s">
        <v>33</v>
      </c>
      <c r="B4988">
        <v>2018</v>
      </c>
      <c r="C4988" t="s">
        <v>36</v>
      </c>
      <c r="D4988" s="2">
        <v>43160</v>
      </c>
      <c r="E4988" t="s">
        <v>3</v>
      </c>
      <c r="F4988">
        <v>135</v>
      </c>
      <c r="G4988" t="str">
        <f>VLOOKUP(Table1_2[[#This Row],[Categories]],Sheet3!$A$1:$B$27,2,FALSE)</f>
        <v>Food &amp;Beverage</v>
      </c>
    </row>
    <row r="4989" spans="1:7" x14ac:dyDescent="0.3">
      <c r="A4989" t="s">
        <v>33</v>
      </c>
      <c r="B4989">
        <v>2018</v>
      </c>
      <c r="C4989" t="s">
        <v>36</v>
      </c>
      <c r="D4989" s="2">
        <v>43160</v>
      </c>
      <c r="E4989" t="s">
        <v>4</v>
      </c>
      <c r="F4989">
        <v>143.1</v>
      </c>
      <c r="G4989" t="str">
        <f>VLOOKUP(Table1_2[[#This Row],[Categories]],Sheet3!$A$1:$B$27,2,FALSE)</f>
        <v>Food &amp;Beverage</v>
      </c>
    </row>
    <row r="4990" spans="1:7" x14ac:dyDescent="0.3">
      <c r="A4990" t="s">
        <v>33</v>
      </c>
      <c r="B4990">
        <v>2018</v>
      </c>
      <c r="C4990" t="s">
        <v>36</v>
      </c>
      <c r="D4990" s="2">
        <v>43160</v>
      </c>
      <c r="E4990" t="s">
        <v>5</v>
      </c>
      <c r="F4990">
        <v>135.5</v>
      </c>
      <c r="G4990" t="str">
        <f>VLOOKUP(Table1_2[[#This Row],[Categories]],Sheet3!$A$1:$B$27,2,FALSE)</f>
        <v>Food &amp;Beverage</v>
      </c>
    </row>
    <row r="4991" spans="1:7" x14ac:dyDescent="0.3">
      <c r="A4991" t="s">
        <v>33</v>
      </c>
      <c r="B4991">
        <v>2018</v>
      </c>
      <c r="C4991" t="s">
        <v>36</v>
      </c>
      <c r="D4991" s="2">
        <v>43160</v>
      </c>
      <c r="E4991" t="s">
        <v>6</v>
      </c>
      <c r="F4991">
        <v>139.9</v>
      </c>
      <c r="G4991" t="str">
        <f>VLOOKUP(Table1_2[[#This Row],[Categories]],Sheet3!$A$1:$B$27,2,FALSE)</f>
        <v>Food &amp;Beverage</v>
      </c>
    </row>
    <row r="4992" spans="1:7" x14ac:dyDescent="0.3">
      <c r="A4992" t="s">
        <v>33</v>
      </c>
      <c r="B4992">
        <v>2018</v>
      </c>
      <c r="C4992" t="s">
        <v>36</v>
      </c>
      <c r="D4992" s="2">
        <v>43160</v>
      </c>
      <c r="E4992" t="s">
        <v>7</v>
      </c>
      <c r="F4992">
        <v>116.5</v>
      </c>
      <c r="G4992" t="str">
        <f>VLOOKUP(Table1_2[[#This Row],[Categories]],Sheet3!$A$1:$B$27,2,FALSE)</f>
        <v>Food &amp;Beverage</v>
      </c>
    </row>
    <row r="4993" spans="1:7" x14ac:dyDescent="0.3">
      <c r="A4993" t="s">
        <v>33</v>
      </c>
      <c r="B4993">
        <v>2018</v>
      </c>
      <c r="C4993" t="s">
        <v>36</v>
      </c>
      <c r="D4993" s="2">
        <v>43160</v>
      </c>
      <c r="E4993" t="s">
        <v>8</v>
      </c>
      <c r="F4993">
        <v>138.5</v>
      </c>
      <c r="G4993" t="str">
        <f>VLOOKUP(Table1_2[[#This Row],[Categories]],Sheet3!$A$1:$B$27,2,FALSE)</f>
        <v>Food &amp;Beverage</v>
      </c>
    </row>
    <row r="4994" spans="1:7" x14ac:dyDescent="0.3">
      <c r="A4994" t="s">
        <v>33</v>
      </c>
      <c r="B4994">
        <v>2018</v>
      </c>
      <c r="C4994" t="s">
        <v>36</v>
      </c>
      <c r="D4994" s="2">
        <v>43160</v>
      </c>
      <c r="E4994" t="s">
        <v>9</v>
      </c>
      <c r="F4994">
        <v>128</v>
      </c>
      <c r="G4994" t="str">
        <f>VLOOKUP(Table1_2[[#This Row],[Categories]],Sheet3!$A$1:$B$27,2,FALSE)</f>
        <v>Food &amp;Beverage</v>
      </c>
    </row>
    <row r="4995" spans="1:7" x14ac:dyDescent="0.3">
      <c r="A4995" t="s">
        <v>33</v>
      </c>
      <c r="B4995">
        <v>2018</v>
      </c>
      <c r="C4995" t="s">
        <v>36</v>
      </c>
      <c r="D4995" s="2">
        <v>43160</v>
      </c>
      <c r="E4995" t="s">
        <v>10</v>
      </c>
      <c r="F4995">
        <v>115.5</v>
      </c>
      <c r="G4995" t="str">
        <f>VLOOKUP(Table1_2[[#This Row],[Categories]],Sheet3!$A$1:$B$27,2,FALSE)</f>
        <v>Food &amp;Beverage</v>
      </c>
    </row>
    <row r="4996" spans="1:7" x14ac:dyDescent="0.3">
      <c r="A4996" t="s">
        <v>33</v>
      </c>
      <c r="B4996">
        <v>2018</v>
      </c>
      <c r="C4996" t="s">
        <v>36</v>
      </c>
      <c r="D4996" s="2">
        <v>43160</v>
      </c>
      <c r="E4996" t="s">
        <v>11</v>
      </c>
      <c r="F4996">
        <v>114.2</v>
      </c>
      <c r="G4996" t="str">
        <f>VLOOKUP(Table1_2[[#This Row],[Categories]],Sheet3!$A$1:$B$27,2,FALSE)</f>
        <v>Food &amp;Beverage</v>
      </c>
    </row>
    <row r="4997" spans="1:7" x14ac:dyDescent="0.3">
      <c r="A4997" t="s">
        <v>33</v>
      </c>
      <c r="B4997">
        <v>2018</v>
      </c>
      <c r="C4997" t="s">
        <v>36</v>
      </c>
      <c r="D4997" s="2">
        <v>43160</v>
      </c>
      <c r="E4997" t="s">
        <v>12</v>
      </c>
      <c r="F4997">
        <v>140.69999999999999</v>
      </c>
      <c r="G4997" t="str">
        <f>VLOOKUP(Table1_2[[#This Row],[Categories]],Sheet3!$A$1:$B$27,2,FALSE)</f>
        <v>Food &amp;Beverage</v>
      </c>
    </row>
    <row r="4998" spans="1:7" x14ac:dyDescent="0.3">
      <c r="A4998" t="s">
        <v>33</v>
      </c>
      <c r="B4998">
        <v>2018</v>
      </c>
      <c r="C4998" t="s">
        <v>36</v>
      </c>
      <c r="D4998" s="2">
        <v>43160</v>
      </c>
      <c r="E4998" t="s">
        <v>13</v>
      </c>
      <c r="F4998">
        <v>126.2</v>
      </c>
      <c r="G4998" t="str">
        <f>VLOOKUP(Table1_2[[#This Row],[Categories]],Sheet3!$A$1:$B$27,2,FALSE)</f>
        <v>Food &amp;Beverage</v>
      </c>
    </row>
    <row r="4999" spans="1:7" x14ac:dyDescent="0.3">
      <c r="A4999" t="s">
        <v>33</v>
      </c>
      <c r="B4999">
        <v>2018</v>
      </c>
      <c r="C4999" t="s">
        <v>36</v>
      </c>
      <c r="D4999" s="2">
        <v>43160</v>
      </c>
      <c r="E4999" t="s">
        <v>14</v>
      </c>
      <c r="F4999">
        <v>147.6</v>
      </c>
      <c r="G4999" t="str">
        <f>VLOOKUP(Table1_2[[#This Row],[Categories]],Sheet3!$A$1:$B$27,2,FALSE)</f>
        <v>Food &amp;Beverage</v>
      </c>
    </row>
    <row r="5000" spans="1:7" x14ac:dyDescent="0.3">
      <c r="A5000" t="s">
        <v>33</v>
      </c>
      <c r="B5000">
        <v>2018</v>
      </c>
      <c r="C5000" t="s">
        <v>36</v>
      </c>
      <c r="D5000" s="2">
        <v>43160</v>
      </c>
      <c r="E5000" t="s">
        <v>15</v>
      </c>
      <c r="F5000">
        <v>134.80000000000001</v>
      </c>
      <c r="G5000" t="str">
        <f>VLOOKUP(Table1_2[[#This Row],[Categories]],Sheet3!$A$1:$B$27,2,FALSE)</f>
        <v>Food &amp;Beverage</v>
      </c>
    </row>
    <row r="5001" spans="1:7" x14ac:dyDescent="0.3">
      <c r="A5001" t="s">
        <v>33</v>
      </c>
      <c r="B5001">
        <v>2018</v>
      </c>
      <c r="C5001" t="s">
        <v>36</v>
      </c>
      <c r="D5001" s="2">
        <v>43160</v>
      </c>
      <c r="E5001" t="s">
        <v>16</v>
      </c>
      <c r="F5001">
        <v>159.69999999999999</v>
      </c>
      <c r="G5001" t="str">
        <f>VLOOKUP(Table1_2[[#This Row],[Categories]],Sheet3!$A$1:$B$27,2,FALSE)</f>
        <v>Recreation and amusement</v>
      </c>
    </row>
    <row r="5002" spans="1:7" x14ac:dyDescent="0.3">
      <c r="A5002" t="s">
        <v>33</v>
      </c>
      <c r="B5002">
        <v>2018</v>
      </c>
      <c r="C5002" t="s">
        <v>36</v>
      </c>
      <c r="D5002" s="2">
        <v>43160</v>
      </c>
      <c r="E5002" t="s">
        <v>17</v>
      </c>
      <c r="F5002">
        <v>136.69999999999999</v>
      </c>
      <c r="G5002" t="str">
        <f>VLOOKUP(Table1_2[[#This Row],[Categories]],Sheet3!$A$1:$B$27,2,FALSE)</f>
        <v>Clothing and footwear</v>
      </c>
    </row>
    <row r="5003" spans="1:7" x14ac:dyDescent="0.3">
      <c r="A5003" t="s">
        <v>33</v>
      </c>
      <c r="B5003">
        <v>2018</v>
      </c>
      <c r="C5003" t="s">
        <v>36</v>
      </c>
      <c r="D5003" s="2">
        <v>43160</v>
      </c>
      <c r="E5003" t="s">
        <v>18</v>
      </c>
      <c r="F5003">
        <v>126.7</v>
      </c>
      <c r="G5003" t="str">
        <f>VLOOKUP(Table1_2[[#This Row],[Categories]],Sheet3!$A$1:$B$27,2,FALSE)</f>
        <v>Clothing and footwear</v>
      </c>
    </row>
    <row r="5004" spans="1:7" x14ac:dyDescent="0.3">
      <c r="A5004" t="s">
        <v>33</v>
      </c>
      <c r="B5004">
        <v>2018</v>
      </c>
      <c r="C5004" t="s">
        <v>36</v>
      </c>
      <c r="D5004" s="2">
        <v>43160</v>
      </c>
      <c r="E5004" t="s">
        <v>19</v>
      </c>
      <c r="F5004">
        <v>135.19999999999999</v>
      </c>
      <c r="G5004" t="str">
        <f>VLOOKUP(Table1_2[[#This Row],[Categories]],Sheet3!$A$1:$B$27,2,FALSE)</f>
        <v>Clothing and footwear</v>
      </c>
    </row>
    <row r="5005" spans="1:7" x14ac:dyDescent="0.3">
      <c r="A5005" t="s">
        <v>33</v>
      </c>
      <c r="B5005">
        <v>2018</v>
      </c>
      <c r="C5005" t="s">
        <v>36</v>
      </c>
      <c r="D5005" s="2">
        <v>43160</v>
      </c>
      <c r="E5005" t="s">
        <v>20</v>
      </c>
      <c r="F5005">
        <v>142</v>
      </c>
      <c r="G5005" t="str">
        <f>VLOOKUP(Table1_2[[#This Row],[Categories]],Sheet3!$A$1:$B$27,2,FALSE)</f>
        <v>Housing</v>
      </c>
    </row>
    <row r="5006" spans="1:7" x14ac:dyDescent="0.3">
      <c r="A5006" t="s">
        <v>33</v>
      </c>
      <c r="B5006">
        <v>2018</v>
      </c>
      <c r="C5006" t="s">
        <v>36</v>
      </c>
      <c r="D5006" s="2">
        <v>43160</v>
      </c>
      <c r="E5006" t="s">
        <v>21</v>
      </c>
      <c r="F5006">
        <v>126.4</v>
      </c>
      <c r="G5006" t="str">
        <f>VLOOKUP(Table1_2[[#This Row],[Categories]],Sheet3!$A$1:$B$27,2,FALSE)</f>
        <v>Fuel and light</v>
      </c>
    </row>
    <row r="5007" spans="1:7" x14ac:dyDescent="0.3">
      <c r="A5007" t="s">
        <v>33</v>
      </c>
      <c r="B5007">
        <v>2018</v>
      </c>
      <c r="C5007" t="s">
        <v>36</v>
      </c>
      <c r="D5007" s="2">
        <v>43160</v>
      </c>
      <c r="E5007" t="s">
        <v>22</v>
      </c>
      <c r="F5007">
        <v>130.80000000000001</v>
      </c>
      <c r="G5007" t="str">
        <f>VLOOKUP(Table1_2[[#This Row],[Categories]],Sheet3!$A$1:$B$27,2,FALSE)</f>
        <v>Household Items</v>
      </c>
    </row>
    <row r="5008" spans="1:7" x14ac:dyDescent="0.3">
      <c r="A5008" t="s">
        <v>33</v>
      </c>
      <c r="B5008">
        <v>2018</v>
      </c>
      <c r="C5008" t="s">
        <v>36</v>
      </c>
      <c r="D5008" s="2">
        <v>43160</v>
      </c>
      <c r="E5008" t="s">
        <v>23</v>
      </c>
      <c r="F5008">
        <v>130.5</v>
      </c>
      <c r="G5008" t="str">
        <f>VLOOKUP(Table1_2[[#This Row],[Categories]],Sheet3!$A$1:$B$27,2,FALSE)</f>
        <v>Health</v>
      </c>
    </row>
    <row r="5009" spans="1:7" x14ac:dyDescent="0.3">
      <c r="A5009" t="s">
        <v>33</v>
      </c>
      <c r="B5009">
        <v>2018</v>
      </c>
      <c r="C5009" t="s">
        <v>36</v>
      </c>
      <c r="D5009" s="2">
        <v>43160</v>
      </c>
      <c r="E5009" t="s">
        <v>24</v>
      </c>
      <c r="F5009">
        <v>117.8</v>
      </c>
      <c r="G5009" t="str">
        <f>VLOOKUP(Table1_2[[#This Row],[Categories]],Sheet3!$A$1:$B$27,2,FALSE)</f>
        <v>Transport and communication</v>
      </c>
    </row>
    <row r="5010" spans="1:7" x14ac:dyDescent="0.3">
      <c r="A5010" t="s">
        <v>33</v>
      </c>
      <c r="B5010">
        <v>2018</v>
      </c>
      <c r="C5010" t="s">
        <v>36</v>
      </c>
      <c r="D5010" s="2">
        <v>43160</v>
      </c>
      <c r="E5010" t="s">
        <v>25</v>
      </c>
      <c r="F5010">
        <v>126.8</v>
      </c>
      <c r="G5010" t="str">
        <f>VLOOKUP(Table1_2[[#This Row],[Categories]],Sheet3!$A$1:$B$27,2,FALSE)</f>
        <v>Recreation and amusement</v>
      </c>
    </row>
    <row r="5011" spans="1:7" x14ac:dyDescent="0.3">
      <c r="A5011" t="s">
        <v>33</v>
      </c>
      <c r="B5011">
        <v>2018</v>
      </c>
      <c r="C5011" t="s">
        <v>36</v>
      </c>
      <c r="D5011" s="2">
        <v>43160</v>
      </c>
      <c r="E5011" t="s">
        <v>26</v>
      </c>
      <c r="F5011">
        <v>137.80000000000001</v>
      </c>
      <c r="G5011" t="str">
        <f>VLOOKUP(Table1_2[[#This Row],[Categories]],Sheet3!$A$1:$B$27,2,FALSE)</f>
        <v>Education</v>
      </c>
    </row>
    <row r="5012" spans="1:7" x14ac:dyDescent="0.3">
      <c r="A5012" t="s">
        <v>33</v>
      </c>
      <c r="B5012">
        <v>2018</v>
      </c>
      <c r="C5012" t="s">
        <v>36</v>
      </c>
      <c r="D5012" s="2">
        <v>43160</v>
      </c>
      <c r="E5012" t="s">
        <v>27</v>
      </c>
      <c r="F5012">
        <v>126.7</v>
      </c>
      <c r="G5012" t="str">
        <f>VLOOKUP(Table1_2[[#This Row],[Categories]],Sheet3!$A$1:$B$27,2,FALSE)</f>
        <v>Household Items</v>
      </c>
    </row>
    <row r="5013" spans="1:7" x14ac:dyDescent="0.3">
      <c r="A5013" t="s">
        <v>33</v>
      </c>
      <c r="B5013">
        <v>2018</v>
      </c>
      <c r="C5013" t="s">
        <v>36</v>
      </c>
      <c r="D5013" s="2">
        <v>43160</v>
      </c>
      <c r="E5013" t="s">
        <v>28</v>
      </c>
      <c r="F5013">
        <v>127.1</v>
      </c>
      <c r="G5013" t="str">
        <f>VLOOKUP(Table1_2[[#This Row],[Categories]],Sheet3!$A$1:$B$27,2,FALSE)</f>
        <v>Miscellaneous</v>
      </c>
    </row>
    <row r="5014" spans="1:7" x14ac:dyDescent="0.3">
      <c r="A5014" t="s">
        <v>33</v>
      </c>
      <c r="B5014">
        <v>2018</v>
      </c>
      <c r="C5014" t="s">
        <v>36</v>
      </c>
      <c r="D5014" s="2">
        <v>43160</v>
      </c>
      <c r="E5014" t="s">
        <v>29</v>
      </c>
      <c r="F5014">
        <v>134</v>
      </c>
      <c r="G5014" t="str">
        <f>VLOOKUP(Table1_2[[#This Row],[Categories]],Sheet3!$A$1:$B$27,2,FALSE)</f>
        <v>General index</v>
      </c>
    </row>
    <row r="5015" spans="1:7" x14ac:dyDescent="0.3">
      <c r="A5015" t="s">
        <v>34</v>
      </c>
      <c r="B5015">
        <v>2018</v>
      </c>
      <c r="C5015" t="s">
        <v>36</v>
      </c>
      <c r="D5015" s="2">
        <v>43160</v>
      </c>
      <c r="E5015" t="s">
        <v>3</v>
      </c>
      <c r="F5015">
        <v>136.19999999999999</v>
      </c>
      <c r="G5015" t="str">
        <f>VLOOKUP(Table1_2[[#This Row],[Categories]],Sheet3!$A$1:$B$27,2,FALSE)</f>
        <v>Food &amp;Beverage</v>
      </c>
    </row>
    <row r="5016" spans="1:7" x14ac:dyDescent="0.3">
      <c r="A5016" t="s">
        <v>34</v>
      </c>
      <c r="B5016">
        <v>2018</v>
      </c>
      <c r="C5016" t="s">
        <v>36</v>
      </c>
      <c r="D5016" s="2">
        <v>43160</v>
      </c>
      <c r="E5016" t="s">
        <v>4</v>
      </c>
      <c r="F5016">
        <v>143.6</v>
      </c>
      <c r="G5016" t="str">
        <f>VLOOKUP(Table1_2[[#This Row],[Categories]],Sheet3!$A$1:$B$27,2,FALSE)</f>
        <v>Food &amp;Beverage</v>
      </c>
    </row>
    <row r="5017" spans="1:7" x14ac:dyDescent="0.3">
      <c r="A5017" t="s">
        <v>34</v>
      </c>
      <c r="B5017">
        <v>2018</v>
      </c>
      <c r="C5017" t="s">
        <v>36</v>
      </c>
      <c r="D5017" s="2">
        <v>43160</v>
      </c>
      <c r="E5017" t="s">
        <v>5</v>
      </c>
      <c r="F5017">
        <v>138.30000000000001</v>
      </c>
      <c r="G5017" t="str">
        <f>VLOOKUP(Table1_2[[#This Row],[Categories]],Sheet3!$A$1:$B$27,2,FALSE)</f>
        <v>Food &amp;Beverage</v>
      </c>
    </row>
    <row r="5018" spans="1:7" x14ac:dyDescent="0.3">
      <c r="A5018" t="s">
        <v>34</v>
      </c>
      <c r="B5018">
        <v>2018</v>
      </c>
      <c r="C5018" t="s">
        <v>36</v>
      </c>
      <c r="D5018" s="2">
        <v>43160</v>
      </c>
      <c r="E5018" t="s">
        <v>6</v>
      </c>
      <c r="F5018">
        <v>141.19999999999999</v>
      </c>
      <c r="G5018" t="str">
        <f>VLOOKUP(Table1_2[[#This Row],[Categories]],Sheet3!$A$1:$B$27,2,FALSE)</f>
        <v>Food &amp;Beverage</v>
      </c>
    </row>
    <row r="5019" spans="1:7" x14ac:dyDescent="0.3">
      <c r="A5019" t="s">
        <v>34</v>
      </c>
      <c r="B5019">
        <v>2018</v>
      </c>
      <c r="C5019" t="s">
        <v>36</v>
      </c>
      <c r="D5019" s="2">
        <v>43160</v>
      </c>
      <c r="E5019" t="s">
        <v>7</v>
      </c>
      <c r="F5019">
        <v>120.7</v>
      </c>
      <c r="G5019" t="str">
        <f>VLOOKUP(Table1_2[[#This Row],[Categories]],Sheet3!$A$1:$B$27,2,FALSE)</f>
        <v>Food &amp;Beverage</v>
      </c>
    </row>
    <row r="5020" spans="1:7" x14ac:dyDescent="0.3">
      <c r="A5020" t="s">
        <v>34</v>
      </c>
      <c r="B5020">
        <v>2018</v>
      </c>
      <c r="C5020" t="s">
        <v>36</v>
      </c>
      <c r="D5020" s="2">
        <v>43160</v>
      </c>
      <c r="E5020" t="s">
        <v>8</v>
      </c>
      <c r="F5020">
        <v>146.19999999999999</v>
      </c>
      <c r="G5020" t="str">
        <f>VLOOKUP(Table1_2[[#This Row],[Categories]],Sheet3!$A$1:$B$27,2,FALSE)</f>
        <v>Food &amp;Beverage</v>
      </c>
    </row>
    <row r="5021" spans="1:7" x14ac:dyDescent="0.3">
      <c r="A5021" t="s">
        <v>34</v>
      </c>
      <c r="B5021">
        <v>2018</v>
      </c>
      <c r="C5021" t="s">
        <v>36</v>
      </c>
      <c r="D5021" s="2">
        <v>43160</v>
      </c>
      <c r="E5021" t="s">
        <v>9</v>
      </c>
      <c r="F5021">
        <v>134.6</v>
      </c>
      <c r="G5021" t="str">
        <f>VLOOKUP(Table1_2[[#This Row],[Categories]],Sheet3!$A$1:$B$27,2,FALSE)</f>
        <v>Food &amp;Beverage</v>
      </c>
    </row>
    <row r="5022" spans="1:7" x14ac:dyDescent="0.3">
      <c r="A5022" t="s">
        <v>34</v>
      </c>
      <c r="B5022">
        <v>2018</v>
      </c>
      <c r="C5022" t="s">
        <v>36</v>
      </c>
      <c r="D5022" s="2">
        <v>43160</v>
      </c>
      <c r="E5022" t="s">
        <v>10</v>
      </c>
      <c r="F5022">
        <v>124.6</v>
      </c>
      <c r="G5022" t="str">
        <f>VLOOKUP(Table1_2[[#This Row],[Categories]],Sheet3!$A$1:$B$27,2,FALSE)</f>
        <v>Food &amp;Beverage</v>
      </c>
    </row>
    <row r="5023" spans="1:7" x14ac:dyDescent="0.3">
      <c r="A5023" t="s">
        <v>34</v>
      </c>
      <c r="B5023">
        <v>2018</v>
      </c>
      <c r="C5023" t="s">
        <v>36</v>
      </c>
      <c r="D5023" s="2">
        <v>43160</v>
      </c>
      <c r="E5023" t="s">
        <v>11</v>
      </c>
      <c r="F5023">
        <v>116.1</v>
      </c>
      <c r="G5023" t="str">
        <f>VLOOKUP(Table1_2[[#This Row],[Categories]],Sheet3!$A$1:$B$27,2,FALSE)</f>
        <v>Food &amp;Beverage</v>
      </c>
    </row>
    <row r="5024" spans="1:7" x14ac:dyDescent="0.3">
      <c r="A5024" t="s">
        <v>34</v>
      </c>
      <c r="B5024">
        <v>2018</v>
      </c>
      <c r="C5024" t="s">
        <v>36</v>
      </c>
      <c r="D5024" s="2">
        <v>43160</v>
      </c>
      <c r="E5024" t="s">
        <v>12</v>
      </c>
      <c r="F5024">
        <v>137.80000000000001</v>
      </c>
      <c r="G5024" t="str">
        <f>VLOOKUP(Table1_2[[#This Row],[Categories]],Sheet3!$A$1:$B$27,2,FALSE)</f>
        <v>Food &amp;Beverage</v>
      </c>
    </row>
    <row r="5025" spans="1:7" x14ac:dyDescent="0.3">
      <c r="A5025" t="s">
        <v>34</v>
      </c>
      <c r="B5025">
        <v>2018</v>
      </c>
      <c r="C5025" t="s">
        <v>36</v>
      </c>
      <c r="D5025" s="2">
        <v>43160</v>
      </c>
      <c r="E5025" t="s">
        <v>13</v>
      </c>
      <c r="F5025">
        <v>129.1</v>
      </c>
      <c r="G5025" t="str">
        <f>VLOOKUP(Table1_2[[#This Row],[Categories]],Sheet3!$A$1:$B$27,2,FALSE)</f>
        <v>Food &amp;Beverage</v>
      </c>
    </row>
    <row r="5026" spans="1:7" x14ac:dyDescent="0.3">
      <c r="A5026" t="s">
        <v>34</v>
      </c>
      <c r="B5026">
        <v>2018</v>
      </c>
      <c r="C5026" t="s">
        <v>36</v>
      </c>
      <c r="D5026" s="2">
        <v>43160</v>
      </c>
      <c r="E5026" t="s">
        <v>14</v>
      </c>
      <c r="F5026">
        <v>150.4</v>
      </c>
      <c r="G5026" t="str">
        <f>VLOOKUP(Table1_2[[#This Row],[Categories]],Sheet3!$A$1:$B$27,2,FALSE)</f>
        <v>Food &amp;Beverage</v>
      </c>
    </row>
    <row r="5027" spans="1:7" x14ac:dyDescent="0.3">
      <c r="A5027" t="s">
        <v>34</v>
      </c>
      <c r="B5027">
        <v>2018</v>
      </c>
      <c r="C5027" t="s">
        <v>36</v>
      </c>
      <c r="D5027" s="2">
        <v>43160</v>
      </c>
      <c r="E5027" t="s">
        <v>15</v>
      </c>
      <c r="F5027">
        <v>137.19999999999999</v>
      </c>
      <c r="G5027" t="str">
        <f>VLOOKUP(Table1_2[[#This Row],[Categories]],Sheet3!$A$1:$B$27,2,FALSE)</f>
        <v>Food &amp;Beverage</v>
      </c>
    </row>
    <row r="5028" spans="1:7" x14ac:dyDescent="0.3">
      <c r="A5028" t="s">
        <v>34</v>
      </c>
      <c r="B5028">
        <v>2018</v>
      </c>
      <c r="C5028" t="s">
        <v>36</v>
      </c>
      <c r="D5028" s="2">
        <v>43160</v>
      </c>
      <c r="E5028" t="s">
        <v>16</v>
      </c>
      <c r="F5028">
        <v>156.30000000000001</v>
      </c>
      <c r="G5028" t="str">
        <f>VLOOKUP(Table1_2[[#This Row],[Categories]],Sheet3!$A$1:$B$27,2,FALSE)</f>
        <v>Recreation and amusement</v>
      </c>
    </row>
    <row r="5029" spans="1:7" x14ac:dyDescent="0.3">
      <c r="A5029" t="s">
        <v>34</v>
      </c>
      <c r="B5029">
        <v>2018</v>
      </c>
      <c r="C5029" t="s">
        <v>36</v>
      </c>
      <c r="D5029" s="2">
        <v>43160</v>
      </c>
      <c r="E5029" t="s">
        <v>17</v>
      </c>
      <c r="F5029">
        <v>144.30000000000001</v>
      </c>
      <c r="G5029" t="str">
        <f>VLOOKUP(Table1_2[[#This Row],[Categories]],Sheet3!$A$1:$B$27,2,FALSE)</f>
        <v>Clothing and footwear</v>
      </c>
    </row>
    <row r="5030" spans="1:7" x14ac:dyDescent="0.3">
      <c r="A5030" t="s">
        <v>34</v>
      </c>
      <c r="B5030">
        <v>2018</v>
      </c>
      <c r="C5030" t="s">
        <v>36</v>
      </c>
      <c r="D5030" s="2">
        <v>43160</v>
      </c>
      <c r="E5030" t="s">
        <v>18</v>
      </c>
      <c r="F5030">
        <v>136.19999999999999</v>
      </c>
      <c r="G5030" t="str">
        <f>VLOOKUP(Table1_2[[#This Row],[Categories]],Sheet3!$A$1:$B$27,2,FALSE)</f>
        <v>Clothing and footwear</v>
      </c>
    </row>
    <row r="5031" spans="1:7" x14ac:dyDescent="0.3">
      <c r="A5031" t="s">
        <v>34</v>
      </c>
      <c r="B5031">
        <v>2018</v>
      </c>
      <c r="C5031" t="s">
        <v>36</v>
      </c>
      <c r="D5031" s="2">
        <v>43160</v>
      </c>
      <c r="E5031" t="s">
        <v>19</v>
      </c>
      <c r="F5031">
        <v>143.1</v>
      </c>
      <c r="G5031" t="str">
        <f>VLOOKUP(Table1_2[[#This Row],[Categories]],Sheet3!$A$1:$B$27,2,FALSE)</f>
        <v>Clothing and footwear</v>
      </c>
    </row>
    <row r="5032" spans="1:7" x14ac:dyDescent="0.3">
      <c r="A5032" t="s">
        <v>34</v>
      </c>
      <c r="B5032">
        <v>2018</v>
      </c>
      <c r="C5032" t="s">
        <v>36</v>
      </c>
      <c r="D5032" s="2">
        <v>43160</v>
      </c>
      <c r="E5032" t="s">
        <v>20</v>
      </c>
      <c r="F5032">
        <v>142</v>
      </c>
      <c r="G5032" t="str">
        <f>VLOOKUP(Table1_2[[#This Row],[Categories]],Sheet3!$A$1:$B$27,2,FALSE)</f>
        <v>Housing</v>
      </c>
    </row>
    <row r="5033" spans="1:7" x14ac:dyDescent="0.3">
      <c r="A5033" t="s">
        <v>34</v>
      </c>
      <c r="B5033">
        <v>2018</v>
      </c>
      <c r="C5033" t="s">
        <v>36</v>
      </c>
      <c r="D5033" s="2">
        <v>43160</v>
      </c>
      <c r="E5033" t="s">
        <v>21</v>
      </c>
      <c r="F5033">
        <v>136.5</v>
      </c>
      <c r="G5033" t="str">
        <f>VLOOKUP(Table1_2[[#This Row],[Categories]],Sheet3!$A$1:$B$27,2,FALSE)</f>
        <v>Fuel and light</v>
      </c>
    </row>
    <row r="5034" spans="1:7" x14ac:dyDescent="0.3">
      <c r="A5034" t="s">
        <v>34</v>
      </c>
      <c r="B5034">
        <v>2018</v>
      </c>
      <c r="C5034" t="s">
        <v>36</v>
      </c>
      <c r="D5034" s="2">
        <v>43160</v>
      </c>
      <c r="E5034" t="s">
        <v>22</v>
      </c>
      <c r="F5034">
        <v>135.6</v>
      </c>
      <c r="G5034" t="str">
        <f>VLOOKUP(Table1_2[[#This Row],[Categories]],Sheet3!$A$1:$B$27,2,FALSE)</f>
        <v>Household Items</v>
      </c>
    </row>
    <row r="5035" spans="1:7" x14ac:dyDescent="0.3">
      <c r="A5035" t="s">
        <v>34</v>
      </c>
      <c r="B5035">
        <v>2018</v>
      </c>
      <c r="C5035" t="s">
        <v>36</v>
      </c>
      <c r="D5035" s="2">
        <v>43160</v>
      </c>
      <c r="E5035" t="s">
        <v>23</v>
      </c>
      <c r="F5035">
        <v>134.30000000000001</v>
      </c>
      <c r="G5035" t="str">
        <f>VLOOKUP(Table1_2[[#This Row],[Categories]],Sheet3!$A$1:$B$27,2,FALSE)</f>
        <v>Health</v>
      </c>
    </row>
    <row r="5036" spans="1:7" x14ac:dyDescent="0.3">
      <c r="A5036" t="s">
        <v>34</v>
      </c>
      <c r="B5036">
        <v>2018</v>
      </c>
      <c r="C5036" t="s">
        <v>36</v>
      </c>
      <c r="D5036" s="2">
        <v>43160</v>
      </c>
      <c r="E5036" t="s">
        <v>24</v>
      </c>
      <c r="F5036">
        <v>121</v>
      </c>
      <c r="G5036" t="str">
        <f>VLOOKUP(Table1_2[[#This Row],[Categories]],Sheet3!$A$1:$B$27,2,FALSE)</f>
        <v>Transport and communication</v>
      </c>
    </row>
    <row r="5037" spans="1:7" x14ac:dyDescent="0.3">
      <c r="A5037" t="s">
        <v>34</v>
      </c>
      <c r="B5037">
        <v>2018</v>
      </c>
      <c r="C5037" t="s">
        <v>36</v>
      </c>
      <c r="D5037" s="2">
        <v>43160</v>
      </c>
      <c r="E5037" t="s">
        <v>25</v>
      </c>
      <c r="F5037">
        <v>130.4</v>
      </c>
      <c r="G5037" t="str">
        <f>VLOOKUP(Table1_2[[#This Row],[Categories]],Sheet3!$A$1:$B$27,2,FALSE)</f>
        <v>Recreation and amusement</v>
      </c>
    </row>
    <row r="5038" spans="1:7" x14ac:dyDescent="0.3">
      <c r="A5038" t="s">
        <v>34</v>
      </c>
      <c r="B5038">
        <v>2018</v>
      </c>
      <c r="C5038" t="s">
        <v>36</v>
      </c>
      <c r="D5038" s="2">
        <v>43160</v>
      </c>
      <c r="E5038" t="s">
        <v>26</v>
      </c>
      <c r="F5038">
        <v>139.80000000000001</v>
      </c>
      <c r="G5038" t="str">
        <f>VLOOKUP(Table1_2[[#This Row],[Categories]],Sheet3!$A$1:$B$27,2,FALSE)</f>
        <v>Education</v>
      </c>
    </row>
    <row r="5039" spans="1:7" x14ac:dyDescent="0.3">
      <c r="A5039" t="s">
        <v>34</v>
      </c>
      <c r="B5039">
        <v>2018</v>
      </c>
      <c r="C5039" t="s">
        <v>36</v>
      </c>
      <c r="D5039" s="2">
        <v>43160</v>
      </c>
      <c r="E5039" t="s">
        <v>27</v>
      </c>
      <c r="F5039">
        <v>128.19999999999999</v>
      </c>
      <c r="G5039" t="str">
        <f>VLOOKUP(Table1_2[[#This Row],[Categories]],Sheet3!$A$1:$B$27,2,FALSE)</f>
        <v>Household Items</v>
      </c>
    </row>
    <row r="5040" spans="1:7" x14ac:dyDescent="0.3">
      <c r="A5040" t="s">
        <v>34</v>
      </c>
      <c r="B5040">
        <v>2018</v>
      </c>
      <c r="C5040" t="s">
        <v>36</v>
      </c>
      <c r="D5040" s="2">
        <v>43160</v>
      </c>
      <c r="E5040" t="s">
        <v>28</v>
      </c>
      <c r="F5040">
        <v>130.30000000000001</v>
      </c>
      <c r="G5040" t="str">
        <f>VLOOKUP(Table1_2[[#This Row],[Categories]],Sheet3!$A$1:$B$27,2,FALSE)</f>
        <v>Miscellaneous</v>
      </c>
    </row>
    <row r="5041" spans="1:7" x14ac:dyDescent="0.3">
      <c r="A5041" t="s">
        <v>34</v>
      </c>
      <c r="B5041">
        <v>2018</v>
      </c>
      <c r="C5041" t="s">
        <v>36</v>
      </c>
      <c r="D5041" s="2">
        <v>43160</v>
      </c>
      <c r="E5041" t="s">
        <v>29</v>
      </c>
      <c r="F5041">
        <v>136.5</v>
      </c>
      <c r="G5041" t="str">
        <f>VLOOKUP(Table1_2[[#This Row],[Categories]],Sheet3!$A$1:$B$27,2,FALSE)</f>
        <v>General index</v>
      </c>
    </row>
    <row r="5042" spans="1:7" x14ac:dyDescent="0.3">
      <c r="A5042" t="s">
        <v>30</v>
      </c>
      <c r="B5042">
        <v>2018</v>
      </c>
      <c r="C5042" t="s">
        <v>37</v>
      </c>
      <c r="D5042" s="2">
        <v>43191</v>
      </c>
      <c r="E5042" t="s">
        <v>3</v>
      </c>
      <c r="F5042">
        <v>137.1</v>
      </c>
      <c r="G5042" t="str">
        <f>VLOOKUP(Table1_2[[#This Row],[Categories]],Sheet3!$A$1:$B$27,2,FALSE)</f>
        <v>Food &amp;Beverage</v>
      </c>
    </row>
    <row r="5043" spans="1:7" x14ac:dyDescent="0.3">
      <c r="A5043" t="s">
        <v>30</v>
      </c>
      <c r="B5043">
        <v>2018</v>
      </c>
      <c r="C5043" t="s">
        <v>37</v>
      </c>
      <c r="D5043" s="2">
        <v>43191</v>
      </c>
      <c r="E5043" t="s">
        <v>4</v>
      </c>
      <c r="F5043">
        <v>144.5</v>
      </c>
      <c r="G5043" t="str">
        <f>VLOOKUP(Table1_2[[#This Row],[Categories]],Sheet3!$A$1:$B$27,2,FALSE)</f>
        <v>Food &amp;Beverage</v>
      </c>
    </row>
    <row r="5044" spans="1:7" x14ac:dyDescent="0.3">
      <c r="A5044" t="s">
        <v>30</v>
      </c>
      <c r="B5044">
        <v>2018</v>
      </c>
      <c r="C5044" t="s">
        <v>37</v>
      </c>
      <c r="D5044" s="2">
        <v>43191</v>
      </c>
      <c r="E5044" t="s">
        <v>5</v>
      </c>
      <c r="F5044">
        <v>135.9</v>
      </c>
      <c r="G5044" t="str">
        <f>VLOOKUP(Table1_2[[#This Row],[Categories]],Sheet3!$A$1:$B$27,2,FALSE)</f>
        <v>Food &amp;Beverage</v>
      </c>
    </row>
    <row r="5045" spans="1:7" x14ac:dyDescent="0.3">
      <c r="A5045" t="s">
        <v>30</v>
      </c>
      <c r="B5045">
        <v>2018</v>
      </c>
      <c r="C5045" t="s">
        <v>37</v>
      </c>
      <c r="D5045" s="2">
        <v>43191</v>
      </c>
      <c r="E5045" t="s">
        <v>6</v>
      </c>
      <c r="F5045">
        <v>142.4</v>
      </c>
      <c r="G5045" t="str">
        <f>VLOOKUP(Table1_2[[#This Row],[Categories]],Sheet3!$A$1:$B$27,2,FALSE)</f>
        <v>Food &amp;Beverage</v>
      </c>
    </row>
    <row r="5046" spans="1:7" x14ac:dyDescent="0.3">
      <c r="A5046" t="s">
        <v>30</v>
      </c>
      <c r="B5046">
        <v>2018</v>
      </c>
      <c r="C5046" t="s">
        <v>37</v>
      </c>
      <c r="D5046" s="2">
        <v>43191</v>
      </c>
      <c r="E5046" t="s">
        <v>7</v>
      </c>
      <c r="F5046">
        <v>123.5</v>
      </c>
      <c r="G5046" t="str">
        <f>VLOOKUP(Table1_2[[#This Row],[Categories]],Sheet3!$A$1:$B$27,2,FALSE)</f>
        <v>Food &amp;Beverage</v>
      </c>
    </row>
    <row r="5047" spans="1:7" x14ac:dyDescent="0.3">
      <c r="A5047" t="s">
        <v>30</v>
      </c>
      <c r="B5047">
        <v>2018</v>
      </c>
      <c r="C5047" t="s">
        <v>37</v>
      </c>
      <c r="D5047" s="2">
        <v>43191</v>
      </c>
      <c r="E5047" t="s">
        <v>8</v>
      </c>
      <c r="F5047">
        <v>156.4</v>
      </c>
      <c r="G5047" t="str">
        <f>VLOOKUP(Table1_2[[#This Row],[Categories]],Sheet3!$A$1:$B$27,2,FALSE)</f>
        <v>Food &amp;Beverage</v>
      </c>
    </row>
    <row r="5048" spans="1:7" x14ac:dyDescent="0.3">
      <c r="A5048" t="s">
        <v>30</v>
      </c>
      <c r="B5048">
        <v>2018</v>
      </c>
      <c r="C5048" t="s">
        <v>37</v>
      </c>
      <c r="D5048" s="2">
        <v>43191</v>
      </c>
      <c r="E5048" t="s">
        <v>9</v>
      </c>
      <c r="F5048">
        <v>135.1</v>
      </c>
      <c r="G5048" t="str">
        <f>VLOOKUP(Table1_2[[#This Row],[Categories]],Sheet3!$A$1:$B$27,2,FALSE)</f>
        <v>Food &amp;Beverage</v>
      </c>
    </row>
    <row r="5049" spans="1:7" x14ac:dyDescent="0.3">
      <c r="A5049" t="s">
        <v>30</v>
      </c>
      <c r="B5049">
        <v>2018</v>
      </c>
      <c r="C5049" t="s">
        <v>37</v>
      </c>
      <c r="D5049" s="2">
        <v>43191</v>
      </c>
      <c r="E5049" t="s">
        <v>10</v>
      </c>
      <c r="F5049">
        <v>128.4</v>
      </c>
      <c r="G5049" t="str">
        <f>VLOOKUP(Table1_2[[#This Row],[Categories]],Sheet3!$A$1:$B$27,2,FALSE)</f>
        <v>Food &amp;Beverage</v>
      </c>
    </row>
    <row r="5050" spans="1:7" x14ac:dyDescent="0.3">
      <c r="A5050" t="s">
        <v>30</v>
      </c>
      <c r="B5050">
        <v>2018</v>
      </c>
      <c r="C5050" t="s">
        <v>37</v>
      </c>
      <c r="D5050" s="2">
        <v>43191</v>
      </c>
      <c r="E5050" t="s">
        <v>11</v>
      </c>
      <c r="F5050">
        <v>115.2</v>
      </c>
      <c r="G5050" t="str">
        <f>VLOOKUP(Table1_2[[#This Row],[Categories]],Sheet3!$A$1:$B$27,2,FALSE)</f>
        <v>Food &amp;Beverage</v>
      </c>
    </row>
    <row r="5051" spans="1:7" x14ac:dyDescent="0.3">
      <c r="A5051" t="s">
        <v>30</v>
      </c>
      <c r="B5051">
        <v>2018</v>
      </c>
      <c r="C5051" t="s">
        <v>37</v>
      </c>
      <c r="D5051" s="2">
        <v>43191</v>
      </c>
      <c r="E5051" t="s">
        <v>12</v>
      </c>
      <c r="F5051">
        <v>137.19999999999999</v>
      </c>
      <c r="G5051" t="str">
        <f>VLOOKUP(Table1_2[[#This Row],[Categories]],Sheet3!$A$1:$B$27,2,FALSE)</f>
        <v>Food &amp;Beverage</v>
      </c>
    </row>
    <row r="5052" spans="1:7" x14ac:dyDescent="0.3">
      <c r="A5052" t="s">
        <v>30</v>
      </c>
      <c r="B5052">
        <v>2018</v>
      </c>
      <c r="C5052" t="s">
        <v>37</v>
      </c>
      <c r="D5052" s="2">
        <v>43191</v>
      </c>
      <c r="E5052" t="s">
        <v>13</v>
      </c>
      <c r="F5052">
        <v>131.9</v>
      </c>
      <c r="G5052" t="str">
        <f>VLOOKUP(Table1_2[[#This Row],[Categories]],Sheet3!$A$1:$B$27,2,FALSE)</f>
        <v>Food &amp;Beverage</v>
      </c>
    </row>
    <row r="5053" spans="1:7" x14ac:dyDescent="0.3">
      <c r="A5053" t="s">
        <v>30</v>
      </c>
      <c r="B5053">
        <v>2018</v>
      </c>
      <c r="C5053" t="s">
        <v>37</v>
      </c>
      <c r="D5053" s="2">
        <v>43191</v>
      </c>
      <c r="E5053" t="s">
        <v>14</v>
      </c>
      <c r="F5053">
        <v>153.80000000000001</v>
      </c>
      <c r="G5053" t="str">
        <f>VLOOKUP(Table1_2[[#This Row],[Categories]],Sheet3!$A$1:$B$27,2,FALSE)</f>
        <v>Food &amp;Beverage</v>
      </c>
    </row>
    <row r="5054" spans="1:7" x14ac:dyDescent="0.3">
      <c r="A5054" t="s">
        <v>30</v>
      </c>
      <c r="B5054">
        <v>2018</v>
      </c>
      <c r="C5054" t="s">
        <v>37</v>
      </c>
      <c r="D5054" s="2">
        <v>43191</v>
      </c>
      <c r="E5054" t="s">
        <v>15</v>
      </c>
      <c r="F5054">
        <v>138.6</v>
      </c>
      <c r="G5054" t="str">
        <f>VLOOKUP(Table1_2[[#This Row],[Categories]],Sheet3!$A$1:$B$27,2,FALSE)</f>
        <v>Food &amp;Beverage</v>
      </c>
    </row>
    <row r="5055" spans="1:7" x14ac:dyDescent="0.3">
      <c r="A5055" t="s">
        <v>30</v>
      </c>
      <c r="B5055">
        <v>2018</v>
      </c>
      <c r="C5055" t="s">
        <v>37</v>
      </c>
      <c r="D5055" s="2">
        <v>43191</v>
      </c>
      <c r="E5055" t="s">
        <v>16</v>
      </c>
      <c r="F5055">
        <v>156.1</v>
      </c>
      <c r="G5055" t="str">
        <f>VLOOKUP(Table1_2[[#This Row],[Categories]],Sheet3!$A$1:$B$27,2,FALSE)</f>
        <v>Recreation and amusement</v>
      </c>
    </row>
    <row r="5056" spans="1:7" x14ac:dyDescent="0.3">
      <c r="A5056" t="s">
        <v>30</v>
      </c>
      <c r="B5056">
        <v>2018</v>
      </c>
      <c r="C5056" t="s">
        <v>37</v>
      </c>
      <c r="D5056" s="2">
        <v>43191</v>
      </c>
      <c r="E5056" t="s">
        <v>17</v>
      </c>
      <c r="F5056">
        <v>150.1</v>
      </c>
      <c r="G5056" t="str">
        <f>VLOOKUP(Table1_2[[#This Row],[Categories]],Sheet3!$A$1:$B$27,2,FALSE)</f>
        <v>Clothing and footwear</v>
      </c>
    </row>
    <row r="5057" spans="1:7" x14ac:dyDescent="0.3">
      <c r="A5057" t="s">
        <v>30</v>
      </c>
      <c r="B5057">
        <v>2018</v>
      </c>
      <c r="C5057" t="s">
        <v>37</v>
      </c>
      <c r="D5057" s="2">
        <v>43191</v>
      </c>
      <c r="E5057" t="s">
        <v>18</v>
      </c>
      <c r="F5057">
        <v>143.30000000000001</v>
      </c>
      <c r="G5057" t="str">
        <f>VLOOKUP(Table1_2[[#This Row],[Categories]],Sheet3!$A$1:$B$27,2,FALSE)</f>
        <v>Clothing and footwear</v>
      </c>
    </row>
    <row r="5058" spans="1:7" x14ac:dyDescent="0.3">
      <c r="A5058" t="s">
        <v>30</v>
      </c>
      <c r="B5058">
        <v>2018</v>
      </c>
      <c r="C5058" t="s">
        <v>37</v>
      </c>
      <c r="D5058" s="2">
        <v>43191</v>
      </c>
      <c r="E5058" t="s">
        <v>19</v>
      </c>
      <c r="F5058">
        <v>149.1</v>
      </c>
      <c r="G5058" t="str">
        <f>VLOOKUP(Table1_2[[#This Row],[Categories]],Sheet3!$A$1:$B$27,2,FALSE)</f>
        <v>Clothing and footwear</v>
      </c>
    </row>
    <row r="5059" spans="1:7" x14ac:dyDescent="0.3">
      <c r="A5059" t="s">
        <v>30</v>
      </c>
      <c r="B5059">
        <v>2018</v>
      </c>
      <c r="C5059" t="s">
        <v>37</v>
      </c>
      <c r="D5059" s="2">
        <v>43191</v>
      </c>
      <c r="E5059" t="s">
        <v>21</v>
      </c>
      <c r="F5059">
        <v>143.80000000000001</v>
      </c>
      <c r="G5059" t="str">
        <f>VLOOKUP(Table1_2[[#This Row],[Categories]],Sheet3!$A$1:$B$27,2,FALSE)</f>
        <v>Fuel and light</v>
      </c>
    </row>
    <row r="5060" spans="1:7" x14ac:dyDescent="0.3">
      <c r="A5060" t="s">
        <v>30</v>
      </c>
      <c r="B5060">
        <v>2018</v>
      </c>
      <c r="C5060" t="s">
        <v>37</v>
      </c>
      <c r="D5060" s="2">
        <v>43191</v>
      </c>
      <c r="E5060" t="s">
        <v>22</v>
      </c>
      <c r="F5060">
        <v>140.9</v>
      </c>
      <c r="G5060" t="str">
        <f>VLOOKUP(Table1_2[[#This Row],[Categories]],Sheet3!$A$1:$B$27,2,FALSE)</f>
        <v>Household Items</v>
      </c>
    </row>
    <row r="5061" spans="1:7" x14ac:dyDescent="0.3">
      <c r="A5061" t="s">
        <v>30</v>
      </c>
      <c r="B5061">
        <v>2018</v>
      </c>
      <c r="C5061" t="s">
        <v>37</v>
      </c>
      <c r="D5061" s="2">
        <v>43191</v>
      </c>
      <c r="E5061" t="s">
        <v>23</v>
      </c>
      <c r="F5061">
        <v>137.6</v>
      </c>
      <c r="G5061" t="str">
        <f>VLOOKUP(Table1_2[[#This Row],[Categories]],Sheet3!$A$1:$B$27,2,FALSE)</f>
        <v>Health</v>
      </c>
    </row>
    <row r="5062" spans="1:7" x14ac:dyDescent="0.3">
      <c r="A5062" t="s">
        <v>30</v>
      </c>
      <c r="B5062">
        <v>2018</v>
      </c>
      <c r="C5062" t="s">
        <v>37</v>
      </c>
      <c r="D5062" s="2">
        <v>43191</v>
      </c>
      <c r="E5062" t="s">
        <v>24</v>
      </c>
      <c r="F5062">
        <v>125.3</v>
      </c>
      <c r="G5062" t="str">
        <f>VLOOKUP(Table1_2[[#This Row],[Categories]],Sheet3!$A$1:$B$27,2,FALSE)</f>
        <v>Transport and communication</v>
      </c>
    </row>
    <row r="5063" spans="1:7" x14ac:dyDescent="0.3">
      <c r="A5063" t="s">
        <v>30</v>
      </c>
      <c r="B5063">
        <v>2018</v>
      </c>
      <c r="C5063" t="s">
        <v>37</v>
      </c>
      <c r="D5063" s="2">
        <v>43191</v>
      </c>
      <c r="E5063" t="s">
        <v>25</v>
      </c>
      <c r="F5063">
        <v>136</v>
      </c>
      <c r="G5063" t="str">
        <f>VLOOKUP(Table1_2[[#This Row],[Categories]],Sheet3!$A$1:$B$27,2,FALSE)</f>
        <v>Recreation and amusement</v>
      </c>
    </row>
    <row r="5064" spans="1:7" x14ac:dyDescent="0.3">
      <c r="A5064" t="s">
        <v>30</v>
      </c>
      <c r="B5064">
        <v>2018</v>
      </c>
      <c r="C5064" t="s">
        <v>37</v>
      </c>
      <c r="D5064" s="2">
        <v>43191</v>
      </c>
      <c r="E5064" t="s">
        <v>26</v>
      </c>
      <c r="F5064">
        <v>143.69999999999999</v>
      </c>
      <c r="G5064" t="str">
        <f>VLOOKUP(Table1_2[[#This Row],[Categories]],Sheet3!$A$1:$B$27,2,FALSE)</f>
        <v>Education</v>
      </c>
    </row>
    <row r="5065" spans="1:7" x14ac:dyDescent="0.3">
      <c r="A5065" t="s">
        <v>30</v>
      </c>
      <c r="B5065">
        <v>2018</v>
      </c>
      <c r="C5065" t="s">
        <v>37</v>
      </c>
      <c r="D5065" s="2">
        <v>43191</v>
      </c>
      <c r="E5065" t="s">
        <v>27</v>
      </c>
      <c r="F5065">
        <v>130.4</v>
      </c>
      <c r="G5065" t="str">
        <f>VLOOKUP(Table1_2[[#This Row],[Categories]],Sheet3!$A$1:$B$27,2,FALSE)</f>
        <v>Household Items</v>
      </c>
    </row>
    <row r="5066" spans="1:7" x14ac:dyDescent="0.3">
      <c r="A5066" t="s">
        <v>30</v>
      </c>
      <c r="B5066">
        <v>2018</v>
      </c>
      <c r="C5066" t="s">
        <v>37</v>
      </c>
      <c r="D5066" s="2">
        <v>43191</v>
      </c>
      <c r="E5066" t="s">
        <v>28</v>
      </c>
      <c r="F5066">
        <v>134.19999999999999</v>
      </c>
      <c r="G5066" t="str">
        <f>VLOOKUP(Table1_2[[#This Row],[Categories]],Sheet3!$A$1:$B$27,2,FALSE)</f>
        <v>Miscellaneous</v>
      </c>
    </row>
    <row r="5067" spans="1:7" x14ac:dyDescent="0.3">
      <c r="A5067" t="s">
        <v>30</v>
      </c>
      <c r="B5067">
        <v>2018</v>
      </c>
      <c r="C5067" t="s">
        <v>37</v>
      </c>
      <c r="D5067" s="2">
        <v>43191</v>
      </c>
      <c r="E5067" t="s">
        <v>29</v>
      </c>
      <c r="F5067">
        <v>139.1</v>
      </c>
      <c r="G5067" t="str">
        <f>VLOOKUP(Table1_2[[#This Row],[Categories]],Sheet3!$A$1:$B$27,2,FALSE)</f>
        <v>General index</v>
      </c>
    </row>
    <row r="5068" spans="1:7" x14ac:dyDescent="0.3">
      <c r="A5068" t="s">
        <v>33</v>
      </c>
      <c r="B5068">
        <v>2018</v>
      </c>
      <c r="C5068" t="s">
        <v>37</v>
      </c>
      <c r="D5068" s="2">
        <v>43191</v>
      </c>
      <c r="E5068" t="s">
        <v>3</v>
      </c>
      <c r="F5068">
        <v>135</v>
      </c>
      <c r="G5068" t="str">
        <f>VLOOKUP(Table1_2[[#This Row],[Categories]],Sheet3!$A$1:$B$27,2,FALSE)</f>
        <v>Food &amp;Beverage</v>
      </c>
    </row>
    <row r="5069" spans="1:7" x14ac:dyDescent="0.3">
      <c r="A5069" t="s">
        <v>33</v>
      </c>
      <c r="B5069">
        <v>2018</v>
      </c>
      <c r="C5069" t="s">
        <v>37</v>
      </c>
      <c r="D5069" s="2">
        <v>43191</v>
      </c>
      <c r="E5069" t="s">
        <v>4</v>
      </c>
      <c r="F5069">
        <v>144.30000000000001</v>
      </c>
      <c r="G5069" t="str">
        <f>VLOOKUP(Table1_2[[#This Row],[Categories]],Sheet3!$A$1:$B$27,2,FALSE)</f>
        <v>Food &amp;Beverage</v>
      </c>
    </row>
    <row r="5070" spans="1:7" x14ac:dyDescent="0.3">
      <c r="A5070" t="s">
        <v>33</v>
      </c>
      <c r="B5070">
        <v>2018</v>
      </c>
      <c r="C5070" t="s">
        <v>37</v>
      </c>
      <c r="D5070" s="2">
        <v>43191</v>
      </c>
      <c r="E5070" t="s">
        <v>5</v>
      </c>
      <c r="F5070">
        <v>130.80000000000001</v>
      </c>
      <c r="G5070" t="str">
        <f>VLOOKUP(Table1_2[[#This Row],[Categories]],Sheet3!$A$1:$B$27,2,FALSE)</f>
        <v>Food &amp;Beverage</v>
      </c>
    </row>
    <row r="5071" spans="1:7" x14ac:dyDescent="0.3">
      <c r="A5071" t="s">
        <v>33</v>
      </c>
      <c r="B5071">
        <v>2018</v>
      </c>
      <c r="C5071" t="s">
        <v>37</v>
      </c>
      <c r="D5071" s="2">
        <v>43191</v>
      </c>
      <c r="E5071" t="s">
        <v>6</v>
      </c>
      <c r="F5071">
        <v>140.30000000000001</v>
      </c>
      <c r="G5071" t="str">
        <f>VLOOKUP(Table1_2[[#This Row],[Categories]],Sheet3!$A$1:$B$27,2,FALSE)</f>
        <v>Food &amp;Beverage</v>
      </c>
    </row>
    <row r="5072" spans="1:7" x14ac:dyDescent="0.3">
      <c r="A5072" t="s">
        <v>33</v>
      </c>
      <c r="B5072">
        <v>2018</v>
      </c>
      <c r="C5072" t="s">
        <v>37</v>
      </c>
      <c r="D5072" s="2">
        <v>43191</v>
      </c>
      <c r="E5072" t="s">
        <v>7</v>
      </c>
      <c r="F5072">
        <v>116.6</v>
      </c>
      <c r="G5072" t="str">
        <f>VLOOKUP(Table1_2[[#This Row],[Categories]],Sheet3!$A$1:$B$27,2,FALSE)</f>
        <v>Food &amp;Beverage</v>
      </c>
    </row>
    <row r="5073" spans="1:7" x14ac:dyDescent="0.3">
      <c r="A5073" t="s">
        <v>33</v>
      </c>
      <c r="B5073">
        <v>2018</v>
      </c>
      <c r="C5073" t="s">
        <v>37</v>
      </c>
      <c r="D5073" s="2">
        <v>43191</v>
      </c>
      <c r="E5073" t="s">
        <v>8</v>
      </c>
      <c r="F5073">
        <v>150.1</v>
      </c>
      <c r="G5073" t="str">
        <f>VLOOKUP(Table1_2[[#This Row],[Categories]],Sheet3!$A$1:$B$27,2,FALSE)</f>
        <v>Food &amp;Beverage</v>
      </c>
    </row>
    <row r="5074" spans="1:7" x14ac:dyDescent="0.3">
      <c r="A5074" t="s">
        <v>33</v>
      </c>
      <c r="B5074">
        <v>2018</v>
      </c>
      <c r="C5074" t="s">
        <v>37</v>
      </c>
      <c r="D5074" s="2">
        <v>43191</v>
      </c>
      <c r="E5074" t="s">
        <v>9</v>
      </c>
      <c r="F5074">
        <v>127.6</v>
      </c>
      <c r="G5074" t="str">
        <f>VLOOKUP(Table1_2[[#This Row],[Categories]],Sheet3!$A$1:$B$27,2,FALSE)</f>
        <v>Food &amp;Beverage</v>
      </c>
    </row>
    <row r="5075" spans="1:7" x14ac:dyDescent="0.3">
      <c r="A5075" t="s">
        <v>33</v>
      </c>
      <c r="B5075">
        <v>2018</v>
      </c>
      <c r="C5075" t="s">
        <v>37</v>
      </c>
      <c r="D5075" s="2">
        <v>43191</v>
      </c>
      <c r="E5075" t="s">
        <v>10</v>
      </c>
      <c r="F5075">
        <v>114</v>
      </c>
      <c r="G5075" t="str">
        <f>VLOOKUP(Table1_2[[#This Row],[Categories]],Sheet3!$A$1:$B$27,2,FALSE)</f>
        <v>Food &amp;Beverage</v>
      </c>
    </row>
    <row r="5076" spans="1:7" x14ac:dyDescent="0.3">
      <c r="A5076" t="s">
        <v>33</v>
      </c>
      <c r="B5076">
        <v>2018</v>
      </c>
      <c r="C5076" t="s">
        <v>37</v>
      </c>
      <c r="D5076" s="2">
        <v>43191</v>
      </c>
      <c r="E5076" t="s">
        <v>11</v>
      </c>
      <c r="F5076">
        <v>110.6</v>
      </c>
      <c r="G5076" t="str">
        <f>VLOOKUP(Table1_2[[#This Row],[Categories]],Sheet3!$A$1:$B$27,2,FALSE)</f>
        <v>Food &amp;Beverage</v>
      </c>
    </row>
    <row r="5077" spans="1:7" x14ac:dyDescent="0.3">
      <c r="A5077" t="s">
        <v>33</v>
      </c>
      <c r="B5077">
        <v>2018</v>
      </c>
      <c r="C5077" t="s">
        <v>37</v>
      </c>
      <c r="D5077" s="2">
        <v>43191</v>
      </c>
      <c r="E5077" t="s">
        <v>12</v>
      </c>
      <c r="F5077">
        <v>140.19999999999999</v>
      </c>
      <c r="G5077" t="str">
        <f>VLOOKUP(Table1_2[[#This Row],[Categories]],Sheet3!$A$1:$B$27,2,FALSE)</f>
        <v>Food &amp;Beverage</v>
      </c>
    </row>
    <row r="5078" spans="1:7" x14ac:dyDescent="0.3">
      <c r="A5078" t="s">
        <v>33</v>
      </c>
      <c r="B5078">
        <v>2018</v>
      </c>
      <c r="C5078" t="s">
        <v>37</v>
      </c>
      <c r="D5078" s="2">
        <v>43191</v>
      </c>
      <c r="E5078" t="s">
        <v>13</v>
      </c>
      <c r="F5078">
        <v>126.5</v>
      </c>
      <c r="G5078" t="str">
        <f>VLOOKUP(Table1_2[[#This Row],[Categories]],Sheet3!$A$1:$B$27,2,FALSE)</f>
        <v>Food &amp;Beverage</v>
      </c>
    </row>
    <row r="5079" spans="1:7" x14ac:dyDescent="0.3">
      <c r="A5079" t="s">
        <v>33</v>
      </c>
      <c r="B5079">
        <v>2018</v>
      </c>
      <c r="C5079" t="s">
        <v>37</v>
      </c>
      <c r="D5079" s="2">
        <v>43191</v>
      </c>
      <c r="E5079" t="s">
        <v>14</v>
      </c>
      <c r="F5079">
        <v>148.30000000000001</v>
      </c>
      <c r="G5079" t="str">
        <f>VLOOKUP(Table1_2[[#This Row],[Categories]],Sheet3!$A$1:$B$27,2,FALSE)</f>
        <v>Food &amp;Beverage</v>
      </c>
    </row>
    <row r="5080" spans="1:7" x14ac:dyDescent="0.3">
      <c r="A5080" t="s">
        <v>33</v>
      </c>
      <c r="B5080">
        <v>2018</v>
      </c>
      <c r="C5080" t="s">
        <v>37</v>
      </c>
      <c r="D5080" s="2">
        <v>43191</v>
      </c>
      <c r="E5080" t="s">
        <v>15</v>
      </c>
      <c r="F5080">
        <v>135.69999999999999</v>
      </c>
      <c r="G5080" t="str">
        <f>VLOOKUP(Table1_2[[#This Row],[Categories]],Sheet3!$A$1:$B$27,2,FALSE)</f>
        <v>Food &amp;Beverage</v>
      </c>
    </row>
    <row r="5081" spans="1:7" x14ac:dyDescent="0.3">
      <c r="A5081" t="s">
        <v>33</v>
      </c>
      <c r="B5081">
        <v>2018</v>
      </c>
      <c r="C5081" t="s">
        <v>37</v>
      </c>
      <c r="D5081" s="2">
        <v>43191</v>
      </c>
      <c r="E5081" t="s">
        <v>16</v>
      </c>
      <c r="F5081">
        <v>159.19999999999999</v>
      </c>
      <c r="G5081" t="str">
        <f>VLOOKUP(Table1_2[[#This Row],[Categories]],Sheet3!$A$1:$B$27,2,FALSE)</f>
        <v>Recreation and amusement</v>
      </c>
    </row>
    <row r="5082" spans="1:7" x14ac:dyDescent="0.3">
      <c r="A5082" t="s">
        <v>33</v>
      </c>
      <c r="B5082">
        <v>2018</v>
      </c>
      <c r="C5082" t="s">
        <v>37</v>
      </c>
      <c r="D5082" s="2">
        <v>43191</v>
      </c>
      <c r="E5082" t="s">
        <v>17</v>
      </c>
      <c r="F5082">
        <v>137.80000000000001</v>
      </c>
      <c r="G5082" t="str">
        <f>VLOOKUP(Table1_2[[#This Row],[Categories]],Sheet3!$A$1:$B$27,2,FALSE)</f>
        <v>Clothing and footwear</v>
      </c>
    </row>
    <row r="5083" spans="1:7" x14ac:dyDescent="0.3">
      <c r="A5083" t="s">
        <v>33</v>
      </c>
      <c r="B5083">
        <v>2018</v>
      </c>
      <c r="C5083" t="s">
        <v>37</v>
      </c>
      <c r="D5083" s="2">
        <v>43191</v>
      </c>
      <c r="E5083" t="s">
        <v>18</v>
      </c>
      <c r="F5083">
        <v>127.4</v>
      </c>
      <c r="G5083" t="str">
        <f>VLOOKUP(Table1_2[[#This Row],[Categories]],Sheet3!$A$1:$B$27,2,FALSE)</f>
        <v>Clothing and footwear</v>
      </c>
    </row>
    <row r="5084" spans="1:7" x14ac:dyDescent="0.3">
      <c r="A5084" t="s">
        <v>33</v>
      </c>
      <c r="B5084">
        <v>2018</v>
      </c>
      <c r="C5084" t="s">
        <v>37</v>
      </c>
      <c r="D5084" s="2">
        <v>43191</v>
      </c>
      <c r="E5084" t="s">
        <v>19</v>
      </c>
      <c r="F5084">
        <v>136.19999999999999</v>
      </c>
      <c r="G5084" t="str">
        <f>VLOOKUP(Table1_2[[#This Row],[Categories]],Sheet3!$A$1:$B$27,2,FALSE)</f>
        <v>Clothing and footwear</v>
      </c>
    </row>
    <row r="5085" spans="1:7" x14ac:dyDescent="0.3">
      <c r="A5085" t="s">
        <v>33</v>
      </c>
      <c r="B5085">
        <v>2018</v>
      </c>
      <c r="C5085" t="s">
        <v>37</v>
      </c>
      <c r="D5085" s="2">
        <v>43191</v>
      </c>
      <c r="E5085" t="s">
        <v>20</v>
      </c>
      <c r="F5085">
        <v>142.9</v>
      </c>
      <c r="G5085" t="str">
        <f>VLOOKUP(Table1_2[[#This Row],[Categories]],Sheet3!$A$1:$B$27,2,FALSE)</f>
        <v>Housing</v>
      </c>
    </row>
    <row r="5086" spans="1:7" x14ac:dyDescent="0.3">
      <c r="A5086" t="s">
        <v>33</v>
      </c>
      <c r="B5086">
        <v>2018</v>
      </c>
      <c r="C5086" t="s">
        <v>37</v>
      </c>
      <c r="D5086" s="2">
        <v>43191</v>
      </c>
      <c r="E5086" t="s">
        <v>21</v>
      </c>
      <c r="F5086">
        <v>124.6</v>
      </c>
      <c r="G5086" t="str">
        <f>VLOOKUP(Table1_2[[#This Row],[Categories]],Sheet3!$A$1:$B$27,2,FALSE)</f>
        <v>Fuel and light</v>
      </c>
    </row>
    <row r="5087" spans="1:7" x14ac:dyDescent="0.3">
      <c r="A5087" t="s">
        <v>33</v>
      </c>
      <c r="B5087">
        <v>2018</v>
      </c>
      <c r="C5087" t="s">
        <v>37</v>
      </c>
      <c r="D5087" s="2">
        <v>43191</v>
      </c>
      <c r="E5087" t="s">
        <v>22</v>
      </c>
      <c r="F5087">
        <v>131.80000000000001</v>
      </c>
      <c r="G5087" t="str">
        <f>VLOOKUP(Table1_2[[#This Row],[Categories]],Sheet3!$A$1:$B$27,2,FALSE)</f>
        <v>Household Items</v>
      </c>
    </row>
    <row r="5088" spans="1:7" x14ac:dyDescent="0.3">
      <c r="A5088" t="s">
        <v>33</v>
      </c>
      <c r="B5088">
        <v>2018</v>
      </c>
      <c r="C5088" t="s">
        <v>37</v>
      </c>
      <c r="D5088" s="2">
        <v>43191</v>
      </c>
      <c r="E5088" t="s">
        <v>23</v>
      </c>
      <c r="F5088">
        <v>131.30000000000001</v>
      </c>
      <c r="G5088" t="str">
        <f>VLOOKUP(Table1_2[[#This Row],[Categories]],Sheet3!$A$1:$B$27,2,FALSE)</f>
        <v>Health</v>
      </c>
    </row>
    <row r="5089" spans="1:7" x14ac:dyDescent="0.3">
      <c r="A5089" t="s">
        <v>33</v>
      </c>
      <c r="B5089">
        <v>2018</v>
      </c>
      <c r="C5089" t="s">
        <v>37</v>
      </c>
      <c r="D5089" s="2">
        <v>43191</v>
      </c>
      <c r="E5089" t="s">
        <v>24</v>
      </c>
      <c r="F5089">
        <v>118.9</v>
      </c>
      <c r="G5089" t="str">
        <f>VLOOKUP(Table1_2[[#This Row],[Categories]],Sheet3!$A$1:$B$27,2,FALSE)</f>
        <v>Transport and communication</v>
      </c>
    </row>
    <row r="5090" spans="1:7" x14ac:dyDescent="0.3">
      <c r="A5090" t="s">
        <v>33</v>
      </c>
      <c r="B5090">
        <v>2018</v>
      </c>
      <c r="C5090" t="s">
        <v>37</v>
      </c>
      <c r="D5090" s="2">
        <v>43191</v>
      </c>
      <c r="E5090" t="s">
        <v>25</v>
      </c>
      <c r="F5090">
        <v>127.6</v>
      </c>
      <c r="G5090" t="str">
        <f>VLOOKUP(Table1_2[[#This Row],[Categories]],Sheet3!$A$1:$B$27,2,FALSE)</f>
        <v>Recreation and amusement</v>
      </c>
    </row>
    <row r="5091" spans="1:7" x14ac:dyDescent="0.3">
      <c r="A5091" t="s">
        <v>33</v>
      </c>
      <c r="B5091">
        <v>2018</v>
      </c>
      <c r="C5091" t="s">
        <v>37</v>
      </c>
      <c r="D5091" s="2">
        <v>43191</v>
      </c>
      <c r="E5091" t="s">
        <v>26</v>
      </c>
      <c r="F5091">
        <v>139.69999999999999</v>
      </c>
      <c r="G5091" t="str">
        <f>VLOOKUP(Table1_2[[#This Row],[Categories]],Sheet3!$A$1:$B$27,2,FALSE)</f>
        <v>Education</v>
      </c>
    </row>
    <row r="5092" spans="1:7" x14ac:dyDescent="0.3">
      <c r="A5092" t="s">
        <v>33</v>
      </c>
      <c r="B5092">
        <v>2018</v>
      </c>
      <c r="C5092" t="s">
        <v>37</v>
      </c>
      <c r="D5092" s="2">
        <v>43191</v>
      </c>
      <c r="E5092" t="s">
        <v>27</v>
      </c>
      <c r="F5092">
        <v>127.6</v>
      </c>
      <c r="G5092" t="str">
        <f>VLOOKUP(Table1_2[[#This Row],[Categories]],Sheet3!$A$1:$B$27,2,FALSE)</f>
        <v>Household Items</v>
      </c>
    </row>
    <row r="5093" spans="1:7" x14ac:dyDescent="0.3">
      <c r="A5093" t="s">
        <v>33</v>
      </c>
      <c r="B5093">
        <v>2018</v>
      </c>
      <c r="C5093" t="s">
        <v>37</v>
      </c>
      <c r="D5093" s="2">
        <v>43191</v>
      </c>
      <c r="E5093" t="s">
        <v>28</v>
      </c>
      <c r="F5093">
        <v>128.19999999999999</v>
      </c>
      <c r="G5093" t="str">
        <f>VLOOKUP(Table1_2[[#This Row],[Categories]],Sheet3!$A$1:$B$27,2,FALSE)</f>
        <v>Miscellaneous</v>
      </c>
    </row>
    <row r="5094" spans="1:7" x14ac:dyDescent="0.3">
      <c r="A5094" t="s">
        <v>33</v>
      </c>
      <c r="B5094">
        <v>2018</v>
      </c>
      <c r="C5094" t="s">
        <v>37</v>
      </c>
      <c r="D5094" s="2">
        <v>43191</v>
      </c>
      <c r="E5094" t="s">
        <v>29</v>
      </c>
      <c r="F5094">
        <v>134.80000000000001</v>
      </c>
      <c r="G5094" t="str">
        <f>VLOOKUP(Table1_2[[#This Row],[Categories]],Sheet3!$A$1:$B$27,2,FALSE)</f>
        <v>General index</v>
      </c>
    </row>
    <row r="5095" spans="1:7" x14ac:dyDescent="0.3">
      <c r="A5095" t="s">
        <v>34</v>
      </c>
      <c r="B5095">
        <v>2018</v>
      </c>
      <c r="C5095" t="s">
        <v>37</v>
      </c>
      <c r="D5095" s="2">
        <v>43191</v>
      </c>
      <c r="E5095" t="s">
        <v>3</v>
      </c>
      <c r="F5095">
        <v>136.4</v>
      </c>
      <c r="G5095" t="str">
        <f>VLOOKUP(Table1_2[[#This Row],[Categories]],Sheet3!$A$1:$B$27,2,FALSE)</f>
        <v>Food &amp;Beverage</v>
      </c>
    </row>
    <row r="5096" spans="1:7" x14ac:dyDescent="0.3">
      <c r="A5096" t="s">
        <v>34</v>
      </c>
      <c r="B5096">
        <v>2018</v>
      </c>
      <c r="C5096" t="s">
        <v>37</v>
      </c>
      <c r="D5096" s="2">
        <v>43191</v>
      </c>
      <c r="E5096" t="s">
        <v>4</v>
      </c>
      <c r="F5096">
        <v>144.4</v>
      </c>
      <c r="G5096" t="str">
        <f>VLOOKUP(Table1_2[[#This Row],[Categories]],Sheet3!$A$1:$B$27,2,FALSE)</f>
        <v>Food &amp;Beverage</v>
      </c>
    </row>
    <row r="5097" spans="1:7" x14ac:dyDescent="0.3">
      <c r="A5097" t="s">
        <v>34</v>
      </c>
      <c r="B5097">
        <v>2018</v>
      </c>
      <c r="C5097" t="s">
        <v>37</v>
      </c>
      <c r="D5097" s="2">
        <v>43191</v>
      </c>
      <c r="E5097" t="s">
        <v>5</v>
      </c>
      <c r="F5097">
        <v>133.9</v>
      </c>
      <c r="G5097" t="str">
        <f>VLOOKUP(Table1_2[[#This Row],[Categories]],Sheet3!$A$1:$B$27,2,FALSE)</f>
        <v>Food &amp;Beverage</v>
      </c>
    </row>
    <row r="5098" spans="1:7" x14ac:dyDescent="0.3">
      <c r="A5098" t="s">
        <v>34</v>
      </c>
      <c r="B5098">
        <v>2018</v>
      </c>
      <c r="C5098" t="s">
        <v>37</v>
      </c>
      <c r="D5098" s="2">
        <v>43191</v>
      </c>
      <c r="E5098" t="s">
        <v>6</v>
      </c>
      <c r="F5098">
        <v>141.6</v>
      </c>
      <c r="G5098" t="str">
        <f>VLOOKUP(Table1_2[[#This Row],[Categories]],Sheet3!$A$1:$B$27,2,FALSE)</f>
        <v>Food &amp;Beverage</v>
      </c>
    </row>
    <row r="5099" spans="1:7" x14ac:dyDescent="0.3">
      <c r="A5099" t="s">
        <v>34</v>
      </c>
      <c r="B5099">
        <v>2018</v>
      </c>
      <c r="C5099" t="s">
        <v>37</v>
      </c>
      <c r="D5099" s="2">
        <v>43191</v>
      </c>
      <c r="E5099" t="s">
        <v>7</v>
      </c>
      <c r="F5099">
        <v>121</v>
      </c>
      <c r="G5099" t="str">
        <f>VLOOKUP(Table1_2[[#This Row],[Categories]],Sheet3!$A$1:$B$27,2,FALSE)</f>
        <v>Food &amp;Beverage</v>
      </c>
    </row>
    <row r="5100" spans="1:7" x14ac:dyDescent="0.3">
      <c r="A5100" t="s">
        <v>34</v>
      </c>
      <c r="B5100">
        <v>2018</v>
      </c>
      <c r="C5100" t="s">
        <v>37</v>
      </c>
      <c r="D5100" s="2">
        <v>43191</v>
      </c>
      <c r="E5100" t="s">
        <v>8</v>
      </c>
      <c r="F5100">
        <v>153.5</v>
      </c>
      <c r="G5100" t="str">
        <f>VLOOKUP(Table1_2[[#This Row],[Categories]],Sheet3!$A$1:$B$27,2,FALSE)</f>
        <v>Food &amp;Beverage</v>
      </c>
    </row>
    <row r="5101" spans="1:7" x14ac:dyDescent="0.3">
      <c r="A5101" t="s">
        <v>34</v>
      </c>
      <c r="B5101">
        <v>2018</v>
      </c>
      <c r="C5101" t="s">
        <v>37</v>
      </c>
      <c r="D5101" s="2">
        <v>43191</v>
      </c>
      <c r="E5101" t="s">
        <v>9</v>
      </c>
      <c r="F5101">
        <v>132.6</v>
      </c>
      <c r="G5101" t="str">
        <f>VLOOKUP(Table1_2[[#This Row],[Categories]],Sheet3!$A$1:$B$27,2,FALSE)</f>
        <v>Food &amp;Beverage</v>
      </c>
    </row>
    <row r="5102" spans="1:7" x14ac:dyDescent="0.3">
      <c r="A5102" t="s">
        <v>34</v>
      </c>
      <c r="B5102">
        <v>2018</v>
      </c>
      <c r="C5102" t="s">
        <v>37</v>
      </c>
      <c r="D5102" s="2">
        <v>43191</v>
      </c>
      <c r="E5102" t="s">
        <v>10</v>
      </c>
      <c r="F5102">
        <v>123.5</v>
      </c>
      <c r="G5102" t="str">
        <f>VLOOKUP(Table1_2[[#This Row],[Categories]],Sheet3!$A$1:$B$27,2,FALSE)</f>
        <v>Food &amp;Beverage</v>
      </c>
    </row>
    <row r="5103" spans="1:7" x14ac:dyDescent="0.3">
      <c r="A5103" t="s">
        <v>34</v>
      </c>
      <c r="B5103">
        <v>2018</v>
      </c>
      <c r="C5103" t="s">
        <v>37</v>
      </c>
      <c r="D5103" s="2">
        <v>43191</v>
      </c>
      <c r="E5103" t="s">
        <v>11</v>
      </c>
      <c r="F5103">
        <v>113.7</v>
      </c>
      <c r="G5103" t="str">
        <f>VLOOKUP(Table1_2[[#This Row],[Categories]],Sheet3!$A$1:$B$27,2,FALSE)</f>
        <v>Food &amp;Beverage</v>
      </c>
    </row>
    <row r="5104" spans="1:7" x14ac:dyDescent="0.3">
      <c r="A5104" t="s">
        <v>34</v>
      </c>
      <c r="B5104">
        <v>2018</v>
      </c>
      <c r="C5104" t="s">
        <v>37</v>
      </c>
      <c r="D5104" s="2">
        <v>43191</v>
      </c>
      <c r="E5104" t="s">
        <v>12</v>
      </c>
      <c r="F5104">
        <v>138.19999999999999</v>
      </c>
      <c r="G5104" t="str">
        <f>VLOOKUP(Table1_2[[#This Row],[Categories]],Sheet3!$A$1:$B$27,2,FALSE)</f>
        <v>Food &amp;Beverage</v>
      </c>
    </row>
    <row r="5105" spans="1:7" x14ac:dyDescent="0.3">
      <c r="A5105" t="s">
        <v>34</v>
      </c>
      <c r="B5105">
        <v>2018</v>
      </c>
      <c r="C5105" t="s">
        <v>37</v>
      </c>
      <c r="D5105" s="2">
        <v>43191</v>
      </c>
      <c r="E5105" t="s">
        <v>13</v>
      </c>
      <c r="F5105">
        <v>129.6</v>
      </c>
      <c r="G5105" t="str">
        <f>VLOOKUP(Table1_2[[#This Row],[Categories]],Sheet3!$A$1:$B$27,2,FALSE)</f>
        <v>Food &amp;Beverage</v>
      </c>
    </row>
    <row r="5106" spans="1:7" x14ac:dyDescent="0.3">
      <c r="A5106" t="s">
        <v>34</v>
      </c>
      <c r="B5106">
        <v>2018</v>
      </c>
      <c r="C5106" t="s">
        <v>37</v>
      </c>
      <c r="D5106" s="2">
        <v>43191</v>
      </c>
      <c r="E5106" t="s">
        <v>14</v>
      </c>
      <c r="F5106">
        <v>151.19999999999999</v>
      </c>
      <c r="G5106" t="str">
        <f>VLOOKUP(Table1_2[[#This Row],[Categories]],Sheet3!$A$1:$B$27,2,FALSE)</f>
        <v>Food &amp;Beverage</v>
      </c>
    </row>
    <row r="5107" spans="1:7" x14ac:dyDescent="0.3">
      <c r="A5107" t="s">
        <v>34</v>
      </c>
      <c r="B5107">
        <v>2018</v>
      </c>
      <c r="C5107" t="s">
        <v>37</v>
      </c>
      <c r="D5107" s="2">
        <v>43191</v>
      </c>
      <c r="E5107" t="s">
        <v>15</v>
      </c>
      <c r="F5107">
        <v>137.5</v>
      </c>
      <c r="G5107" t="str">
        <f>VLOOKUP(Table1_2[[#This Row],[Categories]],Sheet3!$A$1:$B$27,2,FALSE)</f>
        <v>Food &amp;Beverage</v>
      </c>
    </row>
    <row r="5108" spans="1:7" x14ac:dyDescent="0.3">
      <c r="A5108" t="s">
        <v>34</v>
      </c>
      <c r="B5108">
        <v>2018</v>
      </c>
      <c r="C5108" t="s">
        <v>37</v>
      </c>
      <c r="D5108" s="2">
        <v>43191</v>
      </c>
      <c r="E5108" t="s">
        <v>16</v>
      </c>
      <c r="F5108">
        <v>156.9</v>
      </c>
      <c r="G5108" t="str">
        <f>VLOOKUP(Table1_2[[#This Row],[Categories]],Sheet3!$A$1:$B$27,2,FALSE)</f>
        <v>Recreation and amusement</v>
      </c>
    </row>
    <row r="5109" spans="1:7" x14ac:dyDescent="0.3">
      <c r="A5109" t="s">
        <v>34</v>
      </c>
      <c r="B5109">
        <v>2018</v>
      </c>
      <c r="C5109" t="s">
        <v>37</v>
      </c>
      <c r="D5109" s="2">
        <v>43191</v>
      </c>
      <c r="E5109" t="s">
        <v>17</v>
      </c>
      <c r="F5109">
        <v>145.30000000000001</v>
      </c>
      <c r="G5109" t="str">
        <f>VLOOKUP(Table1_2[[#This Row],[Categories]],Sheet3!$A$1:$B$27,2,FALSE)</f>
        <v>Clothing and footwear</v>
      </c>
    </row>
    <row r="5110" spans="1:7" x14ac:dyDescent="0.3">
      <c r="A5110" t="s">
        <v>34</v>
      </c>
      <c r="B5110">
        <v>2018</v>
      </c>
      <c r="C5110" t="s">
        <v>37</v>
      </c>
      <c r="D5110" s="2">
        <v>43191</v>
      </c>
      <c r="E5110" t="s">
        <v>18</v>
      </c>
      <c r="F5110">
        <v>136.69999999999999</v>
      </c>
      <c r="G5110" t="str">
        <f>VLOOKUP(Table1_2[[#This Row],[Categories]],Sheet3!$A$1:$B$27,2,FALSE)</f>
        <v>Clothing and footwear</v>
      </c>
    </row>
    <row r="5111" spans="1:7" x14ac:dyDescent="0.3">
      <c r="A5111" t="s">
        <v>34</v>
      </c>
      <c r="B5111">
        <v>2018</v>
      </c>
      <c r="C5111" t="s">
        <v>37</v>
      </c>
      <c r="D5111" s="2">
        <v>43191</v>
      </c>
      <c r="E5111" t="s">
        <v>19</v>
      </c>
      <c r="F5111">
        <v>144</v>
      </c>
      <c r="G5111" t="str">
        <f>VLOOKUP(Table1_2[[#This Row],[Categories]],Sheet3!$A$1:$B$27,2,FALSE)</f>
        <v>Clothing and footwear</v>
      </c>
    </row>
    <row r="5112" spans="1:7" x14ac:dyDescent="0.3">
      <c r="A5112" t="s">
        <v>34</v>
      </c>
      <c r="B5112">
        <v>2018</v>
      </c>
      <c r="C5112" t="s">
        <v>37</v>
      </c>
      <c r="D5112" s="2">
        <v>43191</v>
      </c>
      <c r="E5112" t="s">
        <v>20</v>
      </c>
      <c r="F5112">
        <v>142.9</v>
      </c>
      <c r="G5112" t="str">
        <f>VLOOKUP(Table1_2[[#This Row],[Categories]],Sheet3!$A$1:$B$27,2,FALSE)</f>
        <v>Housing</v>
      </c>
    </row>
    <row r="5113" spans="1:7" x14ac:dyDescent="0.3">
      <c r="A5113" t="s">
        <v>34</v>
      </c>
      <c r="B5113">
        <v>2018</v>
      </c>
      <c r="C5113" t="s">
        <v>37</v>
      </c>
      <c r="D5113" s="2">
        <v>43191</v>
      </c>
      <c r="E5113" t="s">
        <v>21</v>
      </c>
      <c r="F5113">
        <v>136.5</v>
      </c>
      <c r="G5113" t="str">
        <f>VLOOKUP(Table1_2[[#This Row],[Categories]],Sheet3!$A$1:$B$27,2,FALSE)</f>
        <v>Fuel and light</v>
      </c>
    </row>
    <row r="5114" spans="1:7" x14ac:dyDescent="0.3">
      <c r="A5114" t="s">
        <v>34</v>
      </c>
      <c r="B5114">
        <v>2018</v>
      </c>
      <c r="C5114" t="s">
        <v>37</v>
      </c>
      <c r="D5114" s="2">
        <v>43191</v>
      </c>
      <c r="E5114" t="s">
        <v>22</v>
      </c>
      <c r="F5114">
        <v>136.6</v>
      </c>
      <c r="G5114" t="str">
        <f>VLOOKUP(Table1_2[[#This Row],[Categories]],Sheet3!$A$1:$B$27,2,FALSE)</f>
        <v>Household Items</v>
      </c>
    </row>
    <row r="5115" spans="1:7" x14ac:dyDescent="0.3">
      <c r="A5115" t="s">
        <v>34</v>
      </c>
      <c r="B5115">
        <v>2018</v>
      </c>
      <c r="C5115" t="s">
        <v>37</v>
      </c>
      <c r="D5115" s="2">
        <v>43191</v>
      </c>
      <c r="E5115" t="s">
        <v>23</v>
      </c>
      <c r="F5115">
        <v>135.19999999999999</v>
      </c>
      <c r="G5115" t="str">
        <f>VLOOKUP(Table1_2[[#This Row],[Categories]],Sheet3!$A$1:$B$27,2,FALSE)</f>
        <v>Health</v>
      </c>
    </row>
    <row r="5116" spans="1:7" x14ac:dyDescent="0.3">
      <c r="A5116" t="s">
        <v>34</v>
      </c>
      <c r="B5116">
        <v>2018</v>
      </c>
      <c r="C5116" t="s">
        <v>37</v>
      </c>
      <c r="D5116" s="2">
        <v>43191</v>
      </c>
      <c r="E5116" t="s">
        <v>24</v>
      </c>
      <c r="F5116">
        <v>121.9</v>
      </c>
      <c r="G5116" t="str">
        <f>VLOOKUP(Table1_2[[#This Row],[Categories]],Sheet3!$A$1:$B$27,2,FALSE)</f>
        <v>Transport and communication</v>
      </c>
    </row>
    <row r="5117" spans="1:7" x14ac:dyDescent="0.3">
      <c r="A5117" t="s">
        <v>34</v>
      </c>
      <c r="B5117">
        <v>2018</v>
      </c>
      <c r="C5117" t="s">
        <v>37</v>
      </c>
      <c r="D5117" s="2">
        <v>43191</v>
      </c>
      <c r="E5117" t="s">
        <v>25</v>
      </c>
      <c r="F5117">
        <v>131.30000000000001</v>
      </c>
      <c r="G5117" t="str">
        <f>VLOOKUP(Table1_2[[#This Row],[Categories]],Sheet3!$A$1:$B$27,2,FALSE)</f>
        <v>Recreation and amusement</v>
      </c>
    </row>
    <row r="5118" spans="1:7" x14ac:dyDescent="0.3">
      <c r="A5118" t="s">
        <v>34</v>
      </c>
      <c r="B5118">
        <v>2018</v>
      </c>
      <c r="C5118" t="s">
        <v>37</v>
      </c>
      <c r="D5118" s="2">
        <v>43191</v>
      </c>
      <c r="E5118" t="s">
        <v>26</v>
      </c>
      <c r="F5118">
        <v>141.4</v>
      </c>
      <c r="G5118" t="str">
        <f>VLOOKUP(Table1_2[[#This Row],[Categories]],Sheet3!$A$1:$B$27,2,FALSE)</f>
        <v>Education</v>
      </c>
    </row>
    <row r="5119" spans="1:7" x14ac:dyDescent="0.3">
      <c r="A5119" t="s">
        <v>34</v>
      </c>
      <c r="B5119">
        <v>2018</v>
      </c>
      <c r="C5119" t="s">
        <v>37</v>
      </c>
      <c r="D5119" s="2">
        <v>43191</v>
      </c>
      <c r="E5119" t="s">
        <v>27</v>
      </c>
      <c r="F5119">
        <v>129.19999999999999</v>
      </c>
      <c r="G5119" t="str">
        <f>VLOOKUP(Table1_2[[#This Row],[Categories]],Sheet3!$A$1:$B$27,2,FALSE)</f>
        <v>Household Items</v>
      </c>
    </row>
    <row r="5120" spans="1:7" x14ac:dyDescent="0.3">
      <c r="A5120" t="s">
        <v>34</v>
      </c>
      <c r="B5120">
        <v>2018</v>
      </c>
      <c r="C5120" t="s">
        <v>37</v>
      </c>
      <c r="D5120" s="2">
        <v>43191</v>
      </c>
      <c r="E5120" t="s">
        <v>28</v>
      </c>
      <c r="F5120">
        <v>131.30000000000001</v>
      </c>
      <c r="G5120" t="str">
        <f>VLOOKUP(Table1_2[[#This Row],[Categories]],Sheet3!$A$1:$B$27,2,FALSE)</f>
        <v>Miscellaneous</v>
      </c>
    </row>
    <row r="5121" spans="1:7" x14ac:dyDescent="0.3">
      <c r="A5121" t="s">
        <v>34</v>
      </c>
      <c r="B5121">
        <v>2018</v>
      </c>
      <c r="C5121" t="s">
        <v>37</v>
      </c>
      <c r="D5121" s="2">
        <v>43191</v>
      </c>
      <c r="E5121" t="s">
        <v>29</v>
      </c>
      <c r="F5121">
        <v>137.1</v>
      </c>
      <c r="G5121" t="str">
        <f>VLOOKUP(Table1_2[[#This Row],[Categories]],Sheet3!$A$1:$B$27,2,FALSE)</f>
        <v>General index</v>
      </c>
    </row>
    <row r="5122" spans="1:7" x14ac:dyDescent="0.3">
      <c r="A5122" t="s">
        <v>30</v>
      </c>
      <c r="B5122">
        <v>2018</v>
      </c>
      <c r="C5122" t="s">
        <v>38</v>
      </c>
      <c r="D5122" s="2">
        <v>43221</v>
      </c>
      <c r="E5122" t="s">
        <v>3</v>
      </c>
      <c r="F5122">
        <v>137.4</v>
      </c>
      <c r="G5122" t="str">
        <f>VLOOKUP(Table1_2[[#This Row],[Categories]],Sheet3!$A$1:$B$27,2,FALSE)</f>
        <v>Food &amp;Beverage</v>
      </c>
    </row>
    <row r="5123" spans="1:7" x14ac:dyDescent="0.3">
      <c r="A5123" t="s">
        <v>30</v>
      </c>
      <c r="B5123">
        <v>2018</v>
      </c>
      <c r="C5123" t="s">
        <v>38</v>
      </c>
      <c r="D5123" s="2">
        <v>43221</v>
      </c>
      <c r="E5123" t="s">
        <v>4</v>
      </c>
      <c r="F5123">
        <v>145.69999999999999</v>
      </c>
      <c r="G5123" t="str">
        <f>VLOOKUP(Table1_2[[#This Row],[Categories]],Sheet3!$A$1:$B$27,2,FALSE)</f>
        <v>Food &amp;Beverage</v>
      </c>
    </row>
    <row r="5124" spans="1:7" x14ac:dyDescent="0.3">
      <c r="A5124" t="s">
        <v>30</v>
      </c>
      <c r="B5124">
        <v>2018</v>
      </c>
      <c r="C5124" t="s">
        <v>38</v>
      </c>
      <c r="D5124" s="2">
        <v>43221</v>
      </c>
      <c r="E5124" t="s">
        <v>5</v>
      </c>
      <c r="F5124">
        <v>135.5</v>
      </c>
      <c r="G5124" t="str">
        <f>VLOOKUP(Table1_2[[#This Row],[Categories]],Sheet3!$A$1:$B$27,2,FALSE)</f>
        <v>Food &amp;Beverage</v>
      </c>
    </row>
    <row r="5125" spans="1:7" x14ac:dyDescent="0.3">
      <c r="A5125" t="s">
        <v>30</v>
      </c>
      <c r="B5125">
        <v>2018</v>
      </c>
      <c r="C5125" t="s">
        <v>38</v>
      </c>
      <c r="D5125" s="2">
        <v>43221</v>
      </c>
      <c r="E5125" t="s">
        <v>6</v>
      </c>
      <c r="F5125">
        <v>142.9</v>
      </c>
      <c r="G5125" t="str">
        <f>VLOOKUP(Table1_2[[#This Row],[Categories]],Sheet3!$A$1:$B$27,2,FALSE)</f>
        <v>Food &amp;Beverage</v>
      </c>
    </row>
    <row r="5126" spans="1:7" x14ac:dyDescent="0.3">
      <c r="A5126" t="s">
        <v>30</v>
      </c>
      <c r="B5126">
        <v>2018</v>
      </c>
      <c r="C5126" t="s">
        <v>38</v>
      </c>
      <c r="D5126" s="2">
        <v>43221</v>
      </c>
      <c r="E5126" t="s">
        <v>7</v>
      </c>
      <c r="F5126">
        <v>123.6</v>
      </c>
      <c r="G5126" t="str">
        <f>VLOOKUP(Table1_2[[#This Row],[Categories]],Sheet3!$A$1:$B$27,2,FALSE)</f>
        <v>Food &amp;Beverage</v>
      </c>
    </row>
    <row r="5127" spans="1:7" x14ac:dyDescent="0.3">
      <c r="A5127" t="s">
        <v>30</v>
      </c>
      <c r="B5127">
        <v>2018</v>
      </c>
      <c r="C5127" t="s">
        <v>38</v>
      </c>
      <c r="D5127" s="2">
        <v>43221</v>
      </c>
      <c r="E5127" t="s">
        <v>8</v>
      </c>
      <c r="F5127">
        <v>157.5</v>
      </c>
      <c r="G5127" t="str">
        <f>VLOOKUP(Table1_2[[#This Row],[Categories]],Sheet3!$A$1:$B$27,2,FALSE)</f>
        <v>Food &amp;Beverage</v>
      </c>
    </row>
    <row r="5128" spans="1:7" x14ac:dyDescent="0.3">
      <c r="A5128" t="s">
        <v>30</v>
      </c>
      <c r="B5128">
        <v>2018</v>
      </c>
      <c r="C5128" t="s">
        <v>38</v>
      </c>
      <c r="D5128" s="2">
        <v>43221</v>
      </c>
      <c r="E5128" t="s">
        <v>9</v>
      </c>
      <c r="F5128">
        <v>137.80000000000001</v>
      </c>
      <c r="G5128" t="str">
        <f>VLOOKUP(Table1_2[[#This Row],[Categories]],Sheet3!$A$1:$B$27,2,FALSE)</f>
        <v>Food &amp;Beverage</v>
      </c>
    </row>
    <row r="5129" spans="1:7" x14ac:dyDescent="0.3">
      <c r="A5129" t="s">
        <v>30</v>
      </c>
      <c r="B5129">
        <v>2018</v>
      </c>
      <c r="C5129" t="s">
        <v>38</v>
      </c>
      <c r="D5129" s="2">
        <v>43221</v>
      </c>
      <c r="E5129" t="s">
        <v>10</v>
      </c>
      <c r="F5129">
        <v>127.2</v>
      </c>
      <c r="G5129" t="str">
        <f>VLOOKUP(Table1_2[[#This Row],[Categories]],Sheet3!$A$1:$B$27,2,FALSE)</f>
        <v>Food &amp;Beverage</v>
      </c>
    </row>
    <row r="5130" spans="1:7" x14ac:dyDescent="0.3">
      <c r="A5130" t="s">
        <v>30</v>
      </c>
      <c r="B5130">
        <v>2018</v>
      </c>
      <c r="C5130" t="s">
        <v>38</v>
      </c>
      <c r="D5130" s="2">
        <v>43221</v>
      </c>
      <c r="E5130" t="s">
        <v>11</v>
      </c>
      <c r="F5130">
        <v>111.8</v>
      </c>
      <c r="G5130" t="str">
        <f>VLOOKUP(Table1_2[[#This Row],[Categories]],Sheet3!$A$1:$B$27,2,FALSE)</f>
        <v>Food &amp;Beverage</v>
      </c>
    </row>
    <row r="5131" spans="1:7" x14ac:dyDescent="0.3">
      <c r="A5131" t="s">
        <v>30</v>
      </c>
      <c r="B5131">
        <v>2018</v>
      </c>
      <c r="C5131" t="s">
        <v>38</v>
      </c>
      <c r="D5131" s="2">
        <v>43221</v>
      </c>
      <c r="E5131" t="s">
        <v>12</v>
      </c>
      <c r="F5131">
        <v>137.4</v>
      </c>
      <c r="G5131" t="str">
        <f>VLOOKUP(Table1_2[[#This Row],[Categories]],Sheet3!$A$1:$B$27,2,FALSE)</f>
        <v>Food &amp;Beverage</v>
      </c>
    </row>
    <row r="5132" spans="1:7" x14ac:dyDescent="0.3">
      <c r="A5132" t="s">
        <v>30</v>
      </c>
      <c r="B5132">
        <v>2018</v>
      </c>
      <c r="C5132" t="s">
        <v>38</v>
      </c>
      <c r="D5132" s="2">
        <v>43221</v>
      </c>
      <c r="E5132" t="s">
        <v>13</v>
      </c>
      <c r="F5132">
        <v>132.19999999999999</v>
      </c>
      <c r="G5132" t="str">
        <f>VLOOKUP(Table1_2[[#This Row],[Categories]],Sheet3!$A$1:$B$27,2,FALSE)</f>
        <v>Food &amp;Beverage</v>
      </c>
    </row>
    <row r="5133" spans="1:7" x14ac:dyDescent="0.3">
      <c r="A5133" t="s">
        <v>30</v>
      </c>
      <c r="B5133">
        <v>2018</v>
      </c>
      <c r="C5133" t="s">
        <v>38</v>
      </c>
      <c r="D5133" s="2">
        <v>43221</v>
      </c>
      <c r="E5133" t="s">
        <v>14</v>
      </c>
      <c r="F5133">
        <v>154.30000000000001</v>
      </c>
      <c r="G5133" t="str">
        <f>VLOOKUP(Table1_2[[#This Row],[Categories]],Sheet3!$A$1:$B$27,2,FALSE)</f>
        <v>Food &amp;Beverage</v>
      </c>
    </row>
    <row r="5134" spans="1:7" x14ac:dyDescent="0.3">
      <c r="A5134" t="s">
        <v>30</v>
      </c>
      <c r="B5134">
        <v>2018</v>
      </c>
      <c r="C5134" t="s">
        <v>38</v>
      </c>
      <c r="D5134" s="2">
        <v>43221</v>
      </c>
      <c r="E5134" t="s">
        <v>15</v>
      </c>
      <c r="F5134">
        <v>139.1</v>
      </c>
      <c r="G5134" t="str">
        <f>VLOOKUP(Table1_2[[#This Row],[Categories]],Sheet3!$A$1:$B$27,2,FALSE)</f>
        <v>Food &amp;Beverage</v>
      </c>
    </row>
    <row r="5135" spans="1:7" x14ac:dyDescent="0.3">
      <c r="A5135" t="s">
        <v>30</v>
      </c>
      <c r="B5135">
        <v>2018</v>
      </c>
      <c r="C5135" t="s">
        <v>38</v>
      </c>
      <c r="D5135" s="2">
        <v>43221</v>
      </c>
      <c r="E5135" t="s">
        <v>16</v>
      </c>
      <c r="F5135">
        <v>157</v>
      </c>
      <c r="G5135" t="str">
        <f>VLOOKUP(Table1_2[[#This Row],[Categories]],Sheet3!$A$1:$B$27,2,FALSE)</f>
        <v>Recreation and amusement</v>
      </c>
    </row>
    <row r="5136" spans="1:7" x14ac:dyDescent="0.3">
      <c r="A5136" t="s">
        <v>30</v>
      </c>
      <c r="B5136">
        <v>2018</v>
      </c>
      <c r="C5136" t="s">
        <v>38</v>
      </c>
      <c r="D5136" s="2">
        <v>43221</v>
      </c>
      <c r="E5136" t="s">
        <v>17</v>
      </c>
      <c r="F5136">
        <v>150.80000000000001</v>
      </c>
      <c r="G5136" t="str">
        <f>VLOOKUP(Table1_2[[#This Row],[Categories]],Sheet3!$A$1:$B$27,2,FALSE)</f>
        <v>Clothing and footwear</v>
      </c>
    </row>
    <row r="5137" spans="1:7" x14ac:dyDescent="0.3">
      <c r="A5137" t="s">
        <v>30</v>
      </c>
      <c r="B5137">
        <v>2018</v>
      </c>
      <c r="C5137" t="s">
        <v>38</v>
      </c>
      <c r="D5137" s="2">
        <v>43221</v>
      </c>
      <c r="E5137" t="s">
        <v>18</v>
      </c>
      <c r="F5137">
        <v>144.1</v>
      </c>
      <c r="G5137" t="str">
        <f>VLOOKUP(Table1_2[[#This Row],[Categories]],Sheet3!$A$1:$B$27,2,FALSE)</f>
        <v>Clothing and footwear</v>
      </c>
    </row>
    <row r="5138" spans="1:7" x14ac:dyDescent="0.3">
      <c r="A5138" t="s">
        <v>30</v>
      </c>
      <c r="B5138">
        <v>2018</v>
      </c>
      <c r="C5138" t="s">
        <v>38</v>
      </c>
      <c r="D5138" s="2">
        <v>43221</v>
      </c>
      <c r="E5138" t="s">
        <v>19</v>
      </c>
      <c r="F5138">
        <v>149.80000000000001</v>
      </c>
      <c r="G5138" t="str">
        <f>VLOOKUP(Table1_2[[#This Row],[Categories]],Sheet3!$A$1:$B$27,2,FALSE)</f>
        <v>Clothing and footwear</v>
      </c>
    </row>
    <row r="5139" spans="1:7" x14ac:dyDescent="0.3">
      <c r="A5139" t="s">
        <v>30</v>
      </c>
      <c r="B5139">
        <v>2018</v>
      </c>
      <c r="C5139" t="s">
        <v>38</v>
      </c>
      <c r="D5139" s="2">
        <v>43221</v>
      </c>
      <c r="E5139" t="s">
        <v>21</v>
      </c>
      <c r="F5139">
        <v>144.30000000000001</v>
      </c>
      <c r="G5139" t="str">
        <f>VLOOKUP(Table1_2[[#This Row],[Categories]],Sheet3!$A$1:$B$27,2,FALSE)</f>
        <v>Fuel and light</v>
      </c>
    </row>
    <row r="5140" spans="1:7" x14ac:dyDescent="0.3">
      <c r="A5140" t="s">
        <v>30</v>
      </c>
      <c r="B5140">
        <v>2018</v>
      </c>
      <c r="C5140" t="s">
        <v>38</v>
      </c>
      <c r="D5140" s="2">
        <v>43221</v>
      </c>
      <c r="E5140" t="s">
        <v>22</v>
      </c>
      <c r="F5140">
        <v>141.80000000000001</v>
      </c>
      <c r="G5140" t="str">
        <f>VLOOKUP(Table1_2[[#This Row],[Categories]],Sheet3!$A$1:$B$27,2,FALSE)</f>
        <v>Household Items</v>
      </c>
    </row>
    <row r="5141" spans="1:7" x14ac:dyDescent="0.3">
      <c r="A5141" t="s">
        <v>30</v>
      </c>
      <c r="B5141">
        <v>2018</v>
      </c>
      <c r="C5141" t="s">
        <v>38</v>
      </c>
      <c r="D5141" s="2">
        <v>43221</v>
      </c>
      <c r="E5141" t="s">
        <v>23</v>
      </c>
      <c r="F5141">
        <v>138.4</v>
      </c>
      <c r="G5141" t="str">
        <f>VLOOKUP(Table1_2[[#This Row],[Categories]],Sheet3!$A$1:$B$27,2,FALSE)</f>
        <v>Health</v>
      </c>
    </row>
    <row r="5142" spans="1:7" x14ac:dyDescent="0.3">
      <c r="A5142" t="s">
        <v>30</v>
      </c>
      <c r="B5142">
        <v>2018</v>
      </c>
      <c r="C5142" t="s">
        <v>38</v>
      </c>
      <c r="D5142" s="2">
        <v>43221</v>
      </c>
      <c r="E5142" t="s">
        <v>24</v>
      </c>
      <c r="F5142">
        <v>126.4</v>
      </c>
      <c r="G5142" t="str">
        <f>VLOOKUP(Table1_2[[#This Row],[Categories]],Sheet3!$A$1:$B$27,2,FALSE)</f>
        <v>Transport and communication</v>
      </c>
    </row>
    <row r="5143" spans="1:7" x14ac:dyDescent="0.3">
      <c r="A5143" t="s">
        <v>30</v>
      </c>
      <c r="B5143">
        <v>2018</v>
      </c>
      <c r="C5143" t="s">
        <v>38</v>
      </c>
      <c r="D5143" s="2">
        <v>43221</v>
      </c>
      <c r="E5143" t="s">
        <v>25</v>
      </c>
      <c r="F5143">
        <v>136.80000000000001</v>
      </c>
      <c r="G5143" t="str">
        <f>VLOOKUP(Table1_2[[#This Row],[Categories]],Sheet3!$A$1:$B$27,2,FALSE)</f>
        <v>Recreation and amusement</v>
      </c>
    </row>
    <row r="5144" spans="1:7" x14ac:dyDescent="0.3">
      <c r="A5144" t="s">
        <v>30</v>
      </c>
      <c r="B5144">
        <v>2018</v>
      </c>
      <c r="C5144" t="s">
        <v>38</v>
      </c>
      <c r="D5144" s="2">
        <v>43221</v>
      </c>
      <c r="E5144" t="s">
        <v>26</v>
      </c>
      <c r="F5144">
        <v>144.4</v>
      </c>
      <c r="G5144" t="str">
        <f>VLOOKUP(Table1_2[[#This Row],[Categories]],Sheet3!$A$1:$B$27,2,FALSE)</f>
        <v>Education</v>
      </c>
    </row>
    <row r="5145" spans="1:7" x14ac:dyDescent="0.3">
      <c r="A5145" t="s">
        <v>30</v>
      </c>
      <c r="B5145">
        <v>2018</v>
      </c>
      <c r="C5145" t="s">
        <v>38</v>
      </c>
      <c r="D5145" s="2">
        <v>43221</v>
      </c>
      <c r="E5145" t="s">
        <v>27</v>
      </c>
      <c r="F5145">
        <v>131.19999999999999</v>
      </c>
      <c r="G5145" t="str">
        <f>VLOOKUP(Table1_2[[#This Row],[Categories]],Sheet3!$A$1:$B$27,2,FALSE)</f>
        <v>Household Items</v>
      </c>
    </row>
    <row r="5146" spans="1:7" x14ac:dyDescent="0.3">
      <c r="A5146" t="s">
        <v>30</v>
      </c>
      <c r="B5146">
        <v>2018</v>
      </c>
      <c r="C5146" t="s">
        <v>38</v>
      </c>
      <c r="D5146" s="2">
        <v>43221</v>
      </c>
      <c r="E5146" t="s">
        <v>28</v>
      </c>
      <c r="F5146">
        <v>135.1</v>
      </c>
      <c r="G5146" t="str">
        <f>VLOOKUP(Table1_2[[#This Row],[Categories]],Sheet3!$A$1:$B$27,2,FALSE)</f>
        <v>Miscellaneous</v>
      </c>
    </row>
    <row r="5147" spans="1:7" x14ac:dyDescent="0.3">
      <c r="A5147" t="s">
        <v>30</v>
      </c>
      <c r="B5147">
        <v>2018</v>
      </c>
      <c r="C5147" t="s">
        <v>38</v>
      </c>
      <c r="D5147" s="2">
        <v>43221</v>
      </c>
      <c r="E5147" t="s">
        <v>29</v>
      </c>
      <c r="F5147">
        <v>139.80000000000001</v>
      </c>
      <c r="G5147" t="str">
        <f>VLOOKUP(Table1_2[[#This Row],[Categories]],Sheet3!$A$1:$B$27,2,FALSE)</f>
        <v>General index</v>
      </c>
    </row>
    <row r="5148" spans="1:7" x14ac:dyDescent="0.3">
      <c r="A5148" t="s">
        <v>33</v>
      </c>
      <c r="B5148">
        <v>2018</v>
      </c>
      <c r="C5148" t="s">
        <v>38</v>
      </c>
      <c r="D5148" s="2">
        <v>43221</v>
      </c>
      <c r="E5148" t="s">
        <v>3</v>
      </c>
      <c r="F5148">
        <v>135</v>
      </c>
      <c r="G5148" t="str">
        <f>VLOOKUP(Table1_2[[#This Row],[Categories]],Sheet3!$A$1:$B$27,2,FALSE)</f>
        <v>Food &amp;Beverage</v>
      </c>
    </row>
    <row r="5149" spans="1:7" x14ac:dyDescent="0.3">
      <c r="A5149" t="s">
        <v>33</v>
      </c>
      <c r="B5149">
        <v>2018</v>
      </c>
      <c r="C5149" t="s">
        <v>38</v>
      </c>
      <c r="D5149" s="2">
        <v>43221</v>
      </c>
      <c r="E5149" t="s">
        <v>4</v>
      </c>
      <c r="F5149">
        <v>148.19999999999999</v>
      </c>
      <c r="G5149" t="str">
        <f>VLOOKUP(Table1_2[[#This Row],[Categories]],Sheet3!$A$1:$B$27,2,FALSE)</f>
        <v>Food &amp;Beverage</v>
      </c>
    </row>
    <row r="5150" spans="1:7" x14ac:dyDescent="0.3">
      <c r="A5150" t="s">
        <v>33</v>
      </c>
      <c r="B5150">
        <v>2018</v>
      </c>
      <c r="C5150" t="s">
        <v>38</v>
      </c>
      <c r="D5150" s="2">
        <v>43221</v>
      </c>
      <c r="E5150" t="s">
        <v>5</v>
      </c>
      <c r="F5150">
        <v>130.5</v>
      </c>
      <c r="G5150" t="str">
        <f>VLOOKUP(Table1_2[[#This Row],[Categories]],Sheet3!$A$1:$B$27,2,FALSE)</f>
        <v>Food &amp;Beverage</v>
      </c>
    </row>
    <row r="5151" spans="1:7" x14ac:dyDescent="0.3">
      <c r="A5151" t="s">
        <v>33</v>
      </c>
      <c r="B5151">
        <v>2018</v>
      </c>
      <c r="C5151" t="s">
        <v>38</v>
      </c>
      <c r="D5151" s="2">
        <v>43221</v>
      </c>
      <c r="E5151" t="s">
        <v>6</v>
      </c>
      <c r="F5151">
        <v>140.69999999999999</v>
      </c>
      <c r="G5151" t="str">
        <f>VLOOKUP(Table1_2[[#This Row],[Categories]],Sheet3!$A$1:$B$27,2,FALSE)</f>
        <v>Food &amp;Beverage</v>
      </c>
    </row>
    <row r="5152" spans="1:7" x14ac:dyDescent="0.3">
      <c r="A5152" t="s">
        <v>33</v>
      </c>
      <c r="B5152">
        <v>2018</v>
      </c>
      <c r="C5152" t="s">
        <v>38</v>
      </c>
      <c r="D5152" s="2">
        <v>43221</v>
      </c>
      <c r="E5152" t="s">
        <v>7</v>
      </c>
      <c r="F5152">
        <v>116.4</v>
      </c>
      <c r="G5152" t="str">
        <f>VLOOKUP(Table1_2[[#This Row],[Categories]],Sheet3!$A$1:$B$27,2,FALSE)</f>
        <v>Food &amp;Beverage</v>
      </c>
    </row>
    <row r="5153" spans="1:7" x14ac:dyDescent="0.3">
      <c r="A5153" t="s">
        <v>33</v>
      </c>
      <c r="B5153">
        <v>2018</v>
      </c>
      <c r="C5153" t="s">
        <v>38</v>
      </c>
      <c r="D5153" s="2">
        <v>43221</v>
      </c>
      <c r="E5153" t="s">
        <v>8</v>
      </c>
      <c r="F5153">
        <v>151.30000000000001</v>
      </c>
      <c r="G5153" t="str">
        <f>VLOOKUP(Table1_2[[#This Row],[Categories]],Sheet3!$A$1:$B$27,2,FALSE)</f>
        <v>Food &amp;Beverage</v>
      </c>
    </row>
    <row r="5154" spans="1:7" x14ac:dyDescent="0.3">
      <c r="A5154" t="s">
        <v>33</v>
      </c>
      <c r="B5154">
        <v>2018</v>
      </c>
      <c r="C5154" t="s">
        <v>38</v>
      </c>
      <c r="D5154" s="2">
        <v>43221</v>
      </c>
      <c r="E5154" t="s">
        <v>9</v>
      </c>
      <c r="F5154">
        <v>131.4</v>
      </c>
      <c r="G5154" t="str">
        <f>VLOOKUP(Table1_2[[#This Row],[Categories]],Sheet3!$A$1:$B$27,2,FALSE)</f>
        <v>Food &amp;Beverage</v>
      </c>
    </row>
    <row r="5155" spans="1:7" x14ac:dyDescent="0.3">
      <c r="A5155" t="s">
        <v>33</v>
      </c>
      <c r="B5155">
        <v>2018</v>
      </c>
      <c r="C5155" t="s">
        <v>38</v>
      </c>
      <c r="D5155" s="2">
        <v>43221</v>
      </c>
      <c r="E5155" t="s">
        <v>10</v>
      </c>
      <c r="F5155">
        <v>112.8</v>
      </c>
      <c r="G5155" t="str">
        <f>VLOOKUP(Table1_2[[#This Row],[Categories]],Sheet3!$A$1:$B$27,2,FALSE)</f>
        <v>Food &amp;Beverage</v>
      </c>
    </row>
    <row r="5156" spans="1:7" x14ac:dyDescent="0.3">
      <c r="A5156" t="s">
        <v>33</v>
      </c>
      <c r="B5156">
        <v>2018</v>
      </c>
      <c r="C5156" t="s">
        <v>38</v>
      </c>
      <c r="D5156" s="2">
        <v>43221</v>
      </c>
      <c r="E5156" t="s">
        <v>11</v>
      </c>
      <c r="F5156">
        <v>105.3</v>
      </c>
      <c r="G5156" t="str">
        <f>VLOOKUP(Table1_2[[#This Row],[Categories]],Sheet3!$A$1:$B$27,2,FALSE)</f>
        <v>Food &amp;Beverage</v>
      </c>
    </row>
    <row r="5157" spans="1:7" x14ac:dyDescent="0.3">
      <c r="A5157" t="s">
        <v>33</v>
      </c>
      <c r="B5157">
        <v>2018</v>
      </c>
      <c r="C5157" t="s">
        <v>38</v>
      </c>
      <c r="D5157" s="2">
        <v>43221</v>
      </c>
      <c r="E5157" t="s">
        <v>12</v>
      </c>
      <c r="F5157">
        <v>139.6</v>
      </c>
      <c r="G5157" t="str">
        <f>VLOOKUP(Table1_2[[#This Row],[Categories]],Sheet3!$A$1:$B$27,2,FALSE)</f>
        <v>Food &amp;Beverage</v>
      </c>
    </row>
    <row r="5158" spans="1:7" x14ac:dyDescent="0.3">
      <c r="A5158" t="s">
        <v>33</v>
      </c>
      <c r="B5158">
        <v>2018</v>
      </c>
      <c r="C5158" t="s">
        <v>38</v>
      </c>
      <c r="D5158" s="2">
        <v>43221</v>
      </c>
      <c r="E5158" t="s">
        <v>13</v>
      </c>
      <c r="F5158">
        <v>126.6</v>
      </c>
      <c r="G5158" t="str">
        <f>VLOOKUP(Table1_2[[#This Row],[Categories]],Sheet3!$A$1:$B$27,2,FALSE)</f>
        <v>Food &amp;Beverage</v>
      </c>
    </row>
    <row r="5159" spans="1:7" x14ac:dyDescent="0.3">
      <c r="A5159" t="s">
        <v>33</v>
      </c>
      <c r="B5159">
        <v>2018</v>
      </c>
      <c r="C5159" t="s">
        <v>38</v>
      </c>
      <c r="D5159" s="2">
        <v>43221</v>
      </c>
      <c r="E5159" t="s">
        <v>14</v>
      </c>
      <c r="F5159">
        <v>148.69999999999999</v>
      </c>
      <c r="G5159" t="str">
        <f>VLOOKUP(Table1_2[[#This Row],[Categories]],Sheet3!$A$1:$B$27,2,FALSE)</f>
        <v>Food &amp;Beverage</v>
      </c>
    </row>
    <row r="5160" spans="1:7" x14ac:dyDescent="0.3">
      <c r="A5160" t="s">
        <v>33</v>
      </c>
      <c r="B5160">
        <v>2018</v>
      </c>
      <c r="C5160" t="s">
        <v>38</v>
      </c>
      <c r="D5160" s="2">
        <v>43221</v>
      </c>
      <c r="E5160" t="s">
        <v>15</v>
      </c>
      <c r="F5160">
        <v>136.4</v>
      </c>
      <c r="G5160" t="str">
        <f>VLOOKUP(Table1_2[[#This Row],[Categories]],Sheet3!$A$1:$B$27,2,FALSE)</f>
        <v>Food &amp;Beverage</v>
      </c>
    </row>
    <row r="5161" spans="1:7" x14ac:dyDescent="0.3">
      <c r="A5161" t="s">
        <v>33</v>
      </c>
      <c r="B5161">
        <v>2018</v>
      </c>
      <c r="C5161" t="s">
        <v>38</v>
      </c>
      <c r="D5161" s="2">
        <v>43221</v>
      </c>
      <c r="E5161" t="s">
        <v>16</v>
      </c>
      <c r="F5161">
        <v>160.30000000000001</v>
      </c>
      <c r="G5161" t="str">
        <f>VLOOKUP(Table1_2[[#This Row],[Categories]],Sheet3!$A$1:$B$27,2,FALSE)</f>
        <v>Recreation and amusement</v>
      </c>
    </row>
    <row r="5162" spans="1:7" x14ac:dyDescent="0.3">
      <c r="A5162" t="s">
        <v>33</v>
      </c>
      <c r="B5162">
        <v>2018</v>
      </c>
      <c r="C5162" t="s">
        <v>38</v>
      </c>
      <c r="D5162" s="2">
        <v>43221</v>
      </c>
      <c r="E5162" t="s">
        <v>17</v>
      </c>
      <c r="F5162">
        <v>138.6</v>
      </c>
      <c r="G5162" t="str">
        <f>VLOOKUP(Table1_2[[#This Row],[Categories]],Sheet3!$A$1:$B$27,2,FALSE)</f>
        <v>Clothing and footwear</v>
      </c>
    </row>
    <row r="5163" spans="1:7" x14ac:dyDescent="0.3">
      <c r="A5163" t="s">
        <v>33</v>
      </c>
      <c r="B5163">
        <v>2018</v>
      </c>
      <c r="C5163" t="s">
        <v>38</v>
      </c>
      <c r="D5163" s="2">
        <v>43221</v>
      </c>
      <c r="E5163" t="s">
        <v>18</v>
      </c>
      <c r="F5163">
        <v>127.9</v>
      </c>
      <c r="G5163" t="str">
        <f>VLOOKUP(Table1_2[[#This Row],[Categories]],Sheet3!$A$1:$B$27,2,FALSE)</f>
        <v>Clothing and footwear</v>
      </c>
    </row>
    <row r="5164" spans="1:7" x14ac:dyDescent="0.3">
      <c r="A5164" t="s">
        <v>33</v>
      </c>
      <c r="B5164">
        <v>2018</v>
      </c>
      <c r="C5164" t="s">
        <v>38</v>
      </c>
      <c r="D5164" s="2">
        <v>43221</v>
      </c>
      <c r="E5164" t="s">
        <v>19</v>
      </c>
      <c r="F5164">
        <v>137</v>
      </c>
      <c r="G5164" t="str">
        <f>VLOOKUP(Table1_2[[#This Row],[Categories]],Sheet3!$A$1:$B$27,2,FALSE)</f>
        <v>Clothing and footwear</v>
      </c>
    </row>
    <row r="5165" spans="1:7" x14ac:dyDescent="0.3">
      <c r="A5165" t="s">
        <v>33</v>
      </c>
      <c r="B5165">
        <v>2018</v>
      </c>
      <c r="C5165" t="s">
        <v>38</v>
      </c>
      <c r="D5165" s="2">
        <v>43221</v>
      </c>
      <c r="E5165" t="s">
        <v>20</v>
      </c>
      <c r="F5165">
        <v>143.19999999999999</v>
      </c>
      <c r="G5165" t="str">
        <f>VLOOKUP(Table1_2[[#This Row],[Categories]],Sheet3!$A$1:$B$27,2,FALSE)</f>
        <v>Housing</v>
      </c>
    </row>
    <row r="5166" spans="1:7" x14ac:dyDescent="0.3">
      <c r="A5166" t="s">
        <v>33</v>
      </c>
      <c r="B5166">
        <v>2018</v>
      </c>
      <c r="C5166" t="s">
        <v>38</v>
      </c>
      <c r="D5166" s="2">
        <v>43221</v>
      </c>
      <c r="E5166" t="s">
        <v>21</v>
      </c>
      <c r="F5166">
        <v>124.7</v>
      </c>
      <c r="G5166" t="str">
        <f>VLOOKUP(Table1_2[[#This Row],[Categories]],Sheet3!$A$1:$B$27,2,FALSE)</f>
        <v>Fuel and light</v>
      </c>
    </row>
    <row r="5167" spans="1:7" x14ac:dyDescent="0.3">
      <c r="A5167" t="s">
        <v>33</v>
      </c>
      <c r="B5167">
        <v>2018</v>
      </c>
      <c r="C5167" t="s">
        <v>38</v>
      </c>
      <c r="D5167" s="2">
        <v>43221</v>
      </c>
      <c r="E5167" t="s">
        <v>22</v>
      </c>
      <c r="F5167">
        <v>132.5</v>
      </c>
      <c r="G5167" t="str">
        <f>VLOOKUP(Table1_2[[#This Row],[Categories]],Sheet3!$A$1:$B$27,2,FALSE)</f>
        <v>Household Items</v>
      </c>
    </row>
    <row r="5168" spans="1:7" x14ac:dyDescent="0.3">
      <c r="A5168" t="s">
        <v>33</v>
      </c>
      <c r="B5168">
        <v>2018</v>
      </c>
      <c r="C5168" t="s">
        <v>38</v>
      </c>
      <c r="D5168" s="2">
        <v>43221</v>
      </c>
      <c r="E5168" t="s">
        <v>23</v>
      </c>
      <c r="F5168">
        <v>132</v>
      </c>
      <c r="G5168" t="str">
        <f>VLOOKUP(Table1_2[[#This Row],[Categories]],Sheet3!$A$1:$B$27,2,FALSE)</f>
        <v>Health</v>
      </c>
    </row>
    <row r="5169" spans="1:7" x14ac:dyDescent="0.3">
      <c r="A5169" t="s">
        <v>33</v>
      </c>
      <c r="B5169">
        <v>2018</v>
      </c>
      <c r="C5169" t="s">
        <v>38</v>
      </c>
      <c r="D5169" s="2">
        <v>43221</v>
      </c>
      <c r="E5169" t="s">
        <v>24</v>
      </c>
      <c r="F5169">
        <v>119.8</v>
      </c>
      <c r="G5169" t="str">
        <f>VLOOKUP(Table1_2[[#This Row],[Categories]],Sheet3!$A$1:$B$27,2,FALSE)</f>
        <v>Transport and communication</v>
      </c>
    </row>
    <row r="5170" spans="1:7" x14ac:dyDescent="0.3">
      <c r="A5170" t="s">
        <v>33</v>
      </c>
      <c r="B5170">
        <v>2018</v>
      </c>
      <c r="C5170" t="s">
        <v>38</v>
      </c>
      <c r="D5170" s="2">
        <v>43221</v>
      </c>
      <c r="E5170" t="s">
        <v>25</v>
      </c>
      <c r="F5170">
        <v>128</v>
      </c>
      <c r="G5170" t="str">
        <f>VLOOKUP(Table1_2[[#This Row],[Categories]],Sheet3!$A$1:$B$27,2,FALSE)</f>
        <v>Recreation and amusement</v>
      </c>
    </row>
    <row r="5171" spans="1:7" x14ac:dyDescent="0.3">
      <c r="A5171" t="s">
        <v>33</v>
      </c>
      <c r="B5171">
        <v>2018</v>
      </c>
      <c r="C5171" t="s">
        <v>38</v>
      </c>
      <c r="D5171" s="2">
        <v>43221</v>
      </c>
      <c r="E5171" t="s">
        <v>26</v>
      </c>
      <c r="F5171">
        <v>140.4</v>
      </c>
      <c r="G5171" t="str">
        <f>VLOOKUP(Table1_2[[#This Row],[Categories]],Sheet3!$A$1:$B$27,2,FALSE)</f>
        <v>Education</v>
      </c>
    </row>
    <row r="5172" spans="1:7" x14ac:dyDescent="0.3">
      <c r="A5172" t="s">
        <v>33</v>
      </c>
      <c r="B5172">
        <v>2018</v>
      </c>
      <c r="C5172" t="s">
        <v>38</v>
      </c>
      <c r="D5172" s="2">
        <v>43221</v>
      </c>
      <c r="E5172" t="s">
        <v>27</v>
      </c>
      <c r="F5172">
        <v>128.1</v>
      </c>
      <c r="G5172" t="str">
        <f>VLOOKUP(Table1_2[[#This Row],[Categories]],Sheet3!$A$1:$B$27,2,FALSE)</f>
        <v>Household Items</v>
      </c>
    </row>
    <row r="5173" spans="1:7" x14ac:dyDescent="0.3">
      <c r="A5173" t="s">
        <v>33</v>
      </c>
      <c r="B5173">
        <v>2018</v>
      </c>
      <c r="C5173" t="s">
        <v>38</v>
      </c>
      <c r="D5173" s="2">
        <v>43221</v>
      </c>
      <c r="E5173" t="s">
        <v>28</v>
      </c>
      <c r="F5173">
        <v>128.9</v>
      </c>
      <c r="G5173" t="str">
        <f>VLOOKUP(Table1_2[[#This Row],[Categories]],Sheet3!$A$1:$B$27,2,FALSE)</f>
        <v>Miscellaneous</v>
      </c>
    </row>
    <row r="5174" spans="1:7" x14ac:dyDescent="0.3">
      <c r="A5174" t="s">
        <v>33</v>
      </c>
      <c r="B5174">
        <v>2018</v>
      </c>
      <c r="C5174" t="s">
        <v>38</v>
      </c>
      <c r="D5174" s="2">
        <v>43221</v>
      </c>
      <c r="E5174" t="s">
        <v>29</v>
      </c>
      <c r="F5174">
        <v>135.4</v>
      </c>
      <c r="G5174" t="str">
        <f>VLOOKUP(Table1_2[[#This Row],[Categories]],Sheet3!$A$1:$B$27,2,FALSE)</f>
        <v>General index</v>
      </c>
    </row>
    <row r="5175" spans="1:7" x14ac:dyDescent="0.3">
      <c r="A5175" t="s">
        <v>34</v>
      </c>
      <c r="B5175">
        <v>2018</v>
      </c>
      <c r="C5175" t="s">
        <v>38</v>
      </c>
      <c r="D5175" s="2">
        <v>43221</v>
      </c>
      <c r="E5175" t="s">
        <v>3</v>
      </c>
      <c r="F5175">
        <v>136.6</v>
      </c>
      <c r="G5175" t="str">
        <f>VLOOKUP(Table1_2[[#This Row],[Categories]],Sheet3!$A$1:$B$27,2,FALSE)</f>
        <v>Food &amp;Beverage</v>
      </c>
    </row>
    <row r="5176" spans="1:7" x14ac:dyDescent="0.3">
      <c r="A5176" t="s">
        <v>34</v>
      </c>
      <c r="B5176">
        <v>2018</v>
      </c>
      <c r="C5176" t="s">
        <v>38</v>
      </c>
      <c r="D5176" s="2">
        <v>43221</v>
      </c>
      <c r="E5176" t="s">
        <v>4</v>
      </c>
      <c r="F5176">
        <v>146.6</v>
      </c>
      <c r="G5176" t="str">
        <f>VLOOKUP(Table1_2[[#This Row],[Categories]],Sheet3!$A$1:$B$27,2,FALSE)</f>
        <v>Food &amp;Beverage</v>
      </c>
    </row>
    <row r="5177" spans="1:7" x14ac:dyDescent="0.3">
      <c r="A5177" t="s">
        <v>34</v>
      </c>
      <c r="B5177">
        <v>2018</v>
      </c>
      <c r="C5177" t="s">
        <v>38</v>
      </c>
      <c r="D5177" s="2">
        <v>43221</v>
      </c>
      <c r="E5177" t="s">
        <v>5</v>
      </c>
      <c r="F5177">
        <v>133.6</v>
      </c>
      <c r="G5177" t="str">
        <f>VLOOKUP(Table1_2[[#This Row],[Categories]],Sheet3!$A$1:$B$27,2,FALSE)</f>
        <v>Food &amp;Beverage</v>
      </c>
    </row>
    <row r="5178" spans="1:7" x14ac:dyDescent="0.3">
      <c r="A5178" t="s">
        <v>34</v>
      </c>
      <c r="B5178">
        <v>2018</v>
      </c>
      <c r="C5178" t="s">
        <v>38</v>
      </c>
      <c r="D5178" s="2">
        <v>43221</v>
      </c>
      <c r="E5178" t="s">
        <v>6</v>
      </c>
      <c r="F5178">
        <v>142.1</v>
      </c>
      <c r="G5178" t="str">
        <f>VLOOKUP(Table1_2[[#This Row],[Categories]],Sheet3!$A$1:$B$27,2,FALSE)</f>
        <v>Food &amp;Beverage</v>
      </c>
    </row>
    <row r="5179" spans="1:7" x14ac:dyDescent="0.3">
      <c r="A5179" t="s">
        <v>34</v>
      </c>
      <c r="B5179">
        <v>2018</v>
      </c>
      <c r="C5179" t="s">
        <v>38</v>
      </c>
      <c r="D5179" s="2">
        <v>43221</v>
      </c>
      <c r="E5179" t="s">
        <v>7</v>
      </c>
      <c r="F5179">
        <v>121</v>
      </c>
      <c r="G5179" t="str">
        <f>VLOOKUP(Table1_2[[#This Row],[Categories]],Sheet3!$A$1:$B$27,2,FALSE)</f>
        <v>Food &amp;Beverage</v>
      </c>
    </row>
    <row r="5180" spans="1:7" x14ac:dyDescent="0.3">
      <c r="A5180" t="s">
        <v>34</v>
      </c>
      <c r="B5180">
        <v>2018</v>
      </c>
      <c r="C5180" t="s">
        <v>38</v>
      </c>
      <c r="D5180" s="2">
        <v>43221</v>
      </c>
      <c r="E5180" t="s">
        <v>8</v>
      </c>
      <c r="F5180">
        <v>154.6</v>
      </c>
      <c r="G5180" t="str">
        <f>VLOOKUP(Table1_2[[#This Row],[Categories]],Sheet3!$A$1:$B$27,2,FALSE)</f>
        <v>Food &amp;Beverage</v>
      </c>
    </row>
    <row r="5181" spans="1:7" x14ac:dyDescent="0.3">
      <c r="A5181" t="s">
        <v>34</v>
      </c>
      <c r="B5181">
        <v>2018</v>
      </c>
      <c r="C5181" t="s">
        <v>38</v>
      </c>
      <c r="D5181" s="2">
        <v>43221</v>
      </c>
      <c r="E5181" t="s">
        <v>9</v>
      </c>
      <c r="F5181">
        <v>135.6</v>
      </c>
      <c r="G5181" t="str">
        <f>VLOOKUP(Table1_2[[#This Row],[Categories]],Sheet3!$A$1:$B$27,2,FALSE)</f>
        <v>Food &amp;Beverage</v>
      </c>
    </row>
    <row r="5182" spans="1:7" x14ac:dyDescent="0.3">
      <c r="A5182" t="s">
        <v>34</v>
      </c>
      <c r="B5182">
        <v>2018</v>
      </c>
      <c r="C5182" t="s">
        <v>38</v>
      </c>
      <c r="D5182" s="2">
        <v>43221</v>
      </c>
      <c r="E5182" t="s">
        <v>10</v>
      </c>
      <c r="F5182">
        <v>122.3</v>
      </c>
      <c r="G5182" t="str">
        <f>VLOOKUP(Table1_2[[#This Row],[Categories]],Sheet3!$A$1:$B$27,2,FALSE)</f>
        <v>Food &amp;Beverage</v>
      </c>
    </row>
    <row r="5183" spans="1:7" x14ac:dyDescent="0.3">
      <c r="A5183" t="s">
        <v>34</v>
      </c>
      <c r="B5183">
        <v>2018</v>
      </c>
      <c r="C5183" t="s">
        <v>38</v>
      </c>
      <c r="D5183" s="2">
        <v>43221</v>
      </c>
      <c r="E5183" t="s">
        <v>11</v>
      </c>
      <c r="F5183">
        <v>109.6</v>
      </c>
      <c r="G5183" t="str">
        <f>VLOOKUP(Table1_2[[#This Row],[Categories]],Sheet3!$A$1:$B$27,2,FALSE)</f>
        <v>Food &amp;Beverage</v>
      </c>
    </row>
    <row r="5184" spans="1:7" x14ac:dyDescent="0.3">
      <c r="A5184" t="s">
        <v>34</v>
      </c>
      <c r="B5184">
        <v>2018</v>
      </c>
      <c r="C5184" t="s">
        <v>38</v>
      </c>
      <c r="D5184" s="2">
        <v>43221</v>
      </c>
      <c r="E5184" t="s">
        <v>12</v>
      </c>
      <c r="F5184">
        <v>138.1</v>
      </c>
      <c r="G5184" t="str">
        <f>VLOOKUP(Table1_2[[#This Row],[Categories]],Sheet3!$A$1:$B$27,2,FALSE)</f>
        <v>Food &amp;Beverage</v>
      </c>
    </row>
    <row r="5185" spans="1:7" x14ac:dyDescent="0.3">
      <c r="A5185" t="s">
        <v>34</v>
      </c>
      <c r="B5185">
        <v>2018</v>
      </c>
      <c r="C5185" t="s">
        <v>38</v>
      </c>
      <c r="D5185" s="2">
        <v>43221</v>
      </c>
      <c r="E5185" t="s">
        <v>13</v>
      </c>
      <c r="F5185">
        <v>129.9</v>
      </c>
      <c r="G5185" t="str">
        <f>VLOOKUP(Table1_2[[#This Row],[Categories]],Sheet3!$A$1:$B$27,2,FALSE)</f>
        <v>Food &amp;Beverage</v>
      </c>
    </row>
    <row r="5186" spans="1:7" x14ac:dyDescent="0.3">
      <c r="A5186" t="s">
        <v>34</v>
      </c>
      <c r="B5186">
        <v>2018</v>
      </c>
      <c r="C5186" t="s">
        <v>38</v>
      </c>
      <c r="D5186" s="2">
        <v>43221</v>
      </c>
      <c r="E5186" t="s">
        <v>14</v>
      </c>
      <c r="F5186">
        <v>151.69999999999999</v>
      </c>
      <c r="G5186" t="str">
        <f>VLOOKUP(Table1_2[[#This Row],[Categories]],Sheet3!$A$1:$B$27,2,FALSE)</f>
        <v>Food &amp;Beverage</v>
      </c>
    </row>
    <row r="5187" spans="1:7" x14ac:dyDescent="0.3">
      <c r="A5187" t="s">
        <v>34</v>
      </c>
      <c r="B5187">
        <v>2018</v>
      </c>
      <c r="C5187" t="s">
        <v>38</v>
      </c>
      <c r="D5187" s="2">
        <v>43221</v>
      </c>
      <c r="E5187" t="s">
        <v>15</v>
      </c>
      <c r="F5187">
        <v>138.1</v>
      </c>
      <c r="G5187" t="str">
        <f>VLOOKUP(Table1_2[[#This Row],[Categories]],Sheet3!$A$1:$B$27,2,FALSE)</f>
        <v>Food &amp;Beverage</v>
      </c>
    </row>
    <row r="5188" spans="1:7" x14ac:dyDescent="0.3">
      <c r="A5188" t="s">
        <v>34</v>
      </c>
      <c r="B5188">
        <v>2018</v>
      </c>
      <c r="C5188" t="s">
        <v>38</v>
      </c>
      <c r="D5188" s="2">
        <v>43221</v>
      </c>
      <c r="E5188" t="s">
        <v>16</v>
      </c>
      <c r="F5188">
        <v>157.9</v>
      </c>
      <c r="G5188" t="str">
        <f>VLOOKUP(Table1_2[[#This Row],[Categories]],Sheet3!$A$1:$B$27,2,FALSE)</f>
        <v>Recreation and amusement</v>
      </c>
    </row>
    <row r="5189" spans="1:7" x14ac:dyDescent="0.3">
      <c r="A5189" t="s">
        <v>34</v>
      </c>
      <c r="B5189">
        <v>2018</v>
      </c>
      <c r="C5189" t="s">
        <v>38</v>
      </c>
      <c r="D5189" s="2">
        <v>43221</v>
      </c>
      <c r="E5189" t="s">
        <v>17</v>
      </c>
      <c r="F5189">
        <v>146</v>
      </c>
      <c r="G5189" t="str">
        <f>VLOOKUP(Table1_2[[#This Row],[Categories]],Sheet3!$A$1:$B$27,2,FALSE)</f>
        <v>Clothing and footwear</v>
      </c>
    </row>
    <row r="5190" spans="1:7" x14ac:dyDescent="0.3">
      <c r="A5190" t="s">
        <v>34</v>
      </c>
      <c r="B5190">
        <v>2018</v>
      </c>
      <c r="C5190" t="s">
        <v>38</v>
      </c>
      <c r="D5190" s="2">
        <v>43221</v>
      </c>
      <c r="E5190" t="s">
        <v>18</v>
      </c>
      <c r="F5190">
        <v>137.4</v>
      </c>
      <c r="G5190" t="str">
        <f>VLOOKUP(Table1_2[[#This Row],[Categories]],Sheet3!$A$1:$B$27,2,FALSE)</f>
        <v>Clothing and footwear</v>
      </c>
    </row>
    <row r="5191" spans="1:7" x14ac:dyDescent="0.3">
      <c r="A5191" t="s">
        <v>34</v>
      </c>
      <c r="B5191">
        <v>2018</v>
      </c>
      <c r="C5191" t="s">
        <v>38</v>
      </c>
      <c r="D5191" s="2">
        <v>43221</v>
      </c>
      <c r="E5191" t="s">
        <v>19</v>
      </c>
      <c r="F5191">
        <v>144.69999999999999</v>
      </c>
      <c r="G5191" t="str">
        <f>VLOOKUP(Table1_2[[#This Row],[Categories]],Sheet3!$A$1:$B$27,2,FALSE)</f>
        <v>Clothing and footwear</v>
      </c>
    </row>
    <row r="5192" spans="1:7" x14ac:dyDescent="0.3">
      <c r="A5192" t="s">
        <v>34</v>
      </c>
      <c r="B5192">
        <v>2018</v>
      </c>
      <c r="C5192" t="s">
        <v>38</v>
      </c>
      <c r="D5192" s="2">
        <v>43221</v>
      </c>
      <c r="E5192" t="s">
        <v>20</v>
      </c>
      <c r="F5192">
        <v>143.19999999999999</v>
      </c>
      <c r="G5192" t="str">
        <f>VLOOKUP(Table1_2[[#This Row],[Categories]],Sheet3!$A$1:$B$27,2,FALSE)</f>
        <v>Housing</v>
      </c>
    </row>
    <row r="5193" spans="1:7" x14ac:dyDescent="0.3">
      <c r="A5193" t="s">
        <v>34</v>
      </c>
      <c r="B5193">
        <v>2018</v>
      </c>
      <c r="C5193" t="s">
        <v>38</v>
      </c>
      <c r="D5193" s="2">
        <v>43221</v>
      </c>
      <c r="E5193" t="s">
        <v>21</v>
      </c>
      <c r="F5193">
        <v>136.9</v>
      </c>
      <c r="G5193" t="str">
        <f>VLOOKUP(Table1_2[[#This Row],[Categories]],Sheet3!$A$1:$B$27,2,FALSE)</f>
        <v>Fuel and light</v>
      </c>
    </row>
    <row r="5194" spans="1:7" x14ac:dyDescent="0.3">
      <c r="A5194" t="s">
        <v>34</v>
      </c>
      <c r="B5194">
        <v>2018</v>
      </c>
      <c r="C5194" t="s">
        <v>38</v>
      </c>
      <c r="D5194" s="2">
        <v>43221</v>
      </c>
      <c r="E5194" t="s">
        <v>22</v>
      </c>
      <c r="F5194">
        <v>137.4</v>
      </c>
      <c r="G5194" t="str">
        <f>VLOOKUP(Table1_2[[#This Row],[Categories]],Sheet3!$A$1:$B$27,2,FALSE)</f>
        <v>Household Items</v>
      </c>
    </row>
    <row r="5195" spans="1:7" x14ac:dyDescent="0.3">
      <c r="A5195" t="s">
        <v>34</v>
      </c>
      <c r="B5195">
        <v>2018</v>
      </c>
      <c r="C5195" t="s">
        <v>38</v>
      </c>
      <c r="D5195" s="2">
        <v>43221</v>
      </c>
      <c r="E5195" t="s">
        <v>23</v>
      </c>
      <c r="F5195">
        <v>136</v>
      </c>
      <c r="G5195" t="str">
        <f>VLOOKUP(Table1_2[[#This Row],[Categories]],Sheet3!$A$1:$B$27,2,FALSE)</f>
        <v>Health</v>
      </c>
    </row>
    <row r="5196" spans="1:7" x14ac:dyDescent="0.3">
      <c r="A5196" t="s">
        <v>34</v>
      </c>
      <c r="B5196">
        <v>2018</v>
      </c>
      <c r="C5196" t="s">
        <v>38</v>
      </c>
      <c r="D5196" s="2">
        <v>43221</v>
      </c>
      <c r="E5196" t="s">
        <v>24</v>
      </c>
      <c r="F5196">
        <v>122.9</v>
      </c>
      <c r="G5196" t="str">
        <f>VLOOKUP(Table1_2[[#This Row],[Categories]],Sheet3!$A$1:$B$27,2,FALSE)</f>
        <v>Transport and communication</v>
      </c>
    </row>
    <row r="5197" spans="1:7" x14ac:dyDescent="0.3">
      <c r="A5197" t="s">
        <v>34</v>
      </c>
      <c r="B5197">
        <v>2018</v>
      </c>
      <c r="C5197" t="s">
        <v>38</v>
      </c>
      <c r="D5197" s="2">
        <v>43221</v>
      </c>
      <c r="E5197" t="s">
        <v>25</v>
      </c>
      <c r="F5197">
        <v>131.80000000000001</v>
      </c>
      <c r="G5197" t="str">
        <f>VLOOKUP(Table1_2[[#This Row],[Categories]],Sheet3!$A$1:$B$27,2,FALSE)</f>
        <v>Recreation and amusement</v>
      </c>
    </row>
    <row r="5198" spans="1:7" x14ac:dyDescent="0.3">
      <c r="A5198" t="s">
        <v>34</v>
      </c>
      <c r="B5198">
        <v>2018</v>
      </c>
      <c r="C5198" t="s">
        <v>38</v>
      </c>
      <c r="D5198" s="2">
        <v>43221</v>
      </c>
      <c r="E5198" t="s">
        <v>26</v>
      </c>
      <c r="F5198">
        <v>142.1</v>
      </c>
      <c r="G5198" t="str">
        <f>VLOOKUP(Table1_2[[#This Row],[Categories]],Sheet3!$A$1:$B$27,2,FALSE)</f>
        <v>Education</v>
      </c>
    </row>
    <row r="5199" spans="1:7" x14ac:dyDescent="0.3">
      <c r="A5199" t="s">
        <v>34</v>
      </c>
      <c r="B5199">
        <v>2018</v>
      </c>
      <c r="C5199" t="s">
        <v>38</v>
      </c>
      <c r="D5199" s="2">
        <v>43221</v>
      </c>
      <c r="E5199" t="s">
        <v>27</v>
      </c>
      <c r="F5199">
        <v>129.9</v>
      </c>
      <c r="G5199" t="str">
        <f>VLOOKUP(Table1_2[[#This Row],[Categories]],Sheet3!$A$1:$B$27,2,FALSE)</f>
        <v>Household Items</v>
      </c>
    </row>
    <row r="5200" spans="1:7" x14ac:dyDescent="0.3">
      <c r="A5200" t="s">
        <v>34</v>
      </c>
      <c r="B5200">
        <v>2018</v>
      </c>
      <c r="C5200" t="s">
        <v>38</v>
      </c>
      <c r="D5200" s="2">
        <v>43221</v>
      </c>
      <c r="E5200" t="s">
        <v>28</v>
      </c>
      <c r="F5200">
        <v>132.1</v>
      </c>
      <c r="G5200" t="str">
        <f>VLOOKUP(Table1_2[[#This Row],[Categories]],Sheet3!$A$1:$B$27,2,FALSE)</f>
        <v>Miscellaneous</v>
      </c>
    </row>
    <row r="5201" spans="1:7" x14ac:dyDescent="0.3">
      <c r="A5201" t="s">
        <v>34</v>
      </c>
      <c r="B5201">
        <v>2018</v>
      </c>
      <c r="C5201" t="s">
        <v>38</v>
      </c>
      <c r="D5201" s="2">
        <v>43221</v>
      </c>
      <c r="E5201" t="s">
        <v>29</v>
      </c>
      <c r="F5201">
        <v>137.80000000000001</v>
      </c>
      <c r="G5201" t="str">
        <f>VLOOKUP(Table1_2[[#This Row],[Categories]],Sheet3!$A$1:$B$27,2,FALSE)</f>
        <v>General index</v>
      </c>
    </row>
    <row r="5202" spans="1:7" x14ac:dyDescent="0.3">
      <c r="A5202" t="s">
        <v>30</v>
      </c>
      <c r="B5202">
        <v>2018</v>
      </c>
      <c r="C5202" t="s">
        <v>39</v>
      </c>
      <c r="D5202" s="2">
        <v>43252</v>
      </c>
      <c r="E5202" t="s">
        <v>3</v>
      </c>
      <c r="F5202">
        <v>137.6</v>
      </c>
      <c r="G5202" t="str">
        <f>VLOOKUP(Table1_2[[#This Row],[Categories]],Sheet3!$A$1:$B$27,2,FALSE)</f>
        <v>Food &amp;Beverage</v>
      </c>
    </row>
    <row r="5203" spans="1:7" x14ac:dyDescent="0.3">
      <c r="A5203" t="s">
        <v>30</v>
      </c>
      <c r="B5203">
        <v>2018</v>
      </c>
      <c r="C5203" t="s">
        <v>39</v>
      </c>
      <c r="D5203" s="2">
        <v>43252</v>
      </c>
      <c r="E5203" t="s">
        <v>4</v>
      </c>
      <c r="F5203">
        <v>148.1</v>
      </c>
      <c r="G5203" t="str">
        <f>VLOOKUP(Table1_2[[#This Row],[Categories]],Sheet3!$A$1:$B$27,2,FALSE)</f>
        <v>Food &amp;Beverage</v>
      </c>
    </row>
    <row r="5204" spans="1:7" x14ac:dyDescent="0.3">
      <c r="A5204" t="s">
        <v>30</v>
      </c>
      <c r="B5204">
        <v>2018</v>
      </c>
      <c r="C5204" t="s">
        <v>39</v>
      </c>
      <c r="D5204" s="2">
        <v>43252</v>
      </c>
      <c r="E5204" t="s">
        <v>5</v>
      </c>
      <c r="F5204">
        <v>136.69999999999999</v>
      </c>
      <c r="G5204" t="str">
        <f>VLOOKUP(Table1_2[[#This Row],[Categories]],Sheet3!$A$1:$B$27,2,FALSE)</f>
        <v>Food &amp;Beverage</v>
      </c>
    </row>
    <row r="5205" spans="1:7" x14ac:dyDescent="0.3">
      <c r="A5205" t="s">
        <v>30</v>
      </c>
      <c r="B5205">
        <v>2018</v>
      </c>
      <c r="C5205" t="s">
        <v>39</v>
      </c>
      <c r="D5205" s="2">
        <v>43252</v>
      </c>
      <c r="E5205" t="s">
        <v>6</v>
      </c>
      <c r="F5205">
        <v>143.19999999999999</v>
      </c>
      <c r="G5205" t="str">
        <f>VLOOKUP(Table1_2[[#This Row],[Categories]],Sheet3!$A$1:$B$27,2,FALSE)</f>
        <v>Food &amp;Beverage</v>
      </c>
    </row>
    <row r="5206" spans="1:7" x14ac:dyDescent="0.3">
      <c r="A5206" t="s">
        <v>30</v>
      </c>
      <c r="B5206">
        <v>2018</v>
      </c>
      <c r="C5206" t="s">
        <v>39</v>
      </c>
      <c r="D5206" s="2">
        <v>43252</v>
      </c>
      <c r="E5206" t="s">
        <v>7</v>
      </c>
      <c r="F5206">
        <v>124</v>
      </c>
      <c r="G5206" t="str">
        <f>VLOOKUP(Table1_2[[#This Row],[Categories]],Sheet3!$A$1:$B$27,2,FALSE)</f>
        <v>Food &amp;Beverage</v>
      </c>
    </row>
    <row r="5207" spans="1:7" x14ac:dyDescent="0.3">
      <c r="A5207" t="s">
        <v>30</v>
      </c>
      <c r="B5207">
        <v>2018</v>
      </c>
      <c r="C5207" t="s">
        <v>39</v>
      </c>
      <c r="D5207" s="2">
        <v>43252</v>
      </c>
      <c r="E5207" t="s">
        <v>8</v>
      </c>
      <c r="F5207">
        <v>154.1</v>
      </c>
      <c r="G5207" t="str">
        <f>VLOOKUP(Table1_2[[#This Row],[Categories]],Sheet3!$A$1:$B$27,2,FALSE)</f>
        <v>Food &amp;Beverage</v>
      </c>
    </row>
    <row r="5208" spans="1:7" x14ac:dyDescent="0.3">
      <c r="A5208" t="s">
        <v>30</v>
      </c>
      <c r="B5208">
        <v>2018</v>
      </c>
      <c r="C5208" t="s">
        <v>39</v>
      </c>
      <c r="D5208" s="2">
        <v>43252</v>
      </c>
      <c r="E5208" t="s">
        <v>9</v>
      </c>
      <c r="F5208">
        <v>143.5</v>
      </c>
      <c r="G5208" t="str">
        <f>VLOOKUP(Table1_2[[#This Row],[Categories]],Sheet3!$A$1:$B$27,2,FALSE)</f>
        <v>Food &amp;Beverage</v>
      </c>
    </row>
    <row r="5209" spans="1:7" x14ac:dyDescent="0.3">
      <c r="A5209" t="s">
        <v>30</v>
      </c>
      <c r="B5209">
        <v>2018</v>
      </c>
      <c r="C5209" t="s">
        <v>39</v>
      </c>
      <c r="D5209" s="2">
        <v>43252</v>
      </c>
      <c r="E5209" t="s">
        <v>10</v>
      </c>
      <c r="F5209">
        <v>126</v>
      </c>
      <c r="G5209" t="str">
        <f>VLOOKUP(Table1_2[[#This Row],[Categories]],Sheet3!$A$1:$B$27,2,FALSE)</f>
        <v>Food &amp;Beverage</v>
      </c>
    </row>
    <row r="5210" spans="1:7" x14ac:dyDescent="0.3">
      <c r="A5210" t="s">
        <v>30</v>
      </c>
      <c r="B5210">
        <v>2018</v>
      </c>
      <c r="C5210" t="s">
        <v>39</v>
      </c>
      <c r="D5210" s="2">
        <v>43252</v>
      </c>
      <c r="E5210" t="s">
        <v>11</v>
      </c>
      <c r="F5210">
        <v>112.4</v>
      </c>
      <c r="G5210" t="str">
        <f>VLOOKUP(Table1_2[[#This Row],[Categories]],Sheet3!$A$1:$B$27,2,FALSE)</f>
        <v>Food &amp;Beverage</v>
      </c>
    </row>
    <row r="5211" spans="1:7" x14ac:dyDescent="0.3">
      <c r="A5211" t="s">
        <v>30</v>
      </c>
      <c r="B5211">
        <v>2018</v>
      </c>
      <c r="C5211" t="s">
        <v>39</v>
      </c>
      <c r="D5211" s="2">
        <v>43252</v>
      </c>
      <c r="E5211" t="s">
        <v>12</v>
      </c>
      <c r="F5211">
        <v>137.6</v>
      </c>
      <c r="G5211" t="str">
        <f>VLOOKUP(Table1_2[[#This Row],[Categories]],Sheet3!$A$1:$B$27,2,FALSE)</f>
        <v>Food &amp;Beverage</v>
      </c>
    </row>
    <row r="5212" spans="1:7" x14ac:dyDescent="0.3">
      <c r="A5212" t="s">
        <v>30</v>
      </c>
      <c r="B5212">
        <v>2018</v>
      </c>
      <c r="C5212" t="s">
        <v>39</v>
      </c>
      <c r="D5212" s="2">
        <v>43252</v>
      </c>
      <c r="E5212" t="s">
        <v>13</v>
      </c>
      <c r="F5212">
        <v>132.80000000000001</v>
      </c>
      <c r="G5212" t="str">
        <f>VLOOKUP(Table1_2[[#This Row],[Categories]],Sheet3!$A$1:$B$27,2,FALSE)</f>
        <v>Food &amp;Beverage</v>
      </c>
    </row>
    <row r="5213" spans="1:7" x14ac:dyDescent="0.3">
      <c r="A5213" t="s">
        <v>30</v>
      </c>
      <c r="B5213">
        <v>2018</v>
      </c>
      <c r="C5213" t="s">
        <v>39</v>
      </c>
      <c r="D5213" s="2">
        <v>43252</v>
      </c>
      <c r="E5213" t="s">
        <v>14</v>
      </c>
      <c r="F5213">
        <v>154.30000000000001</v>
      </c>
      <c r="G5213" t="str">
        <f>VLOOKUP(Table1_2[[#This Row],[Categories]],Sheet3!$A$1:$B$27,2,FALSE)</f>
        <v>Food &amp;Beverage</v>
      </c>
    </row>
    <row r="5214" spans="1:7" x14ac:dyDescent="0.3">
      <c r="A5214" t="s">
        <v>30</v>
      </c>
      <c r="B5214">
        <v>2018</v>
      </c>
      <c r="C5214" t="s">
        <v>39</v>
      </c>
      <c r="D5214" s="2">
        <v>43252</v>
      </c>
      <c r="E5214" t="s">
        <v>15</v>
      </c>
      <c r="F5214">
        <v>140</v>
      </c>
      <c r="G5214" t="str">
        <f>VLOOKUP(Table1_2[[#This Row],[Categories]],Sheet3!$A$1:$B$27,2,FALSE)</f>
        <v>Food &amp;Beverage</v>
      </c>
    </row>
    <row r="5215" spans="1:7" x14ac:dyDescent="0.3">
      <c r="A5215" t="s">
        <v>30</v>
      </c>
      <c r="B5215">
        <v>2018</v>
      </c>
      <c r="C5215" t="s">
        <v>39</v>
      </c>
      <c r="D5215" s="2">
        <v>43252</v>
      </c>
      <c r="E5215" t="s">
        <v>16</v>
      </c>
      <c r="F5215">
        <v>157.30000000000001</v>
      </c>
      <c r="G5215" t="str">
        <f>VLOOKUP(Table1_2[[#This Row],[Categories]],Sheet3!$A$1:$B$27,2,FALSE)</f>
        <v>Recreation and amusement</v>
      </c>
    </row>
    <row r="5216" spans="1:7" x14ac:dyDescent="0.3">
      <c r="A5216" t="s">
        <v>30</v>
      </c>
      <c r="B5216">
        <v>2018</v>
      </c>
      <c r="C5216" t="s">
        <v>39</v>
      </c>
      <c r="D5216" s="2">
        <v>43252</v>
      </c>
      <c r="E5216" t="s">
        <v>17</v>
      </c>
      <c r="F5216">
        <v>151.30000000000001</v>
      </c>
      <c r="G5216" t="str">
        <f>VLOOKUP(Table1_2[[#This Row],[Categories]],Sheet3!$A$1:$B$27,2,FALSE)</f>
        <v>Clothing and footwear</v>
      </c>
    </row>
    <row r="5217" spans="1:7" x14ac:dyDescent="0.3">
      <c r="A5217" t="s">
        <v>30</v>
      </c>
      <c r="B5217">
        <v>2018</v>
      </c>
      <c r="C5217" t="s">
        <v>39</v>
      </c>
      <c r="D5217" s="2">
        <v>43252</v>
      </c>
      <c r="E5217" t="s">
        <v>18</v>
      </c>
      <c r="F5217">
        <v>144.69999999999999</v>
      </c>
      <c r="G5217" t="str">
        <f>VLOOKUP(Table1_2[[#This Row],[Categories]],Sheet3!$A$1:$B$27,2,FALSE)</f>
        <v>Clothing and footwear</v>
      </c>
    </row>
    <row r="5218" spans="1:7" x14ac:dyDescent="0.3">
      <c r="A5218" t="s">
        <v>30</v>
      </c>
      <c r="B5218">
        <v>2018</v>
      </c>
      <c r="C5218" t="s">
        <v>39</v>
      </c>
      <c r="D5218" s="2">
        <v>43252</v>
      </c>
      <c r="E5218" t="s">
        <v>19</v>
      </c>
      <c r="F5218">
        <v>150.30000000000001</v>
      </c>
      <c r="G5218" t="str">
        <f>VLOOKUP(Table1_2[[#This Row],[Categories]],Sheet3!$A$1:$B$27,2,FALSE)</f>
        <v>Clothing and footwear</v>
      </c>
    </row>
    <row r="5219" spans="1:7" x14ac:dyDescent="0.3">
      <c r="A5219" t="s">
        <v>30</v>
      </c>
      <c r="B5219">
        <v>2018</v>
      </c>
      <c r="C5219" t="s">
        <v>39</v>
      </c>
      <c r="D5219" s="2">
        <v>43252</v>
      </c>
      <c r="E5219" t="s">
        <v>21</v>
      </c>
      <c r="F5219">
        <v>145.1</v>
      </c>
      <c r="G5219" t="str">
        <f>VLOOKUP(Table1_2[[#This Row],[Categories]],Sheet3!$A$1:$B$27,2,FALSE)</f>
        <v>Fuel and light</v>
      </c>
    </row>
    <row r="5220" spans="1:7" x14ac:dyDescent="0.3">
      <c r="A5220" t="s">
        <v>30</v>
      </c>
      <c r="B5220">
        <v>2018</v>
      </c>
      <c r="C5220" t="s">
        <v>39</v>
      </c>
      <c r="D5220" s="2">
        <v>43252</v>
      </c>
      <c r="E5220" t="s">
        <v>22</v>
      </c>
      <c r="F5220">
        <v>142.19999999999999</v>
      </c>
      <c r="G5220" t="str">
        <f>VLOOKUP(Table1_2[[#This Row],[Categories]],Sheet3!$A$1:$B$27,2,FALSE)</f>
        <v>Household Items</v>
      </c>
    </row>
    <row r="5221" spans="1:7" x14ac:dyDescent="0.3">
      <c r="A5221" t="s">
        <v>30</v>
      </c>
      <c r="B5221">
        <v>2018</v>
      </c>
      <c r="C5221" t="s">
        <v>39</v>
      </c>
      <c r="D5221" s="2">
        <v>43252</v>
      </c>
      <c r="E5221" t="s">
        <v>23</v>
      </c>
      <c r="F5221">
        <v>138.4</v>
      </c>
      <c r="G5221" t="str">
        <f>VLOOKUP(Table1_2[[#This Row],[Categories]],Sheet3!$A$1:$B$27,2,FALSE)</f>
        <v>Health</v>
      </c>
    </row>
    <row r="5222" spans="1:7" x14ac:dyDescent="0.3">
      <c r="A5222" t="s">
        <v>30</v>
      </c>
      <c r="B5222">
        <v>2018</v>
      </c>
      <c r="C5222" t="s">
        <v>39</v>
      </c>
      <c r="D5222" s="2">
        <v>43252</v>
      </c>
      <c r="E5222" t="s">
        <v>24</v>
      </c>
      <c r="F5222">
        <v>127.4</v>
      </c>
      <c r="G5222" t="str">
        <f>VLOOKUP(Table1_2[[#This Row],[Categories]],Sheet3!$A$1:$B$27,2,FALSE)</f>
        <v>Transport and communication</v>
      </c>
    </row>
    <row r="5223" spans="1:7" x14ac:dyDescent="0.3">
      <c r="A5223" t="s">
        <v>30</v>
      </c>
      <c r="B5223">
        <v>2018</v>
      </c>
      <c r="C5223" t="s">
        <v>39</v>
      </c>
      <c r="D5223" s="2">
        <v>43252</v>
      </c>
      <c r="E5223" t="s">
        <v>25</v>
      </c>
      <c r="F5223">
        <v>137.80000000000001</v>
      </c>
      <c r="G5223" t="str">
        <f>VLOOKUP(Table1_2[[#This Row],[Categories]],Sheet3!$A$1:$B$27,2,FALSE)</f>
        <v>Recreation and amusement</v>
      </c>
    </row>
    <row r="5224" spans="1:7" x14ac:dyDescent="0.3">
      <c r="A5224" t="s">
        <v>30</v>
      </c>
      <c r="B5224">
        <v>2018</v>
      </c>
      <c r="C5224" t="s">
        <v>39</v>
      </c>
      <c r="D5224" s="2">
        <v>43252</v>
      </c>
      <c r="E5224" t="s">
        <v>26</v>
      </c>
      <c r="F5224">
        <v>145.1</v>
      </c>
      <c r="G5224" t="str">
        <f>VLOOKUP(Table1_2[[#This Row],[Categories]],Sheet3!$A$1:$B$27,2,FALSE)</f>
        <v>Education</v>
      </c>
    </row>
    <row r="5225" spans="1:7" x14ac:dyDescent="0.3">
      <c r="A5225" t="s">
        <v>30</v>
      </c>
      <c r="B5225">
        <v>2018</v>
      </c>
      <c r="C5225" t="s">
        <v>39</v>
      </c>
      <c r="D5225" s="2">
        <v>43252</v>
      </c>
      <c r="E5225" t="s">
        <v>27</v>
      </c>
      <c r="F5225">
        <v>131.4</v>
      </c>
      <c r="G5225" t="str">
        <f>VLOOKUP(Table1_2[[#This Row],[Categories]],Sheet3!$A$1:$B$27,2,FALSE)</f>
        <v>Household Items</v>
      </c>
    </row>
    <row r="5226" spans="1:7" x14ac:dyDescent="0.3">
      <c r="A5226" t="s">
        <v>30</v>
      </c>
      <c r="B5226">
        <v>2018</v>
      </c>
      <c r="C5226" t="s">
        <v>39</v>
      </c>
      <c r="D5226" s="2">
        <v>43252</v>
      </c>
      <c r="E5226" t="s">
        <v>28</v>
      </c>
      <c r="F5226">
        <v>135.6</v>
      </c>
      <c r="G5226" t="str">
        <f>VLOOKUP(Table1_2[[#This Row],[Categories]],Sheet3!$A$1:$B$27,2,FALSE)</f>
        <v>Miscellaneous</v>
      </c>
    </row>
    <row r="5227" spans="1:7" x14ac:dyDescent="0.3">
      <c r="A5227" t="s">
        <v>30</v>
      </c>
      <c r="B5227">
        <v>2018</v>
      </c>
      <c r="C5227" t="s">
        <v>39</v>
      </c>
      <c r="D5227" s="2">
        <v>43252</v>
      </c>
      <c r="E5227" t="s">
        <v>29</v>
      </c>
      <c r="F5227">
        <v>140.5</v>
      </c>
      <c r="G5227" t="str">
        <f>VLOOKUP(Table1_2[[#This Row],[Categories]],Sheet3!$A$1:$B$27,2,FALSE)</f>
        <v>General index</v>
      </c>
    </row>
    <row r="5228" spans="1:7" x14ac:dyDescent="0.3">
      <c r="A5228" t="s">
        <v>33</v>
      </c>
      <c r="B5228">
        <v>2018</v>
      </c>
      <c r="C5228" t="s">
        <v>39</v>
      </c>
      <c r="D5228" s="2">
        <v>43252</v>
      </c>
      <c r="E5228" t="s">
        <v>3</v>
      </c>
      <c r="F5228">
        <v>135.30000000000001</v>
      </c>
      <c r="G5228" t="str">
        <f>VLOOKUP(Table1_2[[#This Row],[Categories]],Sheet3!$A$1:$B$27,2,FALSE)</f>
        <v>Food &amp;Beverage</v>
      </c>
    </row>
    <row r="5229" spans="1:7" x14ac:dyDescent="0.3">
      <c r="A5229" t="s">
        <v>33</v>
      </c>
      <c r="B5229">
        <v>2018</v>
      </c>
      <c r="C5229" t="s">
        <v>39</v>
      </c>
      <c r="D5229" s="2">
        <v>43252</v>
      </c>
      <c r="E5229" t="s">
        <v>4</v>
      </c>
      <c r="F5229">
        <v>149.69999999999999</v>
      </c>
      <c r="G5229" t="str">
        <f>VLOOKUP(Table1_2[[#This Row],[Categories]],Sheet3!$A$1:$B$27,2,FALSE)</f>
        <v>Food &amp;Beverage</v>
      </c>
    </row>
    <row r="5230" spans="1:7" x14ac:dyDescent="0.3">
      <c r="A5230" t="s">
        <v>33</v>
      </c>
      <c r="B5230">
        <v>2018</v>
      </c>
      <c r="C5230" t="s">
        <v>39</v>
      </c>
      <c r="D5230" s="2">
        <v>43252</v>
      </c>
      <c r="E5230" t="s">
        <v>5</v>
      </c>
      <c r="F5230">
        <v>133.9</v>
      </c>
      <c r="G5230" t="str">
        <f>VLOOKUP(Table1_2[[#This Row],[Categories]],Sheet3!$A$1:$B$27,2,FALSE)</f>
        <v>Food &amp;Beverage</v>
      </c>
    </row>
    <row r="5231" spans="1:7" x14ac:dyDescent="0.3">
      <c r="A5231" t="s">
        <v>33</v>
      </c>
      <c r="B5231">
        <v>2018</v>
      </c>
      <c r="C5231" t="s">
        <v>39</v>
      </c>
      <c r="D5231" s="2">
        <v>43252</v>
      </c>
      <c r="E5231" t="s">
        <v>6</v>
      </c>
      <c r="F5231">
        <v>140.80000000000001</v>
      </c>
      <c r="G5231" t="str">
        <f>VLOOKUP(Table1_2[[#This Row],[Categories]],Sheet3!$A$1:$B$27,2,FALSE)</f>
        <v>Food &amp;Beverage</v>
      </c>
    </row>
    <row r="5232" spans="1:7" x14ac:dyDescent="0.3">
      <c r="A5232" t="s">
        <v>33</v>
      </c>
      <c r="B5232">
        <v>2018</v>
      </c>
      <c r="C5232" t="s">
        <v>39</v>
      </c>
      <c r="D5232" s="2">
        <v>43252</v>
      </c>
      <c r="E5232" t="s">
        <v>7</v>
      </c>
      <c r="F5232">
        <v>116.6</v>
      </c>
      <c r="G5232" t="str">
        <f>VLOOKUP(Table1_2[[#This Row],[Categories]],Sheet3!$A$1:$B$27,2,FALSE)</f>
        <v>Food &amp;Beverage</v>
      </c>
    </row>
    <row r="5233" spans="1:7" x14ac:dyDescent="0.3">
      <c r="A5233" t="s">
        <v>33</v>
      </c>
      <c r="B5233">
        <v>2018</v>
      </c>
      <c r="C5233" t="s">
        <v>39</v>
      </c>
      <c r="D5233" s="2">
        <v>43252</v>
      </c>
      <c r="E5233" t="s">
        <v>8</v>
      </c>
      <c r="F5233">
        <v>152.19999999999999</v>
      </c>
      <c r="G5233" t="str">
        <f>VLOOKUP(Table1_2[[#This Row],[Categories]],Sheet3!$A$1:$B$27,2,FALSE)</f>
        <v>Food &amp;Beverage</v>
      </c>
    </row>
    <row r="5234" spans="1:7" x14ac:dyDescent="0.3">
      <c r="A5234" t="s">
        <v>33</v>
      </c>
      <c r="B5234">
        <v>2018</v>
      </c>
      <c r="C5234" t="s">
        <v>39</v>
      </c>
      <c r="D5234" s="2">
        <v>43252</v>
      </c>
      <c r="E5234" t="s">
        <v>9</v>
      </c>
      <c r="F5234">
        <v>144</v>
      </c>
      <c r="G5234" t="str">
        <f>VLOOKUP(Table1_2[[#This Row],[Categories]],Sheet3!$A$1:$B$27,2,FALSE)</f>
        <v>Food &amp;Beverage</v>
      </c>
    </row>
    <row r="5235" spans="1:7" x14ac:dyDescent="0.3">
      <c r="A5235" t="s">
        <v>33</v>
      </c>
      <c r="B5235">
        <v>2018</v>
      </c>
      <c r="C5235" t="s">
        <v>39</v>
      </c>
      <c r="D5235" s="2">
        <v>43252</v>
      </c>
      <c r="E5235" t="s">
        <v>10</v>
      </c>
      <c r="F5235">
        <v>112.3</v>
      </c>
      <c r="G5235" t="str">
        <f>VLOOKUP(Table1_2[[#This Row],[Categories]],Sheet3!$A$1:$B$27,2,FALSE)</f>
        <v>Food &amp;Beverage</v>
      </c>
    </row>
    <row r="5236" spans="1:7" x14ac:dyDescent="0.3">
      <c r="A5236" t="s">
        <v>33</v>
      </c>
      <c r="B5236">
        <v>2018</v>
      </c>
      <c r="C5236" t="s">
        <v>39</v>
      </c>
      <c r="D5236" s="2">
        <v>43252</v>
      </c>
      <c r="E5236" t="s">
        <v>11</v>
      </c>
      <c r="F5236">
        <v>108.4</v>
      </c>
      <c r="G5236" t="str">
        <f>VLOOKUP(Table1_2[[#This Row],[Categories]],Sheet3!$A$1:$B$27,2,FALSE)</f>
        <v>Food &amp;Beverage</v>
      </c>
    </row>
    <row r="5237" spans="1:7" x14ac:dyDescent="0.3">
      <c r="A5237" t="s">
        <v>33</v>
      </c>
      <c r="B5237">
        <v>2018</v>
      </c>
      <c r="C5237" t="s">
        <v>39</v>
      </c>
      <c r="D5237" s="2">
        <v>43252</v>
      </c>
      <c r="E5237" t="s">
        <v>12</v>
      </c>
      <c r="F5237">
        <v>140</v>
      </c>
      <c r="G5237" t="str">
        <f>VLOOKUP(Table1_2[[#This Row],[Categories]],Sheet3!$A$1:$B$27,2,FALSE)</f>
        <v>Food &amp;Beverage</v>
      </c>
    </row>
    <row r="5238" spans="1:7" x14ac:dyDescent="0.3">
      <c r="A5238" t="s">
        <v>33</v>
      </c>
      <c r="B5238">
        <v>2018</v>
      </c>
      <c r="C5238" t="s">
        <v>39</v>
      </c>
      <c r="D5238" s="2">
        <v>43252</v>
      </c>
      <c r="E5238" t="s">
        <v>13</v>
      </c>
      <c r="F5238">
        <v>126.7</v>
      </c>
      <c r="G5238" t="str">
        <f>VLOOKUP(Table1_2[[#This Row],[Categories]],Sheet3!$A$1:$B$27,2,FALSE)</f>
        <v>Food &amp;Beverage</v>
      </c>
    </row>
    <row r="5239" spans="1:7" x14ac:dyDescent="0.3">
      <c r="A5239" t="s">
        <v>33</v>
      </c>
      <c r="B5239">
        <v>2018</v>
      </c>
      <c r="C5239" t="s">
        <v>39</v>
      </c>
      <c r="D5239" s="2">
        <v>43252</v>
      </c>
      <c r="E5239" t="s">
        <v>14</v>
      </c>
      <c r="F5239">
        <v>149</v>
      </c>
      <c r="G5239" t="str">
        <f>VLOOKUP(Table1_2[[#This Row],[Categories]],Sheet3!$A$1:$B$27,2,FALSE)</f>
        <v>Food &amp;Beverage</v>
      </c>
    </row>
    <row r="5240" spans="1:7" x14ac:dyDescent="0.3">
      <c r="A5240" t="s">
        <v>33</v>
      </c>
      <c r="B5240">
        <v>2018</v>
      </c>
      <c r="C5240" t="s">
        <v>39</v>
      </c>
      <c r="D5240" s="2">
        <v>43252</v>
      </c>
      <c r="E5240" t="s">
        <v>15</v>
      </c>
      <c r="F5240">
        <v>138.4</v>
      </c>
      <c r="G5240" t="str">
        <f>VLOOKUP(Table1_2[[#This Row],[Categories]],Sheet3!$A$1:$B$27,2,FALSE)</f>
        <v>Food &amp;Beverage</v>
      </c>
    </row>
    <row r="5241" spans="1:7" x14ac:dyDescent="0.3">
      <c r="A5241" t="s">
        <v>33</v>
      </c>
      <c r="B5241">
        <v>2018</v>
      </c>
      <c r="C5241" t="s">
        <v>39</v>
      </c>
      <c r="D5241" s="2">
        <v>43252</v>
      </c>
      <c r="E5241" t="s">
        <v>16</v>
      </c>
      <c r="F5241">
        <v>161</v>
      </c>
      <c r="G5241" t="str">
        <f>VLOOKUP(Table1_2[[#This Row],[Categories]],Sheet3!$A$1:$B$27,2,FALSE)</f>
        <v>Recreation and amusement</v>
      </c>
    </row>
    <row r="5242" spans="1:7" x14ac:dyDescent="0.3">
      <c r="A5242" t="s">
        <v>33</v>
      </c>
      <c r="B5242">
        <v>2018</v>
      </c>
      <c r="C5242" t="s">
        <v>39</v>
      </c>
      <c r="D5242" s="2">
        <v>43252</v>
      </c>
      <c r="E5242" t="s">
        <v>17</v>
      </c>
      <c r="F5242">
        <v>138.9</v>
      </c>
      <c r="G5242" t="str">
        <f>VLOOKUP(Table1_2[[#This Row],[Categories]],Sheet3!$A$1:$B$27,2,FALSE)</f>
        <v>Clothing and footwear</v>
      </c>
    </row>
    <row r="5243" spans="1:7" x14ac:dyDescent="0.3">
      <c r="A5243" t="s">
        <v>33</v>
      </c>
      <c r="B5243">
        <v>2018</v>
      </c>
      <c r="C5243" t="s">
        <v>39</v>
      </c>
      <c r="D5243" s="2">
        <v>43252</v>
      </c>
      <c r="E5243" t="s">
        <v>18</v>
      </c>
      <c r="F5243">
        <v>128.69999999999999</v>
      </c>
      <c r="G5243" t="str">
        <f>VLOOKUP(Table1_2[[#This Row],[Categories]],Sheet3!$A$1:$B$27,2,FALSE)</f>
        <v>Clothing and footwear</v>
      </c>
    </row>
    <row r="5244" spans="1:7" x14ac:dyDescent="0.3">
      <c r="A5244" t="s">
        <v>33</v>
      </c>
      <c r="B5244">
        <v>2018</v>
      </c>
      <c r="C5244" t="s">
        <v>39</v>
      </c>
      <c r="D5244" s="2">
        <v>43252</v>
      </c>
      <c r="E5244" t="s">
        <v>19</v>
      </c>
      <c r="F5244">
        <v>137.4</v>
      </c>
      <c r="G5244" t="str">
        <f>VLOOKUP(Table1_2[[#This Row],[Categories]],Sheet3!$A$1:$B$27,2,FALSE)</f>
        <v>Clothing and footwear</v>
      </c>
    </row>
    <row r="5245" spans="1:7" x14ac:dyDescent="0.3">
      <c r="A5245" t="s">
        <v>33</v>
      </c>
      <c r="B5245">
        <v>2018</v>
      </c>
      <c r="C5245" t="s">
        <v>39</v>
      </c>
      <c r="D5245" s="2">
        <v>43252</v>
      </c>
      <c r="E5245" t="s">
        <v>20</v>
      </c>
      <c r="F5245">
        <v>142.5</v>
      </c>
      <c r="G5245" t="str">
        <f>VLOOKUP(Table1_2[[#This Row],[Categories]],Sheet3!$A$1:$B$27,2,FALSE)</f>
        <v>Housing</v>
      </c>
    </row>
    <row r="5246" spans="1:7" x14ac:dyDescent="0.3">
      <c r="A5246" t="s">
        <v>33</v>
      </c>
      <c r="B5246">
        <v>2018</v>
      </c>
      <c r="C5246" t="s">
        <v>39</v>
      </c>
      <c r="D5246" s="2">
        <v>43252</v>
      </c>
      <c r="E5246" t="s">
        <v>21</v>
      </c>
      <c r="F5246">
        <v>126.5</v>
      </c>
      <c r="G5246" t="str">
        <f>VLOOKUP(Table1_2[[#This Row],[Categories]],Sheet3!$A$1:$B$27,2,FALSE)</f>
        <v>Fuel and light</v>
      </c>
    </row>
    <row r="5247" spans="1:7" x14ac:dyDescent="0.3">
      <c r="A5247" t="s">
        <v>33</v>
      </c>
      <c r="B5247">
        <v>2018</v>
      </c>
      <c r="C5247" t="s">
        <v>39</v>
      </c>
      <c r="D5247" s="2">
        <v>43252</v>
      </c>
      <c r="E5247" t="s">
        <v>22</v>
      </c>
      <c r="F5247">
        <v>133.1</v>
      </c>
      <c r="G5247" t="str">
        <f>VLOOKUP(Table1_2[[#This Row],[Categories]],Sheet3!$A$1:$B$27,2,FALSE)</f>
        <v>Household Items</v>
      </c>
    </row>
    <row r="5248" spans="1:7" x14ac:dyDescent="0.3">
      <c r="A5248" t="s">
        <v>33</v>
      </c>
      <c r="B5248">
        <v>2018</v>
      </c>
      <c r="C5248" t="s">
        <v>39</v>
      </c>
      <c r="D5248" s="2">
        <v>43252</v>
      </c>
      <c r="E5248" t="s">
        <v>23</v>
      </c>
      <c r="F5248">
        <v>132.6</v>
      </c>
      <c r="G5248" t="str">
        <f>VLOOKUP(Table1_2[[#This Row],[Categories]],Sheet3!$A$1:$B$27,2,FALSE)</f>
        <v>Health</v>
      </c>
    </row>
    <row r="5249" spans="1:7" x14ac:dyDescent="0.3">
      <c r="A5249" t="s">
        <v>33</v>
      </c>
      <c r="B5249">
        <v>2018</v>
      </c>
      <c r="C5249" t="s">
        <v>39</v>
      </c>
      <c r="D5249" s="2">
        <v>43252</v>
      </c>
      <c r="E5249" t="s">
        <v>24</v>
      </c>
      <c r="F5249">
        <v>120.4</v>
      </c>
      <c r="G5249" t="str">
        <f>VLOOKUP(Table1_2[[#This Row],[Categories]],Sheet3!$A$1:$B$27,2,FALSE)</f>
        <v>Transport and communication</v>
      </c>
    </row>
    <row r="5250" spans="1:7" x14ac:dyDescent="0.3">
      <c r="A5250" t="s">
        <v>33</v>
      </c>
      <c r="B5250">
        <v>2018</v>
      </c>
      <c r="C5250" t="s">
        <v>39</v>
      </c>
      <c r="D5250" s="2">
        <v>43252</v>
      </c>
      <c r="E5250" t="s">
        <v>25</v>
      </c>
      <c r="F5250">
        <v>128.5</v>
      </c>
      <c r="G5250" t="str">
        <f>VLOOKUP(Table1_2[[#This Row],[Categories]],Sheet3!$A$1:$B$27,2,FALSE)</f>
        <v>Recreation and amusement</v>
      </c>
    </row>
    <row r="5251" spans="1:7" x14ac:dyDescent="0.3">
      <c r="A5251" t="s">
        <v>33</v>
      </c>
      <c r="B5251">
        <v>2018</v>
      </c>
      <c r="C5251" t="s">
        <v>39</v>
      </c>
      <c r="D5251" s="2">
        <v>43252</v>
      </c>
      <c r="E5251" t="s">
        <v>26</v>
      </c>
      <c r="F5251">
        <v>141.19999999999999</v>
      </c>
      <c r="G5251" t="str">
        <f>VLOOKUP(Table1_2[[#This Row],[Categories]],Sheet3!$A$1:$B$27,2,FALSE)</f>
        <v>Education</v>
      </c>
    </row>
    <row r="5252" spans="1:7" x14ac:dyDescent="0.3">
      <c r="A5252" t="s">
        <v>33</v>
      </c>
      <c r="B5252">
        <v>2018</v>
      </c>
      <c r="C5252" t="s">
        <v>39</v>
      </c>
      <c r="D5252" s="2">
        <v>43252</v>
      </c>
      <c r="E5252" t="s">
        <v>27</v>
      </c>
      <c r="F5252">
        <v>128.19999999999999</v>
      </c>
      <c r="G5252" t="str">
        <f>VLOOKUP(Table1_2[[#This Row],[Categories]],Sheet3!$A$1:$B$27,2,FALSE)</f>
        <v>Household Items</v>
      </c>
    </row>
    <row r="5253" spans="1:7" x14ac:dyDescent="0.3">
      <c r="A5253" t="s">
        <v>33</v>
      </c>
      <c r="B5253">
        <v>2018</v>
      </c>
      <c r="C5253" t="s">
        <v>39</v>
      </c>
      <c r="D5253" s="2">
        <v>43252</v>
      </c>
      <c r="E5253" t="s">
        <v>28</v>
      </c>
      <c r="F5253">
        <v>129.5</v>
      </c>
      <c r="G5253" t="str">
        <f>VLOOKUP(Table1_2[[#This Row],[Categories]],Sheet3!$A$1:$B$27,2,FALSE)</f>
        <v>Miscellaneous</v>
      </c>
    </row>
    <row r="5254" spans="1:7" x14ac:dyDescent="0.3">
      <c r="A5254" t="s">
        <v>33</v>
      </c>
      <c r="B5254">
        <v>2018</v>
      </c>
      <c r="C5254" t="s">
        <v>39</v>
      </c>
      <c r="D5254" s="2">
        <v>43252</v>
      </c>
      <c r="E5254" t="s">
        <v>29</v>
      </c>
      <c r="F5254">
        <v>136.19999999999999</v>
      </c>
      <c r="G5254" t="str">
        <f>VLOOKUP(Table1_2[[#This Row],[Categories]],Sheet3!$A$1:$B$27,2,FALSE)</f>
        <v>General index</v>
      </c>
    </row>
    <row r="5255" spans="1:7" x14ac:dyDescent="0.3">
      <c r="A5255" t="s">
        <v>34</v>
      </c>
      <c r="B5255">
        <v>2018</v>
      </c>
      <c r="C5255" t="s">
        <v>39</v>
      </c>
      <c r="D5255" s="2">
        <v>43252</v>
      </c>
      <c r="E5255" t="s">
        <v>3</v>
      </c>
      <c r="F5255">
        <v>136.9</v>
      </c>
      <c r="G5255" t="str">
        <f>VLOOKUP(Table1_2[[#This Row],[Categories]],Sheet3!$A$1:$B$27,2,FALSE)</f>
        <v>Food &amp;Beverage</v>
      </c>
    </row>
    <row r="5256" spans="1:7" x14ac:dyDescent="0.3">
      <c r="A5256" t="s">
        <v>34</v>
      </c>
      <c r="B5256">
        <v>2018</v>
      </c>
      <c r="C5256" t="s">
        <v>39</v>
      </c>
      <c r="D5256" s="2">
        <v>43252</v>
      </c>
      <c r="E5256" t="s">
        <v>4</v>
      </c>
      <c r="F5256">
        <v>148.69999999999999</v>
      </c>
      <c r="G5256" t="str">
        <f>VLOOKUP(Table1_2[[#This Row],[Categories]],Sheet3!$A$1:$B$27,2,FALSE)</f>
        <v>Food &amp;Beverage</v>
      </c>
    </row>
    <row r="5257" spans="1:7" x14ac:dyDescent="0.3">
      <c r="A5257" t="s">
        <v>34</v>
      </c>
      <c r="B5257">
        <v>2018</v>
      </c>
      <c r="C5257" t="s">
        <v>39</v>
      </c>
      <c r="D5257" s="2">
        <v>43252</v>
      </c>
      <c r="E5257" t="s">
        <v>5</v>
      </c>
      <c r="F5257">
        <v>135.6</v>
      </c>
      <c r="G5257" t="str">
        <f>VLOOKUP(Table1_2[[#This Row],[Categories]],Sheet3!$A$1:$B$27,2,FALSE)</f>
        <v>Food &amp;Beverage</v>
      </c>
    </row>
    <row r="5258" spans="1:7" x14ac:dyDescent="0.3">
      <c r="A5258" t="s">
        <v>34</v>
      </c>
      <c r="B5258">
        <v>2018</v>
      </c>
      <c r="C5258" t="s">
        <v>39</v>
      </c>
      <c r="D5258" s="2">
        <v>43252</v>
      </c>
      <c r="E5258" t="s">
        <v>6</v>
      </c>
      <c r="F5258">
        <v>142.30000000000001</v>
      </c>
      <c r="G5258" t="str">
        <f>VLOOKUP(Table1_2[[#This Row],[Categories]],Sheet3!$A$1:$B$27,2,FALSE)</f>
        <v>Food &amp;Beverage</v>
      </c>
    </row>
    <row r="5259" spans="1:7" x14ac:dyDescent="0.3">
      <c r="A5259" t="s">
        <v>34</v>
      </c>
      <c r="B5259">
        <v>2018</v>
      </c>
      <c r="C5259" t="s">
        <v>39</v>
      </c>
      <c r="D5259" s="2">
        <v>43252</v>
      </c>
      <c r="E5259" t="s">
        <v>7</v>
      </c>
      <c r="F5259">
        <v>121.3</v>
      </c>
      <c r="G5259" t="str">
        <f>VLOOKUP(Table1_2[[#This Row],[Categories]],Sheet3!$A$1:$B$27,2,FALSE)</f>
        <v>Food &amp;Beverage</v>
      </c>
    </row>
    <row r="5260" spans="1:7" x14ac:dyDescent="0.3">
      <c r="A5260" t="s">
        <v>34</v>
      </c>
      <c r="B5260">
        <v>2018</v>
      </c>
      <c r="C5260" t="s">
        <v>39</v>
      </c>
      <c r="D5260" s="2">
        <v>43252</v>
      </c>
      <c r="E5260" t="s">
        <v>8</v>
      </c>
      <c r="F5260">
        <v>153.19999999999999</v>
      </c>
      <c r="G5260" t="str">
        <f>VLOOKUP(Table1_2[[#This Row],[Categories]],Sheet3!$A$1:$B$27,2,FALSE)</f>
        <v>Food &amp;Beverage</v>
      </c>
    </row>
    <row r="5261" spans="1:7" x14ac:dyDescent="0.3">
      <c r="A5261" t="s">
        <v>34</v>
      </c>
      <c r="B5261">
        <v>2018</v>
      </c>
      <c r="C5261" t="s">
        <v>39</v>
      </c>
      <c r="D5261" s="2">
        <v>43252</v>
      </c>
      <c r="E5261" t="s">
        <v>9</v>
      </c>
      <c r="F5261">
        <v>143.69999999999999</v>
      </c>
      <c r="G5261" t="str">
        <f>VLOOKUP(Table1_2[[#This Row],[Categories]],Sheet3!$A$1:$B$27,2,FALSE)</f>
        <v>Food &amp;Beverage</v>
      </c>
    </row>
    <row r="5262" spans="1:7" x14ac:dyDescent="0.3">
      <c r="A5262" t="s">
        <v>34</v>
      </c>
      <c r="B5262">
        <v>2018</v>
      </c>
      <c r="C5262" t="s">
        <v>39</v>
      </c>
      <c r="D5262" s="2">
        <v>43252</v>
      </c>
      <c r="E5262" t="s">
        <v>10</v>
      </c>
      <c r="F5262">
        <v>121.4</v>
      </c>
      <c r="G5262" t="str">
        <f>VLOOKUP(Table1_2[[#This Row],[Categories]],Sheet3!$A$1:$B$27,2,FALSE)</f>
        <v>Food &amp;Beverage</v>
      </c>
    </row>
    <row r="5263" spans="1:7" x14ac:dyDescent="0.3">
      <c r="A5263" t="s">
        <v>34</v>
      </c>
      <c r="B5263">
        <v>2018</v>
      </c>
      <c r="C5263" t="s">
        <v>39</v>
      </c>
      <c r="D5263" s="2">
        <v>43252</v>
      </c>
      <c r="E5263" t="s">
        <v>11</v>
      </c>
      <c r="F5263">
        <v>111.1</v>
      </c>
      <c r="G5263" t="str">
        <f>VLOOKUP(Table1_2[[#This Row],[Categories]],Sheet3!$A$1:$B$27,2,FALSE)</f>
        <v>Food &amp;Beverage</v>
      </c>
    </row>
    <row r="5264" spans="1:7" x14ac:dyDescent="0.3">
      <c r="A5264" t="s">
        <v>34</v>
      </c>
      <c r="B5264">
        <v>2018</v>
      </c>
      <c r="C5264" t="s">
        <v>39</v>
      </c>
      <c r="D5264" s="2">
        <v>43252</v>
      </c>
      <c r="E5264" t="s">
        <v>12</v>
      </c>
      <c r="F5264">
        <v>138.4</v>
      </c>
      <c r="G5264" t="str">
        <f>VLOOKUP(Table1_2[[#This Row],[Categories]],Sheet3!$A$1:$B$27,2,FALSE)</f>
        <v>Food &amp;Beverage</v>
      </c>
    </row>
    <row r="5265" spans="1:7" x14ac:dyDescent="0.3">
      <c r="A5265" t="s">
        <v>34</v>
      </c>
      <c r="B5265">
        <v>2018</v>
      </c>
      <c r="C5265" t="s">
        <v>39</v>
      </c>
      <c r="D5265" s="2">
        <v>43252</v>
      </c>
      <c r="E5265" t="s">
        <v>13</v>
      </c>
      <c r="F5265">
        <v>130.30000000000001</v>
      </c>
      <c r="G5265" t="str">
        <f>VLOOKUP(Table1_2[[#This Row],[Categories]],Sheet3!$A$1:$B$27,2,FALSE)</f>
        <v>Food &amp;Beverage</v>
      </c>
    </row>
    <row r="5266" spans="1:7" x14ac:dyDescent="0.3">
      <c r="A5266" t="s">
        <v>34</v>
      </c>
      <c r="B5266">
        <v>2018</v>
      </c>
      <c r="C5266" t="s">
        <v>39</v>
      </c>
      <c r="D5266" s="2">
        <v>43252</v>
      </c>
      <c r="E5266" t="s">
        <v>14</v>
      </c>
      <c r="F5266">
        <v>151.80000000000001</v>
      </c>
      <c r="G5266" t="str">
        <f>VLOOKUP(Table1_2[[#This Row],[Categories]],Sheet3!$A$1:$B$27,2,FALSE)</f>
        <v>Food &amp;Beverage</v>
      </c>
    </row>
    <row r="5267" spans="1:7" x14ac:dyDescent="0.3">
      <c r="A5267" t="s">
        <v>34</v>
      </c>
      <c r="B5267">
        <v>2018</v>
      </c>
      <c r="C5267" t="s">
        <v>39</v>
      </c>
      <c r="D5267" s="2">
        <v>43252</v>
      </c>
      <c r="E5267" t="s">
        <v>15</v>
      </c>
      <c r="F5267">
        <v>139.4</v>
      </c>
      <c r="G5267" t="str">
        <f>VLOOKUP(Table1_2[[#This Row],[Categories]],Sheet3!$A$1:$B$27,2,FALSE)</f>
        <v>Food &amp;Beverage</v>
      </c>
    </row>
    <row r="5268" spans="1:7" x14ac:dyDescent="0.3">
      <c r="A5268" t="s">
        <v>34</v>
      </c>
      <c r="B5268">
        <v>2018</v>
      </c>
      <c r="C5268" t="s">
        <v>39</v>
      </c>
      <c r="D5268" s="2">
        <v>43252</v>
      </c>
      <c r="E5268" t="s">
        <v>16</v>
      </c>
      <c r="F5268">
        <v>158.30000000000001</v>
      </c>
      <c r="G5268" t="str">
        <f>VLOOKUP(Table1_2[[#This Row],[Categories]],Sheet3!$A$1:$B$27,2,FALSE)</f>
        <v>Recreation and amusement</v>
      </c>
    </row>
    <row r="5269" spans="1:7" x14ac:dyDescent="0.3">
      <c r="A5269" t="s">
        <v>34</v>
      </c>
      <c r="B5269">
        <v>2018</v>
      </c>
      <c r="C5269" t="s">
        <v>39</v>
      </c>
      <c r="D5269" s="2">
        <v>43252</v>
      </c>
      <c r="E5269" t="s">
        <v>17</v>
      </c>
      <c r="F5269">
        <v>146.4</v>
      </c>
      <c r="G5269" t="str">
        <f>VLOOKUP(Table1_2[[#This Row],[Categories]],Sheet3!$A$1:$B$27,2,FALSE)</f>
        <v>Clothing and footwear</v>
      </c>
    </row>
    <row r="5270" spans="1:7" x14ac:dyDescent="0.3">
      <c r="A5270" t="s">
        <v>34</v>
      </c>
      <c r="B5270">
        <v>2018</v>
      </c>
      <c r="C5270" t="s">
        <v>39</v>
      </c>
      <c r="D5270" s="2">
        <v>43252</v>
      </c>
      <c r="E5270" t="s">
        <v>18</v>
      </c>
      <c r="F5270">
        <v>138.1</v>
      </c>
      <c r="G5270" t="str">
        <f>VLOOKUP(Table1_2[[#This Row],[Categories]],Sheet3!$A$1:$B$27,2,FALSE)</f>
        <v>Clothing and footwear</v>
      </c>
    </row>
    <row r="5271" spans="1:7" x14ac:dyDescent="0.3">
      <c r="A5271" t="s">
        <v>34</v>
      </c>
      <c r="B5271">
        <v>2018</v>
      </c>
      <c r="C5271" t="s">
        <v>39</v>
      </c>
      <c r="D5271" s="2">
        <v>43252</v>
      </c>
      <c r="E5271" t="s">
        <v>19</v>
      </c>
      <c r="F5271">
        <v>145.19999999999999</v>
      </c>
      <c r="G5271" t="str">
        <f>VLOOKUP(Table1_2[[#This Row],[Categories]],Sheet3!$A$1:$B$27,2,FALSE)</f>
        <v>Clothing and footwear</v>
      </c>
    </row>
    <row r="5272" spans="1:7" x14ac:dyDescent="0.3">
      <c r="A5272" t="s">
        <v>34</v>
      </c>
      <c r="B5272">
        <v>2018</v>
      </c>
      <c r="C5272" t="s">
        <v>39</v>
      </c>
      <c r="D5272" s="2">
        <v>43252</v>
      </c>
      <c r="E5272" t="s">
        <v>20</v>
      </c>
      <c r="F5272">
        <v>142.5</v>
      </c>
      <c r="G5272" t="str">
        <f>VLOOKUP(Table1_2[[#This Row],[Categories]],Sheet3!$A$1:$B$27,2,FALSE)</f>
        <v>Housing</v>
      </c>
    </row>
    <row r="5273" spans="1:7" x14ac:dyDescent="0.3">
      <c r="A5273" t="s">
        <v>34</v>
      </c>
      <c r="B5273">
        <v>2018</v>
      </c>
      <c r="C5273" t="s">
        <v>39</v>
      </c>
      <c r="D5273" s="2">
        <v>43252</v>
      </c>
      <c r="E5273" t="s">
        <v>21</v>
      </c>
      <c r="F5273">
        <v>138.1</v>
      </c>
      <c r="G5273" t="str">
        <f>VLOOKUP(Table1_2[[#This Row],[Categories]],Sheet3!$A$1:$B$27,2,FALSE)</f>
        <v>Fuel and light</v>
      </c>
    </row>
    <row r="5274" spans="1:7" x14ac:dyDescent="0.3">
      <c r="A5274" t="s">
        <v>34</v>
      </c>
      <c r="B5274">
        <v>2018</v>
      </c>
      <c r="C5274" t="s">
        <v>39</v>
      </c>
      <c r="D5274" s="2">
        <v>43252</v>
      </c>
      <c r="E5274" t="s">
        <v>22</v>
      </c>
      <c r="F5274">
        <v>137.9</v>
      </c>
      <c r="G5274" t="str">
        <f>VLOOKUP(Table1_2[[#This Row],[Categories]],Sheet3!$A$1:$B$27,2,FALSE)</f>
        <v>Household Items</v>
      </c>
    </row>
    <row r="5275" spans="1:7" x14ac:dyDescent="0.3">
      <c r="A5275" t="s">
        <v>34</v>
      </c>
      <c r="B5275">
        <v>2018</v>
      </c>
      <c r="C5275" t="s">
        <v>39</v>
      </c>
      <c r="D5275" s="2">
        <v>43252</v>
      </c>
      <c r="E5275" t="s">
        <v>23</v>
      </c>
      <c r="F5275">
        <v>136.19999999999999</v>
      </c>
      <c r="G5275" t="str">
        <f>VLOOKUP(Table1_2[[#This Row],[Categories]],Sheet3!$A$1:$B$27,2,FALSE)</f>
        <v>Health</v>
      </c>
    </row>
    <row r="5276" spans="1:7" x14ac:dyDescent="0.3">
      <c r="A5276" t="s">
        <v>34</v>
      </c>
      <c r="B5276">
        <v>2018</v>
      </c>
      <c r="C5276" t="s">
        <v>39</v>
      </c>
      <c r="D5276" s="2">
        <v>43252</v>
      </c>
      <c r="E5276" t="s">
        <v>24</v>
      </c>
      <c r="F5276">
        <v>123.7</v>
      </c>
      <c r="G5276" t="str">
        <f>VLOOKUP(Table1_2[[#This Row],[Categories]],Sheet3!$A$1:$B$27,2,FALSE)</f>
        <v>Transport and communication</v>
      </c>
    </row>
    <row r="5277" spans="1:7" x14ac:dyDescent="0.3">
      <c r="A5277" t="s">
        <v>34</v>
      </c>
      <c r="B5277">
        <v>2018</v>
      </c>
      <c r="C5277" t="s">
        <v>39</v>
      </c>
      <c r="D5277" s="2">
        <v>43252</v>
      </c>
      <c r="E5277" t="s">
        <v>25</v>
      </c>
      <c r="F5277">
        <v>132.6</v>
      </c>
      <c r="G5277" t="str">
        <f>VLOOKUP(Table1_2[[#This Row],[Categories]],Sheet3!$A$1:$B$27,2,FALSE)</f>
        <v>Recreation and amusement</v>
      </c>
    </row>
    <row r="5278" spans="1:7" x14ac:dyDescent="0.3">
      <c r="A5278" t="s">
        <v>34</v>
      </c>
      <c r="B5278">
        <v>2018</v>
      </c>
      <c r="C5278" t="s">
        <v>39</v>
      </c>
      <c r="D5278" s="2">
        <v>43252</v>
      </c>
      <c r="E5278" t="s">
        <v>26</v>
      </c>
      <c r="F5278">
        <v>142.80000000000001</v>
      </c>
      <c r="G5278" t="str">
        <f>VLOOKUP(Table1_2[[#This Row],[Categories]],Sheet3!$A$1:$B$27,2,FALSE)</f>
        <v>Education</v>
      </c>
    </row>
    <row r="5279" spans="1:7" x14ac:dyDescent="0.3">
      <c r="A5279" t="s">
        <v>34</v>
      </c>
      <c r="B5279">
        <v>2018</v>
      </c>
      <c r="C5279" t="s">
        <v>39</v>
      </c>
      <c r="D5279" s="2">
        <v>43252</v>
      </c>
      <c r="E5279" t="s">
        <v>27</v>
      </c>
      <c r="F5279">
        <v>130.1</v>
      </c>
      <c r="G5279" t="str">
        <f>VLOOKUP(Table1_2[[#This Row],[Categories]],Sheet3!$A$1:$B$27,2,FALSE)</f>
        <v>Household Items</v>
      </c>
    </row>
    <row r="5280" spans="1:7" x14ac:dyDescent="0.3">
      <c r="A5280" t="s">
        <v>34</v>
      </c>
      <c r="B5280">
        <v>2018</v>
      </c>
      <c r="C5280" t="s">
        <v>39</v>
      </c>
      <c r="D5280" s="2">
        <v>43252</v>
      </c>
      <c r="E5280" t="s">
        <v>28</v>
      </c>
      <c r="F5280">
        <v>132.6</v>
      </c>
      <c r="G5280" t="str">
        <f>VLOOKUP(Table1_2[[#This Row],[Categories]],Sheet3!$A$1:$B$27,2,FALSE)</f>
        <v>Miscellaneous</v>
      </c>
    </row>
    <row r="5281" spans="1:7" x14ac:dyDescent="0.3">
      <c r="A5281" t="s">
        <v>34</v>
      </c>
      <c r="B5281">
        <v>2018</v>
      </c>
      <c r="C5281" t="s">
        <v>39</v>
      </c>
      <c r="D5281" s="2">
        <v>43252</v>
      </c>
      <c r="E5281" t="s">
        <v>29</v>
      </c>
      <c r="F5281">
        <v>138.5</v>
      </c>
      <c r="G5281" t="str">
        <f>VLOOKUP(Table1_2[[#This Row],[Categories]],Sheet3!$A$1:$B$27,2,FALSE)</f>
        <v>General index</v>
      </c>
    </row>
    <row r="5282" spans="1:7" x14ac:dyDescent="0.3">
      <c r="A5282" t="s">
        <v>30</v>
      </c>
      <c r="B5282">
        <v>2018</v>
      </c>
      <c r="C5282" t="s">
        <v>40</v>
      </c>
      <c r="D5282" s="2">
        <v>43282</v>
      </c>
      <c r="E5282" t="s">
        <v>3</v>
      </c>
      <c r="F5282">
        <v>138.4</v>
      </c>
      <c r="G5282" t="str">
        <f>VLOOKUP(Table1_2[[#This Row],[Categories]],Sheet3!$A$1:$B$27,2,FALSE)</f>
        <v>Food &amp;Beverage</v>
      </c>
    </row>
    <row r="5283" spans="1:7" x14ac:dyDescent="0.3">
      <c r="A5283" t="s">
        <v>30</v>
      </c>
      <c r="B5283">
        <v>2018</v>
      </c>
      <c r="C5283" t="s">
        <v>40</v>
      </c>
      <c r="D5283" s="2">
        <v>43282</v>
      </c>
      <c r="E5283" t="s">
        <v>4</v>
      </c>
      <c r="F5283">
        <v>149.30000000000001</v>
      </c>
      <c r="G5283" t="str">
        <f>VLOOKUP(Table1_2[[#This Row],[Categories]],Sheet3!$A$1:$B$27,2,FALSE)</f>
        <v>Food &amp;Beverage</v>
      </c>
    </row>
    <row r="5284" spans="1:7" x14ac:dyDescent="0.3">
      <c r="A5284" t="s">
        <v>30</v>
      </c>
      <c r="B5284">
        <v>2018</v>
      </c>
      <c r="C5284" t="s">
        <v>40</v>
      </c>
      <c r="D5284" s="2">
        <v>43282</v>
      </c>
      <c r="E5284" t="s">
        <v>5</v>
      </c>
      <c r="F5284">
        <v>139.30000000000001</v>
      </c>
      <c r="G5284" t="str">
        <f>VLOOKUP(Table1_2[[#This Row],[Categories]],Sheet3!$A$1:$B$27,2,FALSE)</f>
        <v>Food &amp;Beverage</v>
      </c>
    </row>
    <row r="5285" spans="1:7" x14ac:dyDescent="0.3">
      <c r="A5285" t="s">
        <v>30</v>
      </c>
      <c r="B5285">
        <v>2018</v>
      </c>
      <c r="C5285" t="s">
        <v>40</v>
      </c>
      <c r="D5285" s="2">
        <v>43282</v>
      </c>
      <c r="E5285" t="s">
        <v>6</v>
      </c>
      <c r="F5285">
        <v>143.4</v>
      </c>
      <c r="G5285" t="str">
        <f>VLOOKUP(Table1_2[[#This Row],[Categories]],Sheet3!$A$1:$B$27,2,FALSE)</f>
        <v>Food &amp;Beverage</v>
      </c>
    </row>
    <row r="5286" spans="1:7" x14ac:dyDescent="0.3">
      <c r="A5286" t="s">
        <v>30</v>
      </c>
      <c r="B5286">
        <v>2018</v>
      </c>
      <c r="C5286" t="s">
        <v>40</v>
      </c>
      <c r="D5286" s="2">
        <v>43282</v>
      </c>
      <c r="E5286" t="s">
        <v>7</v>
      </c>
      <c r="F5286">
        <v>124.1</v>
      </c>
      <c r="G5286" t="str">
        <f>VLOOKUP(Table1_2[[#This Row],[Categories]],Sheet3!$A$1:$B$27,2,FALSE)</f>
        <v>Food &amp;Beverage</v>
      </c>
    </row>
    <row r="5287" spans="1:7" x14ac:dyDescent="0.3">
      <c r="A5287" t="s">
        <v>30</v>
      </c>
      <c r="B5287">
        <v>2018</v>
      </c>
      <c r="C5287" t="s">
        <v>40</v>
      </c>
      <c r="D5287" s="2">
        <v>43282</v>
      </c>
      <c r="E5287" t="s">
        <v>8</v>
      </c>
      <c r="F5287">
        <v>153.30000000000001</v>
      </c>
      <c r="G5287" t="str">
        <f>VLOOKUP(Table1_2[[#This Row],[Categories]],Sheet3!$A$1:$B$27,2,FALSE)</f>
        <v>Food &amp;Beverage</v>
      </c>
    </row>
    <row r="5288" spans="1:7" x14ac:dyDescent="0.3">
      <c r="A5288" t="s">
        <v>30</v>
      </c>
      <c r="B5288">
        <v>2018</v>
      </c>
      <c r="C5288" t="s">
        <v>40</v>
      </c>
      <c r="D5288" s="2">
        <v>43282</v>
      </c>
      <c r="E5288" t="s">
        <v>9</v>
      </c>
      <c r="F5288">
        <v>154.19999999999999</v>
      </c>
      <c r="G5288" t="str">
        <f>VLOOKUP(Table1_2[[#This Row],[Categories]],Sheet3!$A$1:$B$27,2,FALSE)</f>
        <v>Food &amp;Beverage</v>
      </c>
    </row>
    <row r="5289" spans="1:7" x14ac:dyDescent="0.3">
      <c r="A5289" t="s">
        <v>30</v>
      </c>
      <c r="B5289">
        <v>2018</v>
      </c>
      <c r="C5289" t="s">
        <v>40</v>
      </c>
      <c r="D5289" s="2">
        <v>43282</v>
      </c>
      <c r="E5289" t="s">
        <v>10</v>
      </c>
      <c r="F5289">
        <v>126.4</v>
      </c>
      <c r="G5289" t="str">
        <f>VLOOKUP(Table1_2[[#This Row],[Categories]],Sheet3!$A$1:$B$27,2,FALSE)</f>
        <v>Food &amp;Beverage</v>
      </c>
    </row>
    <row r="5290" spans="1:7" x14ac:dyDescent="0.3">
      <c r="A5290" t="s">
        <v>30</v>
      </c>
      <c r="B5290">
        <v>2018</v>
      </c>
      <c r="C5290" t="s">
        <v>40</v>
      </c>
      <c r="D5290" s="2">
        <v>43282</v>
      </c>
      <c r="E5290" t="s">
        <v>11</v>
      </c>
      <c r="F5290">
        <v>114.3</v>
      </c>
      <c r="G5290" t="str">
        <f>VLOOKUP(Table1_2[[#This Row],[Categories]],Sheet3!$A$1:$B$27,2,FALSE)</f>
        <v>Food &amp;Beverage</v>
      </c>
    </row>
    <row r="5291" spans="1:7" x14ac:dyDescent="0.3">
      <c r="A5291" t="s">
        <v>30</v>
      </c>
      <c r="B5291">
        <v>2018</v>
      </c>
      <c r="C5291" t="s">
        <v>40</v>
      </c>
      <c r="D5291" s="2">
        <v>43282</v>
      </c>
      <c r="E5291" t="s">
        <v>12</v>
      </c>
      <c r="F5291">
        <v>138.19999999999999</v>
      </c>
      <c r="G5291" t="str">
        <f>VLOOKUP(Table1_2[[#This Row],[Categories]],Sheet3!$A$1:$B$27,2,FALSE)</f>
        <v>Food &amp;Beverage</v>
      </c>
    </row>
    <row r="5292" spans="1:7" x14ac:dyDescent="0.3">
      <c r="A5292" t="s">
        <v>30</v>
      </c>
      <c r="B5292">
        <v>2018</v>
      </c>
      <c r="C5292" t="s">
        <v>40</v>
      </c>
      <c r="D5292" s="2">
        <v>43282</v>
      </c>
      <c r="E5292" t="s">
        <v>13</v>
      </c>
      <c r="F5292">
        <v>132.80000000000001</v>
      </c>
      <c r="G5292" t="str">
        <f>VLOOKUP(Table1_2[[#This Row],[Categories]],Sheet3!$A$1:$B$27,2,FALSE)</f>
        <v>Food &amp;Beverage</v>
      </c>
    </row>
    <row r="5293" spans="1:7" x14ac:dyDescent="0.3">
      <c r="A5293" t="s">
        <v>30</v>
      </c>
      <c r="B5293">
        <v>2018</v>
      </c>
      <c r="C5293" t="s">
        <v>40</v>
      </c>
      <c r="D5293" s="2">
        <v>43282</v>
      </c>
      <c r="E5293" t="s">
        <v>14</v>
      </c>
      <c r="F5293">
        <v>154.80000000000001</v>
      </c>
      <c r="G5293" t="str">
        <f>VLOOKUP(Table1_2[[#This Row],[Categories]],Sheet3!$A$1:$B$27,2,FALSE)</f>
        <v>Food &amp;Beverage</v>
      </c>
    </row>
    <row r="5294" spans="1:7" x14ac:dyDescent="0.3">
      <c r="A5294" t="s">
        <v>30</v>
      </c>
      <c r="B5294">
        <v>2018</v>
      </c>
      <c r="C5294" t="s">
        <v>40</v>
      </c>
      <c r="D5294" s="2">
        <v>43282</v>
      </c>
      <c r="E5294" t="s">
        <v>15</v>
      </c>
      <c r="F5294">
        <v>142</v>
      </c>
      <c r="G5294" t="str">
        <f>VLOOKUP(Table1_2[[#This Row],[Categories]],Sheet3!$A$1:$B$27,2,FALSE)</f>
        <v>Food &amp;Beverage</v>
      </c>
    </row>
    <row r="5295" spans="1:7" x14ac:dyDescent="0.3">
      <c r="A5295" t="s">
        <v>30</v>
      </c>
      <c r="B5295">
        <v>2018</v>
      </c>
      <c r="C5295" t="s">
        <v>40</v>
      </c>
      <c r="D5295" s="2">
        <v>43282</v>
      </c>
      <c r="E5295" t="s">
        <v>16</v>
      </c>
      <c r="F5295">
        <v>156.1</v>
      </c>
      <c r="G5295" t="str">
        <f>VLOOKUP(Table1_2[[#This Row],[Categories]],Sheet3!$A$1:$B$27,2,FALSE)</f>
        <v>Recreation and amusement</v>
      </c>
    </row>
    <row r="5296" spans="1:7" x14ac:dyDescent="0.3">
      <c r="A5296" t="s">
        <v>30</v>
      </c>
      <c r="B5296">
        <v>2018</v>
      </c>
      <c r="C5296" t="s">
        <v>40</v>
      </c>
      <c r="D5296" s="2">
        <v>43282</v>
      </c>
      <c r="E5296" t="s">
        <v>17</v>
      </c>
      <c r="F5296">
        <v>151.5</v>
      </c>
      <c r="G5296" t="str">
        <f>VLOOKUP(Table1_2[[#This Row],[Categories]],Sheet3!$A$1:$B$27,2,FALSE)</f>
        <v>Clothing and footwear</v>
      </c>
    </row>
    <row r="5297" spans="1:7" x14ac:dyDescent="0.3">
      <c r="A5297" t="s">
        <v>30</v>
      </c>
      <c r="B5297">
        <v>2018</v>
      </c>
      <c r="C5297" t="s">
        <v>40</v>
      </c>
      <c r="D5297" s="2">
        <v>43282</v>
      </c>
      <c r="E5297" t="s">
        <v>18</v>
      </c>
      <c r="F5297">
        <v>145.1</v>
      </c>
      <c r="G5297" t="str">
        <f>VLOOKUP(Table1_2[[#This Row],[Categories]],Sheet3!$A$1:$B$27,2,FALSE)</f>
        <v>Clothing and footwear</v>
      </c>
    </row>
    <row r="5298" spans="1:7" x14ac:dyDescent="0.3">
      <c r="A5298" t="s">
        <v>30</v>
      </c>
      <c r="B5298">
        <v>2018</v>
      </c>
      <c r="C5298" t="s">
        <v>40</v>
      </c>
      <c r="D5298" s="2">
        <v>43282</v>
      </c>
      <c r="E5298" t="s">
        <v>19</v>
      </c>
      <c r="F5298">
        <v>150.6</v>
      </c>
      <c r="G5298" t="str">
        <f>VLOOKUP(Table1_2[[#This Row],[Categories]],Sheet3!$A$1:$B$27,2,FALSE)</f>
        <v>Clothing and footwear</v>
      </c>
    </row>
    <row r="5299" spans="1:7" x14ac:dyDescent="0.3">
      <c r="A5299" t="s">
        <v>30</v>
      </c>
      <c r="B5299">
        <v>2018</v>
      </c>
      <c r="C5299" t="s">
        <v>40</v>
      </c>
      <c r="D5299" s="2">
        <v>43282</v>
      </c>
      <c r="E5299" t="s">
        <v>21</v>
      </c>
      <c r="F5299">
        <v>146.80000000000001</v>
      </c>
      <c r="G5299" t="str">
        <f>VLOOKUP(Table1_2[[#This Row],[Categories]],Sheet3!$A$1:$B$27,2,FALSE)</f>
        <v>Fuel and light</v>
      </c>
    </row>
    <row r="5300" spans="1:7" x14ac:dyDescent="0.3">
      <c r="A5300" t="s">
        <v>30</v>
      </c>
      <c r="B5300">
        <v>2018</v>
      </c>
      <c r="C5300" t="s">
        <v>40</v>
      </c>
      <c r="D5300" s="2">
        <v>43282</v>
      </c>
      <c r="E5300" t="s">
        <v>22</v>
      </c>
      <c r="F5300">
        <v>143.1</v>
      </c>
      <c r="G5300" t="str">
        <f>VLOOKUP(Table1_2[[#This Row],[Categories]],Sheet3!$A$1:$B$27,2,FALSE)</f>
        <v>Household Items</v>
      </c>
    </row>
    <row r="5301" spans="1:7" x14ac:dyDescent="0.3">
      <c r="A5301" t="s">
        <v>30</v>
      </c>
      <c r="B5301">
        <v>2018</v>
      </c>
      <c r="C5301" t="s">
        <v>40</v>
      </c>
      <c r="D5301" s="2">
        <v>43282</v>
      </c>
      <c r="E5301" t="s">
        <v>23</v>
      </c>
      <c r="F5301">
        <v>139</v>
      </c>
      <c r="G5301" t="str">
        <f>VLOOKUP(Table1_2[[#This Row],[Categories]],Sheet3!$A$1:$B$27,2,FALSE)</f>
        <v>Health</v>
      </c>
    </row>
    <row r="5302" spans="1:7" x14ac:dyDescent="0.3">
      <c r="A5302" t="s">
        <v>30</v>
      </c>
      <c r="B5302">
        <v>2018</v>
      </c>
      <c r="C5302" t="s">
        <v>40</v>
      </c>
      <c r="D5302" s="2">
        <v>43282</v>
      </c>
      <c r="E5302" t="s">
        <v>24</v>
      </c>
      <c r="F5302">
        <v>127.5</v>
      </c>
      <c r="G5302" t="str">
        <f>VLOOKUP(Table1_2[[#This Row],[Categories]],Sheet3!$A$1:$B$27,2,FALSE)</f>
        <v>Transport and communication</v>
      </c>
    </row>
    <row r="5303" spans="1:7" x14ac:dyDescent="0.3">
      <c r="A5303" t="s">
        <v>30</v>
      </c>
      <c r="B5303">
        <v>2018</v>
      </c>
      <c r="C5303" t="s">
        <v>40</v>
      </c>
      <c r="D5303" s="2">
        <v>43282</v>
      </c>
      <c r="E5303" t="s">
        <v>25</v>
      </c>
      <c r="F5303">
        <v>138.4</v>
      </c>
      <c r="G5303" t="str">
        <f>VLOOKUP(Table1_2[[#This Row],[Categories]],Sheet3!$A$1:$B$27,2,FALSE)</f>
        <v>Recreation and amusement</v>
      </c>
    </row>
    <row r="5304" spans="1:7" x14ac:dyDescent="0.3">
      <c r="A5304" t="s">
        <v>30</v>
      </c>
      <c r="B5304">
        <v>2018</v>
      </c>
      <c r="C5304" t="s">
        <v>40</v>
      </c>
      <c r="D5304" s="2">
        <v>43282</v>
      </c>
      <c r="E5304" t="s">
        <v>26</v>
      </c>
      <c r="F5304">
        <v>145.80000000000001</v>
      </c>
      <c r="G5304" t="str">
        <f>VLOOKUP(Table1_2[[#This Row],[Categories]],Sheet3!$A$1:$B$27,2,FALSE)</f>
        <v>Education</v>
      </c>
    </row>
    <row r="5305" spans="1:7" x14ac:dyDescent="0.3">
      <c r="A5305" t="s">
        <v>30</v>
      </c>
      <c r="B5305">
        <v>2018</v>
      </c>
      <c r="C5305" t="s">
        <v>40</v>
      </c>
      <c r="D5305" s="2">
        <v>43282</v>
      </c>
      <c r="E5305" t="s">
        <v>27</v>
      </c>
      <c r="F5305">
        <v>131.4</v>
      </c>
      <c r="G5305" t="str">
        <f>VLOOKUP(Table1_2[[#This Row],[Categories]],Sheet3!$A$1:$B$27,2,FALSE)</f>
        <v>Household Items</v>
      </c>
    </row>
    <row r="5306" spans="1:7" x14ac:dyDescent="0.3">
      <c r="A5306" t="s">
        <v>30</v>
      </c>
      <c r="B5306">
        <v>2018</v>
      </c>
      <c r="C5306" t="s">
        <v>40</v>
      </c>
      <c r="D5306" s="2">
        <v>43282</v>
      </c>
      <c r="E5306" t="s">
        <v>28</v>
      </c>
      <c r="F5306">
        <v>136</v>
      </c>
      <c r="G5306" t="str">
        <f>VLOOKUP(Table1_2[[#This Row],[Categories]],Sheet3!$A$1:$B$27,2,FALSE)</f>
        <v>Miscellaneous</v>
      </c>
    </row>
    <row r="5307" spans="1:7" x14ac:dyDescent="0.3">
      <c r="A5307" t="s">
        <v>30</v>
      </c>
      <c r="B5307">
        <v>2018</v>
      </c>
      <c r="C5307" t="s">
        <v>40</v>
      </c>
      <c r="D5307" s="2">
        <v>43282</v>
      </c>
      <c r="E5307" t="s">
        <v>29</v>
      </c>
      <c r="F5307">
        <v>141.80000000000001</v>
      </c>
      <c r="G5307" t="str">
        <f>VLOOKUP(Table1_2[[#This Row],[Categories]],Sheet3!$A$1:$B$27,2,FALSE)</f>
        <v>General index</v>
      </c>
    </row>
    <row r="5308" spans="1:7" x14ac:dyDescent="0.3">
      <c r="A5308" t="s">
        <v>33</v>
      </c>
      <c r="B5308">
        <v>2018</v>
      </c>
      <c r="C5308" t="s">
        <v>40</v>
      </c>
      <c r="D5308" s="2">
        <v>43282</v>
      </c>
      <c r="E5308" t="s">
        <v>3</v>
      </c>
      <c r="F5308">
        <v>135.6</v>
      </c>
      <c r="G5308" t="str">
        <f>VLOOKUP(Table1_2[[#This Row],[Categories]],Sheet3!$A$1:$B$27,2,FALSE)</f>
        <v>Food &amp;Beverage</v>
      </c>
    </row>
    <row r="5309" spans="1:7" x14ac:dyDescent="0.3">
      <c r="A5309" t="s">
        <v>33</v>
      </c>
      <c r="B5309">
        <v>2018</v>
      </c>
      <c r="C5309" t="s">
        <v>40</v>
      </c>
      <c r="D5309" s="2">
        <v>43282</v>
      </c>
      <c r="E5309" t="s">
        <v>4</v>
      </c>
      <c r="F5309">
        <v>148.6</v>
      </c>
      <c r="G5309" t="str">
        <f>VLOOKUP(Table1_2[[#This Row],[Categories]],Sheet3!$A$1:$B$27,2,FALSE)</f>
        <v>Food &amp;Beverage</v>
      </c>
    </row>
    <row r="5310" spans="1:7" x14ac:dyDescent="0.3">
      <c r="A5310" t="s">
        <v>33</v>
      </c>
      <c r="B5310">
        <v>2018</v>
      </c>
      <c r="C5310" t="s">
        <v>40</v>
      </c>
      <c r="D5310" s="2">
        <v>43282</v>
      </c>
      <c r="E5310" t="s">
        <v>5</v>
      </c>
      <c r="F5310">
        <v>139.1</v>
      </c>
      <c r="G5310" t="str">
        <f>VLOOKUP(Table1_2[[#This Row],[Categories]],Sheet3!$A$1:$B$27,2,FALSE)</f>
        <v>Food &amp;Beverage</v>
      </c>
    </row>
    <row r="5311" spans="1:7" x14ac:dyDescent="0.3">
      <c r="A5311" t="s">
        <v>33</v>
      </c>
      <c r="B5311">
        <v>2018</v>
      </c>
      <c r="C5311" t="s">
        <v>40</v>
      </c>
      <c r="D5311" s="2">
        <v>43282</v>
      </c>
      <c r="E5311" t="s">
        <v>6</v>
      </c>
      <c r="F5311">
        <v>141</v>
      </c>
      <c r="G5311" t="str">
        <f>VLOOKUP(Table1_2[[#This Row],[Categories]],Sheet3!$A$1:$B$27,2,FALSE)</f>
        <v>Food &amp;Beverage</v>
      </c>
    </row>
    <row r="5312" spans="1:7" x14ac:dyDescent="0.3">
      <c r="A5312" t="s">
        <v>33</v>
      </c>
      <c r="B5312">
        <v>2018</v>
      </c>
      <c r="C5312" t="s">
        <v>40</v>
      </c>
      <c r="D5312" s="2">
        <v>43282</v>
      </c>
      <c r="E5312" t="s">
        <v>7</v>
      </c>
      <c r="F5312">
        <v>116.7</v>
      </c>
      <c r="G5312" t="str">
        <f>VLOOKUP(Table1_2[[#This Row],[Categories]],Sheet3!$A$1:$B$27,2,FALSE)</f>
        <v>Food &amp;Beverage</v>
      </c>
    </row>
    <row r="5313" spans="1:7" x14ac:dyDescent="0.3">
      <c r="A5313" t="s">
        <v>33</v>
      </c>
      <c r="B5313">
        <v>2018</v>
      </c>
      <c r="C5313" t="s">
        <v>40</v>
      </c>
      <c r="D5313" s="2">
        <v>43282</v>
      </c>
      <c r="E5313" t="s">
        <v>8</v>
      </c>
      <c r="F5313">
        <v>149.69999999999999</v>
      </c>
      <c r="G5313" t="str">
        <f>VLOOKUP(Table1_2[[#This Row],[Categories]],Sheet3!$A$1:$B$27,2,FALSE)</f>
        <v>Food &amp;Beverage</v>
      </c>
    </row>
    <row r="5314" spans="1:7" x14ac:dyDescent="0.3">
      <c r="A5314" t="s">
        <v>33</v>
      </c>
      <c r="B5314">
        <v>2018</v>
      </c>
      <c r="C5314" t="s">
        <v>40</v>
      </c>
      <c r="D5314" s="2">
        <v>43282</v>
      </c>
      <c r="E5314" t="s">
        <v>9</v>
      </c>
      <c r="F5314">
        <v>159.19999999999999</v>
      </c>
      <c r="G5314" t="str">
        <f>VLOOKUP(Table1_2[[#This Row],[Categories]],Sheet3!$A$1:$B$27,2,FALSE)</f>
        <v>Food &amp;Beverage</v>
      </c>
    </row>
    <row r="5315" spans="1:7" x14ac:dyDescent="0.3">
      <c r="A5315" t="s">
        <v>33</v>
      </c>
      <c r="B5315">
        <v>2018</v>
      </c>
      <c r="C5315" t="s">
        <v>40</v>
      </c>
      <c r="D5315" s="2">
        <v>43282</v>
      </c>
      <c r="E5315" t="s">
        <v>10</v>
      </c>
      <c r="F5315">
        <v>112.6</v>
      </c>
      <c r="G5315" t="str">
        <f>VLOOKUP(Table1_2[[#This Row],[Categories]],Sheet3!$A$1:$B$27,2,FALSE)</f>
        <v>Food &amp;Beverage</v>
      </c>
    </row>
    <row r="5316" spans="1:7" x14ac:dyDescent="0.3">
      <c r="A5316" t="s">
        <v>33</v>
      </c>
      <c r="B5316">
        <v>2018</v>
      </c>
      <c r="C5316" t="s">
        <v>40</v>
      </c>
      <c r="D5316" s="2">
        <v>43282</v>
      </c>
      <c r="E5316" t="s">
        <v>11</v>
      </c>
      <c r="F5316">
        <v>111.8</v>
      </c>
      <c r="G5316" t="str">
        <f>VLOOKUP(Table1_2[[#This Row],[Categories]],Sheet3!$A$1:$B$27,2,FALSE)</f>
        <v>Food &amp;Beverage</v>
      </c>
    </row>
    <row r="5317" spans="1:7" x14ac:dyDescent="0.3">
      <c r="A5317" t="s">
        <v>33</v>
      </c>
      <c r="B5317">
        <v>2018</v>
      </c>
      <c r="C5317" t="s">
        <v>40</v>
      </c>
      <c r="D5317" s="2">
        <v>43282</v>
      </c>
      <c r="E5317" t="s">
        <v>12</v>
      </c>
      <c r="F5317">
        <v>140.30000000000001</v>
      </c>
      <c r="G5317" t="str">
        <f>VLOOKUP(Table1_2[[#This Row],[Categories]],Sheet3!$A$1:$B$27,2,FALSE)</f>
        <v>Food &amp;Beverage</v>
      </c>
    </row>
    <row r="5318" spans="1:7" x14ac:dyDescent="0.3">
      <c r="A5318" t="s">
        <v>33</v>
      </c>
      <c r="B5318">
        <v>2018</v>
      </c>
      <c r="C5318" t="s">
        <v>40</v>
      </c>
      <c r="D5318" s="2">
        <v>43282</v>
      </c>
      <c r="E5318" t="s">
        <v>13</v>
      </c>
      <c r="F5318">
        <v>126.8</v>
      </c>
      <c r="G5318" t="str">
        <f>VLOOKUP(Table1_2[[#This Row],[Categories]],Sheet3!$A$1:$B$27,2,FALSE)</f>
        <v>Food &amp;Beverage</v>
      </c>
    </row>
    <row r="5319" spans="1:7" x14ac:dyDescent="0.3">
      <c r="A5319" t="s">
        <v>33</v>
      </c>
      <c r="B5319">
        <v>2018</v>
      </c>
      <c r="C5319" t="s">
        <v>40</v>
      </c>
      <c r="D5319" s="2">
        <v>43282</v>
      </c>
      <c r="E5319" t="s">
        <v>14</v>
      </c>
      <c r="F5319">
        <v>149.4</v>
      </c>
      <c r="G5319" t="str">
        <f>VLOOKUP(Table1_2[[#This Row],[Categories]],Sheet3!$A$1:$B$27,2,FALSE)</f>
        <v>Food &amp;Beverage</v>
      </c>
    </row>
    <row r="5320" spans="1:7" x14ac:dyDescent="0.3">
      <c r="A5320" t="s">
        <v>33</v>
      </c>
      <c r="B5320">
        <v>2018</v>
      </c>
      <c r="C5320" t="s">
        <v>40</v>
      </c>
      <c r="D5320" s="2">
        <v>43282</v>
      </c>
      <c r="E5320" t="s">
        <v>15</v>
      </c>
      <c r="F5320">
        <v>140.30000000000001</v>
      </c>
      <c r="G5320" t="str">
        <f>VLOOKUP(Table1_2[[#This Row],[Categories]],Sheet3!$A$1:$B$27,2,FALSE)</f>
        <v>Food &amp;Beverage</v>
      </c>
    </row>
    <row r="5321" spans="1:7" x14ac:dyDescent="0.3">
      <c r="A5321" t="s">
        <v>33</v>
      </c>
      <c r="B5321">
        <v>2018</v>
      </c>
      <c r="C5321" t="s">
        <v>40</v>
      </c>
      <c r="D5321" s="2">
        <v>43282</v>
      </c>
      <c r="E5321" t="s">
        <v>16</v>
      </c>
      <c r="F5321">
        <v>161.4</v>
      </c>
      <c r="G5321" t="str">
        <f>VLOOKUP(Table1_2[[#This Row],[Categories]],Sheet3!$A$1:$B$27,2,FALSE)</f>
        <v>Recreation and amusement</v>
      </c>
    </row>
    <row r="5322" spans="1:7" x14ac:dyDescent="0.3">
      <c r="A5322" t="s">
        <v>33</v>
      </c>
      <c r="B5322">
        <v>2018</v>
      </c>
      <c r="C5322" t="s">
        <v>40</v>
      </c>
      <c r="D5322" s="2">
        <v>43282</v>
      </c>
      <c r="E5322" t="s">
        <v>17</v>
      </c>
      <c r="F5322">
        <v>139.6</v>
      </c>
      <c r="G5322" t="str">
        <f>VLOOKUP(Table1_2[[#This Row],[Categories]],Sheet3!$A$1:$B$27,2,FALSE)</f>
        <v>Clothing and footwear</v>
      </c>
    </row>
    <row r="5323" spans="1:7" x14ac:dyDescent="0.3">
      <c r="A5323" t="s">
        <v>33</v>
      </c>
      <c r="B5323">
        <v>2018</v>
      </c>
      <c r="C5323" t="s">
        <v>40</v>
      </c>
      <c r="D5323" s="2">
        <v>43282</v>
      </c>
      <c r="E5323" t="s">
        <v>18</v>
      </c>
      <c r="F5323">
        <v>128.9</v>
      </c>
      <c r="G5323" t="str">
        <f>VLOOKUP(Table1_2[[#This Row],[Categories]],Sheet3!$A$1:$B$27,2,FALSE)</f>
        <v>Clothing and footwear</v>
      </c>
    </row>
    <row r="5324" spans="1:7" x14ac:dyDescent="0.3">
      <c r="A5324" t="s">
        <v>33</v>
      </c>
      <c r="B5324">
        <v>2018</v>
      </c>
      <c r="C5324" t="s">
        <v>40</v>
      </c>
      <c r="D5324" s="2">
        <v>43282</v>
      </c>
      <c r="E5324" t="s">
        <v>19</v>
      </c>
      <c r="F5324">
        <v>137.9</v>
      </c>
      <c r="G5324" t="str">
        <f>VLOOKUP(Table1_2[[#This Row],[Categories]],Sheet3!$A$1:$B$27,2,FALSE)</f>
        <v>Clothing and footwear</v>
      </c>
    </row>
    <row r="5325" spans="1:7" x14ac:dyDescent="0.3">
      <c r="A5325" t="s">
        <v>33</v>
      </c>
      <c r="B5325">
        <v>2018</v>
      </c>
      <c r="C5325" t="s">
        <v>40</v>
      </c>
      <c r="D5325" s="2">
        <v>43282</v>
      </c>
      <c r="E5325" t="s">
        <v>20</v>
      </c>
      <c r="F5325">
        <v>143.6</v>
      </c>
      <c r="G5325" t="str">
        <f>VLOOKUP(Table1_2[[#This Row],[Categories]],Sheet3!$A$1:$B$27,2,FALSE)</f>
        <v>Housing</v>
      </c>
    </row>
    <row r="5326" spans="1:7" x14ac:dyDescent="0.3">
      <c r="A5326" t="s">
        <v>33</v>
      </c>
      <c r="B5326">
        <v>2018</v>
      </c>
      <c r="C5326" t="s">
        <v>40</v>
      </c>
      <c r="D5326" s="2">
        <v>43282</v>
      </c>
      <c r="E5326" t="s">
        <v>21</v>
      </c>
      <c r="F5326">
        <v>128.1</v>
      </c>
      <c r="G5326" t="str">
        <f>VLOOKUP(Table1_2[[#This Row],[Categories]],Sheet3!$A$1:$B$27,2,FALSE)</f>
        <v>Fuel and light</v>
      </c>
    </row>
    <row r="5327" spans="1:7" x14ac:dyDescent="0.3">
      <c r="A5327" t="s">
        <v>33</v>
      </c>
      <c r="B5327">
        <v>2018</v>
      </c>
      <c r="C5327" t="s">
        <v>40</v>
      </c>
      <c r="D5327" s="2">
        <v>43282</v>
      </c>
      <c r="E5327" t="s">
        <v>22</v>
      </c>
      <c r="F5327">
        <v>133.6</v>
      </c>
      <c r="G5327" t="str">
        <f>VLOOKUP(Table1_2[[#This Row],[Categories]],Sheet3!$A$1:$B$27,2,FALSE)</f>
        <v>Household Items</v>
      </c>
    </row>
    <row r="5328" spans="1:7" x14ac:dyDescent="0.3">
      <c r="A5328" t="s">
        <v>33</v>
      </c>
      <c r="B5328">
        <v>2018</v>
      </c>
      <c r="C5328" t="s">
        <v>40</v>
      </c>
      <c r="D5328" s="2">
        <v>43282</v>
      </c>
      <c r="E5328" t="s">
        <v>23</v>
      </c>
      <c r="F5328">
        <v>133.6</v>
      </c>
      <c r="G5328" t="str">
        <f>VLOOKUP(Table1_2[[#This Row],[Categories]],Sheet3!$A$1:$B$27,2,FALSE)</f>
        <v>Health</v>
      </c>
    </row>
    <row r="5329" spans="1:7" x14ac:dyDescent="0.3">
      <c r="A5329" t="s">
        <v>33</v>
      </c>
      <c r="B5329">
        <v>2018</v>
      </c>
      <c r="C5329" t="s">
        <v>40</v>
      </c>
      <c r="D5329" s="2">
        <v>43282</v>
      </c>
      <c r="E5329" t="s">
        <v>24</v>
      </c>
      <c r="F5329">
        <v>120.1</v>
      </c>
      <c r="G5329" t="str">
        <f>VLOOKUP(Table1_2[[#This Row],[Categories]],Sheet3!$A$1:$B$27,2,FALSE)</f>
        <v>Transport and communication</v>
      </c>
    </row>
    <row r="5330" spans="1:7" x14ac:dyDescent="0.3">
      <c r="A5330" t="s">
        <v>33</v>
      </c>
      <c r="B5330">
        <v>2018</v>
      </c>
      <c r="C5330" t="s">
        <v>40</v>
      </c>
      <c r="D5330" s="2">
        <v>43282</v>
      </c>
      <c r="E5330" t="s">
        <v>25</v>
      </c>
      <c r="F5330">
        <v>129</v>
      </c>
      <c r="G5330" t="str">
        <f>VLOOKUP(Table1_2[[#This Row],[Categories]],Sheet3!$A$1:$B$27,2,FALSE)</f>
        <v>Recreation and amusement</v>
      </c>
    </row>
    <row r="5331" spans="1:7" x14ac:dyDescent="0.3">
      <c r="A5331" t="s">
        <v>33</v>
      </c>
      <c r="B5331">
        <v>2018</v>
      </c>
      <c r="C5331" t="s">
        <v>40</v>
      </c>
      <c r="D5331" s="2">
        <v>43282</v>
      </c>
      <c r="E5331" t="s">
        <v>26</v>
      </c>
      <c r="F5331">
        <v>144</v>
      </c>
      <c r="G5331" t="str">
        <f>VLOOKUP(Table1_2[[#This Row],[Categories]],Sheet3!$A$1:$B$27,2,FALSE)</f>
        <v>Education</v>
      </c>
    </row>
    <row r="5332" spans="1:7" x14ac:dyDescent="0.3">
      <c r="A5332" t="s">
        <v>33</v>
      </c>
      <c r="B5332">
        <v>2018</v>
      </c>
      <c r="C5332" t="s">
        <v>40</v>
      </c>
      <c r="D5332" s="2">
        <v>43282</v>
      </c>
      <c r="E5332" t="s">
        <v>27</v>
      </c>
      <c r="F5332">
        <v>128.19999999999999</v>
      </c>
      <c r="G5332" t="str">
        <f>VLOOKUP(Table1_2[[#This Row],[Categories]],Sheet3!$A$1:$B$27,2,FALSE)</f>
        <v>Household Items</v>
      </c>
    </row>
    <row r="5333" spans="1:7" x14ac:dyDescent="0.3">
      <c r="A5333" t="s">
        <v>33</v>
      </c>
      <c r="B5333">
        <v>2018</v>
      </c>
      <c r="C5333" t="s">
        <v>40</v>
      </c>
      <c r="D5333" s="2">
        <v>43282</v>
      </c>
      <c r="E5333" t="s">
        <v>28</v>
      </c>
      <c r="F5333">
        <v>130.19999999999999</v>
      </c>
      <c r="G5333" t="str">
        <f>VLOOKUP(Table1_2[[#This Row],[Categories]],Sheet3!$A$1:$B$27,2,FALSE)</f>
        <v>Miscellaneous</v>
      </c>
    </row>
    <row r="5334" spans="1:7" x14ac:dyDescent="0.3">
      <c r="A5334" t="s">
        <v>33</v>
      </c>
      <c r="B5334">
        <v>2018</v>
      </c>
      <c r="C5334" t="s">
        <v>40</v>
      </c>
      <c r="D5334" s="2">
        <v>43282</v>
      </c>
      <c r="E5334" t="s">
        <v>29</v>
      </c>
      <c r="F5334">
        <v>137.5</v>
      </c>
      <c r="G5334" t="str">
        <f>VLOOKUP(Table1_2[[#This Row],[Categories]],Sheet3!$A$1:$B$27,2,FALSE)</f>
        <v>General index</v>
      </c>
    </row>
    <row r="5335" spans="1:7" x14ac:dyDescent="0.3">
      <c r="A5335" t="s">
        <v>34</v>
      </c>
      <c r="B5335">
        <v>2018</v>
      </c>
      <c r="C5335" t="s">
        <v>40</v>
      </c>
      <c r="D5335" s="2">
        <v>43282</v>
      </c>
      <c r="E5335" t="s">
        <v>3</v>
      </c>
      <c r="F5335">
        <v>137.5</v>
      </c>
      <c r="G5335" t="str">
        <f>VLOOKUP(Table1_2[[#This Row],[Categories]],Sheet3!$A$1:$B$27,2,FALSE)</f>
        <v>Food &amp;Beverage</v>
      </c>
    </row>
    <row r="5336" spans="1:7" x14ac:dyDescent="0.3">
      <c r="A5336" t="s">
        <v>34</v>
      </c>
      <c r="B5336">
        <v>2018</v>
      </c>
      <c r="C5336" t="s">
        <v>40</v>
      </c>
      <c r="D5336" s="2">
        <v>43282</v>
      </c>
      <c r="E5336" t="s">
        <v>4</v>
      </c>
      <c r="F5336">
        <v>149.1</v>
      </c>
      <c r="G5336" t="str">
        <f>VLOOKUP(Table1_2[[#This Row],[Categories]],Sheet3!$A$1:$B$27,2,FALSE)</f>
        <v>Food &amp;Beverage</v>
      </c>
    </row>
    <row r="5337" spans="1:7" x14ac:dyDescent="0.3">
      <c r="A5337" t="s">
        <v>34</v>
      </c>
      <c r="B5337">
        <v>2018</v>
      </c>
      <c r="C5337" t="s">
        <v>40</v>
      </c>
      <c r="D5337" s="2">
        <v>43282</v>
      </c>
      <c r="E5337" t="s">
        <v>5</v>
      </c>
      <c r="F5337">
        <v>139.19999999999999</v>
      </c>
      <c r="G5337" t="str">
        <f>VLOOKUP(Table1_2[[#This Row],[Categories]],Sheet3!$A$1:$B$27,2,FALSE)</f>
        <v>Food &amp;Beverage</v>
      </c>
    </row>
    <row r="5338" spans="1:7" x14ac:dyDescent="0.3">
      <c r="A5338" t="s">
        <v>34</v>
      </c>
      <c r="B5338">
        <v>2018</v>
      </c>
      <c r="C5338" t="s">
        <v>40</v>
      </c>
      <c r="D5338" s="2">
        <v>43282</v>
      </c>
      <c r="E5338" t="s">
        <v>6</v>
      </c>
      <c r="F5338">
        <v>142.5</v>
      </c>
      <c r="G5338" t="str">
        <f>VLOOKUP(Table1_2[[#This Row],[Categories]],Sheet3!$A$1:$B$27,2,FALSE)</f>
        <v>Food &amp;Beverage</v>
      </c>
    </row>
    <row r="5339" spans="1:7" x14ac:dyDescent="0.3">
      <c r="A5339" t="s">
        <v>34</v>
      </c>
      <c r="B5339">
        <v>2018</v>
      </c>
      <c r="C5339" t="s">
        <v>40</v>
      </c>
      <c r="D5339" s="2">
        <v>43282</v>
      </c>
      <c r="E5339" t="s">
        <v>7</v>
      </c>
      <c r="F5339">
        <v>121.4</v>
      </c>
      <c r="G5339" t="str">
        <f>VLOOKUP(Table1_2[[#This Row],[Categories]],Sheet3!$A$1:$B$27,2,FALSE)</f>
        <v>Food &amp;Beverage</v>
      </c>
    </row>
    <row r="5340" spans="1:7" x14ac:dyDescent="0.3">
      <c r="A5340" t="s">
        <v>34</v>
      </c>
      <c r="B5340">
        <v>2018</v>
      </c>
      <c r="C5340" t="s">
        <v>40</v>
      </c>
      <c r="D5340" s="2">
        <v>43282</v>
      </c>
      <c r="E5340" t="s">
        <v>8</v>
      </c>
      <c r="F5340">
        <v>151.6</v>
      </c>
      <c r="G5340" t="str">
        <f>VLOOKUP(Table1_2[[#This Row],[Categories]],Sheet3!$A$1:$B$27,2,FALSE)</f>
        <v>Food &amp;Beverage</v>
      </c>
    </row>
    <row r="5341" spans="1:7" x14ac:dyDescent="0.3">
      <c r="A5341" t="s">
        <v>34</v>
      </c>
      <c r="B5341">
        <v>2018</v>
      </c>
      <c r="C5341" t="s">
        <v>40</v>
      </c>
      <c r="D5341" s="2">
        <v>43282</v>
      </c>
      <c r="E5341" t="s">
        <v>9</v>
      </c>
      <c r="F5341">
        <v>155.9</v>
      </c>
      <c r="G5341" t="str">
        <f>VLOOKUP(Table1_2[[#This Row],[Categories]],Sheet3!$A$1:$B$27,2,FALSE)</f>
        <v>Food &amp;Beverage</v>
      </c>
    </row>
    <row r="5342" spans="1:7" x14ac:dyDescent="0.3">
      <c r="A5342" t="s">
        <v>34</v>
      </c>
      <c r="B5342">
        <v>2018</v>
      </c>
      <c r="C5342" t="s">
        <v>40</v>
      </c>
      <c r="D5342" s="2">
        <v>43282</v>
      </c>
      <c r="E5342" t="s">
        <v>10</v>
      </c>
      <c r="F5342">
        <v>121.7</v>
      </c>
      <c r="G5342" t="str">
        <f>VLOOKUP(Table1_2[[#This Row],[Categories]],Sheet3!$A$1:$B$27,2,FALSE)</f>
        <v>Food &amp;Beverage</v>
      </c>
    </row>
    <row r="5343" spans="1:7" x14ac:dyDescent="0.3">
      <c r="A5343" t="s">
        <v>34</v>
      </c>
      <c r="B5343">
        <v>2018</v>
      </c>
      <c r="C5343" t="s">
        <v>40</v>
      </c>
      <c r="D5343" s="2">
        <v>43282</v>
      </c>
      <c r="E5343" t="s">
        <v>11</v>
      </c>
      <c r="F5343">
        <v>113.5</v>
      </c>
      <c r="G5343" t="str">
        <f>VLOOKUP(Table1_2[[#This Row],[Categories]],Sheet3!$A$1:$B$27,2,FALSE)</f>
        <v>Food &amp;Beverage</v>
      </c>
    </row>
    <row r="5344" spans="1:7" x14ac:dyDescent="0.3">
      <c r="A5344" t="s">
        <v>34</v>
      </c>
      <c r="B5344">
        <v>2018</v>
      </c>
      <c r="C5344" t="s">
        <v>40</v>
      </c>
      <c r="D5344" s="2">
        <v>43282</v>
      </c>
      <c r="E5344" t="s">
        <v>12</v>
      </c>
      <c r="F5344">
        <v>138.9</v>
      </c>
      <c r="G5344" t="str">
        <f>VLOOKUP(Table1_2[[#This Row],[Categories]],Sheet3!$A$1:$B$27,2,FALSE)</f>
        <v>Food &amp;Beverage</v>
      </c>
    </row>
    <row r="5345" spans="1:7" x14ac:dyDescent="0.3">
      <c r="A5345" t="s">
        <v>34</v>
      </c>
      <c r="B5345">
        <v>2018</v>
      </c>
      <c r="C5345" t="s">
        <v>40</v>
      </c>
      <c r="D5345" s="2">
        <v>43282</v>
      </c>
      <c r="E5345" t="s">
        <v>13</v>
      </c>
      <c r="F5345">
        <v>130.30000000000001</v>
      </c>
      <c r="G5345" t="str">
        <f>VLOOKUP(Table1_2[[#This Row],[Categories]],Sheet3!$A$1:$B$27,2,FALSE)</f>
        <v>Food &amp;Beverage</v>
      </c>
    </row>
    <row r="5346" spans="1:7" x14ac:dyDescent="0.3">
      <c r="A5346" t="s">
        <v>34</v>
      </c>
      <c r="B5346">
        <v>2018</v>
      </c>
      <c r="C5346" t="s">
        <v>40</v>
      </c>
      <c r="D5346" s="2">
        <v>43282</v>
      </c>
      <c r="E5346" t="s">
        <v>14</v>
      </c>
      <c r="F5346">
        <v>152.30000000000001</v>
      </c>
      <c r="G5346" t="str">
        <f>VLOOKUP(Table1_2[[#This Row],[Categories]],Sheet3!$A$1:$B$27,2,FALSE)</f>
        <v>Food &amp;Beverage</v>
      </c>
    </row>
    <row r="5347" spans="1:7" x14ac:dyDescent="0.3">
      <c r="A5347" t="s">
        <v>34</v>
      </c>
      <c r="B5347">
        <v>2018</v>
      </c>
      <c r="C5347" t="s">
        <v>40</v>
      </c>
      <c r="D5347" s="2">
        <v>43282</v>
      </c>
      <c r="E5347" t="s">
        <v>15</v>
      </c>
      <c r="F5347">
        <v>141.4</v>
      </c>
      <c r="G5347" t="str">
        <f>VLOOKUP(Table1_2[[#This Row],[Categories]],Sheet3!$A$1:$B$27,2,FALSE)</f>
        <v>Food &amp;Beverage</v>
      </c>
    </row>
    <row r="5348" spans="1:7" x14ac:dyDescent="0.3">
      <c r="A5348" t="s">
        <v>34</v>
      </c>
      <c r="B5348">
        <v>2018</v>
      </c>
      <c r="C5348" t="s">
        <v>40</v>
      </c>
      <c r="D5348" s="2">
        <v>43282</v>
      </c>
      <c r="E5348" t="s">
        <v>16</v>
      </c>
      <c r="F5348">
        <v>157.5</v>
      </c>
      <c r="G5348" t="str">
        <f>VLOOKUP(Table1_2[[#This Row],[Categories]],Sheet3!$A$1:$B$27,2,FALSE)</f>
        <v>Recreation and amusement</v>
      </c>
    </row>
    <row r="5349" spans="1:7" x14ac:dyDescent="0.3">
      <c r="A5349" t="s">
        <v>34</v>
      </c>
      <c r="B5349">
        <v>2018</v>
      </c>
      <c r="C5349" t="s">
        <v>40</v>
      </c>
      <c r="D5349" s="2">
        <v>43282</v>
      </c>
      <c r="E5349" t="s">
        <v>17</v>
      </c>
      <c r="F5349">
        <v>146.80000000000001</v>
      </c>
      <c r="G5349" t="str">
        <f>VLOOKUP(Table1_2[[#This Row],[Categories]],Sheet3!$A$1:$B$27,2,FALSE)</f>
        <v>Clothing and footwear</v>
      </c>
    </row>
    <row r="5350" spans="1:7" x14ac:dyDescent="0.3">
      <c r="A5350" t="s">
        <v>34</v>
      </c>
      <c r="B5350">
        <v>2018</v>
      </c>
      <c r="C5350" t="s">
        <v>40</v>
      </c>
      <c r="D5350" s="2">
        <v>43282</v>
      </c>
      <c r="E5350" t="s">
        <v>18</v>
      </c>
      <c r="F5350">
        <v>138.4</v>
      </c>
      <c r="G5350" t="str">
        <f>VLOOKUP(Table1_2[[#This Row],[Categories]],Sheet3!$A$1:$B$27,2,FALSE)</f>
        <v>Clothing and footwear</v>
      </c>
    </row>
    <row r="5351" spans="1:7" x14ac:dyDescent="0.3">
      <c r="A5351" t="s">
        <v>34</v>
      </c>
      <c r="B5351">
        <v>2018</v>
      </c>
      <c r="C5351" t="s">
        <v>40</v>
      </c>
      <c r="D5351" s="2">
        <v>43282</v>
      </c>
      <c r="E5351" t="s">
        <v>19</v>
      </c>
      <c r="F5351">
        <v>145.6</v>
      </c>
      <c r="G5351" t="str">
        <f>VLOOKUP(Table1_2[[#This Row],[Categories]],Sheet3!$A$1:$B$27,2,FALSE)</f>
        <v>Clothing and footwear</v>
      </c>
    </row>
    <row r="5352" spans="1:7" x14ac:dyDescent="0.3">
      <c r="A5352" t="s">
        <v>34</v>
      </c>
      <c r="B5352">
        <v>2018</v>
      </c>
      <c r="C5352" t="s">
        <v>40</v>
      </c>
      <c r="D5352" s="2">
        <v>43282</v>
      </c>
      <c r="E5352" t="s">
        <v>20</v>
      </c>
      <c r="F5352">
        <v>143.6</v>
      </c>
      <c r="G5352" t="str">
        <f>VLOOKUP(Table1_2[[#This Row],[Categories]],Sheet3!$A$1:$B$27,2,FALSE)</f>
        <v>Housing</v>
      </c>
    </row>
    <row r="5353" spans="1:7" x14ac:dyDescent="0.3">
      <c r="A5353" t="s">
        <v>34</v>
      </c>
      <c r="B5353">
        <v>2018</v>
      </c>
      <c r="C5353" t="s">
        <v>40</v>
      </c>
      <c r="D5353" s="2">
        <v>43282</v>
      </c>
      <c r="E5353" t="s">
        <v>21</v>
      </c>
      <c r="F5353">
        <v>139.69999999999999</v>
      </c>
      <c r="G5353" t="str">
        <f>VLOOKUP(Table1_2[[#This Row],[Categories]],Sheet3!$A$1:$B$27,2,FALSE)</f>
        <v>Fuel and light</v>
      </c>
    </row>
    <row r="5354" spans="1:7" x14ac:dyDescent="0.3">
      <c r="A5354" t="s">
        <v>34</v>
      </c>
      <c r="B5354">
        <v>2018</v>
      </c>
      <c r="C5354" t="s">
        <v>40</v>
      </c>
      <c r="D5354" s="2">
        <v>43282</v>
      </c>
      <c r="E5354" t="s">
        <v>22</v>
      </c>
      <c r="F5354">
        <v>138.6</v>
      </c>
      <c r="G5354" t="str">
        <f>VLOOKUP(Table1_2[[#This Row],[Categories]],Sheet3!$A$1:$B$27,2,FALSE)</f>
        <v>Household Items</v>
      </c>
    </row>
    <row r="5355" spans="1:7" x14ac:dyDescent="0.3">
      <c r="A5355" t="s">
        <v>34</v>
      </c>
      <c r="B5355">
        <v>2018</v>
      </c>
      <c r="C5355" t="s">
        <v>40</v>
      </c>
      <c r="D5355" s="2">
        <v>43282</v>
      </c>
      <c r="E5355" t="s">
        <v>23</v>
      </c>
      <c r="F5355">
        <v>137</v>
      </c>
      <c r="G5355" t="str">
        <f>VLOOKUP(Table1_2[[#This Row],[Categories]],Sheet3!$A$1:$B$27,2,FALSE)</f>
        <v>Health</v>
      </c>
    </row>
    <row r="5356" spans="1:7" x14ac:dyDescent="0.3">
      <c r="A5356" t="s">
        <v>34</v>
      </c>
      <c r="B5356">
        <v>2018</v>
      </c>
      <c r="C5356" t="s">
        <v>40</v>
      </c>
      <c r="D5356" s="2">
        <v>43282</v>
      </c>
      <c r="E5356" t="s">
        <v>24</v>
      </c>
      <c r="F5356">
        <v>123.6</v>
      </c>
      <c r="G5356" t="str">
        <f>VLOOKUP(Table1_2[[#This Row],[Categories]],Sheet3!$A$1:$B$27,2,FALSE)</f>
        <v>Transport and communication</v>
      </c>
    </row>
    <row r="5357" spans="1:7" x14ac:dyDescent="0.3">
      <c r="A5357" t="s">
        <v>34</v>
      </c>
      <c r="B5357">
        <v>2018</v>
      </c>
      <c r="C5357" t="s">
        <v>40</v>
      </c>
      <c r="D5357" s="2">
        <v>43282</v>
      </c>
      <c r="E5357" t="s">
        <v>25</v>
      </c>
      <c r="F5357">
        <v>133.1</v>
      </c>
      <c r="G5357" t="str">
        <f>VLOOKUP(Table1_2[[#This Row],[Categories]],Sheet3!$A$1:$B$27,2,FALSE)</f>
        <v>Recreation and amusement</v>
      </c>
    </row>
    <row r="5358" spans="1:7" x14ac:dyDescent="0.3">
      <c r="A5358" t="s">
        <v>34</v>
      </c>
      <c r="B5358">
        <v>2018</v>
      </c>
      <c r="C5358" t="s">
        <v>40</v>
      </c>
      <c r="D5358" s="2">
        <v>43282</v>
      </c>
      <c r="E5358" t="s">
        <v>26</v>
      </c>
      <c r="F5358">
        <v>144.69999999999999</v>
      </c>
      <c r="G5358" t="str">
        <f>VLOOKUP(Table1_2[[#This Row],[Categories]],Sheet3!$A$1:$B$27,2,FALSE)</f>
        <v>Education</v>
      </c>
    </row>
    <row r="5359" spans="1:7" x14ac:dyDescent="0.3">
      <c r="A5359" t="s">
        <v>34</v>
      </c>
      <c r="B5359">
        <v>2018</v>
      </c>
      <c r="C5359" t="s">
        <v>40</v>
      </c>
      <c r="D5359" s="2">
        <v>43282</v>
      </c>
      <c r="E5359" t="s">
        <v>27</v>
      </c>
      <c r="F5359">
        <v>130.1</v>
      </c>
      <c r="G5359" t="str">
        <f>VLOOKUP(Table1_2[[#This Row],[Categories]],Sheet3!$A$1:$B$27,2,FALSE)</f>
        <v>Household Items</v>
      </c>
    </row>
    <row r="5360" spans="1:7" x14ac:dyDescent="0.3">
      <c r="A5360" t="s">
        <v>34</v>
      </c>
      <c r="B5360">
        <v>2018</v>
      </c>
      <c r="C5360" t="s">
        <v>40</v>
      </c>
      <c r="D5360" s="2">
        <v>43282</v>
      </c>
      <c r="E5360" t="s">
        <v>28</v>
      </c>
      <c r="F5360">
        <v>133.19999999999999</v>
      </c>
      <c r="G5360" t="str">
        <f>VLOOKUP(Table1_2[[#This Row],[Categories]],Sheet3!$A$1:$B$27,2,FALSE)</f>
        <v>Miscellaneous</v>
      </c>
    </row>
    <row r="5361" spans="1:7" x14ac:dyDescent="0.3">
      <c r="A5361" t="s">
        <v>34</v>
      </c>
      <c r="B5361">
        <v>2018</v>
      </c>
      <c r="C5361" t="s">
        <v>40</v>
      </c>
      <c r="D5361" s="2">
        <v>43282</v>
      </c>
      <c r="E5361" t="s">
        <v>29</v>
      </c>
      <c r="F5361">
        <v>139.80000000000001</v>
      </c>
      <c r="G5361" t="str">
        <f>VLOOKUP(Table1_2[[#This Row],[Categories]],Sheet3!$A$1:$B$27,2,FALSE)</f>
        <v>General index</v>
      </c>
    </row>
    <row r="5362" spans="1:7" x14ac:dyDescent="0.3">
      <c r="A5362" t="s">
        <v>30</v>
      </c>
      <c r="B5362">
        <v>2018</v>
      </c>
      <c r="C5362" t="s">
        <v>41</v>
      </c>
      <c r="D5362" s="2">
        <v>43313</v>
      </c>
      <c r="E5362" t="s">
        <v>3</v>
      </c>
      <c r="F5362">
        <v>139.19999999999999</v>
      </c>
      <c r="G5362" t="str">
        <f>VLOOKUP(Table1_2[[#This Row],[Categories]],Sheet3!$A$1:$B$27,2,FALSE)</f>
        <v>Food &amp;Beverage</v>
      </c>
    </row>
    <row r="5363" spans="1:7" x14ac:dyDescent="0.3">
      <c r="A5363" t="s">
        <v>30</v>
      </c>
      <c r="B5363">
        <v>2018</v>
      </c>
      <c r="C5363" t="s">
        <v>41</v>
      </c>
      <c r="D5363" s="2">
        <v>43313</v>
      </c>
      <c r="E5363" t="s">
        <v>4</v>
      </c>
      <c r="F5363">
        <v>148.80000000000001</v>
      </c>
      <c r="G5363" t="str">
        <f>VLOOKUP(Table1_2[[#This Row],[Categories]],Sheet3!$A$1:$B$27,2,FALSE)</f>
        <v>Food &amp;Beverage</v>
      </c>
    </row>
    <row r="5364" spans="1:7" x14ac:dyDescent="0.3">
      <c r="A5364" t="s">
        <v>30</v>
      </c>
      <c r="B5364">
        <v>2018</v>
      </c>
      <c r="C5364" t="s">
        <v>41</v>
      </c>
      <c r="D5364" s="2">
        <v>43313</v>
      </c>
      <c r="E5364" t="s">
        <v>5</v>
      </c>
      <c r="F5364">
        <v>139.1</v>
      </c>
      <c r="G5364" t="str">
        <f>VLOOKUP(Table1_2[[#This Row],[Categories]],Sheet3!$A$1:$B$27,2,FALSE)</f>
        <v>Food &amp;Beverage</v>
      </c>
    </row>
    <row r="5365" spans="1:7" x14ac:dyDescent="0.3">
      <c r="A5365" t="s">
        <v>30</v>
      </c>
      <c r="B5365">
        <v>2018</v>
      </c>
      <c r="C5365" t="s">
        <v>41</v>
      </c>
      <c r="D5365" s="2">
        <v>43313</v>
      </c>
      <c r="E5365" t="s">
        <v>6</v>
      </c>
      <c r="F5365">
        <v>143.5</v>
      </c>
      <c r="G5365" t="str">
        <f>VLOOKUP(Table1_2[[#This Row],[Categories]],Sheet3!$A$1:$B$27,2,FALSE)</f>
        <v>Food &amp;Beverage</v>
      </c>
    </row>
    <row r="5366" spans="1:7" x14ac:dyDescent="0.3">
      <c r="A5366" t="s">
        <v>30</v>
      </c>
      <c r="B5366">
        <v>2018</v>
      </c>
      <c r="C5366" t="s">
        <v>41</v>
      </c>
      <c r="D5366" s="2">
        <v>43313</v>
      </c>
      <c r="E5366" t="s">
        <v>7</v>
      </c>
      <c r="F5366">
        <v>125</v>
      </c>
      <c r="G5366" t="str">
        <f>VLOOKUP(Table1_2[[#This Row],[Categories]],Sheet3!$A$1:$B$27,2,FALSE)</f>
        <v>Food &amp;Beverage</v>
      </c>
    </row>
    <row r="5367" spans="1:7" x14ac:dyDescent="0.3">
      <c r="A5367" t="s">
        <v>30</v>
      </c>
      <c r="B5367">
        <v>2018</v>
      </c>
      <c r="C5367" t="s">
        <v>41</v>
      </c>
      <c r="D5367" s="2">
        <v>43313</v>
      </c>
      <c r="E5367" t="s">
        <v>8</v>
      </c>
      <c r="F5367">
        <v>154.4</v>
      </c>
      <c r="G5367" t="str">
        <f>VLOOKUP(Table1_2[[#This Row],[Categories]],Sheet3!$A$1:$B$27,2,FALSE)</f>
        <v>Food &amp;Beverage</v>
      </c>
    </row>
    <row r="5368" spans="1:7" x14ac:dyDescent="0.3">
      <c r="A5368" t="s">
        <v>30</v>
      </c>
      <c r="B5368">
        <v>2018</v>
      </c>
      <c r="C5368" t="s">
        <v>41</v>
      </c>
      <c r="D5368" s="2">
        <v>43313</v>
      </c>
      <c r="E5368" t="s">
        <v>9</v>
      </c>
      <c r="F5368">
        <v>156.30000000000001</v>
      </c>
      <c r="G5368" t="str">
        <f>VLOOKUP(Table1_2[[#This Row],[Categories]],Sheet3!$A$1:$B$27,2,FALSE)</f>
        <v>Food &amp;Beverage</v>
      </c>
    </row>
    <row r="5369" spans="1:7" x14ac:dyDescent="0.3">
      <c r="A5369" t="s">
        <v>30</v>
      </c>
      <c r="B5369">
        <v>2018</v>
      </c>
      <c r="C5369" t="s">
        <v>41</v>
      </c>
      <c r="D5369" s="2">
        <v>43313</v>
      </c>
      <c r="E5369" t="s">
        <v>10</v>
      </c>
      <c r="F5369">
        <v>126.8</v>
      </c>
      <c r="G5369" t="str">
        <f>VLOOKUP(Table1_2[[#This Row],[Categories]],Sheet3!$A$1:$B$27,2,FALSE)</f>
        <v>Food &amp;Beverage</v>
      </c>
    </row>
    <row r="5370" spans="1:7" x14ac:dyDescent="0.3">
      <c r="A5370" t="s">
        <v>30</v>
      </c>
      <c r="B5370">
        <v>2018</v>
      </c>
      <c r="C5370" t="s">
        <v>41</v>
      </c>
      <c r="D5370" s="2">
        <v>43313</v>
      </c>
      <c r="E5370" t="s">
        <v>11</v>
      </c>
      <c r="F5370">
        <v>115.4</v>
      </c>
      <c r="G5370" t="str">
        <f>VLOOKUP(Table1_2[[#This Row],[Categories]],Sheet3!$A$1:$B$27,2,FALSE)</f>
        <v>Food &amp;Beverage</v>
      </c>
    </row>
    <row r="5371" spans="1:7" x14ac:dyDescent="0.3">
      <c r="A5371" t="s">
        <v>30</v>
      </c>
      <c r="B5371">
        <v>2018</v>
      </c>
      <c r="C5371" t="s">
        <v>41</v>
      </c>
      <c r="D5371" s="2">
        <v>43313</v>
      </c>
      <c r="E5371" t="s">
        <v>12</v>
      </c>
      <c r="F5371">
        <v>138.6</v>
      </c>
      <c r="G5371" t="str">
        <f>VLOOKUP(Table1_2[[#This Row],[Categories]],Sheet3!$A$1:$B$27,2,FALSE)</f>
        <v>Food &amp;Beverage</v>
      </c>
    </row>
    <row r="5372" spans="1:7" x14ac:dyDescent="0.3">
      <c r="A5372" t="s">
        <v>30</v>
      </c>
      <c r="B5372">
        <v>2018</v>
      </c>
      <c r="C5372" t="s">
        <v>41</v>
      </c>
      <c r="D5372" s="2">
        <v>43313</v>
      </c>
      <c r="E5372" t="s">
        <v>13</v>
      </c>
      <c r="F5372">
        <v>133.80000000000001</v>
      </c>
      <c r="G5372" t="str">
        <f>VLOOKUP(Table1_2[[#This Row],[Categories]],Sheet3!$A$1:$B$27,2,FALSE)</f>
        <v>Food &amp;Beverage</v>
      </c>
    </row>
    <row r="5373" spans="1:7" x14ac:dyDescent="0.3">
      <c r="A5373" t="s">
        <v>30</v>
      </c>
      <c r="B5373">
        <v>2018</v>
      </c>
      <c r="C5373" t="s">
        <v>41</v>
      </c>
      <c r="D5373" s="2">
        <v>43313</v>
      </c>
      <c r="E5373" t="s">
        <v>14</v>
      </c>
      <c r="F5373">
        <v>155.19999999999999</v>
      </c>
      <c r="G5373" t="str">
        <f>VLOOKUP(Table1_2[[#This Row],[Categories]],Sheet3!$A$1:$B$27,2,FALSE)</f>
        <v>Food &amp;Beverage</v>
      </c>
    </row>
    <row r="5374" spans="1:7" x14ac:dyDescent="0.3">
      <c r="A5374" t="s">
        <v>30</v>
      </c>
      <c r="B5374">
        <v>2018</v>
      </c>
      <c r="C5374" t="s">
        <v>41</v>
      </c>
      <c r="D5374" s="2">
        <v>43313</v>
      </c>
      <c r="E5374" t="s">
        <v>15</v>
      </c>
      <c r="F5374">
        <v>142.69999999999999</v>
      </c>
      <c r="G5374" t="str">
        <f>VLOOKUP(Table1_2[[#This Row],[Categories]],Sheet3!$A$1:$B$27,2,FALSE)</f>
        <v>Food &amp;Beverage</v>
      </c>
    </row>
    <row r="5375" spans="1:7" x14ac:dyDescent="0.3">
      <c r="A5375" t="s">
        <v>30</v>
      </c>
      <c r="B5375">
        <v>2018</v>
      </c>
      <c r="C5375" t="s">
        <v>41</v>
      </c>
      <c r="D5375" s="2">
        <v>43313</v>
      </c>
      <c r="E5375" t="s">
        <v>16</v>
      </c>
      <c r="F5375">
        <v>156.4</v>
      </c>
      <c r="G5375" t="str">
        <f>VLOOKUP(Table1_2[[#This Row],[Categories]],Sheet3!$A$1:$B$27,2,FALSE)</f>
        <v>Recreation and amusement</v>
      </c>
    </row>
    <row r="5376" spans="1:7" x14ac:dyDescent="0.3">
      <c r="A5376" t="s">
        <v>30</v>
      </c>
      <c r="B5376">
        <v>2018</v>
      </c>
      <c r="C5376" t="s">
        <v>41</v>
      </c>
      <c r="D5376" s="2">
        <v>43313</v>
      </c>
      <c r="E5376" t="s">
        <v>17</v>
      </c>
      <c r="F5376">
        <v>152.1</v>
      </c>
      <c r="G5376" t="str">
        <f>VLOOKUP(Table1_2[[#This Row],[Categories]],Sheet3!$A$1:$B$27,2,FALSE)</f>
        <v>Clothing and footwear</v>
      </c>
    </row>
    <row r="5377" spans="1:7" x14ac:dyDescent="0.3">
      <c r="A5377" t="s">
        <v>30</v>
      </c>
      <c r="B5377">
        <v>2018</v>
      </c>
      <c r="C5377" t="s">
        <v>41</v>
      </c>
      <c r="D5377" s="2">
        <v>43313</v>
      </c>
      <c r="E5377" t="s">
        <v>18</v>
      </c>
      <c r="F5377">
        <v>145.80000000000001</v>
      </c>
      <c r="G5377" t="str">
        <f>VLOOKUP(Table1_2[[#This Row],[Categories]],Sheet3!$A$1:$B$27,2,FALSE)</f>
        <v>Clothing and footwear</v>
      </c>
    </row>
    <row r="5378" spans="1:7" x14ac:dyDescent="0.3">
      <c r="A5378" t="s">
        <v>30</v>
      </c>
      <c r="B5378">
        <v>2018</v>
      </c>
      <c r="C5378" t="s">
        <v>41</v>
      </c>
      <c r="D5378" s="2">
        <v>43313</v>
      </c>
      <c r="E5378" t="s">
        <v>19</v>
      </c>
      <c r="F5378">
        <v>151.30000000000001</v>
      </c>
      <c r="G5378" t="str">
        <f>VLOOKUP(Table1_2[[#This Row],[Categories]],Sheet3!$A$1:$B$27,2,FALSE)</f>
        <v>Clothing and footwear</v>
      </c>
    </row>
    <row r="5379" spans="1:7" x14ac:dyDescent="0.3">
      <c r="A5379" t="s">
        <v>30</v>
      </c>
      <c r="B5379">
        <v>2018</v>
      </c>
      <c r="C5379" t="s">
        <v>41</v>
      </c>
      <c r="D5379" s="2">
        <v>43313</v>
      </c>
      <c r="E5379" t="s">
        <v>21</v>
      </c>
      <c r="F5379">
        <v>147.69999999999999</v>
      </c>
      <c r="G5379" t="str">
        <f>VLOOKUP(Table1_2[[#This Row],[Categories]],Sheet3!$A$1:$B$27,2,FALSE)</f>
        <v>Fuel and light</v>
      </c>
    </row>
    <row r="5380" spans="1:7" x14ac:dyDescent="0.3">
      <c r="A5380" t="s">
        <v>30</v>
      </c>
      <c r="B5380">
        <v>2018</v>
      </c>
      <c r="C5380" t="s">
        <v>41</v>
      </c>
      <c r="D5380" s="2">
        <v>43313</v>
      </c>
      <c r="E5380" t="s">
        <v>22</v>
      </c>
      <c r="F5380">
        <v>143.80000000000001</v>
      </c>
      <c r="G5380" t="str">
        <f>VLOOKUP(Table1_2[[#This Row],[Categories]],Sheet3!$A$1:$B$27,2,FALSE)</f>
        <v>Household Items</v>
      </c>
    </row>
    <row r="5381" spans="1:7" x14ac:dyDescent="0.3">
      <c r="A5381" t="s">
        <v>30</v>
      </c>
      <c r="B5381">
        <v>2018</v>
      </c>
      <c r="C5381" t="s">
        <v>41</v>
      </c>
      <c r="D5381" s="2">
        <v>43313</v>
      </c>
      <c r="E5381" t="s">
        <v>23</v>
      </c>
      <c r="F5381">
        <v>139.4</v>
      </c>
      <c r="G5381" t="str">
        <f>VLOOKUP(Table1_2[[#This Row],[Categories]],Sheet3!$A$1:$B$27,2,FALSE)</f>
        <v>Health</v>
      </c>
    </row>
    <row r="5382" spans="1:7" x14ac:dyDescent="0.3">
      <c r="A5382" t="s">
        <v>30</v>
      </c>
      <c r="B5382">
        <v>2018</v>
      </c>
      <c r="C5382" t="s">
        <v>41</v>
      </c>
      <c r="D5382" s="2">
        <v>43313</v>
      </c>
      <c r="E5382" t="s">
        <v>24</v>
      </c>
      <c r="F5382">
        <v>128.30000000000001</v>
      </c>
      <c r="G5382" t="str">
        <f>VLOOKUP(Table1_2[[#This Row],[Categories]],Sheet3!$A$1:$B$27,2,FALSE)</f>
        <v>Transport and communication</v>
      </c>
    </row>
    <row r="5383" spans="1:7" x14ac:dyDescent="0.3">
      <c r="A5383" t="s">
        <v>30</v>
      </c>
      <c r="B5383">
        <v>2018</v>
      </c>
      <c r="C5383" t="s">
        <v>41</v>
      </c>
      <c r="D5383" s="2">
        <v>43313</v>
      </c>
      <c r="E5383" t="s">
        <v>25</v>
      </c>
      <c r="F5383">
        <v>138.6</v>
      </c>
      <c r="G5383" t="str">
        <f>VLOOKUP(Table1_2[[#This Row],[Categories]],Sheet3!$A$1:$B$27,2,FALSE)</f>
        <v>Recreation and amusement</v>
      </c>
    </row>
    <row r="5384" spans="1:7" x14ac:dyDescent="0.3">
      <c r="A5384" t="s">
        <v>30</v>
      </c>
      <c r="B5384">
        <v>2018</v>
      </c>
      <c r="C5384" t="s">
        <v>41</v>
      </c>
      <c r="D5384" s="2">
        <v>43313</v>
      </c>
      <c r="E5384" t="s">
        <v>26</v>
      </c>
      <c r="F5384">
        <v>146.9</v>
      </c>
      <c r="G5384" t="str">
        <f>VLOOKUP(Table1_2[[#This Row],[Categories]],Sheet3!$A$1:$B$27,2,FALSE)</f>
        <v>Education</v>
      </c>
    </row>
    <row r="5385" spans="1:7" x14ac:dyDescent="0.3">
      <c r="A5385" t="s">
        <v>30</v>
      </c>
      <c r="B5385">
        <v>2018</v>
      </c>
      <c r="C5385" t="s">
        <v>41</v>
      </c>
      <c r="D5385" s="2">
        <v>43313</v>
      </c>
      <c r="E5385" t="s">
        <v>27</v>
      </c>
      <c r="F5385">
        <v>131.30000000000001</v>
      </c>
      <c r="G5385" t="str">
        <f>VLOOKUP(Table1_2[[#This Row],[Categories]],Sheet3!$A$1:$B$27,2,FALSE)</f>
        <v>Household Items</v>
      </c>
    </row>
    <row r="5386" spans="1:7" x14ac:dyDescent="0.3">
      <c r="A5386" t="s">
        <v>30</v>
      </c>
      <c r="B5386">
        <v>2018</v>
      </c>
      <c r="C5386" t="s">
        <v>41</v>
      </c>
      <c r="D5386" s="2">
        <v>43313</v>
      </c>
      <c r="E5386" t="s">
        <v>28</v>
      </c>
      <c r="F5386">
        <v>136.6</v>
      </c>
      <c r="G5386" t="str">
        <f>VLOOKUP(Table1_2[[#This Row],[Categories]],Sheet3!$A$1:$B$27,2,FALSE)</f>
        <v>Miscellaneous</v>
      </c>
    </row>
    <row r="5387" spans="1:7" x14ac:dyDescent="0.3">
      <c r="A5387" t="s">
        <v>30</v>
      </c>
      <c r="B5387">
        <v>2018</v>
      </c>
      <c r="C5387" t="s">
        <v>41</v>
      </c>
      <c r="D5387" s="2">
        <v>43313</v>
      </c>
      <c r="E5387" t="s">
        <v>29</v>
      </c>
      <c r="F5387">
        <v>142.5</v>
      </c>
      <c r="G5387" t="str">
        <f>VLOOKUP(Table1_2[[#This Row],[Categories]],Sheet3!$A$1:$B$27,2,FALSE)</f>
        <v>General index</v>
      </c>
    </row>
    <row r="5388" spans="1:7" x14ac:dyDescent="0.3">
      <c r="A5388" t="s">
        <v>33</v>
      </c>
      <c r="B5388">
        <v>2018</v>
      </c>
      <c r="C5388" t="s">
        <v>41</v>
      </c>
      <c r="D5388" s="2">
        <v>43313</v>
      </c>
      <c r="E5388" t="s">
        <v>3</v>
      </c>
      <c r="F5388">
        <v>136.5</v>
      </c>
      <c r="G5388" t="str">
        <f>VLOOKUP(Table1_2[[#This Row],[Categories]],Sheet3!$A$1:$B$27,2,FALSE)</f>
        <v>Food &amp;Beverage</v>
      </c>
    </row>
    <row r="5389" spans="1:7" x14ac:dyDescent="0.3">
      <c r="A5389" t="s">
        <v>33</v>
      </c>
      <c r="B5389">
        <v>2018</v>
      </c>
      <c r="C5389" t="s">
        <v>41</v>
      </c>
      <c r="D5389" s="2">
        <v>43313</v>
      </c>
      <c r="E5389" t="s">
        <v>4</v>
      </c>
      <c r="F5389">
        <v>146.4</v>
      </c>
      <c r="G5389" t="str">
        <f>VLOOKUP(Table1_2[[#This Row],[Categories]],Sheet3!$A$1:$B$27,2,FALSE)</f>
        <v>Food &amp;Beverage</v>
      </c>
    </row>
    <row r="5390" spans="1:7" x14ac:dyDescent="0.3">
      <c r="A5390" t="s">
        <v>33</v>
      </c>
      <c r="B5390">
        <v>2018</v>
      </c>
      <c r="C5390" t="s">
        <v>41</v>
      </c>
      <c r="D5390" s="2">
        <v>43313</v>
      </c>
      <c r="E5390" t="s">
        <v>5</v>
      </c>
      <c r="F5390">
        <v>136.6</v>
      </c>
      <c r="G5390" t="str">
        <f>VLOOKUP(Table1_2[[#This Row],[Categories]],Sheet3!$A$1:$B$27,2,FALSE)</f>
        <v>Food &amp;Beverage</v>
      </c>
    </row>
    <row r="5391" spans="1:7" x14ac:dyDescent="0.3">
      <c r="A5391" t="s">
        <v>33</v>
      </c>
      <c r="B5391">
        <v>2018</v>
      </c>
      <c r="C5391" t="s">
        <v>41</v>
      </c>
      <c r="D5391" s="2">
        <v>43313</v>
      </c>
      <c r="E5391" t="s">
        <v>6</v>
      </c>
      <c r="F5391">
        <v>141.19999999999999</v>
      </c>
      <c r="G5391" t="str">
        <f>VLOOKUP(Table1_2[[#This Row],[Categories]],Sheet3!$A$1:$B$27,2,FALSE)</f>
        <v>Food &amp;Beverage</v>
      </c>
    </row>
    <row r="5392" spans="1:7" x14ac:dyDescent="0.3">
      <c r="A5392" t="s">
        <v>33</v>
      </c>
      <c r="B5392">
        <v>2018</v>
      </c>
      <c r="C5392" t="s">
        <v>41</v>
      </c>
      <c r="D5392" s="2">
        <v>43313</v>
      </c>
      <c r="E5392" t="s">
        <v>7</v>
      </c>
      <c r="F5392">
        <v>117.4</v>
      </c>
      <c r="G5392" t="str">
        <f>VLOOKUP(Table1_2[[#This Row],[Categories]],Sheet3!$A$1:$B$27,2,FALSE)</f>
        <v>Food &amp;Beverage</v>
      </c>
    </row>
    <row r="5393" spans="1:7" x14ac:dyDescent="0.3">
      <c r="A5393" t="s">
        <v>33</v>
      </c>
      <c r="B5393">
        <v>2018</v>
      </c>
      <c r="C5393" t="s">
        <v>41</v>
      </c>
      <c r="D5393" s="2">
        <v>43313</v>
      </c>
      <c r="E5393" t="s">
        <v>8</v>
      </c>
      <c r="F5393">
        <v>146.30000000000001</v>
      </c>
      <c r="G5393" t="str">
        <f>VLOOKUP(Table1_2[[#This Row],[Categories]],Sheet3!$A$1:$B$27,2,FALSE)</f>
        <v>Food &amp;Beverage</v>
      </c>
    </row>
    <row r="5394" spans="1:7" x14ac:dyDescent="0.3">
      <c r="A5394" t="s">
        <v>33</v>
      </c>
      <c r="B5394">
        <v>2018</v>
      </c>
      <c r="C5394" t="s">
        <v>41</v>
      </c>
      <c r="D5394" s="2">
        <v>43313</v>
      </c>
      <c r="E5394" t="s">
        <v>9</v>
      </c>
      <c r="F5394">
        <v>157.30000000000001</v>
      </c>
      <c r="G5394" t="str">
        <f>VLOOKUP(Table1_2[[#This Row],[Categories]],Sheet3!$A$1:$B$27,2,FALSE)</f>
        <v>Food &amp;Beverage</v>
      </c>
    </row>
    <row r="5395" spans="1:7" x14ac:dyDescent="0.3">
      <c r="A5395" t="s">
        <v>33</v>
      </c>
      <c r="B5395">
        <v>2018</v>
      </c>
      <c r="C5395" t="s">
        <v>41</v>
      </c>
      <c r="D5395" s="2">
        <v>43313</v>
      </c>
      <c r="E5395" t="s">
        <v>10</v>
      </c>
      <c r="F5395">
        <v>113.6</v>
      </c>
      <c r="G5395" t="str">
        <f>VLOOKUP(Table1_2[[#This Row],[Categories]],Sheet3!$A$1:$B$27,2,FALSE)</f>
        <v>Food &amp;Beverage</v>
      </c>
    </row>
    <row r="5396" spans="1:7" x14ac:dyDescent="0.3">
      <c r="A5396" t="s">
        <v>33</v>
      </c>
      <c r="B5396">
        <v>2018</v>
      </c>
      <c r="C5396" t="s">
        <v>41</v>
      </c>
      <c r="D5396" s="2">
        <v>43313</v>
      </c>
      <c r="E5396" t="s">
        <v>11</v>
      </c>
      <c r="F5396">
        <v>113.3</v>
      </c>
      <c r="G5396" t="str">
        <f>VLOOKUP(Table1_2[[#This Row],[Categories]],Sheet3!$A$1:$B$27,2,FALSE)</f>
        <v>Food &amp;Beverage</v>
      </c>
    </row>
    <row r="5397" spans="1:7" x14ac:dyDescent="0.3">
      <c r="A5397" t="s">
        <v>33</v>
      </c>
      <c r="B5397">
        <v>2018</v>
      </c>
      <c r="C5397" t="s">
        <v>41</v>
      </c>
      <c r="D5397" s="2">
        <v>43313</v>
      </c>
      <c r="E5397" t="s">
        <v>12</v>
      </c>
      <c r="F5397">
        <v>141.1</v>
      </c>
      <c r="G5397" t="str">
        <f>VLOOKUP(Table1_2[[#This Row],[Categories]],Sheet3!$A$1:$B$27,2,FALSE)</f>
        <v>Food &amp;Beverage</v>
      </c>
    </row>
    <row r="5398" spans="1:7" x14ac:dyDescent="0.3">
      <c r="A5398" t="s">
        <v>33</v>
      </c>
      <c r="B5398">
        <v>2018</v>
      </c>
      <c r="C5398" t="s">
        <v>41</v>
      </c>
      <c r="D5398" s="2">
        <v>43313</v>
      </c>
      <c r="E5398" t="s">
        <v>13</v>
      </c>
      <c r="F5398">
        <v>127.4</v>
      </c>
      <c r="G5398" t="str">
        <f>VLOOKUP(Table1_2[[#This Row],[Categories]],Sheet3!$A$1:$B$27,2,FALSE)</f>
        <v>Food &amp;Beverage</v>
      </c>
    </row>
    <row r="5399" spans="1:7" x14ac:dyDescent="0.3">
      <c r="A5399" t="s">
        <v>33</v>
      </c>
      <c r="B5399">
        <v>2018</v>
      </c>
      <c r="C5399" t="s">
        <v>41</v>
      </c>
      <c r="D5399" s="2">
        <v>43313</v>
      </c>
      <c r="E5399" t="s">
        <v>14</v>
      </c>
      <c r="F5399">
        <v>150.4</v>
      </c>
      <c r="G5399" t="str">
        <f>VLOOKUP(Table1_2[[#This Row],[Categories]],Sheet3!$A$1:$B$27,2,FALSE)</f>
        <v>Food &amp;Beverage</v>
      </c>
    </row>
    <row r="5400" spans="1:7" x14ac:dyDescent="0.3">
      <c r="A5400" t="s">
        <v>33</v>
      </c>
      <c r="B5400">
        <v>2018</v>
      </c>
      <c r="C5400" t="s">
        <v>41</v>
      </c>
      <c r="D5400" s="2">
        <v>43313</v>
      </c>
      <c r="E5400" t="s">
        <v>15</v>
      </c>
      <c r="F5400">
        <v>140.1</v>
      </c>
      <c r="G5400" t="str">
        <f>VLOOKUP(Table1_2[[#This Row],[Categories]],Sheet3!$A$1:$B$27,2,FALSE)</f>
        <v>Food &amp;Beverage</v>
      </c>
    </row>
    <row r="5401" spans="1:7" x14ac:dyDescent="0.3">
      <c r="A5401" t="s">
        <v>33</v>
      </c>
      <c r="B5401">
        <v>2018</v>
      </c>
      <c r="C5401" t="s">
        <v>41</v>
      </c>
      <c r="D5401" s="2">
        <v>43313</v>
      </c>
      <c r="E5401" t="s">
        <v>16</v>
      </c>
      <c r="F5401">
        <v>162.1</v>
      </c>
      <c r="G5401" t="str">
        <f>VLOOKUP(Table1_2[[#This Row],[Categories]],Sheet3!$A$1:$B$27,2,FALSE)</f>
        <v>Recreation and amusement</v>
      </c>
    </row>
    <row r="5402" spans="1:7" x14ac:dyDescent="0.3">
      <c r="A5402" t="s">
        <v>33</v>
      </c>
      <c r="B5402">
        <v>2018</v>
      </c>
      <c r="C5402" t="s">
        <v>41</v>
      </c>
      <c r="D5402" s="2">
        <v>43313</v>
      </c>
      <c r="E5402" t="s">
        <v>17</v>
      </c>
      <c r="F5402">
        <v>140</v>
      </c>
      <c r="G5402" t="str">
        <f>VLOOKUP(Table1_2[[#This Row],[Categories]],Sheet3!$A$1:$B$27,2,FALSE)</f>
        <v>Clothing and footwear</v>
      </c>
    </row>
    <row r="5403" spans="1:7" x14ac:dyDescent="0.3">
      <c r="A5403" t="s">
        <v>33</v>
      </c>
      <c r="B5403">
        <v>2018</v>
      </c>
      <c r="C5403" t="s">
        <v>41</v>
      </c>
      <c r="D5403" s="2">
        <v>43313</v>
      </c>
      <c r="E5403" t="s">
        <v>18</v>
      </c>
      <c r="F5403">
        <v>129</v>
      </c>
      <c r="G5403" t="str">
        <f>VLOOKUP(Table1_2[[#This Row],[Categories]],Sheet3!$A$1:$B$27,2,FALSE)</f>
        <v>Clothing and footwear</v>
      </c>
    </row>
    <row r="5404" spans="1:7" x14ac:dyDescent="0.3">
      <c r="A5404" t="s">
        <v>33</v>
      </c>
      <c r="B5404">
        <v>2018</v>
      </c>
      <c r="C5404" t="s">
        <v>41</v>
      </c>
      <c r="D5404" s="2">
        <v>43313</v>
      </c>
      <c r="E5404" t="s">
        <v>19</v>
      </c>
      <c r="F5404">
        <v>138.30000000000001</v>
      </c>
      <c r="G5404" t="str">
        <f>VLOOKUP(Table1_2[[#This Row],[Categories]],Sheet3!$A$1:$B$27,2,FALSE)</f>
        <v>Clothing and footwear</v>
      </c>
    </row>
    <row r="5405" spans="1:7" x14ac:dyDescent="0.3">
      <c r="A5405" t="s">
        <v>33</v>
      </c>
      <c r="B5405">
        <v>2018</v>
      </c>
      <c r="C5405" t="s">
        <v>41</v>
      </c>
      <c r="D5405" s="2">
        <v>43313</v>
      </c>
      <c r="E5405" t="s">
        <v>20</v>
      </c>
      <c r="F5405">
        <v>144.6</v>
      </c>
      <c r="G5405" t="str">
        <f>VLOOKUP(Table1_2[[#This Row],[Categories]],Sheet3!$A$1:$B$27,2,FALSE)</f>
        <v>Housing</v>
      </c>
    </row>
    <row r="5406" spans="1:7" x14ac:dyDescent="0.3">
      <c r="A5406" t="s">
        <v>33</v>
      </c>
      <c r="B5406">
        <v>2018</v>
      </c>
      <c r="C5406" t="s">
        <v>41</v>
      </c>
      <c r="D5406" s="2">
        <v>43313</v>
      </c>
      <c r="E5406" t="s">
        <v>21</v>
      </c>
      <c r="F5406">
        <v>129.80000000000001</v>
      </c>
      <c r="G5406" t="str">
        <f>VLOOKUP(Table1_2[[#This Row],[Categories]],Sheet3!$A$1:$B$27,2,FALSE)</f>
        <v>Fuel and light</v>
      </c>
    </row>
    <row r="5407" spans="1:7" x14ac:dyDescent="0.3">
      <c r="A5407" t="s">
        <v>33</v>
      </c>
      <c r="B5407">
        <v>2018</v>
      </c>
      <c r="C5407" t="s">
        <v>41</v>
      </c>
      <c r="D5407" s="2">
        <v>43313</v>
      </c>
      <c r="E5407" t="s">
        <v>22</v>
      </c>
      <c r="F5407">
        <v>134.4</v>
      </c>
      <c r="G5407" t="str">
        <f>VLOOKUP(Table1_2[[#This Row],[Categories]],Sheet3!$A$1:$B$27,2,FALSE)</f>
        <v>Household Items</v>
      </c>
    </row>
    <row r="5408" spans="1:7" x14ac:dyDescent="0.3">
      <c r="A5408" t="s">
        <v>33</v>
      </c>
      <c r="B5408">
        <v>2018</v>
      </c>
      <c r="C5408" t="s">
        <v>41</v>
      </c>
      <c r="D5408" s="2">
        <v>43313</v>
      </c>
      <c r="E5408" t="s">
        <v>23</v>
      </c>
      <c r="F5408">
        <v>134.9</v>
      </c>
      <c r="G5408" t="str">
        <f>VLOOKUP(Table1_2[[#This Row],[Categories]],Sheet3!$A$1:$B$27,2,FALSE)</f>
        <v>Health</v>
      </c>
    </row>
    <row r="5409" spans="1:7" x14ac:dyDescent="0.3">
      <c r="A5409" t="s">
        <v>33</v>
      </c>
      <c r="B5409">
        <v>2018</v>
      </c>
      <c r="C5409" t="s">
        <v>41</v>
      </c>
      <c r="D5409" s="2">
        <v>43313</v>
      </c>
      <c r="E5409" t="s">
        <v>24</v>
      </c>
      <c r="F5409">
        <v>120.7</v>
      </c>
      <c r="G5409" t="str">
        <f>VLOOKUP(Table1_2[[#This Row],[Categories]],Sheet3!$A$1:$B$27,2,FALSE)</f>
        <v>Transport and communication</v>
      </c>
    </row>
    <row r="5410" spans="1:7" x14ac:dyDescent="0.3">
      <c r="A5410" t="s">
        <v>33</v>
      </c>
      <c r="B5410">
        <v>2018</v>
      </c>
      <c r="C5410" t="s">
        <v>41</v>
      </c>
      <c r="D5410" s="2">
        <v>43313</v>
      </c>
      <c r="E5410" t="s">
        <v>25</v>
      </c>
      <c r="F5410">
        <v>129.80000000000001</v>
      </c>
      <c r="G5410" t="str">
        <f>VLOOKUP(Table1_2[[#This Row],[Categories]],Sheet3!$A$1:$B$27,2,FALSE)</f>
        <v>Recreation and amusement</v>
      </c>
    </row>
    <row r="5411" spans="1:7" x14ac:dyDescent="0.3">
      <c r="A5411" t="s">
        <v>33</v>
      </c>
      <c r="B5411">
        <v>2018</v>
      </c>
      <c r="C5411" t="s">
        <v>41</v>
      </c>
      <c r="D5411" s="2">
        <v>43313</v>
      </c>
      <c r="E5411" t="s">
        <v>26</v>
      </c>
      <c r="F5411">
        <v>145.30000000000001</v>
      </c>
      <c r="G5411" t="str">
        <f>VLOOKUP(Table1_2[[#This Row],[Categories]],Sheet3!$A$1:$B$27,2,FALSE)</f>
        <v>Education</v>
      </c>
    </row>
    <row r="5412" spans="1:7" x14ac:dyDescent="0.3">
      <c r="A5412" t="s">
        <v>33</v>
      </c>
      <c r="B5412">
        <v>2018</v>
      </c>
      <c r="C5412" t="s">
        <v>41</v>
      </c>
      <c r="D5412" s="2">
        <v>43313</v>
      </c>
      <c r="E5412" t="s">
        <v>27</v>
      </c>
      <c r="F5412">
        <v>128.30000000000001</v>
      </c>
      <c r="G5412" t="str">
        <f>VLOOKUP(Table1_2[[#This Row],[Categories]],Sheet3!$A$1:$B$27,2,FALSE)</f>
        <v>Household Items</v>
      </c>
    </row>
    <row r="5413" spans="1:7" x14ac:dyDescent="0.3">
      <c r="A5413" t="s">
        <v>33</v>
      </c>
      <c r="B5413">
        <v>2018</v>
      </c>
      <c r="C5413" t="s">
        <v>41</v>
      </c>
      <c r="D5413" s="2">
        <v>43313</v>
      </c>
      <c r="E5413" t="s">
        <v>28</v>
      </c>
      <c r="F5413">
        <v>131</v>
      </c>
      <c r="G5413" t="str">
        <f>VLOOKUP(Table1_2[[#This Row],[Categories]],Sheet3!$A$1:$B$27,2,FALSE)</f>
        <v>Miscellaneous</v>
      </c>
    </row>
    <row r="5414" spans="1:7" x14ac:dyDescent="0.3">
      <c r="A5414" t="s">
        <v>33</v>
      </c>
      <c r="B5414">
        <v>2018</v>
      </c>
      <c r="C5414" t="s">
        <v>41</v>
      </c>
      <c r="D5414" s="2">
        <v>43313</v>
      </c>
      <c r="E5414" t="s">
        <v>29</v>
      </c>
      <c r="F5414">
        <v>138</v>
      </c>
      <c r="G5414" t="str">
        <f>VLOOKUP(Table1_2[[#This Row],[Categories]],Sheet3!$A$1:$B$27,2,FALSE)</f>
        <v>General index</v>
      </c>
    </row>
    <row r="5415" spans="1:7" x14ac:dyDescent="0.3">
      <c r="A5415" t="s">
        <v>34</v>
      </c>
      <c r="B5415">
        <v>2018</v>
      </c>
      <c r="C5415" t="s">
        <v>41</v>
      </c>
      <c r="D5415" s="2">
        <v>43313</v>
      </c>
      <c r="E5415" t="s">
        <v>3</v>
      </c>
      <c r="F5415">
        <v>138.30000000000001</v>
      </c>
      <c r="G5415" t="str">
        <f>VLOOKUP(Table1_2[[#This Row],[Categories]],Sheet3!$A$1:$B$27,2,FALSE)</f>
        <v>Food &amp;Beverage</v>
      </c>
    </row>
    <row r="5416" spans="1:7" x14ac:dyDescent="0.3">
      <c r="A5416" t="s">
        <v>34</v>
      </c>
      <c r="B5416">
        <v>2018</v>
      </c>
      <c r="C5416" t="s">
        <v>41</v>
      </c>
      <c r="D5416" s="2">
        <v>43313</v>
      </c>
      <c r="E5416" t="s">
        <v>4</v>
      </c>
      <c r="F5416">
        <v>148</v>
      </c>
      <c r="G5416" t="str">
        <f>VLOOKUP(Table1_2[[#This Row],[Categories]],Sheet3!$A$1:$B$27,2,FALSE)</f>
        <v>Food &amp;Beverage</v>
      </c>
    </row>
    <row r="5417" spans="1:7" x14ac:dyDescent="0.3">
      <c r="A5417" t="s">
        <v>34</v>
      </c>
      <c r="B5417">
        <v>2018</v>
      </c>
      <c r="C5417" t="s">
        <v>41</v>
      </c>
      <c r="D5417" s="2">
        <v>43313</v>
      </c>
      <c r="E5417" t="s">
        <v>5</v>
      </c>
      <c r="F5417">
        <v>138.1</v>
      </c>
      <c r="G5417" t="str">
        <f>VLOOKUP(Table1_2[[#This Row],[Categories]],Sheet3!$A$1:$B$27,2,FALSE)</f>
        <v>Food &amp;Beverage</v>
      </c>
    </row>
    <row r="5418" spans="1:7" x14ac:dyDescent="0.3">
      <c r="A5418" t="s">
        <v>34</v>
      </c>
      <c r="B5418">
        <v>2018</v>
      </c>
      <c r="C5418" t="s">
        <v>41</v>
      </c>
      <c r="D5418" s="2">
        <v>43313</v>
      </c>
      <c r="E5418" t="s">
        <v>6</v>
      </c>
      <c r="F5418">
        <v>142.6</v>
      </c>
      <c r="G5418" t="str">
        <f>VLOOKUP(Table1_2[[#This Row],[Categories]],Sheet3!$A$1:$B$27,2,FALSE)</f>
        <v>Food &amp;Beverage</v>
      </c>
    </row>
    <row r="5419" spans="1:7" x14ac:dyDescent="0.3">
      <c r="A5419" t="s">
        <v>34</v>
      </c>
      <c r="B5419">
        <v>2018</v>
      </c>
      <c r="C5419" t="s">
        <v>41</v>
      </c>
      <c r="D5419" s="2">
        <v>43313</v>
      </c>
      <c r="E5419" t="s">
        <v>7</v>
      </c>
      <c r="F5419">
        <v>122.2</v>
      </c>
      <c r="G5419" t="str">
        <f>VLOOKUP(Table1_2[[#This Row],[Categories]],Sheet3!$A$1:$B$27,2,FALSE)</f>
        <v>Food &amp;Beverage</v>
      </c>
    </row>
    <row r="5420" spans="1:7" x14ac:dyDescent="0.3">
      <c r="A5420" t="s">
        <v>34</v>
      </c>
      <c r="B5420">
        <v>2018</v>
      </c>
      <c r="C5420" t="s">
        <v>41</v>
      </c>
      <c r="D5420" s="2">
        <v>43313</v>
      </c>
      <c r="E5420" t="s">
        <v>8</v>
      </c>
      <c r="F5420">
        <v>150.6</v>
      </c>
      <c r="G5420" t="str">
        <f>VLOOKUP(Table1_2[[#This Row],[Categories]],Sheet3!$A$1:$B$27,2,FALSE)</f>
        <v>Food &amp;Beverage</v>
      </c>
    </row>
    <row r="5421" spans="1:7" x14ac:dyDescent="0.3">
      <c r="A5421" t="s">
        <v>34</v>
      </c>
      <c r="B5421">
        <v>2018</v>
      </c>
      <c r="C5421" t="s">
        <v>41</v>
      </c>
      <c r="D5421" s="2">
        <v>43313</v>
      </c>
      <c r="E5421" t="s">
        <v>9</v>
      </c>
      <c r="F5421">
        <v>156.6</v>
      </c>
      <c r="G5421" t="str">
        <f>VLOOKUP(Table1_2[[#This Row],[Categories]],Sheet3!$A$1:$B$27,2,FALSE)</f>
        <v>Food &amp;Beverage</v>
      </c>
    </row>
    <row r="5422" spans="1:7" x14ac:dyDescent="0.3">
      <c r="A5422" t="s">
        <v>34</v>
      </c>
      <c r="B5422">
        <v>2018</v>
      </c>
      <c r="C5422" t="s">
        <v>41</v>
      </c>
      <c r="D5422" s="2">
        <v>43313</v>
      </c>
      <c r="E5422" t="s">
        <v>10</v>
      </c>
      <c r="F5422">
        <v>122.4</v>
      </c>
      <c r="G5422" t="str">
        <f>VLOOKUP(Table1_2[[#This Row],[Categories]],Sheet3!$A$1:$B$27,2,FALSE)</f>
        <v>Food &amp;Beverage</v>
      </c>
    </row>
    <row r="5423" spans="1:7" x14ac:dyDescent="0.3">
      <c r="A5423" t="s">
        <v>34</v>
      </c>
      <c r="B5423">
        <v>2018</v>
      </c>
      <c r="C5423" t="s">
        <v>41</v>
      </c>
      <c r="D5423" s="2">
        <v>43313</v>
      </c>
      <c r="E5423" t="s">
        <v>11</v>
      </c>
      <c r="F5423">
        <v>114.7</v>
      </c>
      <c r="G5423" t="str">
        <f>VLOOKUP(Table1_2[[#This Row],[Categories]],Sheet3!$A$1:$B$27,2,FALSE)</f>
        <v>Food &amp;Beverage</v>
      </c>
    </row>
    <row r="5424" spans="1:7" x14ac:dyDescent="0.3">
      <c r="A5424" t="s">
        <v>34</v>
      </c>
      <c r="B5424">
        <v>2018</v>
      </c>
      <c r="C5424" t="s">
        <v>41</v>
      </c>
      <c r="D5424" s="2">
        <v>43313</v>
      </c>
      <c r="E5424" t="s">
        <v>12</v>
      </c>
      <c r="F5424">
        <v>139.4</v>
      </c>
      <c r="G5424" t="str">
        <f>VLOOKUP(Table1_2[[#This Row],[Categories]],Sheet3!$A$1:$B$27,2,FALSE)</f>
        <v>Food &amp;Beverage</v>
      </c>
    </row>
    <row r="5425" spans="1:7" x14ac:dyDescent="0.3">
      <c r="A5425" t="s">
        <v>34</v>
      </c>
      <c r="B5425">
        <v>2018</v>
      </c>
      <c r="C5425" t="s">
        <v>41</v>
      </c>
      <c r="D5425" s="2">
        <v>43313</v>
      </c>
      <c r="E5425" t="s">
        <v>13</v>
      </c>
      <c r="F5425">
        <v>131.1</v>
      </c>
      <c r="G5425" t="str">
        <f>VLOOKUP(Table1_2[[#This Row],[Categories]],Sheet3!$A$1:$B$27,2,FALSE)</f>
        <v>Food &amp;Beverage</v>
      </c>
    </row>
    <row r="5426" spans="1:7" x14ac:dyDescent="0.3">
      <c r="A5426" t="s">
        <v>34</v>
      </c>
      <c r="B5426">
        <v>2018</v>
      </c>
      <c r="C5426" t="s">
        <v>41</v>
      </c>
      <c r="D5426" s="2">
        <v>43313</v>
      </c>
      <c r="E5426" t="s">
        <v>14</v>
      </c>
      <c r="F5426">
        <v>153</v>
      </c>
      <c r="G5426" t="str">
        <f>VLOOKUP(Table1_2[[#This Row],[Categories]],Sheet3!$A$1:$B$27,2,FALSE)</f>
        <v>Food &amp;Beverage</v>
      </c>
    </row>
    <row r="5427" spans="1:7" x14ac:dyDescent="0.3">
      <c r="A5427" t="s">
        <v>34</v>
      </c>
      <c r="B5427">
        <v>2018</v>
      </c>
      <c r="C5427" t="s">
        <v>41</v>
      </c>
      <c r="D5427" s="2">
        <v>43313</v>
      </c>
      <c r="E5427" t="s">
        <v>15</v>
      </c>
      <c r="F5427">
        <v>141.69999999999999</v>
      </c>
      <c r="G5427" t="str">
        <f>VLOOKUP(Table1_2[[#This Row],[Categories]],Sheet3!$A$1:$B$27,2,FALSE)</f>
        <v>Food &amp;Beverage</v>
      </c>
    </row>
    <row r="5428" spans="1:7" x14ac:dyDescent="0.3">
      <c r="A5428" t="s">
        <v>34</v>
      </c>
      <c r="B5428">
        <v>2018</v>
      </c>
      <c r="C5428" t="s">
        <v>41</v>
      </c>
      <c r="D5428" s="2">
        <v>43313</v>
      </c>
      <c r="E5428" t="s">
        <v>16</v>
      </c>
      <c r="F5428">
        <v>157.9</v>
      </c>
      <c r="G5428" t="str">
        <f>VLOOKUP(Table1_2[[#This Row],[Categories]],Sheet3!$A$1:$B$27,2,FALSE)</f>
        <v>Recreation and amusement</v>
      </c>
    </row>
    <row r="5429" spans="1:7" x14ac:dyDescent="0.3">
      <c r="A5429" t="s">
        <v>34</v>
      </c>
      <c r="B5429">
        <v>2018</v>
      </c>
      <c r="C5429" t="s">
        <v>41</v>
      </c>
      <c r="D5429" s="2">
        <v>43313</v>
      </c>
      <c r="E5429" t="s">
        <v>17</v>
      </c>
      <c r="F5429">
        <v>147.30000000000001</v>
      </c>
      <c r="G5429" t="str">
        <f>VLOOKUP(Table1_2[[#This Row],[Categories]],Sheet3!$A$1:$B$27,2,FALSE)</f>
        <v>Clothing and footwear</v>
      </c>
    </row>
    <row r="5430" spans="1:7" x14ac:dyDescent="0.3">
      <c r="A5430" t="s">
        <v>34</v>
      </c>
      <c r="B5430">
        <v>2018</v>
      </c>
      <c r="C5430" t="s">
        <v>41</v>
      </c>
      <c r="D5430" s="2">
        <v>43313</v>
      </c>
      <c r="E5430" t="s">
        <v>18</v>
      </c>
      <c r="F5430">
        <v>138.80000000000001</v>
      </c>
      <c r="G5430" t="str">
        <f>VLOOKUP(Table1_2[[#This Row],[Categories]],Sheet3!$A$1:$B$27,2,FALSE)</f>
        <v>Clothing and footwear</v>
      </c>
    </row>
    <row r="5431" spans="1:7" x14ac:dyDescent="0.3">
      <c r="A5431" t="s">
        <v>34</v>
      </c>
      <c r="B5431">
        <v>2018</v>
      </c>
      <c r="C5431" t="s">
        <v>41</v>
      </c>
      <c r="D5431" s="2">
        <v>43313</v>
      </c>
      <c r="E5431" t="s">
        <v>19</v>
      </c>
      <c r="F5431">
        <v>146.1</v>
      </c>
      <c r="G5431" t="str">
        <f>VLOOKUP(Table1_2[[#This Row],[Categories]],Sheet3!$A$1:$B$27,2,FALSE)</f>
        <v>Clothing and footwear</v>
      </c>
    </row>
    <row r="5432" spans="1:7" x14ac:dyDescent="0.3">
      <c r="A5432" t="s">
        <v>34</v>
      </c>
      <c r="B5432">
        <v>2018</v>
      </c>
      <c r="C5432" t="s">
        <v>41</v>
      </c>
      <c r="D5432" s="2">
        <v>43313</v>
      </c>
      <c r="E5432" t="s">
        <v>20</v>
      </c>
      <c r="F5432">
        <v>144.6</v>
      </c>
      <c r="G5432" t="str">
        <f>VLOOKUP(Table1_2[[#This Row],[Categories]],Sheet3!$A$1:$B$27,2,FALSE)</f>
        <v>Housing</v>
      </c>
    </row>
    <row r="5433" spans="1:7" x14ac:dyDescent="0.3">
      <c r="A5433" t="s">
        <v>34</v>
      </c>
      <c r="B5433">
        <v>2018</v>
      </c>
      <c r="C5433" t="s">
        <v>41</v>
      </c>
      <c r="D5433" s="2">
        <v>43313</v>
      </c>
      <c r="E5433" t="s">
        <v>21</v>
      </c>
      <c r="F5433">
        <v>140.9</v>
      </c>
      <c r="G5433" t="str">
        <f>VLOOKUP(Table1_2[[#This Row],[Categories]],Sheet3!$A$1:$B$27,2,FALSE)</f>
        <v>Fuel and light</v>
      </c>
    </row>
    <row r="5434" spans="1:7" x14ac:dyDescent="0.3">
      <c r="A5434" t="s">
        <v>34</v>
      </c>
      <c r="B5434">
        <v>2018</v>
      </c>
      <c r="C5434" t="s">
        <v>41</v>
      </c>
      <c r="D5434" s="2">
        <v>43313</v>
      </c>
      <c r="E5434" t="s">
        <v>22</v>
      </c>
      <c r="F5434">
        <v>139.4</v>
      </c>
      <c r="G5434" t="str">
        <f>VLOOKUP(Table1_2[[#This Row],[Categories]],Sheet3!$A$1:$B$27,2,FALSE)</f>
        <v>Household Items</v>
      </c>
    </row>
    <row r="5435" spans="1:7" x14ac:dyDescent="0.3">
      <c r="A5435" t="s">
        <v>34</v>
      </c>
      <c r="B5435">
        <v>2018</v>
      </c>
      <c r="C5435" t="s">
        <v>41</v>
      </c>
      <c r="D5435" s="2">
        <v>43313</v>
      </c>
      <c r="E5435" t="s">
        <v>23</v>
      </c>
      <c r="F5435">
        <v>137.69999999999999</v>
      </c>
      <c r="G5435" t="str">
        <f>VLOOKUP(Table1_2[[#This Row],[Categories]],Sheet3!$A$1:$B$27,2,FALSE)</f>
        <v>Health</v>
      </c>
    </row>
    <row r="5436" spans="1:7" x14ac:dyDescent="0.3">
      <c r="A5436" t="s">
        <v>34</v>
      </c>
      <c r="B5436">
        <v>2018</v>
      </c>
      <c r="C5436" t="s">
        <v>41</v>
      </c>
      <c r="D5436" s="2">
        <v>43313</v>
      </c>
      <c r="E5436" t="s">
        <v>24</v>
      </c>
      <c r="F5436">
        <v>124.3</v>
      </c>
      <c r="G5436" t="str">
        <f>VLOOKUP(Table1_2[[#This Row],[Categories]],Sheet3!$A$1:$B$27,2,FALSE)</f>
        <v>Transport and communication</v>
      </c>
    </row>
    <row r="5437" spans="1:7" x14ac:dyDescent="0.3">
      <c r="A5437" t="s">
        <v>34</v>
      </c>
      <c r="B5437">
        <v>2018</v>
      </c>
      <c r="C5437" t="s">
        <v>41</v>
      </c>
      <c r="D5437" s="2">
        <v>43313</v>
      </c>
      <c r="E5437" t="s">
        <v>25</v>
      </c>
      <c r="F5437">
        <v>133.6</v>
      </c>
      <c r="G5437" t="str">
        <f>VLOOKUP(Table1_2[[#This Row],[Categories]],Sheet3!$A$1:$B$27,2,FALSE)</f>
        <v>Recreation and amusement</v>
      </c>
    </row>
    <row r="5438" spans="1:7" x14ac:dyDescent="0.3">
      <c r="A5438" t="s">
        <v>34</v>
      </c>
      <c r="B5438">
        <v>2018</v>
      </c>
      <c r="C5438" t="s">
        <v>41</v>
      </c>
      <c r="D5438" s="2">
        <v>43313</v>
      </c>
      <c r="E5438" t="s">
        <v>26</v>
      </c>
      <c r="F5438">
        <v>146</v>
      </c>
      <c r="G5438" t="str">
        <f>VLOOKUP(Table1_2[[#This Row],[Categories]],Sheet3!$A$1:$B$27,2,FALSE)</f>
        <v>Education</v>
      </c>
    </row>
    <row r="5439" spans="1:7" x14ac:dyDescent="0.3">
      <c r="A5439" t="s">
        <v>34</v>
      </c>
      <c r="B5439">
        <v>2018</v>
      </c>
      <c r="C5439" t="s">
        <v>41</v>
      </c>
      <c r="D5439" s="2">
        <v>43313</v>
      </c>
      <c r="E5439" t="s">
        <v>27</v>
      </c>
      <c r="F5439">
        <v>130.1</v>
      </c>
      <c r="G5439" t="str">
        <f>VLOOKUP(Table1_2[[#This Row],[Categories]],Sheet3!$A$1:$B$27,2,FALSE)</f>
        <v>Household Items</v>
      </c>
    </row>
    <row r="5440" spans="1:7" x14ac:dyDescent="0.3">
      <c r="A5440" t="s">
        <v>34</v>
      </c>
      <c r="B5440">
        <v>2018</v>
      </c>
      <c r="C5440" t="s">
        <v>41</v>
      </c>
      <c r="D5440" s="2">
        <v>43313</v>
      </c>
      <c r="E5440" t="s">
        <v>28</v>
      </c>
      <c r="F5440">
        <v>133.9</v>
      </c>
      <c r="G5440" t="str">
        <f>VLOOKUP(Table1_2[[#This Row],[Categories]],Sheet3!$A$1:$B$27,2,FALSE)</f>
        <v>Miscellaneous</v>
      </c>
    </row>
    <row r="5441" spans="1:7" x14ac:dyDescent="0.3">
      <c r="A5441" t="s">
        <v>34</v>
      </c>
      <c r="B5441">
        <v>2018</v>
      </c>
      <c r="C5441" t="s">
        <v>41</v>
      </c>
      <c r="D5441" s="2">
        <v>43313</v>
      </c>
      <c r="E5441" t="s">
        <v>29</v>
      </c>
      <c r="F5441">
        <v>140.4</v>
      </c>
      <c r="G5441" t="str">
        <f>VLOOKUP(Table1_2[[#This Row],[Categories]],Sheet3!$A$1:$B$27,2,FALSE)</f>
        <v>General index</v>
      </c>
    </row>
    <row r="5442" spans="1:7" x14ac:dyDescent="0.3">
      <c r="A5442" t="s">
        <v>30</v>
      </c>
      <c r="B5442">
        <v>2018</v>
      </c>
      <c r="C5442" t="s">
        <v>42</v>
      </c>
      <c r="D5442" s="2">
        <v>43344</v>
      </c>
      <c r="E5442" t="s">
        <v>3</v>
      </c>
      <c r="F5442">
        <v>139.4</v>
      </c>
      <c r="G5442" t="str">
        <f>VLOOKUP(Table1_2[[#This Row],[Categories]],Sheet3!$A$1:$B$27,2,FALSE)</f>
        <v>Food &amp;Beverage</v>
      </c>
    </row>
    <row r="5443" spans="1:7" x14ac:dyDescent="0.3">
      <c r="A5443" t="s">
        <v>30</v>
      </c>
      <c r="B5443">
        <v>2018</v>
      </c>
      <c r="C5443" t="s">
        <v>42</v>
      </c>
      <c r="D5443" s="2">
        <v>43344</v>
      </c>
      <c r="E5443" t="s">
        <v>4</v>
      </c>
      <c r="F5443">
        <v>147.19999999999999</v>
      </c>
      <c r="G5443" t="str">
        <f>VLOOKUP(Table1_2[[#This Row],[Categories]],Sheet3!$A$1:$B$27,2,FALSE)</f>
        <v>Food &amp;Beverage</v>
      </c>
    </row>
    <row r="5444" spans="1:7" x14ac:dyDescent="0.3">
      <c r="A5444" t="s">
        <v>30</v>
      </c>
      <c r="B5444">
        <v>2018</v>
      </c>
      <c r="C5444" t="s">
        <v>42</v>
      </c>
      <c r="D5444" s="2">
        <v>43344</v>
      </c>
      <c r="E5444" t="s">
        <v>5</v>
      </c>
      <c r="F5444">
        <v>136.6</v>
      </c>
      <c r="G5444" t="str">
        <f>VLOOKUP(Table1_2[[#This Row],[Categories]],Sheet3!$A$1:$B$27,2,FALSE)</f>
        <v>Food &amp;Beverage</v>
      </c>
    </row>
    <row r="5445" spans="1:7" x14ac:dyDescent="0.3">
      <c r="A5445" t="s">
        <v>30</v>
      </c>
      <c r="B5445">
        <v>2018</v>
      </c>
      <c r="C5445" t="s">
        <v>42</v>
      </c>
      <c r="D5445" s="2">
        <v>43344</v>
      </c>
      <c r="E5445" t="s">
        <v>6</v>
      </c>
      <c r="F5445">
        <v>143.69999999999999</v>
      </c>
      <c r="G5445" t="str">
        <f>VLOOKUP(Table1_2[[#This Row],[Categories]],Sheet3!$A$1:$B$27,2,FALSE)</f>
        <v>Food &amp;Beverage</v>
      </c>
    </row>
    <row r="5446" spans="1:7" x14ac:dyDescent="0.3">
      <c r="A5446" t="s">
        <v>30</v>
      </c>
      <c r="B5446">
        <v>2018</v>
      </c>
      <c r="C5446" t="s">
        <v>42</v>
      </c>
      <c r="D5446" s="2">
        <v>43344</v>
      </c>
      <c r="E5446" t="s">
        <v>7</v>
      </c>
      <c r="F5446">
        <v>124.6</v>
      </c>
      <c r="G5446" t="str">
        <f>VLOOKUP(Table1_2[[#This Row],[Categories]],Sheet3!$A$1:$B$27,2,FALSE)</f>
        <v>Food &amp;Beverage</v>
      </c>
    </row>
    <row r="5447" spans="1:7" x14ac:dyDescent="0.3">
      <c r="A5447" t="s">
        <v>30</v>
      </c>
      <c r="B5447">
        <v>2018</v>
      </c>
      <c r="C5447" t="s">
        <v>42</v>
      </c>
      <c r="D5447" s="2">
        <v>43344</v>
      </c>
      <c r="E5447" t="s">
        <v>8</v>
      </c>
      <c r="F5447">
        <v>150.1</v>
      </c>
      <c r="G5447" t="str">
        <f>VLOOKUP(Table1_2[[#This Row],[Categories]],Sheet3!$A$1:$B$27,2,FALSE)</f>
        <v>Food &amp;Beverage</v>
      </c>
    </row>
    <row r="5448" spans="1:7" x14ac:dyDescent="0.3">
      <c r="A5448" t="s">
        <v>30</v>
      </c>
      <c r="B5448">
        <v>2018</v>
      </c>
      <c r="C5448" t="s">
        <v>42</v>
      </c>
      <c r="D5448" s="2">
        <v>43344</v>
      </c>
      <c r="E5448" t="s">
        <v>9</v>
      </c>
      <c r="F5448">
        <v>149.4</v>
      </c>
      <c r="G5448" t="str">
        <f>VLOOKUP(Table1_2[[#This Row],[Categories]],Sheet3!$A$1:$B$27,2,FALSE)</f>
        <v>Food &amp;Beverage</v>
      </c>
    </row>
    <row r="5449" spans="1:7" x14ac:dyDescent="0.3">
      <c r="A5449" t="s">
        <v>30</v>
      </c>
      <c r="B5449">
        <v>2018</v>
      </c>
      <c r="C5449" t="s">
        <v>42</v>
      </c>
      <c r="D5449" s="2">
        <v>43344</v>
      </c>
      <c r="E5449" t="s">
        <v>10</v>
      </c>
      <c r="F5449">
        <v>125.4</v>
      </c>
      <c r="G5449" t="str">
        <f>VLOOKUP(Table1_2[[#This Row],[Categories]],Sheet3!$A$1:$B$27,2,FALSE)</f>
        <v>Food &amp;Beverage</v>
      </c>
    </row>
    <row r="5450" spans="1:7" x14ac:dyDescent="0.3">
      <c r="A5450" t="s">
        <v>30</v>
      </c>
      <c r="B5450">
        <v>2018</v>
      </c>
      <c r="C5450" t="s">
        <v>42</v>
      </c>
      <c r="D5450" s="2">
        <v>43344</v>
      </c>
      <c r="E5450" t="s">
        <v>11</v>
      </c>
      <c r="F5450">
        <v>114.4</v>
      </c>
      <c r="G5450" t="str">
        <f>VLOOKUP(Table1_2[[#This Row],[Categories]],Sheet3!$A$1:$B$27,2,FALSE)</f>
        <v>Food &amp;Beverage</v>
      </c>
    </row>
    <row r="5451" spans="1:7" x14ac:dyDescent="0.3">
      <c r="A5451" t="s">
        <v>30</v>
      </c>
      <c r="B5451">
        <v>2018</v>
      </c>
      <c r="C5451" t="s">
        <v>42</v>
      </c>
      <c r="D5451" s="2">
        <v>43344</v>
      </c>
      <c r="E5451" t="s">
        <v>12</v>
      </c>
      <c r="F5451">
        <v>138.69999999999999</v>
      </c>
      <c r="G5451" t="str">
        <f>VLOOKUP(Table1_2[[#This Row],[Categories]],Sheet3!$A$1:$B$27,2,FALSE)</f>
        <v>Food &amp;Beverage</v>
      </c>
    </row>
    <row r="5452" spans="1:7" x14ac:dyDescent="0.3">
      <c r="A5452" t="s">
        <v>30</v>
      </c>
      <c r="B5452">
        <v>2018</v>
      </c>
      <c r="C5452" t="s">
        <v>42</v>
      </c>
      <c r="D5452" s="2">
        <v>43344</v>
      </c>
      <c r="E5452" t="s">
        <v>13</v>
      </c>
      <c r="F5452">
        <v>133.1</v>
      </c>
      <c r="G5452" t="str">
        <f>VLOOKUP(Table1_2[[#This Row],[Categories]],Sheet3!$A$1:$B$27,2,FALSE)</f>
        <v>Food &amp;Beverage</v>
      </c>
    </row>
    <row r="5453" spans="1:7" x14ac:dyDescent="0.3">
      <c r="A5453" t="s">
        <v>30</v>
      </c>
      <c r="B5453">
        <v>2018</v>
      </c>
      <c r="C5453" t="s">
        <v>42</v>
      </c>
      <c r="D5453" s="2">
        <v>43344</v>
      </c>
      <c r="E5453" t="s">
        <v>14</v>
      </c>
      <c r="F5453">
        <v>155.9</v>
      </c>
      <c r="G5453" t="str">
        <f>VLOOKUP(Table1_2[[#This Row],[Categories]],Sheet3!$A$1:$B$27,2,FALSE)</f>
        <v>Food &amp;Beverage</v>
      </c>
    </row>
    <row r="5454" spans="1:7" x14ac:dyDescent="0.3">
      <c r="A5454" t="s">
        <v>30</v>
      </c>
      <c r="B5454">
        <v>2018</v>
      </c>
      <c r="C5454" t="s">
        <v>42</v>
      </c>
      <c r="D5454" s="2">
        <v>43344</v>
      </c>
      <c r="E5454" t="s">
        <v>15</v>
      </c>
      <c r="F5454">
        <v>141.30000000000001</v>
      </c>
      <c r="G5454" t="str">
        <f>VLOOKUP(Table1_2[[#This Row],[Categories]],Sheet3!$A$1:$B$27,2,FALSE)</f>
        <v>Food &amp;Beverage</v>
      </c>
    </row>
    <row r="5455" spans="1:7" x14ac:dyDescent="0.3">
      <c r="A5455" t="s">
        <v>30</v>
      </c>
      <c r="B5455">
        <v>2018</v>
      </c>
      <c r="C5455" t="s">
        <v>42</v>
      </c>
      <c r="D5455" s="2">
        <v>43344</v>
      </c>
      <c r="E5455" t="s">
        <v>16</v>
      </c>
      <c r="F5455">
        <v>157.69999999999999</v>
      </c>
      <c r="G5455" t="str">
        <f>VLOOKUP(Table1_2[[#This Row],[Categories]],Sheet3!$A$1:$B$27,2,FALSE)</f>
        <v>Recreation and amusement</v>
      </c>
    </row>
    <row r="5456" spans="1:7" x14ac:dyDescent="0.3">
      <c r="A5456" t="s">
        <v>30</v>
      </c>
      <c r="B5456">
        <v>2018</v>
      </c>
      <c r="C5456" t="s">
        <v>42</v>
      </c>
      <c r="D5456" s="2">
        <v>43344</v>
      </c>
      <c r="E5456" t="s">
        <v>17</v>
      </c>
      <c r="F5456">
        <v>152.1</v>
      </c>
      <c r="G5456" t="str">
        <f>VLOOKUP(Table1_2[[#This Row],[Categories]],Sheet3!$A$1:$B$27,2,FALSE)</f>
        <v>Clothing and footwear</v>
      </c>
    </row>
    <row r="5457" spans="1:7" x14ac:dyDescent="0.3">
      <c r="A5457" t="s">
        <v>30</v>
      </c>
      <c r="B5457">
        <v>2018</v>
      </c>
      <c r="C5457" t="s">
        <v>42</v>
      </c>
      <c r="D5457" s="2">
        <v>43344</v>
      </c>
      <c r="E5457" t="s">
        <v>18</v>
      </c>
      <c r="F5457">
        <v>146.1</v>
      </c>
      <c r="G5457" t="str">
        <f>VLOOKUP(Table1_2[[#This Row],[Categories]],Sheet3!$A$1:$B$27,2,FALSE)</f>
        <v>Clothing and footwear</v>
      </c>
    </row>
    <row r="5458" spans="1:7" x14ac:dyDescent="0.3">
      <c r="A5458" t="s">
        <v>30</v>
      </c>
      <c r="B5458">
        <v>2018</v>
      </c>
      <c r="C5458" t="s">
        <v>42</v>
      </c>
      <c r="D5458" s="2">
        <v>43344</v>
      </c>
      <c r="E5458" t="s">
        <v>19</v>
      </c>
      <c r="F5458">
        <v>151.30000000000001</v>
      </c>
      <c r="G5458" t="str">
        <f>VLOOKUP(Table1_2[[#This Row],[Categories]],Sheet3!$A$1:$B$27,2,FALSE)</f>
        <v>Clothing and footwear</v>
      </c>
    </row>
    <row r="5459" spans="1:7" x14ac:dyDescent="0.3">
      <c r="A5459" t="s">
        <v>30</v>
      </c>
      <c r="B5459">
        <v>2018</v>
      </c>
      <c r="C5459" t="s">
        <v>42</v>
      </c>
      <c r="D5459" s="2">
        <v>43344</v>
      </c>
      <c r="E5459" t="s">
        <v>21</v>
      </c>
      <c r="F5459">
        <v>149</v>
      </c>
      <c r="G5459" t="str">
        <f>VLOOKUP(Table1_2[[#This Row],[Categories]],Sheet3!$A$1:$B$27,2,FALSE)</f>
        <v>Fuel and light</v>
      </c>
    </row>
    <row r="5460" spans="1:7" x14ac:dyDescent="0.3">
      <c r="A5460" t="s">
        <v>30</v>
      </c>
      <c r="B5460">
        <v>2018</v>
      </c>
      <c r="C5460" t="s">
        <v>42</v>
      </c>
      <c r="D5460" s="2">
        <v>43344</v>
      </c>
      <c r="E5460" t="s">
        <v>22</v>
      </c>
      <c r="F5460">
        <v>144</v>
      </c>
      <c r="G5460" t="str">
        <f>VLOOKUP(Table1_2[[#This Row],[Categories]],Sheet3!$A$1:$B$27,2,FALSE)</f>
        <v>Household Items</v>
      </c>
    </row>
    <row r="5461" spans="1:7" x14ac:dyDescent="0.3">
      <c r="A5461" t="s">
        <v>30</v>
      </c>
      <c r="B5461">
        <v>2018</v>
      </c>
      <c r="C5461" t="s">
        <v>42</v>
      </c>
      <c r="D5461" s="2">
        <v>43344</v>
      </c>
      <c r="E5461" t="s">
        <v>23</v>
      </c>
      <c r="F5461">
        <v>140</v>
      </c>
      <c r="G5461" t="str">
        <f>VLOOKUP(Table1_2[[#This Row],[Categories]],Sheet3!$A$1:$B$27,2,FALSE)</f>
        <v>Health</v>
      </c>
    </row>
    <row r="5462" spans="1:7" x14ac:dyDescent="0.3">
      <c r="A5462" t="s">
        <v>30</v>
      </c>
      <c r="B5462">
        <v>2018</v>
      </c>
      <c r="C5462" t="s">
        <v>42</v>
      </c>
      <c r="D5462" s="2">
        <v>43344</v>
      </c>
      <c r="E5462" t="s">
        <v>24</v>
      </c>
      <c r="F5462">
        <v>129.9</v>
      </c>
      <c r="G5462" t="str">
        <f>VLOOKUP(Table1_2[[#This Row],[Categories]],Sheet3!$A$1:$B$27,2,FALSE)</f>
        <v>Transport and communication</v>
      </c>
    </row>
    <row r="5463" spans="1:7" x14ac:dyDescent="0.3">
      <c r="A5463" t="s">
        <v>30</v>
      </c>
      <c r="B5463">
        <v>2018</v>
      </c>
      <c r="C5463" t="s">
        <v>42</v>
      </c>
      <c r="D5463" s="2">
        <v>43344</v>
      </c>
      <c r="E5463" t="s">
        <v>25</v>
      </c>
      <c r="F5463">
        <v>140</v>
      </c>
      <c r="G5463" t="str">
        <f>VLOOKUP(Table1_2[[#This Row],[Categories]],Sheet3!$A$1:$B$27,2,FALSE)</f>
        <v>Recreation and amusement</v>
      </c>
    </row>
    <row r="5464" spans="1:7" x14ac:dyDescent="0.3">
      <c r="A5464" t="s">
        <v>30</v>
      </c>
      <c r="B5464">
        <v>2018</v>
      </c>
      <c r="C5464" t="s">
        <v>42</v>
      </c>
      <c r="D5464" s="2">
        <v>43344</v>
      </c>
      <c r="E5464" t="s">
        <v>26</v>
      </c>
      <c r="F5464">
        <v>147.6</v>
      </c>
      <c r="G5464" t="str">
        <f>VLOOKUP(Table1_2[[#This Row],[Categories]],Sheet3!$A$1:$B$27,2,FALSE)</f>
        <v>Education</v>
      </c>
    </row>
    <row r="5465" spans="1:7" x14ac:dyDescent="0.3">
      <c r="A5465" t="s">
        <v>30</v>
      </c>
      <c r="B5465">
        <v>2018</v>
      </c>
      <c r="C5465" t="s">
        <v>42</v>
      </c>
      <c r="D5465" s="2">
        <v>43344</v>
      </c>
      <c r="E5465" t="s">
        <v>27</v>
      </c>
      <c r="F5465">
        <v>132</v>
      </c>
      <c r="G5465" t="str">
        <f>VLOOKUP(Table1_2[[#This Row],[Categories]],Sheet3!$A$1:$B$27,2,FALSE)</f>
        <v>Household Items</v>
      </c>
    </row>
    <row r="5466" spans="1:7" x14ac:dyDescent="0.3">
      <c r="A5466" t="s">
        <v>30</v>
      </c>
      <c r="B5466">
        <v>2018</v>
      </c>
      <c r="C5466" t="s">
        <v>42</v>
      </c>
      <c r="D5466" s="2">
        <v>43344</v>
      </c>
      <c r="E5466" t="s">
        <v>28</v>
      </c>
      <c r="F5466">
        <v>137.4</v>
      </c>
      <c r="G5466" t="str">
        <f>VLOOKUP(Table1_2[[#This Row],[Categories]],Sheet3!$A$1:$B$27,2,FALSE)</f>
        <v>Miscellaneous</v>
      </c>
    </row>
    <row r="5467" spans="1:7" x14ac:dyDescent="0.3">
      <c r="A5467" t="s">
        <v>30</v>
      </c>
      <c r="B5467">
        <v>2018</v>
      </c>
      <c r="C5467" t="s">
        <v>42</v>
      </c>
      <c r="D5467" s="2">
        <v>43344</v>
      </c>
      <c r="E5467" t="s">
        <v>29</v>
      </c>
      <c r="F5467">
        <v>142.1</v>
      </c>
      <c r="G5467" t="str">
        <f>VLOOKUP(Table1_2[[#This Row],[Categories]],Sheet3!$A$1:$B$27,2,FALSE)</f>
        <v>General index</v>
      </c>
    </row>
    <row r="5468" spans="1:7" x14ac:dyDescent="0.3">
      <c r="A5468" t="s">
        <v>33</v>
      </c>
      <c r="B5468">
        <v>2018</v>
      </c>
      <c r="C5468" t="s">
        <v>42</v>
      </c>
      <c r="D5468" s="2">
        <v>43344</v>
      </c>
      <c r="E5468" t="s">
        <v>3</v>
      </c>
      <c r="F5468">
        <v>137</v>
      </c>
      <c r="G5468" t="str">
        <f>VLOOKUP(Table1_2[[#This Row],[Categories]],Sheet3!$A$1:$B$27,2,FALSE)</f>
        <v>Food &amp;Beverage</v>
      </c>
    </row>
    <row r="5469" spans="1:7" x14ac:dyDescent="0.3">
      <c r="A5469" t="s">
        <v>33</v>
      </c>
      <c r="B5469">
        <v>2018</v>
      </c>
      <c r="C5469" t="s">
        <v>42</v>
      </c>
      <c r="D5469" s="2">
        <v>43344</v>
      </c>
      <c r="E5469" t="s">
        <v>4</v>
      </c>
      <c r="F5469">
        <v>143.1</v>
      </c>
      <c r="G5469" t="str">
        <f>VLOOKUP(Table1_2[[#This Row],[Categories]],Sheet3!$A$1:$B$27,2,FALSE)</f>
        <v>Food &amp;Beverage</v>
      </c>
    </row>
    <row r="5470" spans="1:7" x14ac:dyDescent="0.3">
      <c r="A5470" t="s">
        <v>33</v>
      </c>
      <c r="B5470">
        <v>2018</v>
      </c>
      <c r="C5470" t="s">
        <v>42</v>
      </c>
      <c r="D5470" s="2">
        <v>43344</v>
      </c>
      <c r="E5470" t="s">
        <v>5</v>
      </c>
      <c r="F5470">
        <v>132.80000000000001</v>
      </c>
      <c r="G5470" t="str">
        <f>VLOOKUP(Table1_2[[#This Row],[Categories]],Sheet3!$A$1:$B$27,2,FALSE)</f>
        <v>Food &amp;Beverage</v>
      </c>
    </row>
    <row r="5471" spans="1:7" x14ac:dyDescent="0.3">
      <c r="A5471" t="s">
        <v>33</v>
      </c>
      <c r="B5471">
        <v>2018</v>
      </c>
      <c r="C5471" t="s">
        <v>42</v>
      </c>
      <c r="D5471" s="2">
        <v>43344</v>
      </c>
      <c r="E5471" t="s">
        <v>6</v>
      </c>
      <c r="F5471">
        <v>141.5</v>
      </c>
      <c r="G5471" t="str">
        <f>VLOOKUP(Table1_2[[#This Row],[Categories]],Sheet3!$A$1:$B$27,2,FALSE)</f>
        <v>Food &amp;Beverage</v>
      </c>
    </row>
    <row r="5472" spans="1:7" x14ac:dyDescent="0.3">
      <c r="A5472" t="s">
        <v>33</v>
      </c>
      <c r="B5472">
        <v>2018</v>
      </c>
      <c r="C5472" t="s">
        <v>42</v>
      </c>
      <c r="D5472" s="2">
        <v>43344</v>
      </c>
      <c r="E5472" t="s">
        <v>7</v>
      </c>
      <c r="F5472">
        <v>117.8</v>
      </c>
      <c r="G5472" t="str">
        <f>VLOOKUP(Table1_2[[#This Row],[Categories]],Sheet3!$A$1:$B$27,2,FALSE)</f>
        <v>Food &amp;Beverage</v>
      </c>
    </row>
    <row r="5473" spans="1:7" x14ac:dyDescent="0.3">
      <c r="A5473" t="s">
        <v>33</v>
      </c>
      <c r="B5473">
        <v>2018</v>
      </c>
      <c r="C5473" t="s">
        <v>42</v>
      </c>
      <c r="D5473" s="2">
        <v>43344</v>
      </c>
      <c r="E5473" t="s">
        <v>8</v>
      </c>
      <c r="F5473">
        <v>140</v>
      </c>
      <c r="G5473" t="str">
        <f>VLOOKUP(Table1_2[[#This Row],[Categories]],Sheet3!$A$1:$B$27,2,FALSE)</f>
        <v>Food &amp;Beverage</v>
      </c>
    </row>
    <row r="5474" spans="1:7" x14ac:dyDescent="0.3">
      <c r="A5474" t="s">
        <v>33</v>
      </c>
      <c r="B5474">
        <v>2018</v>
      </c>
      <c r="C5474" t="s">
        <v>42</v>
      </c>
      <c r="D5474" s="2">
        <v>43344</v>
      </c>
      <c r="E5474" t="s">
        <v>9</v>
      </c>
      <c r="F5474">
        <v>151.30000000000001</v>
      </c>
      <c r="G5474" t="str">
        <f>VLOOKUP(Table1_2[[#This Row],[Categories]],Sheet3!$A$1:$B$27,2,FALSE)</f>
        <v>Food &amp;Beverage</v>
      </c>
    </row>
    <row r="5475" spans="1:7" x14ac:dyDescent="0.3">
      <c r="A5475" t="s">
        <v>33</v>
      </c>
      <c r="B5475">
        <v>2018</v>
      </c>
      <c r="C5475" t="s">
        <v>42</v>
      </c>
      <c r="D5475" s="2">
        <v>43344</v>
      </c>
      <c r="E5475" t="s">
        <v>10</v>
      </c>
      <c r="F5475">
        <v>113.5</v>
      </c>
      <c r="G5475" t="str">
        <f>VLOOKUP(Table1_2[[#This Row],[Categories]],Sheet3!$A$1:$B$27,2,FALSE)</f>
        <v>Food &amp;Beverage</v>
      </c>
    </row>
    <row r="5476" spans="1:7" x14ac:dyDescent="0.3">
      <c r="A5476" t="s">
        <v>33</v>
      </c>
      <c r="B5476">
        <v>2018</v>
      </c>
      <c r="C5476" t="s">
        <v>42</v>
      </c>
      <c r="D5476" s="2">
        <v>43344</v>
      </c>
      <c r="E5476" t="s">
        <v>11</v>
      </c>
      <c r="F5476">
        <v>112.3</v>
      </c>
      <c r="G5476" t="str">
        <f>VLOOKUP(Table1_2[[#This Row],[Categories]],Sheet3!$A$1:$B$27,2,FALSE)</f>
        <v>Food &amp;Beverage</v>
      </c>
    </row>
    <row r="5477" spans="1:7" x14ac:dyDescent="0.3">
      <c r="A5477" t="s">
        <v>33</v>
      </c>
      <c r="B5477">
        <v>2018</v>
      </c>
      <c r="C5477" t="s">
        <v>42</v>
      </c>
      <c r="D5477" s="2">
        <v>43344</v>
      </c>
      <c r="E5477" t="s">
        <v>12</v>
      </c>
      <c r="F5477">
        <v>141.19999999999999</v>
      </c>
      <c r="G5477" t="str">
        <f>VLOOKUP(Table1_2[[#This Row],[Categories]],Sheet3!$A$1:$B$27,2,FALSE)</f>
        <v>Food &amp;Beverage</v>
      </c>
    </row>
    <row r="5478" spans="1:7" x14ac:dyDescent="0.3">
      <c r="A5478" t="s">
        <v>33</v>
      </c>
      <c r="B5478">
        <v>2018</v>
      </c>
      <c r="C5478" t="s">
        <v>42</v>
      </c>
      <c r="D5478" s="2">
        <v>43344</v>
      </c>
      <c r="E5478" t="s">
        <v>13</v>
      </c>
      <c r="F5478">
        <v>127.7</v>
      </c>
      <c r="G5478" t="str">
        <f>VLOOKUP(Table1_2[[#This Row],[Categories]],Sheet3!$A$1:$B$27,2,FALSE)</f>
        <v>Food &amp;Beverage</v>
      </c>
    </row>
    <row r="5479" spans="1:7" x14ac:dyDescent="0.3">
      <c r="A5479" t="s">
        <v>33</v>
      </c>
      <c r="B5479">
        <v>2018</v>
      </c>
      <c r="C5479" t="s">
        <v>42</v>
      </c>
      <c r="D5479" s="2">
        <v>43344</v>
      </c>
      <c r="E5479" t="s">
        <v>14</v>
      </c>
      <c r="F5479">
        <v>151.30000000000001</v>
      </c>
      <c r="G5479" t="str">
        <f>VLOOKUP(Table1_2[[#This Row],[Categories]],Sheet3!$A$1:$B$27,2,FALSE)</f>
        <v>Food &amp;Beverage</v>
      </c>
    </row>
    <row r="5480" spans="1:7" x14ac:dyDescent="0.3">
      <c r="A5480" t="s">
        <v>33</v>
      </c>
      <c r="B5480">
        <v>2018</v>
      </c>
      <c r="C5480" t="s">
        <v>42</v>
      </c>
      <c r="D5480" s="2">
        <v>43344</v>
      </c>
      <c r="E5480" t="s">
        <v>15</v>
      </c>
      <c r="F5480">
        <v>138.9</v>
      </c>
      <c r="G5480" t="str">
        <f>VLOOKUP(Table1_2[[#This Row],[Categories]],Sheet3!$A$1:$B$27,2,FALSE)</f>
        <v>Food &amp;Beverage</v>
      </c>
    </row>
    <row r="5481" spans="1:7" x14ac:dyDescent="0.3">
      <c r="A5481" t="s">
        <v>33</v>
      </c>
      <c r="B5481">
        <v>2018</v>
      </c>
      <c r="C5481" t="s">
        <v>42</v>
      </c>
      <c r="D5481" s="2">
        <v>43344</v>
      </c>
      <c r="E5481" t="s">
        <v>16</v>
      </c>
      <c r="F5481">
        <v>163.30000000000001</v>
      </c>
      <c r="G5481" t="str">
        <f>VLOOKUP(Table1_2[[#This Row],[Categories]],Sheet3!$A$1:$B$27,2,FALSE)</f>
        <v>Recreation and amusement</v>
      </c>
    </row>
    <row r="5482" spans="1:7" x14ac:dyDescent="0.3">
      <c r="A5482" t="s">
        <v>33</v>
      </c>
      <c r="B5482">
        <v>2018</v>
      </c>
      <c r="C5482" t="s">
        <v>42</v>
      </c>
      <c r="D5482" s="2">
        <v>43344</v>
      </c>
      <c r="E5482" t="s">
        <v>17</v>
      </c>
      <c r="F5482">
        <v>140.80000000000001</v>
      </c>
      <c r="G5482" t="str">
        <f>VLOOKUP(Table1_2[[#This Row],[Categories]],Sheet3!$A$1:$B$27,2,FALSE)</f>
        <v>Clothing and footwear</v>
      </c>
    </row>
    <row r="5483" spans="1:7" x14ac:dyDescent="0.3">
      <c r="A5483" t="s">
        <v>33</v>
      </c>
      <c r="B5483">
        <v>2018</v>
      </c>
      <c r="C5483" t="s">
        <v>42</v>
      </c>
      <c r="D5483" s="2">
        <v>43344</v>
      </c>
      <c r="E5483" t="s">
        <v>18</v>
      </c>
      <c r="F5483">
        <v>129.30000000000001</v>
      </c>
      <c r="G5483" t="str">
        <f>VLOOKUP(Table1_2[[#This Row],[Categories]],Sheet3!$A$1:$B$27,2,FALSE)</f>
        <v>Clothing and footwear</v>
      </c>
    </row>
    <row r="5484" spans="1:7" x14ac:dyDescent="0.3">
      <c r="A5484" t="s">
        <v>33</v>
      </c>
      <c r="B5484">
        <v>2018</v>
      </c>
      <c r="C5484" t="s">
        <v>42</v>
      </c>
      <c r="D5484" s="2">
        <v>43344</v>
      </c>
      <c r="E5484" t="s">
        <v>19</v>
      </c>
      <c r="F5484">
        <v>139.1</v>
      </c>
      <c r="G5484" t="str">
        <f>VLOOKUP(Table1_2[[#This Row],[Categories]],Sheet3!$A$1:$B$27,2,FALSE)</f>
        <v>Clothing and footwear</v>
      </c>
    </row>
    <row r="5485" spans="1:7" x14ac:dyDescent="0.3">
      <c r="A5485" t="s">
        <v>33</v>
      </c>
      <c r="B5485">
        <v>2018</v>
      </c>
      <c r="C5485" t="s">
        <v>42</v>
      </c>
      <c r="D5485" s="2">
        <v>43344</v>
      </c>
      <c r="E5485" t="s">
        <v>20</v>
      </c>
      <c r="F5485">
        <v>145.30000000000001</v>
      </c>
      <c r="G5485" t="str">
        <f>VLOOKUP(Table1_2[[#This Row],[Categories]],Sheet3!$A$1:$B$27,2,FALSE)</f>
        <v>Housing</v>
      </c>
    </row>
    <row r="5486" spans="1:7" x14ac:dyDescent="0.3">
      <c r="A5486" t="s">
        <v>33</v>
      </c>
      <c r="B5486">
        <v>2018</v>
      </c>
      <c r="C5486" t="s">
        <v>42</v>
      </c>
      <c r="D5486" s="2">
        <v>43344</v>
      </c>
      <c r="E5486" t="s">
        <v>21</v>
      </c>
      <c r="F5486">
        <v>131.19999999999999</v>
      </c>
      <c r="G5486" t="str">
        <f>VLOOKUP(Table1_2[[#This Row],[Categories]],Sheet3!$A$1:$B$27,2,FALSE)</f>
        <v>Fuel and light</v>
      </c>
    </row>
    <row r="5487" spans="1:7" x14ac:dyDescent="0.3">
      <c r="A5487" t="s">
        <v>33</v>
      </c>
      <c r="B5487">
        <v>2018</v>
      </c>
      <c r="C5487" t="s">
        <v>42</v>
      </c>
      <c r="D5487" s="2">
        <v>43344</v>
      </c>
      <c r="E5487" t="s">
        <v>22</v>
      </c>
      <c r="F5487">
        <v>134.9</v>
      </c>
      <c r="G5487" t="str">
        <f>VLOOKUP(Table1_2[[#This Row],[Categories]],Sheet3!$A$1:$B$27,2,FALSE)</f>
        <v>Household Items</v>
      </c>
    </row>
    <row r="5488" spans="1:7" x14ac:dyDescent="0.3">
      <c r="A5488" t="s">
        <v>33</v>
      </c>
      <c r="B5488">
        <v>2018</v>
      </c>
      <c r="C5488" t="s">
        <v>42</v>
      </c>
      <c r="D5488" s="2">
        <v>43344</v>
      </c>
      <c r="E5488" t="s">
        <v>23</v>
      </c>
      <c r="F5488">
        <v>135.69999999999999</v>
      </c>
      <c r="G5488" t="str">
        <f>VLOOKUP(Table1_2[[#This Row],[Categories]],Sheet3!$A$1:$B$27,2,FALSE)</f>
        <v>Health</v>
      </c>
    </row>
    <row r="5489" spans="1:7" x14ac:dyDescent="0.3">
      <c r="A5489" t="s">
        <v>33</v>
      </c>
      <c r="B5489">
        <v>2018</v>
      </c>
      <c r="C5489" t="s">
        <v>42</v>
      </c>
      <c r="D5489" s="2">
        <v>43344</v>
      </c>
      <c r="E5489" t="s">
        <v>24</v>
      </c>
      <c r="F5489">
        <v>122.5</v>
      </c>
      <c r="G5489" t="str">
        <f>VLOOKUP(Table1_2[[#This Row],[Categories]],Sheet3!$A$1:$B$27,2,FALSE)</f>
        <v>Transport and communication</v>
      </c>
    </row>
    <row r="5490" spans="1:7" x14ac:dyDescent="0.3">
      <c r="A5490" t="s">
        <v>33</v>
      </c>
      <c r="B5490">
        <v>2018</v>
      </c>
      <c r="C5490" t="s">
        <v>42</v>
      </c>
      <c r="D5490" s="2">
        <v>43344</v>
      </c>
      <c r="E5490" t="s">
        <v>25</v>
      </c>
      <c r="F5490">
        <v>130.19999999999999</v>
      </c>
      <c r="G5490" t="str">
        <f>VLOOKUP(Table1_2[[#This Row],[Categories]],Sheet3!$A$1:$B$27,2,FALSE)</f>
        <v>Recreation and amusement</v>
      </c>
    </row>
    <row r="5491" spans="1:7" x14ac:dyDescent="0.3">
      <c r="A5491" t="s">
        <v>33</v>
      </c>
      <c r="B5491">
        <v>2018</v>
      </c>
      <c r="C5491" t="s">
        <v>42</v>
      </c>
      <c r="D5491" s="2">
        <v>43344</v>
      </c>
      <c r="E5491" t="s">
        <v>26</v>
      </c>
      <c r="F5491">
        <v>145.19999999999999</v>
      </c>
      <c r="G5491" t="str">
        <f>VLOOKUP(Table1_2[[#This Row],[Categories]],Sheet3!$A$1:$B$27,2,FALSE)</f>
        <v>Education</v>
      </c>
    </row>
    <row r="5492" spans="1:7" x14ac:dyDescent="0.3">
      <c r="A5492" t="s">
        <v>33</v>
      </c>
      <c r="B5492">
        <v>2018</v>
      </c>
      <c r="C5492" t="s">
        <v>42</v>
      </c>
      <c r="D5492" s="2">
        <v>43344</v>
      </c>
      <c r="E5492" t="s">
        <v>27</v>
      </c>
      <c r="F5492">
        <v>129.30000000000001</v>
      </c>
      <c r="G5492" t="str">
        <f>VLOOKUP(Table1_2[[#This Row],[Categories]],Sheet3!$A$1:$B$27,2,FALSE)</f>
        <v>Household Items</v>
      </c>
    </row>
    <row r="5493" spans="1:7" x14ac:dyDescent="0.3">
      <c r="A5493" t="s">
        <v>33</v>
      </c>
      <c r="B5493">
        <v>2018</v>
      </c>
      <c r="C5493" t="s">
        <v>42</v>
      </c>
      <c r="D5493" s="2">
        <v>43344</v>
      </c>
      <c r="E5493" t="s">
        <v>28</v>
      </c>
      <c r="F5493">
        <v>131.9</v>
      </c>
      <c r="G5493" t="str">
        <f>VLOOKUP(Table1_2[[#This Row],[Categories]],Sheet3!$A$1:$B$27,2,FALSE)</f>
        <v>Miscellaneous</v>
      </c>
    </row>
    <row r="5494" spans="1:7" x14ac:dyDescent="0.3">
      <c r="A5494" t="s">
        <v>33</v>
      </c>
      <c r="B5494">
        <v>2018</v>
      </c>
      <c r="C5494" t="s">
        <v>42</v>
      </c>
      <c r="D5494" s="2">
        <v>43344</v>
      </c>
      <c r="E5494" t="s">
        <v>29</v>
      </c>
      <c r="F5494">
        <v>138.1</v>
      </c>
      <c r="G5494" t="str">
        <f>VLOOKUP(Table1_2[[#This Row],[Categories]],Sheet3!$A$1:$B$27,2,FALSE)</f>
        <v>General index</v>
      </c>
    </row>
    <row r="5495" spans="1:7" x14ac:dyDescent="0.3">
      <c r="A5495" t="s">
        <v>34</v>
      </c>
      <c r="B5495">
        <v>2018</v>
      </c>
      <c r="C5495" t="s">
        <v>42</v>
      </c>
      <c r="D5495" s="2">
        <v>43344</v>
      </c>
      <c r="E5495" t="s">
        <v>3</v>
      </c>
      <c r="F5495">
        <v>138.6</v>
      </c>
      <c r="G5495" t="str">
        <f>VLOOKUP(Table1_2[[#This Row],[Categories]],Sheet3!$A$1:$B$27,2,FALSE)</f>
        <v>Food &amp;Beverage</v>
      </c>
    </row>
    <row r="5496" spans="1:7" x14ac:dyDescent="0.3">
      <c r="A5496" t="s">
        <v>34</v>
      </c>
      <c r="B5496">
        <v>2018</v>
      </c>
      <c r="C5496" t="s">
        <v>42</v>
      </c>
      <c r="D5496" s="2">
        <v>43344</v>
      </c>
      <c r="E5496" t="s">
        <v>4</v>
      </c>
      <c r="F5496">
        <v>145.80000000000001</v>
      </c>
      <c r="G5496" t="str">
        <f>VLOOKUP(Table1_2[[#This Row],[Categories]],Sheet3!$A$1:$B$27,2,FALSE)</f>
        <v>Food &amp;Beverage</v>
      </c>
    </row>
    <row r="5497" spans="1:7" x14ac:dyDescent="0.3">
      <c r="A5497" t="s">
        <v>34</v>
      </c>
      <c r="B5497">
        <v>2018</v>
      </c>
      <c r="C5497" t="s">
        <v>42</v>
      </c>
      <c r="D5497" s="2">
        <v>43344</v>
      </c>
      <c r="E5497" t="s">
        <v>5</v>
      </c>
      <c r="F5497">
        <v>135.1</v>
      </c>
      <c r="G5497" t="str">
        <f>VLOOKUP(Table1_2[[#This Row],[Categories]],Sheet3!$A$1:$B$27,2,FALSE)</f>
        <v>Food &amp;Beverage</v>
      </c>
    </row>
    <row r="5498" spans="1:7" x14ac:dyDescent="0.3">
      <c r="A5498" t="s">
        <v>34</v>
      </c>
      <c r="B5498">
        <v>2018</v>
      </c>
      <c r="C5498" t="s">
        <v>42</v>
      </c>
      <c r="D5498" s="2">
        <v>43344</v>
      </c>
      <c r="E5498" t="s">
        <v>6</v>
      </c>
      <c r="F5498">
        <v>142.9</v>
      </c>
      <c r="G5498" t="str">
        <f>VLOOKUP(Table1_2[[#This Row],[Categories]],Sheet3!$A$1:$B$27,2,FALSE)</f>
        <v>Food &amp;Beverage</v>
      </c>
    </row>
    <row r="5499" spans="1:7" x14ac:dyDescent="0.3">
      <c r="A5499" t="s">
        <v>34</v>
      </c>
      <c r="B5499">
        <v>2018</v>
      </c>
      <c r="C5499" t="s">
        <v>42</v>
      </c>
      <c r="D5499" s="2">
        <v>43344</v>
      </c>
      <c r="E5499" t="s">
        <v>7</v>
      </c>
      <c r="F5499">
        <v>122.1</v>
      </c>
      <c r="G5499" t="str">
        <f>VLOOKUP(Table1_2[[#This Row],[Categories]],Sheet3!$A$1:$B$27,2,FALSE)</f>
        <v>Food &amp;Beverage</v>
      </c>
    </row>
    <row r="5500" spans="1:7" x14ac:dyDescent="0.3">
      <c r="A5500" t="s">
        <v>34</v>
      </c>
      <c r="B5500">
        <v>2018</v>
      </c>
      <c r="C5500" t="s">
        <v>42</v>
      </c>
      <c r="D5500" s="2">
        <v>43344</v>
      </c>
      <c r="E5500" t="s">
        <v>8</v>
      </c>
      <c r="F5500">
        <v>145.4</v>
      </c>
      <c r="G5500" t="str">
        <f>VLOOKUP(Table1_2[[#This Row],[Categories]],Sheet3!$A$1:$B$27,2,FALSE)</f>
        <v>Food &amp;Beverage</v>
      </c>
    </row>
    <row r="5501" spans="1:7" x14ac:dyDescent="0.3">
      <c r="A5501" t="s">
        <v>34</v>
      </c>
      <c r="B5501">
        <v>2018</v>
      </c>
      <c r="C5501" t="s">
        <v>42</v>
      </c>
      <c r="D5501" s="2">
        <v>43344</v>
      </c>
      <c r="E5501" t="s">
        <v>9</v>
      </c>
      <c r="F5501">
        <v>150</v>
      </c>
      <c r="G5501" t="str">
        <f>VLOOKUP(Table1_2[[#This Row],[Categories]],Sheet3!$A$1:$B$27,2,FALSE)</f>
        <v>Food &amp;Beverage</v>
      </c>
    </row>
    <row r="5502" spans="1:7" x14ac:dyDescent="0.3">
      <c r="A5502" t="s">
        <v>34</v>
      </c>
      <c r="B5502">
        <v>2018</v>
      </c>
      <c r="C5502" t="s">
        <v>42</v>
      </c>
      <c r="D5502" s="2">
        <v>43344</v>
      </c>
      <c r="E5502" t="s">
        <v>10</v>
      </c>
      <c r="F5502">
        <v>121.4</v>
      </c>
      <c r="G5502" t="str">
        <f>VLOOKUP(Table1_2[[#This Row],[Categories]],Sheet3!$A$1:$B$27,2,FALSE)</f>
        <v>Food &amp;Beverage</v>
      </c>
    </row>
    <row r="5503" spans="1:7" x14ac:dyDescent="0.3">
      <c r="A5503" t="s">
        <v>34</v>
      </c>
      <c r="B5503">
        <v>2018</v>
      </c>
      <c r="C5503" t="s">
        <v>42</v>
      </c>
      <c r="D5503" s="2">
        <v>43344</v>
      </c>
      <c r="E5503" t="s">
        <v>11</v>
      </c>
      <c r="F5503">
        <v>113.7</v>
      </c>
      <c r="G5503" t="str">
        <f>VLOOKUP(Table1_2[[#This Row],[Categories]],Sheet3!$A$1:$B$27,2,FALSE)</f>
        <v>Food &amp;Beverage</v>
      </c>
    </row>
    <row r="5504" spans="1:7" x14ac:dyDescent="0.3">
      <c r="A5504" t="s">
        <v>34</v>
      </c>
      <c r="B5504">
        <v>2018</v>
      </c>
      <c r="C5504" t="s">
        <v>42</v>
      </c>
      <c r="D5504" s="2">
        <v>43344</v>
      </c>
      <c r="E5504" t="s">
        <v>12</v>
      </c>
      <c r="F5504">
        <v>139.5</v>
      </c>
      <c r="G5504" t="str">
        <f>VLOOKUP(Table1_2[[#This Row],[Categories]],Sheet3!$A$1:$B$27,2,FALSE)</f>
        <v>Food &amp;Beverage</v>
      </c>
    </row>
    <row r="5505" spans="1:7" x14ac:dyDescent="0.3">
      <c r="A5505" t="s">
        <v>34</v>
      </c>
      <c r="B5505">
        <v>2018</v>
      </c>
      <c r="C5505" t="s">
        <v>42</v>
      </c>
      <c r="D5505" s="2">
        <v>43344</v>
      </c>
      <c r="E5505" t="s">
        <v>13</v>
      </c>
      <c r="F5505">
        <v>130.80000000000001</v>
      </c>
      <c r="G5505" t="str">
        <f>VLOOKUP(Table1_2[[#This Row],[Categories]],Sheet3!$A$1:$B$27,2,FALSE)</f>
        <v>Food &amp;Beverage</v>
      </c>
    </row>
    <row r="5506" spans="1:7" x14ac:dyDescent="0.3">
      <c r="A5506" t="s">
        <v>34</v>
      </c>
      <c r="B5506">
        <v>2018</v>
      </c>
      <c r="C5506" t="s">
        <v>42</v>
      </c>
      <c r="D5506" s="2">
        <v>43344</v>
      </c>
      <c r="E5506" t="s">
        <v>14</v>
      </c>
      <c r="F5506">
        <v>153.80000000000001</v>
      </c>
      <c r="G5506" t="str">
        <f>VLOOKUP(Table1_2[[#This Row],[Categories]],Sheet3!$A$1:$B$27,2,FALSE)</f>
        <v>Food &amp;Beverage</v>
      </c>
    </row>
    <row r="5507" spans="1:7" x14ac:dyDescent="0.3">
      <c r="A5507" t="s">
        <v>34</v>
      </c>
      <c r="B5507">
        <v>2018</v>
      </c>
      <c r="C5507" t="s">
        <v>42</v>
      </c>
      <c r="D5507" s="2">
        <v>43344</v>
      </c>
      <c r="E5507" t="s">
        <v>15</v>
      </c>
      <c r="F5507">
        <v>140.4</v>
      </c>
      <c r="G5507" t="str">
        <f>VLOOKUP(Table1_2[[#This Row],[Categories]],Sheet3!$A$1:$B$27,2,FALSE)</f>
        <v>Food &amp;Beverage</v>
      </c>
    </row>
    <row r="5508" spans="1:7" x14ac:dyDescent="0.3">
      <c r="A5508" t="s">
        <v>34</v>
      </c>
      <c r="B5508">
        <v>2018</v>
      </c>
      <c r="C5508" t="s">
        <v>42</v>
      </c>
      <c r="D5508" s="2">
        <v>43344</v>
      </c>
      <c r="E5508" t="s">
        <v>16</v>
      </c>
      <c r="F5508">
        <v>159.19999999999999</v>
      </c>
      <c r="G5508" t="str">
        <f>VLOOKUP(Table1_2[[#This Row],[Categories]],Sheet3!$A$1:$B$27,2,FALSE)</f>
        <v>Recreation and amusement</v>
      </c>
    </row>
    <row r="5509" spans="1:7" x14ac:dyDescent="0.3">
      <c r="A5509" t="s">
        <v>34</v>
      </c>
      <c r="B5509">
        <v>2018</v>
      </c>
      <c r="C5509" t="s">
        <v>42</v>
      </c>
      <c r="D5509" s="2">
        <v>43344</v>
      </c>
      <c r="E5509" t="s">
        <v>17</v>
      </c>
      <c r="F5509">
        <v>147.69999999999999</v>
      </c>
      <c r="G5509" t="str">
        <f>VLOOKUP(Table1_2[[#This Row],[Categories]],Sheet3!$A$1:$B$27,2,FALSE)</f>
        <v>Clothing and footwear</v>
      </c>
    </row>
    <row r="5510" spans="1:7" x14ac:dyDescent="0.3">
      <c r="A5510" t="s">
        <v>34</v>
      </c>
      <c r="B5510">
        <v>2018</v>
      </c>
      <c r="C5510" t="s">
        <v>42</v>
      </c>
      <c r="D5510" s="2">
        <v>43344</v>
      </c>
      <c r="E5510" t="s">
        <v>18</v>
      </c>
      <c r="F5510">
        <v>139.1</v>
      </c>
      <c r="G5510" t="str">
        <f>VLOOKUP(Table1_2[[#This Row],[Categories]],Sheet3!$A$1:$B$27,2,FALSE)</f>
        <v>Clothing and footwear</v>
      </c>
    </row>
    <row r="5511" spans="1:7" x14ac:dyDescent="0.3">
      <c r="A5511" t="s">
        <v>34</v>
      </c>
      <c r="B5511">
        <v>2018</v>
      </c>
      <c r="C5511" t="s">
        <v>42</v>
      </c>
      <c r="D5511" s="2">
        <v>43344</v>
      </c>
      <c r="E5511" t="s">
        <v>19</v>
      </c>
      <c r="F5511">
        <v>146.5</v>
      </c>
      <c r="G5511" t="str">
        <f>VLOOKUP(Table1_2[[#This Row],[Categories]],Sheet3!$A$1:$B$27,2,FALSE)</f>
        <v>Clothing and footwear</v>
      </c>
    </row>
    <row r="5512" spans="1:7" x14ac:dyDescent="0.3">
      <c r="A5512" t="s">
        <v>34</v>
      </c>
      <c r="B5512">
        <v>2018</v>
      </c>
      <c r="C5512" t="s">
        <v>42</v>
      </c>
      <c r="D5512" s="2">
        <v>43344</v>
      </c>
      <c r="E5512" t="s">
        <v>20</v>
      </c>
      <c r="F5512">
        <v>145.30000000000001</v>
      </c>
      <c r="G5512" t="str">
        <f>VLOOKUP(Table1_2[[#This Row],[Categories]],Sheet3!$A$1:$B$27,2,FALSE)</f>
        <v>Housing</v>
      </c>
    </row>
    <row r="5513" spans="1:7" x14ac:dyDescent="0.3">
      <c r="A5513" t="s">
        <v>34</v>
      </c>
      <c r="B5513">
        <v>2018</v>
      </c>
      <c r="C5513" t="s">
        <v>42</v>
      </c>
      <c r="D5513" s="2">
        <v>43344</v>
      </c>
      <c r="E5513" t="s">
        <v>21</v>
      </c>
      <c r="F5513">
        <v>142.30000000000001</v>
      </c>
      <c r="G5513" t="str">
        <f>VLOOKUP(Table1_2[[#This Row],[Categories]],Sheet3!$A$1:$B$27,2,FALSE)</f>
        <v>Fuel and light</v>
      </c>
    </row>
    <row r="5514" spans="1:7" x14ac:dyDescent="0.3">
      <c r="A5514" t="s">
        <v>34</v>
      </c>
      <c r="B5514">
        <v>2018</v>
      </c>
      <c r="C5514" t="s">
        <v>42</v>
      </c>
      <c r="D5514" s="2">
        <v>43344</v>
      </c>
      <c r="E5514" t="s">
        <v>22</v>
      </c>
      <c r="F5514">
        <v>139.69999999999999</v>
      </c>
      <c r="G5514" t="str">
        <f>VLOOKUP(Table1_2[[#This Row],[Categories]],Sheet3!$A$1:$B$27,2,FALSE)</f>
        <v>Household Items</v>
      </c>
    </row>
    <row r="5515" spans="1:7" x14ac:dyDescent="0.3">
      <c r="A5515" t="s">
        <v>34</v>
      </c>
      <c r="B5515">
        <v>2018</v>
      </c>
      <c r="C5515" t="s">
        <v>42</v>
      </c>
      <c r="D5515" s="2">
        <v>43344</v>
      </c>
      <c r="E5515" t="s">
        <v>23</v>
      </c>
      <c r="F5515">
        <v>138.4</v>
      </c>
      <c r="G5515" t="str">
        <f>VLOOKUP(Table1_2[[#This Row],[Categories]],Sheet3!$A$1:$B$27,2,FALSE)</f>
        <v>Health</v>
      </c>
    </row>
    <row r="5516" spans="1:7" x14ac:dyDescent="0.3">
      <c r="A5516" t="s">
        <v>34</v>
      </c>
      <c r="B5516">
        <v>2018</v>
      </c>
      <c r="C5516" t="s">
        <v>42</v>
      </c>
      <c r="D5516" s="2">
        <v>43344</v>
      </c>
      <c r="E5516" t="s">
        <v>24</v>
      </c>
      <c r="F5516">
        <v>126</v>
      </c>
      <c r="G5516" t="str">
        <f>VLOOKUP(Table1_2[[#This Row],[Categories]],Sheet3!$A$1:$B$27,2,FALSE)</f>
        <v>Transport and communication</v>
      </c>
    </row>
    <row r="5517" spans="1:7" x14ac:dyDescent="0.3">
      <c r="A5517" t="s">
        <v>34</v>
      </c>
      <c r="B5517">
        <v>2018</v>
      </c>
      <c r="C5517" t="s">
        <v>42</v>
      </c>
      <c r="D5517" s="2">
        <v>43344</v>
      </c>
      <c r="E5517" t="s">
        <v>25</v>
      </c>
      <c r="F5517">
        <v>134.5</v>
      </c>
      <c r="G5517" t="str">
        <f>VLOOKUP(Table1_2[[#This Row],[Categories]],Sheet3!$A$1:$B$27,2,FALSE)</f>
        <v>Recreation and amusement</v>
      </c>
    </row>
    <row r="5518" spans="1:7" x14ac:dyDescent="0.3">
      <c r="A5518" t="s">
        <v>34</v>
      </c>
      <c r="B5518">
        <v>2018</v>
      </c>
      <c r="C5518" t="s">
        <v>42</v>
      </c>
      <c r="D5518" s="2">
        <v>43344</v>
      </c>
      <c r="E5518" t="s">
        <v>26</v>
      </c>
      <c r="F5518">
        <v>146.19999999999999</v>
      </c>
      <c r="G5518" t="str">
        <f>VLOOKUP(Table1_2[[#This Row],[Categories]],Sheet3!$A$1:$B$27,2,FALSE)</f>
        <v>Education</v>
      </c>
    </row>
    <row r="5519" spans="1:7" x14ac:dyDescent="0.3">
      <c r="A5519" t="s">
        <v>34</v>
      </c>
      <c r="B5519">
        <v>2018</v>
      </c>
      <c r="C5519" t="s">
        <v>42</v>
      </c>
      <c r="D5519" s="2">
        <v>43344</v>
      </c>
      <c r="E5519" t="s">
        <v>27</v>
      </c>
      <c r="F5519">
        <v>130.9</v>
      </c>
      <c r="G5519" t="str">
        <f>VLOOKUP(Table1_2[[#This Row],[Categories]],Sheet3!$A$1:$B$27,2,FALSE)</f>
        <v>Household Items</v>
      </c>
    </row>
    <row r="5520" spans="1:7" x14ac:dyDescent="0.3">
      <c r="A5520" t="s">
        <v>34</v>
      </c>
      <c r="B5520">
        <v>2018</v>
      </c>
      <c r="C5520" t="s">
        <v>42</v>
      </c>
      <c r="D5520" s="2">
        <v>43344</v>
      </c>
      <c r="E5520" t="s">
        <v>28</v>
      </c>
      <c r="F5520">
        <v>134.69999999999999</v>
      </c>
      <c r="G5520" t="str">
        <f>VLOOKUP(Table1_2[[#This Row],[Categories]],Sheet3!$A$1:$B$27,2,FALSE)</f>
        <v>Miscellaneous</v>
      </c>
    </row>
    <row r="5521" spans="1:7" x14ac:dyDescent="0.3">
      <c r="A5521" t="s">
        <v>34</v>
      </c>
      <c r="B5521">
        <v>2018</v>
      </c>
      <c r="C5521" t="s">
        <v>42</v>
      </c>
      <c r="D5521" s="2">
        <v>43344</v>
      </c>
      <c r="E5521" t="s">
        <v>29</v>
      </c>
      <c r="F5521">
        <v>140.19999999999999</v>
      </c>
      <c r="G5521" t="str">
        <f>VLOOKUP(Table1_2[[#This Row],[Categories]],Sheet3!$A$1:$B$27,2,FALSE)</f>
        <v>General index</v>
      </c>
    </row>
    <row r="5522" spans="1:7" x14ac:dyDescent="0.3">
      <c r="A5522" t="s">
        <v>30</v>
      </c>
      <c r="B5522">
        <v>2018</v>
      </c>
      <c r="C5522" t="s">
        <v>43</v>
      </c>
      <c r="D5522" s="2">
        <v>43374</v>
      </c>
      <c r="E5522" t="s">
        <v>3</v>
      </c>
      <c r="F5522">
        <v>139.30000000000001</v>
      </c>
      <c r="G5522" t="str">
        <f>VLOOKUP(Table1_2[[#This Row],[Categories]],Sheet3!$A$1:$B$27,2,FALSE)</f>
        <v>Food &amp;Beverage</v>
      </c>
    </row>
    <row r="5523" spans="1:7" x14ac:dyDescent="0.3">
      <c r="A5523" t="s">
        <v>30</v>
      </c>
      <c r="B5523">
        <v>2018</v>
      </c>
      <c r="C5523" t="s">
        <v>43</v>
      </c>
      <c r="D5523" s="2">
        <v>43374</v>
      </c>
      <c r="E5523" t="s">
        <v>4</v>
      </c>
      <c r="F5523">
        <v>147.6</v>
      </c>
      <c r="G5523" t="str">
        <f>VLOOKUP(Table1_2[[#This Row],[Categories]],Sheet3!$A$1:$B$27,2,FALSE)</f>
        <v>Food &amp;Beverage</v>
      </c>
    </row>
    <row r="5524" spans="1:7" x14ac:dyDescent="0.3">
      <c r="A5524" t="s">
        <v>30</v>
      </c>
      <c r="B5524">
        <v>2018</v>
      </c>
      <c r="C5524" t="s">
        <v>43</v>
      </c>
      <c r="D5524" s="2">
        <v>43374</v>
      </c>
      <c r="E5524" t="s">
        <v>5</v>
      </c>
      <c r="F5524">
        <v>134.6</v>
      </c>
      <c r="G5524" t="str">
        <f>VLOOKUP(Table1_2[[#This Row],[Categories]],Sheet3!$A$1:$B$27,2,FALSE)</f>
        <v>Food &amp;Beverage</v>
      </c>
    </row>
    <row r="5525" spans="1:7" x14ac:dyDescent="0.3">
      <c r="A5525" t="s">
        <v>30</v>
      </c>
      <c r="B5525">
        <v>2018</v>
      </c>
      <c r="C5525" t="s">
        <v>43</v>
      </c>
      <c r="D5525" s="2">
        <v>43374</v>
      </c>
      <c r="E5525" t="s">
        <v>6</v>
      </c>
      <c r="F5525">
        <v>141.9</v>
      </c>
      <c r="G5525" t="str">
        <f>VLOOKUP(Table1_2[[#This Row],[Categories]],Sheet3!$A$1:$B$27,2,FALSE)</f>
        <v>Food &amp;Beverage</v>
      </c>
    </row>
    <row r="5526" spans="1:7" x14ac:dyDescent="0.3">
      <c r="A5526" t="s">
        <v>30</v>
      </c>
      <c r="B5526">
        <v>2018</v>
      </c>
      <c r="C5526" t="s">
        <v>43</v>
      </c>
      <c r="D5526" s="2">
        <v>43374</v>
      </c>
      <c r="E5526" t="s">
        <v>7</v>
      </c>
      <c r="F5526">
        <v>123.5</v>
      </c>
      <c r="G5526" t="str">
        <f>VLOOKUP(Table1_2[[#This Row],[Categories]],Sheet3!$A$1:$B$27,2,FALSE)</f>
        <v>Food &amp;Beverage</v>
      </c>
    </row>
    <row r="5527" spans="1:7" x14ac:dyDescent="0.3">
      <c r="A5527" t="s">
        <v>30</v>
      </c>
      <c r="B5527">
        <v>2018</v>
      </c>
      <c r="C5527" t="s">
        <v>43</v>
      </c>
      <c r="D5527" s="2">
        <v>43374</v>
      </c>
      <c r="E5527" t="s">
        <v>8</v>
      </c>
      <c r="F5527">
        <v>144.5</v>
      </c>
      <c r="G5527" t="str">
        <f>VLOOKUP(Table1_2[[#This Row],[Categories]],Sheet3!$A$1:$B$27,2,FALSE)</f>
        <v>Food &amp;Beverage</v>
      </c>
    </row>
    <row r="5528" spans="1:7" x14ac:dyDescent="0.3">
      <c r="A5528" t="s">
        <v>30</v>
      </c>
      <c r="B5528">
        <v>2018</v>
      </c>
      <c r="C5528" t="s">
        <v>43</v>
      </c>
      <c r="D5528" s="2">
        <v>43374</v>
      </c>
      <c r="E5528" t="s">
        <v>9</v>
      </c>
      <c r="F5528">
        <v>147.6</v>
      </c>
      <c r="G5528" t="str">
        <f>VLOOKUP(Table1_2[[#This Row],[Categories]],Sheet3!$A$1:$B$27,2,FALSE)</f>
        <v>Food &amp;Beverage</v>
      </c>
    </row>
    <row r="5529" spans="1:7" x14ac:dyDescent="0.3">
      <c r="A5529" t="s">
        <v>30</v>
      </c>
      <c r="B5529">
        <v>2018</v>
      </c>
      <c r="C5529" t="s">
        <v>43</v>
      </c>
      <c r="D5529" s="2">
        <v>43374</v>
      </c>
      <c r="E5529" t="s">
        <v>10</v>
      </c>
      <c r="F5529">
        <v>121.4</v>
      </c>
      <c r="G5529" t="str">
        <f>VLOOKUP(Table1_2[[#This Row],[Categories]],Sheet3!$A$1:$B$27,2,FALSE)</f>
        <v>Food &amp;Beverage</v>
      </c>
    </row>
    <row r="5530" spans="1:7" x14ac:dyDescent="0.3">
      <c r="A5530" t="s">
        <v>30</v>
      </c>
      <c r="B5530">
        <v>2018</v>
      </c>
      <c r="C5530" t="s">
        <v>43</v>
      </c>
      <c r="D5530" s="2">
        <v>43374</v>
      </c>
      <c r="E5530" t="s">
        <v>11</v>
      </c>
      <c r="F5530">
        <v>112.3</v>
      </c>
      <c r="G5530" t="str">
        <f>VLOOKUP(Table1_2[[#This Row],[Categories]],Sheet3!$A$1:$B$27,2,FALSE)</f>
        <v>Food &amp;Beverage</v>
      </c>
    </row>
    <row r="5531" spans="1:7" x14ac:dyDescent="0.3">
      <c r="A5531" t="s">
        <v>30</v>
      </c>
      <c r="B5531">
        <v>2018</v>
      </c>
      <c r="C5531" t="s">
        <v>43</v>
      </c>
      <c r="D5531" s="2">
        <v>43374</v>
      </c>
      <c r="E5531" t="s">
        <v>12</v>
      </c>
      <c r="F5531">
        <v>139.5</v>
      </c>
      <c r="G5531" t="str">
        <f>VLOOKUP(Table1_2[[#This Row],[Categories]],Sheet3!$A$1:$B$27,2,FALSE)</f>
        <v>Food &amp;Beverage</v>
      </c>
    </row>
    <row r="5532" spans="1:7" x14ac:dyDescent="0.3">
      <c r="A5532" t="s">
        <v>30</v>
      </c>
      <c r="B5532">
        <v>2018</v>
      </c>
      <c r="C5532" t="s">
        <v>43</v>
      </c>
      <c r="D5532" s="2">
        <v>43374</v>
      </c>
      <c r="E5532" t="s">
        <v>13</v>
      </c>
      <c r="F5532">
        <v>134.6</v>
      </c>
      <c r="G5532" t="str">
        <f>VLOOKUP(Table1_2[[#This Row],[Categories]],Sheet3!$A$1:$B$27,2,FALSE)</f>
        <v>Food &amp;Beverage</v>
      </c>
    </row>
    <row r="5533" spans="1:7" x14ac:dyDescent="0.3">
      <c r="A5533" t="s">
        <v>30</v>
      </c>
      <c r="B5533">
        <v>2018</v>
      </c>
      <c r="C5533" t="s">
        <v>43</v>
      </c>
      <c r="D5533" s="2">
        <v>43374</v>
      </c>
      <c r="E5533" t="s">
        <v>14</v>
      </c>
      <c r="F5533">
        <v>155.19999999999999</v>
      </c>
      <c r="G5533" t="str">
        <f>VLOOKUP(Table1_2[[#This Row],[Categories]],Sheet3!$A$1:$B$27,2,FALSE)</f>
        <v>Food &amp;Beverage</v>
      </c>
    </row>
    <row r="5534" spans="1:7" x14ac:dyDescent="0.3">
      <c r="A5534" t="s">
        <v>30</v>
      </c>
      <c r="B5534">
        <v>2018</v>
      </c>
      <c r="C5534" t="s">
        <v>43</v>
      </c>
      <c r="D5534" s="2">
        <v>43374</v>
      </c>
      <c r="E5534" t="s">
        <v>15</v>
      </c>
      <c r="F5534">
        <v>140.19999999999999</v>
      </c>
      <c r="G5534" t="str">
        <f>VLOOKUP(Table1_2[[#This Row],[Categories]],Sheet3!$A$1:$B$27,2,FALSE)</f>
        <v>Food &amp;Beverage</v>
      </c>
    </row>
    <row r="5535" spans="1:7" x14ac:dyDescent="0.3">
      <c r="A5535" t="s">
        <v>30</v>
      </c>
      <c r="B5535">
        <v>2018</v>
      </c>
      <c r="C5535" t="s">
        <v>43</v>
      </c>
      <c r="D5535" s="2">
        <v>43374</v>
      </c>
      <c r="E5535" t="s">
        <v>16</v>
      </c>
      <c r="F5535">
        <v>159.6</v>
      </c>
      <c r="G5535" t="str">
        <f>VLOOKUP(Table1_2[[#This Row],[Categories]],Sheet3!$A$1:$B$27,2,FALSE)</f>
        <v>Recreation and amusement</v>
      </c>
    </row>
    <row r="5536" spans="1:7" x14ac:dyDescent="0.3">
      <c r="A5536" t="s">
        <v>30</v>
      </c>
      <c r="B5536">
        <v>2018</v>
      </c>
      <c r="C5536" t="s">
        <v>43</v>
      </c>
      <c r="D5536" s="2">
        <v>43374</v>
      </c>
      <c r="E5536" t="s">
        <v>17</v>
      </c>
      <c r="F5536">
        <v>150.69999999999999</v>
      </c>
      <c r="G5536" t="str">
        <f>VLOOKUP(Table1_2[[#This Row],[Categories]],Sheet3!$A$1:$B$27,2,FALSE)</f>
        <v>Clothing and footwear</v>
      </c>
    </row>
    <row r="5537" spans="1:7" x14ac:dyDescent="0.3">
      <c r="A5537" t="s">
        <v>30</v>
      </c>
      <c r="B5537">
        <v>2018</v>
      </c>
      <c r="C5537" t="s">
        <v>43</v>
      </c>
      <c r="D5537" s="2">
        <v>43374</v>
      </c>
      <c r="E5537" t="s">
        <v>18</v>
      </c>
      <c r="F5537">
        <v>144.5</v>
      </c>
      <c r="G5537" t="str">
        <f>VLOOKUP(Table1_2[[#This Row],[Categories]],Sheet3!$A$1:$B$27,2,FALSE)</f>
        <v>Clothing and footwear</v>
      </c>
    </row>
    <row r="5538" spans="1:7" x14ac:dyDescent="0.3">
      <c r="A5538" t="s">
        <v>30</v>
      </c>
      <c r="B5538">
        <v>2018</v>
      </c>
      <c r="C5538" t="s">
        <v>43</v>
      </c>
      <c r="D5538" s="2">
        <v>43374</v>
      </c>
      <c r="E5538" t="s">
        <v>19</v>
      </c>
      <c r="F5538">
        <v>149.80000000000001</v>
      </c>
      <c r="G5538" t="str">
        <f>VLOOKUP(Table1_2[[#This Row],[Categories]],Sheet3!$A$1:$B$27,2,FALSE)</f>
        <v>Clothing and footwear</v>
      </c>
    </row>
    <row r="5539" spans="1:7" x14ac:dyDescent="0.3">
      <c r="A5539" t="s">
        <v>30</v>
      </c>
      <c r="B5539">
        <v>2018</v>
      </c>
      <c r="C5539" t="s">
        <v>43</v>
      </c>
      <c r="D5539" s="2">
        <v>43374</v>
      </c>
      <c r="E5539" t="s">
        <v>21</v>
      </c>
      <c r="F5539">
        <v>149.69999999999999</v>
      </c>
      <c r="G5539" t="str">
        <f>VLOOKUP(Table1_2[[#This Row],[Categories]],Sheet3!$A$1:$B$27,2,FALSE)</f>
        <v>Fuel and light</v>
      </c>
    </row>
    <row r="5540" spans="1:7" x14ac:dyDescent="0.3">
      <c r="A5540" t="s">
        <v>30</v>
      </c>
      <c r="B5540">
        <v>2018</v>
      </c>
      <c r="C5540" t="s">
        <v>43</v>
      </c>
      <c r="D5540" s="2">
        <v>43374</v>
      </c>
      <c r="E5540" t="s">
        <v>22</v>
      </c>
      <c r="F5540">
        <v>147.5</v>
      </c>
      <c r="G5540" t="str">
        <f>VLOOKUP(Table1_2[[#This Row],[Categories]],Sheet3!$A$1:$B$27,2,FALSE)</f>
        <v>Household Items</v>
      </c>
    </row>
    <row r="5541" spans="1:7" x14ac:dyDescent="0.3">
      <c r="A5541" t="s">
        <v>30</v>
      </c>
      <c r="B5541">
        <v>2018</v>
      </c>
      <c r="C5541" t="s">
        <v>43</v>
      </c>
      <c r="D5541" s="2">
        <v>43374</v>
      </c>
      <c r="E5541" t="s">
        <v>23</v>
      </c>
      <c r="F5541">
        <v>144.80000000000001</v>
      </c>
      <c r="G5541" t="str">
        <f>VLOOKUP(Table1_2[[#This Row],[Categories]],Sheet3!$A$1:$B$27,2,FALSE)</f>
        <v>Health</v>
      </c>
    </row>
    <row r="5542" spans="1:7" x14ac:dyDescent="0.3">
      <c r="A5542" t="s">
        <v>30</v>
      </c>
      <c r="B5542">
        <v>2018</v>
      </c>
      <c r="C5542" t="s">
        <v>43</v>
      </c>
      <c r="D5542" s="2">
        <v>43374</v>
      </c>
      <c r="E5542" t="s">
        <v>24</v>
      </c>
      <c r="F5542">
        <v>130.80000000000001</v>
      </c>
      <c r="G5542" t="str">
        <f>VLOOKUP(Table1_2[[#This Row],[Categories]],Sheet3!$A$1:$B$27,2,FALSE)</f>
        <v>Transport and communication</v>
      </c>
    </row>
    <row r="5543" spans="1:7" x14ac:dyDescent="0.3">
      <c r="A5543" t="s">
        <v>30</v>
      </c>
      <c r="B5543">
        <v>2018</v>
      </c>
      <c r="C5543" t="s">
        <v>43</v>
      </c>
      <c r="D5543" s="2">
        <v>43374</v>
      </c>
      <c r="E5543" t="s">
        <v>25</v>
      </c>
      <c r="F5543">
        <v>140.1</v>
      </c>
      <c r="G5543" t="str">
        <f>VLOOKUP(Table1_2[[#This Row],[Categories]],Sheet3!$A$1:$B$27,2,FALSE)</f>
        <v>Recreation and amusement</v>
      </c>
    </row>
    <row r="5544" spans="1:7" x14ac:dyDescent="0.3">
      <c r="A5544" t="s">
        <v>30</v>
      </c>
      <c r="B5544">
        <v>2018</v>
      </c>
      <c r="C5544" t="s">
        <v>43</v>
      </c>
      <c r="D5544" s="2">
        <v>43374</v>
      </c>
      <c r="E5544" t="s">
        <v>26</v>
      </c>
      <c r="F5544">
        <v>148</v>
      </c>
      <c r="G5544" t="str">
        <f>VLOOKUP(Table1_2[[#This Row],[Categories]],Sheet3!$A$1:$B$27,2,FALSE)</f>
        <v>Education</v>
      </c>
    </row>
    <row r="5545" spans="1:7" x14ac:dyDescent="0.3">
      <c r="A5545" t="s">
        <v>30</v>
      </c>
      <c r="B5545">
        <v>2018</v>
      </c>
      <c r="C5545" t="s">
        <v>43</v>
      </c>
      <c r="D5545" s="2">
        <v>43374</v>
      </c>
      <c r="E5545" t="s">
        <v>27</v>
      </c>
      <c r="F5545">
        <v>134.4</v>
      </c>
      <c r="G5545" t="str">
        <f>VLOOKUP(Table1_2[[#This Row],[Categories]],Sheet3!$A$1:$B$27,2,FALSE)</f>
        <v>Household Items</v>
      </c>
    </row>
    <row r="5546" spans="1:7" x14ac:dyDescent="0.3">
      <c r="A5546" t="s">
        <v>30</v>
      </c>
      <c r="B5546">
        <v>2018</v>
      </c>
      <c r="C5546" t="s">
        <v>43</v>
      </c>
      <c r="D5546" s="2">
        <v>43374</v>
      </c>
      <c r="E5546" t="s">
        <v>28</v>
      </c>
      <c r="F5546">
        <v>139.80000000000001</v>
      </c>
      <c r="G5546" t="str">
        <f>VLOOKUP(Table1_2[[#This Row],[Categories]],Sheet3!$A$1:$B$27,2,FALSE)</f>
        <v>Miscellaneous</v>
      </c>
    </row>
    <row r="5547" spans="1:7" x14ac:dyDescent="0.3">
      <c r="A5547" t="s">
        <v>30</v>
      </c>
      <c r="B5547">
        <v>2018</v>
      </c>
      <c r="C5547" t="s">
        <v>43</v>
      </c>
      <c r="D5547" s="2">
        <v>43374</v>
      </c>
      <c r="E5547" t="s">
        <v>29</v>
      </c>
      <c r="F5547">
        <v>142.19999999999999</v>
      </c>
      <c r="G5547" t="str">
        <f>VLOOKUP(Table1_2[[#This Row],[Categories]],Sheet3!$A$1:$B$27,2,FALSE)</f>
        <v>General index</v>
      </c>
    </row>
    <row r="5548" spans="1:7" x14ac:dyDescent="0.3">
      <c r="A5548" t="s">
        <v>33</v>
      </c>
      <c r="B5548">
        <v>2018</v>
      </c>
      <c r="C5548" t="s">
        <v>43</v>
      </c>
      <c r="D5548" s="2">
        <v>43374</v>
      </c>
      <c r="E5548" t="s">
        <v>3</v>
      </c>
      <c r="F5548">
        <v>137.6</v>
      </c>
      <c r="G5548" t="str">
        <f>VLOOKUP(Table1_2[[#This Row],[Categories]],Sheet3!$A$1:$B$27,2,FALSE)</f>
        <v>Food &amp;Beverage</v>
      </c>
    </row>
    <row r="5549" spans="1:7" x14ac:dyDescent="0.3">
      <c r="A5549" t="s">
        <v>33</v>
      </c>
      <c r="B5549">
        <v>2018</v>
      </c>
      <c r="C5549" t="s">
        <v>43</v>
      </c>
      <c r="D5549" s="2">
        <v>43374</v>
      </c>
      <c r="E5549" t="s">
        <v>4</v>
      </c>
      <c r="F5549">
        <v>144.9</v>
      </c>
      <c r="G5549" t="str">
        <f>VLOOKUP(Table1_2[[#This Row],[Categories]],Sheet3!$A$1:$B$27,2,FALSE)</f>
        <v>Food &amp;Beverage</v>
      </c>
    </row>
    <row r="5550" spans="1:7" x14ac:dyDescent="0.3">
      <c r="A5550" t="s">
        <v>33</v>
      </c>
      <c r="B5550">
        <v>2018</v>
      </c>
      <c r="C5550" t="s">
        <v>43</v>
      </c>
      <c r="D5550" s="2">
        <v>43374</v>
      </c>
      <c r="E5550" t="s">
        <v>5</v>
      </c>
      <c r="F5550">
        <v>133.5</v>
      </c>
      <c r="G5550" t="str">
        <f>VLOOKUP(Table1_2[[#This Row],[Categories]],Sheet3!$A$1:$B$27,2,FALSE)</f>
        <v>Food &amp;Beverage</v>
      </c>
    </row>
    <row r="5551" spans="1:7" x14ac:dyDescent="0.3">
      <c r="A5551" t="s">
        <v>33</v>
      </c>
      <c r="B5551">
        <v>2018</v>
      </c>
      <c r="C5551" t="s">
        <v>43</v>
      </c>
      <c r="D5551" s="2">
        <v>43374</v>
      </c>
      <c r="E5551" t="s">
        <v>6</v>
      </c>
      <c r="F5551">
        <v>141.5</v>
      </c>
      <c r="G5551" t="str">
        <f>VLOOKUP(Table1_2[[#This Row],[Categories]],Sheet3!$A$1:$B$27,2,FALSE)</f>
        <v>Food &amp;Beverage</v>
      </c>
    </row>
    <row r="5552" spans="1:7" x14ac:dyDescent="0.3">
      <c r="A5552" t="s">
        <v>33</v>
      </c>
      <c r="B5552">
        <v>2018</v>
      </c>
      <c r="C5552" t="s">
        <v>43</v>
      </c>
      <c r="D5552" s="2">
        <v>43374</v>
      </c>
      <c r="E5552" t="s">
        <v>7</v>
      </c>
      <c r="F5552">
        <v>118</v>
      </c>
      <c r="G5552" t="str">
        <f>VLOOKUP(Table1_2[[#This Row],[Categories]],Sheet3!$A$1:$B$27,2,FALSE)</f>
        <v>Food &amp;Beverage</v>
      </c>
    </row>
    <row r="5553" spans="1:7" x14ac:dyDescent="0.3">
      <c r="A5553" t="s">
        <v>33</v>
      </c>
      <c r="B5553">
        <v>2018</v>
      </c>
      <c r="C5553" t="s">
        <v>43</v>
      </c>
      <c r="D5553" s="2">
        <v>43374</v>
      </c>
      <c r="E5553" t="s">
        <v>8</v>
      </c>
      <c r="F5553">
        <v>139.5</v>
      </c>
      <c r="G5553" t="str">
        <f>VLOOKUP(Table1_2[[#This Row],[Categories]],Sheet3!$A$1:$B$27,2,FALSE)</f>
        <v>Food &amp;Beverage</v>
      </c>
    </row>
    <row r="5554" spans="1:7" x14ac:dyDescent="0.3">
      <c r="A5554" t="s">
        <v>33</v>
      </c>
      <c r="B5554">
        <v>2018</v>
      </c>
      <c r="C5554" t="s">
        <v>43</v>
      </c>
      <c r="D5554" s="2">
        <v>43374</v>
      </c>
      <c r="E5554" t="s">
        <v>9</v>
      </c>
      <c r="F5554">
        <v>153</v>
      </c>
      <c r="G5554" t="str">
        <f>VLOOKUP(Table1_2[[#This Row],[Categories]],Sheet3!$A$1:$B$27,2,FALSE)</f>
        <v>Food &amp;Beverage</v>
      </c>
    </row>
    <row r="5555" spans="1:7" x14ac:dyDescent="0.3">
      <c r="A5555" t="s">
        <v>33</v>
      </c>
      <c r="B5555">
        <v>2018</v>
      </c>
      <c r="C5555" t="s">
        <v>43</v>
      </c>
      <c r="D5555" s="2">
        <v>43374</v>
      </c>
      <c r="E5555" t="s">
        <v>10</v>
      </c>
      <c r="F5555">
        <v>113.2</v>
      </c>
      <c r="G5555" t="str">
        <f>VLOOKUP(Table1_2[[#This Row],[Categories]],Sheet3!$A$1:$B$27,2,FALSE)</f>
        <v>Food &amp;Beverage</v>
      </c>
    </row>
    <row r="5556" spans="1:7" x14ac:dyDescent="0.3">
      <c r="A5556" t="s">
        <v>33</v>
      </c>
      <c r="B5556">
        <v>2018</v>
      </c>
      <c r="C5556" t="s">
        <v>43</v>
      </c>
      <c r="D5556" s="2">
        <v>43374</v>
      </c>
      <c r="E5556" t="s">
        <v>11</v>
      </c>
      <c r="F5556">
        <v>112.8</v>
      </c>
      <c r="G5556" t="str">
        <f>VLOOKUP(Table1_2[[#This Row],[Categories]],Sheet3!$A$1:$B$27,2,FALSE)</f>
        <v>Food &amp;Beverage</v>
      </c>
    </row>
    <row r="5557" spans="1:7" x14ac:dyDescent="0.3">
      <c r="A5557" t="s">
        <v>33</v>
      </c>
      <c r="B5557">
        <v>2018</v>
      </c>
      <c r="C5557" t="s">
        <v>43</v>
      </c>
      <c r="D5557" s="2">
        <v>43374</v>
      </c>
      <c r="E5557" t="s">
        <v>12</v>
      </c>
      <c r="F5557">
        <v>141.1</v>
      </c>
      <c r="G5557" t="str">
        <f>VLOOKUP(Table1_2[[#This Row],[Categories]],Sheet3!$A$1:$B$27,2,FALSE)</f>
        <v>Food &amp;Beverage</v>
      </c>
    </row>
    <row r="5558" spans="1:7" x14ac:dyDescent="0.3">
      <c r="A5558" t="s">
        <v>33</v>
      </c>
      <c r="B5558">
        <v>2018</v>
      </c>
      <c r="C5558" t="s">
        <v>43</v>
      </c>
      <c r="D5558" s="2">
        <v>43374</v>
      </c>
      <c r="E5558" t="s">
        <v>13</v>
      </c>
      <c r="F5558">
        <v>127.6</v>
      </c>
      <c r="G5558" t="str">
        <f>VLOOKUP(Table1_2[[#This Row],[Categories]],Sheet3!$A$1:$B$27,2,FALSE)</f>
        <v>Food &amp;Beverage</v>
      </c>
    </row>
    <row r="5559" spans="1:7" x14ac:dyDescent="0.3">
      <c r="A5559" t="s">
        <v>33</v>
      </c>
      <c r="B5559">
        <v>2018</v>
      </c>
      <c r="C5559" t="s">
        <v>43</v>
      </c>
      <c r="D5559" s="2">
        <v>43374</v>
      </c>
      <c r="E5559" t="s">
        <v>14</v>
      </c>
      <c r="F5559">
        <v>152</v>
      </c>
      <c r="G5559" t="str">
        <f>VLOOKUP(Table1_2[[#This Row],[Categories]],Sheet3!$A$1:$B$27,2,FALSE)</f>
        <v>Food &amp;Beverage</v>
      </c>
    </row>
    <row r="5560" spans="1:7" x14ac:dyDescent="0.3">
      <c r="A5560" t="s">
        <v>33</v>
      </c>
      <c r="B5560">
        <v>2018</v>
      </c>
      <c r="C5560" t="s">
        <v>43</v>
      </c>
      <c r="D5560" s="2">
        <v>43374</v>
      </c>
      <c r="E5560" t="s">
        <v>15</v>
      </c>
      <c r="F5560">
        <v>139.4</v>
      </c>
      <c r="G5560" t="str">
        <f>VLOOKUP(Table1_2[[#This Row],[Categories]],Sheet3!$A$1:$B$27,2,FALSE)</f>
        <v>Food &amp;Beverage</v>
      </c>
    </row>
    <row r="5561" spans="1:7" x14ac:dyDescent="0.3">
      <c r="A5561" t="s">
        <v>33</v>
      </c>
      <c r="B5561">
        <v>2018</v>
      </c>
      <c r="C5561" t="s">
        <v>43</v>
      </c>
      <c r="D5561" s="2">
        <v>43374</v>
      </c>
      <c r="E5561" t="s">
        <v>16</v>
      </c>
      <c r="F5561">
        <v>164</v>
      </c>
      <c r="G5561" t="str">
        <f>VLOOKUP(Table1_2[[#This Row],[Categories]],Sheet3!$A$1:$B$27,2,FALSE)</f>
        <v>Recreation and amusement</v>
      </c>
    </row>
    <row r="5562" spans="1:7" x14ac:dyDescent="0.3">
      <c r="A5562" t="s">
        <v>33</v>
      </c>
      <c r="B5562">
        <v>2018</v>
      </c>
      <c r="C5562" t="s">
        <v>43</v>
      </c>
      <c r="D5562" s="2">
        <v>43374</v>
      </c>
      <c r="E5562" t="s">
        <v>17</v>
      </c>
      <c r="F5562">
        <v>141.5</v>
      </c>
      <c r="G5562" t="str">
        <f>VLOOKUP(Table1_2[[#This Row],[Categories]],Sheet3!$A$1:$B$27,2,FALSE)</f>
        <v>Clothing and footwear</v>
      </c>
    </row>
    <row r="5563" spans="1:7" x14ac:dyDescent="0.3">
      <c r="A5563" t="s">
        <v>33</v>
      </c>
      <c r="B5563">
        <v>2018</v>
      </c>
      <c r="C5563" t="s">
        <v>43</v>
      </c>
      <c r="D5563" s="2">
        <v>43374</v>
      </c>
      <c r="E5563" t="s">
        <v>18</v>
      </c>
      <c r="F5563">
        <v>129.80000000000001</v>
      </c>
      <c r="G5563" t="str">
        <f>VLOOKUP(Table1_2[[#This Row],[Categories]],Sheet3!$A$1:$B$27,2,FALSE)</f>
        <v>Clothing and footwear</v>
      </c>
    </row>
    <row r="5564" spans="1:7" x14ac:dyDescent="0.3">
      <c r="A5564" t="s">
        <v>33</v>
      </c>
      <c r="B5564">
        <v>2018</v>
      </c>
      <c r="C5564" t="s">
        <v>43</v>
      </c>
      <c r="D5564" s="2">
        <v>43374</v>
      </c>
      <c r="E5564" t="s">
        <v>19</v>
      </c>
      <c r="F5564">
        <v>139.69999999999999</v>
      </c>
      <c r="G5564" t="str">
        <f>VLOOKUP(Table1_2[[#This Row],[Categories]],Sheet3!$A$1:$B$27,2,FALSE)</f>
        <v>Clothing and footwear</v>
      </c>
    </row>
    <row r="5565" spans="1:7" x14ac:dyDescent="0.3">
      <c r="A5565" t="s">
        <v>33</v>
      </c>
      <c r="B5565">
        <v>2018</v>
      </c>
      <c r="C5565" t="s">
        <v>43</v>
      </c>
      <c r="D5565" s="2">
        <v>43374</v>
      </c>
      <c r="E5565" t="s">
        <v>20</v>
      </c>
      <c r="F5565">
        <v>146.30000000000001</v>
      </c>
      <c r="G5565" t="str">
        <f>VLOOKUP(Table1_2[[#This Row],[Categories]],Sheet3!$A$1:$B$27,2,FALSE)</f>
        <v>Housing</v>
      </c>
    </row>
    <row r="5566" spans="1:7" x14ac:dyDescent="0.3">
      <c r="A5566" t="s">
        <v>33</v>
      </c>
      <c r="B5566">
        <v>2018</v>
      </c>
      <c r="C5566" t="s">
        <v>43</v>
      </c>
      <c r="D5566" s="2">
        <v>43374</v>
      </c>
      <c r="E5566" t="s">
        <v>21</v>
      </c>
      <c r="F5566">
        <v>133.4</v>
      </c>
      <c r="G5566" t="str">
        <f>VLOOKUP(Table1_2[[#This Row],[Categories]],Sheet3!$A$1:$B$27,2,FALSE)</f>
        <v>Fuel and light</v>
      </c>
    </row>
    <row r="5567" spans="1:7" x14ac:dyDescent="0.3">
      <c r="A5567" t="s">
        <v>33</v>
      </c>
      <c r="B5567">
        <v>2018</v>
      </c>
      <c r="C5567" t="s">
        <v>43</v>
      </c>
      <c r="D5567" s="2">
        <v>43374</v>
      </c>
      <c r="E5567" t="s">
        <v>22</v>
      </c>
      <c r="F5567">
        <v>135.1</v>
      </c>
      <c r="G5567" t="str">
        <f>VLOOKUP(Table1_2[[#This Row],[Categories]],Sheet3!$A$1:$B$27,2,FALSE)</f>
        <v>Household Items</v>
      </c>
    </row>
    <row r="5568" spans="1:7" x14ac:dyDescent="0.3">
      <c r="A5568" t="s">
        <v>33</v>
      </c>
      <c r="B5568">
        <v>2018</v>
      </c>
      <c r="C5568" t="s">
        <v>43</v>
      </c>
      <c r="D5568" s="2">
        <v>43374</v>
      </c>
      <c r="E5568" t="s">
        <v>23</v>
      </c>
      <c r="F5568">
        <v>136.19999999999999</v>
      </c>
      <c r="G5568" t="str">
        <f>VLOOKUP(Table1_2[[#This Row],[Categories]],Sheet3!$A$1:$B$27,2,FALSE)</f>
        <v>Health</v>
      </c>
    </row>
    <row r="5569" spans="1:7" x14ac:dyDescent="0.3">
      <c r="A5569" t="s">
        <v>33</v>
      </c>
      <c r="B5569">
        <v>2018</v>
      </c>
      <c r="C5569" t="s">
        <v>43</v>
      </c>
      <c r="D5569" s="2">
        <v>43374</v>
      </c>
      <c r="E5569" t="s">
        <v>24</v>
      </c>
      <c r="F5569">
        <v>123.3</v>
      </c>
      <c r="G5569" t="str">
        <f>VLOOKUP(Table1_2[[#This Row],[Categories]],Sheet3!$A$1:$B$27,2,FALSE)</f>
        <v>Transport and communication</v>
      </c>
    </row>
    <row r="5570" spans="1:7" x14ac:dyDescent="0.3">
      <c r="A5570" t="s">
        <v>33</v>
      </c>
      <c r="B5570">
        <v>2018</v>
      </c>
      <c r="C5570" t="s">
        <v>43</v>
      </c>
      <c r="D5570" s="2">
        <v>43374</v>
      </c>
      <c r="E5570" t="s">
        <v>25</v>
      </c>
      <c r="F5570">
        <v>130.69999999999999</v>
      </c>
      <c r="G5570" t="str">
        <f>VLOOKUP(Table1_2[[#This Row],[Categories]],Sheet3!$A$1:$B$27,2,FALSE)</f>
        <v>Recreation and amusement</v>
      </c>
    </row>
    <row r="5571" spans="1:7" x14ac:dyDescent="0.3">
      <c r="A5571" t="s">
        <v>33</v>
      </c>
      <c r="B5571">
        <v>2018</v>
      </c>
      <c r="C5571" t="s">
        <v>43</v>
      </c>
      <c r="D5571" s="2">
        <v>43374</v>
      </c>
      <c r="E5571" t="s">
        <v>26</v>
      </c>
      <c r="F5571">
        <v>145.5</v>
      </c>
      <c r="G5571" t="str">
        <f>VLOOKUP(Table1_2[[#This Row],[Categories]],Sheet3!$A$1:$B$27,2,FALSE)</f>
        <v>Education</v>
      </c>
    </row>
    <row r="5572" spans="1:7" x14ac:dyDescent="0.3">
      <c r="A5572" t="s">
        <v>33</v>
      </c>
      <c r="B5572">
        <v>2018</v>
      </c>
      <c r="C5572" t="s">
        <v>43</v>
      </c>
      <c r="D5572" s="2">
        <v>43374</v>
      </c>
      <c r="E5572" t="s">
        <v>27</v>
      </c>
      <c r="F5572">
        <v>130.4</v>
      </c>
      <c r="G5572" t="str">
        <f>VLOOKUP(Table1_2[[#This Row],[Categories]],Sheet3!$A$1:$B$27,2,FALSE)</f>
        <v>Household Items</v>
      </c>
    </row>
    <row r="5573" spans="1:7" x14ac:dyDescent="0.3">
      <c r="A5573" t="s">
        <v>33</v>
      </c>
      <c r="B5573">
        <v>2018</v>
      </c>
      <c r="C5573" t="s">
        <v>43</v>
      </c>
      <c r="D5573" s="2">
        <v>43374</v>
      </c>
      <c r="E5573" t="s">
        <v>28</v>
      </c>
      <c r="F5573">
        <v>132.5</v>
      </c>
      <c r="G5573" t="str">
        <f>VLOOKUP(Table1_2[[#This Row],[Categories]],Sheet3!$A$1:$B$27,2,FALSE)</f>
        <v>Miscellaneous</v>
      </c>
    </row>
    <row r="5574" spans="1:7" x14ac:dyDescent="0.3">
      <c r="A5574" t="s">
        <v>33</v>
      </c>
      <c r="B5574">
        <v>2018</v>
      </c>
      <c r="C5574" t="s">
        <v>43</v>
      </c>
      <c r="D5574" s="2">
        <v>43374</v>
      </c>
      <c r="E5574" t="s">
        <v>29</v>
      </c>
      <c r="F5574">
        <v>138.9</v>
      </c>
      <c r="G5574" t="str">
        <f>VLOOKUP(Table1_2[[#This Row],[Categories]],Sheet3!$A$1:$B$27,2,FALSE)</f>
        <v>General index</v>
      </c>
    </row>
    <row r="5575" spans="1:7" x14ac:dyDescent="0.3">
      <c r="A5575" t="s">
        <v>34</v>
      </c>
      <c r="B5575">
        <v>2018</v>
      </c>
      <c r="C5575" t="s">
        <v>43</v>
      </c>
      <c r="D5575" s="2">
        <v>43374</v>
      </c>
      <c r="E5575" t="s">
        <v>3</v>
      </c>
      <c r="F5575">
        <v>137.4</v>
      </c>
      <c r="G5575" t="str">
        <f>VLOOKUP(Table1_2[[#This Row],[Categories]],Sheet3!$A$1:$B$27,2,FALSE)</f>
        <v>Food &amp;Beverage</v>
      </c>
    </row>
    <row r="5576" spans="1:7" x14ac:dyDescent="0.3">
      <c r="A5576" t="s">
        <v>34</v>
      </c>
      <c r="B5576">
        <v>2018</v>
      </c>
      <c r="C5576" t="s">
        <v>43</v>
      </c>
      <c r="D5576" s="2">
        <v>43374</v>
      </c>
      <c r="E5576" t="s">
        <v>4</v>
      </c>
      <c r="F5576">
        <v>149.5</v>
      </c>
      <c r="G5576" t="str">
        <f>VLOOKUP(Table1_2[[#This Row],[Categories]],Sheet3!$A$1:$B$27,2,FALSE)</f>
        <v>Food &amp;Beverage</v>
      </c>
    </row>
    <row r="5577" spans="1:7" x14ac:dyDescent="0.3">
      <c r="A5577" t="s">
        <v>34</v>
      </c>
      <c r="B5577">
        <v>2018</v>
      </c>
      <c r="C5577" t="s">
        <v>43</v>
      </c>
      <c r="D5577" s="2">
        <v>43374</v>
      </c>
      <c r="E5577" t="s">
        <v>5</v>
      </c>
      <c r="F5577">
        <v>137.30000000000001</v>
      </c>
      <c r="G5577" t="str">
        <f>VLOOKUP(Table1_2[[#This Row],[Categories]],Sheet3!$A$1:$B$27,2,FALSE)</f>
        <v>Food &amp;Beverage</v>
      </c>
    </row>
    <row r="5578" spans="1:7" x14ac:dyDescent="0.3">
      <c r="A5578" t="s">
        <v>34</v>
      </c>
      <c r="B5578">
        <v>2018</v>
      </c>
      <c r="C5578" t="s">
        <v>43</v>
      </c>
      <c r="D5578" s="2">
        <v>43374</v>
      </c>
      <c r="E5578" t="s">
        <v>6</v>
      </c>
      <c r="F5578">
        <v>141.9</v>
      </c>
      <c r="G5578" t="str">
        <f>VLOOKUP(Table1_2[[#This Row],[Categories]],Sheet3!$A$1:$B$27,2,FALSE)</f>
        <v>Food &amp;Beverage</v>
      </c>
    </row>
    <row r="5579" spans="1:7" x14ac:dyDescent="0.3">
      <c r="A5579" t="s">
        <v>34</v>
      </c>
      <c r="B5579">
        <v>2018</v>
      </c>
      <c r="C5579" t="s">
        <v>43</v>
      </c>
      <c r="D5579" s="2">
        <v>43374</v>
      </c>
      <c r="E5579" t="s">
        <v>7</v>
      </c>
      <c r="F5579">
        <v>121.1</v>
      </c>
      <c r="G5579" t="str">
        <f>VLOOKUP(Table1_2[[#This Row],[Categories]],Sheet3!$A$1:$B$27,2,FALSE)</f>
        <v>Food &amp;Beverage</v>
      </c>
    </row>
    <row r="5580" spans="1:7" x14ac:dyDescent="0.3">
      <c r="A5580" t="s">
        <v>34</v>
      </c>
      <c r="B5580">
        <v>2018</v>
      </c>
      <c r="C5580" t="s">
        <v>43</v>
      </c>
      <c r="D5580" s="2">
        <v>43374</v>
      </c>
      <c r="E5580" t="s">
        <v>8</v>
      </c>
      <c r="F5580">
        <v>142.5</v>
      </c>
      <c r="G5580" t="str">
        <f>VLOOKUP(Table1_2[[#This Row],[Categories]],Sheet3!$A$1:$B$27,2,FALSE)</f>
        <v>Food &amp;Beverage</v>
      </c>
    </row>
    <row r="5581" spans="1:7" x14ac:dyDescent="0.3">
      <c r="A5581" t="s">
        <v>34</v>
      </c>
      <c r="B5581">
        <v>2018</v>
      </c>
      <c r="C5581" t="s">
        <v>43</v>
      </c>
      <c r="D5581" s="2">
        <v>43374</v>
      </c>
      <c r="E5581" t="s">
        <v>9</v>
      </c>
      <c r="F5581">
        <v>146.69999999999999</v>
      </c>
      <c r="G5581" t="str">
        <f>VLOOKUP(Table1_2[[#This Row],[Categories]],Sheet3!$A$1:$B$27,2,FALSE)</f>
        <v>Food &amp;Beverage</v>
      </c>
    </row>
    <row r="5582" spans="1:7" x14ac:dyDescent="0.3">
      <c r="A5582" t="s">
        <v>34</v>
      </c>
      <c r="B5582">
        <v>2018</v>
      </c>
      <c r="C5582" t="s">
        <v>43</v>
      </c>
      <c r="D5582" s="2">
        <v>43374</v>
      </c>
      <c r="E5582" t="s">
        <v>10</v>
      </c>
      <c r="F5582">
        <v>119.1</v>
      </c>
      <c r="G5582" t="str">
        <f>VLOOKUP(Table1_2[[#This Row],[Categories]],Sheet3!$A$1:$B$27,2,FALSE)</f>
        <v>Food &amp;Beverage</v>
      </c>
    </row>
    <row r="5583" spans="1:7" x14ac:dyDescent="0.3">
      <c r="A5583" t="s">
        <v>34</v>
      </c>
      <c r="B5583">
        <v>2018</v>
      </c>
      <c r="C5583" t="s">
        <v>43</v>
      </c>
      <c r="D5583" s="2">
        <v>43374</v>
      </c>
      <c r="E5583" t="s">
        <v>11</v>
      </c>
      <c r="F5583">
        <v>111.9</v>
      </c>
      <c r="G5583" t="str">
        <f>VLOOKUP(Table1_2[[#This Row],[Categories]],Sheet3!$A$1:$B$27,2,FALSE)</f>
        <v>Food &amp;Beverage</v>
      </c>
    </row>
    <row r="5584" spans="1:7" x14ac:dyDescent="0.3">
      <c r="A5584" t="s">
        <v>34</v>
      </c>
      <c r="B5584">
        <v>2018</v>
      </c>
      <c r="C5584" t="s">
        <v>43</v>
      </c>
      <c r="D5584" s="2">
        <v>43374</v>
      </c>
      <c r="E5584" t="s">
        <v>12</v>
      </c>
      <c r="F5584">
        <v>141</v>
      </c>
      <c r="G5584" t="str">
        <f>VLOOKUP(Table1_2[[#This Row],[Categories]],Sheet3!$A$1:$B$27,2,FALSE)</f>
        <v>Food &amp;Beverage</v>
      </c>
    </row>
    <row r="5585" spans="1:7" x14ac:dyDescent="0.3">
      <c r="A5585" t="s">
        <v>34</v>
      </c>
      <c r="B5585">
        <v>2018</v>
      </c>
      <c r="C5585" t="s">
        <v>43</v>
      </c>
      <c r="D5585" s="2">
        <v>43374</v>
      </c>
      <c r="E5585" t="s">
        <v>13</v>
      </c>
      <c r="F5585">
        <v>133.6</v>
      </c>
      <c r="G5585" t="str">
        <f>VLOOKUP(Table1_2[[#This Row],[Categories]],Sheet3!$A$1:$B$27,2,FALSE)</f>
        <v>Food &amp;Beverage</v>
      </c>
    </row>
    <row r="5586" spans="1:7" x14ac:dyDescent="0.3">
      <c r="A5586" t="s">
        <v>34</v>
      </c>
      <c r="B5586">
        <v>2018</v>
      </c>
      <c r="C5586" t="s">
        <v>43</v>
      </c>
      <c r="D5586" s="2">
        <v>43374</v>
      </c>
      <c r="E5586" t="s">
        <v>14</v>
      </c>
      <c r="F5586">
        <v>154.5</v>
      </c>
      <c r="G5586" t="str">
        <f>VLOOKUP(Table1_2[[#This Row],[Categories]],Sheet3!$A$1:$B$27,2,FALSE)</f>
        <v>Food &amp;Beverage</v>
      </c>
    </row>
    <row r="5587" spans="1:7" x14ac:dyDescent="0.3">
      <c r="A5587" t="s">
        <v>34</v>
      </c>
      <c r="B5587">
        <v>2018</v>
      </c>
      <c r="C5587" t="s">
        <v>43</v>
      </c>
      <c r="D5587" s="2">
        <v>43374</v>
      </c>
      <c r="E5587" t="s">
        <v>15</v>
      </c>
      <c r="F5587">
        <v>139.69999999999999</v>
      </c>
      <c r="G5587" t="str">
        <f>VLOOKUP(Table1_2[[#This Row],[Categories]],Sheet3!$A$1:$B$27,2,FALSE)</f>
        <v>Food &amp;Beverage</v>
      </c>
    </row>
    <row r="5588" spans="1:7" x14ac:dyDescent="0.3">
      <c r="A5588" t="s">
        <v>34</v>
      </c>
      <c r="B5588">
        <v>2018</v>
      </c>
      <c r="C5588" t="s">
        <v>43</v>
      </c>
      <c r="D5588" s="2">
        <v>43374</v>
      </c>
      <c r="E5588" t="s">
        <v>16</v>
      </c>
      <c r="F5588">
        <v>162.6</v>
      </c>
      <c r="G5588" t="str">
        <f>VLOOKUP(Table1_2[[#This Row],[Categories]],Sheet3!$A$1:$B$27,2,FALSE)</f>
        <v>Recreation and amusement</v>
      </c>
    </row>
    <row r="5589" spans="1:7" x14ac:dyDescent="0.3">
      <c r="A5589" t="s">
        <v>34</v>
      </c>
      <c r="B5589">
        <v>2018</v>
      </c>
      <c r="C5589" t="s">
        <v>43</v>
      </c>
      <c r="D5589" s="2">
        <v>43374</v>
      </c>
      <c r="E5589" t="s">
        <v>17</v>
      </c>
      <c r="F5589">
        <v>148</v>
      </c>
      <c r="G5589" t="str">
        <f>VLOOKUP(Table1_2[[#This Row],[Categories]],Sheet3!$A$1:$B$27,2,FALSE)</f>
        <v>Clothing and footwear</v>
      </c>
    </row>
    <row r="5590" spans="1:7" x14ac:dyDescent="0.3">
      <c r="A5590" t="s">
        <v>34</v>
      </c>
      <c r="B5590">
        <v>2018</v>
      </c>
      <c r="C5590" t="s">
        <v>43</v>
      </c>
      <c r="D5590" s="2">
        <v>43374</v>
      </c>
      <c r="E5590" t="s">
        <v>18</v>
      </c>
      <c r="F5590">
        <v>139.19999999999999</v>
      </c>
      <c r="G5590" t="str">
        <f>VLOOKUP(Table1_2[[#This Row],[Categories]],Sheet3!$A$1:$B$27,2,FALSE)</f>
        <v>Clothing and footwear</v>
      </c>
    </row>
    <row r="5591" spans="1:7" x14ac:dyDescent="0.3">
      <c r="A5591" t="s">
        <v>34</v>
      </c>
      <c r="B5591">
        <v>2018</v>
      </c>
      <c r="C5591" t="s">
        <v>43</v>
      </c>
      <c r="D5591" s="2">
        <v>43374</v>
      </c>
      <c r="E5591" t="s">
        <v>19</v>
      </c>
      <c r="F5591">
        <v>146.80000000000001</v>
      </c>
      <c r="G5591" t="str">
        <f>VLOOKUP(Table1_2[[#This Row],[Categories]],Sheet3!$A$1:$B$27,2,FALSE)</f>
        <v>Clothing and footwear</v>
      </c>
    </row>
    <row r="5592" spans="1:7" x14ac:dyDescent="0.3">
      <c r="A5592" t="s">
        <v>34</v>
      </c>
      <c r="B5592">
        <v>2018</v>
      </c>
      <c r="C5592" t="s">
        <v>43</v>
      </c>
      <c r="D5592" s="2">
        <v>43374</v>
      </c>
      <c r="E5592" t="s">
        <v>20</v>
      </c>
      <c r="F5592">
        <v>146.9</v>
      </c>
      <c r="G5592" t="str">
        <f>VLOOKUP(Table1_2[[#This Row],[Categories]],Sheet3!$A$1:$B$27,2,FALSE)</f>
        <v>Housing</v>
      </c>
    </row>
    <row r="5593" spans="1:7" x14ac:dyDescent="0.3">
      <c r="A5593" t="s">
        <v>34</v>
      </c>
      <c r="B5593">
        <v>2018</v>
      </c>
      <c r="C5593" t="s">
        <v>43</v>
      </c>
      <c r="D5593" s="2">
        <v>43374</v>
      </c>
      <c r="E5593" t="s">
        <v>21</v>
      </c>
      <c r="F5593">
        <v>145.30000000000001</v>
      </c>
      <c r="G5593" t="str">
        <f>VLOOKUP(Table1_2[[#This Row],[Categories]],Sheet3!$A$1:$B$27,2,FALSE)</f>
        <v>Fuel and light</v>
      </c>
    </row>
    <row r="5594" spans="1:7" x14ac:dyDescent="0.3">
      <c r="A5594" t="s">
        <v>34</v>
      </c>
      <c r="B5594">
        <v>2018</v>
      </c>
      <c r="C5594" t="s">
        <v>43</v>
      </c>
      <c r="D5594" s="2">
        <v>43374</v>
      </c>
      <c r="E5594" t="s">
        <v>22</v>
      </c>
      <c r="F5594">
        <v>142.19999999999999</v>
      </c>
      <c r="G5594" t="str">
        <f>VLOOKUP(Table1_2[[#This Row],[Categories]],Sheet3!$A$1:$B$27,2,FALSE)</f>
        <v>Household Items</v>
      </c>
    </row>
    <row r="5595" spans="1:7" x14ac:dyDescent="0.3">
      <c r="A5595" t="s">
        <v>34</v>
      </c>
      <c r="B5595">
        <v>2018</v>
      </c>
      <c r="C5595" t="s">
        <v>43</v>
      </c>
      <c r="D5595" s="2">
        <v>43374</v>
      </c>
      <c r="E5595" t="s">
        <v>23</v>
      </c>
      <c r="F5595">
        <v>142.1</v>
      </c>
      <c r="G5595" t="str">
        <f>VLOOKUP(Table1_2[[#This Row],[Categories]],Sheet3!$A$1:$B$27,2,FALSE)</f>
        <v>Health</v>
      </c>
    </row>
    <row r="5596" spans="1:7" x14ac:dyDescent="0.3">
      <c r="A5596" t="s">
        <v>34</v>
      </c>
      <c r="B5596">
        <v>2018</v>
      </c>
      <c r="C5596" t="s">
        <v>43</v>
      </c>
      <c r="D5596" s="2">
        <v>43374</v>
      </c>
      <c r="E5596" t="s">
        <v>24</v>
      </c>
      <c r="F5596">
        <v>125.5</v>
      </c>
      <c r="G5596" t="str">
        <f>VLOOKUP(Table1_2[[#This Row],[Categories]],Sheet3!$A$1:$B$27,2,FALSE)</f>
        <v>Transport and communication</v>
      </c>
    </row>
    <row r="5597" spans="1:7" x14ac:dyDescent="0.3">
      <c r="A5597" t="s">
        <v>34</v>
      </c>
      <c r="B5597">
        <v>2018</v>
      </c>
      <c r="C5597" t="s">
        <v>43</v>
      </c>
      <c r="D5597" s="2">
        <v>43374</v>
      </c>
      <c r="E5597" t="s">
        <v>25</v>
      </c>
      <c r="F5597">
        <v>136.5</v>
      </c>
      <c r="G5597" t="str">
        <f>VLOOKUP(Table1_2[[#This Row],[Categories]],Sheet3!$A$1:$B$27,2,FALSE)</f>
        <v>Recreation and amusement</v>
      </c>
    </row>
    <row r="5598" spans="1:7" x14ac:dyDescent="0.3">
      <c r="A5598" t="s">
        <v>34</v>
      </c>
      <c r="B5598">
        <v>2018</v>
      </c>
      <c r="C5598" t="s">
        <v>43</v>
      </c>
      <c r="D5598" s="2">
        <v>43374</v>
      </c>
      <c r="E5598" t="s">
        <v>26</v>
      </c>
      <c r="F5598">
        <v>147.80000000000001</v>
      </c>
      <c r="G5598" t="str">
        <f>VLOOKUP(Table1_2[[#This Row],[Categories]],Sheet3!$A$1:$B$27,2,FALSE)</f>
        <v>Education</v>
      </c>
    </row>
    <row r="5599" spans="1:7" x14ac:dyDescent="0.3">
      <c r="A5599" t="s">
        <v>34</v>
      </c>
      <c r="B5599">
        <v>2018</v>
      </c>
      <c r="C5599" t="s">
        <v>43</v>
      </c>
      <c r="D5599" s="2">
        <v>43374</v>
      </c>
      <c r="E5599" t="s">
        <v>27</v>
      </c>
      <c r="F5599">
        <v>132</v>
      </c>
      <c r="G5599" t="str">
        <f>VLOOKUP(Table1_2[[#This Row],[Categories]],Sheet3!$A$1:$B$27,2,FALSE)</f>
        <v>Household Items</v>
      </c>
    </row>
    <row r="5600" spans="1:7" x14ac:dyDescent="0.3">
      <c r="A5600" t="s">
        <v>34</v>
      </c>
      <c r="B5600">
        <v>2018</v>
      </c>
      <c r="C5600" t="s">
        <v>43</v>
      </c>
      <c r="D5600" s="2">
        <v>43374</v>
      </c>
      <c r="E5600" t="s">
        <v>28</v>
      </c>
      <c r="F5600">
        <v>136.30000000000001</v>
      </c>
      <c r="G5600" t="str">
        <f>VLOOKUP(Table1_2[[#This Row],[Categories]],Sheet3!$A$1:$B$27,2,FALSE)</f>
        <v>Miscellaneous</v>
      </c>
    </row>
    <row r="5601" spans="1:7" x14ac:dyDescent="0.3">
      <c r="A5601" t="s">
        <v>34</v>
      </c>
      <c r="B5601">
        <v>2018</v>
      </c>
      <c r="C5601" t="s">
        <v>43</v>
      </c>
      <c r="D5601" s="2">
        <v>43374</v>
      </c>
      <c r="E5601" t="s">
        <v>29</v>
      </c>
      <c r="F5601">
        <v>140.80000000000001</v>
      </c>
      <c r="G5601" t="str">
        <f>VLOOKUP(Table1_2[[#This Row],[Categories]],Sheet3!$A$1:$B$27,2,FALSE)</f>
        <v>General index</v>
      </c>
    </row>
    <row r="5602" spans="1:7" x14ac:dyDescent="0.3">
      <c r="A5602" t="s">
        <v>30</v>
      </c>
      <c r="B5602">
        <v>2018</v>
      </c>
      <c r="C5602" t="s">
        <v>45</v>
      </c>
      <c r="D5602" s="2">
        <v>43405</v>
      </c>
      <c r="E5602" t="s">
        <v>3</v>
      </c>
      <c r="F5602">
        <v>137.1</v>
      </c>
      <c r="G5602" t="str">
        <f>VLOOKUP(Table1_2[[#This Row],[Categories]],Sheet3!$A$1:$B$27,2,FALSE)</f>
        <v>Food &amp;Beverage</v>
      </c>
    </row>
    <row r="5603" spans="1:7" x14ac:dyDescent="0.3">
      <c r="A5603" t="s">
        <v>30</v>
      </c>
      <c r="B5603">
        <v>2018</v>
      </c>
      <c r="C5603" t="s">
        <v>45</v>
      </c>
      <c r="D5603" s="2">
        <v>43405</v>
      </c>
      <c r="E5603" t="s">
        <v>4</v>
      </c>
      <c r="F5603">
        <v>150.80000000000001</v>
      </c>
      <c r="G5603" t="str">
        <f>VLOOKUP(Table1_2[[#This Row],[Categories]],Sheet3!$A$1:$B$27,2,FALSE)</f>
        <v>Food &amp;Beverage</v>
      </c>
    </row>
    <row r="5604" spans="1:7" x14ac:dyDescent="0.3">
      <c r="A5604" t="s">
        <v>30</v>
      </c>
      <c r="B5604">
        <v>2018</v>
      </c>
      <c r="C5604" t="s">
        <v>45</v>
      </c>
      <c r="D5604" s="2">
        <v>43405</v>
      </c>
      <c r="E5604" t="s">
        <v>5</v>
      </c>
      <c r="F5604">
        <v>136.69999999999999</v>
      </c>
      <c r="G5604" t="str">
        <f>VLOOKUP(Table1_2[[#This Row],[Categories]],Sheet3!$A$1:$B$27,2,FALSE)</f>
        <v>Food &amp;Beverage</v>
      </c>
    </row>
    <row r="5605" spans="1:7" x14ac:dyDescent="0.3">
      <c r="A5605" t="s">
        <v>30</v>
      </c>
      <c r="B5605">
        <v>2018</v>
      </c>
      <c r="C5605" t="s">
        <v>45</v>
      </c>
      <c r="D5605" s="2">
        <v>43405</v>
      </c>
      <c r="E5605" t="s">
        <v>6</v>
      </c>
      <c r="F5605">
        <v>141.9</v>
      </c>
      <c r="G5605" t="str">
        <f>VLOOKUP(Table1_2[[#This Row],[Categories]],Sheet3!$A$1:$B$27,2,FALSE)</f>
        <v>Food &amp;Beverage</v>
      </c>
    </row>
    <row r="5606" spans="1:7" x14ac:dyDescent="0.3">
      <c r="A5606" t="s">
        <v>30</v>
      </c>
      <c r="B5606">
        <v>2018</v>
      </c>
      <c r="C5606" t="s">
        <v>45</v>
      </c>
      <c r="D5606" s="2">
        <v>43405</v>
      </c>
      <c r="E5606" t="s">
        <v>7</v>
      </c>
      <c r="F5606">
        <v>122.8</v>
      </c>
      <c r="G5606" t="str">
        <f>VLOOKUP(Table1_2[[#This Row],[Categories]],Sheet3!$A$1:$B$27,2,FALSE)</f>
        <v>Food &amp;Beverage</v>
      </c>
    </row>
    <row r="5607" spans="1:7" x14ac:dyDescent="0.3">
      <c r="A5607" t="s">
        <v>30</v>
      </c>
      <c r="B5607">
        <v>2018</v>
      </c>
      <c r="C5607" t="s">
        <v>45</v>
      </c>
      <c r="D5607" s="2">
        <v>43405</v>
      </c>
      <c r="E5607" t="s">
        <v>8</v>
      </c>
      <c r="F5607">
        <v>143.9</v>
      </c>
      <c r="G5607" t="str">
        <f>VLOOKUP(Table1_2[[#This Row],[Categories]],Sheet3!$A$1:$B$27,2,FALSE)</f>
        <v>Food &amp;Beverage</v>
      </c>
    </row>
    <row r="5608" spans="1:7" x14ac:dyDescent="0.3">
      <c r="A5608" t="s">
        <v>30</v>
      </c>
      <c r="B5608">
        <v>2018</v>
      </c>
      <c r="C5608" t="s">
        <v>45</v>
      </c>
      <c r="D5608" s="2">
        <v>43405</v>
      </c>
      <c r="E5608" t="s">
        <v>9</v>
      </c>
      <c r="F5608">
        <v>147.5</v>
      </c>
      <c r="G5608" t="str">
        <f>VLOOKUP(Table1_2[[#This Row],[Categories]],Sheet3!$A$1:$B$27,2,FALSE)</f>
        <v>Food &amp;Beverage</v>
      </c>
    </row>
    <row r="5609" spans="1:7" x14ac:dyDescent="0.3">
      <c r="A5609" t="s">
        <v>30</v>
      </c>
      <c r="B5609">
        <v>2018</v>
      </c>
      <c r="C5609" t="s">
        <v>45</v>
      </c>
      <c r="D5609" s="2">
        <v>43405</v>
      </c>
      <c r="E5609" t="s">
        <v>10</v>
      </c>
      <c r="F5609">
        <v>121</v>
      </c>
      <c r="G5609" t="str">
        <f>VLOOKUP(Table1_2[[#This Row],[Categories]],Sheet3!$A$1:$B$27,2,FALSE)</f>
        <v>Food &amp;Beverage</v>
      </c>
    </row>
    <row r="5610" spans="1:7" x14ac:dyDescent="0.3">
      <c r="A5610" t="s">
        <v>30</v>
      </c>
      <c r="B5610">
        <v>2018</v>
      </c>
      <c r="C5610" t="s">
        <v>45</v>
      </c>
      <c r="D5610" s="2">
        <v>43405</v>
      </c>
      <c r="E5610" t="s">
        <v>11</v>
      </c>
      <c r="F5610">
        <v>111.6</v>
      </c>
      <c r="G5610" t="str">
        <f>VLOOKUP(Table1_2[[#This Row],[Categories]],Sheet3!$A$1:$B$27,2,FALSE)</f>
        <v>Food &amp;Beverage</v>
      </c>
    </row>
    <row r="5611" spans="1:7" x14ac:dyDescent="0.3">
      <c r="A5611" t="s">
        <v>30</v>
      </c>
      <c r="B5611">
        <v>2018</v>
      </c>
      <c r="C5611" t="s">
        <v>45</v>
      </c>
      <c r="D5611" s="2">
        <v>43405</v>
      </c>
      <c r="E5611" t="s">
        <v>12</v>
      </c>
      <c r="F5611">
        <v>140.6</v>
      </c>
      <c r="G5611" t="str">
        <f>VLOOKUP(Table1_2[[#This Row],[Categories]],Sheet3!$A$1:$B$27,2,FALSE)</f>
        <v>Food &amp;Beverage</v>
      </c>
    </row>
    <row r="5612" spans="1:7" x14ac:dyDescent="0.3">
      <c r="A5612" t="s">
        <v>30</v>
      </c>
      <c r="B5612">
        <v>2018</v>
      </c>
      <c r="C5612" t="s">
        <v>45</v>
      </c>
      <c r="D5612" s="2">
        <v>43405</v>
      </c>
      <c r="E5612" t="s">
        <v>13</v>
      </c>
      <c r="F5612">
        <v>137.5</v>
      </c>
      <c r="G5612" t="str">
        <f>VLOOKUP(Table1_2[[#This Row],[Categories]],Sheet3!$A$1:$B$27,2,FALSE)</f>
        <v>Food &amp;Beverage</v>
      </c>
    </row>
    <row r="5613" spans="1:7" x14ac:dyDescent="0.3">
      <c r="A5613" t="s">
        <v>30</v>
      </c>
      <c r="B5613">
        <v>2018</v>
      </c>
      <c r="C5613" t="s">
        <v>45</v>
      </c>
      <c r="D5613" s="2">
        <v>43405</v>
      </c>
      <c r="E5613" t="s">
        <v>14</v>
      </c>
      <c r="F5613">
        <v>156.1</v>
      </c>
      <c r="G5613" t="str">
        <f>VLOOKUP(Table1_2[[#This Row],[Categories]],Sheet3!$A$1:$B$27,2,FALSE)</f>
        <v>Food &amp;Beverage</v>
      </c>
    </row>
    <row r="5614" spans="1:7" x14ac:dyDescent="0.3">
      <c r="A5614" t="s">
        <v>30</v>
      </c>
      <c r="B5614">
        <v>2018</v>
      </c>
      <c r="C5614" t="s">
        <v>45</v>
      </c>
      <c r="D5614" s="2">
        <v>43405</v>
      </c>
      <c r="E5614" t="s">
        <v>15</v>
      </c>
      <c r="F5614">
        <v>140</v>
      </c>
      <c r="G5614" t="str">
        <f>VLOOKUP(Table1_2[[#This Row],[Categories]],Sheet3!$A$1:$B$27,2,FALSE)</f>
        <v>Food &amp;Beverage</v>
      </c>
    </row>
    <row r="5615" spans="1:7" x14ac:dyDescent="0.3">
      <c r="A5615" t="s">
        <v>30</v>
      </c>
      <c r="B5615">
        <v>2018</v>
      </c>
      <c r="C5615" t="s">
        <v>45</v>
      </c>
      <c r="D5615" s="2">
        <v>43405</v>
      </c>
      <c r="E5615" t="s">
        <v>16</v>
      </c>
      <c r="F5615">
        <v>161.9</v>
      </c>
      <c r="G5615" t="str">
        <f>VLOOKUP(Table1_2[[#This Row],[Categories]],Sheet3!$A$1:$B$27,2,FALSE)</f>
        <v>Recreation and amusement</v>
      </c>
    </row>
    <row r="5616" spans="1:7" x14ac:dyDescent="0.3">
      <c r="A5616" t="s">
        <v>30</v>
      </c>
      <c r="B5616">
        <v>2018</v>
      </c>
      <c r="C5616" t="s">
        <v>45</v>
      </c>
      <c r="D5616" s="2">
        <v>43405</v>
      </c>
      <c r="E5616" t="s">
        <v>17</v>
      </c>
      <c r="F5616">
        <v>151.69999999999999</v>
      </c>
      <c r="G5616" t="str">
        <f>VLOOKUP(Table1_2[[#This Row],[Categories]],Sheet3!$A$1:$B$27,2,FALSE)</f>
        <v>Clothing and footwear</v>
      </c>
    </row>
    <row r="5617" spans="1:7" x14ac:dyDescent="0.3">
      <c r="A5617" t="s">
        <v>30</v>
      </c>
      <c r="B5617">
        <v>2018</v>
      </c>
      <c r="C5617" t="s">
        <v>45</v>
      </c>
      <c r="D5617" s="2">
        <v>43405</v>
      </c>
      <c r="E5617" t="s">
        <v>18</v>
      </c>
      <c r="F5617">
        <v>145.5</v>
      </c>
      <c r="G5617" t="str">
        <f>VLOOKUP(Table1_2[[#This Row],[Categories]],Sheet3!$A$1:$B$27,2,FALSE)</f>
        <v>Clothing and footwear</v>
      </c>
    </row>
    <row r="5618" spans="1:7" x14ac:dyDescent="0.3">
      <c r="A5618" t="s">
        <v>30</v>
      </c>
      <c r="B5618">
        <v>2018</v>
      </c>
      <c r="C5618" t="s">
        <v>45</v>
      </c>
      <c r="D5618" s="2">
        <v>43405</v>
      </c>
      <c r="E5618" t="s">
        <v>19</v>
      </c>
      <c r="F5618">
        <v>150.80000000000001</v>
      </c>
      <c r="G5618" t="str">
        <f>VLOOKUP(Table1_2[[#This Row],[Categories]],Sheet3!$A$1:$B$27,2,FALSE)</f>
        <v>Clothing and footwear</v>
      </c>
    </row>
    <row r="5619" spans="1:7" x14ac:dyDescent="0.3">
      <c r="A5619" t="s">
        <v>30</v>
      </c>
      <c r="B5619">
        <v>2018</v>
      </c>
      <c r="C5619" t="s">
        <v>45</v>
      </c>
      <c r="D5619" s="2">
        <v>43405</v>
      </c>
      <c r="E5619" t="s">
        <v>21</v>
      </c>
      <c r="F5619">
        <v>150.30000000000001</v>
      </c>
      <c r="G5619" t="str">
        <f>VLOOKUP(Table1_2[[#This Row],[Categories]],Sheet3!$A$1:$B$27,2,FALSE)</f>
        <v>Fuel and light</v>
      </c>
    </row>
    <row r="5620" spans="1:7" x14ac:dyDescent="0.3">
      <c r="A5620" t="s">
        <v>30</v>
      </c>
      <c r="B5620">
        <v>2018</v>
      </c>
      <c r="C5620" t="s">
        <v>45</v>
      </c>
      <c r="D5620" s="2">
        <v>43405</v>
      </c>
      <c r="E5620" t="s">
        <v>22</v>
      </c>
      <c r="F5620">
        <v>148</v>
      </c>
      <c r="G5620" t="str">
        <f>VLOOKUP(Table1_2[[#This Row],[Categories]],Sheet3!$A$1:$B$27,2,FALSE)</f>
        <v>Household Items</v>
      </c>
    </row>
    <row r="5621" spans="1:7" x14ac:dyDescent="0.3">
      <c r="A5621" t="s">
        <v>30</v>
      </c>
      <c r="B5621">
        <v>2018</v>
      </c>
      <c r="C5621" t="s">
        <v>45</v>
      </c>
      <c r="D5621" s="2">
        <v>43405</v>
      </c>
      <c r="E5621" t="s">
        <v>23</v>
      </c>
      <c r="F5621">
        <v>145.4</v>
      </c>
      <c r="G5621" t="str">
        <f>VLOOKUP(Table1_2[[#This Row],[Categories]],Sheet3!$A$1:$B$27,2,FALSE)</f>
        <v>Health</v>
      </c>
    </row>
    <row r="5622" spans="1:7" x14ac:dyDescent="0.3">
      <c r="A5622" t="s">
        <v>30</v>
      </c>
      <c r="B5622">
        <v>2018</v>
      </c>
      <c r="C5622" t="s">
        <v>45</v>
      </c>
      <c r="D5622" s="2">
        <v>43405</v>
      </c>
      <c r="E5622" t="s">
        <v>24</v>
      </c>
      <c r="F5622">
        <v>130.30000000000001</v>
      </c>
      <c r="G5622" t="str">
        <f>VLOOKUP(Table1_2[[#This Row],[Categories]],Sheet3!$A$1:$B$27,2,FALSE)</f>
        <v>Transport and communication</v>
      </c>
    </row>
    <row r="5623" spans="1:7" x14ac:dyDescent="0.3">
      <c r="A5623" t="s">
        <v>30</v>
      </c>
      <c r="B5623">
        <v>2018</v>
      </c>
      <c r="C5623" t="s">
        <v>45</v>
      </c>
      <c r="D5623" s="2">
        <v>43405</v>
      </c>
      <c r="E5623" t="s">
        <v>25</v>
      </c>
      <c r="F5623">
        <v>143.1</v>
      </c>
      <c r="G5623" t="str">
        <f>VLOOKUP(Table1_2[[#This Row],[Categories]],Sheet3!$A$1:$B$27,2,FALSE)</f>
        <v>Recreation and amusement</v>
      </c>
    </row>
    <row r="5624" spans="1:7" x14ac:dyDescent="0.3">
      <c r="A5624" t="s">
        <v>30</v>
      </c>
      <c r="B5624">
        <v>2018</v>
      </c>
      <c r="C5624" t="s">
        <v>45</v>
      </c>
      <c r="D5624" s="2">
        <v>43405</v>
      </c>
      <c r="E5624" t="s">
        <v>26</v>
      </c>
      <c r="F5624">
        <v>150.19999999999999</v>
      </c>
      <c r="G5624" t="str">
        <f>VLOOKUP(Table1_2[[#This Row],[Categories]],Sheet3!$A$1:$B$27,2,FALSE)</f>
        <v>Education</v>
      </c>
    </row>
    <row r="5625" spans="1:7" x14ac:dyDescent="0.3">
      <c r="A5625" t="s">
        <v>30</v>
      </c>
      <c r="B5625">
        <v>2018</v>
      </c>
      <c r="C5625" t="s">
        <v>45</v>
      </c>
      <c r="D5625" s="2">
        <v>43405</v>
      </c>
      <c r="E5625" t="s">
        <v>27</v>
      </c>
      <c r="F5625">
        <v>133.1</v>
      </c>
      <c r="G5625" t="str">
        <f>VLOOKUP(Table1_2[[#This Row],[Categories]],Sheet3!$A$1:$B$27,2,FALSE)</f>
        <v>Household Items</v>
      </c>
    </row>
    <row r="5626" spans="1:7" x14ac:dyDescent="0.3">
      <c r="A5626" t="s">
        <v>30</v>
      </c>
      <c r="B5626">
        <v>2018</v>
      </c>
      <c r="C5626" t="s">
        <v>45</v>
      </c>
      <c r="D5626" s="2">
        <v>43405</v>
      </c>
      <c r="E5626" t="s">
        <v>28</v>
      </c>
      <c r="F5626">
        <v>140.1</v>
      </c>
      <c r="G5626" t="str">
        <f>VLOOKUP(Table1_2[[#This Row],[Categories]],Sheet3!$A$1:$B$27,2,FALSE)</f>
        <v>Miscellaneous</v>
      </c>
    </row>
    <row r="5627" spans="1:7" x14ac:dyDescent="0.3">
      <c r="A5627" t="s">
        <v>30</v>
      </c>
      <c r="B5627">
        <v>2018</v>
      </c>
      <c r="C5627" t="s">
        <v>45</v>
      </c>
      <c r="D5627" s="2">
        <v>43405</v>
      </c>
      <c r="E5627" t="s">
        <v>29</v>
      </c>
      <c r="F5627">
        <v>142.4</v>
      </c>
      <c r="G5627" t="str">
        <f>VLOOKUP(Table1_2[[#This Row],[Categories]],Sheet3!$A$1:$B$27,2,FALSE)</f>
        <v>General index</v>
      </c>
    </row>
    <row r="5628" spans="1:7" x14ac:dyDescent="0.3">
      <c r="A5628" t="s">
        <v>33</v>
      </c>
      <c r="B5628">
        <v>2018</v>
      </c>
      <c r="C5628" t="s">
        <v>45</v>
      </c>
      <c r="D5628" s="2">
        <v>43405</v>
      </c>
      <c r="E5628" t="s">
        <v>3</v>
      </c>
      <c r="F5628">
        <v>138.1</v>
      </c>
      <c r="G5628" t="str">
        <f>VLOOKUP(Table1_2[[#This Row],[Categories]],Sheet3!$A$1:$B$27,2,FALSE)</f>
        <v>Food &amp;Beverage</v>
      </c>
    </row>
    <row r="5629" spans="1:7" x14ac:dyDescent="0.3">
      <c r="A5629" t="s">
        <v>33</v>
      </c>
      <c r="B5629">
        <v>2018</v>
      </c>
      <c r="C5629" t="s">
        <v>45</v>
      </c>
      <c r="D5629" s="2">
        <v>43405</v>
      </c>
      <c r="E5629" t="s">
        <v>4</v>
      </c>
      <c r="F5629">
        <v>146.30000000000001</v>
      </c>
      <c r="G5629" t="str">
        <f>VLOOKUP(Table1_2[[#This Row],[Categories]],Sheet3!$A$1:$B$27,2,FALSE)</f>
        <v>Food &amp;Beverage</v>
      </c>
    </row>
    <row r="5630" spans="1:7" x14ac:dyDescent="0.3">
      <c r="A5630" t="s">
        <v>33</v>
      </c>
      <c r="B5630">
        <v>2018</v>
      </c>
      <c r="C5630" t="s">
        <v>45</v>
      </c>
      <c r="D5630" s="2">
        <v>43405</v>
      </c>
      <c r="E5630" t="s">
        <v>5</v>
      </c>
      <c r="F5630">
        <v>137.80000000000001</v>
      </c>
      <c r="G5630" t="str">
        <f>VLOOKUP(Table1_2[[#This Row],[Categories]],Sheet3!$A$1:$B$27,2,FALSE)</f>
        <v>Food &amp;Beverage</v>
      </c>
    </row>
    <row r="5631" spans="1:7" x14ac:dyDescent="0.3">
      <c r="A5631" t="s">
        <v>33</v>
      </c>
      <c r="B5631">
        <v>2018</v>
      </c>
      <c r="C5631" t="s">
        <v>45</v>
      </c>
      <c r="D5631" s="2">
        <v>43405</v>
      </c>
      <c r="E5631" t="s">
        <v>6</v>
      </c>
      <c r="F5631">
        <v>141.6</v>
      </c>
      <c r="G5631" t="str">
        <f>VLOOKUP(Table1_2[[#This Row],[Categories]],Sheet3!$A$1:$B$27,2,FALSE)</f>
        <v>Food &amp;Beverage</v>
      </c>
    </row>
    <row r="5632" spans="1:7" x14ac:dyDescent="0.3">
      <c r="A5632" t="s">
        <v>33</v>
      </c>
      <c r="B5632">
        <v>2018</v>
      </c>
      <c r="C5632" t="s">
        <v>45</v>
      </c>
      <c r="D5632" s="2">
        <v>43405</v>
      </c>
      <c r="E5632" t="s">
        <v>7</v>
      </c>
      <c r="F5632">
        <v>118.1</v>
      </c>
      <c r="G5632" t="str">
        <f>VLOOKUP(Table1_2[[#This Row],[Categories]],Sheet3!$A$1:$B$27,2,FALSE)</f>
        <v>Food &amp;Beverage</v>
      </c>
    </row>
    <row r="5633" spans="1:7" x14ac:dyDescent="0.3">
      <c r="A5633" t="s">
        <v>33</v>
      </c>
      <c r="B5633">
        <v>2018</v>
      </c>
      <c r="C5633" t="s">
        <v>45</v>
      </c>
      <c r="D5633" s="2">
        <v>43405</v>
      </c>
      <c r="E5633" t="s">
        <v>8</v>
      </c>
      <c r="F5633">
        <v>141.5</v>
      </c>
      <c r="G5633" t="str">
        <f>VLOOKUP(Table1_2[[#This Row],[Categories]],Sheet3!$A$1:$B$27,2,FALSE)</f>
        <v>Food &amp;Beverage</v>
      </c>
    </row>
    <row r="5634" spans="1:7" x14ac:dyDescent="0.3">
      <c r="A5634" t="s">
        <v>33</v>
      </c>
      <c r="B5634">
        <v>2018</v>
      </c>
      <c r="C5634" t="s">
        <v>45</v>
      </c>
      <c r="D5634" s="2">
        <v>43405</v>
      </c>
      <c r="E5634" t="s">
        <v>9</v>
      </c>
      <c r="F5634">
        <v>145.19999999999999</v>
      </c>
      <c r="G5634" t="str">
        <f>VLOOKUP(Table1_2[[#This Row],[Categories]],Sheet3!$A$1:$B$27,2,FALSE)</f>
        <v>Food &amp;Beverage</v>
      </c>
    </row>
    <row r="5635" spans="1:7" x14ac:dyDescent="0.3">
      <c r="A5635" t="s">
        <v>33</v>
      </c>
      <c r="B5635">
        <v>2018</v>
      </c>
      <c r="C5635" t="s">
        <v>45</v>
      </c>
      <c r="D5635" s="2">
        <v>43405</v>
      </c>
      <c r="E5635" t="s">
        <v>10</v>
      </c>
      <c r="F5635">
        <v>115.3</v>
      </c>
      <c r="G5635" t="str">
        <f>VLOOKUP(Table1_2[[#This Row],[Categories]],Sheet3!$A$1:$B$27,2,FALSE)</f>
        <v>Food &amp;Beverage</v>
      </c>
    </row>
    <row r="5636" spans="1:7" x14ac:dyDescent="0.3">
      <c r="A5636" t="s">
        <v>33</v>
      </c>
      <c r="B5636">
        <v>2018</v>
      </c>
      <c r="C5636" t="s">
        <v>45</v>
      </c>
      <c r="D5636" s="2">
        <v>43405</v>
      </c>
      <c r="E5636" t="s">
        <v>11</v>
      </c>
      <c r="F5636">
        <v>112.5</v>
      </c>
      <c r="G5636" t="str">
        <f>VLOOKUP(Table1_2[[#This Row],[Categories]],Sheet3!$A$1:$B$27,2,FALSE)</f>
        <v>Food &amp;Beverage</v>
      </c>
    </row>
    <row r="5637" spans="1:7" x14ac:dyDescent="0.3">
      <c r="A5637" t="s">
        <v>33</v>
      </c>
      <c r="B5637">
        <v>2018</v>
      </c>
      <c r="C5637" t="s">
        <v>45</v>
      </c>
      <c r="D5637" s="2">
        <v>43405</v>
      </c>
      <c r="E5637" t="s">
        <v>12</v>
      </c>
      <c r="F5637">
        <v>141.4</v>
      </c>
      <c r="G5637" t="str">
        <f>VLOOKUP(Table1_2[[#This Row],[Categories]],Sheet3!$A$1:$B$27,2,FALSE)</f>
        <v>Food &amp;Beverage</v>
      </c>
    </row>
    <row r="5638" spans="1:7" x14ac:dyDescent="0.3">
      <c r="A5638" t="s">
        <v>33</v>
      </c>
      <c r="B5638">
        <v>2018</v>
      </c>
      <c r="C5638" t="s">
        <v>45</v>
      </c>
      <c r="D5638" s="2">
        <v>43405</v>
      </c>
      <c r="E5638" t="s">
        <v>13</v>
      </c>
      <c r="F5638">
        <v>128</v>
      </c>
      <c r="G5638" t="str">
        <f>VLOOKUP(Table1_2[[#This Row],[Categories]],Sheet3!$A$1:$B$27,2,FALSE)</f>
        <v>Food &amp;Beverage</v>
      </c>
    </row>
    <row r="5639" spans="1:7" x14ac:dyDescent="0.3">
      <c r="A5639" t="s">
        <v>33</v>
      </c>
      <c r="B5639">
        <v>2018</v>
      </c>
      <c r="C5639" t="s">
        <v>45</v>
      </c>
      <c r="D5639" s="2">
        <v>43405</v>
      </c>
      <c r="E5639" t="s">
        <v>14</v>
      </c>
      <c r="F5639">
        <v>152.6</v>
      </c>
      <c r="G5639" t="str">
        <f>VLOOKUP(Table1_2[[#This Row],[Categories]],Sheet3!$A$1:$B$27,2,FALSE)</f>
        <v>Food &amp;Beverage</v>
      </c>
    </row>
    <row r="5640" spans="1:7" x14ac:dyDescent="0.3">
      <c r="A5640" t="s">
        <v>33</v>
      </c>
      <c r="B5640">
        <v>2018</v>
      </c>
      <c r="C5640" t="s">
        <v>45</v>
      </c>
      <c r="D5640" s="2">
        <v>43405</v>
      </c>
      <c r="E5640" t="s">
        <v>15</v>
      </c>
      <c r="F5640">
        <v>139.1</v>
      </c>
      <c r="G5640" t="str">
        <f>VLOOKUP(Table1_2[[#This Row],[Categories]],Sheet3!$A$1:$B$27,2,FALSE)</f>
        <v>Food &amp;Beverage</v>
      </c>
    </row>
    <row r="5641" spans="1:7" x14ac:dyDescent="0.3">
      <c r="A5641" t="s">
        <v>33</v>
      </c>
      <c r="B5641">
        <v>2018</v>
      </c>
      <c r="C5641" t="s">
        <v>45</v>
      </c>
      <c r="D5641" s="2">
        <v>43405</v>
      </c>
      <c r="E5641" t="s">
        <v>16</v>
      </c>
      <c r="F5641">
        <v>164.4</v>
      </c>
      <c r="G5641" t="str">
        <f>VLOOKUP(Table1_2[[#This Row],[Categories]],Sheet3!$A$1:$B$27,2,FALSE)</f>
        <v>Recreation and amusement</v>
      </c>
    </row>
    <row r="5642" spans="1:7" x14ac:dyDescent="0.3">
      <c r="A5642" t="s">
        <v>33</v>
      </c>
      <c r="B5642">
        <v>2018</v>
      </c>
      <c r="C5642" t="s">
        <v>45</v>
      </c>
      <c r="D5642" s="2">
        <v>43405</v>
      </c>
      <c r="E5642" t="s">
        <v>17</v>
      </c>
      <c r="F5642">
        <v>142.4</v>
      </c>
      <c r="G5642" t="str">
        <f>VLOOKUP(Table1_2[[#This Row],[Categories]],Sheet3!$A$1:$B$27,2,FALSE)</f>
        <v>Clothing and footwear</v>
      </c>
    </row>
    <row r="5643" spans="1:7" x14ac:dyDescent="0.3">
      <c r="A5643" t="s">
        <v>33</v>
      </c>
      <c r="B5643">
        <v>2018</v>
      </c>
      <c r="C5643" t="s">
        <v>45</v>
      </c>
      <c r="D5643" s="2">
        <v>43405</v>
      </c>
      <c r="E5643" t="s">
        <v>18</v>
      </c>
      <c r="F5643">
        <v>130.19999999999999</v>
      </c>
      <c r="G5643" t="str">
        <f>VLOOKUP(Table1_2[[#This Row],[Categories]],Sheet3!$A$1:$B$27,2,FALSE)</f>
        <v>Clothing and footwear</v>
      </c>
    </row>
    <row r="5644" spans="1:7" x14ac:dyDescent="0.3">
      <c r="A5644" t="s">
        <v>33</v>
      </c>
      <c r="B5644">
        <v>2018</v>
      </c>
      <c r="C5644" t="s">
        <v>45</v>
      </c>
      <c r="D5644" s="2">
        <v>43405</v>
      </c>
      <c r="E5644" t="s">
        <v>19</v>
      </c>
      <c r="F5644">
        <v>140.5</v>
      </c>
      <c r="G5644" t="str">
        <f>VLOOKUP(Table1_2[[#This Row],[Categories]],Sheet3!$A$1:$B$27,2,FALSE)</f>
        <v>Clothing and footwear</v>
      </c>
    </row>
    <row r="5645" spans="1:7" x14ac:dyDescent="0.3">
      <c r="A5645" t="s">
        <v>33</v>
      </c>
      <c r="B5645">
        <v>2018</v>
      </c>
      <c r="C5645" t="s">
        <v>45</v>
      </c>
      <c r="D5645" s="2">
        <v>43405</v>
      </c>
      <c r="E5645" t="s">
        <v>20</v>
      </c>
      <c r="F5645">
        <v>146.9</v>
      </c>
      <c r="G5645" t="str">
        <f>VLOOKUP(Table1_2[[#This Row],[Categories]],Sheet3!$A$1:$B$27,2,FALSE)</f>
        <v>Housing</v>
      </c>
    </row>
    <row r="5646" spans="1:7" x14ac:dyDescent="0.3">
      <c r="A5646" t="s">
        <v>33</v>
      </c>
      <c r="B5646">
        <v>2018</v>
      </c>
      <c r="C5646" t="s">
        <v>45</v>
      </c>
      <c r="D5646" s="2">
        <v>43405</v>
      </c>
      <c r="E5646" t="s">
        <v>21</v>
      </c>
      <c r="F5646">
        <v>136.69999999999999</v>
      </c>
      <c r="G5646" t="str">
        <f>VLOOKUP(Table1_2[[#This Row],[Categories]],Sheet3!$A$1:$B$27,2,FALSE)</f>
        <v>Fuel and light</v>
      </c>
    </row>
    <row r="5647" spans="1:7" x14ac:dyDescent="0.3">
      <c r="A5647" t="s">
        <v>33</v>
      </c>
      <c r="B5647">
        <v>2018</v>
      </c>
      <c r="C5647" t="s">
        <v>45</v>
      </c>
      <c r="D5647" s="2">
        <v>43405</v>
      </c>
      <c r="E5647" t="s">
        <v>22</v>
      </c>
      <c r="F5647">
        <v>135.80000000000001</v>
      </c>
      <c r="G5647" t="str">
        <f>VLOOKUP(Table1_2[[#This Row],[Categories]],Sheet3!$A$1:$B$27,2,FALSE)</f>
        <v>Household Items</v>
      </c>
    </row>
    <row r="5648" spans="1:7" x14ac:dyDescent="0.3">
      <c r="A5648" t="s">
        <v>33</v>
      </c>
      <c r="B5648">
        <v>2018</v>
      </c>
      <c r="C5648" t="s">
        <v>45</v>
      </c>
      <c r="D5648" s="2">
        <v>43405</v>
      </c>
      <c r="E5648" t="s">
        <v>23</v>
      </c>
      <c r="F5648">
        <v>136.80000000000001</v>
      </c>
      <c r="G5648" t="str">
        <f>VLOOKUP(Table1_2[[#This Row],[Categories]],Sheet3!$A$1:$B$27,2,FALSE)</f>
        <v>Health</v>
      </c>
    </row>
    <row r="5649" spans="1:7" x14ac:dyDescent="0.3">
      <c r="A5649" t="s">
        <v>33</v>
      </c>
      <c r="B5649">
        <v>2018</v>
      </c>
      <c r="C5649" t="s">
        <v>45</v>
      </c>
      <c r="D5649" s="2">
        <v>43405</v>
      </c>
      <c r="E5649" t="s">
        <v>24</v>
      </c>
      <c r="F5649">
        <v>121.2</v>
      </c>
      <c r="G5649" t="str">
        <f>VLOOKUP(Table1_2[[#This Row],[Categories]],Sheet3!$A$1:$B$27,2,FALSE)</f>
        <v>Transport and communication</v>
      </c>
    </row>
    <row r="5650" spans="1:7" x14ac:dyDescent="0.3">
      <c r="A5650" t="s">
        <v>33</v>
      </c>
      <c r="B5650">
        <v>2018</v>
      </c>
      <c r="C5650" t="s">
        <v>45</v>
      </c>
      <c r="D5650" s="2">
        <v>43405</v>
      </c>
      <c r="E5650" t="s">
        <v>25</v>
      </c>
      <c r="F5650">
        <v>131.30000000000001</v>
      </c>
      <c r="G5650" t="str">
        <f>VLOOKUP(Table1_2[[#This Row],[Categories]],Sheet3!$A$1:$B$27,2,FALSE)</f>
        <v>Recreation and amusement</v>
      </c>
    </row>
    <row r="5651" spans="1:7" x14ac:dyDescent="0.3">
      <c r="A5651" t="s">
        <v>33</v>
      </c>
      <c r="B5651">
        <v>2018</v>
      </c>
      <c r="C5651" t="s">
        <v>45</v>
      </c>
      <c r="D5651" s="2">
        <v>43405</v>
      </c>
      <c r="E5651" t="s">
        <v>26</v>
      </c>
      <c r="F5651">
        <v>146.1</v>
      </c>
      <c r="G5651" t="str">
        <f>VLOOKUP(Table1_2[[#This Row],[Categories]],Sheet3!$A$1:$B$27,2,FALSE)</f>
        <v>Education</v>
      </c>
    </row>
    <row r="5652" spans="1:7" x14ac:dyDescent="0.3">
      <c r="A5652" t="s">
        <v>33</v>
      </c>
      <c r="B5652">
        <v>2018</v>
      </c>
      <c r="C5652" t="s">
        <v>45</v>
      </c>
      <c r="D5652" s="2">
        <v>43405</v>
      </c>
      <c r="E5652" t="s">
        <v>27</v>
      </c>
      <c r="F5652">
        <v>130.5</v>
      </c>
      <c r="G5652" t="str">
        <f>VLOOKUP(Table1_2[[#This Row],[Categories]],Sheet3!$A$1:$B$27,2,FALSE)</f>
        <v>Household Items</v>
      </c>
    </row>
    <row r="5653" spans="1:7" x14ac:dyDescent="0.3">
      <c r="A5653" t="s">
        <v>33</v>
      </c>
      <c r="B5653">
        <v>2018</v>
      </c>
      <c r="C5653" t="s">
        <v>45</v>
      </c>
      <c r="D5653" s="2">
        <v>43405</v>
      </c>
      <c r="E5653" t="s">
        <v>28</v>
      </c>
      <c r="F5653">
        <v>132.19999999999999</v>
      </c>
      <c r="G5653" t="str">
        <f>VLOOKUP(Table1_2[[#This Row],[Categories]],Sheet3!$A$1:$B$27,2,FALSE)</f>
        <v>Miscellaneous</v>
      </c>
    </row>
    <row r="5654" spans="1:7" x14ac:dyDescent="0.3">
      <c r="A5654" t="s">
        <v>33</v>
      </c>
      <c r="B5654">
        <v>2018</v>
      </c>
      <c r="C5654" t="s">
        <v>45</v>
      </c>
      <c r="D5654" s="2">
        <v>43405</v>
      </c>
      <c r="E5654" t="s">
        <v>29</v>
      </c>
      <c r="F5654">
        <v>139</v>
      </c>
      <c r="G5654" t="str">
        <f>VLOOKUP(Table1_2[[#This Row],[Categories]],Sheet3!$A$1:$B$27,2,FALSE)</f>
        <v>General index</v>
      </c>
    </row>
    <row r="5655" spans="1:7" x14ac:dyDescent="0.3">
      <c r="A5655" t="s">
        <v>34</v>
      </c>
      <c r="B5655">
        <v>2018</v>
      </c>
      <c r="C5655" t="s">
        <v>45</v>
      </c>
      <c r="D5655" s="2">
        <v>43405</v>
      </c>
      <c r="E5655" t="s">
        <v>3</v>
      </c>
      <c r="F5655">
        <v>137.4</v>
      </c>
      <c r="G5655" t="str">
        <f>VLOOKUP(Table1_2[[#This Row],[Categories]],Sheet3!$A$1:$B$27,2,FALSE)</f>
        <v>Food &amp;Beverage</v>
      </c>
    </row>
    <row r="5656" spans="1:7" x14ac:dyDescent="0.3">
      <c r="A5656" t="s">
        <v>34</v>
      </c>
      <c r="B5656">
        <v>2018</v>
      </c>
      <c r="C5656" t="s">
        <v>45</v>
      </c>
      <c r="D5656" s="2">
        <v>43405</v>
      </c>
      <c r="E5656" t="s">
        <v>4</v>
      </c>
      <c r="F5656">
        <v>149.19999999999999</v>
      </c>
      <c r="G5656" t="str">
        <f>VLOOKUP(Table1_2[[#This Row],[Categories]],Sheet3!$A$1:$B$27,2,FALSE)</f>
        <v>Food &amp;Beverage</v>
      </c>
    </row>
    <row r="5657" spans="1:7" x14ac:dyDescent="0.3">
      <c r="A5657" t="s">
        <v>34</v>
      </c>
      <c r="B5657">
        <v>2018</v>
      </c>
      <c r="C5657" t="s">
        <v>45</v>
      </c>
      <c r="D5657" s="2">
        <v>43405</v>
      </c>
      <c r="E5657" t="s">
        <v>5</v>
      </c>
      <c r="F5657">
        <v>137.1</v>
      </c>
      <c r="G5657" t="str">
        <f>VLOOKUP(Table1_2[[#This Row],[Categories]],Sheet3!$A$1:$B$27,2,FALSE)</f>
        <v>Food &amp;Beverage</v>
      </c>
    </row>
    <row r="5658" spans="1:7" x14ac:dyDescent="0.3">
      <c r="A5658" t="s">
        <v>34</v>
      </c>
      <c r="B5658">
        <v>2018</v>
      </c>
      <c r="C5658" t="s">
        <v>45</v>
      </c>
      <c r="D5658" s="2">
        <v>43405</v>
      </c>
      <c r="E5658" t="s">
        <v>6</v>
      </c>
      <c r="F5658">
        <v>141.80000000000001</v>
      </c>
      <c r="G5658" t="str">
        <f>VLOOKUP(Table1_2[[#This Row],[Categories]],Sheet3!$A$1:$B$27,2,FALSE)</f>
        <v>Food &amp;Beverage</v>
      </c>
    </row>
    <row r="5659" spans="1:7" x14ac:dyDescent="0.3">
      <c r="A5659" t="s">
        <v>34</v>
      </c>
      <c r="B5659">
        <v>2018</v>
      </c>
      <c r="C5659" t="s">
        <v>45</v>
      </c>
      <c r="D5659" s="2">
        <v>43405</v>
      </c>
      <c r="E5659" t="s">
        <v>7</v>
      </c>
      <c r="F5659">
        <v>121.1</v>
      </c>
      <c r="G5659" t="str">
        <f>VLOOKUP(Table1_2[[#This Row],[Categories]],Sheet3!$A$1:$B$27,2,FALSE)</f>
        <v>Food &amp;Beverage</v>
      </c>
    </row>
    <row r="5660" spans="1:7" x14ac:dyDescent="0.3">
      <c r="A5660" t="s">
        <v>34</v>
      </c>
      <c r="B5660">
        <v>2018</v>
      </c>
      <c r="C5660" t="s">
        <v>45</v>
      </c>
      <c r="D5660" s="2">
        <v>43405</v>
      </c>
      <c r="E5660" t="s">
        <v>8</v>
      </c>
      <c r="F5660">
        <v>142.80000000000001</v>
      </c>
      <c r="G5660" t="str">
        <f>VLOOKUP(Table1_2[[#This Row],[Categories]],Sheet3!$A$1:$B$27,2,FALSE)</f>
        <v>Food &amp;Beverage</v>
      </c>
    </row>
    <row r="5661" spans="1:7" x14ac:dyDescent="0.3">
      <c r="A5661" t="s">
        <v>34</v>
      </c>
      <c r="B5661">
        <v>2018</v>
      </c>
      <c r="C5661" t="s">
        <v>45</v>
      </c>
      <c r="D5661" s="2">
        <v>43405</v>
      </c>
      <c r="E5661" t="s">
        <v>9</v>
      </c>
      <c r="F5661">
        <v>146.69999999999999</v>
      </c>
      <c r="G5661" t="str">
        <f>VLOOKUP(Table1_2[[#This Row],[Categories]],Sheet3!$A$1:$B$27,2,FALSE)</f>
        <v>Food &amp;Beverage</v>
      </c>
    </row>
    <row r="5662" spans="1:7" x14ac:dyDescent="0.3">
      <c r="A5662" t="s">
        <v>34</v>
      </c>
      <c r="B5662">
        <v>2018</v>
      </c>
      <c r="C5662" t="s">
        <v>45</v>
      </c>
      <c r="D5662" s="2">
        <v>43405</v>
      </c>
      <c r="E5662" t="s">
        <v>10</v>
      </c>
      <c r="F5662">
        <v>119.1</v>
      </c>
      <c r="G5662" t="str">
        <f>VLOOKUP(Table1_2[[#This Row],[Categories]],Sheet3!$A$1:$B$27,2,FALSE)</f>
        <v>Food &amp;Beverage</v>
      </c>
    </row>
    <row r="5663" spans="1:7" x14ac:dyDescent="0.3">
      <c r="A5663" t="s">
        <v>34</v>
      </c>
      <c r="B5663">
        <v>2018</v>
      </c>
      <c r="C5663" t="s">
        <v>45</v>
      </c>
      <c r="D5663" s="2">
        <v>43405</v>
      </c>
      <c r="E5663" t="s">
        <v>11</v>
      </c>
      <c r="F5663">
        <v>111.9</v>
      </c>
      <c r="G5663" t="str">
        <f>VLOOKUP(Table1_2[[#This Row],[Categories]],Sheet3!$A$1:$B$27,2,FALSE)</f>
        <v>Food &amp;Beverage</v>
      </c>
    </row>
    <row r="5664" spans="1:7" x14ac:dyDescent="0.3">
      <c r="A5664" t="s">
        <v>34</v>
      </c>
      <c r="B5664">
        <v>2018</v>
      </c>
      <c r="C5664" t="s">
        <v>45</v>
      </c>
      <c r="D5664" s="2">
        <v>43405</v>
      </c>
      <c r="E5664" t="s">
        <v>12</v>
      </c>
      <c r="F5664">
        <v>140.9</v>
      </c>
      <c r="G5664" t="str">
        <f>VLOOKUP(Table1_2[[#This Row],[Categories]],Sheet3!$A$1:$B$27,2,FALSE)</f>
        <v>Food &amp;Beverage</v>
      </c>
    </row>
    <row r="5665" spans="1:7" x14ac:dyDescent="0.3">
      <c r="A5665" t="s">
        <v>34</v>
      </c>
      <c r="B5665">
        <v>2018</v>
      </c>
      <c r="C5665" t="s">
        <v>45</v>
      </c>
      <c r="D5665" s="2">
        <v>43405</v>
      </c>
      <c r="E5665" t="s">
        <v>13</v>
      </c>
      <c r="F5665">
        <v>133.5</v>
      </c>
      <c r="G5665" t="str">
        <f>VLOOKUP(Table1_2[[#This Row],[Categories]],Sheet3!$A$1:$B$27,2,FALSE)</f>
        <v>Food &amp;Beverage</v>
      </c>
    </row>
    <row r="5666" spans="1:7" x14ac:dyDescent="0.3">
      <c r="A5666" t="s">
        <v>34</v>
      </c>
      <c r="B5666">
        <v>2018</v>
      </c>
      <c r="C5666" t="s">
        <v>45</v>
      </c>
      <c r="D5666" s="2">
        <v>43405</v>
      </c>
      <c r="E5666" t="s">
        <v>14</v>
      </c>
      <c r="F5666">
        <v>154.5</v>
      </c>
      <c r="G5666" t="str">
        <f>VLOOKUP(Table1_2[[#This Row],[Categories]],Sheet3!$A$1:$B$27,2,FALSE)</f>
        <v>Food &amp;Beverage</v>
      </c>
    </row>
    <row r="5667" spans="1:7" x14ac:dyDescent="0.3">
      <c r="A5667" t="s">
        <v>34</v>
      </c>
      <c r="B5667">
        <v>2018</v>
      </c>
      <c r="C5667" t="s">
        <v>45</v>
      </c>
      <c r="D5667" s="2">
        <v>43405</v>
      </c>
      <c r="E5667" t="s">
        <v>15</v>
      </c>
      <c r="F5667">
        <v>139.69999999999999</v>
      </c>
      <c r="G5667" t="str">
        <f>VLOOKUP(Table1_2[[#This Row],[Categories]],Sheet3!$A$1:$B$27,2,FALSE)</f>
        <v>Food &amp;Beverage</v>
      </c>
    </row>
    <row r="5668" spans="1:7" x14ac:dyDescent="0.3">
      <c r="A5668" t="s">
        <v>34</v>
      </c>
      <c r="B5668">
        <v>2018</v>
      </c>
      <c r="C5668" t="s">
        <v>45</v>
      </c>
      <c r="D5668" s="2">
        <v>43405</v>
      </c>
      <c r="E5668" t="s">
        <v>16</v>
      </c>
      <c r="F5668">
        <v>162.6</v>
      </c>
      <c r="G5668" t="str">
        <f>VLOOKUP(Table1_2[[#This Row],[Categories]],Sheet3!$A$1:$B$27,2,FALSE)</f>
        <v>Recreation and amusement</v>
      </c>
    </row>
    <row r="5669" spans="1:7" x14ac:dyDescent="0.3">
      <c r="A5669" t="s">
        <v>34</v>
      </c>
      <c r="B5669">
        <v>2018</v>
      </c>
      <c r="C5669" t="s">
        <v>45</v>
      </c>
      <c r="D5669" s="2">
        <v>43405</v>
      </c>
      <c r="E5669" t="s">
        <v>17</v>
      </c>
      <c r="F5669">
        <v>148</v>
      </c>
      <c r="G5669" t="str">
        <f>VLOOKUP(Table1_2[[#This Row],[Categories]],Sheet3!$A$1:$B$27,2,FALSE)</f>
        <v>Clothing and footwear</v>
      </c>
    </row>
    <row r="5670" spans="1:7" x14ac:dyDescent="0.3">
      <c r="A5670" t="s">
        <v>34</v>
      </c>
      <c r="B5670">
        <v>2018</v>
      </c>
      <c r="C5670" t="s">
        <v>45</v>
      </c>
      <c r="D5670" s="2">
        <v>43405</v>
      </c>
      <c r="E5670" t="s">
        <v>18</v>
      </c>
      <c r="F5670">
        <v>139.1</v>
      </c>
      <c r="G5670" t="str">
        <f>VLOOKUP(Table1_2[[#This Row],[Categories]],Sheet3!$A$1:$B$27,2,FALSE)</f>
        <v>Clothing and footwear</v>
      </c>
    </row>
    <row r="5671" spans="1:7" x14ac:dyDescent="0.3">
      <c r="A5671" t="s">
        <v>34</v>
      </c>
      <c r="B5671">
        <v>2018</v>
      </c>
      <c r="C5671" t="s">
        <v>45</v>
      </c>
      <c r="D5671" s="2">
        <v>43405</v>
      </c>
      <c r="E5671" t="s">
        <v>19</v>
      </c>
      <c r="F5671">
        <v>146.69999999999999</v>
      </c>
      <c r="G5671" t="str">
        <f>VLOOKUP(Table1_2[[#This Row],[Categories]],Sheet3!$A$1:$B$27,2,FALSE)</f>
        <v>Clothing and footwear</v>
      </c>
    </row>
    <row r="5672" spans="1:7" x14ac:dyDescent="0.3">
      <c r="A5672" t="s">
        <v>34</v>
      </c>
      <c r="B5672">
        <v>2018</v>
      </c>
      <c r="C5672" t="s">
        <v>45</v>
      </c>
      <c r="D5672" s="2">
        <v>43405</v>
      </c>
      <c r="E5672" t="s">
        <v>20</v>
      </c>
      <c r="F5672">
        <v>146.9</v>
      </c>
      <c r="G5672" t="str">
        <f>VLOOKUP(Table1_2[[#This Row],[Categories]],Sheet3!$A$1:$B$27,2,FALSE)</f>
        <v>Housing</v>
      </c>
    </row>
    <row r="5673" spans="1:7" x14ac:dyDescent="0.3">
      <c r="A5673" t="s">
        <v>34</v>
      </c>
      <c r="B5673">
        <v>2018</v>
      </c>
      <c r="C5673" t="s">
        <v>45</v>
      </c>
      <c r="D5673" s="2">
        <v>43405</v>
      </c>
      <c r="E5673" t="s">
        <v>21</v>
      </c>
      <c r="F5673">
        <v>145.1</v>
      </c>
      <c r="G5673" t="str">
        <f>VLOOKUP(Table1_2[[#This Row],[Categories]],Sheet3!$A$1:$B$27,2,FALSE)</f>
        <v>Fuel and light</v>
      </c>
    </row>
    <row r="5674" spans="1:7" x14ac:dyDescent="0.3">
      <c r="A5674" t="s">
        <v>34</v>
      </c>
      <c r="B5674">
        <v>2018</v>
      </c>
      <c r="C5674" t="s">
        <v>45</v>
      </c>
      <c r="D5674" s="2">
        <v>43405</v>
      </c>
      <c r="E5674" t="s">
        <v>22</v>
      </c>
      <c r="F5674">
        <v>142.19999999999999</v>
      </c>
      <c r="G5674" t="str">
        <f>VLOOKUP(Table1_2[[#This Row],[Categories]],Sheet3!$A$1:$B$27,2,FALSE)</f>
        <v>Household Items</v>
      </c>
    </row>
    <row r="5675" spans="1:7" x14ac:dyDescent="0.3">
      <c r="A5675" t="s">
        <v>34</v>
      </c>
      <c r="B5675">
        <v>2018</v>
      </c>
      <c r="C5675" t="s">
        <v>45</v>
      </c>
      <c r="D5675" s="2">
        <v>43405</v>
      </c>
      <c r="E5675" t="s">
        <v>23</v>
      </c>
      <c r="F5675">
        <v>142.1</v>
      </c>
      <c r="G5675" t="str">
        <f>VLOOKUP(Table1_2[[#This Row],[Categories]],Sheet3!$A$1:$B$27,2,FALSE)</f>
        <v>Health</v>
      </c>
    </row>
    <row r="5676" spans="1:7" x14ac:dyDescent="0.3">
      <c r="A5676" t="s">
        <v>34</v>
      </c>
      <c r="B5676">
        <v>2018</v>
      </c>
      <c r="C5676" t="s">
        <v>45</v>
      </c>
      <c r="D5676" s="2">
        <v>43405</v>
      </c>
      <c r="E5676" t="s">
        <v>24</v>
      </c>
      <c r="F5676">
        <v>125.5</v>
      </c>
      <c r="G5676" t="str">
        <f>VLOOKUP(Table1_2[[#This Row],[Categories]],Sheet3!$A$1:$B$27,2,FALSE)</f>
        <v>Transport and communication</v>
      </c>
    </row>
    <row r="5677" spans="1:7" x14ac:dyDescent="0.3">
      <c r="A5677" t="s">
        <v>34</v>
      </c>
      <c r="B5677">
        <v>2018</v>
      </c>
      <c r="C5677" t="s">
        <v>45</v>
      </c>
      <c r="D5677" s="2">
        <v>43405</v>
      </c>
      <c r="E5677" t="s">
        <v>25</v>
      </c>
      <c r="F5677">
        <v>136.5</v>
      </c>
      <c r="G5677" t="str">
        <f>VLOOKUP(Table1_2[[#This Row],[Categories]],Sheet3!$A$1:$B$27,2,FALSE)</f>
        <v>Recreation and amusement</v>
      </c>
    </row>
    <row r="5678" spans="1:7" x14ac:dyDescent="0.3">
      <c r="A5678" t="s">
        <v>34</v>
      </c>
      <c r="B5678">
        <v>2018</v>
      </c>
      <c r="C5678" t="s">
        <v>45</v>
      </c>
      <c r="D5678" s="2">
        <v>43405</v>
      </c>
      <c r="E5678" t="s">
        <v>26</v>
      </c>
      <c r="F5678">
        <v>147.80000000000001</v>
      </c>
      <c r="G5678" t="str">
        <f>VLOOKUP(Table1_2[[#This Row],[Categories]],Sheet3!$A$1:$B$27,2,FALSE)</f>
        <v>Education</v>
      </c>
    </row>
    <row r="5679" spans="1:7" x14ac:dyDescent="0.3">
      <c r="A5679" t="s">
        <v>34</v>
      </c>
      <c r="B5679">
        <v>2018</v>
      </c>
      <c r="C5679" t="s">
        <v>45</v>
      </c>
      <c r="D5679" s="2">
        <v>43405</v>
      </c>
      <c r="E5679" t="s">
        <v>27</v>
      </c>
      <c r="F5679">
        <v>132</v>
      </c>
      <c r="G5679" t="str">
        <f>VLOOKUP(Table1_2[[#This Row],[Categories]],Sheet3!$A$1:$B$27,2,FALSE)</f>
        <v>Household Items</v>
      </c>
    </row>
    <row r="5680" spans="1:7" x14ac:dyDescent="0.3">
      <c r="A5680" t="s">
        <v>34</v>
      </c>
      <c r="B5680">
        <v>2018</v>
      </c>
      <c r="C5680" t="s">
        <v>45</v>
      </c>
      <c r="D5680" s="2">
        <v>43405</v>
      </c>
      <c r="E5680" t="s">
        <v>28</v>
      </c>
      <c r="F5680">
        <v>136.30000000000001</v>
      </c>
      <c r="G5680" t="str">
        <f>VLOOKUP(Table1_2[[#This Row],[Categories]],Sheet3!$A$1:$B$27,2,FALSE)</f>
        <v>Miscellaneous</v>
      </c>
    </row>
    <row r="5681" spans="1:7" x14ac:dyDescent="0.3">
      <c r="A5681" t="s">
        <v>34</v>
      </c>
      <c r="B5681">
        <v>2018</v>
      </c>
      <c r="C5681" t="s">
        <v>45</v>
      </c>
      <c r="D5681" s="2">
        <v>43405</v>
      </c>
      <c r="E5681" t="s">
        <v>29</v>
      </c>
      <c r="F5681">
        <v>140.80000000000001</v>
      </c>
      <c r="G5681" t="str">
        <f>VLOOKUP(Table1_2[[#This Row],[Categories]],Sheet3!$A$1:$B$27,2,FALSE)</f>
        <v>General index</v>
      </c>
    </row>
    <row r="5682" spans="1:7" x14ac:dyDescent="0.3">
      <c r="A5682" t="s">
        <v>30</v>
      </c>
      <c r="B5682">
        <v>2018</v>
      </c>
      <c r="C5682" t="s">
        <v>46</v>
      </c>
      <c r="D5682" s="2">
        <v>43435</v>
      </c>
      <c r="E5682" t="s">
        <v>3</v>
      </c>
      <c r="F5682">
        <v>137.1</v>
      </c>
      <c r="G5682" t="str">
        <f>VLOOKUP(Table1_2[[#This Row],[Categories]],Sheet3!$A$1:$B$27,2,FALSE)</f>
        <v>Food &amp;Beverage</v>
      </c>
    </row>
    <row r="5683" spans="1:7" x14ac:dyDescent="0.3">
      <c r="A5683" t="s">
        <v>30</v>
      </c>
      <c r="B5683">
        <v>2018</v>
      </c>
      <c r="C5683" t="s">
        <v>46</v>
      </c>
      <c r="D5683" s="2">
        <v>43435</v>
      </c>
      <c r="E5683" t="s">
        <v>4</v>
      </c>
      <c r="F5683">
        <v>151.9</v>
      </c>
      <c r="G5683" t="str">
        <f>VLOOKUP(Table1_2[[#This Row],[Categories]],Sheet3!$A$1:$B$27,2,FALSE)</f>
        <v>Food &amp;Beverage</v>
      </c>
    </row>
    <row r="5684" spans="1:7" x14ac:dyDescent="0.3">
      <c r="A5684" t="s">
        <v>30</v>
      </c>
      <c r="B5684">
        <v>2018</v>
      </c>
      <c r="C5684" t="s">
        <v>46</v>
      </c>
      <c r="D5684" s="2">
        <v>43435</v>
      </c>
      <c r="E5684" t="s">
        <v>5</v>
      </c>
      <c r="F5684">
        <v>137.4</v>
      </c>
      <c r="G5684" t="str">
        <f>VLOOKUP(Table1_2[[#This Row],[Categories]],Sheet3!$A$1:$B$27,2,FALSE)</f>
        <v>Food &amp;Beverage</v>
      </c>
    </row>
    <row r="5685" spans="1:7" x14ac:dyDescent="0.3">
      <c r="A5685" t="s">
        <v>30</v>
      </c>
      <c r="B5685">
        <v>2018</v>
      </c>
      <c r="C5685" t="s">
        <v>46</v>
      </c>
      <c r="D5685" s="2">
        <v>43435</v>
      </c>
      <c r="E5685" t="s">
        <v>6</v>
      </c>
      <c r="F5685">
        <v>142.4</v>
      </c>
      <c r="G5685" t="str">
        <f>VLOOKUP(Table1_2[[#This Row],[Categories]],Sheet3!$A$1:$B$27,2,FALSE)</f>
        <v>Food &amp;Beverage</v>
      </c>
    </row>
    <row r="5686" spans="1:7" x14ac:dyDescent="0.3">
      <c r="A5686" t="s">
        <v>30</v>
      </c>
      <c r="B5686">
        <v>2018</v>
      </c>
      <c r="C5686" t="s">
        <v>46</v>
      </c>
      <c r="D5686" s="2">
        <v>43435</v>
      </c>
      <c r="E5686" t="s">
        <v>7</v>
      </c>
      <c r="F5686">
        <v>124.2</v>
      </c>
      <c r="G5686" t="str">
        <f>VLOOKUP(Table1_2[[#This Row],[Categories]],Sheet3!$A$1:$B$27,2,FALSE)</f>
        <v>Food &amp;Beverage</v>
      </c>
    </row>
    <row r="5687" spans="1:7" x14ac:dyDescent="0.3">
      <c r="A5687" t="s">
        <v>30</v>
      </c>
      <c r="B5687">
        <v>2018</v>
      </c>
      <c r="C5687" t="s">
        <v>46</v>
      </c>
      <c r="D5687" s="2">
        <v>43435</v>
      </c>
      <c r="E5687" t="s">
        <v>8</v>
      </c>
      <c r="F5687">
        <v>140.19999999999999</v>
      </c>
      <c r="G5687" t="str">
        <f>VLOOKUP(Table1_2[[#This Row],[Categories]],Sheet3!$A$1:$B$27,2,FALSE)</f>
        <v>Food &amp;Beverage</v>
      </c>
    </row>
    <row r="5688" spans="1:7" x14ac:dyDescent="0.3">
      <c r="A5688" t="s">
        <v>30</v>
      </c>
      <c r="B5688">
        <v>2018</v>
      </c>
      <c r="C5688" t="s">
        <v>46</v>
      </c>
      <c r="D5688" s="2">
        <v>43435</v>
      </c>
      <c r="E5688" t="s">
        <v>9</v>
      </c>
      <c r="F5688">
        <v>136.6</v>
      </c>
      <c r="G5688" t="str">
        <f>VLOOKUP(Table1_2[[#This Row],[Categories]],Sheet3!$A$1:$B$27,2,FALSE)</f>
        <v>Food &amp;Beverage</v>
      </c>
    </row>
    <row r="5689" spans="1:7" x14ac:dyDescent="0.3">
      <c r="A5689" t="s">
        <v>30</v>
      </c>
      <c r="B5689">
        <v>2018</v>
      </c>
      <c r="C5689" t="s">
        <v>46</v>
      </c>
      <c r="D5689" s="2">
        <v>43435</v>
      </c>
      <c r="E5689" t="s">
        <v>10</v>
      </c>
      <c r="F5689">
        <v>120.9</v>
      </c>
      <c r="G5689" t="str">
        <f>VLOOKUP(Table1_2[[#This Row],[Categories]],Sheet3!$A$1:$B$27,2,FALSE)</f>
        <v>Food &amp;Beverage</v>
      </c>
    </row>
    <row r="5690" spans="1:7" x14ac:dyDescent="0.3">
      <c r="A5690" t="s">
        <v>30</v>
      </c>
      <c r="B5690">
        <v>2018</v>
      </c>
      <c r="C5690" t="s">
        <v>46</v>
      </c>
      <c r="D5690" s="2">
        <v>43435</v>
      </c>
      <c r="E5690" t="s">
        <v>11</v>
      </c>
      <c r="F5690">
        <v>109.9</v>
      </c>
      <c r="G5690" t="str">
        <f>VLOOKUP(Table1_2[[#This Row],[Categories]],Sheet3!$A$1:$B$27,2,FALSE)</f>
        <v>Food &amp;Beverage</v>
      </c>
    </row>
    <row r="5691" spans="1:7" x14ac:dyDescent="0.3">
      <c r="A5691" t="s">
        <v>30</v>
      </c>
      <c r="B5691">
        <v>2018</v>
      </c>
      <c r="C5691" t="s">
        <v>46</v>
      </c>
      <c r="D5691" s="2">
        <v>43435</v>
      </c>
      <c r="E5691" t="s">
        <v>12</v>
      </c>
      <c r="F5691">
        <v>140.19999999999999</v>
      </c>
      <c r="G5691" t="str">
        <f>VLOOKUP(Table1_2[[#This Row],[Categories]],Sheet3!$A$1:$B$27,2,FALSE)</f>
        <v>Food &amp;Beverage</v>
      </c>
    </row>
    <row r="5692" spans="1:7" x14ac:dyDescent="0.3">
      <c r="A5692" t="s">
        <v>30</v>
      </c>
      <c r="B5692">
        <v>2018</v>
      </c>
      <c r="C5692" t="s">
        <v>46</v>
      </c>
      <c r="D5692" s="2">
        <v>43435</v>
      </c>
      <c r="E5692" t="s">
        <v>13</v>
      </c>
      <c r="F5692">
        <v>137.80000000000001</v>
      </c>
      <c r="G5692" t="str">
        <f>VLOOKUP(Table1_2[[#This Row],[Categories]],Sheet3!$A$1:$B$27,2,FALSE)</f>
        <v>Food &amp;Beverage</v>
      </c>
    </row>
    <row r="5693" spans="1:7" x14ac:dyDescent="0.3">
      <c r="A5693" t="s">
        <v>30</v>
      </c>
      <c r="B5693">
        <v>2018</v>
      </c>
      <c r="C5693" t="s">
        <v>46</v>
      </c>
      <c r="D5693" s="2">
        <v>43435</v>
      </c>
      <c r="E5693" t="s">
        <v>14</v>
      </c>
      <c r="F5693">
        <v>156</v>
      </c>
      <c r="G5693" t="str">
        <f>VLOOKUP(Table1_2[[#This Row],[Categories]],Sheet3!$A$1:$B$27,2,FALSE)</f>
        <v>Food &amp;Beverage</v>
      </c>
    </row>
    <row r="5694" spans="1:7" x14ac:dyDescent="0.3">
      <c r="A5694" t="s">
        <v>30</v>
      </c>
      <c r="B5694">
        <v>2018</v>
      </c>
      <c r="C5694" t="s">
        <v>46</v>
      </c>
      <c r="D5694" s="2">
        <v>43435</v>
      </c>
      <c r="E5694" t="s">
        <v>15</v>
      </c>
      <c r="F5694">
        <v>138.5</v>
      </c>
      <c r="G5694" t="str">
        <f>VLOOKUP(Table1_2[[#This Row],[Categories]],Sheet3!$A$1:$B$27,2,FALSE)</f>
        <v>Food &amp;Beverage</v>
      </c>
    </row>
    <row r="5695" spans="1:7" x14ac:dyDescent="0.3">
      <c r="A5695" t="s">
        <v>30</v>
      </c>
      <c r="B5695">
        <v>2018</v>
      </c>
      <c r="C5695" t="s">
        <v>46</v>
      </c>
      <c r="D5695" s="2">
        <v>43435</v>
      </c>
      <c r="E5695" t="s">
        <v>16</v>
      </c>
      <c r="F5695">
        <v>162.4</v>
      </c>
      <c r="G5695" t="str">
        <f>VLOOKUP(Table1_2[[#This Row],[Categories]],Sheet3!$A$1:$B$27,2,FALSE)</f>
        <v>Recreation and amusement</v>
      </c>
    </row>
    <row r="5696" spans="1:7" x14ac:dyDescent="0.3">
      <c r="A5696" t="s">
        <v>30</v>
      </c>
      <c r="B5696">
        <v>2018</v>
      </c>
      <c r="C5696" t="s">
        <v>46</v>
      </c>
      <c r="D5696" s="2">
        <v>43435</v>
      </c>
      <c r="E5696" t="s">
        <v>17</v>
      </c>
      <c r="F5696">
        <v>151.6</v>
      </c>
      <c r="G5696" t="str">
        <f>VLOOKUP(Table1_2[[#This Row],[Categories]],Sheet3!$A$1:$B$27,2,FALSE)</f>
        <v>Clothing and footwear</v>
      </c>
    </row>
    <row r="5697" spans="1:7" x14ac:dyDescent="0.3">
      <c r="A5697" t="s">
        <v>30</v>
      </c>
      <c r="B5697">
        <v>2018</v>
      </c>
      <c r="C5697" t="s">
        <v>46</v>
      </c>
      <c r="D5697" s="2">
        <v>43435</v>
      </c>
      <c r="E5697" t="s">
        <v>18</v>
      </c>
      <c r="F5697">
        <v>145.9</v>
      </c>
      <c r="G5697" t="str">
        <f>VLOOKUP(Table1_2[[#This Row],[Categories]],Sheet3!$A$1:$B$27,2,FALSE)</f>
        <v>Clothing and footwear</v>
      </c>
    </row>
    <row r="5698" spans="1:7" x14ac:dyDescent="0.3">
      <c r="A5698" t="s">
        <v>30</v>
      </c>
      <c r="B5698">
        <v>2018</v>
      </c>
      <c r="C5698" t="s">
        <v>46</v>
      </c>
      <c r="D5698" s="2">
        <v>43435</v>
      </c>
      <c r="E5698" t="s">
        <v>19</v>
      </c>
      <c r="F5698">
        <v>150.80000000000001</v>
      </c>
      <c r="G5698" t="str">
        <f>VLOOKUP(Table1_2[[#This Row],[Categories]],Sheet3!$A$1:$B$27,2,FALSE)</f>
        <v>Clothing and footwear</v>
      </c>
    </row>
    <row r="5699" spans="1:7" x14ac:dyDescent="0.3">
      <c r="A5699" t="s">
        <v>30</v>
      </c>
      <c r="B5699">
        <v>2018</v>
      </c>
      <c r="C5699" t="s">
        <v>46</v>
      </c>
      <c r="D5699" s="2">
        <v>43435</v>
      </c>
      <c r="E5699" t="s">
        <v>21</v>
      </c>
      <c r="F5699">
        <v>149</v>
      </c>
      <c r="G5699" t="str">
        <f>VLOOKUP(Table1_2[[#This Row],[Categories]],Sheet3!$A$1:$B$27,2,FALSE)</f>
        <v>Fuel and light</v>
      </c>
    </row>
    <row r="5700" spans="1:7" x14ac:dyDescent="0.3">
      <c r="A5700" t="s">
        <v>30</v>
      </c>
      <c r="B5700">
        <v>2018</v>
      </c>
      <c r="C5700" t="s">
        <v>46</v>
      </c>
      <c r="D5700" s="2">
        <v>43435</v>
      </c>
      <c r="E5700" t="s">
        <v>22</v>
      </c>
      <c r="F5700">
        <v>149.5</v>
      </c>
      <c r="G5700" t="str">
        <f>VLOOKUP(Table1_2[[#This Row],[Categories]],Sheet3!$A$1:$B$27,2,FALSE)</f>
        <v>Household Items</v>
      </c>
    </row>
    <row r="5701" spans="1:7" x14ac:dyDescent="0.3">
      <c r="A5701" t="s">
        <v>30</v>
      </c>
      <c r="B5701">
        <v>2018</v>
      </c>
      <c r="C5701" t="s">
        <v>46</v>
      </c>
      <c r="D5701" s="2">
        <v>43435</v>
      </c>
      <c r="E5701" t="s">
        <v>23</v>
      </c>
      <c r="F5701">
        <v>149.6</v>
      </c>
      <c r="G5701" t="str">
        <f>VLOOKUP(Table1_2[[#This Row],[Categories]],Sheet3!$A$1:$B$27,2,FALSE)</f>
        <v>Health</v>
      </c>
    </row>
    <row r="5702" spans="1:7" x14ac:dyDescent="0.3">
      <c r="A5702" t="s">
        <v>30</v>
      </c>
      <c r="B5702">
        <v>2018</v>
      </c>
      <c r="C5702" t="s">
        <v>46</v>
      </c>
      <c r="D5702" s="2">
        <v>43435</v>
      </c>
      <c r="E5702" t="s">
        <v>24</v>
      </c>
      <c r="F5702">
        <v>128.9</v>
      </c>
      <c r="G5702" t="str">
        <f>VLOOKUP(Table1_2[[#This Row],[Categories]],Sheet3!$A$1:$B$27,2,FALSE)</f>
        <v>Transport and communication</v>
      </c>
    </row>
    <row r="5703" spans="1:7" x14ac:dyDescent="0.3">
      <c r="A5703" t="s">
        <v>30</v>
      </c>
      <c r="B5703">
        <v>2018</v>
      </c>
      <c r="C5703" t="s">
        <v>46</v>
      </c>
      <c r="D5703" s="2">
        <v>43435</v>
      </c>
      <c r="E5703" t="s">
        <v>25</v>
      </c>
      <c r="F5703">
        <v>143.30000000000001</v>
      </c>
      <c r="G5703" t="str">
        <f>VLOOKUP(Table1_2[[#This Row],[Categories]],Sheet3!$A$1:$B$27,2,FALSE)</f>
        <v>Recreation and amusement</v>
      </c>
    </row>
    <row r="5704" spans="1:7" x14ac:dyDescent="0.3">
      <c r="A5704" t="s">
        <v>30</v>
      </c>
      <c r="B5704">
        <v>2018</v>
      </c>
      <c r="C5704" t="s">
        <v>46</v>
      </c>
      <c r="D5704" s="2">
        <v>43435</v>
      </c>
      <c r="E5704" t="s">
        <v>26</v>
      </c>
      <c r="F5704">
        <v>155.1</v>
      </c>
      <c r="G5704" t="str">
        <f>VLOOKUP(Table1_2[[#This Row],[Categories]],Sheet3!$A$1:$B$27,2,FALSE)</f>
        <v>Education</v>
      </c>
    </row>
    <row r="5705" spans="1:7" x14ac:dyDescent="0.3">
      <c r="A5705" t="s">
        <v>30</v>
      </c>
      <c r="B5705">
        <v>2018</v>
      </c>
      <c r="C5705" t="s">
        <v>46</v>
      </c>
      <c r="D5705" s="2">
        <v>43435</v>
      </c>
      <c r="E5705" t="s">
        <v>27</v>
      </c>
      <c r="F5705">
        <v>133.19999999999999</v>
      </c>
      <c r="G5705" t="str">
        <f>VLOOKUP(Table1_2[[#This Row],[Categories]],Sheet3!$A$1:$B$27,2,FALSE)</f>
        <v>Household Items</v>
      </c>
    </row>
    <row r="5706" spans="1:7" x14ac:dyDescent="0.3">
      <c r="A5706" t="s">
        <v>30</v>
      </c>
      <c r="B5706">
        <v>2018</v>
      </c>
      <c r="C5706" t="s">
        <v>46</v>
      </c>
      <c r="D5706" s="2">
        <v>43435</v>
      </c>
      <c r="E5706" t="s">
        <v>28</v>
      </c>
      <c r="F5706">
        <v>141.6</v>
      </c>
      <c r="G5706" t="str">
        <f>VLOOKUP(Table1_2[[#This Row],[Categories]],Sheet3!$A$1:$B$27,2,FALSE)</f>
        <v>Miscellaneous</v>
      </c>
    </row>
    <row r="5707" spans="1:7" x14ac:dyDescent="0.3">
      <c r="A5707" t="s">
        <v>30</v>
      </c>
      <c r="B5707">
        <v>2018</v>
      </c>
      <c r="C5707" t="s">
        <v>46</v>
      </c>
      <c r="D5707" s="2">
        <v>43435</v>
      </c>
      <c r="E5707" t="s">
        <v>29</v>
      </c>
      <c r="F5707">
        <v>141.9</v>
      </c>
      <c r="G5707" t="str">
        <f>VLOOKUP(Table1_2[[#This Row],[Categories]],Sheet3!$A$1:$B$27,2,FALSE)</f>
        <v>General index</v>
      </c>
    </row>
    <row r="5708" spans="1:7" x14ac:dyDescent="0.3">
      <c r="A5708" t="s">
        <v>33</v>
      </c>
      <c r="B5708">
        <v>2018</v>
      </c>
      <c r="C5708" t="s">
        <v>46</v>
      </c>
      <c r="D5708" s="2">
        <v>43435</v>
      </c>
      <c r="E5708" t="s">
        <v>3</v>
      </c>
      <c r="F5708">
        <v>138.5</v>
      </c>
      <c r="G5708" t="str">
        <f>VLOOKUP(Table1_2[[#This Row],[Categories]],Sheet3!$A$1:$B$27,2,FALSE)</f>
        <v>Food &amp;Beverage</v>
      </c>
    </row>
    <row r="5709" spans="1:7" x14ac:dyDescent="0.3">
      <c r="A5709" t="s">
        <v>33</v>
      </c>
      <c r="B5709">
        <v>2018</v>
      </c>
      <c r="C5709" t="s">
        <v>46</v>
      </c>
      <c r="D5709" s="2">
        <v>43435</v>
      </c>
      <c r="E5709" t="s">
        <v>4</v>
      </c>
      <c r="F5709">
        <v>147.80000000000001</v>
      </c>
      <c r="G5709" t="str">
        <f>VLOOKUP(Table1_2[[#This Row],[Categories]],Sheet3!$A$1:$B$27,2,FALSE)</f>
        <v>Food &amp;Beverage</v>
      </c>
    </row>
    <row r="5710" spans="1:7" x14ac:dyDescent="0.3">
      <c r="A5710" t="s">
        <v>33</v>
      </c>
      <c r="B5710">
        <v>2018</v>
      </c>
      <c r="C5710" t="s">
        <v>46</v>
      </c>
      <c r="D5710" s="2">
        <v>43435</v>
      </c>
      <c r="E5710" t="s">
        <v>5</v>
      </c>
      <c r="F5710">
        <v>141.1</v>
      </c>
      <c r="G5710" t="str">
        <f>VLOOKUP(Table1_2[[#This Row],[Categories]],Sheet3!$A$1:$B$27,2,FALSE)</f>
        <v>Food &amp;Beverage</v>
      </c>
    </row>
    <row r="5711" spans="1:7" x14ac:dyDescent="0.3">
      <c r="A5711" t="s">
        <v>33</v>
      </c>
      <c r="B5711">
        <v>2018</v>
      </c>
      <c r="C5711" t="s">
        <v>46</v>
      </c>
      <c r="D5711" s="2">
        <v>43435</v>
      </c>
      <c r="E5711" t="s">
        <v>6</v>
      </c>
      <c r="F5711">
        <v>141.6</v>
      </c>
      <c r="G5711" t="str">
        <f>VLOOKUP(Table1_2[[#This Row],[Categories]],Sheet3!$A$1:$B$27,2,FALSE)</f>
        <v>Food &amp;Beverage</v>
      </c>
    </row>
    <row r="5712" spans="1:7" x14ac:dyDescent="0.3">
      <c r="A5712" t="s">
        <v>33</v>
      </c>
      <c r="B5712">
        <v>2018</v>
      </c>
      <c r="C5712" t="s">
        <v>46</v>
      </c>
      <c r="D5712" s="2">
        <v>43435</v>
      </c>
      <c r="E5712" t="s">
        <v>7</v>
      </c>
      <c r="F5712">
        <v>118.1</v>
      </c>
      <c r="G5712" t="str">
        <f>VLOOKUP(Table1_2[[#This Row],[Categories]],Sheet3!$A$1:$B$27,2,FALSE)</f>
        <v>Food &amp;Beverage</v>
      </c>
    </row>
    <row r="5713" spans="1:7" x14ac:dyDescent="0.3">
      <c r="A5713" t="s">
        <v>33</v>
      </c>
      <c r="B5713">
        <v>2018</v>
      </c>
      <c r="C5713" t="s">
        <v>46</v>
      </c>
      <c r="D5713" s="2">
        <v>43435</v>
      </c>
      <c r="E5713" t="s">
        <v>8</v>
      </c>
      <c r="F5713">
        <v>138.5</v>
      </c>
      <c r="G5713" t="str">
        <f>VLOOKUP(Table1_2[[#This Row],[Categories]],Sheet3!$A$1:$B$27,2,FALSE)</f>
        <v>Food &amp;Beverage</v>
      </c>
    </row>
    <row r="5714" spans="1:7" x14ac:dyDescent="0.3">
      <c r="A5714" t="s">
        <v>33</v>
      </c>
      <c r="B5714">
        <v>2018</v>
      </c>
      <c r="C5714" t="s">
        <v>46</v>
      </c>
      <c r="D5714" s="2">
        <v>43435</v>
      </c>
      <c r="E5714" t="s">
        <v>9</v>
      </c>
      <c r="F5714">
        <v>132.4</v>
      </c>
      <c r="G5714" t="str">
        <f>VLOOKUP(Table1_2[[#This Row],[Categories]],Sheet3!$A$1:$B$27,2,FALSE)</f>
        <v>Food &amp;Beverage</v>
      </c>
    </row>
    <row r="5715" spans="1:7" x14ac:dyDescent="0.3">
      <c r="A5715" t="s">
        <v>33</v>
      </c>
      <c r="B5715">
        <v>2018</v>
      </c>
      <c r="C5715" t="s">
        <v>46</v>
      </c>
      <c r="D5715" s="2">
        <v>43435</v>
      </c>
      <c r="E5715" t="s">
        <v>10</v>
      </c>
      <c r="F5715">
        <v>117.5</v>
      </c>
      <c r="G5715" t="str">
        <f>VLOOKUP(Table1_2[[#This Row],[Categories]],Sheet3!$A$1:$B$27,2,FALSE)</f>
        <v>Food &amp;Beverage</v>
      </c>
    </row>
    <row r="5716" spans="1:7" x14ac:dyDescent="0.3">
      <c r="A5716" t="s">
        <v>33</v>
      </c>
      <c r="B5716">
        <v>2018</v>
      </c>
      <c r="C5716" t="s">
        <v>46</v>
      </c>
      <c r="D5716" s="2">
        <v>43435</v>
      </c>
      <c r="E5716" t="s">
        <v>11</v>
      </c>
      <c r="F5716">
        <v>111</v>
      </c>
      <c r="G5716" t="str">
        <f>VLOOKUP(Table1_2[[#This Row],[Categories]],Sheet3!$A$1:$B$27,2,FALSE)</f>
        <v>Food &amp;Beverage</v>
      </c>
    </row>
    <row r="5717" spans="1:7" x14ac:dyDescent="0.3">
      <c r="A5717" t="s">
        <v>33</v>
      </c>
      <c r="B5717">
        <v>2018</v>
      </c>
      <c r="C5717" t="s">
        <v>46</v>
      </c>
      <c r="D5717" s="2">
        <v>43435</v>
      </c>
      <c r="E5717" t="s">
        <v>12</v>
      </c>
      <c r="F5717">
        <v>141.5</v>
      </c>
      <c r="G5717" t="str">
        <f>VLOOKUP(Table1_2[[#This Row],[Categories]],Sheet3!$A$1:$B$27,2,FALSE)</f>
        <v>Food &amp;Beverage</v>
      </c>
    </row>
    <row r="5718" spans="1:7" x14ac:dyDescent="0.3">
      <c r="A5718" t="s">
        <v>33</v>
      </c>
      <c r="B5718">
        <v>2018</v>
      </c>
      <c r="C5718" t="s">
        <v>46</v>
      </c>
      <c r="D5718" s="2">
        <v>43435</v>
      </c>
      <c r="E5718" t="s">
        <v>13</v>
      </c>
      <c r="F5718">
        <v>128.1</v>
      </c>
      <c r="G5718" t="str">
        <f>VLOOKUP(Table1_2[[#This Row],[Categories]],Sheet3!$A$1:$B$27,2,FALSE)</f>
        <v>Food &amp;Beverage</v>
      </c>
    </row>
    <row r="5719" spans="1:7" x14ac:dyDescent="0.3">
      <c r="A5719" t="s">
        <v>33</v>
      </c>
      <c r="B5719">
        <v>2018</v>
      </c>
      <c r="C5719" t="s">
        <v>46</v>
      </c>
      <c r="D5719" s="2">
        <v>43435</v>
      </c>
      <c r="E5719" t="s">
        <v>14</v>
      </c>
      <c r="F5719">
        <v>152.9</v>
      </c>
      <c r="G5719" t="str">
        <f>VLOOKUP(Table1_2[[#This Row],[Categories]],Sheet3!$A$1:$B$27,2,FALSE)</f>
        <v>Food &amp;Beverage</v>
      </c>
    </row>
    <row r="5720" spans="1:7" x14ac:dyDescent="0.3">
      <c r="A5720" t="s">
        <v>33</v>
      </c>
      <c r="B5720">
        <v>2018</v>
      </c>
      <c r="C5720" t="s">
        <v>46</v>
      </c>
      <c r="D5720" s="2">
        <v>43435</v>
      </c>
      <c r="E5720" t="s">
        <v>15</v>
      </c>
      <c r="F5720">
        <v>137.6</v>
      </c>
      <c r="G5720" t="str">
        <f>VLOOKUP(Table1_2[[#This Row],[Categories]],Sheet3!$A$1:$B$27,2,FALSE)</f>
        <v>Food &amp;Beverage</v>
      </c>
    </row>
    <row r="5721" spans="1:7" x14ac:dyDescent="0.3">
      <c r="A5721" t="s">
        <v>33</v>
      </c>
      <c r="B5721">
        <v>2018</v>
      </c>
      <c r="C5721" t="s">
        <v>46</v>
      </c>
      <c r="D5721" s="2">
        <v>43435</v>
      </c>
      <c r="E5721" t="s">
        <v>16</v>
      </c>
      <c r="F5721">
        <v>164.6</v>
      </c>
      <c r="G5721" t="str">
        <f>VLOOKUP(Table1_2[[#This Row],[Categories]],Sheet3!$A$1:$B$27,2,FALSE)</f>
        <v>Recreation and amusement</v>
      </c>
    </row>
    <row r="5722" spans="1:7" x14ac:dyDescent="0.3">
      <c r="A5722" t="s">
        <v>33</v>
      </c>
      <c r="B5722">
        <v>2018</v>
      </c>
      <c r="C5722" t="s">
        <v>46</v>
      </c>
      <c r="D5722" s="2">
        <v>43435</v>
      </c>
      <c r="E5722" t="s">
        <v>17</v>
      </c>
      <c r="F5722">
        <v>142.69999999999999</v>
      </c>
      <c r="G5722" t="str">
        <f>VLOOKUP(Table1_2[[#This Row],[Categories]],Sheet3!$A$1:$B$27,2,FALSE)</f>
        <v>Clothing and footwear</v>
      </c>
    </row>
    <row r="5723" spans="1:7" x14ac:dyDescent="0.3">
      <c r="A5723" t="s">
        <v>33</v>
      </c>
      <c r="B5723">
        <v>2018</v>
      </c>
      <c r="C5723" t="s">
        <v>46</v>
      </c>
      <c r="D5723" s="2">
        <v>43435</v>
      </c>
      <c r="E5723" t="s">
        <v>18</v>
      </c>
      <c r="F5723">
        <v>130.30000000000001</v>
      </c>
      <c r="G5723" t="str">
        <f>VLOOKUP(Table1_2[[#This Row],[Categories]],Sheet3!$A$1:$B$27,2,FALSE)</f>
        <v>Clothing and footwear</v>
      </c>
    </row>
    <row r="5724" spans="1:7" x14ac:dyDescent="0.3">
      <c r="A5724" t="s">
        <v>33</v>
      </c>
      <c r="B5724">
        <v>2018</v>
      </c>
      <c r="C5724" t="s">
        <v>46</v>
      </c>
      <c r="D5724" s="2">
        <v>43435</v>
      </c>
      <c r="E5724" t="s">
        <v>19</v>
      </c>
      <c r="F5724">
        <v>140.80000000000001</v>
      </c>
      <c r="G5724" t="str">
        <f>VLOOKUP(Table1_2[[#This Row],[Categories]],Sheet3!$A$1:$B$27,2,FALSE)</f>
        <v>Clothing and footwear</v>
      </c>
    </row>
    <row r="5725" spans="1:7" x14ac:dyDescent="0.3">
      <c r="A5725" t="s">
        <v>33</v>
      </c>
      <c r="B5725">
        <v>2018</v>
      </c>
      <c r="C5725" t="s">
        <v>46</v>
      </c>
      <c r="D5725" s="2">
        <v>43435</v>
      </c>
      <c r="E5725" t="s">
        <v>20</v>
      </c>
      <c r="F5725">
        <v>146.5</v>
      </c>
      <c r="G5725" t="str">
        <f>VLOOKUP(Table1_2[[#This Row],[Categories]],Sheet3!$A$1:$B$27,2,FALSE)</f>
        <v>Housing</v>
      </c>
    </row>
    <row r="5726" spans="1:7" x14ac:dyDescent="0.3">
      <c r="A5726" t="s">
        <v>33</v>
      </c>
      <c r="B5726">
        <v>2018</v>
      </c>
      <c r="C5726" t="s">
        <v>46</v>
      </c>
      <c r="D5726" s="2">
        <v>43435</v>
      </c>
      <c r="E5726" t="s">
        <v>21</v>
      </c>
      <c r="F5726">
        <v>132.4</v>
      </c>
      <c r="G5726" t="str">
        <f>VLOOKUP(Table1_2[[#This Row],[Categories]],Sheet3!$A$1:$B$27,2,FALSE)</f>
        <v>Fuel and light</v>
      </c>
    </row>
    <row r="5727" spans="1:7" x14ac:dyDescent="0.3">
      <c r="A5727" t="s">
        <v>33</v>
      </c>
      <c r="B5727">
        <v>2018</v>
      </c>
      <c r="C5727" t="s">
        <v>46</v>
      </c>
      <c r="D5727" s="2">
        <v>43435</v>
      </c>
      <c r="E5727" t="s">
        <v>22</v>
      </c>
      <c r="F5727">
        <v>136.19999999999999</v>
      </c>
      <c r="G5727" t="str">
        <f>VLOOKUP(Table1_2[[#This Row],[Categories]],Sheet3!$A$1:$B$27,2,FALSE)</f>
        <v>Household Items</v>
      </c>
    </row>
    <row r="5728" spans="1:7" x14ac:dyDescent="0.3">
      <c r="A5728" t="s">
        <v>33</v>
      </c>
      <c r="B5728">
        <v>2018</v>
      </c>
      <c r="C5728" t="s">
        <v>46</v>
      </c>
      <c r="D5728" s="2">
        <v>43435</v>
      </c>
      <c r="E5728" t="s">
        <v>23</v>
      </c>
      <c r="F5728">
        <v>137.30000000000001</v>
      </c>
      <c r="G5728" t="str">
        <f>VLOOKUP(Table1_2[[#This Row],[Categories]],Sheet3!$A$1:$B$27,2,FALSE)</f>
        <v>Health</v>
      </c>
    </row>
    <row r="5729" spans="1:7" x14ac:dyDescent="0.3">
      <c r="A5729" t="s">
        <v>33</v>
      </c>
      <c r="B5729">
        <v>2018</v>
      </c>
      <c r="C5729" t="s">
        <v>46</v>
      </c>
      <c r="D5729" s="2">
        <v>43435</v>
      </c>
      <c r="E5729" t="s">
        <v>24</v>
      </c>
      <c r="F5729">
        <v>118.8</v>
      </c>
      <c r="G5729" t="str">
        <f>VLOOKUP(Table1_2[[#This Row],[Categories]],Sheet3!$A$1:$B$27,2,FALSE)</f>
        <v>Transport and communication</v>
      </c>
    </row>
    <row r="5730" spans="1:7" x14ac:dyDescent="0.3">
      <c r="A5730" t="s">
        <v>33</v>
      </c>
      <c r="B5730">
        <v>2018</v>
      </c>
      <c r="C5730" t="s">
        <v>46</v>
      </c>
      <c r="D5730" s="2">
        <v>43435</v>
      </c>
      <c r="E5730" t="s">
        <v>25</v>
      </c>
      <c r="F5730">
        <v>131.69999999999999</v>
      </c>
      <c r="G5730" t="str">
        <f>VLOOKUP(Table1_2[[#This Row],[Categories]],Sheet3!$A$1:$B$27,2,FALSE)</f>
        <v>Recreation and amusement</v>
      </c>
    </row>
    <row r="5731" spans="1:7" x14ac:dyDescent="0.3">
      <c r="A5731" t="s">
        <v>33</v>
      </c>
      <c r="B5731">
        <v>2018</v>
      </c>
      <c r="C5731" t="s">
        <v>46</v>
      </c>
      <c r="D5731" s="2">
        <v>43435</v>
      </c>
      <c r="E5731" t="s">
        <v>26</v>
      </c>
      <c r="F5731">
        <v>146.5</v>
      </c>
      <c r="G5731" t="str">
        <f>VLOOKUP(Table1_2[[#This Row],[Categories]],Sheet3!$A$1:$B$27,2,FALSE)</f>
        <v>Education</v>
      </c>
    </row>
    <row r="5732" spans="1:7" x14ac:dyDescent="0.3">
      <c r="A5732" t="s">
        <v>33</v>
      </c>
      <c r="B5732">
        <v>2018</v>
      </c>
      <c r="C5732" t="s">
        <v>46</v>
      </c>
      <c r="D5732" s="2">
        <v>43435</v>
      </c>
      <c r="E5732" t="s">
        <v>27</v>
      </c>
      <c r="F5732">
        <v>130.80000000000001</v>
      </c>
      <c r="G5732" t="str">
        <f>VLOOKUP(Table1_2[[#This Row],[Categories]],Sheet3!$A$1:$B$27,2,FALSE)</f>
        <v>Household Items</v>
      </c>
    </row>
    <row r="5733" spans="1:7" x14ac:dyDescent="0.3">
      <c r="A5733" t="s">
        <v>33</v>
      </c>
      <c r="B5733">
        <v>2018</v>
      </c>
      <c r="C5733" t="s">
        <v>46</v>
      </c>
      <c r="D5733" s="2">
        <v>43435</v>
      </c>
      <c r="E5733" t="s">
        <v>28</v>
      </c>
      <c r="F5733">
        <v>131.69999999999999</v>
      </c>
      <c r="G5733" t="str">
        <f>VLOOKUP(Table1_2[[#This Row],[Categories]],Sheet3!$A$1:$B$27,2,FALSE)</f>
        <v>Miscellaneous</v>
      </c>
    </row>
    <row r="5734" spans="1:7" x14ac:dyDescent="0.3">
      <c r="A5734" t="s">
        <v>33</v>
      </c>
      <c r="B5734">
        <v>2018</v>
      </c>
      <c r="C5734" t="s">
        <v>46</v>
      </c>
      <c r="D5734" s="2">
        <v>43435</v>
      </c>
      <c r="E5734" t="s">
        <v>29</v>
      </c>
      <c r="F5734">
        <v>138</v>
      </c>
      <c r="G5734" t="str">
        <f>VLOOKUP(Table1_2[[#This Row],[Categories]],Sheet3!$A$1:$B$27,2,FALSE)</f>
        <v>General index</v>
      </c>
    </row>
    <row r="5735" spans="1:7" x14ac:dyDescent="0.3">
      <c r="A5735" t="s">
        <v>34</v>
      </c>
      <c r="B5735">
        <v>2018</v>
      </c>
      <c r="C5735" t="s">
        <v>46</v>
      </c>
      <c r="D5735" s="2">
        <v>43435</v>
      </c>
      <c r="E5735" t="s">
        <v>3</v>
      </c>
      <c r="F5735">
        <v>137.5</v>
      </c>
      <c r="G5735" t="str">
        <f>VLOOKUP(Table1_2[[#This Row],[Categories]],Sheet3!$A$1:$B$27,2,FALSE)</f>
        <v>Food &amp;Beverage</v>
      </c>
    </row>
    <row r="5736" spans="1:7" x14ac:dyDescent="0.3">
      <c r="A5736" t="s">
        <v>34</v>
      </c>
      <c r="B5736">
        <v>2018</v>
      </c>
      <c r="C5736" t="s">
        <v>46</v>
      </c>
      <c r="D5736" s="2">
        <v>43435</v>
      </c>
      <c r="E5736" t="s">
        <v>4</v>
      </c>
      <c r="F5736">
        <v>150.5</v>
      </c>
      <c r="G5736" t="str">
        <f>VLOOKUP(Table1_2[[#This Row],[Categories]],Sheet3!$A$1:$B$27,2,FALSE)</f>
        <v>Food &amp;Beverage</v>
      </c>
    </row>
    <row r="5737" spans="1:7" x14ac:dyDescent="0.3">
      <c r="A5737" t="s">
        <v>34</v>
      </c>
      <c r="B5737">
        <v>2018</v>
      </c>
      <c r="C5737" t="s">
        <v>46</v>
      </c>
      <c r="D5737" s="2">
        <v>43435</v>
      </c>
      <c r="E5737" t="s">
        <v>5</v>
      </c>
      <c r="F5737">
        <v>138.80000000000001</v>
      </c>
      <c r="G5737" t="str">
        <f>VLOOKUP(Table1_2[[#This Row],[Categories]],Sheet3!$A$1:$B$27,2,FALSE)</f>
        <v>Food &amp;Beverage</v>
      </c>
    </row>
    <row r="5738" spans="1:7" x14ac:dyDescent="0.3">
      <c r="A5738" t="s">
        <v>34</v>
      </c>
      <c r="B5738">
        <v>2018</v>
      </c>
      <c r="C5738" t="s">
        <v>46</v>
      </c>
      <c r="D5738" s="2">
        <v>43435</v>
      </c>
      <c r="E5738" t="s">
        <v>6</v>
      </c>
      <c r="F5738">
        <v>142.1</v>
      </c>
      <c r="G5738" t="str">
        <f>VLOOKUP(Table1_2[[#This Row],[Categories]],Sheet3!$A$1:$B$27,2,FALSE)</f>
        <v>Food &amp;Beverage</v>
      </c>
    </row>
    <row r="5739" spans="1:7" x14ac:dyDescent="0.3">
      <c r="A5739" t="s">
        <v>34</v>
      </c>
      <c r="B5739">
        <v>2018</v>
      </c>
      <c r="C5739" t="s">
        <v>46</v>
      </c>
      <c r="D5739" s="2">
        <v>43435</v>
      </c>
      <c r="E5739" t="s">
        <v>7</v>
      </c>
      <c r="F5739">
        <v>122</v>
      </c>
      <c r="G5739" t="str">
        <f>VLOOKUP(Table1_2[[#This Row],[Categories]],Sheet3!$A$1:$B$27,2,FALSE)</f>
        <v>Food &amp;Beverage</v>
      </c>
    </row>
    <row r="5740" spans="1:7" x14ac:dyDescent="0.3">
      <c r="A5740" t="s">
        <v>34</v>
      </c>
      <c r="B5740">
        <v>2018</v>
      </c>
      <c r="C5740" t="s">
        <v>46</v>
      </c>
      <c r="D5740" s="2">
        <v>43435</v>
      </c>
      <c r="E5740" t="s">
        <v>8</v>
      </c>
      <c r="F5740">
        <v>139.4</v>
      </c>
      <c r="G5740" t="str">
        <f>VLOOKUP(Table1_2[[#This Row],[Categories]],Sheet3!$A$1:$B$27,2,FALSE)</f>
        <v>Food &amp;Beverage</v>
      </c>
    </row>
    <row r="5741" spans="1:7" x14ac:dyDescent="0.3">
      <c r="A5741" t="s">
        <v>34</v>
      </c>
      <c r="B5741">
        <v>2018</v>
      </c>
      <c r="C5741" t="s">
        <v>46</v>
      </c>
      <c r="D5741" s="2">
        <v>43435</v>
      </c>
      <c r="E5741" t="s">
        <v>9</v>
      </c>
      <c r="F5741">
        <v>135.19999999999999</v>
      </c>
      <c r="G5741" t="str">
        <f>VLOOKUP(Table1_2[[#This Row],[Categories]],Sheet3!$A$1:$B$27,2,FALSE)</f>
        <v>Food &amp;Beverage</v>
      </c>
    </row>
    <row r="5742" spans="1:7" x14ac:dyDescent="0.3">
      <c r="A5742" t="s">
        <v>34</v>
      </c>
      <c r="B5742">
        <v>2018</v>
      </c>
      <c r="C5742" t="s">
        <v>46</v>
      </c>
      <c r="D5742" s="2">
        <v>43435</v>
      </c>
      <c r="E5742" t="s">
        <v>10</v>
      </c>
      <c r="F5742">
        <v>119.8</v>
      </c>
      <c r="G5742" t="str">
        <f>VLOOKUP(Table1_2[[#This Row],[Categories]],Sheet3!$A$1:$B$27,2,FALSE)</f>
        <v>Food &amp;Beverage</v>
      </c>
    </row>
    <row r="5743" spans="1:7" x14ac:dyDescent="0.3">
      <c r="A5743" t="s">
        <v>34</v>
      </c>
      <c r="B5743">
        <v>2018</v>
      </c>
      <c r="C5743" t="s">
        <v>46</v>
      </c>
      <c r="D5743" s="2">
        <v>43435</v>
      </c>
      <c r="E5743" t="s">
        <v>11</v>
      </c>
      <c r="F5743">
        <v>110.3</v>
      </c>
      <c r="G5743" t="str">
        <f>VLOOKUP(Table1_2[[#This Row],[Categories]],Sheet3!$A$1:$B$27,2,FALSE)</f>
        <v>Food &amp;Beverage</v>
      </c>
    </row>
    <row r="5744" spans="1:7" x14ac:dyDescent="0.3">
      <c r="A5744" t="s">
        <v>34</v>
      </c>
      <c r="B5744">
        <v>2018</v>
      </c>
      <c r="C5744" t="s">
        <v>46</v>
      </c>
      <c r="D5744" s="2">
        <v>43435</v>
      </c>
      <c r="E5744" t="s">
        <v>12</v>
      </c>
      <c r="F5744">
        <v>140.6</v>
      </c>
      <c r="G5744" t="str">
        <f>VLOOKUP(Table1_2[[#This Row],[Categories]],Sheet3!$A$1:$B$27,2,FALSE)</f>
        <v>Food &amp;Beverage</v>
      </c>
    </row>
    <row r="5745" spans="1:7" x14ac:dyDescent="0.3">
      <c r="A5745" t="s">
        <v>34</v>
      </c>
      <c r="B5745">
        <v>2018</v>
      </c>
      <c r="C5745" t="s">
        <v>46</v>
      </c>
      <c r="D5745" s="2">
        <v>43435</v>
      </c>
      <c r="E5745" t="s">
        <v>13</v>
      </c>
      <c r="F5745">
        <v>133.80000000000001</v>
      </c>
      <c r="G5745" t="str">
        <f>VLOOKUP(Table1_2[[#This Row],[Categories]],Sheet3!$A$1:$B$27,2,FALSE)</f>
        <v>Food &amp;Beverage</v>
      </c>
    </row>
    <row r="5746" spans="1:7" x14ac:dyDescent="0.3">
      <c r="A5746" t="s">
        <v>34</v>
      </c>
      <c r="B5746">
        <v>2018</v>
      </c>
      <c r="C5746" t="s">
        <v>46</v>
      </c>
      <c r="D5746" s="2">
        <v>43435</v>
      </c>
      <c r="E5746" t="s">
        <v>14</v>
      </c>
      <c r="F5746">
        <v>154.6</v>
      </c>
      <c r="G5746" t="str">
        <f>VLOOKUP(Table1_2[[#This Row],[Categories]],Sheet3!$A$1:$B$27,2,FALSE)</f>
        <v>Food &amp;Beverage</v>
      </c>
    </row>
    <row r="5747" spans="1:7" x14ac:dyDescent="0.3">
      <c r="A5747" t="s">
        <v>34</v>
      </c>
      <c r="B5747">
        <v>2018</v>
      </c>
      <c r="C5747" t="s">
        <v>46</v>
      </c>
      <c r="D5747" s="2">
        <v>43435</v>
      </c>
      <c r="E5747" t="s">
        <v>15</v>
      </c>
      <c r="F5747">
        <v>138.19999999999999</v>
      </c>
      <c r="G5747" t="str">
        <f>VLOOKUP(Table1_2[[#This Row],[Categories]],Sheet3!$A$1:$B$27,2,FALSE)</f>
        <v>Food &amp;Beverage</v>
      </c>
    </row>
    <row r="5748" spans="1:7" x14ac:dyDescent="0.3">
      <c r="A5748" t="s">
        <v>34</v>
      </c>
      <c r="B5748">
        <v>2018</v>
      </c>
      <c r="C5748" t="s">
        <v>46</v>
      </c>
      <c r="D5748" s="2">
        <v>43435</v>
      </c>
      <c r="E5748" t="s">
        <v>16</v>
      </c>
      <c r="F5748">
        <v>163</v>
      </c>
      <c r="G5748" t="str">
        <f>VLOOKUP(Table1_2[[#This Row],[Categories]],Sheet3!$A$1:$B$27,2,FALSE)</f>
        <v>Recreation and amusement</v>
      </c>
    </row>
    <row r="5749" spans="1:7" x14ac:dyDescent="0.3">
      <c r="A5749" t="s">
        <v>34</v>
      </c>
      <c r="B5749">
        <v>2018</v>
      </c>
      <c r="C5749" t="s">
        <v>46</v>
      </c>
      <c r="D5749" s="2">
        <v>43435</v>
      </c>
      <c r="E5749" t="s">
        <v>17</v>
      </c>
      <c r="F5749">
        <v>148.1</v>
      </c>
      <c r="G5749" t="str">
        <f>VLOOKUP(Table1_2[[#This Row],[Categories]],Sheet3!$A$1:$B$27,2,FALSE)</f>
        <v>Clothing and footwear</v>
      </c>
    </row>
    <row r="5750" spans="1:7" x14ac:dyDescent="0.3">
      <c r="A5750" t="s">
        <v>34</v>
      </c>
      <c r="B5750">
        <v>2018</v>
      </c>
      <c r="C5750" t="s">
        <v>46</v>
      </c>
      <c r="D5750" s="2">
        <v>43435</v>
      </c>
      <c r="E5750" t="s">
        <v>18</v>
      </c>
      <c r="F5750">
        <v>139.4</v>
      </c>
      <c r="G5750" t="str">
        <f>VLOOKUP(Table1_2[[#This Row],[Categories]],Sheet3!$A$1:$B$27,2,FALSE)</f>
        <v>Clothing and footwear</v>
      </c>
    </row>
    <row r="5751" spans="1:7" x14ac:dyDescent="0.3">
      <c r="A5751" t="s">
        <v>34</v>
      </c>
      <c r="B5751">
        <v>2018</v>
      </c>
      <c r="C5751" t="s">
        <v>46</v>
      </c>
      <c r="D5751" s="2">
        <v>43435</v>
      </c>
      <c r="E5751" t="s">
        <v>19</v>
      </c>
      <c r="F5751">
        <v>146.80000000000001</v>
      </c>
      <c r="G5751" t="str">
        <f>VLOOKUP(Table1_2[[#This Row],[Categories]],Sheet3!$A$1:$B$27,2,FALSE)</f>
        <v>Clothing and footwear</v>
      </c>
    </row>
    <row r="5752" spans="1:7" x14ac:dyDescent="0.3">
      <c r="A5752" t="s">
        <v>34</v>
      </c>
      <c r="B5752">
        <v>2018</v>
      </c>
      <c r="C5752" t="s">
        <v>46</v>
      </c>
      <c r="D5752" s="2">
        <v>43435</v>
      </c>
      <c r="E5752" t="s">
        <v>20</v>
      </c>
      <c r="F5752">
        <v>146.5</v>
      </c>
      <c r="G5752" t="str">
        <f>VLOOKUP(Table1_2[[#This Row],[Categories]],Sheet3!$A$1:$B$27,2,FALSE)</f>
        <v>Housing</v>
      </c>
    </row>
    <row r="5753" spans="1:7" x14ac:dyDescent="0.3">
      <c r="A5753" t="s">
        <v>34</v>
      </c>
      <c r="B5753">
        <v>2018</v>
      </c>
      <c r="C5753" t="s">
        <v>46</v>
      </c>
      <c r="D5753" s="2">
        <v>43435</v>
      </c>
      <c r="E5753" t="s">
        <v>21</v>
      </c>
      <c r="F5753">
        <v>142.69999999999999</v>
      </c>
      <c r="G5753" t="str">
        <f>VLOOKUP(Table1_2[[#This Row],[Categories]],Sheet3!$A$1:$B$27,2,FALSE)</f>
        <v>Fuel and light</v>
      </c>
    </row>
    <row r="5754" spans="1:7" x14ac:dyDescent="0.3">
      <c r="A5754" t="s">
        <v>34</v>
      </c>
      <c r="B5754">
        <v>2018</v>
      </c>
      <c r="C5754" t="s">
        <v>46</v>
      </c>
      <c r="D5754" s="2">
        <v>43435</v>
      </c>
      <c r="E5754" t="s">
        <v>22</v>
      </c>
      <c r="F5754">
        <v>143.19999999999999</v>
      </c>
      <c r="G5754" t="str">
        <f>VLOOKUP(Table1_2[[#This Row],[Categories]],Sheet3!$A$1:$B$27,2,FALSE)</f>
        <v>Household Items</v>
      </c>
    </row>
    <row r="5755" spans="1:7" x14ac:dyDescent="0.3">
      <c r="A5755" t="s">
        <v>34</v>
      </c>
      <c r="B5755">
        <v>2018</v>
      </c>
      <c r="C5755" t="s">
        <v>46</v>
      </c>
      <c r="D5755" s="2">
        <v>43435</v>
      </c>
      <c r="E5755" t="s">
        <v>23</v>
      </c>
      <c r="F5755">
        <v>144.9</v>
      </c>
      <c r="G5755" t="str">
        <f>VLOOKUP(Table1_2[[#This Row],[Categories]],Sheet3!$A$1:$B$27,2,FALSE)</f>
        <v>Health</v>
      </c>
    </row>
    <row r="5756" spans="1:7" x14ac:dyDescent="0.3">
      <c r="A5756" t="s">
        <v>34</v>
      </c>
      <c r="B5756">
        <v>2018</v>
      </c>
      <c r="C5756" t="s">
        <v>46</v>
      </c>
      <c r="D5756" s="2">
        <v>43435</v>
      </c>
      <c r="E5756" t="s">
        <v>24</v>
      </c>
      <c r="F5756">
        <v>123.6</v>
      </c>
      <c r="G5756" t="str">
        <f>VLOOKUP(Table1_2[[#This Row],[Categories]],Sheet3!$A$1:$B$27,2,FALSE)</f>
        <v>Transport and communication</v>
      </c>
    </row>
    <row r="5757" spans="1:7" x14ac:dyDescent="0.3">
      <c r="A5757" t="s">
        <v>34</v>
      </c>
      <c r="B5757">
        <v>2018</v>
      </c>
      <c r="C5757" t="s">
        <v>46</v>
      </c>
      <c r="D5757" s="2">
        <v>43435</v>
      </c>
      <c r="E5757" t="s">
        <v>25</v>
      </c>
      <c r="F5757">
        <v>136.80000000000001</v>
      </c>
      <c r="G5757" t="str">
        <f>VLOOKUP(Table1_2[[#This Row],[Categories]],Sheet3!$A$1:$B$27,2,FALSE)</f>
        <v>Recreation and amusement</v>
      </c>
    </row>
    <row r="5758" spans="1:7" x14ac:dyDescent="0.3">
      <c r="A5758" t="s">
        <v>34</v>
      </c>
      <c r="B5758">
        <v>2018</v>
      </c>
      <c r="C5758" t="s">
        <v>46</v>
      </c>
      <c r="D5758" s="2">
        <v>43435</v>
      </c>
      <c r="E5758" t="s">
        <v>26</v>
      </c>
      <c r="F5758">
        <v>150.1</v>
      </c>
      <c r="G5758" t="str">
        <f>VLOOKUP(Table1_2[[#This Row],[Categories]],Sheet3!$A$1:$B$27,2,FALSE)</f>
        <v>Education</v>
      </c>
    </row>
    <row r="5759" spans="1:7" x14ac:dyDescent="0.3">
      <c r="A5759" t="s">
        <v>34</v>
      </c>
      <c r="B5759">
        <v>2018</v>
      </c>
      <c r="C5759" t="s">
        <v>46</v>
      </c>
      <c r="D5759" s="2">
        <v>43435</v>
      </c>
      <c r="E5759" t="s">
        <v>27</v>
      </c>
      <c r="F5759">
        <v>132.19999999999999</v>
      </c>
      <c r="G5759" t="str">
        <f>VLOOKUP(Table1_2[[#This Row],[Categories]],Sheet3!$A$1:$B$27,2,FALSE)</f>
        <v>Household Items</v>
      </c>
    </row>
    <row r="5760" spans="1:7" x14ac:dyDescent="0.3">
      <c r="A5760" t="s">
        <v>34</v>
      </c>
      <c r="B5760">
        <v>2018</v>
      </c>
      <c r="C5760" t="s">
        <v>46</v>
      </c>
      <c r="D5760" s="2">
        <v>43435</v>
      </c>
      <c r="E5760" t="s">
        <v>28</v>
      </c>
      <c r="F5760">
        <v>136.80000000000001</v>
      </c>
      <c r="G5760" t="str">
        <f>VLOOKUP(Table1_2[[#This Row],[Categories]],Sheet3!$A$1:$B$27,2,FALSE)</f>
        <v>Miscellaneous</v>
      </c>
    </row>
    <row r="5761" spans="1:7" x14ac:dyDescent="0.3">
      <c r="A5761" t="s">
        <v>34</v>
      </c>
      <c r="B5761">
        <v>2018</v>
      </c>
      <c r="C5761" t="s">
        <v>46</v>
      </c>
      <c r="D5761" s="2">
        <v>43435</v>
      </c>
      <c r="E5761" t="s">
        <v>29</v>
      </c>
      <c r="F5761">
        <v>140.1</v>
      </c>
      <c r="G5761" t="str">
        <f>VLOOKUP(Table1_2[[#This Row],[Categories]],Sheet3!$A$1:$B$27,2,FALSE)</f>
        <v>General index</v>
      </c>
    </row>
    <row r="5762" spans="1:7" x14ac:dyDescent="0.3">
      <c r="A5762" t="s">
        <v>30</v>
      </c>
      <c r="B5762">
        <v>2019</v>
      </c>
      <c r="C5762" t="s">
        <v>31</v>
      </c>
      <c r="D5762" s="2">
        <v>43466</v>
      </c>
      <c r="E5762" t="s">
        <v>3</v>
      </c>
      <c r="F5762">
        <v>136.6</v>
      </c>
      <c r="G5762" t="str">
        <f>VLOOKUP(Table1_2[[#This Row],[Categories]],Sheet3!$A$1:$B$27,2,FALSE)</f>
        <v>Food &amp;Beverage</v>
      </c>
    </row>
    <row r="5763" spans="1:7" x14ac:dyDescent="0.3">
      <c r="A5763" t="s">
        <v>30</v>
      </c>
      <c r="B5763">
        <v>2019</v>
      </c>
      <c r="C5763" t="s">
        <v>31</v>
      </c>
      <c r="D5763" s="2">
        <v>43466</v>
      </c>
      <c r="E5763" t="s">
        <v>4</v>
      </c>
      <c r="F5763">
        <v>152.5</v>
      </c>
      <c r="G5763" t="str">
        <f>VLOOKUP(Table1_2[[#This Row],[Categories]],Sheet3!$A$1:$B$27,2,FALSE)</f>
        <v>Food &amp;Beverage</v>
      </c>
    </row>
    <row r="5764" spans="1:7" x14ac:dyDescent="0.3">
      <c r="A5764" t="s">
        <v>30</v>
      </c>
      <c r="B5764">
        <v>2019</v>
      </c>
      <c r="C5764" t="s">
        <v>31</v>
      </c>
      <c r="D5764" s="2">
        <v>43466</v>
      </c>
      <c r="E5764" t="s">
        <v>5</v>
      </c>
      <c r="F5764">
        <v>138.19999999999999</v>
      </c>
      <c r="G5764" t="str">
        <f>VLOOKUP(Table1_2[[#This Row],[Categories]],Sheet3!$A$1:$B$27,2,FALSE)</f>
        <v>Food &amp;Beverage</v>
      </c>
    </row>
    <row r="5765" spans="1:7" x14ac:dyDescent="0.3">
      <c r="A5765" t="s">
        <v>30</v>
      </c>
      <c r="B5765">
        <v>2019</v>
      </c>
      <c r="C5765" t="s">
        <v>31</v>
      </c>
      <c r="D5765" s="2">
        <v>43466</v>
      </c>
      <c r="E5765" t="s">
        <v>6</v>
      </c>
      <c r="F5765">
        <v>142.4</v>
      </c>
      <c r="G5765" t="str">
        <f>VLOOKUP(Table1_2[[#This Row],[Categories]],Sheet3!$A$1:$B$27,2,FALSE)</f>
        <v>Food &amp;Beverage</v>
      </c>
    </row>
    <row r="5766" spans="1:7" x14ac:dyDescent="0.3">
      <c r="A5766" t="s">
        <v>30</v>
      </c>
      <c r="B5766">
        <v>2019</v>
      </c>
      <c r="C5766" t="s">
        <v>31</v>
      </c>
      <c r="D5766" s="2">
        <v>43466</v>
      </c>
      <c r="E5766" t="s">
        <v>7</v>
      </c>
      <c r="F5766">
        <v>123.9</v>
      </c>
      <c r="G5766" t="str">
        <f>VLOOKUP(Table1_2[[#This Row],[Categories]],Sheet3!$A$1:$B$27,2,FALSE)</f>
        <v>Food &amp;Beverage</v>
      </c>
    </row>
    <row r="5767" spans="1:7" x14ac:dyDescent="0.3">
      <c r="A5767" t="s">
        <v>30</v>
      </c>
      <c r="B5767">
        <v>2019</v>
      </c>
      <c r="C5767" t="s">
        <v>31</v>
      </c>
      <c r="D5767" s="2">
        <v>43466</v>
      </c>
      <c r="E5767" t="s">
        <v>8</v>
      </c>
      <c r="F5767">
        <v>135.5</v>
      </c>
      <c r="G5767" t="str">
        <f>VLOOKUP(Table1_2[[#This Row],[Categories]],Sheet3!$A$1:$B$27,2,FALSE)</f>
        <v>Food &amp;Beverage</v>
      </c>
    </row>
    <row r="5768" spans="1:7" x14ac:dyDescent="0.3">
      <c r="A5768" t="s">
        <v>30</v>
      </c>
      <c r="B5768">
        <v>2019</v>
      </c>
      <c r="C5768" t="s">
        <v>31</v>
      </c>
      <c r="D5768" s="2">
        <v>43466</v>
      </c>
      <c r="E5768" t="s">
        <v>9</v>
      </c>
      <c r="F5768">
        <v>131.69999999999999</v>
      </c>
      <c r="G5768" t="str">
        <f>VLOOKUP(Table1_2[[#This Row],[Categories]],Sheet3!$A$1:$B$27,2,FALSE)</f>
        <v>Food &amp;Beverage</v>
      </c>
    </row>
    <row r="5769" spans="1:7" x14ac:dyDescent="0.3">
      <c r="A5769" t="s">
        <v>30</v>
      </c>
      <c r="B5769">
        <v>2019</v>
      </c>
      <c r="C5769" t="s">
        <v>31</v>
      </c>
      <c r="D5769" s="2">
        <v>43466</v>
      </c>
      <c r="E5769" t="s">
        <v>10</v>
      </c>
      <c r="F5769">
        <v>121.3</v>
      </c>
      <c r="G5769" t="str">
        <f>VLOOKUP(Table1_2[[#This Row],[Categories]],Sheet3!$A$1:$B$27,2,FALSE)</f>
        <v>Food &amp;Beverage</v>
      </c>
    </row>
    <row r="5770" spans="1:7" x14ac:dyDescent="0.3">
      <c r="A5770" t="s">
        <v>30</v>
      </c>
      <c r="B5770">
        <v>2019</v>
      </c>
      <c r="C5770" t="s">
        <v>31</v>
      </c>
      <c r="D5770" s="2">
        <v>43466</v>
      </c>
      <c r="E5770" t="s">
        <v>11</v>
      </c>
      <c r="F5770">
        <v>108.4</v>
      </c>
      <c r="G5770" t="str">
        <f>VLOOKUP(Table1_2[[#This Row],[Categories]],Sheet3!$A$1:$B$27,2,FALSE)</f>
        <v>Food &amp;Beverage</v>
      </c>
    </row>
    <row r="5771" spans="1:7" x14ac:dyDescent="0.3">
      <c r="A5771" t="s">
        <v>30</v>
      </c>
      <c r="B5771">
        <v>2019</v>
      </c>
      <c r="C5771" t="s">
        <v>31</v>
      </c>
      <c r="D5771" s="2">
        <v>43466</v>
      </c>
      <c r="E5771" t="s">
        <v>12</v>
      </c>
      <c r="F5771">
        <v>138.9</v>
      </c>
      <c r="G5771" t="str">
        <f>VLOOKUP(Table1_2[[#This Row],[Categories]],Sheet3!$A$1:$B$27,2,FALSE)</f>
        <v>Food &amp;Beverage</v>
      </c>
    </row>
    <row r="5772" spans="1:7" x14ac:dyDescent="0.3">
      <c r="A5772" t="s">
        <v>30</v>
      </c>
      <c r="B5772">
        <v>2019</v>
      </c>
      <c r="C5772" t="s">
        <v>31</v>
      </c>
      <c r="D5772" s="2">
        <v>43466</v>
      </c>
      <c r="E5772" t="s">
        <v>13</v>
      </c>
      <c r="F5772">
        <v>137</v>
      </c>
      <c r="G5772" t="str">
        <f>VLOOKUP(Table1_2[[#This Row],[Categories]],Sheet3!$A$1:$B$27,2,FALSE)</f>
        <v>Food &amp;Beverage</v>
      </c>
    </row>
    <row r="5773" spans="1:7" x14ac:dyDescent="0.3">
      <c r="A5773" t="s">
        <v>30</v>
      </c>
      <c r="B5773">
        <v>2019</v>
      </c>
      <c r="C5773" t="s">
        <v>31</v>
      </c>
      <c r="D5773" s="2">
        <v>43466</v>
      </c>
      <c r="E5773" t="s">
        <v>14</v>
      </c>
      <c r="F5773">
        <v>155.80000000000001</v>
      </c>
      <c r="G5773" t="str">
        <f>VLOOKUP(Table1_2[[#This Row],[Categories]],Sheet3!$A$1:$B$27,2,FALSE)</f>
        <v>Food &amp;Beverage</v>
      </c>
    </row>
    <row r="5774" spans="1:7" x14ac:dyDescent="0.3">
      <c r="A5774" t="s">
        <v>30</v>
      </c>
      <c r="B5774">
        <v>2019</v>
      </c>
      <c r="C5774" t="s">
        <v>31</v>
      </c>
      <c r="D5774" s="2">
        <v>43466</v>
      </c>
      <c r="E5774" t="s">
        <v>15</v>
      </c>
      <c r="F5774">
        <v>137.4</v>
      </c>
      <c r="G5774" t="str">
        <f>VLOOKUP(Table1_2[[#This Row],[Categories]],Sheet3!$A$1:$B$27,2,FALSE)</f>
        <v>Food &amp;Beverage</v>
      </c>
    </row>
    <row r="5775" spans="1:7" x14ac:dyDescent="0.3">
      <c r="A5775" t="s">
        <v>30</v>
      </c>
      <c r="B5775">
        <v>2019</v>
      </c>
      <c r="C5775" t="s">
        <v>31</v>
      </c>
      <c r="D5775" s="2">
        <v>43466</v>
      </c>
      <c r="E5775" t="s">
        <v>16</v>
      </c>
      <c r="F5775">
        <v>162.69999999999999</v>
      </c>
      <c r="G5775" t="str">
        <f>VLOOKUP(Table1_2[[#This Row],[Categories]],Sheet3!$A$1:$B$27,2,FALSE)</f>
        <v>Recreation and amusement</v>
      </c>
    </row>
    <row r="5776" spans="1:7" x14ac:dyDescent="0.3">
      <c r="A5776" t="s">
        <v>30</v>
      </c>
      <c r="B5776">
        <v>2019</v>
      </c>
      <c r="C5776" t="s">
        <v>31</v>
      </c>
      <c r="D5776" s="2">
        <v>43466</v>
      </c>
      <c r="E5776" t="s">
        <v>17</v>
      </c>
      <c r="F5776">
        <v>150.6</v>
      </c>
      <c r="G5776" t="str">
        <f>VLOOKUP(Table1_2[[#This Row],[Categories]],Sheet3!$A$1:$B$27,2,FALSE)</f>
        <v>Clothing and footwear</v>
      </c>
    </row>
    <row r="5777" spans="1:7" x14ac:dyDescent="0.3">
      <c r="A5777" t="s">
        <v>30</v>
      </c>
      <c r="B5777">
        <v>2019</v>
      </c>
      <c r="C5777" t="s">
        <v>31</v>
      </c>
      <c r="D5777" s="2">
        <v>43466</v>
      </c>
      <c r="E5777" t="s">
        <v>18</v>
      </c>
      <c r="F5777">
        <v>145.1</v>
      </c>
      <c r="G5777" t="str">
        <f>VLOOKUP(Table1_2[[#This Row],[Categories]],Sheet3!$A$1:$B$27,2,FALSE)</f>
        <v>Clothing and footwear</v>
      </c>
    </row>
    <row r="5778" spans="1:7" x14ac:dyDescent="0.3">
      <c r="A5778" t="s">
        <v>30</v>
      </c>
      <c r="B5778">
        <v>2019</v>
      </c>
      <c r="C5778" t="s">
        <v>31</v>
      </c>
      <c r="D5778" s="2">
        <v>43466</v>
      </c>
      <c r="E5778" t="s">
        <v>19</v>
      </c>
      <c r="F5778">
        <v>149.9</v>
      </c>
      <c r="G5778" t="str">
        <f>VLOOKUP(Table1_2[[#This Row],[Categories]],Sheet3!$A$1:$B$27,2,FALSE)</f>
        <v>Clothing and footwear</v>
      </c>
    </row>
    <row r="5779" spans="1:7" x14ac:dyDescent="0.3">
      <c r="A5779" t="s">
        <v>30</v>
      </c>
      <c r="B5779">
        <v>2019</v>
      </c>
      <c r="C5779" t="s">
        <v>31</v>
      </c>
      <c r="D5779" s="2">
        <v>43466</v>
      </c>
      <c r="E5779" t="s">
        <v>21</v>
      </c>
      <c r="F5779">
        <v>146.19999999999999</v>
      </c>
      <c r="G5779" t="str">
        <f>VLOOKUP(Table1_2[[#This Row],[Categories]],Sheet3!$A$1:$B$27,2,FALSE)</f>
        <v>Fuel and light</v>
      </c>
    </row>
    <row r="5780" spans="1:7" x14ac:dyDescent="0.3">
      <c r="A5780" t="s">
        <v>30</v>
      </c>
      <c r="B5780">
        <v>2019</v>
      </c>
      <c r="C5780" t="s">
        <v>31</v>
      </c>
      <c r="D5780" s="2">
        <v>43466</v>
      </c>
      <c r="E5780" t="s">
        <v>22</v>
      </c>
      <c r="F5780">
        <v>150.1</v>
      </c>
      <c r="G5780" t="str">
        <f>VLOOKUP(Table1_2[[#This Row],[Categories]],Sheet3!$A$1:$B$27,2,FALSE)</f>
        <v>Household Items</v>
      </c>
    </row>
    <row r="5781" spans="1:7" x14ac:dyDescent="0.3">
      <c r="A5781" t="s">
        <v>30</v>
      </c>
      <c r="B5781">
        <v>2019</v>
      </c>
      <c r="C5781" t="s">
        <v>31</v>
      </c>
      <c r="D5781" s="2">
        <v>43466</v>
      </c>
      <c r="E5781" t="s">
        <v>23</v>
      </c>
      <c r="F5781">
        <v>149.6</v>
      </c>
      <c r="G5781" t="str">
        <f>VLOOKUP(Table1_2[[#This Row],[Categories]],Sheet3!$A$1:$B$27,2,FALSE)</f>
        <v>Health</v>
      </c>
    </row>
    <row r="5782" spans="1:7" x14ac:dyDescent="0.3">
      <c r="A5782" t="s">
        <v>30</v>
      </c>
      <c r="B5782">
        <v>2019</v>
      </c>
      <c r="C5782" t="s">
        <v>31</v>
      </c>
      <c r="D5782" s="2">
        <v>43466</v>
      </c>
      <c r="E5782" t="s">
        <v>24</v>
      </c>
      <c r="F5782">
        <v>128.6</v>
      </c>
      <c r="G5782" t="str">
        <f>VLOOKUP(Table1_2[[#This Row],[Categories]],Sheet3!$A$1:$B$27,2,FALSE)</f>
        <v>Transport and communication</v>
      </c>
    </row>
    <row r="5783" spans="1:7" x14ac:dyDescent="0.3">
      <c r="A5783" t="s">
        <v>30</v>
      </c>
      <c r="B5783">
        <v>2019</v>
      </c>
      <c r="C5783" t="s">
        <v>31</v>
      </c>
      <c r="D5783" s="2">
        <v>43466</v>
      </c>
      <c r="E5783" t="s">
        <v>25</v>
      </c>
      <c r="F5783">
        <v>142.9</v>
      </c>
      <c r="G5783" t="str">
        <f>VLOOKUP(Table1_2[[#This Row],[Categories]],Sheet3!$A$1:$B$27,2,FALSE)</f>
        <v>Recreation and amusement</v>
      </c>
    </row>
    <row r="5784" spans="1:7" x14ac:dyDescent="0.3">
      <c r="A5784" t="s">
        <v>30</v>
      </c>
      <c r="B5784">
        <v>2019</v>
      </c>
      <c r="C5784" t="s">
        <v>31</v>
      </c>
      <c r="D5784" s="2">
        <v>43466</v>
      </c>
      <c r="E5784" t="s">
        <v>26</v>
      </c>
      <c r="F5784">
        <v>155.19999999999999</v>
      </c>
      <c r="G5784" t="str">
        <f>VLOOKUP(Table1_2[[#This Row],[Categories]],Sheet3!$A$1:$B$27,2,FALSE)</f>
        <v>Education</v>
      </c>
    </row>
    <row r="5785" spans="1:7" x14ac:dyDescent="0.3">
      <c r="A5785" t="s">
        <v>30</v>
      </c>
      <c r="B5785">
        <v>2019</v>
      </c>
      <c r="C5785" t="s">
        <v>31</v>
      </c>
      <c r="D5785" s="2">
        <v>43466</v>
      </c>
      <c r="E5785" t="s">
        <v>27</v>
      </c>
      <c r="F5785">
        <v>133.5</v>
      </c>
      <c r="G5785" t="str">
        <f>VLOOKUP(Table1_2[[#This Row],[Categories]],Sheet3!$A$1:$B$27,2,FALSE)</f>
        <v>Household Items</v>
      </c>
    </row>
    <row r="5786" spans="1:7" x14ac:dyDescent="0.3">
      <c r="A5786" t="s">
        <v>30</v>
      </c>
      <c r="B5786">
        <v>2019</v>
      </c>
      <c r="C5786" t="s">
        <v>31</v>
      </c>
      <c r="D5786" s="2">
        <v>43466</v>
      </c>
      <c r="E5786" t="s">
        <v>28</v>
      </c>
      <c r="F5786">
        <v>141.69999999999999</v>
      </c>
      <c r="G5786" t="str">
        <f>VLOOKUP(Table1_2[[#This Row],[Categories]],Sheet3!$A$1:$B$27,2,FALSE)</f>
        <v>Miscellaneous</v>
      </c>
    </row>
    <row r="5787" spans="1:7" x14ac:dyDescent="0.3">
      <c r="A5787" t="s">
        <v>30</v>
      </c>
      <c r="B5787">
        <v>2019</v>
      </c>
      <c r="C5787" t="s">
        <v>31</v>
      </c>
      <c r="D5787" s="2">
        <v>43466</v>
      </c>
      <c r="E5787" t="s">
        <v>29</v>
      </c>
      <c r="F5787">
        <v>141</v>
      </c>
      <c r="G5787" t="str">
        <f>VLOOKUP(Table1_2[[#This Row],[Categories]],Sheet3!$A$1:$B$27,2,FALSE)</f>
        <v>General index</v>
      </c>
    </row>
    <row r="5788" spans="1:7" x14ac:dyDescent="0.3">
      <c r="A5788" t="s">
        <v>33</v>
      </c>
      <c r="B5788">
        <v>2019</v>
      </c>
      <c r="C5788" t="s">
        <v>31</v>
      </c>
      <c r="D5788" s="2">
        <v>43466</v>
      </c>
      <c r="E5788" t="s">
        <v>3</v>
      </c>
      <c r="F5788">
        <v>138.30000000000001</v>
      </c>
      <c r="G5788" t="str">
        <f>VLOOKUP(Table1_2[[#This Row],[Categories]],Sheet3!$A$1:$B$27,2,FALSE)</f>
        <v>Food &amp;Beverage</v>
      </c>
    </row>
    <row r="5789" spans="1:7" x14ac:dyDescent="0.3">
      <c r="A5789" t="s">
        <v>33</v>
      </c>
      <c r="B5789">
        <v>2019</v>
      </c>
      <c r="C5789" t="s">
        <v>31</v>
      </c>
      <c r="D5789" s="2">
        <v>43466</v>
      </c>
      <c r="E5789" t="s">
        <v>4</v>
      </c>
      <c r="F5789">
        <v>149.4</v>
      </c>
      <c r="G5789" t="str">
        <f>VLOOKUP(Table1_2[[#This Row],[Categories]],Sheet3!$A$1:$B$27,2,FALSE)</f>
        <v>Food &amp;Beverage</v>
      </c>
    </row>
    <row r="5790" spans="1:7" x14ac:dyDescent="0.3">
      <c r="A5790" t="s">
        <v>33</v>
      </c>
      <c r="B5790">
        <v>2019</v>
      </c>
      <c r="C5790" t="s">
        <v>31</v>
      </c>
      <c r="D5790" s="2">
        <v>43466</v>
      </c>
      <c r="E5790" t="s">
        <v>5</v>
      </c>
      <c r="F5790">
        <v>143.5</v>
      </c>
      <c r="G5790" t="str">
        <f>VLOOKUP(Table1_2[[#This Row],[Categories]],Sheet3!$A$1:$B$27,2,FALSE)</f>
        <v>Food &amp;Beverage</v>
      </c>
    </row>
    <row r="5791" spans="1:7" x14ac:dyDescent="0.3">
      <c r="A5791" t="s">
        <v>33</v>
      </c>
      <c r="B5791">
        <v>2019</v>
      </c>
      <c r="C5791" t="s">
        <v>31</v>
      </c>
      <c r="D5791" s="2">
        <v>43466</v>
      </c>
      <c r="E5791" t="s">
        <v>6</v>
      </c>
      <c r="F5791">
        <v>141.69999999999999</v>
      </c>
      <c r="G5791" t="str">
        <f>VLOOKUP(Table1_2[[#This Row],[Categories]],Sheet3!$A$1:$B$27,2,FALSE)</f>
        <v>Food &amp;Beverage</v>
      </c>
    </row>
    <row r="5792" spans="1:7" x14ac:dyDescent="0.3">
      <c r="A5792" t="s">
        <v>33</v>
      </c>
      <c r="B5792">
        <v>2019</v>
      </c>
      <c r="C5792" t="s">
        <v>31</v>
      </c>
      <c r="D5792" s="2">
        <v>43466</v>
      </c>
      <c r="E5792" t="s">
        <v>7</v>
      </c>
      <c r="F5792">
        <v>118.1</v>
      </c>
      <c r="G5792" t="str">
        <f>VLOOKUP(Table1_2[[#This Row],[Categories]],Sheet3!$A$1:$B$27,2,FALSE)</f>
        <v>Food &amp;Beverage</v>
      </c>
    </row>
    <row r="5793" spans="1:7" x14ac:dyDescent="0.3">
      <c r="A5793" t="s">
        <v>33</v>
      </c>
      <c r="B5793">
        <v>2019</v>
      </c>
      <c r="C5793" t="s">
        <v>31</v>
      </c>
      <c r="D5793" s="2">
        <v>43466</v>
      </c>
      <c r="E5793" t="s">
        <v>8</v>
      </c>
      <c r="F5793">
        <v>135.19999999999999</v>
      </c>
      <c r="G5793" t="str">
        <f>VLOOKUP(Table1_2[[#This Row],[Categories]],Sheet3!$A$1:$B$27,2,FALSE)</f>
        <v>Food &amp;Beverage</v>
      </c>
    </row>
    <row r="5794" spans="1:7" x14ac:dyDescent="0.3">
      <c r="A5794" t="s">
        <v>33</v>
      </c>
      <c r="B5794">
        <v>2019</v>
      </c>
      <c r="C5794" t="s">
        <v>31</v>
      </c>
      <c r="D5794" s="2">
        <v>43466</v>
      </c>
      <c r="E5794" t="s">
        <v>9</v>
      </c>
      <c r="F5794">
        <v>130.5</v>
      </c>
      <c r="G5794" t="str">
        <f>VLOOKUP(Table1_2[[#This Row],[Categories]],Sheet3!$A$1:$B$27,2,FALSE)</f>
        <v>Food &amp;Beverage</v>
      </c>
    </row>
    <row r="5795" spans="1:7" x14ac:dyDescent="0.3">
      <c r="A5795" t="s">
        <v>33</v>
      </c>
      <c r="B5795">
        <v>2019</v>
      </c>
      <c r="C5795" t="s">
        <v>31</v>
      </c>
      <c r="D5795" s="2">
        <v>43466</v>
      </c>
      <c r="E5795" t="s">
        <v>10</v>
      </c>
      <c r="F5795">
        <v>118.2</v>
      </c>
      <c r="G5795" t="str">
        <f>VLOOKUP(Table1_2[[#This Row],[Categories]],Sheet3!$A$1:$B$27,2,FALSE)</f>
        <v>Food &amp;Beverage</v>
      </c>
    </row>
    <row r="5796" spans="1:7" x14ac:dyDescent="0.3">
      <c r="A5796" t="s">
        <v>33</v>
      </c>
      <c r="B5796">
        <v>2019</v>
      </c>
      <c r="C5796" t="s">
        <v>31</v>
      </c>
      <c r="D5796" s="2">
        <v>43466</v>
      </c>
      <c r="E5796" t="s">
        <v>11</v>
      </c>
      <c r="F5796">
        <v>110.4</v>
      </c>
      <c r="G5796" t="str">
        <f>VLOOKUP(Table1_2[[#This Row],[Categories]],Sheet3!$A$1:$B$27,2,FALSE)</f>
        <v>Food &amp;Beverage</v>
      </c>
    </row>
    <row r="5797" spans="1:7" x14ac:dyDescent="0.3">
      <c r="A5797" t="s">
        <v>33</v>
      </c>
      <c r="B5797">
        <v>2019</v>
      </c>
      <c r="C5797" t="s">
        <v>31</v>
      </c>
      <c r="D5797" s="2">
        <v>43466</v>
      </c>
      <c r="E5797" t="s">
        <v>12</v>
      </c>
      <c r="F5797">
        <v>140.4</v>
      </c>
      <c r="G5797" t="str">
        <f>VLOOKUP(Table1_2[[#This Row],[Categories]],Sheet3!$A$1:$B$27,2,FALSE)</f>
        <v>Food &amp;Beverage</v>
      </c>
    </row>
    <row r="5798" spans="1:7" x14ac:dyDescent="0.3">
      <c r="A5798" t="s">
        <v>33</v>
      </c>
      <c r="B5798">
        <v>2019</v>
      </c>
      <c r="C5798" t="s">
        <v>31</v>
      </c>
      <c r="D5798" s="2">
        <v>43466</v>
      </c>
      <c r="E5798" t="s">
        <v>13</v>
      </c>
      <c r="F5798">
        <v>128.1</v>
      </c>
      <c r="G5798" t="str">
        <f>VLOOKUP(Table1_2[[#This Row],[Categories]],Sheet3!$A$1:$B$27,2,FALSE)</f>
        <v>Food &amp;Beverage</v>
      </c>
    </row>
    <row r="5799" spans="1:7" x14ac:dyDescent="0.3">
      <c r="A5799" t="s">
        <v>33</v>
      </c>
      <c r="B5799">
        <v>2019</v>
      </c>
      <c r="C5799" t="s">
        <v>31</v>
      </c>
      <c r="D5799" s="2">
        <v>43466</v>
      </c>
      <c r="E5799" t="s">
        <v>14</v>
      </c>
      <c r="F5799">
        <v>153.19999999999999</v>
      </c>
      <c r="G5799" t="str">
        <f>VLOOKUP(Table1_2[[#This Row],[Categories]],Sheet3!$A$1:$B$27,2,FALSE)</f>
        <v>Food &amp;Beverage</v>
      </c>
    </row>
    <row r="5800" spans="1:7" x14ac:dyDescent="0.3">
      <c r="A5800" t="s">
        <v>33</v>
      </c>
      <c r="B5800">
        <v>2019</v>
      </c>
      <c r="C5800" t="s">
        <v>31</v>
      </c>
      <c r="D5800" s="2">
        <v>43466</v>
      </c>
      <c r="E5800" t="s">
        <v>15</v>
      </c>
      <c r="F5800">
        <v>137.30000000000001</v>
      </c>
      <c r="G5800" t="str">
        <f>VLOOKUP(Table1_2[[#This Row],[Categories]],Sheet3!$A$1:$B$27,2,FALSE)</f>
        <v>Food &amp;Beverage</v>
      </c>
    </row>
    <row r="5801" spans="1:7" x14ac:dyDescent="0.3">
      <c r="A5801" t="s">
        <v>33</v>
      </c>
      <c r="B5801">
        <v>2019</v>
      </c>
      <c r="C5801" t="s">
        <v>31</v>
      </c>
      <c r="D5801" s="2">
        <v>43466</v>
      </c>
      <c r="E5801" t="s">
        <v>16</v>
      </c>
      <c r="F5801">
        <v>164.7</v>
      </c>
      <c r="G5801" t="str">
        <f>VLOOKUP(Table1_2[[#This Row],[Categories]],Sheet3!$A$1:$B$27,2,FALSE)</f>
        <v>Recreation and amusement</v>
      </c>
    </row>
    <row r="5802" spans="1:7" x14ac:dyDescent="0.3">
      <c r="A5802" t="s">
        <v>33</v>
      </c>
      <c r="B5802">
        <v>2019</v>
      </c>
      <c r="C5802" t="s">
        <v>31</v>
      </c>
      <c r="D5802" s="2">
        <v>43466</v>
      </c>
      <c r="E5802" t="s">
        <v>17</v>
      </c>
      <c r="F5802">
        <v>143</v>
      </c>
      <c r="G5802" t="str">
        <f>VLOOKUP(Table1_2[[#This Row],[Categories]],Sheet3!$A$1:$B$27,2,FALSE)</f>
        <v>Clothing and footwear</v>
      </c>
    </row>
    <row r="5803" spans="1:7" x14ac:dyDescent="0.3">
      <c r="A5803" t="s">
        <v>33</v>
      </c>
      <c r="B5803">
        <v>2019</v>
      </c>
      <c r="C5803" t="s">
        <v>31</v>
      </c>
      <c r="D5803" s="2">
        <v>43466</v>
      </c>
      <c r="E5803" t="s">
        <v>18</v>
      </c>
      <c r="F5803">
        <v>130.4</v>
      </c>
      <c r="G5803" t="str">
        <f>VLOOKUP(Table1_2[[#This Row],[Categories]],Sheet3!$A$1:$B$27,2,FALSE)</f>
        <v>Clothing and footwear</v>
      </c>
    </row>
    <row r="5804" spans="1:7" x14ac:dyDescent="0.3">
      <c r="A5804" t="s">
        <v>33</v>
      </c>
      <c r="B5804">
        <v>2019</v>
      </c>
      <c r="C5804" t="s">
        <v>31</v>
      </c>
      <c r="D5804" s="2">
        <v>43466</v>
      </c>
      <c r="E5804" t="s">
        <v>19</v>
      </c>
      <c r="F5804">
        <v>141.1</v>
      </c>
      <c r="G5804" t="str">
        <f>VLOOKUP(Table1_2[[#This Row],[Categories]],Sheet3!$A$1:$B$27,2,FALSE)</f>
        <v>Clothing and footwear</v>
      </c>
    </row>
    <row r="5805" spans="1:7" x14ac:dyDescent="0.3">
      <c r="A5805" t="s">
        <v>33</v>
      </c>
      <c r="B5805">
        <v>2019</v>
      </c>
      <c r="C5805" t="s">
        <v>31</v>
      </c>
      <c r="D5805" s="2">
        <v>43466</v>
      </c>
      <c r="E5805" t="s">
        <v>20</v>
      </c>
      <c r="F5805">
        <v>147.69999999999999</v>
      </c>
      <c r="G5805" t="str">
        <f>VLOOKUP(Table1_2[[#This Row],[Categories]],Sheet3!$A$1:$B$27,2,FALSE)</f>
        <v>Housing</v>
      </c>
    </row>
    <row r="5806" spans="1:7" x14ac:dyDescent="0.3">
      <c r="A5806" t="s">
        <v>33</v>
      </c>
      <c r="B5806">
        <v>2019</v>
      </c>
      <c r="C5806" t="s">
        <v>31</v>
      </c>
      <c r="D5806" s="2">
        <v>43466</v>
      </c>
      <c r="E5806" t="s">
        <v>21</v>
      </c>
      <c r="F5806">
        <v>128.6</v>
      </c>
      <c r="G5806" t="str">
        <f>VLOOKUP(Table1_2[[#This Row],[Categories]],Sheet3!$A$1:$B$27,2,FALSE)</f>
        <v>Fuel and light</v>
      </c>
    </row>
    <row r="5807" spans="1:7" x14ac:dyDescent="0.3">
      <c r="A5807" t="s">
        <v>33</v>
      </c>
      <c r="B5807">
        <v>2019</v>
      </c>
      <c r="C5807" t="s">
        <v>31</v>
      </c>
      <c r="D5807" s="2">
        <v>43466</v>
      </c>
      <c r="E5807" t="s">
        <v>22</v>
      </c>
      <c r="F5807">
        <v>136.30000000000001</v>
      </c>
      <c r="G5807" t="str">
        <f>VLOOKUP(Table1_2[[#This Row],[Categories]],Sheet3!$A$1:$B$27,2,FALSE)</f>
        <v>Household Items</v>
      </c>
    </row>
    <row r="5808" spans="1:7" x14ac:dyDescent="0.3">
      <c r="A5808" t="s">
        <v>33</v>
      </c>
      <c r="B5808">
        <v>2019</v>
      </c>
      <c r="C5808" t="s">
        <v>31</v>
      </c>
      <c r="D5808" s="2">
        <v>43466</v>
      </c>
      <c r="E5808" t="s">
        <v>23</v>
      </c>
      <c r="F5808">
        <v>137.80000000000001</v>
      </c>
      <c r="G5808" t="str">
        <f>VLOOKUP(Table1_2[[#This Row],[Categories]],Sheet3!$A$1:$B$27,2,FALSE)</f>
        <v>Health</v>
      </c>
    </row>
    <row r="5809" spans="1:7" x14ac:dyDescent="0.3">
      <c r="A5809" t="s">
        <v>33</v>
      </c>
      <c r="B5809">
        <v>2019</v>
      </c>
      <c r="C5809" t="s">
        <v>31</v>
      </c>
      <c r="D5809" s="2">
        <v>43466</v>
      </c>
      <c r="E5809" t="s">
        <v>24</v>
      </c>
      <c r="F5809">
        <v>118.6</v>
      </c>
      <c r="G5809" t="str">
        <f>VLOOKUP(Table1_2[[#This Row],[Categories]],Sheet3!$A$1:$B$27,2,FALSE)</f>
        <v>Transport and communication</v>
      </c>
    </row>
    <row r="5810" spans="1:7" x14ac:dyDescent="0.3">
      <c r="A5810" t="s">
        <v>33</v>
      </c>
      <c r="B5810">
        <v>2019</v>
      </c>
      <c r="C5810" t="s">
        <v>31</v>
      </c>
      <c r="D5810" s="2">
        <v>43466</v>
      </c>
      <c r="E5810" t="s">
        <v>25</v>
      </c>
      <c r="F5810">
        <v>131.9</v>
      </c>
      <c r="G5810" t="str">
        <f>VLOOKUP(Table1_2[[#This Row],[Categories]],Sheet3!$A$1:$B$27,2,FALSE)</f>
        <v>Recreation and amusement</v>
      </c>
    </row>
    <row r="5811" spans="1:7" x14ac:dyDescent="0.3">
      <c r="A5811" t="s">
        <v>33</v>
      </c>
      <c r="B5811">
        <v>2019</v>
      </c>
      <c r="C5811" t="s">
        <v>31</v>
      </c>
      <c r="D5811" s="2">
        <v>43466</v>
      </c>
      <c r="E5811" t="s">
        <v>26</v>
      </c>
      <c r="F5811">
        <v>146.6</v>
      </c>
      <c r="G5811" t="str">
        <f>VLOOKUP(Table1_2[[#This Row],[Categories]],Sheet3!$A$1:$B$27,2,FALSE)</f>
        <v>Education</v>
      </c>
    </row>
    <row r="5812" spans="1:7" x14ac:dyDescent="0.3">
      <c r="A5812" t="s">
        <v>33</v>
      </c>
      <c r="B5812">
        <v>2019</v>
      </c>
      <c r="C5812" t="s">
        <v>31</v>
      </c>
      <c r="D5812" s="2">
        <v>43466</v>
      </c>
      <c r="E5812" t="s">
        <v>27</v>
      </c>
      <c r="F5812">
        <v>131.69999999999999</v>
      </c>
      <c r="G5812" t="str">
        <f>VLOOKUP(Table1_2[[#This Row],[Categories]],Sheet3!$A$1:$B$27,2,FALSE)</f>
        <v>Household Items</v>
      </c>
    </row>
    <row r="5813" spans="1:7" x14ac:dyDescent="0.3">
      <c r="A5813" t="s">
        <v>33</v>
      </c>
      <c r="B5813">
        <v>2019</v>
      </c>
      <c r="C5813" t="s">
        <v>31</v>
      </c>
      <c r="D5813" s="2">
        <v>43466</v>
      </c>
      <c r="E5813" t="s">
        <v>28</v>
      </c>
      <c r="F5813">
        <v>131.80000000000001</v>
      </c>
      <c r="G5813" t="str">
        <f>VLOOKUP(Table1_2[[#This Row],[Categories]],Sheet3!$A$1:$B$27,2,FALSE)</f>
        <v>Miscellaneous</v>
      </c>
    </row>
    <row r="5814" spans="1:7" x14ac:dyDescent="0.3">
      <c r="A5814" t="s">
        <v>33</v>
      </c>
      <c r="B5814">
        <v>2019</v>
      </c>
      <c r="C5814" t="s">
        <v>31</v>
      </c>
      <c r="D5814" s="2">
        <v>43466</v>
      </c>
      <c r="E5814" t="s">
        <v>29</v>
      </c>
      <c r="F5814">
        <v>138</v>
      </c>
      <c r="G5814" t="str">
        <f>VLOOKUP(Table1_2[[#This Row],[Categories]],Sheet3!$A$1:$B$27,2,FALSE)</f>
        <v>General index</v>
      </c>
    </row>
    <row r="5815" spans="1:7" x14ac:dyDescent="0.3">
      <c r="A5815" t="s">
        <v>34</v>
      </c>
      <c r="B5815">
        <v>2019</v>
      </c>
      <c r="C5815" t="s">
        <v>31</v>
      </c>
      <c r="D5815" s="2">
        <v>43466</v>
      </c>
      <c r="E5815" t="s">
        <v>3</v>
      </c>
      <c r="F5815">
        <v>137.1</v>
      </c>
      <c r="G5815" t="str">
        <f>VLOOKUP(Table1_2[[#This Row],[Categories]],Sheet3!$A$1:$B$27,2,FALSE)</f>
        <v>Food &amp;Beverage</v>
      </c>
    </row>
    <row r="5816" spans="1:7" x14ac:dyDescent="0.3">
      <c r="A5816" t="s">
        <v>34</v>
      </c>
      <c r="B5816">
        <v>2019</v>
      </c>
      <c r="C5816" t="s">
        <v>31</v>
      </c>
      <c r="D5816" s="2">
        <v>43466</v>
      </c>
      <c r="E5816" t="s">
        <v>4</v>
      </c>
      <c r="F5816">
        <v>151.4</v>
      </c>
      <c r="G5816" t="str">
        <f>VLOOKUP(Table1_2[[#This Row],[Categories]],Sheet3!$A$1:$B$27,2,FALSE)</f>
        <v>Food &amp;Beverage</v>
      </c>
    </row>
    <row r="5817" spans="1:7" x14ac:dyDescent="0.3">
      <c r="A5817" t="s">
        <v>34</v>
      </c>
      <c r="B5817">
        <v>2019</v>
      </c>
      <c r="C5817" t="s">
        <v>31</v>
      </c>
      <c r="D5817" s="2">
        <v>43466</v>
      </c>
      <c r="E5817" t="s">
        <v>5</v>
      </c>
      <c r="F5817">
        <v>140.19999999999999</v>
      </c>
      <c r="G5817" t="str">
        <f>VLOOKUP(Table1_2[[#This Row],[Categories]],Sheet3!$A$1:$B$27,2,FALSE)</f>
        <v>Food &amp;Beverage</v>
      </c>
    </row>
    <row r="5818" spans="1:7" x14ac:dyDescent="0.3">
      <c r="A5818" t="s">
        <v>34</v>
      </c>
      <c r="B5818">
        <v>2019</v>
      </c>
      <c r="C5818" t="s">
        <v>31</v>
      </c>
      <c r="D5818" s="2">
        <v>43466</v>
      </c>
      <c r="E5818" t="s">
        <v>6</v>
      </c>
      <c r="F5818">
        <v>142.1</v>
      </c>
      <c r="G5818" t="str">
        <f>VLOOKUP(Table1_2[[#This Row],[Categories]],Sheet3!$A$1:$B$27,2,FALSE)</f>
        <v>Food &amp;Beverage</v>
      </c>
    </row>
    <row r="5819" spans="1:7" x14ac:dyDescent="0.3">
      <c r="A5819" t="s">
        <v>34</v>
      </c>
      <c r="B5819">
        <v>2019</v>
      </c>
      <c r="C5819" t="s">
        <v>31</v>
      </c>
      <c r="D5819" s="2">
        <v>43466</v>
      </c>
      <c r="E5819" t="s">
        <v>7</v>
      </c>
      <c r="F5819">
        <v>121.8</v>
      </c>
      <c r="G5819" t="str">
        <f>VLOOKUP(Table1_2[[#This Row],[Categories]],Sheet3!$A$1:$B$27,2,FALSE)</f>
        <v>Food &amp;Beverage</v>
      </c>
    </row>
    <row r="5820" spans="1:7" x14ac:dyDescent="0.3">
      <c r="A5820" t="s">
        <v>34</v>
      </c>
      <c r="B5820">
        <v>2019</v>
      </c>
      <c r="C5820" t="s">
        <v>31</v>
      </c>
      <c r="D5820" s="2">
        <v>43466</v>
      </c>
      <c r="E5820" t="s">
        <v>8</v>
      </c>
      <c r="F5820">
        <v>135.4</v>
      </c>
      <c r="G5820" t="str">
        <f>VLOOKUP(Table1_2[[#This Row],[Categories]],Sheet3!$A$1:$B$27,2,FALSE)</f>
        <v>Food &amp;Beverage</v>
      </c>
    </row>
    <row r="5821" spans="1:7" x14ac:dyDescent="0.3">
      <c r="A5821" t="s">
        <v>34</v>
      </c>
      <c r="B5821">
        <v>2019</v>
      </c>
      <c r="C5821" t="s">
        <v>31</v>
      </c>
      <c r="D5821" s="2">
        <v>43466</v>
      </c>
      <c r="E5821" t="s">
        <v>9</v>
      </c>
      <c r="F5821">
        <v>131.30000000000001</v>
      </c>
      <c r="G5821" t="str">
        <f>VLOOKUP(Table1_2[[#This Row],[Categories]],Sheet3!$A$1:$B$27,2,FALSE)</f>
        <v>Food &amp;Beverage</v>
      </c>
    </row>
    <row r="5822" spans="1:7" x14ac:dyDescent="0.3">
      <c r="A5822" t="s">
        <v>34</v>
      </c>
      <c r="B5822">
        <v>2019</v>
      </c>
      <c r="C5822" t="s">
        <v>31</v>
      </c>
      <c r="D5822" s="2">
        <v>43466</v>
      </c>
      <c r="E5822" t="s">
        <v>10</v>
      </c>
      <c r="F5822">
        <v>120.3</v>
      </c>
      <c r="G5822" t="str">
        <f>VLOOKUP(Table1_2[[#This Row],[Categories]],Sheet3!$A$1:$B$27,2,FALSE)</f>
        <v>Food &amp;Beverage</v>
      </c>
    </row>
    <row r="5823" spans="1:7" x14ac:dyDescent="0.3">
      <c r="A5823" t="s">
        <v>34</v>
      </c>
      <c r="B5823">
        <v>2019</v>
      </c>
      <c r="C5823" t="s">
        <v>31</v>
      </c>
      <c r="D5823" s="2">
        <v>43466</v>
      </c>
      <c r="E5823" t="s">
        <v>11</v>
      </c>
      <c r="F5823">
        <v>109.1</v>
      </c>
      <c r="G5823" t="str">
        <f>VLOOKUP(Table1_2[[#This Row],[Categories]],Sheet3!$A$1:$B$27,2,FALSE)</f>
        <v>Food &amp;Beverage</v>
      </c>
    </row>
    <row r="5824" spans="1:7" x14ac:dyDescent="0.3">
      <c r="A5824" t="s">
        <v>34</v>
      </c>
      <c r="B5824">
        <v>2019</v>
      </c>
      <c r="C5824" t="s">
        <v>31</v>
      </c>
      <c r="D5824" s="2">
        <v>43466</v>
      </c>
      <c r="E5824" t="s">
        <v>12</v>
      </c>
      <c r="F5824">
        <v>139.4</v>
      </c>
      <c r="G5824" t="str">
        <f>VLOOKUP(Table1_2[[#This Row],[Categories]],Sheet3!$A$1:$B$27,2,FALSE)</f>
        <v>Food &amp;Beverage</v>
      </c>
    </row>
    <row r="5825" spans="1:7" x14ac:dyDescent="0.3">
      <c r="A5825" t="s">
        <v>34</v>
      </c>
      <c r="B5825">
        <v>2019</v>
      </c>
      <c r="C5825" t="s">
        <v>31</v>
      </c>
      <c r="D5825" s="2">
        <v>43466</v>
      </c>
      <c r="E5825" t="s">
        <v>13</v>
      </c>
      <c r="F5825">
        <v>133.30000000000001</v>
      </c>
      <c r="G5825" t="str">
        <f>VLOOKUP(Table1_2[[#This Row],[Categories]],Sheet3!$A$1:$B$27,2,FALSE)</f>
        <v>Food &amp;Beverage</v>
      </c>
    </row>
    <row r="5826" spans="1:7" x14ac:dyDescent="0.3">
      <c r="A5826" t="s">
        <v>34</v>
      </c>
      <c r="B5826">
        <v>2019</v>
      </c>
      <c r="C5826" t="s">
        <v>31</v>
      </c>
      <c r="D5826" s="2">
        <v>43466</v>
      </c>
      <c r="E5826" t="s">
        <v>14</v>
      </c>
      <c r="F5826">
        <v>154.6</v>
      </c>
      <c r="G5826" t="str">
        <f>VLOOKUP(Table1_2[[#This Row],[Categories]],Sheet3!$A$1:$B$27,2,FALSE)</f>
        <v>Food &amp;Beverage</v>
      </c>
    </row>
    <row r="5827" spans="1:7" x14ac:dyDescent="0.3">
      <c r="A5827" t="s">
        <v>34</v>
      </c>
      <c r="B5827">
        <v>2019</v>
      </c>
      <c r="C5827" t="s">
        <v>31</v>
      </c>
      <c r="D5827" s="2">
        <v>43466</v>
      </c>
      <c r="E5827" t="s">
        <v>15</v>
      </c>
      <c r="F5827">
        <v>137.4</v>
      </c>
      <c r="G5827" t="str">
        <f>VLOOKUP(Table1_2[[#This Row],[Categories]],Sheet3!$A$1:$B$27,2,FALSE)</f>
        <v>Food &amp;Beverage</v>
      </c>
    </row>
    <row r="5828" spans="1:7" x14ac:dyDescent="0.3">
      <c r="A5828" t="s">
        <v>34</v>
      </c>
      <c r="B5828">
        <v>2019</v>
      </c>
      <c r="C5828" t="s">
        <v>31</v>
      </c>
      <c r="D5828" s="2">
        <v>43466</v>
      </c>
      <c r="E5828" t="s">
        <v>16</v>
      </c>
      <c r="F5828">
        <v>163.19999999999999</v>
      </c>
      <c r="G5828" t="str">
        <f>VLOOKUP(Table1_2[[#This Row],[Categories]],Sheet3!$A$1:$B$27,2,FALSE)</f>
        <v>Recreation and amusement</v>
      </c>
    </row>
    <row r="5829" spans="1:7" x14ac:dyDescent="0.3">
      <c r="A5829" t="s">
        <v>34</v>
      </c>
      <c r="B5829">
        <v>2019</v>
      </c>
      <c r="C5829" t="s">
        <v>31</v>
      </c>
      <c r="D5829" s="2">
        <v>43466</v>
      </c>
      <c r="E5829" t="s">
        <v>17</v>
      </c>
      <c r="F5829">
        <v>147.6</v>
      </c>
      <c r="G5829" t="str">
        <f>VLOOKUP(Table1_2[[#This Row],[Categories]],Sheet3!$A$1:$B$27,2,FALSE)</f>
        <v>Clothing and footwear</v>
      </c>
    </row>
    <row r="5830" spans="1:7" x14ac:dyDescent="0.3">
      <c r="A5830" t="s">
        <v>34</v>
      </c>
      <c r="B5830">
        <v>2019</v>
      </c>
      <c r="C5830" t="s">
        <v>31</v>
      </c>
      <c r="D5830" s="2">
        <v>43466</v>
      </c>
      <c r="E5830" t="s">
        <v>18</v>
      </c>
      <c r="F5830">
        <v>139</v>
      </c>
      <c r="G5830" t="str">
        <f>VLOOKUP(Table1_2[[#This Row],[Categories]],Sheet3!$A$1:$B$27,2,FALSE)</f>
        <v>Clothing and footwear</v>
      </c>
    </row>
    <row r="5831" spans="1:7" x14ac:dyDescent="0.3">
      <c r="A5831" t="s">
        <v>34</v>
      </c>
      <c r="B5831">
        <v>2019</v>
      </c>
      <c r="C5831" t="s">
        <v>31</v>
      </c>
      <c r="D5831" s="2">
        <v>43466</v>
      </c>
      <c r="E5831" t="s">
        <v>19</v>
      </c>
      <c r="F5831">
        <v>146.4</v>
      </c>
      <c r="G5831" t="str">
        <f>VLOOKUP(Table1_2[[#This Row],[Categories]],Sheet3!$A$1:$B$27,2,FALSE)</f>
        <v>Clothing and footwear</v>
      </c>
    </row>
    <row r="5832" spans="1:7" x14ac:dyDescent="0.3">
      <c r="A5832" t="s">
        <v>34</v>
      </c>
      <c r="B5832">
        <v>2019</v>
      </c>
      <c r="C5832" t="s">
        <v>31</v>
      </c>
      <c r="D5832" s="2">
        <v>43466</v>
      </c>
      <c r="E5832" t="s">
        <v>20</v>
      </c>
      <c r="F5832">
        <v>147.69999999999999</v>
      </c>
      <c r="G5832" t="str">
        <f>VLOOKUP(Table1_2[[#This Row],[Categories]],Sheet3!$A$1:$B$27,2,FALSE)</f>
        <v>Housing</v>
      </c>
    </row>
    <row r="5833" spans="1:7" x14ac:dyDescent="0.3">
      <c r="A5833" t="s">
        <v>34</v>
      </c>
      <c r="B5833">
        <v>2019</v>
      </c>
      <c r="C5833" t="s">
        <v>31</v>
      </c>
      <c r="D5833" s="2">
        <v>43466</v>
      </c>
      <c r="E5833" t="s">
        <v>21</v>
      </c>
      <c r="F5833">
        <v>139.5</v>
      </c>
      <c r="G5833" t="str">
        <f>VLOOKUP(Table1_2[[#This Row],[Categories]],Sheet3!$A$1:$B$27,2,FALSE)</f>
        <v>Fuel and light</v>
      </c>
    </row>
    <row r="5834" spans="1:7" x14ac:dyDescent="0.3">
      <c r="A5834" t="s">
        <v>34</v>
      </c>
      <c r="B5834">
        <v>2019</v>
      </c>
      <c r="C5834" t="s">
        <v>31</v>
      </c>
      <c r="D5834" s="2">
        <v>43466</v>
      </c>
      <c r="E5834" t="s">
        <v>22</v>
      </c>
      <c r="F5834">
        <v>143.6</v>
      </c>
      <c r="G5834" t="str">
        <f>VLOOKUP(Table1_2[[#This Row],[Categories]],Sheet3!$A$1:$B$27,2,FALSE)</f>
        <v>Household Items</v>
      </c>
    </row>
    <row r="5835" spans="1:7" x14ac:dyDescent="0.3">
      <c r="A5835" t="s">
        <v>34</v>
      </c>
      <c r="B5835">
        <v>2019</v>
      </c>
      <c r="C5835" t="s">
        <v>31</v>
      </c>
      <c r="D5835" s="2">
        <v>43466</v>
      </c>
      <c r="E5835" t="s">
        <v>23</v>
      </c>
      <c r="F5835">
        <v>145.1</v>
      </c>
      <c r="G5835" t="str">
        <f>VLOOKUP(Table1_2[[#This Row],[Categories]],Sheet3!$A$1:$B$27,2,FALSE)</f>
        <v>Health</v>
      </c>
    </row>
    <row r="5836" spans="1:7" x14ac:dyDescent="0.3">
      <c r="A5836" t="s">
        <v>34</v>
      </c>
      <c r="B5836">
        <v>2019</v>
      </c>
      <c r="C5836" t="s">
        <v>31</v>
      </c>
      <c r="D5836" s="2">
        <v>43466</v>
      </c>
      <c r="E5836" t="s">
        <v>24</v>
      </c>
      <c r="F5836">
        <v>123.3</v>
      </c>
      <c r="G5836" t="str">
        <f>VLOOKUP(Table1_2[[#This Row],[Categories]],Sheet3!$A$1:$B$27,2,FALSE)</f>
        <v>Transport and communication</v>
      </c>
    </row>
    <row r="5837" spans="1:7" x14ac:dyDescent="0.3">
      <c r="A5837" t="s">
        <v>34</v>
      </c>
      <c r="B5837">
        <v>2019</v>
      </c>
      <c r="C5837" t="s">
        <v>31</v>
      </c>
      <c r="D5837" s="2">
        <v>43466</v>
      </c>
      <c r="E5837" t="s">
        <v>25</v>
      </c>
      <c r="F5837">
        <v>136.69999999999999</v>
      </c>
      <c r="G5837" t="str">
        <f>VLOOKUP(Table1_2[[#This Row],[Categories]],Sheet3!$A$1:$B$27,2,FALSE)</f>
        <v>Recreation and amusement</v>
      </c>
    </row>
    <row r="5838" spans="1:7" x14ac:dyDescent="0.3">
      <c r="A5838" t="s">
        <v>34</v>
      </c>
      <c r="B5838">
        <v>2019</v>
      </c>
      <c r="C5838" t="s">
        <v>31</v>
      </c>
      <c r="D5838" s="2">
        <v>43466</v>
      </c>
      <c r="E5838" t="s">
        <v>26</v>
      </c>
      <c r="F5838">
        <v>150.19999999999999</v>
      </c>
      <c r="G5838" t="str">
        <f>VLOOKUP(Table1_2[[#This Row],[Categories]],Sheet3!$A$1:$B$27,2,FALSE)</f>
        <v>Education</v>
      </c>
    </row>
    <row r="5839" spans="1:7" x14ac:dyDescent="0.3">
      <c r="A5839" t="s">
        <v>34</v>
      </c>
      <c r="B5839">
        <v>2019</v>
      </c>
      <c r="C5839" t="s">
        <v>31</v>
      </c>
      <c r="D5839" s="2">
        <v>43466</v>
      </c>
      <c r="E5839" t="s">
        <v>27</v>
      </c>
      <c r="F5839">
        <v>132.80000000000001</v>
      </c>
      <c r="G5839" t="str">
        <f>VLOOKUP(Table1_2[[#This Row],[Categories]],Sheet3!$A$1:$B$27,2,FALSE)</f>
        <v>Household Items</v>
      </c>
    </row>
    <row r="5840" spans="1:7" x14ac:dyDescent="0.3">
      <c r="A5840" t="s">
        <v>34</v>
      </c>
      <c r="B5840">
        <v>2019</v>
      </c>
      <c r="C5840" t="s">
        <v>31</v>
      </c>
      <c r="D5840" s="2">
        <v>43466</v>
      </c>
      <c r="E5840" t="s">
        <v>28</v>
      </c>
      <c r="F5840">
        <v>136.9</v>
      </c>
      <c r="G5840" t="str">
        <f>VLOOKUP(Table1_2[[#This Row],[Categories]],Sheet3!$A$1:$B$27,2,FALSE)</f>
        <v>Miscellaneous</v>
      </c>
    </row>
    <row r="5841" spans="1:7" x14ac:dyDescent="0.3">
      <c r="A5841" t="s">
        <v>34</v>
      </c>
      <c r="B5841">
        <v>2019</v>
      </c>
      <c r="C5841" t="s">
        <v>31</v>
      </c>
      <c r="D5841" s="2">
        <v>43466</v>
      </c>
      <c r="E5841" t="s">
        <v>29</v>
      </c>
      <c r="F5841">
        <v>139.6</v>
      </c>
      <c r="G5841" t="str">
        <f>VLOOKUP(Table1_2[[#This Row],[Categories]],Sheet3!$A$1:$B$27,2,FALSE)</f>
        <v>General index</v>
      </c>
    </row>
    <row r="5842" spans="1:7" x14ac:dyDescent="0.3">
      <c r="A5842" t="s">
        <v>30</v>
      </c>
      <c r="B5842">
        <v>2019</v>
      </c>
      <c r="C5842" t="s">
        <v>35</v>
      </c>
      <c r="D5842" s="2">
        <v>43497</v>
      </c>
      <c r="E5842" t="s">
        <v>3</v>
      </c>
      <c r="F5842">
        <v>136.80000000000001</v>
      </c>
      <c r="G5842" t="str">
        <f>VLOOKUP(Table1_2[[#This Row],[Categories]],Sheet3!$A$1:$B$27,2,FALSE)</f>
        <v>Food &amp;Beverage</v>
      </c>
    </row>
    <row r="5843" spans="1:7" x14ac:dyDescent="0.3">
      <c r="A5843" t="s">
        <v>30</v>
      </c>
      <c r="B5843">
        <v>2019</v>
      </c>
      <c r="C5843" t="s">
        <v>35</v>
      </c>
      <c r="D5843" s="2">
        <v>43497</v>
      </c>
      <c r="E5843" t="s">
        <v>4</v>
      </c>
      <c r="F5843">
        <v>153</v>
      </c>
      <c r="G5843" t="str">
        <f>VLOOKUP(Table1_2[[#This Row],[Categories]],Sheet3!$A$1:$B$27,2,FALSE)</f>
        <v>Food &amp;Beverage</v>
      </c>
    </row>
    <row r="5844" spans="1:7" x14ac:dyDescent="0.3">
      <c r="A5844" t="s">
        <v>30</v>
      </c>
      <c r="B5844">
        <v>2019</v>
      </c>
      <c r="C5844" t="s">
        <v>35</v>
      </c>
      <c r="D5844" s="2">
        <v>43497</v>
      </c>
      <c r="E5844" t="s">
        <v>5</v>
      </c>
      <c r="F5844">
        <v>139.1</v>
      </c>
      <c r="G5844" t="str">
        <f>VLOOKUP(Table1_2[[#This Row],[Categories]],Sheet3!$A$1:$B$27,2,FALSE)</f>
        <v>Food &amp;Beverage</v>
      </c>
    </row>
    <row r="5845" spans="1:7" x14ac:dyDescent="0.3">
      <c r="A5845" t="s">
        <v>30</v>
      </c>
      <c r="B5845">
        <v>2019</v>
      </c>
      <c r="C5845" t="s">
        <v>35</v>
      </c>
      <c r="D5845" s="2">
        <v>43497</v>
      </c>
      <c r="E5845" t="s">
        <v>6</v>
      </c>
      <c r="F5845">
        <v>142.5</v>
      </c>
      <c r="G5845" t="str">
        <f>VLOOKUP(Table1_2[[#This Row],[Categories]],Sheet3!$A$1:$B$27,2,FALSE)</f>
        <v>Food &amp;Beverage</v>
      </c>
    </row>
    <row r="5846" spans="1:7" x14ac:dyDescent="0.3">
      <c r="A5846" t="s">
        <v>30</v>
      </c>
      <c r="B5846">
        <v>2019</v>
      </c>
      <c r="C5846" t="s">
        <v>35</v>
      </c>
      <c r="D5846" s="2">
        <v>43497</v>
      </c>
      <c r="E5846" t="s">
        <v>7</v>
      </c>
      <c r="F5846">
        <v>124.1</v>
      </c>
      <c r="G5846" t="str">
        <f>VLOOKUP(Table1_2[[#This Row],[Categories]],Sheet3!$A$1:$B$27,2,FALSE)</f>
        <v>Food &amp;Beverage</v>
      </c>
    </row>
    <row r="5847" spans="1:7" x14ac:dyDescent="0.3">
      <c r="A5847" t="s">
        <v>30</v>
      </c>
      <c r="B5847">
        <v>2019</v>
      </c>
      <c r="C5847" t="s">
        <v>35</v>
      </c>
      <c r="D5847" s="2">
        <v>43497</v>
      </c>
      <c r="E5847" t="s">
        <v>8</v>
      </c>
      <c r="F5847">
        <v>135.80000000000001</v>
      </c>
      <c r="G5847" t="str">
        <f>VLOOKUP(Table1_2[[#This Row],[Categories]],Sheet3!$A$1:$B$27,2,FALSE)</f>
        <v>Food &amp;Beverage</v>
      </c>
    </row>
    <row r="5848" spans="1:7" x14ac:dyDescent="0.3">
      <c r="A5848" t="s">
        <v>30</v>
      </c>
      <c r="B5848">
        <v>2019</v>
      </c>
      <c r="C5848" t="s">
        <v>35</v>
      </c>
      <c r="D5848" s="2">
        <v>43497</v>
      </c>
      <c r="E5848" t="s">
        <v>9</v>
      </c>
      <c r="F5848">
        <v>128.69999999999999</v>
      </c>
      <c r="G5848" t="str">
        <f>VLOOKUP(Table1_2[[#This Row],[Categories]],Sheet3!$A$1:$B$27,2,FALSE)</f>
        <v>Food &amp;Beverage</v>
      </c>
    </row>
    <row r="5849" spans="1:7" x14ac:dyDescent="0.3">
      <c r="A5849" t="s">
        <v>30</v>
      </c>
      <c r="B5849">
        <v>2019</v>
      </c>
      <c r="C5849" t="s">
        <v>35</v>
      </c>
      <c r="D5849" s="2">
        <v>43497</v>
      </c>
      <c r="E5849" t="s">
        <v>10</v>
      </c>
      <c r="F5849">
        <v>121.5</v>
      </c>
      <c r="G5849" t="str">
        <f>VLOOKUP(Table1_2[[#This Row],[Categories]],Sheet3!$A$1:$B$27,2,FALSE)</f>
        <v>Food &amp;Beverage</v>
      </c>
    </row>
    <row r="5850" spans="1:7" x14ac:dyDescent="0.3">
      <c r="A5850" t="s">
        <v>30</v>
      </c>
      <c r="B5850">
        <v>2019</v>
      </c>
      <c r="C5850" t="s">
        <v>35</v>
      </c>
      <c r="D5850" s="2">
        <v>43497</v>
      </c>
      <c r="E5850" t="s">
        <v>11</v>
      </c>
      <c r="F5850">
        <v>108.3</v>
      </c>
      <c r="G5850" t="str">
        <f>VLOOKUP(Table1_2[[#This Row],[Categories]],Sheet3!$A$1:$B$27,2,FALSE)</f>
        <v>Food &amp;Beverage</v>
      </c>
    </row>
    <row r="5851" spans="1:7" x14ac:dyDescent="0.3">
      <c r="A5851" t="s">
        <v>30</v>
      </c>
      <c r="B5851">
        <v>2019</v>
      </c>
      <c r="C5851" t="s">
        <v>35</v>
      </c>
      <c r="D5851" s="2">
        <v>43497</v>
      </c>
      <c r="E5851" t="s">
        <v>12</v>
      </c>
      <c r="F5851">
        <v>139.19999999999999</v>
      </c>
      <c r="G5851" t="str">
        <f>VLOOKUP(Table1_2[[#This Row],[Categories]],Sheet3!$A$1:$B$27,2,FALSE)</f>
        <v>Food &amp;Beverage</v>
      </c>
    </row>
    <row r="5852" spans="1:7" x14ac:dyDescent="0.3">
      <c r="A5852" t="s">
        <v>30</v>
      </c>
      <c r="B5852">
        <v>2019</v>
      </c>
      <c r="C5852" t="s">
        <v>35</v>
      </c>
      <c r="D5852" s="2">
        <v>43497</v>
      </c>
      <c r="E5852" t="s">
        <v>13</v>
      </c>
      <c r="F5852">
        <v>137.4</v>
      </c>
      <c r="G5852" t="str">
        <f>VLOOKUP(Table1_2[[#This Row],[Categories]],Sheet3!$A$1:$B$27,2,FALSE)</f>
        <v>Food &amp;Beverage</v>
      </c>
    </row>
    <row r="5853" spans="1:7" x14ac:dyDescent="0.3">
      <c r="A5853" t="s">
        <v>30</v>
      </c>
      <c r="B5853">
        <v>2019</v>
      </c>
      <c r="C5853" t="s">
        <v>35</v>
      </c>
      <c r="D5853" s="2">
        <v>43497</v>
      </c>
      <c r="E5853" t="s">
        <v>14</v>
      </c>
      <c r="F5853">
        <v>156.19999999999999</v>
      </c>
      <c r="G5853" t="str">
        <f>VLOOKUP(Table1_2[[#This Row],[Categories]],Sheet3!$A$1:$B$27,2,FALSE)</f>
        <v>Food &amp;Beverage</v>
      </c>
    </row>
    <row r="5854" spans="1:7" x14ac:dyDescent="0.3">
      <c r="A5854" t="s">
        <v>30</v>
      </c>
      <c r="B5854">
        <v>2019</v>
      </c>
      <c r="C5854" t="s">
        <v>35</v>
      </c>
      <c r="D5854" s="2">
        <v>43497</v>
      </c>
      <c r="E5854" t="s">
        <v>15</v>
      </c>
      <c r="F5854">
        <v>137.19999999999999</v>
      </c>
      <c r="G5854" t="str">
        <f>VLOOKUP(Table1_2[[#This Row],[Categories]],Sheet3!$A$1:$B$27,2,FALSE)</f>
        <v>Food &amp;Beverage</v>
      </c>
    </row>
    <row r="5855" spans="1:7" x14ac:dyDescent="0.3">
      <c r="A5855" t="s">
        <v>30</v>
      </c>
      <c r="B5855">
        <v>2019</v>
      </c>
      <c r="C5855" t="s">
        <v>35</v>
      </c>
      <c r="D5855" s="2">
        <v>43497</v>
      </c>
      <c r="E5855" t="s">
        <v>16</v>
      </c>
      <c r="F5855">
        <v>162.80000000000001</v>
      </c>
      <c r="G5855" t="str">
        <f>VLOOKUP(Table1_2[[#This Row],[Categories]],Sheet3!$A$1:$B$27,2,FALSE)</f>
        <v>Recreation and amusement</v>
      </c>
    </row>
    <row r="5856" spans="1:7" x14ac:dyDescent="0.3">
      <c r="A5856" t="s">
        <v>30</v>
      </c>
      <c r="B5856">
        <v>2019</v>
      </c>
      <c r="C5856" t="s">
        <v>35</v>
      </c>
      <c r="D5856" s="2">
        <v>43497</v>
      </c>
      <c r="E5856" t="s">
        <v>17</v>
      </c>
      <c r="F5856">
        <v>150.5</v>
      </c>
      <c r="G5856" t="str">
        <f>VLOOKUP(Table1_2[[#This Row],[Categories]],Sheet3!$A$1:$B$27,2,FALSE)</f>
        <v>Clothing and footwear</v>
      </c>
    </row>
    <row r="5857" spans="1:7" x14ac:dyDescent="0.3">
      <c r="A5857" t="s">
        <v>30</v>
      </c>
      <c r="B5857">
        <v>2019</v>
      </c>
      <c r="C5857" t="s">
        <v>35</v>
      </c>
      <c r="D5857" s="2">
        <v>43497</v>
      </c>
      <c r="E5857" t="s">
        <v>18</v>
      </c>
      <c r="F5857">
        <v>146.1</v>
      </c>
      <c r="G5857" t="str">
        <f>VLOOKUP(Table1_2[[#This Row],[Categories]],Sheet3!$A$1:$B$27,2,FALSE)</f>
        <v>Clothing and footwear</v>
      </c>
    </row>
    <row r="5858" spans="1:7" x14ac:dyDescent="0.3">
      <c r="A5858" t="s">
        <v>30</v>
      </c>
      <c r="B5858">
        <v>2019</v>
      </c>
      <c r="C5858" t="s">
        <v>35</v>
      </c>
      <c r="D5858" s="2">
        <v>43497</v>
      </c>
      <c r="E5858" t="s">
        <v>19</v>
      </c>
      <c r="F5858">
        <v>149.9</v>
      </c>
      <c r="G5858" t="str">
        <f>VLOOKUP(Table1_2[[#This Row],[Categories]],Sheet3!$A$1:$B$27,2,FALSE)</f>
        <v>Clothing and footwear</v>
      </c>
    </row>
    <row r="5859" spans="1:7" x14ac:dyDescent="0.3">
      <c r="A5859" t="s">
        <v>30</v>
      </c>
      <c r="B5859">
        <v>2019</v>
      </c>
      <c r="C5859" t="s">
        <v>35</v>
      </c>
      <c r="D5859" s="2">
        <v>43497</v>
      </c>
      <c r="E5859" t="s">
        <v>21</v>
      </c>
      <c r="F5859">
        <v>145.30000000000001</v>
      </c>
      <c r="G5859" t="str">
        <f>VLOOKUP(Table1_2[[#This Row],[Categories]],Sheet3!$A$1:$B$27,2,FALSE)</f>
        <v>Fuel and light</v>
      </c>
    </row>
    <row r="5860" spans="1:7" x14ac:dyDescent="0.3">
      <c r="A5860" t="s">
        <v>30</v>
      </c>
      <c r="B5860">
        <v>2019</v>
      </c>
      <c r="C5860" t="s">
        <v>35</v>
      </c>
      <c r="D5860" s="2">
        <v>43497</v>
      </c>
      <c r="E5860" t="s">
        <v>22</v>
      </c>
      <c r="F5860">
        <v>150.1</v>
      </c>
      <c r="G5860" t="str">
        <f>VLOOKUP(Table1_2[[#This Row],[Categories]],Sheet3!$A$1:$B$27,2,FALSE)</f>
        <v>Household Items</v>
      </c>
    </row>
    <row r="5861" spans="1:7" x14ac:dyDescent="0.3">
      <c r="A5861" t="s">
        <v>30</v>
      </c>
      <c r="B5861">
        <v>2019</v>
      </c>
      <c r="C5861" t="s">
        <v>35</v>
      </c>
      <c r="D5861" s="2">
        <v>43497</v>
      </c>
      <c r="E5861" t="s">
        <v>23</v>
      </c>
      <c r="F5861">
        <v>149.9</v>
      </c>
      <c r="G5861" t="str">
        <f>VLOOKUP(Table1_2[[#This Row],[Categories]],Sheet3!$A$1:$B$27,2,FALSE)</f>
        <v>Health</v>
      </c>
    </row>
    <row r="5862" spans="1:7" x14ac:dyDescent="0.3">
      <c r="A5862" t="s">
        <v>30</v>
      </c>
      <c r="B5862">
        <v>2019</v>
      </c>
      <c r="C5862" t="s">
        <v>35</v>
      </c>
      <c r="D5862" s="2">
        <v>43497</v>
      </c>
      <c r="E5862" t="s">
        <v>24</v>
      </c>
      <c r="F5862">
        <v>129.19999999999999</v>
      </c>
      <c r="G5862" t="str">
        <f>VLOOKUP(Table1_2[[#This Row],[Categories]],Sheet3!$A$1:$B$27,2,FALSE)</f>
        <v>Transport and communication</v>
      </c>
    </row>
    <row r="5863" spans="1:7" x14ac:dyDescent="0.3">
      <c r="A5863" t="s">
        <v>30</v>
      </c>
      <c r="B5863">
        <v>2019</v>
      </c>
      <c r="C5863" t="s">
        <v>35</v>
      </c>
      <c r="D5863" s="2">
        <v>43497</v>
      </c>
      <c r="E5863" t="s">
        <v>25</v>
      </c>
      <c r="F5863">
        <v>143.4</v>
      </c>
      <c r="G5863" t="str">
        <f>VLOOKUP(Table1_2[[#This Row],[Categories]],Sheet3!$A$1:$B$27,2,FALSE)</f>
        <v>Recreation and amusement</v>
      </c>
    </row>
    <row r="5864" spans="1:7" x14ac:dyDescent="0.3">
      <c r="A5864" t="s">
        <v>30</v>
      </c>
      <c r="B5864">
        <v>2019</v>
      </c>
      <c r="C5864" t="s">
        <v>35</v>
      </c>
      <c r="D5864" s="2">
        <v>43497</v>
      </c>
      <c r="E5864" t="s">
        <v>26</v>
      </c>
      <c r="F5864">
        <v>155.5</v>
      </c>
      <c r="G5864" t="str">
        <f>VLOOKUP(Table1_2[[#This Row],[Categories]],Sheet3!$A$1:$B$27,2,FALSE)</f>
        <v>Education</v>
      </c>
    </row>
    <row r="5865" spans="1:7" x14ac:dyDescent="0.3">
      <c r="A5865" t="s">
        <v>30</v>
      </c>
      <c r="B5865">
        <v>2019</v>
      </c>
      <c r="C5865" t="s">
        <v>35</v>
      </c>
      <c r="D5865" s="2">
        <v>43497</v>
      </c>
      <c r="E5865" t="s">
        <v>27</v>
      </c>
      <c r="F5865">
        <v>134.9</v>
      </c>
      <c r="G5865" t="str">
        <f>VLOOKUP(Table1_2[[#This Row],[Categories]],Sheet3!$A$1:$B$27,2,FALSE)</f>
        <v>Household Items</v>
      </c>
    </row>
    <row r="5866" spans="1:7" x14ac:dyDescent="0.3">
      <c r="A5866" t="s">
        <v>30</v>
      </c>
      <c r="B5866">
        <v>2019</v>
      </c>
      <c r="C5866" t="s">
        <v>35</v>
      </c>
      <c r="D5866" s="2">
        <v>43497</v>
      </c>
      <c r="E5866" t="s">
        <v>28</v>
      </c>
      <c r="F5866">
        <v>142.19999999999999</v>
      </c>
      <c r="G5866" t="str">
        <f>VLOOKUP(Table1_2[[#This Row],[Categories]],Sheet3!$A$1:$B$27,2,FALSE)</f>
        <v>Miscellaneous</v>
      </c>
    </row>
    <row r="5867" spans="1:7" x14ac:dyDescent="0.3">
      <c r="A5867" t="s">
        <v>30</v>
      </c>
      <c r="B5867">
        <v>2019</v>
      </c>
      <c r="C5867" t="s">
        <v>35</v>
      </c>
      <c r="D5867" s="2">
        <v>43497</v>
      </c>
      <c r="E5867" t="s">
        <v>29</v>
      </c>
      <c r="F5867">
        <v>141</v>
      </c>
      <c r="G5867" t="str">
        <f>VLOOKUP(Table1_2[[#This Row],[Categories]],Sheet3!$A$1:$B$27,2,FALSE)</f>
        <v>General index</v>
      </c>
    </row>
    <row r="5868" spans="1:7" x14ac:dyDescent="0.3">
      <c r="A5868" t="s">
        <v>33</v>
      </c>
      <c r="B5868">
        <v>2019</v>
      </c>
      <c r="C5868" t="s">
        <v>35</v>
      </c>
      <c r="D5868" s="2">
        <v>43497</v>
      </c>
      <c r="E5868" t="s">
        <v>3</v>
      </c>
      <c r="F5868">
        <v>139.4</v>
      </c>
      <c r="G5868" t="str">
        <f>VLOOKUP(Table1_2[[#This Row],[Categories]],Sheet3!$A$1:$B$27,2,FALSE)</f>
        <v>Food &amp;Beverage</v>
      </c>
    </row>
    <row r="5869" spans="1:7" x14ac:dyDescent="0.3">
      <c r="A5869" t="s">
        <v>33</v>
      </c>
      <c r="B5869">
        <v>2019</v>
      </c>
      <c r="C5869" t="s">
        <v>35</v>
      </c>
      <c r="D5869" s="2">
        <v>43497</v>
      </c>
      <c r="E5869" t="s">
        <v>4</v>
      </c>
      <c r="F5869">
        <v>150.1</v>
      </c>
      <c r="G5869" t="str">
        <f>VLOOKUP(Table1_2[[#This Row],[Categories]],Sheet3!$A$1:$B$27,2,FALSE)</f>
        <v>Food &amp;Beverage</v>
      </c>
    </row>
    <row r="5870" spans="1:7" x14ac:dyDescent="0.3">
      <c r="A5870" t="s">
        <v>33</v>
      </c>
      <c r="B5870">
        <v>2019</v>
      </c>
      <c r="C5870" t="s">
        <v>35</v>
      </c>
      <c r="D5870" s="2">
        <v>43497</v>
      </c>
      <c r="E5870" t="s">
        <v>5</v>
      </c>
      <c r="F5870">
        <v>145.30000000000001</v>
      </c>
      <c r="G5870" t="str">
        <f>VLOOKUP(Table1_2[[#This Row],[Categories]],Sheet3!$A$1:$B$27,2,FALSE)</f>
        <v>Food &amp;Beverage</v>
      </c>
    </row>
    <row r="5871" spans="1:7" x14ac:dyDescent="0.3">
      <c r="A5871" t="s">
        <v>33</v>
      </c>
      <c r="B5871">
        <v>2019</v>
      </c>
      <c r="C5871" t="s">
        <v>35</v>
      </c>
      <c r="D5871" s="2">
        <v>43497</v>
      </c>
      <c r="E5871" t="s">
        <v>6</v>
      </c>
      <c r="F5871">
        <v>141.69999999999999</v>
      </c>
      <c r="G5871" t="str">
        <f>VLOOKUP(Table1_2[[#This Row],[Categories]],Sheet3!$A$1:$B$27,2,FALSE)</f>
        <v>Food &amp;Beverage</v>
      </c>
    </row>
    <row r="5872" spans="1:7" x14ac:dyDescent="0.3">
      <c r="A5872" t="s">
        <v>33</v>
      </c>
      <c r="B5872">
        <v>2019</v>
      </c>
      <c r="C5872" t="s">
        <v>35</v>
      </c>
      <c r="D5872" s="2">
        <v>43497</v>
      </c>
      <c r="E5872" t="s">
        <v>7</v>
      </c>
      <c r="F5872">
        <v>118.4</v>
      </c>
      <c r="G5872" t="str">
        <f>VLOOKUP(Table1_2[[#This Row],[Categories]],Sheet3!$A$1:$B$27,2,FALSE)</f>
        <v>Food &amp;Beverage</v>
      </c>
    </row>
    <row r="5873" spans="1:7" x14ac:dyDescent="0.3">
      <c r="A5873" t="s">
        <v>33</v>
      </c>
      <c r="B5873">
        <v>2019</v>
      </c>
      <c r="C5873" t="s">
        <v>35</v>
      </c>
      <c r="D5873" s="2">
        <v>43497</v>
      </c>
      <c r="E5873" t="s">
        <v>8</v>
      </c>
      <c r="F5873">
        <v>137</v>
      </c>
      <c r="G5873" t="str">
        <f>VLOOKUP(Table1_2[[#This Row],[Categories]],Sheet3!$A$1:$B$27,2,FALSE)</f>
        <v>Food &amp;Beverage</v>
      </c>
    </row>
    <row r="5874" spans="1:7" x14ac:dyDescent="0.3">
      <c r="A5874" t="s">
        <v>33</v>
      </c>
      <c r="B5874">
        <v>2019</v>
      </c>
      <c r="C5874" t="s">
        <v>35</v>
      </c>
      <c r="D5874" s="2">
        <v>43497</v>
      </c>
      <c r="E5874" t="s">
        <v>9</v>
      </c>
      <c r="F5874">
        <v>131.6</v>
      </c>
      <c r="G5874" t="str">
        <f>VLOOKUP(Table1_2[[#This Row],[Categories]],Sheet3!$A$1:$B$27,2,FALSE)</f>
        <v>Food &amp;Beverage</v>
      </c>
    </row>
    <row r="5875" spans="1:7" x14ac:dyDescent="0.3">
      <c r="A5875" t="s">
        <v>33</v>
      </c>
      <c r="B5875">
        <v>2019</v>
      </c>
      <c r="C5875" t="s">
        <v>35</v>
      </c>
      <c r="D5875" s="2">
        <v>43497</v>
      </c>
      <c r="E5875" t="s">
        <v>10</v>
      </c>
      <c r="F5875">
        <v>119.9</v>
      </c>
      <c r="G5875" t="str">
        <f>VLOOKUP(Table1_2[[#This Row],[Categories]],Sheet3!$A$1:$B$27,2,FALSE)</f>
        <v>Food &amp;Beverage</v>
      </c>
    </row>
    <row r="5876" spans="1:7" x14ac:dyDescent="0.3">
      <c r="A5876" t="s">
        <v>33</v>
      </c>
      <c r="B5876">
        <v>2019</v>
      </c>
      <c r="C5876" t="s">
        <v>35</v>
      </c>
      <c r="D5876" s="2">
        <v>43497</v>
      </c>
      <c r="E5876" t="s">
        <v>11</v>
      </c>
      <c r="F5876">
        <v>110.4</v>
      </c>
      <c r="G5876" t="str">
        <f>VLOOKUP(Table1_2[[#This Row],[Categories]],Sheet3!$A$1:$B$27,2,FALSE)</f>
        <v>Food &amp;Beverage</v>
      </c>
    </row>
    <row r="5877" spans="1:7" x14ac:dyDescent="0.3">
      <c r="A5877" t="s">
        <v>33</v>
      </c>
      <c r="B5877">
        <v>2019</v>
      </c>
      <c r="C5877" t="s">
        <v>35</v>
      </c>
      <c r="D5877" s="2">
        <v>43497</v>
      </c>
      <c r="E5877" t="s">
        <v>12</v>
      </c>
      <c r="F5877">
        <v>140.80000000000001</v>
      </c>
      <c r="G5877" t="str">
        <f>VLOOKUP(Table1_2[[#This Row],[Categories]],Sheet3!$A$1:$B$27,2,FALSE)</f>
        <v>Food &amp;Beverage</v>
      </c>
    </row>
    <row r="5878" spans="1:7" x14ac:dyDescent="0.3">
      <c r="A5878" t="s">
        <v>33</v>
      </c>
      <c r="B5878">
        <v>2019</v>
      </c>
      <c r="C5878" t="s">
        <v>35</v>
      </c>
      <c r="D5878" s="2">
        <v>43497</v>
      </c>
      <c r="E5878" t="s">
        <v>13</v>
      </c>
      <c r="F5878">
        <v>128.30000000000001</v>
      </c>
      <c r="G5878" t="str">
        <f>VLOOKUP(Table1_2[[#This Row],[Categories]],Sheet3!$A$1:$B$27,2,FALSE)</f>
        <v>Food &amp;Beverage</v>
      </c>
    </row>
    <row r="5879" spans="1:7" x14ac:dyDescent="0.3">
      <c r="A5879" t="s">
        <v>33</v>
      </c>
      <c r="B5879">
        <v>2019</v>
      </c>
      <c r="C5879" t="s">
        <v>35</v>
      </c>
      <c r="D5879" s="2">
        <v>43497</v>
      </c>
      <c r="E5879" t="s">
        <v>14</v>
      </c>
      <c r="F5879">
        <v>153.5</v>
      </c>
      <c r="G5879" t="str">
        <f>VLOOKUP(Table1_2[[#This Row],[Categories]],Sheet3!$A$1:$B$27,2,FALSE)</f>
        <v>Food &amp;Beverage</v>
      </c>
    </row>
    <row r="5880" spans="1:7" x14ac:dyDescent="0.3">
      <c r="A5880" t="s">
        <v>33</v>
      </c>
      <c r="B5880">
        <v>2019</v>
      </c>
      <c r="C5880" t="s">
        <v>35</v>
      </c>
      <c r="D5880" s="2">
        <v>43497</v>
      </c>
      <c r="E5880" t="s">
        <v>15</v>
      </c>
      <c r="F5880">
        <v>138</v>
      </c>
      <c r="G5880" t="str">
        <f>VLOOKUP(Table1_2[[#This Row],[Categories]],Sheet3!$A$1:$B$27,2,FALSE)</f>
        <v>Food &amp;Beverage</v>
      </c>
    </row>
    <row r="5881" spans="1:7" x14ac:dyDescent="0.3">
      <c r="A5881" t="s">
        <v>33</v>
      </c>
      <c r="B5881">
        <v>2019</v>
      </c>
      <c r="C5881" t="s">
        <v>35</v>
      </c>
      <c r="D5881" s="2">
        <v>43497</v>
      </c>
      <c r="E5881" t="s">
        <v>16</v>
      </c>
      <c r="F5881">
        <v>164.9</v>
      </c>
      <c r="G5881" t="str">
        <f>VLOOKUP(Table1_2[[#This Row],[Categories]],Sheet3!$A$1:$B$27,2,FALSE)</f>
        <v>Recreation and amusement</v>
      </c>
    </row>
    <row r="5882" spans="1:7" x14ac:dyDescent="0.3">
      <c r="A5882" t="s">
        <v>33</v>
      </c>
      <c r="B5882">
        <v>2019</v>
      </c>
      <c r="C5882" t="s">
        <v>35</v>
      </c>
      <c r="D5882" s="2">
        <v>43497</v>
      </c>
      <c r="E5882" t="s">
        <v>17</v>
      </c>
      <c r="F5882">
        <v>143.30000000000001</v>
      </c>
      <c r="G5882" t="str">
        <f>VLOOKUP(Table1_2[[#This Row],[Categories]],Sheet3!$A$1:$B$27,2,FALSE)</f>
        <v>Clothing and footwear</v>
      </c>
    </row>
    <row r="5883" spans="1:7" x14ac:dyDescent="0.3">
      <c r="A5883" t="s">
        <v>33</v>
      </c>
      <c r="B5883">
        <v>2019</v>
      </c>
      <c r="C5883" t="s">
        <v>35</v>
      </c>
      <c r="D5883" s="2">
        <v>43497</v>
      </c>
      <c r="E5883" t="s">
        <v>18</v>
      </c>
      <c r="F5883">
        <v>130.80000000000001</v>
      </c>
      <c r="G5883" t="str">
        <f>VLOOKUP(Table1_2[[#This Row],[Categories]],Sheet3!$A$1:$B$27,2,FALSE)</f>
        <v>Clothing and footwear</v>
      </c>
    </row>
    <row r="5884" spans="1:7" x14ac:dyDescent="0.3">
      <c r="A5884" t="s">
        <v>33</v>
      </c>
      <c r="B5884">
        <v>2019</v>
      </c>
      <c r="C5884" t="s">
        <v>35</v>
      </c>
      <c r="D5884" s="2">
        <v>43497</v>
      </c>
      <c r="E5884" t="s">
        <v>19</v>
      </c>
      <c r="F5884">
        <v>141.4</v>
      </c>
      <c r="G5884" t="str">
        <f>VLOOKUP(Table1_2[[#This Row],[Categories]],Sheet3!$A$1:$B$27,2,FALSE)</f>
        <v>Clothing and footwear</v>
      </c>
    </row>
    <row r="5885" spans="1:7" x14ac:dyDescent="0.3">
      <c r="A5885" t="s">
        <v>33</v>
      </c>
      <c r="B5885">
        <v>2019</v>
      </c>
      <c r="C5885" t="s">
        <v>35</v>
      </c>
      <c r="D5885" s="2">
        <v>43497</v>
      </c>
      <c r="E5885" t="s">
        <v>20</v>
      </c>
      <c r="F5885">
        <v>148.5</v>
      </c>
      <c r="G5885" t="str">
        <f>VLOOKUP(Table1_2[[#This Row],[Categories]],Sheet3!$A$1:$B$27,2,FALSE)</f>
        <v>Housing</v>
      </c>
    </row>
    <row r="5886" spans="1:7" x14ac:dyDescent="0.3">
      <c r="A5886" t="s">
        <v>33</v>
      </c>
      <c r="B5886">
        <v>2019</v>
      </c>
      <c r="C5886" t="s">
        <v>35</v>
      </c>
      <c r="D5886" s="2">
        <v>43497</v>
      </c>
      <c r="E5886" t="s">
        <v>21</v>
      </c>
      <c r="F5886">
        <v>127.1</v>
      </c>
      <c r="G5886" t="str">
        <f>VLOOKUP(Table1_2[[#This Row],[Categories]],Sheet3!$A$1:$B$27,2,FALSE)</f>
        <v>Fuel and light</v>
      </c>
    </row>
    <row r="5887" spans="1:7" x14ac:dyDescent="0.3">
      <c r="A5887" t="s">
        <v>33</v>
      </c>
      <c r="B5887">
        <v>2019</v>
      </c>
      <c r="C5887" t="s">
        <v>35</v>
      </c>
      <c r="D5887" s="2">
        <v>43497</v>
      </c>
      <c r="E5887" t="s">
        <v>22</v>
      </c>
      <c r="F5887">
        <v>136.6</v>
      </c>
      <c r="G5887" t="str">
        <f>VLOOKUP(Table1_2[[#This Row],[Categories]],Sheet3!$A$1:$B$27,2,FALSE)</f>
        <v>Household Items</v>
      </c>
    </row>
    <row r="5888" spans="1:7" x14ac:dyDescent="0.3">
      <c r="A5888" t="s">
        <v>33</v>
      </c>
      <c r="B5888">
        <v>2019</v>
      </c>
      <c r="C5888" t="s">
        <v>35</v>
      </c>
      <c r="D5888" s="2">
        <v>43497</v>
      </c>
      <c r="E5888" t="s">
        <v>23</v>
      </c>
      <c r="F5888">
        <v>138.5</v>
      </c>
      <c r="G5888" t="str">
        <f>VLOOKUP(Table1_2[[#This Row],[Categories]],Sheet3!$A$1:$B$27,2,FALSE)</f>
        <v>Health</v>
      </c>
    </row>
    <row r="5889" spans="1:7" x14ac:dyDescent="0.3">
      <c r="A5889" t="s">
        <v>33</v>
      </c>
      <c r="B5889">
        <v>2019</v>
      </c>
      <c r="C5889" t="s">
        <v>35</v>
      </c>
      <c r="D5889" s="2">
        <v>43497</v>
      </c>
      <c r="E5889" t="s">
        <v>24</v>
      </c>
      <c r="F5889">
        <v>119.2</v>
      </c>
      <c r="G5889" t="str">
        <f>VLOOKUP(Table1_2[[#This Row],[Categories]],Sheet3!$A$1:$B$27,2,FALSE)</f>
        <v>Transport and communication</v>
      </c>
    </row>
    <row r="5890" spans="1:7" x14ac:dyDescent="0.3">
      <c r="A5890" t="s">
        <v>33</v>
      </c>
      <c r="B5890">
        <v>2019</v>
      </c>
      <c r="C5890" t="s">
        <v>35</v>
      </c>
      <c r="D5890" s="2">
        <v>43497</v>
      </c>
      <c r="E5890" t="s">
        <v>25</v>
      </c>
      <c r="F5890">
        <v>132.19999999999999</v>
      </c>
      <c r="G5890" t="str">
        <f>VLOOKUP(Table1_2[[#This Row],[Categories]],Sheet3!$A$1:$B$27,2,FALSE)</f>
        <v>Recreation and amusement</v>
      </c>
    </row>
    <row r="5891" spans="1:7" x14ac:dyDescent="0.3">
      <c r="A5891" t="s">
        <v>33</v>
      </c>
      <c r="B5891">
        <v>2019</v>
      </c>
      <c r="C5891" t="s">
        <v>35</v>
      </c>
      <c r="D5891" s="2">
        <v>43497</v>
      </c>
      <c r="E5891" t="s">
        <v>26</v>
      </c>
      <c r="F5891">
        <v>146.6</v>
      </c>
      <c r="G5891" t="str">
        <f>VLOOKUP(Table1_2[[#This Row],[Categories]],Sheet3!$A$1:$B$27,2,FALSE)</f>
        <v>Education</v>
      </c>
    </row>
    <row r="5892" spans="1:7" x14ac:dyDescent="0.3">
      <c r="A5892" t="s">
        <v>33</v>
      </c>
      <c r="B5892">
        <v>2019</v>
      </c>
      <c r="C5892" t="s">
        <v>35</v>
      </c>
      <c r="D5892" s="2">
        <v>43497</v>
      </c>
      <c r="E5892" t="s">
        <v>27</v>
      </c>
      <c r="F5892">
        <v>133</v>
      </c>
      <c r="G5892" t="str">
        <f>VLOOKUP(Table1_2[[#This Row],[Categories]],Sheet3!$A$1:$B$27,2,FALSE)</f>
        <v>Household Items</v>
      </c>
    </row>
    <row r="5893" spans="1:7" x14ac:dyDescent="0.3">
      <c r="A5893" t="s">
        <v>33</v>
      </c>
      <c r="B5893">
        <v>2019</v>
      </c>
      <c r="C5893" t="s">
        <v>35</v>
      </c>
      <c r="D5893" s="2">
        <v>43497</v>
      </c>
      <c r="E5893" t="s">
        <v>28</v>
      </c>
      <c r="F5893">
        <v>132.4</v>
      </c>
      <c r="G5893" t="str">
        <f>VLOOKUP(Table1_2[[#This Row],[Categories]],Sheet3!$A$1:$B$27,2,FALSE)</f>
        <v>Miscellaneous</v>
      </c>
    </row>
    <row r="5894" spans="1:7" x14ac:dyDescent="0.3">
      <c r="A5894" t="s">
        <v>33</v>
      </c>
      <c r="B5894">
        <v>2019</v>
      </c>
      <c r="C5894" t="s">
        <v>35</v>
      </c>
      <c r="D5894" s="2">
        <v>43497</v>
      </c>
      <c r="E5894" t="s">
        <v>29</v>
      </c>
      <c r="F5894">
        <v>138.6</v>
      </c>
      <c r="G5894" t="str">
        <f>VLOOKUP(Table1_2[[#This Row],[Categories]],Sheet3!$A$1:$B$27,2,FALSE)</f>
        <v>General index</v>
      </c>
    </row>
    <row r="5895" spans="1:7" x14ac:dyDescent="0.3">
      <c r="A5895" t="s">
        <v>34</v>
      </c>
      <c r="B5895">
        <v>2019</v>
      </c>
      <c r="C5895" t="s">
        <v>35</v>
      </c>
      <c r="D5895" s="2">
        <v>43497</v>
      </c>
      <c r="E5895" t="s">
        <v>3</v>
      </c>
      <c r="F5895">
        <v>137.6</v>
      </c>
      <c r="G5895" t="str">
        <f>VLOOKUP(Table1_2[[#This Row],[Categories]],Sheet3!$A$1:$B$27,2,FALSE)</f>
        <v>Food &amp;Beverage</v>
      </c>
    </row>
    <row r="5896" spans="1:7" x14ac:dyDescent="0.3">
      <c r="A5896" t="s">
        <v>34</v>
      </c>
      <c r="B5896">
        <v>2019</v>
      </c>
      <c r="C5896" t="s">
        <v>35</v>
      </c>
      <c r="D5896" s="2">
        <v>43497</v>
      </c>
      <c r="E5896" t="s">
        <v>4</v>
      </c>
      <c r="F5896">
        <v>152</v>
      </c>
      <c r="G5896" t="str">
        <f>VLOOKUP(Table1_2[[#This Row],[Categories]],Sheet3!$A$1:$B$27,2,FALSE)</f>
        <v>Food &amp;Beverage</v>
      </c>
    </row>
    <row r="5897" spans="1:7" x14ac:dyDescent="0.3">
      <c r="A5897" t="s">
        <v>34</v>
      </c>
      <c r="B5897">
        <v>2019</v>
      </c>
      <c r="C5897" t="s">
        <v>35</v>
      </c>
      <c r="D5897" s="2">
        <v>43497</v>
      </c>
      <c r="E5897" t="s">
        <v>5</v>
      </c>
      <c r="F5897">
        <v>141.5</v>
      </c>
      <c r="G5897" t="str">
        <f>VLOOKUP(Table1_2[[#This Row],[Categories]],Sheet3!$A$1:$B$27,2,FALSE)</f>
        <v>Food &amp;Beverage</v>
      </c>
    </row>
    <row r="5898" spans="1:7" x14ac:dyDescent="0.3">
      <c r="A5898" t="s">
        <v>34</v>
      </c>
      <c r="B5898">
        <v>2019</v>
      </c>
      <c r="C5898" t="s">
        <v>35</v>
      </c>
      <c r="D5898" s="2">
        <v>43497</v>
      </c>
      <c r="E5898" t="s">
        <v>6</v>
      </c>
      <c r="F5898">
        <v>142.19999999999999</v>
      </c>
      <c r="G5898" t="str">
        <f>VLOOKUP(Table1_2[[#This Row],[Categories]],Sheet3!$A$1:$B$27,2,FALSE)</f>
        <v>Food &amp;Beverage</v>
      </c>
    </row>
    <row r="5899" spans="1:7" x14ac:dyDescent="0.3">
      <c r="A5899" t="s">
        <v>34</v>
      </c>
      <c r="B5899">
        <v>2019</v>
      </c>
      <c r="C5899" t="s">
        <v>35</v>
      </c>
      <c r="D5899" s="2">
        <v>43497</v>
      </c>
      <c r="E5899" t="s">
        <v>7</v>
      </c>
      <c r="F5899">
        <v>122</v>
      </c>
      <c r="G5899" t="str">
        <f>VLOOKUP(Table1_2[[#This Row],[Categories]],Sheet3!$A$1:$B$27,2,FALSE)</f>
        <v>Food &amp;Beverage</v>
      </c>
    </row>
    <row r="5900" spans="1:7" x14ac:dyDescent="0.3">
      <c r="A5900" t="s">
        <v>34</v>
      </c>
      <c r="B5900">
        <v>2019</v>
      </c>
      <c r="C5900" t="s">
        <v>35</v>
      </c>
      <c r="D5900" s="2">
        <v>43497</v>
      </c>
      <c r="E5900" t="s">
        <v>8</v>
      </c>
      <c r="F5900">
        <v>136.4</v>
      </c>
      <c r="G5900" t="str">
        <f>VLOOKUP(Table1_2[[#This Row],[Categories]],Sheet3!$A$1:$B$27,2,FALSE)</f>
        <v>Food &amp;Beverage</v>
      </c>
    </row>
    <row r="5901" spans="1:7" x14ac:dyDescent="0.3">
      <c r="A5901" t="s">
        <v>34</v>
      </c>
      <c r="B5901">
        <v>2019</v>
      </c>
      <c r="C5901" t="s">
        <v>35</v>
      </c>
      <c r="D5901" s="2">
        <v>43497</v>
      </c>
      <c r="E5901" t="s">
        <v>9</v>
      </c>
      <c r="F5901">
        <v>129.69999999999999</v>
      </c>
      <c r="G5901" t="str">
        <f>VLOOKUP(Table1_2[[#This Row],[Categories]],Sheet3!$A$1:$B$27,2,FALSE)</f>
        <v>Food &amp;Beverage</v>
      </c>
    </row>
    <row r="5902" spans="1:7" x14ac:dyDescent="0.3">
      <c r="A5902" t="s">
        <v>34</v>
      </c>
      <c r="B5902">
        <v>2019</v>
      </c>
      <c r="C5902" t="s">
        <v>35</v>
      </c>
      <c r="D5902" s="2">
        <v>43497</v>
      </c>
      <c r="E5902" t="s">
        <v>10</v>
      </c>
      <c r="F5902">
        <v>121</v>
      </c>
      <c r="G5902" t="str">
        <f>VLOOKUP(Table1_2[[#This Row],[Categories]],Sheet3!$A$1:$B$27,2,FALSE)</f>
        <v>Food &amp;Beverage</v>
      </c>
    </row>
    <row r="5903" spans="1:7" x14ac:dyDescent="0.3">
      <c r="A5903" t="s">
        <v>34</v>
      </c>
      <c r="B5903">
        <v>2019</v>
      </c>
      <c r="C5903" t="s">
        <v>35</v>
      </c>
      <c r="D5903" s="2">
        <v>43497</v>
      </c>
      <c r="E5903" t="s">
        <v>11</v>
      </c>
      <c r="F5903">
        <v>109</v>
      </c>
      <c r="G5903" t="str">
        <f>VLOOKUP(Table1_2[[#This Row],[Categories]],Sheet3!$A$1:$B$27,2,FALSE)</f>
        <v>Food &amp;Beverage</v>
      </c>
    </row>
    <row r="5904" spans="1:7" x14ac:dyDescent="0.3">
      <c r="A5904" t="s">
        <v>34</v>
      </c>
      <c r="B5904">
        <v>2019</v>
      </c>
      <c r="C5904" t="s">
        <v>35</v>
      </c>
      <c r="D5904" s="2">
        <v>43497</v>
      </c>
      <c r="E5904" t="s">
        <v>12</v>
      </c>
      <c r="F5904">
        <v>139.69999999999999</v>
      </c>
      <c r="G5904" t="str">
        <f>VLOOKUP(Table1_2[[#This Row],[Categories]],Sheet3!$A$1:$B$27,2,FALSE)</f>
        <v>Food &amp;Beverage</v>
      </c>
    </row>
    <row r="5905" spans="1:7" x14ac:dyDescent="0.3">
      <c r="A5905" t="s">
        <v>34</v>
      </c>
      <c r="B5905">
        <v>2019</v>
      </c>
      <c r="C5905" t="s">
        <v>35</v>
      </c>
      <c r="D5905" s="2">
        <v>43497</v>
      </c>
      <c r="E5905" t="s">
        <v>13</v>
      </c>
      <c r="F5905">
        <v>133.6</v>
      </c>
      <c r="G5905" t="str">
        <f>VLOOKUP(Table1_2[[#This Row],[Categories]],Sheet3!$A$1:$B$27,2,FALSE)</f>
        <v>Food &amp;Beverage</v>
      </c>
    </row>
    <row r="5906" spans="1:7" x14ac:dyDescent="0.3">
      <c r="A5906" t="s">
        <v>34</v>
      </c>
      <c r="B5906">
        <v>2019</v>
      </c>
      <c r="C5906" t="s">
        <v>35</v>
      </c>
      <c r="D5906" s="2">
        <v>43497</v>
      </c>
      <c r="E5906" t="s">
        <v>14</v>
      </c>
      <c r="F5906">
        <v>154.9</v>
      </c>
      <c r="G5906" t="str">
        <f>VLOOKUP(Table1_2[[#This Row],[Categories]],Sheet3!$A$1:$B$27,2,FALSE)</f>
        <v>Food &amp;Beverage</v>
      </c>
    </row>
    <row r="5907" spans="1:7" x14ac:dyDescent="0.3">
      <c r="A5907" t="s">
        <v>34</v>
      </c>
      <c r="B5907">
        <v>2019</v>
      </c>
      <c r="C5907" t="s">
        <v>35</v>
      </c>
      <c r="D5907" s="2">
        <v>43497</v>
      </c>
      <c r="E5907" t="s">
        <v>15</v>
      </c>
      <c r="F5907">
        <v>137.5</v>
      </c>
      <c r="G5907" t="str">
        <f>VLOOKUP(Table1_2[[#This Row],[Categories]],Sheet3!$A$1:$B$27,2,FALSE)</f>
        <v>Food &amp;Beverage</v>
      </c>
    </row>
    <row r="5908" spans="1:7" x14ac:dyDescent="0.3">
      <c r="A5908" t="s">
        <v>34</v>
      </c>
      <c r="B5908">
        <v>2019</v>
      </c>
      <c r="C5908" t="s">
        <v>35</v>
      </c>
      <c r="D5908" s="2">
        <v>43497</v>
      </c>
      <c r="E5908" t="s">
        <v>16</v>
      </c>
      <c r="F5908">
        <v>163.4</v>
      </c>
      <c r="G5908" t="str">
        <f>VLOOKUP(Table1_2[[#This Row],[Categories]],Sheet3!$A$1:$B$27,2,FALSE)</f>
        <v>Recreation and amusement</v>
      </c>
    </row>
    <row r="5909" spans="1:7" x14ac:dyDescent="0.3">
      <c r="A5909" t="s">
        <v>34</v>
      </c>
      <c r="B5909">
        <v>2019</v>
      </c>
      <c r="C5909" t="s">
        <v>35</v>
      </c>
      <c r="D5909" s="2">
        <v>43497</v>
      </c>
      <c r="E5909" t="s">
        <v>17</v>
      </c>
      <c r="F5909">
        <v>147.69999999999999</v>
      </c>
      <c r="G5909" t="str">
        <f>VLOOKUP(Table1_2[[#This Row],[Categories]],Sheet3!$A$1:$B$27,2,FALSE)</f>
        <v>Clothing and footwear</v>
      </c>
    </row>
    <row r="5910" spans="1:7" x14ac:dyDescent="0.3">
      <c r="A5910" t="s">
        <v>34</v>
      </c>
      <c r="B5910">
        <v>2019</v>
      </c>
      <c r="C5910" t="s">
        <v>35</v>
      </c>
      <c r="D5910" s="2">
        <v>43497</v>
      </c>
      <c r="E5910" t="s">
        <v>18</v>
      </c>
      <c r="F5910">
        <v>139.69999999999999</v>
      </c>
      <c r="G5910" t="str">
        <f>VLOOKUP(Table1_2[[#This Row],[Categories]],Sheet3!$A$1:$B$27,2,FALSE)</f>
        <v>Clothing and footwear</v>
      </c>
    </row>
    <row r="5911" spans="1:7" x14ac:dyDescent="0.3">
      <c r="A5911" t="s">
        <v>34</v>
      </c>
      <c r="B5911">
        <v>2019</v>
      </c>
      <c r="C5911" t="s">
        <v>35</v>
      </c>
      <c r="D5911" s="2">
        <v>43497</v>
      </c>
      <c r="E5911" t="s">
        <v>19</v>
      </c>
      <c r="F5911">
        <v>146.5</v>
      </c>
      <c r="G5911" t="str">
        <f>VLOOKUP(Table1_2[[#This Row],[Categories]],Sheet3!$A$1:$B$27,2,FALSE)</f>
        <v>Clothing and footwear</v>
      </c>
    </row>
    <row r="5912" spans="1:7" x14ac:dyDescent="0.3">
      <c r="A5912" t="s">
        <v>34</v>
      </c>
      <c r="B5912">
        <v>2019</v>
      </c>
      <c r="C5912" t="s">
        <v>35</v>
      </c>
      <c r="D5912" s="2">
        <v>43497</v>
      </c>
      <c r="E5912" t="s">
        <v>20</v>
      </c>
      <c r="F5912">
        <v>148.5</v>
      </c>
      <c r="G5912" t="str">
        <f>VLOOKUP(Table1_2[[#This Row],[Categories]],Sheet3!$A$1:$B$27,2,FALSE)</f>
        <v>Housing</v>
      </c>
    </row>
    <row r="5913" spans="1:7" x14ac:dyDescent="0.3">
      <c r="A5913" t="s">
        <v>34</v>
      </c>
      <c r="B5913">
        <v>2019</v>
      </c>
      <c r="C5913" t="s">
        <v>35</v>
      </c>
      <c r="D5913" s="2">
        <v>43497</v>
      </c>
      <c r="E5913" t="s">
        <v>21</v>
      </c>
      <c r="F5913">
        <v>138.4</v>
      </c>
      <c r="G5913" t="str">
        <f>VLOOKUP(Table1_2[[#This Row],[Categories]],Sheet3!$A$1:$B$27,2,FALSE)</f>
        <v>Fuel and light</v>
      </c>
    </row>
    <row r="5914" spans="1:7" x14ac:dyDescent="0.3">
      <c r="A5914" t="s">
        <v>34</v>
      </c>
      <c r="B5914">
        <v>2019</v>
      </c>
      <c r="C5914" t="s">
        <v>35</v>
      </c>
      <c r="D5914" s="2">
        <v>43497</v>
      </c>
      <c r="E5914" t="s">
        <v>22</v>
      </c>
      <c r="F5914">
        <v>143.69999999999999</v>
      </c>
      <c r="G5914" t="str">
        <f>VLOOKUP(Table1_2[[#This Row],[Categories]],Sheet3!$A$1:$B$27,2,FALSE)</f>
        <v>Household Items</v>
      </c>
    </row>
    <row r="5915" spans="1:7" x14ac:dyDescent="0.3">
      <c r="A5915" t="s">
        <v>34</v>
      </c>
      <c r="B5915">
        <v>2019</v>
      </c>
      <c r="C5915" t="s">
        <v>35</v>
      </c>
      <c r="D5915" s="2">
        <v>43497</v>
      </c>
      <c r="E5915" t="s">
        <v>23</v>
      </c>
      <c r="F5915">
        <v>145.6</v>
      </c>
      <c r="G5915" t="str">
        <f>VLOOKUP(Table1_2[[#This Row],[Categories]],Sheet3!$A$1:$B$27,2,FALSE)</f>
        <v>Health</v>
      </c>
    </row>
    <row r="5916" spans="1:7" x14ac:dyDescent="0.3">
      <c r="A5916" t="s">
        <v>34</v>
      </c>
      <c r="B5916">
        <v>2019</v>
      </c>
      <c r="C5916" t="s">
        <v>35</v>
      </c>
      <c r="D5916" s="2">
        <v>43497</v>
      </c>
      <c r="E5916" t="s">
        <v>24</v>
      </c>
      <c r="F5916">
        <v>123.9</v>
      </c>
      <c r="G5916" t="str">
        <f>VLOOKUP(Table1_2[[#This Row],[Categories]],Sheet3!$A$1:$B$27,2,FALSE)</f>
        <v>Transport and communication</v>
      </c>
    </row>
    <row r="5917" spans="1:7" x14ac:dyDescent="0.3">
      <c r="A5917" t="s">
        <v>34</v>
      </c>
      <c r="B5917">
        <v>2019</v>
      </c>
      <c r="C5917" t="s">
        <v>35</v>
      </c>
      <c r="D5917" s="2">
        <v>43497</v>
      </c>
      <c r="E5917" t="s">
        <v>25</v>
      </c>
      <c r="F5917">
        <v>137.1</v>
      </c>
      <c r="G5917" t="str">
        <f>VLOOKUP(Table1_2[[#This Row],[Categories]],Sheet3!$A$1:$B$27,2,FALSE)</f>
        <v>Recreation and amusement</v>
      </c>
    </row>
    <row r="5918" spans="1:7" x14ac:dyDescent="0.3">
      <c r="A5918" t="s">
        <v>34</v>
      </c>
      <c r="B5918">
        <v>2019</v>
      </c>
      <c r="C5918" t="s">
        <v>35</v>
      </c>
      <c r="D5918" s="2">
        <v>43497</v>
      </c>
      <c r="E5918" t="s">
        <v>26</v>
      </c>
      <c r="F5918">
        <v>150.30000000000001</v>
      </c>
      <c r="G5918" t="str">
        <f>VLOOKUP(Table1_2[[#This Row],[Categories]],Sheet3!$A$1:$B$27,2,FALSE)</f>
        <v>Education</v>
      </c>
    </row>
    <row r="5919" spans="1:7" x14ac:dyDescent="0.3">
      <c r="A5919" t="s">
        <v>34</v>
      </c>
      <c r="B5919">
        <v>2019</v>
      </c>
      <c r="C5919" t="s">
        <v>35</v>
      </c>
      <c r="D5919" s="2">
        <v>43497</v>
      </c>
      <c r="E5919" t="s">
        <v>27</v>
      </c>
      <c r="F5919">
        <v>134.1</v>
      </c>
      <c r="G5919" t="str">
        <f>VLOOKUP(Table1_2[[#This Row],[Categories]],Sheet3!$A$1:$B$27,2,FALSE)</f>
        <v>Household Items</v>
      </c>
    </row>
    <row r="5920" spans="1:7" x14ac:dyDescent="0.3">
      <c r="A5920" t="s">
        <v>34</v>
      </c>
      <c r="B5920">
        <v>2019</v>
      </c>
      <c r="C5920" t="s">
        <v>35</v>
      </c>
      <c r="D5920" s="2">
        <v>43497</v>
      </c>
      <c r="E5920" t="s">
        <v>28</v>
      </c>
      <c r="F5920">
        <v>137.4</v>
      </c>
      <c r="G5920" t="str">
        <f>VLOOKUP(Table1_2[[#This Row],[Categories]],Sheet3!$A$1:$B$27,2,FALSE)</f>
        <v>Miscellaneous</v>
      </c>
    </row>
    <row r="5921" spans="1:7" x14ac:dyDescent="0.3">
      <c r="A5921" t="s">
        <v>34</v>
      </c>
      <c r="B5921">
        <v>2019</v>
      </c>
      <c r="C5921" t="s">
        <v>35</v>
      </c>
      <c r="D5921" s="2">
        <v>43497</v>
      </c>
      <c r="E5921" t="s">
        <v>29</v>
      </c>
      <c r="F5921">
        <v>139.9</v>
      </c>
      <c r="G5921" t="str">
        <f>VLOOKUP(Table1_2[[#This Row],[Categories]],Sheet3!$A$1:$B$27,2,FALSE)</f>
        <v>General index</v>
      </c>
    </row>
    <row r="5922" spans="1:7" x14ac:dyDescent="0.3">
      <c r="A5922" t="s">
        <v>30</v>
      </c>
      <c r="B5922">
        <v>2019</v>
      </c>
      <c r="C5922" t="s">
        <v>36</v>
      </c>
      <c r="D5922" s="2">
        <v>43525</v>
      </c>
      <c r="E5922" t="s">
        <v>3</v>
      </c>
      <c r="F5922">
        <v>136.9</v>
      </c>
      <c r="G5922" t="str">
        <f>VLOOKUP(Table1_2[[#This Row],[Categories]],Sheet3!$A$1:$B$27,2,FALSE)</f>
        <v>Food &amp;Beverage</v>
      </c>
    </row>
    <row r="5923" spans="1:7" x14ac:dyDescent="0.3">
      <c r="A5923" t="s">
        <v>30</v>
      </c>
      <c r="B5923">
        <v>2019</v>
      </c>
      <c r="C5923" t="s">
        <v>36</v>
      </c>
      <c r="D5923" s="2">
        <v>43525</v>
      </c>
      <c r="E5923" t="s">
        <v>4</v>
      </c>
      <c r="F5923">
        <v>154.1</v>
      </c>
      <c r="G5923" t="str">
        <f>VLOOKUP(Table1_2[[#This Row],[Categories]],Sheet3!$A$1:$B$27,2,FALSE)</f>
        <v>Food &amp;Beverage</v>
      </c>
    </row>
    <row r="5924" spans="1:7" x14ac:dyDescent="0.3">
      <c r="A5924" t="s">
        <v>30</v>
      </c>
      <c r="B5924">
        <v>2019</v>
      </c>
      <c r="C5924" t="s">
        <v>36</v>
      </c>
      <c r="D5924" s="2">
        <v>43525</v>
      </c>
      <c r="E5924" t="s">
        <v>5</v>
      </c>
      <c r="F5924">
        <v>138.69999999999999</v>
      </c>
      <c r="G5924" t="str">
        <f>VLOOKUP(Table1_2[[#This Row],[Categories]],Sheet3!$A$1:$B$27,2,FALSE)</f>
        <v>Food &amp;Beverage</v>
      </c>
    </row>
    <row r="5925" spans="1:7" x14ac:dyDescent="0.3">
      <c r="A5925" t="s">
        <v>30</v>
      </c>
      <c r="B5925">
        <v>2019</v>
      </c>
      <c r="C5925" t="s">
        <v>36</v>
      </c>
      <c r="D5925" s="2">
        <v>43525</v>
      </c>
      <c r="E5925" t="s">
        <v>6</v>
      </c>
      <c r="F5925">
        <v>142.5</v>
      </c>
      <c r="G5925" t="str">
        <f>VLOOKUP(Table1_2[[#This Row],[Categories]],Sheet3!$A$1:$B$27,2,FALSE)</f>
        <v>Food &amp;Beverage</v>
      </c>
    </row>
    <row r="5926" spans="1:7" x14ac:dyDescent="0.3">
      <c r="A5926" t="s">
        <v>30</v>
      </c>
      <c r="B5926">
        <v>2019</v>
      </c>
      <c r="C5926" t="s">
        <v>36</v>
      </c>
      <c r="D5926" s="2">
        <v>43525</v>
      </c>
      <c r="E5926" t="s">
        <v>7</v>
      </c>
      <c r="F5926">
        <v>124.1</v>
      </c>
      <c r="G5926" t="str">
        <f>VLOOKUP(Table1_2[[#This Row],[Categories]],Sheet3!$A$1:$B$27,2,FALSE)</f>
        <v>Food &amp;Beverage</v>
      </c>
    </row>
    <row r="5927" spans="1:7" x14ac:dyDescent="0.3">
      <c r="A5927" t="s">
        <v>30</v>
      </c>
      <c r="B5927">
        <v>2019</v>
      </c>
      <c r="C5927" t="s">
        <v>36</v>
      </c>
      <c r="D5927" s="2">
        <v>43525</v>
      </c>
      <c r="E5927" t="s">
        <v>8</v>
      </c>
      <c r="F5927">
        <v>136.1</v>
      </c>
      <c r="G5927" t="str">
        <f>VLOOKUP(Table1_2[[#This Row],[Categories]],Sheet3!$A$1:$B$27,2,FALSE)</f>
        <v>Food &amp;Beverage</v>
      </c>
    </row>
    <row r="5928" spans="1:7" x14ac:dyDescent="0.3">
      <c r="A5928" t="s">
        <v>30</v>
      </c>
      <c r="B5928">
        <v>2019</v>
      </c>
      <c r="C5928" t="s">
        <v>36</v>
      </c>
      <c r="D5928" s="2">
        <v>43525</v>
      </c>
      <c r="E5928" t="s">
        <v>9</v>
      </c>
      <c r="F5928">
        <v>128.19999999999999</v>
      </c>
      <c r="G5928" t="str">
        <f>VLOOKUP(Table1_2[[#This Row],[Categories]],Sheet3!$A$1:$B$27,2,FALSE)</f>
        <v>Food &amp;Beverage</v>
      </c>
    </row>
    <row r="5929" spans="1:7" x14ac:dyDescent="0.3">
      <c r="A5929" t="s">
        <v>30</v>
      </c>
      <c r="B5929">
        <v>2019</v>
      </c>
      <c r="C5929" t="s">
        <v>36</v>
      </c>
      <c r="D5929" s="2">
        <v>43525</v>
      </c>
      <c r="E5929" t="s">
        <v>10</v>
      </c>
      <c r="F5929">
        <v>122.3</v>
      </c>
      <c r="G5929" t="str">
        <f>VLOOKUP(Table1_2[[#This Row],[Categories]],Sheet3!$A$1:$B$27,2,FALSE)</f>
        <v>Food &amp;Beverage</v>
      </c>
    </row>
    <row r="5930" spans="1:7" x14ac:dyDescent="0.3">
      <c r="A5930" t="s">
        <v>30</v>
      </c>
      <c r="B5930">
        <v>2019</v>
      </c>
      <c r="C5930" t="s">
        <v>36</v>
      </c>
      <c r="D5930" s="2">
        <v>43525</v>
      </c>
      <c r="E5930" t="s">
        <v>11</v>
      </c>
      <c r="F5930">
        <v>108.3</v>
      </c>
      <c r="G5930" t="str">
        <f>VLOOKUP(Table1_2[[#This Row],[Categories]],Sheet3!$A$1:$B$27,2,FALSE)</f>
        <v>Food &amp;Beverage</v>
      </c>
    </row>
    <row r="5931" spans="1:7" x14ac:dyDescent="0.3">
      <c r="A5931" t="s">
        <v>30</v>
      </c>
      <c r="B5931">
        <v>2019</v>
      </c>
      <c r="C5931" t="s">
        <v>36</v>
      </c>
      <c r="D5931" s="2">
        <v>43525</v>
      </c>
      <c r="E5931" t="s">
        <v>12</v>
      </c>
      <c r="F5931">
        <v>138.9</v>
      </c>
      <c r="G5931" t="str">
        <f>VLOOKUP(Table1_2[[#This Row],[Categories]],Sheet3!$A$1:$B$27,2,FALSE)</f>
        <v>Food &amp;Beverage</v>
      </c>
    </row>
    <row r="5932" spans="1:7" x14ac:dyDescent="0.3">
      <c r="A5932" t="s">
        <v>30</v>
      </c>
      <c r="B5932">
        <v>2019</v>
      </c>
      <c r="C5932" t="s">
        <v>36</v>
      </c>
      <c r="D5932" s="2">
        <v>43525</v>
      </c>
      <c r="E5932" t="s">
        <v>13</v>
      </c>
      <c r="F5932">
        <v>137.4</v>
      </c>
      <c r="G5932" t="str">
        <f>VLOOKUP(Table1_2[[#This Row],[Categories]],Sheet3!$A$1:$B$27,2,FALSE)</f>
        <v>Food &amp;Beverage</v>
      </c>
    </row>
    <row r="5933" spans="1:7" x14ac:dyDescent="0.3">
      <c r="A5933" t="s">
        <v>30</v>
      </c>
      <c r="B5933">
        <v>2019</v>
      </c>
      <c r="C5933" t="s">
        <v>36</v>
      </c>
      <c r="D5933" s="2">
        <v>43525</v>
      </c>
      <c r="E5933" t="s">
        <v>14</v>
      </c>
      <c r="F5933">
        <v>156.4</v>
      </c>
      <c r="G5933" t="str">
        <f>VLOOKUP(Table1_2[[#This Row],[Categories]],Sheet3!$A$1:$B$27,2,FALSE)</f>
        <v>Food &amp;Beverage</v>
      </c>
    </row>
    <row r="5934" spans="1:7" x14ac:dyDescent="0.3">
      <c r="A5934" t="s">
        <v>30</v>
      </c>
      <c r="B5934">
        <v>2019</v>
      </c>
      <c r="C5934" t="s">
        <v>36</v>
      </c>
      <c r="D5934" s="2">
        <v>43525</v>
      </c>
      <c r="E5934" t="s">
        <v>15</v>
      </c>
      <c r="F5934">
        <v>137.30000000000001</v>
      </c>
      <c r="G5934" t="str">
        <f>VLOOKUP(Table1_2[[#This Row],[Categories]],Sheet3!$A$1:$B$27,2,FALSE)</f>
        <v>Food &amp;Beverage</v>
      </c>
    </row>
    <row r="5935" spans="1:7" x14ac:dyDescent="0.3">
      <c r="A5935" t="s">
        <v>30</v>
      </c>
      <c r="B5935">
        <v>2019</v>
      </c>
      <c r="C5935" t="s">
        <v>36</v>
      </c>
      <c r="D5935" s="2">
        <v>43525</v>
      </c>
      <c r="E5935" t="s">
        <v>16</v>
      </c>
      <c r="F5935">
        <v>162.9</v>
      </c>
      <c r="G5935" t="str">
        <f>VLOOKUP(Table1_2[[#This Row],[Categories]],Sheet3!$A$1:$B$27,2,FALSE)</f>
        <v>Recreation and amusement</v>
      </c>
    </row>
    <row r="5936" spans="1:7" x14ac:dyDescent="0.3">
      <c r="A5936" t="s">
        <v>30</v>
      </c>
      <c r="B5936">
        <v>2019</v>
      </c>
      <c r="C5936" t="s">
        <v>36</v>
      </c>
      <c r="D5936" s="2">
        <v>43525</v>
      </c>
      <c r="E5936" t="s">
        <v>17</v>
      </c>
      <c r="F5936">
        <v>150.80000000000001</v>
      </c>
      <c r="G5936" t="str">
        <f>VLOOKUP(Table1_2[[#This Row],[Categories]],Sheet3!$A$1:$B$27,2,FALSE)</f>
        <v>Clothing and footwear</v>
      </c>
    </row>
    <row r="5937" spans="1:7" x14ac:dyDescent="0.3">
      <c r="A5937" t="s">
        <v>30</v>
      </c>
      <c r="B5937">
        <v>2019</v>
      </c>
      <c r="C5937" t="s">
        <v>36</v>
      </c>
      <c r="D5937" s="2">
        <v>43525</v>
      </c>
      <c r="E5937" t="s">
        <v>18</v>
      </c>
      <c r="F5937">
        <v>146.1</v>
      </c>
      <c r="G5937" t="str">
        <f>VLOOKUP(Table1_2[[#This Row],[Categories]],Sheet3!$A$1:$B$27,2,FALSE)</f>
        <v>Clothing and footwear</v>
      </c>
    </row>
    <row r="5938" spans="1:7" x14ac:dyDescent="0.3">
      <c r="A5938" t="s">
        <v>30</v>
      </c>
      <c r="B5938">
        <v>2019</v>
      </c>
      <c r="C5938" t="s">
        <v>36</v>
      </c>
      <c r="D5938" s="2">
        <v>43525</v>
      </c>
      <c r="E5938" t="s">
        <v>19</v>
      </c>
      <c r="F5938">
        <v>150.1</v>
      </c>
      <c r="G5938" t="str">
        <f>VLOOKUP(Table1_2[[#This Row],[Categories]],Sheet3!$A$1:$B$27,2,FALSE)</f>
        <v>Clothing and footwear</v>
      </c>
    </row>
    <row r="5939" spans="1:7" x14ac:dyDescent="0.3">
      <c r="A5939" t="s">
        <v>30</v>
      </c>
      <c r="B5939">
        <v>2019</v>
      </c>
      <c r="C5939" t="s">
        <v>36</v>
      </c>
      <c r="D5939" s="2">
        <v>43525</v>
      </c>
      <c r="E5939" t="s">
        <v>21</v>
      </c>
      <c r="F5939">
        <v>146.4</v>
      </c>
      <c r="G5939" t="str">
        <f>VLOOKUP(Table1_2[[#This Row],[Categories]],Sheet3!$A$1:$B$27,2,FALSE)</f>
        <v>Fuel and light</v>
      </c>
    </row>
    <row r="5940" spans="1:7" x14ac:dyDescent="0.3">
      <c r="A5940" t="s">
        <v>30</v>
      </c>
      <c r="B5940">
        <v>2019</v>
      </c>
      <c r="C5940" t="s">
        <v>36</v>
      </c>
      <c r="D5940" s="2">
        <v>43525</v>
      </c>
      <c r="E5940" t="s">
        <v>22</v>
      </c>
      <c r="F5940">
        <v>150</v>
      </c>
      <c r="G5940" t="str">
        <f>VLOOKUP(Table1_2[[#This Row],[Categories]],Sheet3!$A$1:$B$27,2,FALSE)</f>
        <v>Household Items</v>
      </c>
    </row>
    <row r="5941" spans="1:7" x14ac:dyDescent="0.3">
      <c r="A5941" t="s">
        <v>30</v>
      </c>
      <c r="B5941">
        <v>2019</v>
      </c>
      <c r="C5941" t="s">
        <v>36</v>
      </c>
      <c r="D5941" s="2">
        <v>43525</v>
      </c>
      <c r="E5941" t="s">
        <v>23</v>
      </c>
      <c r="F5941">
        <v>150.4</v>
      </c>
      <c r="G5941" t="str">
        <f>VLOOKUP(Table1_2[[#This Row],[Categories]],Sheet3!$A$1:$B$27,2,FALSE)</f>
        <v>Health</v>
      </c>
    </row>
    <row r="5942" spans="1:7" x14ac:dyDescent="0.3">
      <c r="A5942" t="s">
        <v>30</v>
      </c>
      <c r="B5942">
        <v>2019</v>
      </c>
      <c r="C5942" t="s">
        <v>36</v>
      </c>
      <c r="D5942" s="2">
        <v>43525</v>
      </c>
      <c r="E5942" t="s">
        <v>24</v>
      </c>
      <c r="F5942">
        <v>129.9</v>
      </c>
      <c r="G5942" t="str">
        <f>VLOOKUP(Table1_2[[#This Row],[Categories]],Sheet3!$A$1:$B$27,2,FALSE)</f>
        <v>Transport and communication</v>
      </c>
    </row>
    <row r="5943" spans="1:7" x14ac:dyDescent="0.3">
      <c r="A5943" t="s">
        <v>30</v>
      </c>
      <c r="B5943">
        <v>2019</v>
      </c>
      <c r="C5943" t="s">
        <v>36</v>
      </c>
      <c r="D5943" s="2">
        <v>43525</v>
      </c>
      <c r="E5943" t="s">
        <v>25</v>
      </c>
      <c r="F5943">
        <v>143.80000000000001</v>
      </c>
      <c r="G5943" t="str">
        <f>VLOOKUP(Table1_2[[#This Row],[Categories]],Sheet3!$A$1:$B$27,2,FALSE)</f>
        <v>Recreation and amusement</v>
      </c>
    </row>
    <row r="5944" spans="1:7" x14ac:dyDescent="0.3">
      <c r="A5944" t="s">
        <v>30</v>
      </c>
      <c r="B5944">
        <v>2019</v>
      </c>
      <c r="C5944" t="s">
        <v>36</v>
      </c>
      <c r="D5944" s="2">
        <v>43525</v>
      </c>
      <c r="E5944" t="s">
        <v>26</v>
      </c>
      <c r="F5944">
        <v>155.5</v>
      </c>
      <c r="G5944" t="str">
        <f>VLOOKUP(Table1_2[[#This Row],[Categories]],Sheet3!$A$1:$B$27,2,FALSE)</f>
        <v>Education</v>
      </c>
    </row>
    <row r="5945" spans="1:7" x14ac:dyDescent="0.3">
      <c r="A5945" t="s">
        <v>30</v>
      </c>
      <c r="B5945">
        <v>2019</v>
      </c>
      <c r="C5945" t="s">
        <v>36</v>
      </c>
      <c r="D5945" s="2">
        <v>43525</v>
      </c>
      <c r="E5945" t="s">
        <v>27</v>
      </c>
      <c r="F5945">
        <v>134</v>
      </c>
      <c r="G5945" t="str">
        <f>VLOOKUP(Table1_2[[#This Row],[Categories]],Sheet3!$A$1:$B$27,2,FALSE)</f>
        <v>Household Items</v>
      </c>
    </row>
    <row r="5946" spans="1:7" x14ac:dyDescent="0.3">
      <c r="A5946" t="s">
        <v>30</v>
      </c>
      <c r="B5946">
        <v>2019</v>
      </c>
      <c r="C5946" t="s">
        <v>36</v>
      </c>
      <c r="D5946" s="2">
        <v>43525</v>
      </c>
      <c r="E5946" t="s">
        <v>28</v>
      </c>
      <c r="F5946">
        <v>142.4</v>
      </c>
      <c r="G5946" t="str">
        <f>VLOOKUP(Table1_2[[#This Row],[Categories]],Sheet3!$A$1:$B$27,2,FALSE)</f>
        <v>Miscellaneous</v>
      </c>
    </row>
    <row r="5947" spans="1:7" x14ac:dyDescent="0.3">
      <c r="A5947" t="s">
        <v>30</v>
      </c>
      <c r="B5947">
        <v>2019</v>
      </c>
      <c r="C5947" t="s">
        <v>36</v>
      </c>
      <c r="D5947" s="2">
        <v>43525</v>
      </c>
      <c r="E5947" t="s">
        <v>29</v>
      </c>
      <c r="F5947">
        <v>141.19999999999999</v>
      </c>
      <c r="G5947" t="str">
        <f>VLOOKUP(Table1_2[[#This Row],[Categories]],Sheet3!$A$1:$B$27,2,FALSE)</f>
        <v>General index</v>
      </c>
    </row>
    <row r="5948" spans="1:7" x14ac:dyDescent="0.3">
      <c r="A5948" t="s">
        <v>33</v>
      </c>
      <c r="B5948">
        <v>2019</v>
      </c>
      <c r="C5948" t="s">
        <v>36</v>
      </c>
      <c r="D5948" s="2">
        <v>43525</v>
      </c>
      <c r="E5948" t="s">
        <v>3</v>
      </c>
      <c r="F5948">
        <v>139.69999999999999</v>
      </c>
      <c r="G5948" t="str">
        <f>VLOOKUP(Table1_2[[#This Row],[Categories]],Sheet3!$A$1:$B$27,2,FALSE)</f>
        <v>Food &amp;Beverage</v>
      </c>
    </row>
    <row r="5949" spans="1:7" x14ac:dyDescent="0.3">
      <c r="A5949" t="s">
        <v>33</v>
      </c>
      <c r="B5949">
        <v>2019</v>
      </c>
      <c r="C5949" t="s">
        <v>36</v>
      </c>
      <c r="D5949" s="2">
        <v>43525</v>
      </c>
      <c r="E5949" t="s">
        <v>4</v>
      </c>
      <c r="F5949">
        <v>151.1</v>
      </c>
      <c r="G5949" t="str">
        <f>VLOOKUP(Table1_2[[#This Row],[Categories]],Sheet3!$A$1:$B$27,2,FALSE)</f>
        <v>Food &amp;Beverage</v>
      </c>
    </row>
    <row r="5950" spans="1:7" x14ac:dyDescent="0.3">
      <c r="A5950" t="s">
        <v>33</v>
      </c>
      <c r="B5950">
        <v>2019</v>
      </c>
      <c r="C5950" t="s">
        <v>36</v>
      </c>
      <c r="D5950" s="2">
        <v>43525</v>
      </c>
      <c r="E5950" t="s">
        <v>5</v>
      </c>
      <c r="F5950">
        <v>142.9</v>
      </c>
      <c r="G5950" t="str">
        <f>VLOOKUP(Table1_2[[#This Row],[Categories]],Sheet3!$A$1:$B$27,2,FALSE)</f>
        <v>Food &amp;Beverage</v>
      </c>
    </row>
    <row r="5951" spans="1:7" x14ac:dyDescent="0.3">
      <c r="A5951" t="s">
        <v>33</v>
      </c>
      <c r="B5951">
        <v>2019</v>
      </c>
      <c r="C5951" t="s">
        <v>36</v>
      </c>
      <c r="D5951" s="2">
        <v>43525</v>
      </c>
      <c r="E5951" t="s">
        <v>6</v>
      </c>
      <c r="F5951">
        <v>141.9</v>
      </c>
      <c r="G5951" t="str">
        <f>VLOOKUP(Table1_2[[#This Row],[Categories]],Sheet3!$A$1:$B$27,2,FALSE)</f>
        <v>Food &amp;Beverage</v>
      </c>
    </row>
    <row r="5952" spans="1:7" x14ac:dyDescent="0.3">
      <c r="A5952" t="s">
        <v>33</v>
      </c>
      <c r="B5952">
        <v>2019</v>
      </c>
      <c r="C5952" t="s">
        <v>36</v>
      </c>
      <c r="D5952" s="2">
        <v>43525</v>
      </c>
      <c r="E5952" t="s">
        <v>7</v>
      </c>
      <c r="F5952">
        <v>118.4</v>
      </c>
      <c r="G5952" t="str">
        <f>VLOOKUP(Table1_2[[#This Row],[Categories]],Sheet3!$A$1:$B$27,2,FALSE)</f>
        <v>Food &amp;Beverage</v>
      </c>
    </row>
    <row r="5953" spans="1:7" x14ac:dyDescent="0.3">
      <c r="A5953" t="s">
        <v>33</v>
      </c>
      <c r="B5953">
        <v>2019</v>
      </c>
      <c r="C5953" t="s">
        <v>36</v>
      </c>
      <c r="D5953" s="2">
        <v>43525</v>
      </c>
      <c r="E5953" t="s">
        <v>8</v>
      </c>
      <c r="F5953">
        <v>139.4</v>
      </c>
      <c r="G5953" t="str">
        <f>VLOOKUP(Table1_2[[#This Row],[Categories]],Sheet3!$A$1:$B$27,2,FALSE)</f>
        <v>Food &amp;Beverage</v>
      </c>
    </row>
    <row r="5954" spans="1:7" x14ac:dyDescent="0.3">
      <c r="A5954" t="s">
        <v>33</v>
      </c>
      <c r="B5954">
        <v>2019</v>
      </c>
      <c r="C5954" t="s">
        <v>36</v>
      </c>
      <c r="D5954" s="2">
        <v>43525</v>
      </c>
      <c r="E5954" t="s">
        <v>9</v>
      </c>
      <c r="F5954">
        <v>141.19999999999999</v>
      </c>
      <c r="G5954" t="str">
        <f>VLOOKUP(Table1_2[[#This Row],[Categories]],Sheet3!$A$1:$B$27,2,FALSE)</f>
        <v>Food &amp;Beverage</v>
      </c>
    </row>
    <row r="5955" spans="1:7" x14ac:dyDescent="0.3">
      <c r="A5955" t="s">
        <v>33</v>
      </c>
      <c r="B5955">
        <v>2019</v>
      </c>
      <c r="C5955" t="s">
        <v>36</v>
      </c>
      <c r="D5955" s="2">
        <v>43525</v>
      </c>
      <c r="E5955" t="s">
        <v>10</v>
      </c>
      <c r="F5955">
        <v>120.7</v>
      </c>
      <c r="G5955" t="str">
        <f>VLOOKUP(Table1_2[[#This Row],[Categories]],Sheet3!$A$1:$B$27,2,FALSE)</f>
        <v>Food &amp;Beverage</v>
      </c>
    </row>
    <row r="5956" spans="1:7" x14ac:dyDescent="0.3">
      <c r="A5956" t="s">
        <v>33</v>
      </c>
      <c r="B5956">
        <v>2019</v>
      </c>
      <c r="C5956" t="s">
        <v>36</v>
      </c>
      <c r="D5956" s="2">
        <v>43525</v>
      </c>
      <c r="E5956" t="s">
        <v>11</v>
      </c>
      <c r="F5956">
        <v>110.4</v>
      </c>
      <c r="G5956" t="str">
        <f>VLOOKUP(Table1_2[[#This Row],[Categories]],Sheet3!$A$1:$B$27,2,FALSE)</f>
        <v>Food &amp;Beverage</v>
      </c>
    </row>
    <row r="5957" spans="1:7" x14ac:dyDescent="0.3">
      <c r="A5957" t="s">
        <v>33</v>
      </c>
      <c r="B5957">
        <v>2019</v>
      </c>
      <c r="C5957" t="s">
        <v>36</v>
      </c>
      <c r="D5957" s="2">
        <v>43525</v>
      </c>
      <c r="E5957" t="s">
        <v>12</v>
      </c>
      <c r="F5957">
        <v>140.69999999999999</v>
      </c>
      <c r="G5957" t="str">
        <f>VLOOKUP(Table1_2[[#This Row],[Categories]],Sheet3!$A$1:$B$27,2,FALSE)</f>
        <v>Food &amp;Beverage</v>
      </c>
    </row>
    <row r="5958" spans="1:7" x14ac:dyDescent="0.3">
      <c r="A5958" t="s">
        <v>33</v>
      </c>
      <c r="B5958">
        <v>2019</v>
      </c>
      <c r="C5958" t="s">
        <v>36</v>
      </c>
      <c r="D5958" s="2">
        <v>43525</v>
      </c>
      <c r="E5958" t="s">
        <v>13</v>
      </c>
      <c r="F5958">
        <v>128.5</v>
      </c>
      <c r="G5958" t="str">
        <f>VLOOKUP(Table1_2[[#This Row],[Categories]],Sheet3!$A$1:$B$27,2,FALSE)</f>
        <v>Food &amp;Beverage</v>
      </c>
    </row>
    <row r="5959" spans="1:7" x14ac:dyDescent="0.3">
      <c r="A5959" t="s">
        <v>33</v>
      </c>
      <c r="B5959">
        <v>2019</v>
      </c>
      <c r="C5959" t="s">
        <v>36</v>
      </c>
      <c r="D5959" s="2">
        <v>43525</v>
      </c>
      <c r="E5959" t="s">
        <v>14</v>
      </c>
      <c r="F5959">
        <v>153.9</v>
      </c>
      <c r="G5959" t="str">
        <f>VLOOKUP(Table1_2[[#This Row],[Categories]],Sheet3!$A$1:$B$27,2,FALSE)</f>
        <v>Food &amp;Beverage</v>
      </c>
    </row>
    <row r="5960" spans="1:7" x14ac:dyDescent="0.3">
      <c r="A5960" t="s">
        <v>33</v>
      </c>
      <c r="B5960">
        <v>2019</v>
      </c>
      <c r="C5960" t="s">
        <v>36</v>
      </c>
      <c r="D5960" s="2">
        <v>43525</v>
      </c>
      <c r="E5960" t="s">
        <v>15</v>
      </c>
      <c r="F5960">
        <v>139.6</v>
      </c>
      <c r="G5960" t="str">
        <f>VLOOKUP(Table1_2[[#This Row],[Categories]],Sheet3!$A$1:$B$27,2,FALSE)</f>
        <v>Food &amp;Beverage</v>
      </c>
    </row>
    <row r="5961" spans="1:7" x14ac:dyDescent="0.3">
      <c r="A5961" t="s">
        <v>33</v>
      </c>
      <c r="B5961">
        <v>2019</v>
      </c>
      <c r="C5961" t="s">
        <v>36</v>
      </c>
      <c r="D5961" s="2">
        <v>43525</v>
      </c>
      <c r="E5961" t="s">
        <v>16</v>
      </c>
      <c r="F5961">
        <v>165.3</v>
      </c>
      <c r="G5961" t="str">
        <f>VLOOKUP(Table1_2[[#This Row],[Categories]],Sheet3!$A$1:$B$27,2,FALSE)</f>
        <v>Recreation and amusement</v>
      </c>
    </row>
    <row r="5962" spans="1:7" x14ac:dyDescent="0.3">
      <c r="A5962" t="s">
        <v>33</v>
      </c>
      <c r="B5962">
        <v>2019</v>
      </c>
      <c r="C5962" t="s">
        <v>36</v>
      </c>
      <c r="D5962" s="2">
        <v>43525</v>
      </c>
      <c r="E5962" t="s">
        <v>17</v>
      </c>
      <c r="F5962">
        <v>143.5</v>
      </c>
      <c r="G5962" t="str">
        <f>VLOOKUP(Table1_2[[#This Row],[Categories]],Sheet3!$A$1:$B$27,2,FALSE)</f>
        <v>Clothing and footwear</v>
      </c>
    </row>
    <row r="5963" spans="1:7" x14ac:dyDescent="0.3">
      <c r="A5963" t="s">
        <v>33</v>
      </c>
      <c r="B5963">
        <v>2019</v>
      </c>
      <c r="C5963" t="s">
        <v>36</v>
      </c>
      <c r="D5963" s="2">
        <v>43525</v>
      </c>
      <c r="E5963" t="s">
        <v>18</v>
      </c>
      <c r="F5963">
        <v>131.19999999999999</v>
      </c>
      <c r="G5963" t="str">
        <f>VLOOKUP(Table1_2[[#This Row],[Categories]],Sheet3!$A$1:$B$27,2,FALSE)</f>
        <v>Clothing and footwear</v>
      </c>
    </row>
    <row r="5964" spans="1:7" x14ac:dyDescent="0.3">
      <c r="A5964" t="s">
        <v>33</v>
      </c>
      <c r="B5964">
        <v>2019</v>
      </c>
      <c r="C5964" t="s">
        <v>36</v>
      </c>
      <c r="D5964" s="2">
        <v>43525</v>
      </c>
      <c r="E5964" t="s">
        <v>19</v>
      </c>
      <c r="F5964">
        <v>141.6</v>
      </c>
      <c r="G5964" t="str">
        <f>VLOOKUP(Table1_2[[#This Row],[Categories]],Sheet3!$A$1:$B$27,2,FALSE)</f>
        <v>Clothing and footwear</v>
      </c>
    </row>
    <row r="5965" spans="1:7" x14ac:dyDescent="0.3">
      <c r="A5965" t="s">
        <v>33</v>
      </c>
      <c r="B5965">
        <v>2019</v>
      </c>
      <c r="C5965" t="s">
        <v>36</v>
      </c>
      <c r="D5965" s="2">
        <v>43525</v>
      </c>
      <c r="E5965" t="s">
        <v>20</v>
      </c>
      <c r="F5965">
        <v>149</v>
      </c>
      <c r="G5965" t="str">
        <f>VLOOKUP(Table1_2[[#This Row],[Categories]],Sheet3!$A$1:$B$27,2,FALSE)</f>
        <v>Housing</v>
      </c>
    </row>
    <row r="5966" spans="1:7" x14ac:dyDescent="0.3">
      <c r="A5966" t="s">
        <v>33</v>
      </c>
      <c r="B5966">
        <v>2019</v>
      </c>
      <c r="C5966" t="s">
        <v>36</v>
      </c>
      <c r="D5966" s="2">
        <v>43525</v>
      </c>
      <c r="E5966" t="s">
        <v>21</v>
      </c>
      <c r="F5966">
        <v>128.80000000000001</v>
      </c>
      <c r="G5966" t="str">
        <f>VLOOKUP(Table1_2[[#This Row],[Categories]],Sheet3!$A$1:$B$27,2,FALSE)</f>
        <v>Fuel and light</v>
      </c>
    </row>
    <row r="5967" spans="1:7" x14ac:dyDescent="0.3">
      <c r="A5967" t="s">
        <v>33</v>
      </c>
      <c r="B5967">
        <v>2019</v>
      </c>
      <c r="C5967" t="s">
        <v>36</v>
      </c>
      <c r="D5967" s="2">
        <v>43525</v>
      </c>
      <c r="E5967" t="s">
        <v>22</v>
      </c>
      <c r="F5967">
        <v>136.80000000000001</v>
      </c>
      <c r="G5967" t="str">
        <f>VLOOKUP(Table1_2[[#This Row],[Categories]],Sheet3!$A$1:$B$27,2,FALSE)</f>
        <v>Household Items</v>
      </c>
    </row>
    <row r="5968" spans="1:7" x14ac:dyDescent="0.3">
      <c r="A5968" t="s">
        <v>33</v>
      </c>
      <c r="B5968">
        <v>2019</v>
      </c>
      <c r="C5968" t="s">
        <v>36</v>
      </c>
      <c r="D5968" s="2">
        <v>43525</v>
      </c>
      <c r="E5968" t="s">
        <v>23</v>
      </c>
      <c r="F5968">
        <v>139.19999999999999</v>
      </c>
      <c r="G5968" t="str">
        <f>VLOOKUP(Table1_2[[#This Row],[Categories]],Sheet3!$A$1:$B$27,2,FALSE)</f>
        <v>Health</v>
      </c>
    </row>
    <row r="5969" spans="1:7" x14ac:dyDescent="0.3">
      <c r="A5969" t="s">
        <v>33</v>
      </c>
      <c r="B5969">
        <v>2019</v>
      </c>
      <c r="C5969" t="s">
        <v>36</v>
      </c>
      <c r="D5969" s="2">
        <v>43525</v>
      </c>
      <c r="E5969" t="s">
        <v>24</v>
      </c>
      <c r="F5969">
        <v>119.9</v>
      </c>
      <c r="G5969" t="str">
        <f>VLOOKUP(Table1_2[[#This Row],[Categories]],Sheet3!$A$1:$B$27,2,FALSE)</f>
        <v>Transport and communication</v>
      </c>
    </row>
    <row r="5970" spans="1:7" x14ac:dyDescent="0.3">
      <c r="A5970" t="s">
        <v>33</v>
      </c>
      <c r="B5970">
        <v>2019</v>
      </c>
      <c r="C5970" t="s">
        <v>36</v>
      </c>
      <c r="D5970" s="2">
        <v>43525</v>
      </c>
      <c r="E5970" t="s">
        <v>25</v>
      </c>
      <c r="F5970">
        <v>133</v>
      </c>
      <c r="G5970" t="str">
        <f>VLOOKUP(Table1_2[[#This Row],[Categories]],Sheet3!$A$1:$B$27,2,FALSE)</f>
        <v>Recreation and amusement</v>
      </c>
    </row>
    <row r="5971" spans="1:7" x14ac:dyDescent="0.3">
      <c r="A5971" t="s">
        <v>33</v>
      </c>
      <c r="B5971">
        <v>2019</v>
      </c>
      <c r="C5971" t="s">
        <v>36</v>
      </c>
      <c r="D5971" s="2">
        <v>43525</v>
      </c>
      <c r="E5971" t="s">
        <v>26</v>
      </c>
      <c r="F5971">
        <v>146.69999999999999</v>
      </c>
      <c r="G5971" t="str">
        <f>VLOOKUP(Table1_2[[#This Row],[Categories]],Sheet3!$A$1:$B$27,2,FALSE)</f>
        <v>Education</v>
      </c>
    </row>
    <row r="5972" spans="1:7" x14ac:dyDescent="0.3">
      <c r="A5972" t="s">
        <v>33</v>
      </c>
      <c r="B5972">
        <v>2019</v>
      </c>
      <c r="C5972" t="s">
        <v>36</v>
      </c>
      <c r="D5972" s="2">
        <v>43525</v>
      </c>
      <c r="E5972" t="s">
        <v>27</v>
      </c>
      <c r="F5972">
        <v>132.5</v>
      </c>
      <c r="G5972" t="str">
        <f>VLOOKUP(Table1_2[[#This Row],[Categories]],Sheet3!$A$1:$B$27,2,FALSE)</f>
        <v>Household Items</v>
      </c>
    </row>
    <row r="5973" spans="1:7" x14ac:dyDescent="0.3">
      <c r="A5973" t="s">
        <v>33</v>
      </c>
      <c r="B5973">
        <v>2019</v>
      </c>
      <c r="C5973" t="s">
        <v>36</v>
      </c>
      <c r="D5973" s="2">
        <v>43525</v>
      </c>
      <c r="E5973" t="s">
        <v>28</v>
      </c>
      <c r="F5973">
        <v>132.80000000000001</v>
      </c>
      <c r="G5973" t="str">
        <f>VLOOKUP(Table1_2[[#This Row],[Categories]],Sheet3!$A$1:$B$27,2,FALSE)</f>
        <v>Miscellaneous</v>
      </c>
    </row>
    <row r="5974" spans="1:7" x14ac:dyDescent="0.3">
      <c r="A5974" t="s">
        <v>33</v>
      </c>
      <c r="B5974">
        <v>2019</v>
      </c>
      <c r="C5974" t="s">
        <v>36</v>
      </c>
      <c r="D5974" s="2">
        <v>43525</v>
      </c>
      <c r="E5974" t="s">
        <v>29</v>
      </c>
      <c r="F5974">
        <v>139.5</v>
      </c>
      <c r="G5974" t="str">
        <f>VLOOKUP(Table1_2[[#This Row],[Categories]],Sheet3!$A$1:$B$27,2,FALSE)</f>
        <v>General index</v>
      </c>
    </row>
    <row r="5975" spans="1:7" x14ac:dyDescent="0.3">
      <c r="A5975" t="s">
        <v>34</v>
      </c>
      <c r="B5975">
        <v>2019</v>
      </c>
      <c r="C5975" t="s">
        <v>36</v>
      </c>
      <c r="D5975" s="2">
        <v>43525</v>
      </c>
      <c r="E5975" t="s">
        <v>3</v>
      </c>
      <c r="F5975">
        <v>137.80000000000001</v>
      </c>
      <c r="G5975" t="str">
        <f>VLOOKUP(Table1_2[[#This Row],[Categories]],Sheet3!$A$1:$B$27,2,FALSE)</f>
        <v>Food &amp;Beverage</v>
      </c>
    </row>
    <row r="5976" spans="1:7" x14ac:dyDescent="0.3">
      <c r="A5976" t="s">
        <v>34</v>
      </c>
      <c r="B5976">
        <v>2019</v>
      </c>
      <c r="C5976" t="s">
        <v>36</v>
      </c>
      <c r="D5976" s="2">
        <v>43525</v>
      </c>
      <c r="E5976" t="s">
        <v>4</v>
      </c>
      <c r="F5976">
        <v>153</v>
      </c>
      <c r="G5976" t="str">
        <f>VLOOKUP(Table1_2[[#This Row],[Categories]],Sheet3!$A$1:$B$27,2,FALSE)</f>
        <v>Food &amp;Beverage</v>
      </c>
    </row>
    <row r="5977" spans="1:7" x14ac:dyDescent="0.3">
      <c r="A5977" t="s">
        <v>34</v>
      </c>
      <c r="B5977">
        <v>2019</v>
      </c>
      <c r="C5977" t="s">
        <v>36</v>
      </c>
      <c r="D5977" s="2">
        <v>43525</v>
      </c>
      <c r="E5977" t="s">
        <v>5</v>
      </c>
      <c r="F5977">
        <v>140.30000000000001</v>
      </c>
      <c r="G5977" t="str">
        <f>VLOOKUP(Table1_2[[#This Row],[Categories]],Sheet3!$A$1:$B$27,2,FALSE)</f>
        <v>Food &amp;Beverage</v>
      </c>
    </row>
    <row r="5978" spans="1:7" x14ac:dyDescent="0.3">
      <c r="A5978" t="s">
        <v>34</v>
      </c>
      <c r="B5978">
        <v>2019</v>
      </c>
      <c r="C5978" t="s">
        <v>36</v>
      </c>
      <c r="D5978" s="2">
        <v>43525</v>
      </c>
      <c r="E5978" t="s">
        <v>6</v>
      </c>
      <c r="F5978">
        <v>142.30000000000001</v>
      </c>
      <c r="G5978" t="str">
        <f>VLOOKUP(Table1_2[[#This Row],[Categories]],Sheet3!$A$1:$B$27,2,FALSE)</f>
        <v>Food &amp;Beverage</v>
      </c>
    </row>
    <row r="5979" spans="1:7" x14ac:dyDescent="0.3">
      <c r="A5979" t="s">
        <v>34</v>
      </c>
      <c r="B5979">
        <v>2019</v>
      </c>
      <c r="C5979" t="s">
        <v>36</v>
      </c>
      <c r="D5979" s="2">
        <v>43525</v>
      </c>
      <c r="E5979" t="s">
        <v>7</v>
      </c>
      <c r="F5979">
        <v>122</v>
      </c>
      <c r="G5979" t="str">
        <f>VLOOKUP(Table1_2[[#This Row],[Categories]],Sheet3!$A$1:$B$27,2,FALSE)</f>
        <v>Food &amp;Beverage</v>
      </c>
    </row>
    <row r="5980" spans="1:7" x14ac:dyDescent="0.3">
      <c r="A5980" t="s">
        <v>34</v>
      </c>
      <c r="B5980">
        <v>2019</v>
      </c>
      <c r="C5980" t="s">
        <v>36</v>
      </c>
      <c r="D5980" s="2">
        <v>43525</v>
      </c>
      <c r="E5980" t="s">
        <v>8</v>
      </c>
      <c r="F5980">
        <v>137.6</v>
      </c>
      <c r="G5980" t="str">
        <f>VLOOKUP(Table1_2[[#This Row],[Categories]],Sheet3!$A$1:$B$27,2,FALSE)</f>
        <v>Food &amp;Beverage</v>
      </c>
    </row>
    <row r="5981" spans="1:7" x14ac:dyDescent="0.3">
      <c r="A5981" t="s">
        <v>34</v>
      </c>
      <c r="B5981">
        <v>2019</v>
      </c>
      <c r="C5981" t="s">
        <v>36</v>
      </c>
      <c r="D5981" s="2">
        <v>43525</v>
      </c>
      <c r="E5981" t="s">
        <v>9</v>
      </c>
      <c r="F5981">
        <v>132.6</v>
      </c>
      <c r="G5981" t="str">
        <f>VLOOKUP(Table1_2[[#This Row],[Categories]],Sheet3!$A$1:$B$27,2,FALSE)</f>
        <v>Food &amp;Beverage</v>
      </c>
    </row>
    <row r="5982" spans="1:7" x14ac:dyDescent="0.3">
      <c r="A5982" t="s">
        <v>34</v>
      </c>
      <c r="B5982">
        <v>2019</v>
      </c>
      <c r="C5982" t="s">
        <v>36</v>
      </c>
      <c r="D5982" s="2">
        <v>43525</v>
      </c>
      <c r="E5982" t="s">
        <v>10</v>
      </c>
      <c r="F5982">
        <v>121.8</v>
      </c>
      <c r="G5982" t="str">
        <f>VLOOKUP(Table1_2[[#This Row],[Categories]],Sheet3!$A$1:$B$27,2,FALSE)</f>
        <v>Food &amp;Beverage</v>
      </c>
    </row>
    <row r="5983" spans="1:7" x14ac:dyDescent="0.3">
      <c r="A5983" t="s">
        <v>34</v>
      </c>
      <c r="B5983">
        <v>2019</v>
      </c>
      <c r="C5983" t="s">
        <v>36</v>
      </c>
      <c r="D5983" s="2">
        <v>43525</v>
      </c>
      <c r="E5983" t="s">
        <v>11</v>
      </c>
      <c r="F5983">
        <v>109</v>
      </c>
      <c r="G5983" t="str">
        <f>VLOOKUP(Table1_2[[#This Row],[Categories]],Sheet3!$A$1:$B$27,2,FALSE)</f>
        <v>Food &amp;Beverage</v>
      </c>
    </row>
    <row r="5984" spans="1:7" x14ac:dyDescent="0.3">
      <c r="A5984" t="s">
        <v>34</v>
      </c>
      <c r="B5984">
        <v>2019</v>
      </c>
      <c r="C5984" t="s">
        <v>36</v>
      </c>
      <c r="D5984" s="2">
        <v>43525</v>
      </c>
      <c r="E5984" t="s">
        <v>12</v>
      </c>
      <c r="F5984">
        <v>139.5</v>
      </c>
      <c r="G5984" t="str">
        <f>VLOOKUP(Table1_2[[#This Row],[Categories]],Sheet3!$A$1:$B$27,2,FALSE)</f>
        <v>Food &amp;Beverage</v>
      </c>
    </row>
    <row r="5985" spans="1:7" x14ac:dyDescent="0.3">
      <c r="A5985" t="s">
        <v>34</v>
      </c>
      <c r="B5985">
        <v>2019</v>
      </c>
      <c r="C5985" t="s">
        <v>36</v>
      </c>
      <c r="D5985" s="2">
        <v>43525</v>
      </c>
      <c r="E5985" t="s">
        <v>13</v>
      </c>
      <c r="F5985">
        <v>133.69999999999999</v>
      </c>
      <c r="G5985" t="str">
        <f>VLOOKUP(Table1_2[[#This Row],[Categories]],Sheet3!$A$1:$B$27,2,FALSE)</f>
        <v>Food &amp;Beverage</v>
      </c>
    </row>
    <row r="5986" spans="1:7" x14ac:dyDescent="0.3">
      <c r="A5986" t="s">
        <v>34</v>
      </c>
      <c r="B5986">
        <v>2019</v>
      </c>
      <c r="C5986" t="s">
        <v>36</v>
      </c>
      <c r="D5986" s="2">
        <v>43525</v>
      </c>
      <c r="E5986" t="s">
        <v>14</v>
      </c>
      <c r="F5986">
        <v>155.19999999999999</v>
      </c>
      <c r="G5986" t="str">
        <f>VLOOKUP(Table1_2[[#This Row],[Categories]],Sheet3!$A$1:$B$27,2,FALSE)</f>
        <v>Food &amp;Beverage</v>
      </c>
    </row>
    <row r="5987" spans="1:7" x14ac:dyDescent="0.3">
      <c r="A5987" t="s">
        <v>34</v>
      </c>
      <c r="B5987">
        <v>2019</v>
      </c>
      <c r="C5987" t="s">
        <v>36</v>
      </c>
      <c r="D5987" s="2">
        <v>43525</v>
      </c>
      <c r="E5987" t="s">
        <v>15</v>
      </c>
      <c r="F5987">
        <v>138.1</v>
      </c>
      <c r="G5987" t="str">
        <f>VLOOKUP(Table1_2[[#This Row],[Categories]],Sheet3!$A$1:$B$27,2,FALSE)</f>
        <v>Food &amp;Beverage</v>
      </c>
    </row>
    <row r="5988" spans="1:7" x14ac:dyDescent="0.3">
      <c r="A5988" t="s">
        <v>34</v>
      </c>
      <c r="B5988">
        <v>2019</v>
      </c>
      <c r="C5988" t="s">
        <v>36</v>
      </c>
      <c r="D5988" s="2">
        <v>43525</v>
      </c>
      <c r="E5988" t="s">
        <v>16</v>
      </c>
      <c r="F5988">
        <v>163.5</v>
      </c>
      <c r="G5988" t="str">
        <f>VLOOKUP(Table1_2[[#This Row],[Categories]],Sheet3!$A$1:$B$27,2,FALSE)</f>
        <v>Recreation and amusement</v>
      </c>
    </row>
    <row r="5989" spans="1:7" x14ac:dyDescent="0.3">
      <c r="A5989" t="s">
        <v>34</v>
      </c>
      <c r="B5989">
        <v>2019</v>
      </c>
      <c r="C5989" t="s">
        <v>36</v>
      </c>
      <c r="D5989" s="2">
        <v>43525</v>
      </c>
      <c r="E5989" t="s">
        <v>17</v>
      </c>
      <c r="F5989">
        <v>147.9</v>
      </c>
      <c r="G5989" t="str">
        <f>VLOOKUP(Table1_2[[#This Row],[Categories]],Sheet3!$A$1:$B$27,2,FALSE)</f>
        <v>Clothing and footwear</v>
      </c>
    </row>
    <row r="5990" spans="1:7" x14ac:dyDescent="0.3">
      <c r="A5990" t="s">
        <v>34</v>
      </c>
      <c r="B5990">
        <v>2019</v>
      </c>
      <c r="C5990" t="s">
        <v>36</v>
      </c>
      <c r="D5990" s="2">
        <v>43525</v>
      </c>
      <c r="E5990" t="s">
        <v>18</v>
      </c>
      <c r="F5990">
        <v>139.9</v>
      </c>
      <c r="G5990" t="str">
        <f>VLOOKUP(Table1_2[[#This Row],[Categories]],Sheet3!$A$1:$B$27,2,FALSE)</f>
        <v>Clothing and footwear</v>
      </c>
    </row>
    <row r="5991" spans="1:7" x14ac:dyDescent="0.3">
      <c r="A5991" t="s">
        <v>34</v>
      </c>
      <c r="B5991">
        <v>2019</v>
      </c>
      <c r="C5991" t="s">
        <v>36</v>
      </c>
      <c r="D5991" s="2">
        <v>43525</v>
      </c>
      <c r="E5991" t="s">
        <v>19</v>
      </c>
      <c r="F5991">
        <v>146.69999999999999</v>
      </c>
      <c r="G5991" t="str">
        <f>VLOOKUP(Table1_2[[#This Row],[Categories]],Sheet3!$A$1:$B$27,2,FALSE)</f>
        <v>Clothing and footwear</v>
      </c>
    </row>
    <row r="5992" spans="1:7" x14ac:dyDescent="0.3">
      <c r="A5992" t="s">
        <v>34</v>
      </c>
      <c r="B5992">
        <v>2019</v>
      </c>
      <c r="C5992" t="s">
        <v>36</v>
      </c>
      <c r="D5992" s="2">
        <v>43525</v>
      </c>
      <c r="E5992" t="s">
        <v>20</v>
      </c>
      <c r="F5992">
        <v>149</v>
      </c>
      <c r="G5992" t="str">
        <f>VLOOKUP(Table1_2[[#This Row],[Categories]],Sheet3!$A$1:$B$27,2,FALSE)</f>
        <v>Housing</v>
      </c>
    </row>
    <row r="5993" spans="1:7" x14ac:dyDescent="0.3">
      <c r="A5993" t="s">
        <v>34</v>
      </c>
      <c r="B5993">
        <v>2019</v>
      </c>
      <c r="C5993" t="s">
        <v>36</v>
      </c>
      <c r="D5993" s="2">
        <v>43525</v>
      </c>
      <c r="E5993" t="s">
        <v>21</v>
      </c>
      <c r="F5993">
        <v>139.69999999999999</v>
      </c>
      <c r="G5993" t="str">
        <f>VLOOKUP(Table1_2[[#This Row],[Categories]],Sheet3!$A$1:$B$27,2,FALSE)</f>
        <v>Fuel and light</v>
      </c>
    </row>
    <row r="5994" spans="1:7" x14ac:dyDescent="0.3">
      <c r="A5994" t="s">
        <v>34</v>
      </c>
      <c r="B5994">
        <v>2019</v>
      </c>
      <c r="C5994" t="s">
        <v>36</v>
      </c>
      <c r="D5994" s="2">
        <v>43525</v>
      </c>
      <c r="E5994" t="s">
        <v>22</v>
      </c>
      <c r="F5994">
        <v>143.80000000000001</v>
      </c>
      <c r="G5994" t="str">
        <f>VLOOKUP(Table1_2[[#This Row],[Categories]],Sheet3!$A$1:$B$27,2,FALSE)</f>
        <v>Household Items</v>
      </c>
    </row>
    <row r="5995" spans="1:7" x14ac:dyDescent="0.3">
      <c r="A5995" t="s">
        <v>34</v>
      </c>
      <c r="B5995">
        <v>2019</v>
      </c>
      <c r="C5995" t="s">
        <v>36</v>
      </c>
      <c r="D5995" s="2">
        <v>43525</v>
      </c>
      <c r="E5995" t="s">
        <v>23</v>
      </c>
      <c r="F5995">
        <v>146.19999999999999</v>
      </c>
      <c r="G5995" t="str">
        <f>VLOOKUP(Table1_2[[#This Row],[Categories]],Sheet3!$A$1:$B$27,2,FALSE)</f>
        <v>Health</v>
      </c>
    </row>
    <row r="5996" spans="1:7" x14ac:dyDescent="0.3">
      <c r="A5996" t="s">
        <v>34</v>
      </c>
      <c r="B5996">
        <v>2019</v>
      </c>
      <c r="C5996" t="s">
        <v>36</v>
      </c>
      <c r="D5996" s="2">
        <v>43525</v>
      </c>
      <c r="E5996" t="s">
        <v>24</v>
      </c>
      <c r="F5996">
        <v>124.6</v>
      </c>
      <c r="G5996" t="str">
        <f>VLOOKUP(Table1_2[[#This Row],[Categories]],Sheet3!$A$1:$B$27,2,FALSE)</f>
        <v>Transport and communication</v>
      </c>
    </row>
    <row r="5997" spans="1:7" x14ac:dyDescent="0.3">
      <c r="A5997" t="s">
        <v>34</v>
      </c>
      <c r="B5997">
        <v>2019</v>
      </c>
      <c r="C5997" t="s">
        <v>36</v>
      </c>
      <c r="D5997" s="2">
        <v>43525</v>
      </c>
      <c r="E5997" t="s">
        <v>25</v>
      </c>
      <c r="F5997">
        <v>137.69999999999999</v>
      </c>
      <c r="G5997" t="str">
        <f>VLOOKUP(Table1_2[[#This Row],[Categories]],Sheet3!$A$1:$B$27,2,FALSE)</f>
        <v>Recreation and amusement</v>
      </c>
    </row>
    <row r="5998" spans="1:7" x14ac:dyDescent="0.3">
      <c r="A5998" t="s">
        <v>34</v>
      </c>
      <c r="B5998">
        <v>2019</v>
      </c>
      <c r="C5998" t="s">
        <v>36</v>
      </c>
      <c r="D5998" s="2">
        <v>43525</v>
      </c>
      <c r="E5998" t="s">
        <v>26</v>
      </c>
      <c r="F5998">
        <v>150.30000000000001</v>
      </c>
      <c r="G5998" t="str">
        <f>VLOOKUP(Table1_2[[#This Row],[Categories]],Sheet3!$A$1:$B$27,2,FALSE)</f>
        <v>Education</v>
      </c>
    </row>
    <row r="5999" spans="1:7" x14ac:dyDescent="0.3">
      <c r="A5999" t="s">
        <v>34</v>
      </c>
      <c r="B5999">
        <v>2019</v>
      </c>
      <c r="C5999" t="s">
        <v>36</v>
      </c>
      <c r="D5999" s="2">
        <v>43525</v>
      </c>
      <c r="E5999" t="s">
        <v>27</v>
      </c>
      <c r="F5999">
        <v>133.4</v>
      </c>
      <c r="G5999" t="str">
        <f>VLOOKUP(Table1_2[[#This Row],[Categories]],Sheet3!$A$1:$B$27,2,FALSE)</f>
        <v>Household Items</v>
      </c>
    </row>
    <row r="6000" spans="1:7" x14ac:dyDescent="0.3">
      <c r="A6000" t="s">
        <v>34</v>
      </c>
      <c r="B6000">
        <v>2019</v>
      </c>
      <c r="C6000" t="s">
        <v>36</v>
      </c>
      <c r="D6000" s="2">
        <v>43525</v>
      </c>
      <c r="E6000" t="s">
        <v>28</v>
      </c>
      <c r="F6000">
        <v>137.69999999999999</v>
      </c>
      <c r="G6000" t="str">
        <f>VLOOKUP(Table1_2[[#This Row],[Categories]],Sheet3!$A$1:$B$27,2,FALSE)</f>
        <v>Miscellaneous</v>
      </c>
    </row>
    <row r="6001" spans="1:7" x14ac:dyDescent="0.3">
      <c r="A6001" t="s">
        <v>34</v>
      </c>
      <c r="B6001">
        <v>2019</v>
      </c>
      <c r="C6001" t="s">
        <v>36</v>
      </c>
      <c r="D6001" s="2">
        <v>43525</v>
      </c>
      <c r="E6001" t="s">
        <v>29</v>
      </c>
      <c r="F6001">
        <v>140.4</v>
      </c>
      <c r="G6001" t="str">
        <f>VLOOKUP(Table1_2[[#This Row],[Categories]],Sheet3!$A$1:$B$27,2,FALSE)</f>
        <v>General index</v>
      </c>
    </row>
    <row r="6002" spans="1:7" x14ac:dyDescent="0.3">
      <c r="A6002" t="s">
        <v>30</v>
      </c>
      <c r="B6002">
        <v>2019</v>
      </c>
      <c r="C6002" t="s">
        <v>38</v>
      </c>
      <c r="D6002" s="2">
        <v>43586</v>
      </c>
      <c r="E6002" t="s">
        <v>3</v>
      </c>
      <c r="F6002">
        <v>137.4</v>
      </c>
      <c r="G6002" t="str">
        <f>VLOOKUP(Table1_2[[#This Row],[Categories]],Sheet3!$A$1:$B$27,2,FALSE)</f>
        <v>Food &amp;Beverage</v>
      </c>
    </row>
    <row r="6003" spans="1:7" x14ac:dyDescent="0.3">
      <c r="A6003" t="s">
        <v>30</v>
      </c>
      <c r="B6003">
        <v>2019</v>
      </c>
      <c r="C6003" t="s">
        <v>38</v>
      </c>
      <c r="D6003" s="2">
        <v>43586</v>
      </c>
      <c r="E6003" t="s">
        <v>4</v>
      </c>
      <c r="F6003">
        <v>159.5</v>
      </c>
      <c r="G6003" t="str">
        <f>VLOOKUP(Table1_2[[#This Row],[Categories]],Sheet3!$A$1:$B$27,2,FALSE)</f>
        <v>Food &amp;Beverage</v>
      </c>
    </row>
    <row r="6004" spans="1:7" x14ac:dyDescent="0.3">
      <c r="A6004" t="s">
        <v>30</v>
      </c>
      <c r="B6004">
        <v>2019</v>
      </c>
      <c r="C6004" t="s">
        <v>38</v>
      </c>
      <c r="D6004" s="2">
        <v>43586</v>
      </c>
      <c r="E6004" t="s">
        <v>5</v>
      </c>
      <c r="F6004">
        <v>134.5</v>
      </c>
      <c r="G6004" t="str">
        <f>VLOOKUP(Table1_2[[#This Row],[Categories]],Sheet3!$A$1:$B$27,2,FALSE)</f>
        <v>Food &amp;Beverage</v>
      </c>
    </row>
    <row r="6005" spans="1:7" x14ac:dyDescent="0.3">
      <c r="A6005" t="s">
        <v>30</v>
      </c>
      <c r="B6005">
        <v>2019</v>
      </c>
      <c r="C6005" t="s">
        <v>38</v>
      </c>
      <c r="D6005" s="2">
        <v>43586</v>
      </c>
      <c r="E6005" t="s">
        <v>6</v>
      </c>
      <c r="F6005">
        <v>142.6</v>
      </c>
      <c r="G6005" t="str">
        <f>VLOOKUP(Table1_2[[#This Row],[Categories]],Sheet3!$A$1:$B$27,2,FALSE)</f>
        <v>Food &amp;Beverage</v>
      </c>
    </row>
    <row r="6006" spans="1:7" x14ac:dyDescent="0.3">
      <c r="A6006" t="s">
        <v>30</v>
      </c>
      <c r="B6006">
        <v>2019</v>
      </c>
      <c r="C6006" t="s">
        <v>38</v>
      </c>
      <c r="D6006" s="2">
        <v>43586</v>
      </c>
      <c r="E6006" t="s">
        <v>7</v>
      </c>
      <c r="F6006">
        <v>124</v>
      </c>
      <c r="G6006" t="str">
        <f>VLOOKUP(Table1_2[[#This Row],[Categories]],Sheet3!$A$1:$B$27,2,FALSE)</f>
        <v>Food &amp;Beverage</v>
      </c>
    </row>
    <row r="6007" spans="1:7" x14ac:dyDescent="0.3">
      <c r="A6007" t="s">
        <v>30</v>
      </c>
      <c r="B6007">
        <v>2019</v>
      </c>
      <c r="C6007" t="s">
        <v>38</v>
      </c>
      <c r="D6007" s="2">
        <v>43586</v>
      </c>
      <c r="E6007" t="s">
        <v>8</v>
      </c>
      <c r="F6007">
        <v>143.69999999999999</v>
      </c>
      <c r="G6007" t="str">
        <f>VLOOKUP(Table1_2[[#This Row],[Categories]],Sheet3!$A$1:$B$27,2,FALSE)</f>
        <v>Food &amp;Beverage</v>
      </c>
    </row>
    <row r="6008" spans="1:7" x14ac:dyDescent="0.3">
      <c r="A6008" t="s">
        <v>30</v>
      </c>
      <c r="B6008">
        <v>2019</v>
      </c>
      <c r="C6008" t="s">
        <v>38</v>
      </c>
      <c r="D6008" s="2">
        <v>43586</v>
      </c>
      <c r="E6008" t="s">
        <v>9</v>
      </c>
      <c r="F6008">
        <v>133.4</v>
      </c>
      <c r="G6008" t="str">
        <f>VLOOKUP(Table1_2[[#This Row],[Categories]],Sheet3!$A$1:$B$27,2,FALSE)</f>
        <v>Food &amp;Beverage</v>
      </c>
    </row>
    <row r="6009" spans="1:7" x14ac:dyDescent="0.3">
      <c r="A6009" t="s">
        <v>30</v>
      </c>
      <c r="B6009">
        <v>2019</v>
      </c>
      <c r="C6009" t="s">
        <v>38</v>
      </c>
      <c r="D6009" s="2">
        <v>43586</v>
      </c>
      <c r="E6009" t="s">
        <v>10</v>
      </c>
      <c r="F6009">
        <v>125.1</v>
      </c>
      <c r="G6009" t="str">
        <f>VLOOKUP(Table1_2[[#This Row],[Categories]],Sheet3!$A$1:$B$27,2,FALSE)</f>
        <v>Food &amp;Beverage</v>
      </c>
    </row>
    <row r="6010" spans="1:7" x14ac:dyDescent="0.3">
      <c r="A6010" t="s">
        <v>30</v>
      </c>
      <c r="B6010">
        <v>2019</v>
      </c>
      <c r="C6010" t="s">
        <v>38</v>
      </c>
      <c r="D6010" s="2">
        <v>43586</v>
      </c>
      <c r="E6010" t="s">
        <v>11</v>
      </c>
      <c r="F6010">
        <v>109.3</v>
      </c>
      <c r="G6010" t="str">
        <f>VLOOKUP(Table1_2[[#This Row],[Categories]],Sheet3!$A$1:$B$27,2,FALSE)</f>
        <v>Food &amp;Beverage</v>
      </c>
    </row>
    <row r="6011" spans="1:7" x14ac:dyDescent="0.3">
      <c r="A6011" t="s">
        <v>30</v>
      </c>
      <c r="B6011">
        <v>2019</v>
      </c>
      <c r="C6011" t="s">
        <v>38</v>
      </c>
      <c r="D6011" s="2">
        <v>43586</v>
      </c>
      <c r="E6011" t="s">
        <v>12</v>
      </c>
      <c r="F6011">
        <v>139.30000000000001</v>
      </c>
      <c r="G6011" t="str">
        <f>VLOOKUP(Table1_2[[#This Row],[Categories]],Sheet3!$A$1:$B$27,2,FALSE)</f>
        <v>Food &amp;Beverage</v>
      </c>
    </row>
    <row r="6012" spans="1:7" x14ac:dyDescent="0.3">
      <c r="A6012" t="s">
        <v>30</v>
      </c>
      <c r="B6012">
        <v>2019</v>
      </c>
      <c r="C6012" t="s">
        <v>38</v>
      </c>
      <c r="D6012" s="2">
        <v>43586</v>
      </c>
      <c r="E6012" t="s">
        <v>13</v>
      </c>
      <c r="F6012">
        <v>137.69999999999999</v>
      </c>
      <c r="G6012" t="str">
        <f>VLOOKUP(Table1_2[[#This Row],[Categories]],Sheet3!$A$1:$B$27,2,FALSE)</f>
        <v>Food &amp;Beverage</v>
      </c>
    </row>
    <row r="6013" spans="1:7" x14ac:dyDescent="0.3">
      <c r="A6013" t="s">
        <v>30</v>
      </c>
      <c r="B6013">
        <v>2019</v>
      </c>
      <c r="C6013" t="s">
        <v>38</v>
      </c>
      <c r="D6013" s="2">
        <v>43586</v>
      </c>
      <c r="E6013" t="s">
        <v>14</v>
      </c>
      <c r="F6013">
        <v>156.4</v>
      </c>
      <c r="G6013" t="str">
        <f>VLOOKUP(Table1_2[[#This Row],[Categories]],Sheet3!$A$1:$B$27,2,FALSE)</f>
        <v>Food &amp;Beverage</v>
      </c>
    </row>
    <row r="6014" spans="1:7" x14ac:dyDescent="0.3">
      <c r="A6014" t="s">
        <v>30</v>
      </c>
      <c r="B6014">
        <v>2019</v>
      </c>
      <c r="C6014" t="s">
        <v>38</v>
      </c>
      <c r="D6014" s="2">
        <v>43586</v>
      </c>
      <c r="E6014" t="s">
        <v>15</v>
      </c>
      <c r="F6014">
        <v>139.19999999999999</v>
      </c>
      <c r="G6014" t="str">
        <f>VLOOKUP(Table1_2[[#This Row],[Categories]],Sheet3!$A$1:$B$27,2,FALSE)</f>
        <v>Food &amp;Beverage</v>
      </c>
    </row>
    <row r="6015" spans="1:7" x14ac:dyDescent="0.3">
      <c r="A6015" t="s">
        <v>30</v>
      </c>
      <c r="B6015">
        <v>2019</v>
      </c>
      <c r="C6015" t="s">
        <v>38</v>
      </c>
      <c r="D6015" s="2">
        <v>43586</v>
      </c>
      <c r="E6015" t="s">
        <v>16</v>
      </c>
      <c r="F6015">
        <v>163.30000000000001</v>
      </c>
      <c r="G6015" t="str">
        <f>VLOOKUP(Table1_2[[#This Row],[Categories]],Sheet3!$A$1:$B$27,2,FALSE)</f>
        <v>Recreation and amusement</v>
      </c>
    </row>
    <row r="6016" spans="1:7" x14ac:dyDescent="0.3">
      <c r="A6016" t="s">
        <v>30</v>
      </c>
      <c r="B6016">
        <v>2019</v>
      </c>
      <c r="C6016" t="s">
        <v>38</v>
      </c>
      <c r="D6016" s="2">
        <v>43586</v>
      </c>
      <c r="E6016" t="s">
        <v>17</v>
      </c>
      <c r="F6016">
        <v>151.30000000000001</v>
      </c>
      <c r="G6016" t="str">
        <f>VLOOKUP(Table1_2[[#This Row],[Categories]],Sheet3!$A$1:$B$27,2,FALSE)</f>
        <v>Clothing and footwear</v>
      </c>
    </row>
    <row r="6017" spans="1:7" x14ac:dyDescent="0.3">
      <c r="A6017" t="s">
        <v>30</v>
      </c>
      <c r="B6017">
        <v>2019</v>
      </c>
      <c r="C6017" t="s">
        <v>38</v>
      </c>
      <c r="D6017" s="2">
        <v>43586</v>
      </c>
      <c r="E6017" t="s">
        <v>18</v>
      </c>
      <c r="F6017">
        <v>146.6</v>
      </c>
      <c r="G6017" t="str">
        <f>VLOOKUP(Table1_2[[#This Row],[Categories]],Sheet3!$A$1:$B$27,2,FALSE)</f>
        <v>Clothing and footwear</v>
      </c>
    </row>
    <row r="6018" spans="1:7" x14ac:dyDescent="0.3">
      <c r="A6018" t="s">
        <v>30</v>
      </c>
      <c r="B6018">
        <v>2019</v>
      </c>
      <c r="C6018" t="s">
        <v>38</v>
      </c>
      <c r="D6018" s="2">
        <v>43586</v>
      </c>
      <c r="E6018" t="s">
        <v>19</v>
      </c>
      <c r="F6018">
        <v>150.69999999999999</v>
      </c>
      <c r="G6018" t="str">
        <f>VLOOKUP(Table1_2[[#This Row],[Categories]],Sheet3!$A$1:$B$27,2,FALSE)</f>
        <v>Clothing and footwear</v>
      </c>
    </row>
    <row r="6019" spans="1:7" x14ac:dyDescent="0.3">
      <c r="A6019" t="s">
        <v>30</v>
      </c>
      <c r="B6019">
        <v>2019</v>
      </c>
      <c r="C6019" t="s">
        <v>38</v>
      </c>
      <c r="D6019" s="2">
        <v>43586</v>
      </c>
      <c r="E6019" t="s">
        <v>21</v>
      </c>
      <c r="F6019">
        <v>146.9</v>
      </c>
      <c r="G6019" t="str">
        <f>VLOOKUP(Table1_2[[#This Row],[Categories]],Sheet3!$A$1:$B$27,2,FALSE)</f>
        <v>Fuel and light</v>
      </c>
    </row>
    <row r="6020" spans="1:7" x14ac:dyDescent="0.3">
      <c r="A6020" t="s">
        <v>30</v>
      </c>
      <c r="B6020">
        <v>2019</v>
      </c>
      <c r="C6020" t="s">
        <v>38</v>
      </c>
      <c r="D6020" s="2">
        <v>43586</v>
      </c>
      <c r="E6020" t="s">
        <v>22</v>
      </c>
      <c r="F6020">
        <v>149.5</v>
      </c>
      <c r="G6020" t="str">
        <f>VLOOKUP(Table1_2[[#This Row],[Categories]],Sheet3!$A$1:$B$27,2,FALSE)</f>
        <v>Household Items</v>
      </c>
    </row>
    <row r="6021" spans="1:7" x14ac:dyDescent="0.3">
      <c r="A6021" t="s">
        <v>30</v>
      </c>
      <c r="B6021">
        <v>2019</v>
      </c>
      <c r="C6021" t="s">
        <v>38</v>
      </c>
      <c r="D6021" s="2">
        <v>43586</v>
      </c>
      <c r="E6021" t="s">
        <v>23</v>
      </c>
      <c r="F6021">
        <v>151.30000000000001</v>
      </c>
      <c r="G6021" t="str">
        <f>VLOOKUP(Table1_2[[#This Row],[Categories]],Sheet3!$A$1:$B$27,2,FALSE)</f>
        <v>Health</v>
      </c>
    </row>
    <row r="6022" spans="1:7" x14ac:dyDescent="0.3">
      <c r="A6022" t="s">
        <v>30</v>
      </c>
      <c r="B6022">
        <v>2019</v>
      </c>
      <c r="C6022" t="s">
        <v>38</v>
      </c>
      <c r="D6022" s="2">
        <v>43586</v>
      </c>
      <c r="E6022" t="s">
        <v>24</v>
      </c>
      <c r="F6022">
        <v>130.19999999999999</v>
      </c>
      <c r="G6022" t="str">
        <f>VLOOKUP(Table1_2[[#This Row],[Categories]],Sheet3!$A$1:$B$27,2,FALSE)</f>
        <v>Transport and communication</v>
      </c>
    </row>
    <row r="6023" spans="1:7" x14ac:dyDescent="0.3">
      <c r="A6023" t="s">
        <v>30</v>
      </c>
      <c r="B6023">
        <v>2019</v>
      </c>
      <c r="C6023" t="s">
        <v>38</v>
      </c>
      <c r="D6023" s="2">
        <v>43586</v>
      </c>
      <c r="E6023" t="s">
        <v>25</v>
      </c>
      <c r="F6023">
        <v>145.9</v>
      </c>
      <c r="G6023" t="str">
        <f>VLOOKUP(Table1_2[[#This Row],[Categories]],Sheet3!$A$1:$B$27,2,FALSE)</f>
        <v>Recreation and amusement</v>
      </c>
    </row>
    <row r="6024" spans="1:7" x14ac:dyDescent="0.3">
      <c r="A6024" t="s">
        <v>30</v>
      </c>
      <c r="B6024">
        <v>2019</v>
      </c>
      <c r="C6024" t="s">
        <v>38</v>
      </c>
      <c r="D6024" s="2">
        <v>43586</v>
      </c>
      <c r="E6024" t="s">
        <v>26</v>
      </c>
      <c r="F6024">
        <v>156.69999999999999</v>
      </c>
      <c r="G6024" t="str">
        <f>VLOOKUP(Table1_2[[#This Row],[Categories]],Sheet3!$A$1:$B$27,2,FALSE)</f>
        <v>Education</v>
      </c>
    </row>
    <row r="6025" spans="1:7" x14ac:dyDescent="0.3">
      <c r="A6025" t="s">
        <v>30</v>
      </c>
      <c r="B6025">
        <v>2019</v>
      </c>
      <c r="C6025" t="s">
        <v>38</v>
      </c>
      <c r="D6025" s="2">
        <v>43586</v>
      </c>
      <c r="E6025" t="s">
        <v>27</v>
      </c>
      <c r="F6025">
        <v>133.9</v>
      </c>
      <c r="G6025" t="str">
        <f>VLOOKUP(Table1_2[[#This Row],[Categories]],Sheet3!$A$1:$B$27,2,FALSE)</f>
        <v>Household Items</v>
      </c>
    </row>
    <row r="6026" spans="1:7" x14ac:dyDescent="0.3">
      <c r="A6026" t="s">
        <v>30</v>
      </c>
      <c r="B6026">
        <v>2019</v>
      </c>
      <c r="C6026" t="s">
        <v>38</v>
      </c>
      <c r="D6026" s="2">
        <v>43586</v>
      </c>
      <c r="E6026" t="s">
        <v>28</v>
      </c>
      <c r="F6026">
        <v>142.9</v>
      </c>
      <c r="G6026" t="str">
        <f>VLOOKUP(Table1_2[[#This Row],[Categories]],Sheet3!$A$1:$B$27,2,FALSE)</f>
        <v>Miscellaneous</v>
      </c>
    </row>
    <row r="6027" spans="1:7" x14ac:dyDescent="0.3">
      <c r="A6027" t="s">
        <v>30</v>
      </c>
      <c r="B6027">
        <v>2019</v>
      </c>
      <c r="C6027" t="s">
        <v>38</v>
      </c>
      <c r="D6027" s="2">
        <v>43586</v>
      </c>
      <c r="E6027" t="s">
        <v>29</v>
      </c>
      <c r="F6027">
        <v>142.4</v>
      </c>
      <c r="G6027" t="str">
        <f>VLOOKUP(Table1_2[[#This Row],[Categories]],Sheet3!$A$1:$B$27,2,FALSE)</f>
        <v>General index</v>
      </c>
    </row>
    <row r="6028" spans="1:7" x14ac:dyDescent="0.3">
      <c r="A6028" t="s">
        <v>33</v>
      </c>
      <c r="B6028">
        <v>2019</v>
      </c>
      <c r="C6028" t="s">
        <v>38</v>
      </c>
      <c r="D6028" s="2">
        <v>43586</v>
      </c>
      <c r="E6028" t="s">
        <v>3</v>
      </c>
      <c r="F6028">
        <v>140.4</v>
      </c>
      <c r="G6028" t="str">
        <f>VLOOKUP(Table1_2[[#This Row],[Categories]],Sheet3!$A$1:$B$27,2,FALSE)</f>
        <v>Food &amp;Beverage</v>
      </c>
    </row>
    <row r="6029" spans="1:7" x14ac:dyDescent="0.3">
      <c r="A6029" t="s">
        <v>33</v>
      </c>
      <c r="B6029">
        <v>2019</v>
      </c>
      <c r="C6029" t="s">
        <v>38</v>
      </c>
      <c r="D6029" s="2">
        <v>43586</v>
      </c>
      <c r="E6029" t="s">
        <v>4</v>
      </c>
      <c r="F6029">
        <v>156.69999999999999</v>
      </c>
      <c r="G6029" t="str">
        <f>VLOOKUP(Table1_2[[#This Row],[Categories]],Sheet3!$A$1:$B$27,2,FALSE)</f>
        <v>Food &amp;Beverage</v>
      </c>
    </row>
    <row r="6030" spans="1:7" x14ac:dyDescent="0.3">
      <c r="A6030" t="s">
        <v>33</v>
      </c>
      <c r="B6030">
        <v>2019</v>
      </c>
      <c r="C6030" t="s">
        <v>38</v>
      </c>
      <c r="D6030" s="2">
        <v>43586</v>
      </c>
      <c r="E6030" t="s">
        <v>5</v>
      </c>
      <c r="F6030">
        <v>138.30000000000001</v>
      </c>
      <c r="G6030" t="str">
        <f>VLOOKUP(Table1_2[[#This Row],[Categories]],Sheet3!$A$1:$B$27,2,FALSE)</f>
        <v>Food &amp;Beverage</v>
      </c>
    </row>
    <row r="6031" spans="1:7" x14ac:dyDescent="0.3">
      <c r="A6031" t="s">
        <v>33</v>
      </c>
      <c r="B6031">
        <v>2019</v>
      </c>
      <c r="C6031" t="s">
        <v>38</v>
      </c>
      <c r="D6031" s="2">
        <v>43586</v>
      </c>
      <c r="E6031" t="s">
        <v>6</v>
      </c>
      <c r="F6031">
        <v>142.4</v>
      </c>
      <c r="G6031" t="str">
        <f>VLOOKUP(Table1_2[[#This Row],[Categories]],Sheet3!$A$1:$B$27,2,FALSE)</f>
        <v>Food &amp;Beverage</v>
      </c>
    </row>
    <row r="6032" spans="1:7" x14ac:dyDescent="0.3">
      <c r="A6032" t="s">
        <v>33</v>
      </c>
      <c r="B6032">
        <v>2019</v>
      </c>
      <c r="C6032" t="s">
        <v>38</v>
      </c>
      <c r="D6032" s="2">
        <v>43586</v>
      </c>
      <c r="E6032" t="s">
        <v>7</v>
      </c>
      <c r="F6032">
        <v>118.6</v>
      </c>
      <c r="G6032" t="str">
        <f>VLOOKUP(Table1_2[[#This Row],[Categories]],Sheet3!$A$1:$B$27,2,FALSE)</f>
        <v>Food &amp;Beverage</v>
      </c>
    </row>
    <row r="6033" spans="1:7" x14ac:dyDescent="0.3">
      <c r="A6033" t="s">
        <v>33</v>
      </c>
      <c r="B6033">
        <v>2019</v>
      </c>
      <c r="C6033" t="s">
        <v>38</v>
      </c>
      <c r="D6033" s="2">
        <v>43586</v>
      </c>
      <c r="E6033" t="s">
        <v>8</v>
      </c>
      <c r="F6033">
        <v>149.69999999999999</v>
      </c>
      <c r="G6033" t="str">
        <f>VLOOKUP(Table1_2[[#This Row],[Categories]],Sheet3!$A$1:$B$27,2,FALSE)</f>
        <v>Food &amp;Beverage</v>
      </c>
    </row>
    <row r="6034" spans="1:7" x14ac:dyDescent="0.3">
      <c r="A6034" t="s">
        <v>33</v>
      </c>
      <c r="B6034">
        <v>2019</v>
      </c>
      <c r="C6034" t="s">
        <v>38</v>
      </c>
      <c r="D6034" s="2">
        <v>43586</v>
      </c>
      <c r="E6034" t="s">
        <v>9</v>
      </c>
      <c r="F6034">
        <v>161.6</v>
      </c>
      <c r="G6034" t="str">
        <f>VLOOKUP(Table1_2[[#This Row],[Categories]],Sheet3!$A$1:$B$27,2,FALSE)</f>
        <v>Food &amp;Beverage</v>
      </c>
    </row>
    <row r="6035" spans="1:7" x14ac:dyDescent="0.3">
      <c r="A6035" t="s">
        <v>33</v>
      </c>
      <c r="B6035">
        <v>2019</v>
      </c>
      <c r="C6035" t="s">
        <v>38</v>
      </c>
      <c r="D6035" s="2">
        <v>43586</v>
      </c>
      <c r="E6035" t="s">
        <v>10</v>
      </c>
      <c r="F6035">
        <v>124.4</v>
      </c>
      <c r="G6035" t="str">
        <f>VLOOKUP(Table1_2[[#This Row],[Categories]],Sheet3!$A$1:$B$27,2,FALSE)</f>
        <v>Food &amp;Beverage</v>
      </c>
    </row>
    <row r="6036" spans="1:7" x14ac:dyDescent="0.3">
      <c r="A6036" t="s">
        <v>33</v>
      </c>
      <c r="B6036">
        <v>2019</v>
      </c>
      <c r="C6036" t="s">
        <v>38</v>
      </c>
      <c r="D6036" s="2">
        <v>43586</v>
      </c>
      <c r="E6036" t="s">
        <v>11</v>
      </c>
      <c r="F6036">
        <v>111.2</v>
      </c>
      <c r="G6036" t="str">
        <f>VLOOKUP(Table1_2[[#This Row],[Categories]],Sheet3!$A$1:$B$27,2,FALSE)</f>
        <v>Food &amp;Beverage</v>
      </c>
    </row>
    <row r="6037" spans="1:7" x14ac:dyDescent="0.3">
      <c r="A6037" t="s">
        <v>33</v>
      </c>
      <c r="B6037">
        <v>2019</v>
      </c>
      <c r="C6037" t="s">
        <v>38</v>
      </c>
      <c r="D6037" s="2">
        <v>43586</v>
      </c>
      <c r="E6037" t="s">
        <v>12</v>
      </c>
      <c r="F6037">
        <v>141</v>
      </c>
      <c r="G6037" t="str">
        <f>VLOOKUP(Table1_2[[#This Row],[Categories]],Sheet3!$A$1:$B$27,2,FALSE)</f>
        <v>Food &amp;Beverage</v>
      </c>
    </row>
    <row r="6038" spans="1:7" x14ac:dyDescent="0.3">
      <c r="A6038" t="s">
        <v>33</v>
      </c>
      <c r="B6038">
        <v>2019</v>
      </c>
      <c r="C6038" t="s">
        <v>38</v>
      </c>
      <c r="D6038" s="2">
        <v>43586</v>
      </c>
      <c r="E6038" t="s">
        <v>13</v>
      </c>
      <c r="F6038">
        <v>128.9</v>
      </c>
      <c r="G6038" t="str">
        <f>VLOOKUP(Table1_2[[#This Row],[Categories]],Sheet3!$A$1:$B$27,2,FALSE)</f>
        <v>Food &amp;Beverage</v>
      </c>
    </row>
    <row r="6039" spans="1:7" x14ac:dyDescent="0.3">
      <c r="A6039" t="s">
        <v>33</v>
      </c>
      <c r="B6039">
        <v>2019</v>
      </c>
      <c r="C6039" t="s">
        <v>38</v>
      </c>
      <c r="D6039" s="2">
        <v>43586</v>
      </c>
      <c r="E6039" t="s">
        <v>14</v>
      </c>
      <c r="F6039">
        <v>154.5</v>
      </c>
      <c r="G6039" t="str">
        <f>VLOOKUP(Table1_2[[#This Row],[Categories]],Sheet3!$A$1:$B$27,2,FALSE)</f>
        <v>Food &amp;Beverage</v>
      </c>
    </row>
    <row r="6040" spans="1:7" x14ac:dyDescent="0.3">
      <c r="A6040" t="s">
        <v>33</v>
      </c>
      <c r="B6040">
        <v>2019</v>
      </c>
      <c r="C6040" t="s">
        <v>38</v>
      </c>
      <c r="D6040" s="2">
        <v>43586</v>
      </c>
      <c r="E6040" t="s">
        <v>15</v>
      </c>
      <c r="F6040">
        <v>143.80000000000001</v>
      </c>
      <c r="G6040" t="str">
        <f>VLOOKUP(Table1_2[[#This Row],[Categories]],Sheet3!$A$1:$B$27,2,FALSE)</f>
        <v>Food &amp;Beverage</v>
      </c>
    </row>
    <row r="6041" spans="1:7" x14ac:dyDescent="0.3">
      <c r="A6041" t="s">
        <v>33</v>
      </c>
      <c r="B6041">
        <v>2019</v>
      </c>
      <c r="C6041" t="s">
        <v>38</v>
      </c>
      <c r="D6041" s="2">
        <v>43586</v>
      </c>
      <c r="E6041" t="s">
        <v>16</v>
      </c>
      <c r="F6041">
        <v>166.2</v>
      </c>
      <c r="G6041" t="str">
        <f>VLOOKUP(Table1_2[[#This Row],[Categories]],Sheet3!$A$1:$B$27,2,FALSE)</f>
        <v>Recreation and amusement</v>
      </c>
    </row>
    <row r="6042" spans="1:7" x14ac:dyDescent="0.3">
      <c r="A6042" t="s">
        <v>33</v>
      </c>
      <c r="B6042">
        <v>2019</v>
      </c>
      <c r="C6042" t="s">
        <v>38</v>
      </c>
      <c r="D6042" s="2">
        <v>43586</v>
      </c>
      <c r="E6042" t="s">
        <v>17</v>
      </c>
      <c r="F6042">
        <v>144</v>
      </c>
      <c r="G6042" t="str">
        <f>VLOOKUP(Table1_2[[#This Row],[Categories]],Sheet3!$A$1:$B$27,2,FALSE)</f>
        <v>Clothing and footwear</v>
      </c>
    </row>
    <row r="6043" spans="1:7" x14ac:dyDescent="0.3">
      <c r="A6043" t="s">
        <v>33</v>
      </c>
      <c r="B6043">
        <v>2019</v>
      </c>
      <c r="C6043" t="s">
        <v>38</v>
      </c>
      <c r="D6043" s="2">
        <v>43586</v>
      </c>
      <c r="E6043" t="s">
        <v>18</v>
      </c>
      <c r="F6043">
        <v>131.69999999999999</v>
      </c>
      <c r="G6043" t="str">
        <f>VLOOKUP(Table1_2[[#This Row],[Categories]],Sheet3!$A$1:$B$27,2,FALSE)</f>
        <v>Clothing and footwear</v>
      </c>
    </row>
    <row r="6044" spans="1:7" x14ac:dyDescent="0.3">
      <c r="A6044" t="s">
        <v>33</v>
      </c>
      <c r="B6044">
        <v>2019</v>
      </c>
      <c r="C6044" t="s">
        <v>38</v>
      </c>
      <c r="D6044" s="2">
        <v>43586</v>
      </c>
      <c r="E6044" t="s">
        <v>19</v>
      </c>
      <c r="F6044">
        <v>142.19999999999999</v>
      </c>
      <c r="G6044" t="str">
        <f>VLOOKUP(Table1_2[[#This Row],[Categories]],Sheet3!$A$1:$B$27,2,FALSE)</f>
        <v>Clothing and footwear</v>
      </c>
    </row>
    <row r="6045" spans="1:7" x14ac:dyDescent="0.3">
      <c r="A6045" t="s">
        <v>33</v>
      </c>
      <c r="B6045">
        <v>2019</v>
      </c>
      <c r="C6045" t="s">
        <v>38</v>
      </c>
      <c r="D6045" s="2">
        <v>43586</v>
      </c>
      <c r="E6045" t="s">
        <v>20</v>
      </c>
      <c r="F6045">
        <v>150.1</v>
      </c>
      <c r="G6045" t="str">
        <f>VLOOKUP(Table1_2[[#This Row],[Categories]],Sheet3!$A$1:$B$27,2,FALSE)</f>
        <v>Housing</v>
      </c>
    </row>
    <row r="6046" spans="1:7" x14ac:dyDescent="0.3">
      <c r="A6046" t="s">
        <v>33</v>
      </c>
      <c r="B6046">
        <v>2019</v>
      </c>
      <c r="C6046" t="s">
        <v>38</v>
      </c>
      <c r="D6046" s="2">
        <v>43586</v>
      </c>
      <c r="E6046" t="s">
        <v>21</v>
      </c>
      <c r="F6046">
        <v>129.4</v>
      </c>
      <c r="G6046" t="str">
        <f>VLOOKUP(Table1_2[[#This Row],[Categories]],Sheet3!$A$1:$B$27,2,FALSE)</f>
        <v>Fuel and light</v>
      </c>
    </row>
    <row r="6047" spans="1:7" x14ac:dyDescent="0.3">
      <c r="A6047" t="s">
        <v>33</v>
      </c>
      <c r="B6047">
        <v>2019</v>
      </c>
      <c r="C6047" t="s">
        <v>38</v>
      </c>
      <c r="D6047" s="2">
        <v>43586</v>
      </c>
      <c r="E6047" t="s">
        <v>22</v>
      </c>
      <c r="F6047">
        <v>137.19999999999999</v>
      </c>
      <c r="G6047" t="str">
        <f>VLOOKUP(Table1_2[[#This Row],[Categories]],Sheet3!$A$1:$B$27,2,FALSE)</f>
        <v>Household Items</v>
      </c>
    </row>
    <row r="6048" spans="1:7" x14ac:dyDescent="0.3">
      <c r="A6048" t="s">
        <v>33</v>
      </c>
      <c r="B6048">
        <v>2019</v>
      </c>
      <c r="C6048" t="s">
        <v>38</v>
      </c>
      <c r="D6048" s="2">
        <v>43586</v>
      </c>
      <c r="E6048" t="s">
        <v>23</v>
      </c>
      <c r="F6048">
        <v>139.80000000000001</v>
      </c>
      <c r="G6048" t="str">
        <f>VLOOKUP(Table1_2[[#This Row],[Categories]],Sheet3!$A$1:$B$27,2,FALSE)</f>
        <v>Health</v>
      </c>
    </row>
    <row r="6049" spans="1:7" x14ac:dyDescent="0.3">
      <c r="A6049" t="s">
        <v>33</v>
      </c>
      <c r="B6049">
        <v>2019</v>
      </c>
      <c r="C6049" t="s">
        <v>38</v>
      </c>
      <c r="D6049" s="2">
        <v>43586</v>
      </c>
      <c r="E6049" t="s">
        <v>24</v>
      </c>
      <c r="F6049">
        <v>120.1</v>
      </c>
      <c r="G6049" t="str">
        <f>VLOOKUP(Table1_2[[#This Row],[Categories]],Sheet3!$A$1:$B$27,2,FALSE)</f>
        <v>Transport and communication</v>
      </c>
    </row>
    <row r="6050" spans="1:7" x14ac:dyDescent="0.3">
      <c r="A6050" t="s">
        <v>33</v>
      </c>
      <c r="B6050">
        <v>2019</v>
      </c>
      <c r="C6050" t="s">
        <v>38</v>
      </c>
      <c r="D6050" s="2">
        <v>43586</v>
      </c>
      <c r="E6050" t="s">
        <v>25</v>
      </c>
      <c r="F6050">
        <v>134</v>
      </c>
      <c r="G6050" t="str">
        <f>VLOOKUP(Table1_2[[#This Row],[Categories]],Sheet3!$A$1:$B$27,2,FALSE)</f>
        <v>Recreation and amusement</v>
      </c>
    </row>
    <row r="6051" spans="1:7" x14ac:dyDescent="0.3">
      <c r="A6051" t="s">
        <v>33</v>
      </c>
      <c r="B6051">
        <v>2019</v>
      </c>
      <c r="C6051" t="s">
        <v>38</v>
      </c>
      <c r="D6051" s="2">
        <v>43586</v>
      </c>
      <c r="E6051" t="s">
        <v>26</v>
      </c>
      <c r="F6051">
        <v>148</v>
      </c>
      <c r="G6051" t="str">
        <f>VLOOKUP(Table1_2[[#This Row],[Categories]],Sheet3!$A$1:$B$27,2,FALSE)</f>
        <v>Education</v>
      </c>
    </row>
    <row r="6052" spans="1:7" x14ac:dyDescent="0.3">
      <c r="A6052" t="s">
        <v>33</v>
      </c>
      <c r="B6052">
        <v>2019</v>
      </c>
      <c r="C6052" t="s">
        <v>38</v>
      </c>
      <c r="D6052" s="2">
        <v>43586</v>
      </c>
      <c r="E6052" t="s">
        <v>27</v>
      </c>
      <c r="F6052">
        <v>132.6</v>
      </c>
      <c r="G6052" t="str">
        <f>VLOOKUP(Table1_2[[#This Row],[Categories]],Sheet3!$A$1:$B$27,2,FALSE)</f>
        <v>Household Items</v>
      </c>
    </row>
    <row r="6053" spans="1:7" x14ac:dyDescent="0.3">
      <c r="A6053" t="s">
        <v>33</v>
      </c>
      <c r="B6053">
        <v>2019</v>
      </c>
      <c r="C6053" t="s">
        <v>38</v>
      </c>
      <c r="D6053" s="2">
        <v>43586</v>
      </c>
      <c r="E6053" t="s">
        <v>28</v>
      </c>
      <c r="F6053">
        <v>133.30000000000001</v>
      </c>
      <c r="G6053" t="str">
        <f>VLOOKUP(Table1_2[[#This Row],[Categories]],Sheet3!$A$1:$B$27,2,FALSE)</f>
        <v>Miscellaneous</v>
      </c>
    </row>
    <row r="6054" spans="1:7" x14ac:dyDescent="0.3">
      <c r="A6054" t="s">
        <v>33</v>
      </c>
      <c r="B6054">
        <v>2019</v>
      </c>
      <c r="C6054" t="s">
        <v>38</v>
      </c>
      <c r="D6054" s="2">
        <v>43586</v>
      </c>
      <c r="E6054" t="s">
        <v>29</v>
      </c>
      <c r="F6054">
        <v>141.5</v>
      </c>
      <c r="G6054" t="str">
        <f>VLOOKUP(Table1_2[[#This Row],[Categories]],Sheet3!$A$1:$B$27,2,FALSE)</f>
        <v>General index</v>
      </c>
    </row>
    <row r="6055" spans="1:7" x14ac:dyDescent="0.3">
      <c r="A6055" t="s">
        <v>34</v>
      </c>
      <c r="B6055">
        <v>2019</v>
      </c>
      <c r="C6055" t="s">
        <v>38</v>
      </c>
      <c r="D6055" s="2">
        <v>43586</v>
      </c>
      <c r="E6055" t="s">
        <v>3</v>
      </c>
      <c r="F6055">
        <v>138.30000000000001</v>
      </c>
      <c r="G6055" t="str">
        <f>VLOOKUP(Table1_2[[#This Row],[Categories]],Sheet3!$A$1:$B$27,2,FALSE)</f>
        <v>Food &amp;Beverage</v>
      </c>
    </row>
    <row r="6056" spans="1:7" x14ac:dyDescent="0.3">
      <c r="A6056" t="s">
        <v>34</v>
      </c>
      <c r="B6056">
        <v>2019</v>
      </c>
      <c r="C6056" t="s">
        <v>38</v>
      </c>
      <c r="D6056" s="2">
        <v>43586</v>
      </c>
      <c r="E6056" t="s">
        <v>4</v>
      </c>
      <c r="F6056">
        <v>158.5</v>
      </c>
      <c r="G6056" t="str">
        <f>VLOOKUP(Table1_2[[#This Row],[Categories]],Sheet3!$A$1:$B$27,2,FALSE)</f>
        <v>Food &amp;Beverage</v>
      </c>
    </row>
    <row r="6057" spans="1:7" x14ac:dyDescent="0.3">
      <c r="A6057" t="s">
        <v>34</v>
      </c>
      <c r="B6057">
        <v>2019</v>
      </c>
      <c r="C6057" t="s">
        <v>38</v>
      </c>
      <c r="D6057" s="2">
        <v>43586</v>
      </c>
      <c r="E6057" t="s">
        <v>5</v>
      </c>
      <c r="F6057">
        <v>136</v>
      </c>
      <c r="G6057" t="str">
        <f>VLOOKUP(Table1_2[[#This Row],[Categories]],Sheet3!$A$1:$B$27,2,FALSE)</f>
        <v>Food &amp;Beverage</v>
      </c>
    </row>
    <row r="6058" spans="1:7" x14ac:dyDescent="0.3">
      <c r="A6058" t="s">
        <v>34</v>
      </c>
      <c r="B6058">
        <v>2019</v>
      </c>
      <c r="C6058" t="s">
        <v>38</v>
      </c>
      <c r="D6058" s="2">
        <v>43586</v>
      </c>
      <c r="E6058" t="s">
        <v>6</v>
      </c>
      <c r="F6058">
        <v>142.5</v>
      </c>
      <c r="G6058" t="str">
        <f>VLOOKUP(Table1_2[[#This Row],[Categories]],Sheet3!$A$1:$B$27,2,FALSE)</f>
        <v>Food &amp;Beverage</v>
      </c>
    </row>
    <row r="6059" spans="1:7" x14ac:dyDescent="0.3">
      <c r="A6059" t="s">
        <v>34</v>
      </c>
      <c r="B6059">
        <v>2019</v>
      </c>
      <c r="C6059" t="s">
        <v>38</v>
      </c>
      <c r="D6059" s="2">
        <v>43586</v>
      </c>
      <c r="E6059" t="s">
        <v>7</v>
      </c>
      <c r="F6059">
        <v>122</v>
      </c>
      <c r="G6059" t="str">
        <f>VLOOKUP(Table1_2[[#This Row],[Categories]],Sheet3!$A$1:$B$27,2,FALSE)</f>
        <v>Food &amp;Beverage</v>
      </c>
    </row>
    <row r="6060" spans="1:7" x14ac:dyDescent="0.3">
      <c r="A6060" t="s">
        <v>34</v>
      </c>
      <c r="B6060">
        <v>2019</v>
      </c>
      <c r="C6060" t="s">
        <v>38</v>
      </c>
      <c r="D6060" s="2">
        <v>43586</v>
      </c>
      <c r="E6060" t="s">
        <v>8</v>
      </c>
      <c r="F6060">
        <v>146.5</v>
      </c>
      <c r="G6060" t="str">
        <f>VLOOKUP(Table1_2[[#This Row],[Categories]],Sheet3!$A$1:$B$27,2,FALSE)</f>
        <v>Food &amp;Beverage</v>
      </c>
    </row>
    <row r="6061" spans="1:7" x14ac:dyDescent="0.3">
      <c r="A6061" t="s">
        <v>34</v>
      </c>
      <c r="B6061">
        <v>2019</v>
      </c>
      <c r="C6061" t="s">
        <v>38</v>
      </c>
      <c r="D6061" s="2">
        <v>43586</v>
      </c>
      <c r="E6061" t="s">
        <v>9</v>
      </c>
      <c r="F6061">
        <v>143</v>
      </c>
      <c r="G6061" t="str">
        <f>VLOOKUP(Table1_2[[#This Row],[Categories]],Sheet3!$A$1:$B$27,2,FALSE)</f>
        <v>Food &amp;Beverage</v>
      </c>
    </row>
    <row r="6062" spans="1:7" x14ac:dyDescent="0.3">
      <c r="A6062" t="s">
        <v>34</v>
      </c>
      <c r="B6062">
        <v>2019</v>
      </c>
      <c r="C6062" t="s">
        <v>38</v>
      </c>
      <c r="D6062" s="2">
        <v>43586</v>
      </c>
      <c r="E6062" t="s">
        <v>10</v>
      </c>
      <c r="F6062">
        <v>124.9</v>
      </c>
      <c r="G6062" t="str">
        <f>VLOOKUP(Table1_2[[#This Row],[Categories]],Sheet3!$A$1:$B$27,2,FALSE)</f>
        <v>Food &amp;Beverage</v>
      </c>
    </row>
    <row r="6063" spans="1:7" x14ac:dyDescent="0.3">
      <c r="A6063" t="s">
        <v>34</v>
      </c>
      <c r="B6063">
        <v>2019</v>
      </c>
      <c r="C6063" t="s">
        <v>38</v>
      </c>
      <c r="D6063" s="2">
        <v>43586</v>
      </c>
      <c r="E6063" t="s">
        <v>11</v>
      </c>
      <c r="F6063">
        <v>109.9</v>
      </c>
      <c r="G6063" t="str">
        <f>VLOOKUP(Table1_2[[#This Row],[Categories]],Sheet3!$A$1:$B$27,2,FALSE)</f>
        <v>Food &amp;Beverage</v>
      </c>
    </row>
    <row r="6064" spans="1:7" x14ac:dyDescent="0.3">
      <c r="A6064" t="s">
        <v>34</v>
      </c>
      <c r="B6064">
        <v>2019</v>
      </c>
      <c r="C6064" t="s">
        <v>38</v>
      </c>
      <c r="D6064" s="2">
        <v>43586</v>
      </c>
      <c r="E6064" t="s">
        <v>12</v>
      </c>
      <c r="F6064">
        <v>139.9</v>
      </c>
      <c r="G6064" t="str">
        <f>VLOOKUP(Table1_2[[#This Row],[Categories]],Sheet3!$A$1:$B$27,2,FALSE)</f>
        <v>Food &amp;Beverage</v>
      </c>
    </row>
    <row r="6065" spans="1:7" x14ac:dyDescent="0.3">
      <c r="A6065" t="s">
        <v>34</v>
      </c>
      <c r="B6065">
        <v>2019</v>
      </c>
      <c r="C6065" t="s">
        <v>38</v>
      </c>
      <c r="D6065" s="2">
        <v>43586</v>
      </c>
      <c r="E6065" t="s">
        <v>13</v>
      </c>
      <c r="F6065">
        <v>134</v>
      </c>
      <c r="G6065" t="str">
        <f>VLOOKUP(Table1_2[[#This Row],[Categories]],Sheet3!$A$1:$B$27,2,FALSE)</f>
        <v>Food &amp;Beverage</v>
      </c>
    </row>
    <row r="6066" spans="1:7" x14ac:dyDescent="0.3">
      <c r="A6066" t="s">
        <v>34</v>
      </c>
      <c r="B6066">
        <v>2019</v>
      </c>
      <c r="C6066" t="s">
        <v>38</v>
      </c>
      <c r="D6066" s="2">
        <v>43586</v>
      </c>
      <c r="E6066" t="s">
        <v>14</v>
      </c>
      <c r="F6066">
        <v>155.5</v>
      </c>
      <c r="G6066" t="str">
        <f>VLOOKUP(Table1_2[[#This Row],[Categories]],Sheet3!$A$1:$B$27,2,FALSE)</f>
        <v>Food &amp;Beverage</v>
      </c>
    </row>
    <row r="6067" spans="1:7" x14ac:dyDescent="0.3">
      <c r="A6067" t="s">
        <v>34</v>
      </c>
      <c r="B6067">
        <v>2019</v>
      </c>
      <c r="C6067" t="s">
        <v>38</v>
      </c>
      <c r="D6067" s="2">
        <v>43586</v>
      </c>
      <c r="E6067" t="s">
        <v>15</v>
      </c>
      <c r="F6067">
        <v>140.9</v>
      </c>
      <c r="G6067" t="str">
        <f>VLOOKUP(Table1_2[[#This Row],[Categories]],Sheet3!$A$1:$B$27,2,FALSE)</f>
        <v>Food &amp;Beverage</v>
      </c>
    </row>
    <row r="6068" spans="1:7" x14ac:dyDescent="0.3">
      <c r="A6068" t="s">
        <v>34</v>
      </c>
      <c r="B6068">
        <v>2019</v>
      </c>
      <c r="C6068" t="s">
        <v>38</v>
      </c>
      <c r="D6068" s="2">
        <v>43586</v>
      </c>
      <c r="E6068" t="s">
        <v>16</v>
      </c>
      <c r="F6068">
        <v>164.1</v>
      </c>
      <c r="G6068" t="str">
        <f>VLOOKUP(Table1_2[[#This Row],[Categories]],Sheet3!$A$1:$B$27,2,FALSE)</f>
        <v>Recreation and amusement</v>
      </c>
    </row>
    <row r="6069" spans="1:7" x14ac:dyDescent="0.3">
      <c r="A6069" t="s">
        <v>34</v>
      </c>
      <c r="B6069">
        <v>2019</v>
      </c>
      <c r="C6069" t="s">
        <v>38</v>
      </c>
      <c r="D6069" s="2">
        <v>43586</v>
      </c>
      <c r="E6069" t="s">
        <v>17</v>
      </c>
      <c r="F6069">
        <v>148.4</v>
      </c>
      <c r="G6069" t="str">
        <f>VLOOKUP(Table1_2[[#This Row],[Categories]],Sheet3!$A$1:$B$27,2,FALSE)</f>
        <v>Clothing and footwear</v>
      </c>
    </row>
    <row r="6070" spans="1:7" x14ac:dyDescent="0.3">
      <c r="A6070" t="s">
        <v>34</v>
      </c>
      <c r="B6070">
        <v>2019</v>
      </c>
      <c r="C6070" t="s">
        <v>38</v>
      </c>
      <c r="D6070" s="2">
        <v>43586</v>
      </c>
      <c r="E6070" t="s">
        <v>18</v>
      </c>
      <c r="F6070">
        <v>140.4</v>
      </c>
      <c r="G6070" t="str">
        <f>VLOOKUP(Table1_2[[#This Row],[Categories]],Sheet3!$A$1:$B$27,2,FALSE)</f>
        <v>Clothing and footwear</v>
      </c>
    </row>
    <row r="6071" spans="1:7" x14ac:dyDescent="0.3">
      <c r="A6071" t="s">
        <v>34</v>
      </c>
      <c r="B6071">
        <v>2019</v>
      </c>
      <c r="C6071" t="s">
        <v>38</v>
      </c>
      <c r="D6071" s="2">
        <v>43586</v>
      </c>
      <c r="E6071" t="s">
        <v>19</v>
      </c>
      <c r="F6071">
        <v>147.30000000000001</v>
      </c>
      <c r="G6071" t="str">
        <f>VLOOKUP(Table1_2[[#This Row],[Categories]],Sheet3!$A$1:$B$27,2,FALSE)</f>
        <v>Clothing and footwear</v>
      </c>
    </row>
    <row r="6072" spans="1:7" x14ac:dyDescent="0.3">
      <c r="A6072" t="s">
        <v>34</v>
      </c>
      <c r="B6072">
        <v>2019</v>
      </c>
      <c r="C6072" t="s">
        <v>38</v>
      </c>
      <c r="D6072" s="2">
        <v>43586</v>
      </c>
      <c r="E6072" t="s">
        <v>20</v>
      </c>
      <c r="F6072">
        <v>150.1</v>
      </c>
      <c r="G6072" t="str">
        <f>VLOOKUP(Table1_2[[#This Row],[Categories]],Sheet3!$A$1:$B$27,2,FALSE)</f>
        <v>Housing</v>
      </c>
    </row>
    <row r="6073" spans="1:7" x14ac:dyDescent="0.3">
      <c r="A6073" t="s">
        <v>34</v>
      </c>
      <c r="B6073">
        <v>2019</v>
      </c>
      <c r="C6073" t="s">
        <v>38</v>
      </c>
      <c r="D6073" s="2">
        <v>43586</v>
      </c>
      <c r="E6073" t="s">
        <v>21</v>
      </c>
      <c r="F6073">
        <v>140.30000000000001</v>
      </c>
      <c r="G6073" t="str">
        <f>VLOOKUP(Table1_2[[#This Row],[Categories]],Sheet3!$A$1:$B$27,2,FALSE)</f>
        <v>Fuel and light</v>
      </c>
    </row>
    <row r="6074" spans="1:7" x14ac:dyDescent="0.3">
      <c r="A6074" t="s">
        <v>34</v>
      </c>
      <c r="B6074">
        <v>2019</v>
      </c>
      <c r="C6074" t="s">
        <v>38</v>
      </c>
      <c r="D6074" s="2">
        <v>43586</v>
      </c>
      <c r="E6074" t="s">
        <v>22</v>
      </c>
      <c r="F6074">
        <v>143.69999999999999</v>
      </c>
      <c r="G6074" t="str">
        <f>VLOOKUP(Table1_2[[#This Row],[Categories]],Sheet3!$A$1:$B$27,2,FALSE)</f>
        <v>Household Items</v>
      </c>
    </row>
    <row r="6075" spans="1:7" x14ac:dyDescent="0.3">
      <c r="A6075" t="s">
        <v>34</v>
      </c>
      <c r="B6075">
        <v>2019</v>
      </c>
      <c r="C6075" t="s">
        <v>38</v>
      </c>
      <c r="D6075" s="2">
        <v>43586</v>
      </c>
      <c r="E6075" t="s">
        <v>23</v>
      </c>
      <c r="F6075">
        <v>146.9</v>
      </c>
      <c r="G6075" t="str">
        <f>VLOOKUP(Table1_2[[#This Row],[Categories]],Sheet3!$A$1:$B$27,2,FALSE)</f>
        <v>Health</v>
      </c>
    </row>
    <row r="6076" spans="1:7" x14ac:dyDescent="0.3">
      <c r="A6076" t="s">
        <v>34</v>
      </c>
      <c r="B6076">
        <v>2019</v>
      </c>
      <c r="C6076" t="s">
        <v>38</v>
      </c>
      <c r="D6076" s="2">
        <v>43586</v>
      </c>
      <c r="E6076" t="s">
        <v>24</v>
      </c>
      <c r="F6076">
        <v>124.9</v>
      </c>
      <c r="G6076" t="str">
        <f>VLOOKUP(Table1_2[[#This Row],[Categories]],Sheet3!$A$1:$B$27,2,FALSE)</f>
        <v>Transport and communication</v>
      </c>
    </row>
    <row r="6077" spans="1:7" x14ac:dyDescent="0.3">
      <c r="A6077" t="s">
        <v>34</v>
      </c>
      <c r="B6077">
        <v>2019</v>
      </c>
      <c r="C6077" t="s">
        <v>38</v>
      </c>
      <c r="D6077" s="2">
        <v>43586</v>
      </c>
      <c r="E6077" t="s">
        <v>25</v>
      </c>
      <c r="F6077">
        <v>139.19999999999999</v>
      </c>
      <c r="G6077" t="str">
        <f>VLOOKUP(Table1_2[[#This Row],[Categories]],Sheet3!$A$1:$B$27,2,FALSE)</f>
        <v>Recreation and amusement</v>
      </c>
    </row>
    <row r="6078" spans="1:7" x14ac:dyDescent="0.3">
      <c r="A6078" t="s">
        <v>34</v>
      </c>
      <c r="B6078">
        <v>2019</v>
      </c>
      <c r="C6078" t="s">
        <v>38</v>
      </c>
      <c r="D6078" s="2">
        <v>43586</v>
      </c>
      <c r="E6078" t="s">
        <v>26</v>
      </c>
      <c r="F6078">
        <v>151.6</v>
      </c>
      <c r="G6078" t="str">
        <f>VLOOKUP(Table1_2[[#This Row],[Categories]],Sheet3!$A$1:$B$27,2,FALSE)</f>
        <v>Education</v>
      </c>
    </row>
    <row r="6079" spans="1:7" x14ac:dyDescent="0.3">
      <c r="A6079" t="s">
        <v>34</v>
      </c>
      <c r="B6079">
        <v>2019</v>
      </c>
      <c r="C6079" t="s">
        <v>38</v>
      </c>
      <c r="D6079" s="2">
        <v>43586</v>
      </c>
      <c r="E6079" t="s">
        <v>27</v>
      </c>
      <c r="F6079">
        <v>133.4</v>
      </c>
      <c r="G6079" t="str">
        <f>VLOOKUP(Table1_2[[#This Row],[Categories]],Sheet3!$A$1:$B$27,2,FALSE)</f>
        <v>Household Items</v>
      </c>
    </row>
    <row r="6080" spans="1:7" x14ac:dyDescent="0.3">
      <c r="A6080" t="s">
        <v>34</v>
      </c>
      <c r="B6080">
        <v>2019</v>
      </c>
      <c r="C6080" t="s">
        <v>38</v>
      </c>
      <c r="D6080" s="2">
        <v>43586</v>
      </c>
      <c r="E6080" t="s">
        <v>28</v>
      </c>
      <c r="F6080">
        <v>138.19999999999999</v>
      </c>
      <c r="G6080" t="str">
        <f>VLOOKUP(Table1_2[[#This Row],[Categories]],Sheet3!$A$1:$B$27,2,FALSE)</f>
        <v>Miscellaneous</v>
      </c>
    </row>
    <row r="6081" spans="1:7" x14ac:dyDescent="0.3">
      <c r="A6081" t="s">
        <v>34</v>
      </c>
      <c r="B6081">
        <v>2019</v>
      </c>
      <c r="C6081" t="s">
        <v>38</v>
      </c>
      <c r="D6081" s="2">
        <v>43586</v>
      </c>
      <c r="E6081" t="s">
        <v>29</v>
      </c>
      <c r="F6081">
        <v>142</v>
      </c>
      <c r="G6081" t="str">
        <f>VLOOKUP(Table1_2[[#This Row],[Categories]],Sheet3!$A$1:$B$27,2,FALSE)</f>
        <v>General index</v>
      </c>
    </row>
    <row r="6082" spans="1:7" x14ac:dyDescent="0.3">
      <c r="A6082" t="s">
        <v>30</v>
      </c>
      <c r="B6082">
        <v>2019</v>
      </c>
      <c r="C6082" t="s">
        <v>39</v>
      </c>
      <c r="D6082" s="2">
        <v>43617</v>
      </c>
      <c r="E6082" t="s">
        <v>3</v>
      </c>
      <c r="F6082">
        <v>137.80000000000001</v>
      </c>
      <c r="G6082" t="str">
        <f>VLOOKUP(Table1_2[[#This Row],[Categories]],Sheet3!$A$1:$B$27,2,FALSE)</f>
        <v>Food &amp;Beverage</v>
      </c>
    </row>
    <row r="6083" spans="1:7" x14ac:dyDescent="0.3">
      <c r="A6083" t="s">
        <v>30</v>
      </c>
      <c r="B6083">
        <v>2019</v>
      </c>
      <c r="C6083" t="s">
        <v>39</v>
      </c>
      <c r="D6083" s="2">
        <v>43617</v>
      </c>
      <c r="E6083" t="s">
        <v>4</v>
      </c>
      <c r="F6083">
        <v>163.5</v>
      </c>
      <c r="G6083" t="str">
        <f>VLOOKUP(Table1_2[[#This Row],[Categories]],Sheet3!$A$1:$B$27,2,FALSE)</f>
        <v>Food &amp;Beverage</v>
      </c>
    </row>
    <row r="6084" spans="1:7" x14ac:dyDescent="0.3">
      <c r="A6084" t="s">
        <v>30</v>
      </c>
      <c r="B6084">
        <v>2019</v>
      </c>
      <c r="C6084" t="s">
        <v>39</v>
      </c>
      <c r="D6084" s="2">
        <v>43617</v>
      </c>
      <c r="E6084" t="s">
        <v>5</v>
      </c>
      <c r="F6084">
        <v>136.19999999999999</v>
      </c>
      <c r="G6084" t="str">
        <f>VLOOKUP(Table1_2[[#This Row],[Categories]],Sheet3!$A$1:$B$27,2,FALSE)</f>
        <v>Food &amp;Beverage</v>
      </c>
    </row>
    <row r="6085" spans="1:7" x14ac:dyDescent="0.3">
      <c r="A6085" t="s">
        <v>30</v>
      </c>
      <c r="B6085">
        <v>2019</v>
      </c>
      <c r="C6085" t="s">
        <v>39</v>
      </c>
      <c r="D6085" s="2">
        <v>43617</v>
      </c>
      <c r="E6085" t="s">
        <v>6</v>
      </c>
      <c r="F6085">
        <v>143.19999999999999</v>
      </c>
      <c r="G6085" t="str">
        <f>VLOOKUP(Table1_2[[#This Row],[Categories]],Sheet3!$A$1:$B$27,2,FALSE)</f>
        <v>Food &amp;Beverage</v>
      </c>
    </row>
    <row r="6086" spans="1:7" x14ac:dyDescent="0.3">
      <c r="A6086" t="s">
        <v>30</v>
      </c>
      <c r="B6086">
        <v>2019</v>
      </c>
      <c r="C6086" t="s">
        <v>39</v>
      </c>
      <c r="D6086" s="2">
        <v>43617</v>
      </c>
      <c r="E6086" t="s">
        <v>7</v>
      </c>
      <c r="F6086">
        <v>124.3</v>
      </c>
      <c r="G6086" t="str">
        <f>VLOOKUP(Table1_2[[#This Row],[Categories]],Sheet3!$A$1:$B$27,2,FALSE)</f>
        <v>Food &amp;Beverage</v>
      </c>
    </row>
    <row r="6087" spans="1:7" x14ac:dyDescent="0.3">
      <c r="A6087" t="s">
        <v>30</v>
      </c>
      <c r="B6087">
        <v>2019</v>
      </c>
      <c r="C6087" t="s">
        <v>39</v>
      </c>
      <c r="D6087" s="2">
        <v>43617</v>
      </c>
      <c r="E6087" t="s">
        <v>8</v>
      </c>
      <c r="F6087">
        <v>143.30000000000001</v>
      </c>
      <c r="G6087" t="str">
        <f>VLOOKUP(Table1_2[[#This Row],[Categories]],Sheet3!$A$1:$B$27,2,FALSE)</f>
        <v>Food &amp;Beverage</v>
      </c>
    </row>
    <row r="6088" spans="1:7" x14ac:dyDescent="0.3">
      <c r="A6088" t="s">
        <v>30</v>
      </c>
      <c r="B6088">
        <v>2019</v>
      </c>
      <c r="C6088" t="s">
        <v>39</v>
      </c>
      <c r="D6088" s="2">
        <v>43617</v>
      </c>
      <c r="E6088" t="s">
        <v>9</v>
      </c>
      <c r="F6088">
        <v>140.6</v>
      </c>
      <c r="G6088" t="str">
        <f>VLOOKUP(Table1_2[[#This Row],[Categories]],Sheet3!$A$1:$B$27,2,FALSE)</f>
        <v>Food &amp;Beverage</v>
      </c>
    </row>
    <row r="6089" spans="1:7" x14ac:dyDescent="0.3">
      <c r="A6089" t="s">
        <v>30</v>
      </c>
      <c r="B6089">
        <v>2019</v>
      </c>
      <c r="C6089" t="s">
        <v>39</v>
      </c>
      <c r="D6089" s="2">
        <v>43617</v>
      </c>
      <c r="E6089" t="s">
        <v>10</v>
      </c>
      <c r="F6089">
        <v>128.69999999999999</v>
      </c>
      <c r="G6089" t="str">
        <f>VLOOKUP(Table1_2[[#This Row],[Categories]],Sheet3!$A$1:$B$27,2,FALSE)</f>
        <v>Food &amp;Beverage</v>
      </c>
    </row>
    <row r="6090" spans="1:7" x14ac:dyDescent="0.3">
      <c r="A6090" t="s">
        <v>30</v>
      </c>
      <c r="B6090">
        <v>2019</v>
      </c>
      <c r="C6090" t="s">
        <v>39</v>
      </c>
      <c r="D6090" s="2">
        <v>43617</v>
      </c>
      <c r="E6090" t="s">
        <v>11</v>
      </c>
      <c r="F6090">
        <v>110.6</v>
      </c>
      <c r="G6090" t="str">
        <f>VLOOKUP(Table1_2[[#This Row],[Categories]],Sheet3!$A$1:$B$27,2,FALSE)</f>
        <v>Food &amp;Beverage</v>
      </c>
    </row>
    <row r="6091" spans="1:7" x14ac:dyDescent="0.3">
      <c r="A6091" t="s">
        <v>30</v>
      </c>
      <c r="B6091">
        <v>2019</v>
      </c>
      <c r="C6091" t="s">
        <v>39</v>
      </c>
      <c r="D6091" s="2">
        <v>43617</v>
      </c>
      <c r="E6091" t="s">
        <v>12</v>
      </c>
      <c r="F6091">
        <v>140.4</v>
      </c>
      <c r="G6091" t="str">
        <f>VLOOKUP(Table1_2[[#This Row],[Categories]],Sheet3!$A$1:$B$27,2,FALSE)</f>
        <v>Food &amp;Beverage</v>
      </c>
    </row>
    <row r="6092" spans="1:7" x14ac:dyDescent="0.3">
      <c r="A6092" t="s">
        <v>30</v>
      </c>
      <c r="B6092">
        <v>2019</v>
      </c>
      <c r="C6092" t="s">
        <v>39</v>
      </c>
      <c r="D6092" s="2">
        <v>43617</v>
      </c>
      <c r="E6092" t="s">
        <v>13</v>
      </c>
      <c r="F6092">
        <v>138</v>
      </c>
      <c r="G6092" t="str">
        <f>VLOOKUP(Table1_2[[#This Row],[Categories]],Sheet3!$A$1:$B$27,2,FALSE)</f>
        <v>Food &amp;Beverage</v>
      </c>
    </row>
    <row r="6093" spans="1:7" x14ac:dyDescent="0.3">
      <c r="A6093" t="s">
        <v>30</v>
      </c>
      <c r="B6093">
        <v>2019</v>
      </c>
      <c r="C6093" t="s">
        <v>39</v>
      </c>
      <c r="D6093" s="2">
        <v>43617</v>
      </c>
      <c r="E6093" t="s">
        <v>14</v>
      </c>
      <c r="F6093">
        <v>156.6</v>
      </c>
      <c r="G6093" t="str">
        <f>VLOOKUP(Table1_2[[#This Row],[Categories]],Sheet3!$A$1:$B$27,2,FALSE)</f>
        <v>Food &amp;Beverage</v>
      </c>
    </row>
    <row r="6094" spans="1:7" x14ac:dyDescent="0.3">
      <c r="A6094" t="s">
        <v>30</v>
      </c>
      <c r="B6094">
        <v>2019</v>
      </c>
      <c r="C6094" t="s">
        <v>39</v>
      </c>
      <c r="D6094" s="2">
        <v>43617</v>
      </c>
      <c r="E6094" t="s">
        <v>15</v>
      </c>
      <c r="F6094">
        <v>141</v>
      </c>
      <c r="G6094" t="str">
        <f>VLOOKUP(Table1_2[[#This Row],[Categories]],Sheet3!$A$1:$B$27,2,FALSE)</f>
        <v>Food &amp;Beverage</v>
      </c>
    </row>
    <row r="6095" spans="1:7" x14ac:dyDescent="0.3">
      <c r="A6095" t="s">
        <v>30</v>
      </c>
      <c r="B6095">
        <v>2019</v>
      </c>
      <c r="C6095" t="s">
        <v>39</v>
      </c>
      <c r="D6095" s="2">
        <v>43617</v>
      </c>
      <c r="E6095" t="s">
        <v>16</v>
      </c>
      <c r="F6095">
        <v>164.2</v>
      </c>
      <c r="G6095" t="str">
        <f>VLOOKUP(Table1_2[[#This Row],[Categories]],Sheet3!$A$1:$B$27,2,FALSE)</f>
        <v>Recreation and amusement</v>
      </c>
    </row>
    <row r="6096" spans="1:7" x14ac:dyDescent="0.3">
      <c r="A6096" t="s">
        <v>30</v>
      </c>
      <c r="B6096">
        <v>2019</v>
      </c>
      <c r="C6096" t="s">
        <v>39</v>
      </c>
      <c r="D6096" s="2">
        <v>43617</v>
      </c>
      <c r="E6096" t="s">
        <v>17</v>
      </c>
      <c r="F6096">
        <v>151.4</v>
      </c>
      <c r="G6096" t="str">
        <f>VLOOKUP(Table1_2[[#This Row],[Categories]],Sheet3!$A$1:$B$27,2,FALSE)</f>
        <v>Clothing and footwear</v>
      </c>
    </row>
    <row r="6097" spans="1:7" x14ac:dyDescent="0.3">
      <c r="A6097" t="s">
        <v>30</v>
      </c>
      <c r="B6097">
        <v>2019</v>
      </c>
      <c r="C6097" t="s">
        <v>39</v>
      </c>
      <c r="D6097" s="2">
        <v>43617</v>
      </c>
      <c r="E6097" t="s">
        <v>18</v>
      </c>
      <c r="F6097">
        <v>146.5</v>
      </c>
      <c r="G6097" t="str">
        <f>VLOOKUP(Table1_2[[#This Row],[Categories]],Sheet3!$A$1:$B$27,2,FALSE)</f>
        <v>Clothing and footwear</v>
      </c>
    </row>
    <row r="6098" spans="1:7" x14ac:dyDescent="0.3">
      <c r="A6098" t="s">
        <v>30</v>
      </c>
      <c r="B6098">
        <v>2019</v>
      </c>
      <c r="C6098" t="s">
        <v>39</v>
      </c>
      <c r="D6098" s="2">
        <v>43617</v>
      </c>
      <c r="E6098" t="s">
        <v>19</v>
      </c>
      <c r="F6098">
        <v>150.69999999999999</v>
      </c>
      <c r="G6098" t="str">
        <f>VLOOKUP(Table1_2[[#This Row],[Categories]],Sheet3!$A$1:$B$27,2,FALSE)</f>
        <v>Clothing and footwear</v>
      </c>
    </row>
    <row r="6099" spans="1:7" x14ac:dyDescent="0.3">
      <c r="A6099" t="s">
        <v>30</v>
      </c>
      <c r="B6099">
        <v>2019</v>
      </c>
      <c r="C6099" t="s">
        <v>39</v>
      </c>
      <c r="D6099" s="2">
        <v>43617</v>
      </c>
      <c r="E6099" t="s">
        <v>21</v>
      </c>
      <c r="F6099">
        <v>147.80000000000001</v>
      </c>
      <c r="G6099" t="str">
        <f>VLOOKUP(Table1_2[[#This Row],[Categories]],Sheet3!$A$1:$B$27,2,FALSE)</f>
        <v>Fuel and light</v>
      </c>
    </row>
    <row r="6100" spans="1:7" x14ac:dyDescent="0.3">
      <c r="A6100" t="s">
        <v>30</v>
      </c>
      <c r="B6100">
        <v>2019</v>
      </c>
      <c r="C6100" t="s">
        <v>39</v>
      </c>
      <c r="D6100" s="2">
        <v>43617</v>
      </c>
      <c r="E6100" t="s">
        <v>22</v>
      </c>
      <c r="F6100">
        <v>149.6</v>
      </c>
      <c r="G6100" t="str">
        <f>VLOOKUP(Table1_2[[#This Row],[Categories]],Sheet3!$A$1:$B$27,2,FALSE)</f>
        <v>Household Items</v>
      </c>
    </row>
    <row r="6101" spans="1:7" x14ac:dyDescent="0.3">
      <c r="A6101" t="s">
        <v>30</v>
      </c>
      <c r="B6101">
        <v>2019</v>
      </c>
      <c r="C6101" t="s">
        <v>39</v>
      </c>
      <c r="D6101" s="2">
        <v>43617</v>
      </c>
      <c r="E6101" t="s">
        <v>23</v>
      </c>
      <c r="F6101">
        <v>151.69999999999999</v>
      </c>
      <c r="G6101" t="str">
        <f>VLOOKUP(Table1_2[[#This Row],[Categories]],Sheet3!$A$1:$B$27,2,FALSE)</f>
        <v>Health</v>
      </c>
    </row>
    <row r="6102" spans="1:7" x14ac:dyDescent="0.3">
      <c r="A6102" t="s">
        <v>30</v>
      </c>
      <c r="B6102">
        <v>2019</v>
      </c>
      <c r="C6102" t="s">
        <v>39</v>
      </c>
      <c r="D6102" s="2">
        <v>43617</v>
      </c>
      <c r="E6102" t="s">
        <v>24</v>
      </c>
      <c r="F6102">
        <v>130.19999999999999</v>
      </c>
      <c r="G6102" t="str">
        <f>VLOOKUP(Table1_2[[#This Row],[Categories]],Sheet3!$A$1:$B$27,2,FALSE)</f>
        <v>Transport and communication</v>
      </c>
    </row>
    <row r="6103" spans="1:7" x14ac:dyDescent="0.3">
      <c r="A6103" t="s">
        <v>30</v>
      </c>
      <c r="B6103">
        <v>2019</v>
      </c>
      <c r="C6103" t="s">
        <v>39</v>
      </c>
      <c r="D6103" s="2">
        <v>43617</v>
      </c>
      <c r="E6103" t="s">
        <v>25</v>
      </c>
      <c r="F6103">
        <v>146.4</v>
      </c>
      <c r="G6103" t="str">
        <f>VLOOKUP(Table1_2[[#This Row],[Categories]],Sheet3!$A$1:$B$27,2,FALSE)</f>
        <v>Recreation and amusement</v>
      </c>
    </row>
    <row r="6104" spans="1:7" x14ac:dyDescent="0.3">
      <c r="A6104" t="s">
        <v>30</v>
      </c>
      <c r="B6104">
        <v>2019</v>
      </c>
      <c r="C6104" t="s">
        <v>39</v>
      </c>
      <c r="D6104" s="2">
        <v>43617</v>
      </c>
      <c r="E6104" t="s">
        <v>26</v>
      </c>
      <c r="F6104">
        <v>157.69999999999999</v>
      </c>
      <c r="G6104" t="str">
        <f>VLOOKUP(Table1_2[[#This Row],[Categories]],Sheet3!$A$1:$B$27,2,FALSE)</f>
        <v>Education</v>
      </c>
    </row>
    <row r="6105" spans="1:7" x14ac:dyDescent="0.3">
      <c r="A6105" t="s">
        <v>30</v>
      </c>
      <c r="B6105">
        <v>2019</v>
      </c>
      <c r="C6105" t="s">
        <v>39</v>
      </c>
      <c r="D6105" s="2">
        <v>43617</v>
      </c>
      <c r="E6105" t="s">
        <v>27</v>
      </c>
      <c r="F6105">
        <v>134.80000000000001</v>
      </c>
      <c r="G6105" t="str">
        <f>VLOOKUP(Table1_2[[#This Row],[Categories]],Sheet3!$A$1:$B$27,2,FALSE)</f>
        <v>Household Items</v>
      </c>
    </row>
    <row r="6106" spans="1:7" x14ac:dyDescent="0.3">
      <c r="A6106" t="s">
        <v>30</v>
      </c>
      <c r="B6106">
        <v>2019</v>
      </c>
      <c r="C6106" t="s">
        <v>39</v>
      </c>
      <c r="D6106" s="2">
        <v>43617</v>
      </c>
      <c r="E6106" t="s">
        <v>28</v>
      </c>
      <c r="F6106">
        <v>143.30000000000001</v>
      </c>
      <c r="G6106" t="str">
        <f>VLOOKUP(Table1_2[[#This Row],[Categories]],Sheet3!$A$1:$B$27,2,FALSE)</f>
        <v>Miscellaneous</v>
      </c>
    </row>
    <row r="6107" spans="1:7" x14ac:dyDescent="0.3">
      <c r="A6107" t="s">
        <v>30</v>
      </c>
      <c r="B6107">
        <v>2019</v>
      </c>
      <c r="C6107" t="s">
        <v>39</v>
      </c>
      <c r="D6107" s="2">
        <v>43617</v>
      </c>
      <c r="E6107" t="s">
        <v>29</v>
      </c>
      <c r="F6107">
        <v>143.6</v>
      </c>
      <c r="G6107" t="str">
        <f>VLOOKUP(Table1_2[[#This Row],[Categories]],Sheet3!$A$1:$B$27,2,FALSE)</f>
        <v>General index</v>
      </c>
    </row>
    <row r="6108" spans="1:7" x14ac:dyDescent="0.3">
      <c r="A6108" t="s">
        <v>33</v>
      </c>
      <c r="B6108">
        <v>2019</v>
      </c>
      <c r="C6108" t="s">
        <v>39</v>
      </c>
      <c r="D6108" s="2">
        <v>43617</v>
      </c>
      <c r="E6108" t="s">
        <v>3</v>
      </c>
      <c r="F6108">
        <v>140.69999999999999</v>
      </c>
      <c r="G6108" t="str">
        <f>VLOOKUP(Table1_2[[#This Row],[Categories]],Sheet3!$A$1:$B$27,2,FALSE)</f>
        <v>Food &amp;Beverage</v>
      </c>
    </row>
    <row r="6109" spans="1:7" x14ac:dyDescent="0.3">
      <c r="A6109" t="s">
        <v>33</v>
      </c>
      <c r="B6109">
        <v>2019</v>
      </c>
      <c r="C6109" t="s">
        <v>39</v>
      </c>
      <c r="D6109" s="2">
        <v>43617</v>
      </c>
      <c r="E6109" t="s">
        <v>4</v>
      </c>
      <c r="F6109">
        <v>159.6</v>
      </c>
      <c r="G6109" t="str">
        <f>VLOOKUP(Table1_2[[#This Row],[Categories]],Sheet3!$A$1:$B$27,2,FALSE)</f>
        <v>Food &amp;Beverage</v>
      </c>
    </row>
    <row r="6110" spans="1:7" x14ac:dyDescent="0.3">
      <c r="A6110" t="s">
        <v>33</v>
      </c>
      <c r="B6110">
        <v>2019</v>
      </c>
      <c r="C6110" t="s">
        <v>39</v>
      </c>
      <c r="D6110" s="2">
        <v>43617</v>
      </c>
      <c r="E6110" t="s">
        <v>5</v>
      </c>
      <c r="F6110">
        <v>140.4</v>
      </c>
      <c r="G6110" t="str">
        <f>VLOOKUP(Table1_2[[#This Row],[Categories]],Sheet3!$A$1:$B$27,2,FALSE)</f>
        <v>Food &amp;Beverage</v>
      </c>
    </row>
    <row r="6111" spans="1:7" x14ac:dyDescent="0.3">
      <c r="A6111" t="s">
        <v>33</v>
      </c>
      <c r="B6111">
        <v>2019</v>
      </c>
      <c r="C6111" t="s">
        <v>39</v>
      </c>
      <c r="D6111" s="2">
        <v>43617</v>
      </c>
      <c r="E6111" t="s">
        <v>6</v>
      </c>
      <c r="F6111">
        <v>143.4</v>
      </c>
      <c r="G6111" t="str">
        <f>VLOOKUP(Table1_2[[#This Row],[Categories]],Sheet3!$A$1:$B$27,2,FALSE)</f>
        <v>Food &amp;Beverage</v>
      </c>
    </row>
    <row r="6112" spans="1:7" x14ac:dyDescent="0.3">
      <c r="A6112" t="s">
        <v>33</v>
      </c>
      <c r="B6112">
        <v>2019</v>
      </c>
      <c r="C6112" t="s">
        <v>39</v>
      </c>
      <c r="D6112" s="2">
        <v>43617</v>
      </c>
      <c r="E6112" t="s">
        <v>7</v>
      </c>
      <c r="F6112">
        <v>118.6</v>
      </c>
      <c r="G6112" t="str">
        <f>VLOOKUP(Table1_2[[#This Row],[Categories]],Sheet3!$A$1:$B$27,2,FALSE)</f>
        <v>Food &amp;Beverage</v>
      </c>
    </row>
    <row r="6113" spans="1:7" x14ac:dyDescent="0.3">
      <c r="A6113" t="s">
        <v>33</v>
      </c>
      <c r="B6113">
        <v>2019</v>
      </c>
      <c r="C6113" t="s">
        <v>39</v>
      </c>
      <c r="D6113" s="2">
        <v>43617</v>
      </c>
      <c r="E6113" t="s">
        <v>8</v>
      </c>
      <c r="F6113">
        <v>150.9</v>
      </c>
      <c r="G6113" t="str">
        <f>VLOOKUP(Table1_2[[#This Row],[Categories]],Sheet3!$A$1:$B$27,2,FALSE)</f>
        <v>Food &amp;Beverage</v>
      </c>
    </row>
    <row r="6114" spans="1:7" x14ac:dyDescent="0.3">
      <c r="A6114" t="s">
        <v>33</v>
      </c>
      <c r="B6114">
        <v>2019</v>
      </c>
      <c r="C6114" t="s">
        <v>39</v>
      </c>
      <c r="D6114" s="2">
        <v>43617</v>
      </c>
      <c r="E6114" t="s">
        <v>9</v>
      </c>
      <c r="F6114">
        <v>169.8</v>
      </c>
      <c r="G6114" t="str">
        <f>VLOOKUP(Table1_2[[#This Row],[Categories]],Sheet3!$A$1:$B$27,2,FALSE)</f>
        <v>Food &amp;Beverage</v>
      </c>
    </row>
    <row r="6115" spans="1:7" x14ac:dyDescent="0.3">
      <c r="A6115" t="s">
        <v>33</v>
      </c>
      <c r="B6115">
        <v>2019</v>
      </c>
      <c r="C6115" t="s">
        <v>39</v>
      </c>
      <c r="D6115" s="2">
        <v>43617</v>
      </c>
      <c r="E6115" t="s">
        <v>10</v>
      </c>
      <c r="F6115">
        <v>127.4</v>
      </c>
      <c r="G6115" t="str">
        <f>VLOOKUP(Table1_2[[#This Row],[Categories]],Sheet3!$A$1:$B$27,2,FALSE)</f>
        <v>Food &amp;Beverage</v>
      </c>
    </row>
    <row r="6116" spans="1:7" x14ac:dyDescent="0.3">
      <c r="A6116" t="s">
        <v>33</v>
      </c>
      <c r="B6116">
        <v>2019</v>
      </c>
      <c r="C6116" t="s">
        <v>39</v>
      </c>
      <c r="D6116" s="2">
        <v>43617</v>
      </c>
      <c r="E6116" t="s">
        <v>11</v>
      </c>
      <c r="F6116">
        <v>111.8</v>
      </c>
      <c r="G6116" t="str">
        <f>VLOOKUP(Table1_2[[#This Row],[Categories]],Sheet3!$A$1:$B$27,2,FALSE)</f>
        <v>Food &amp;Beverage</v>
      </c>
    </row>
    <row r="6117" spans="1:7" x14ac:dyDescent="0.3">
      <c r="A6117" t="s">
        <v>33</v>
      </c>
      <c r="B6117">
        <v>2019</v>
      </c>
      <c r="C6117" t="s">
        <v>39</v>
      </c>
      <c r="D6117" s="2">
        <v>43617</v>
      </c>
      <c r="E6117" t="s">
        <v>12</v>
      </c>
      <c r="F6117">
        <v>141</v>
      </c>
      <c r="G6117" t="str">
        <f>VLOOKUP(Table1_2[[#This Row],[Categories]],Sheet3!$A$1:$B$27,2,FALSE)</f>
        <v>Food &amp;Beverage</v>
      </c>
    </row>
    <row r="6118" spans="1:7" x14ac:dyDescent="0.3">
      <c r="A6118" t="s">
        <v>33</v>
      </c>
      <c r="B6118">
        <v>2019</v>
      </c>
      <c r="C6118" t="s">
        <v>39</v>
      </c>
      <c r="D6118" s="2">
        <v>43617</v>
      </c>
      <c r="E6118" t="s">
        <v>13</v>
      </c>
      <c r="F6118">
        <v>129</v>
      </c>
      <c r="G6118" t="str">
        <f>VLOOKUP(Table1_2[[#This Row],[Categories]],Sheet3!$A$1:$B$27,2,FALSE)</f>
        <v>Food &amp;Beverage</v>
      </c>
    </row>
    <row r="6119" spans="1:7" x14ac:dyDescent="0.3">
      <c r="A6119" t="s">
        <v>33</v>
      </c>
      <c r="B6119">
        <v>2019</v>
      </c>
      <c r="C6119" t="s">
        <v>39</v>
      </c>
      <c r="D6119" s="2">
        <v>43617</v>
      </c>
      <c r="E6119" t="s">
        <v>14</v>
      </c>
      <c r="F6119">
        <v>155.1</v>
      </c>
      <c r="G6119" t="str">
        <f>VLOOKUP(Table1_2[[#This Row],[Categories]],Sheet3!$A$1:$B$27,2,FALSE)</f>
        <v>Food &amp;Beverage</v>
      </c>
    </row>
    <row r="6120" spans="1:7" x14ac:dyDescent="0.3">
      <c r="A6120" t="s">
        <v>33</v>
      </c>
      <c r="B6120">
        <v>2019</v>
      </c>
      <c r="C6120" t="s">
        <v>39</v>
      </c>
      <c r="D6120" s="2">
        <v>43617</v>
      </c>
      <c r="E6120" t="s">
        <v>15</v>
      </c>
      <c r="F6120">
        <v>145.6</v>
      </c>
      <c r="G6120" t="str">
        <f>VLOOKUP(Table1_2[[#This Row],[Categories]],Sheet3!$A$1:$B$27,2,FALSE)</f>
        <v>Food &amp;Beverage</v>
      </c>
    </row>
    <row r="6121" spans="1:7" x14ac:dyDescent="0.3">
      <c r="A6121" t="s">
        <v>33</v>
      </c>
      <c r="B6121">
        <v>2019</v>
      </c>
      <c r="C6121" t="s">
        <v>39</v>
      </c>
      <c r="D6121" s="2">
        <v>43617</v>
      </c>
      <c r="E6121" t="s">
        <v>16</v>
      </c>
      <c r="F6121">
        <v>166.7</v>
      </c>
      <c r="G6121" t="str">
        <f>VLOOKUP(Table1_2[[#This Row],[Categories]],Sheet3!$A$1:$B$27,2,FALSE)</f>
        <v>Recreation and amusement</v>
      </c>
    </row>
    <row r="6122" spans="1:7" x14ac:dyDescent="0.3">
      <c r="A6122" t="s">
        <v>33</v>
      </c>
      <c r="B6122">
        <v>2019</v>
      </c>
      <c r="C6122" t="s">
        <v>39</v>
      </c>
      <c r="D6122" s="2">
        <v>43617</v>
      </c>
      <c r="E6122" t="s">
        <v>17</v>
      </c>
      <c r="F6122">
        <v>144.30000000000001</v>
      </c>
      <c r="G6122" t="str">
        <f>VLOOKUP(Table1_2[[#This Row],[Categories]],Sheet3!$A$1:$B$27,2,FALSE)</f>
        <v>Clothing and footwear</v>
      </c>
    </row>
    <row r="6123" spans="1:7" x14ac:dyDescent="0.3">
      <c r="A6123" t="s">
        <v>33</v>
      </c>
      <c r="B6123">
        <v>2019</v>
      </c>
      <c r="C6123" t="s">
        <v>39</v>
      </c>
      <c r="D6123" s="2">
        <v>43617</v>
      </c>
      <c r="E6123" t="s">
        <v>18</v>
      </c>
      <c r="F6123">
        <v>131.69999999999999</v>
      </c>
      <c r="G6123" t="str">
        <f>VLOOKUP(Table1_2[[#This Row],[Categories]],Sheet3!$A$1:$B$27,2,FALSE)</f>
        <v>Clothing and footwear</v>
      </c>
    </row>
    <row r="6124" spans="1:7" x14ac:dyDescent="0.3">
      <c r="A6124" t="s">
        <v>33</v>
      </c>
      <c r="B6124">
        <v>2019</v>
      </c>
      <c r="C6124" t="s">
        <v>39</v>
      </c>
      <c r="D6124" s="2">
        <v>43617</v>
      </c>
      <c r="E6124" t="s">
        <v>19</v>
      </c>
      <c r="F6124">
        <v>142.4</v>
      </c>
      <c r="G6124" t="str">
        <f>VLOOKUP(Table1_2[[#This Row],[Categories]],Sheet3!$A$1:$B$27,2,FALSE)</f>
        <v>Clothing and footwear</v>
      </c>
    </row>
    <row r="6125" spans="1:7" x14ac:dyDescent="0.3">
      <c r="A6125" t="s">
        <v>33</v>
      </c>
      <c r="B6125">
        <v>2019</v>
      </c>
      <c r="C6125" t="s">
        <v>39</v>
      </c>
      <c r="D6125" s="2">
        <v>43617</v>
      </c>
      <c r="E6125" t="s">
        <v>20</v>
      </c>
      <c r="F6125">
        <v>149.4</v>
      </c>
      <c r="G6125" t="str">
        <f>VLOOKUP(Table1_2[[#This Row],[Categories]],Sheet3!$A$1:$B$27,2,FALSE)</f>
        <v>Housing</v>
      </c>
    </row>
    <row r="6126" spans="1:7" x14ac:dyDescent="0.3">
      <c r="A6126" t="s">
        <v>33</v>
      </c>
      <c r="B6126">
        <v>2019</v>
      </c>
      <c r="C6126" t="s">
        <v>39</v>
      </c>
      <c r="D6126" s="2">
        <v>43617</v>
      </c>
      <c r="E6126" t="s">
        <v>21</v>
      </c>
      <c r="F6126">
        <v>130.5</v>
      </c>
      <c r="G6126" t="str">
        <f>VLOOKUP(Table1_2[[#This Row],[Categories]],Sheet3!$A$1:$B$27,2,FALSE)</f>
        <v>Fuel and light</v>
      </c>
    </row>
    <row r="6127" spans="1:7" x14ac:dyDescent="0.3">
      <c r="A6127" t="s">
        <v>33</v>
      </c>
      <c r="B6127">
        <v>2019</v>
      </c>
      <c r="C6127" t="s">
        <v>39</v>
      </c>
      <c r="D6127" s="2">
        <v>43617</v>
      </c>
      <c r="E6127" t="s">
        <v>22</v>
      </c>
      <c r="F6127">
        <v>137.4</v>
      </c>
      <c r="G6127" t="str">
        <f>VLOOKUP(Table1_2[[#This Row],[Categories]],Sheet3!$A$1:$B$27,2,FALSE)</f>
        <v>Household Items</v>
      </c>
    </row>
    <row r="6128" spans="1:7" x14ac:dyDescent="0.3">
      <c r="A6128" t="s">
        <v>33</v>
      </c>
      <c r="B6128">
        <v>2019</v>
      </c>
      <c r="C6128" t="s">
        <v>39</v>
      </c>
      <c r="D6128" s="2">
        <v>43617</v>
      </c>
      <c r="E6128" t="s">
        <v>23</v>
      </c>
      <c r="F6128">
        <v>140.30000000000001</v>
      </c>
      <c r="G6128" t="str">
        <f>VLOOKUP(Table1_2[[#This Row],[Categories]],Sheet3!$A$1:$B$27,2,FALSE)</f>
        <v>Health</v>
      </c>
    </row>
    <row r="6129" spans="1:7" x14ac:dyDescent="0.3">
      <c r="A6129" t="s">
        <v>33</v>
      </c>
      <c r="B6129">
        <v>2019</v>
      </c>
      <c r="C6129" t="s">
        <v>39</v>
      </c>
      <c r="D6129" s="2">
        <v>43617</v>
      </c>
      <c r="E6129" t="s">
        <v>24</v>
      </c>
      <c r="F6129">
        <v>119.6</v>
      </c>
      <c r="G6129" t="str">
        <f>VLOOKUP(Table1_2[[#This Row],[Categories]],Sheet3!$A$1:$B$27,2,FALSE)</f>
        <v>Transport and communication</v>
      </c>
    </row>
    <row r="6130" spans="1:7" x14ac:dyDescent="0.3">
      <c r="A6130" t="s">
        <v>33</v>
      </c>
      <c r="B6130">
        <v>2019</v>
      </c>
      <c r="C6130" t="s">
        <v>39</v>
      </c>
      <c r="D6130" s="2">
        <v>43617</v>
      </c>
      <c r="E6130" t="s">
        <v>25</v>
      </c>
      <c r="F6130">
        <v>134.30000000000001</v>
      </c>
      <c r="G6130" t="str">
        <f>VLOOKUP(Table1_2[[#This Row],[Categories]],Sheet3!$A$1:$B$27,2,FALSE)</f>
        <v>Recreation and amusement</v>
      </c>
    </row>
    <row r="6131" spans="1:7" x14ac:dyDescent="0.3">
      <c r="A6131" t="s">
        <v>33</v>
      </c>
      <c r="B6131">
        <v>2019</v>
      </c>
      <c r="C6131" t="s">
        <v>39</v>
      </c>
      <c r="D6131" s="2">
        <v>43617</v>
      </c>
      <c r="E6131" t="s">
        <v>26</v>
      </c>
      <c r="F6131">
        <v>148.9</v>
      </c>
      <c r="G6131" t="str">
        <f>VLOOKUP(Table1_2[[#This Row],[Categories]],Sheet3!$A$1:$B$27,2,FALSE)</f>
        <v>Education</v>
      </c>
    </row>
    <row r="6132" spans="1:7" x14ac:dyDescent="0.3">
      <c r="A6132" t="s">
        <v>33</v>
      </c>
      <c r="B6132">
        <v>2019</v>
      </c>
      <c r="C6132" t="s">
        <v>39</v>
      </c>
      <c r="D6132" s="2">
        <v>43617</v>
      </c>
      <c r="E6132" t="s">
        <v>27</v>
      </c>
      <c r="F6132">
        <v>133.69999999999999</v>
      </c>
      <c r="G6132" t="str">
        <f>VLOOKUP(Table1_2[[#This Row],[Categories]],Sheet3!$A$1:$B$27,2,FALSE)</f>
        <v>Household Items</v>
      </c>
    </row>
    <row r="6133" spans="1:7" x14ac:dyDescent="0.3">
      <c r="A6133" t="s">
        <v>33</v>
      </c>
      <c r="B6133">
        <v>2019</v>
      </c>
      <c r="C6133" t="s">
        <v>39</v>
      </c>
      <c r="D6133" s="2">
        <v>43617</v>
      </c>
      <c r="E6133" t="s">
        <v>28</v>
      </c>
      <c r="F6133">
        <v>133.6</v>
      </c>
      <c r="G6133" t="str">
        <f>VLOOKUP(Table1_2[[#This Row],[Categories]],Sheet3!$A$1:$B$27,2,FALSE)</f>
        <v>Miscellaneous</v>
      </c>
    </row>
    <row r="6134" spans="1:7" x14ac:dyDescent="0.3">
      <c r="A6134" t="s">
        <v>33</v>
      </c>
      <c r="B6134">
        <v>2019</v>
      </c>
      <c r="C6134" t="s">
        <v>39</v>
      </c>
      <c r="D6134" s="2">
        <v>43617</v>
      </c>
      <c r="E6134" t="s">
        <v>29</v>
      </c>
      <c r="F6134">
        <v>142.1</v>
      </c>
      <c r="G6134" t="str">
        <f>VLOOKUP(Table1_2[[#This Row],[Categories]],Sheet3!$A$1:$B$27,2,FALSE)</f>
        <v>General index</v>
      </c>
    </row>
    <row r="6135" spans="1:7" x14ac:dyDescent="0.3">
      <c r="A6135" t="s">
        <v>34</v>
      </c>
      <c r="B6135">
        <v>2019</v>
      </c>
      <c r="C6135" t="s">
        <v>39</v>
      </c>
      <c r="D6135" s="2">
        <v>43617</v>
      </c>
      <c r="E6135" t="s">
        <v>3</v>
      </c>
      <c r="F6135">
        <v>138.69999999999999</v>
      </c>
      <c r="G6135" t="str">
        <f>VLOOKUP(Table1_2[[#This Row],[Categories]],Sheet3!$A$1:$B$27,2,FALSE)</f>
        <v>Food &amp;Beverage</v>
      </c>
    </row>
    <row r="6136" spans="1:7" x14ac:dyDescent="0.3">
      <c r="A6136" t="s">
        <v>34</v>
      </c>
      <c r="B6136">
        <v>2019</v>
      </c>
      <c r="C6136" t="s">
        <v>39</v>
      </c>
      <c r="D6136" s="2">
        <v>43617</v>
      </c>
      <c r="E6136" t="s">
        <v>4</v>
      </c>
      <c r="F6136">
        <v>162.1</v>
      </c>
      <c r="G6136" t="str">
        <f>VLOOKUP(Table1_2[[#This Row],[Categories]],Sheet3!$A$1:$B$27,2,FALSE)</f>
        <v>Food &amp;Beverage</v>
      </c>
    </row>
    <row r="6137" spans="1:7" x14ac:dyDescent="0.3">
      <c r="A6137" t="s">
        <v>34</v>
      </c>
      <c r="B6137">
        <v>2019</v>
      </c>
      <c r="C6137" t="s">
        <v>39</v>
      </c>
      <c r="D6137" s="2">
        <v>43617</v>
      </c>
      <c r="E6137" t="s">
        <v>5</v>
      </c>
      <c r="F6137">
        <v>137.80000000000001</v>
      </c>
      <c r="G6137" t="str">
        <f>VLOOKUP(Table1_2[[#This Row],[Categories]],Sheet3!$A$1:$B$27,2,FALSE)</f>
        <v>Food &amp;Beverage</v>
      </c>
    </row>
    <row r="6138" spans="1:7" x14ac:dyDescent="0.3">
      <c r="A6138" t="s">
        <v>34</v>
      </c>
      <c r="B6138">
        <v>2019</v>
      </c>
      <c r="C6138" t="s">
        <v>39</v>
      </c>
      <c r="D6138" s="2">
        <v>43617</v>
      </c>
      <c r="E6138" t="s">
        <v>6</v>
      </c>
      <c r="F6138">
        <v>143.30000000000001</v>
      </c>
      <c r="G6138" t="str">
        <f>VLOOKUP(Table1_2[[#This Row],[Categories]],Sheet3!$A$1:$B$27,2,FALSE)</f>
        <v>Food &amp;Beverage</v>
      </c>
    </row>
    <row r="6139" spans="1:7" x14ac:dyDescent="0.3">
      <c r="A6139" t="s">
        <v>34</v>
      </c>
      <c r="B6139">
        <v>2019</v>
      </c>
      <c r="C6139" t="s">
        <v>39</v>
      </c>
      <c r="D6139" s="2">
        <v>43617</v>
      </c>
      <c r="E6139" t="s">
        <v>7</v>
      </c>
      <c r="F6139">
        <v>122.2</v>
      </c>
      <c r="G6139" t="str">
        <f>VLOOKUP(Table1_2[[#This Row],[Categories]],Sheet3!$A$1:$B$27,2,FALSE)</f>
        <v>Food &amp;Beverage</v>
      </c>
    </row>
    <row r="6140" spans="1:7" x14ac:dyDescent="0.3">
      <c r="A6140" t="s">
        <v>34</v>
      </c>
      <c r="B6140">
        <v>2019</v>
      </c>
      <c r="C6140" t="s">
        <v>39</v>
      </c>
      <c r="D6140" s="2">
        <v>43617</v>
      </c>
      <c r="E6140" t="s">
        <v>8</v>
      </c>
      <c r="F6140">
        <v>146.80000000000001</v>
      </c>
      <c r="G6140" t="str">
        <f>VLOOKUP(Table1_2[[#This Row],[Categories]],Sheet3!$A$1:$B$27,2,FALSE)</f>
        <v>Food &amp;Beverage</v>
      </c>
    </row>
    <row r="6141" spans="1:7" x14ac:dyDescent="0.3">
      <c r="A6141" t="s">
        <v>34</v>
      </c>
      <c r="B6141">
        <v>2019</v>
      </c>
      <c r="C6141" t="s">
        <v>39</v>
      </c>
      <c r="D6141" s="2">
        <v>43617</v>
      </c>
      <c r="E6141" t="s">
        <v>9</v>
      </c>
      <c r="F6141">
        <v>150.5</v>
      </c>
      <c r="G6141" t="str">
        <f>VLOOKUP(Table1_2[[#This Row],[Categories]],Sheet3!$A$1:$B$27,2,FALSE)</f>
        <v>Food &amp;Beverage</v>
      </c>
    </row>
    <row r="6142" spans="1:7" x14ac:dyDescent="0.3">
      <c r="A6142" t="s">
        <v>34</v>
      </c>
      <c r="B6142">
        <v>2019</v>
      </c>
      <c r="C6142" t="s">
        <v>39</v>
      </c>
      <c r="D6142" s="2">
        <v>43617</v>
      </c>
      <c r="E6142" t="s">
        <v>10</v>
      </c>
      <c r="F6142">
        <v>128.30000000000001</v>
      </c>
      <c r="G6142" t="str">
        <f>VLOOKUP(Table1_2[[#This Row],[Categories]],Sheet3!$A$1:$B$27,2,FALSE)</f>
        <v>Food &amp;Beverage</v>
      </c>
    </row>
    <row r="6143" spans="1:7" x14ac:dyDescent="0.3">
      <c r="A6143" t="s">
        <v>34</v>
      </c>
      <c r="B6143">
        <v>2019</v>
      </c>
      <c r="C6143" t="s">
        <v>39</v>
      </c>
      <c r="D6143" s="2">
        <v>43617</v>
      </c>
      <c r="E6143" t="s">
        <v>11</v>
      </c>
      <c r="F6143">
        <v>111</v>
      </c>
      <c r="G6143" t="str">
        <f>VLOOKUP(Table1_2[[#This Row],[Categories]],Sheet3!$A$1:$B$27,2,FALSE)</f>
        <v>Food &amp;Beverage</v>
      </c>
    </row>
    <row r="6144" spans="1:7" x14ac:dyDescent="0.3">
      <c r="A6144" t="s">
        <v>34</v>
      </c>
      <c r="B6144">
        <v>2019</v>
      </c>
      <c r="C6144" t="s">
        <v>39</v>
      </c>
      <c r="D6144" s="2">
        <v>43617</v>
      </c>
      <c r="E6144" t="s">
        <v>12</v>
      </c>
      <c r="F6144">
        <v>140.6</v>
      </c>
      <c r="G6144" t="str">
        <f>VLOOKUP(Table1_2[[#This Row],[Categories]],Sheet3!$A$1:$B$27,2,FALSE)</f>
        <v>Food &amp;Beverage</v>
      </c>
    </row>
    <row r="6145" spans="1:7" x14ac:dyDescent="0.3">
      <c r="A6145" t="s">
        <v>34</v>
      </c>
      <c r="B6145">
        <v>2019</v>
      </c>
      <c r="C6145" t="s">
        <v>39</v>
      </c>
      <c r="D6145" s="2">
        <v>43617</v>
      </c>
      <c r="E6145" t="s">
        <v>13</v>
      </c>
      <c r="F6145">
        <v>134.19999999999999</v>
      </c>
      <c r="G6145" t="str">
        <f>VLOOKUP(Table1_2[[#This Row],[Categories]],Sheet3!$A$1:$B$27,2,FALSE)</f>
        <v>Food &amp;Beverage</v>
      </c>
    </row>
    <row r="6146" spans="1:7" x14ac:dyDescent="0.3">
      <c r="A6146" t="s">
        <v>34</v>
      </c>
      <c r="B6146">
        <v>2019</v>
      </c>
      <c r="C6146" t="s">
        <v>39</v>
      </c>
      <c r="D6146" s="2">
        <v>43617</v>
      </c>
      <c r="E6146" t="s">
        <v>14</v>
      </c>
      <c r="F6146">
        <v>155.9</v>
      </c>
      <c r="G6146" t="str">
        <f>VLOOKUP(Table1_2[[#This Row],[Categories]],Sheet3!$A$1:$B$27,2,FALSE)</f>
        <v>Food &amp;Beverage</v>
      </c>
    </row>
    <row r="6147" spans="1:7" x14ac:dyDescent="0.3">
      <c r="A6147" t="s">
        <v>34</v>
      </c>
      <c r="B6147">
        <v>2019</v>
      </c>
      <c r="C6147" t="s">
        <v>39</v>
      </c>
      <c r="D6147" s="2">
        <v>43617</v>
      </c>
      <c r="E6147" t="s">
        <v>15</v>
      </c>
      <c r="F6147">
        <v>142.69999999999999</v>
      </c>
      <c r="G6147" t="str">
        <f>VLOOKUP(Table1_2[[#This Row],[Categories]],Sheet3!$A$1:$B$27,2,FALSE)</f>
        <v>Food &amp;Beverage</v>
      </c>
    </row>
    <row r="6148" spans="1:7" x14ac:dyDescent="0.3">
      <c r="A6148" t="s">
        <v>34</v>
      </c>
      <c r="B6148">
        <v>2019</v>
      </c>
      <c r="C6148" t="s">
        <v>39</v>
      </c>
      <c r="D6148" s="2">
        <v>43617</v>
      </c>
      <c r="E6148" t="s">
        <v>16</v>
      </c>
      <c r="F6148">
        <v>164.9</v>
      </c>
      <c r="G6148" t="str">
        <f>VLOOKUP(Table1_2[[#This Row],[Categories]],Sheet3!$A$1:$B$27,2,FALSE)</f>
        <v>Recreation and amusement</v>
      </c>
    </row>
    <row r="6149" spans="1:7" x14ac:dyDescent="0.3">
      <c r="A6149" t="s">
        <v>34</v>
      </c>
      <c r="B6149">
        <v>2019</v>
      </c>
      <c r="C6149" t="s">
        <v>39</v>
      </c>
      <c r="D6149" s="2">
        <v>43617</v>
      </c>
      <c r="E6149" t="s">
        <v>17</v>
      </c>
      <c r="F6149">
        <v>148.6</v>
      </c>
      <c r="G6149" t="str">
        <f>VLOOKUP(Table1_2[[#This Row],[Categories]],Sheet3!$A$1:$B$27,2,FALSE)</f>
        <v>Clothing and footwear</v>
      </c>
    </row>
    <row r="6150" spans="1:7" x14ac:dyDescent="0.3">
      <c r="A6150" t="s">
        <v>34</v>
      </c>
      <c r="B6150">
        <v>2019</v>
      </c>
      <c r="C6150" t="s">
        <v>39</v>
      </c>
      <c r="D6150" s="2">
        <v>43617</v>
      </c>
      <c r="E6150" t="s">
        <v>18</v>
      </c>
      <c r="F6150">
        <v>140.4</v>
      </c>
      <c r="G6150" t="str">
        <f>VLOOKUP(Table1_2[[#This Row],[Categories]],Sheet3!$A$1:$B$27,2,FALSE)</f>
        <v>Clothing and footwear</v>
      </c>
    </row>
    <row r="6151" spans="1:7" x14ac:dyDescent="0.3">
      <c r="A6151" t="s">
        <v>34</v>
      </c>
      <c r="B6151">
        <v>2019</v>
      </c>
      <c r="C6151" t="s">
        <v>39</v>
      </c>
      <c r="D6151" s="2">
        <v>43617</v>
      </c>
      <c r="E6151" t="s">
        <v>19</v>
      </c>
      <c r="F6151">
        <v>147.4</v>
      </c>
      <c r="G6151" t="str">
        <f>VLOOKUP(Table1_2[[#This Row],[Categories]],Sheet3!$A$1:$B$27,2,FALSE)</f>
        <v>Clothing and footwear</v>
      </c>
    </row>
    <row r="6152" spans="1:7" x14ac:dyDescent="0.3">
      <c r="A6152" t="s">
        <v>34</v>
      </c>
      <c r="B6152">
        <v>2019</v>
      </c>
      <c r="C6152" t="s">
        <v>39</v>
      </c>
      <c r="D6152" s="2">
        <v>43617</v>
      </c>
      <c r="E6152" t="s">
        <v>20</v>
      </c>
      <c r="F6152">
        <v>149.4</v>
      </c>
      <c r="G6152" t="str">
        <f>VLOOKUP(Table1_2[[#This Row],[Categories]],Sheet3!$A$1:$B$27,2,FALSE)</f>
        <v>Housing</v>
      </c>
    </row>
    <row r="6153" spans="1:7" x14ac:dyDescent="0.3">
      <c r="A6153" t="s">
        <v>34</v>
      </c>
      <c r="B6153">
        <v>2019</v>
      </c>
      <c r="C6153" t="s">
        <v>39</v>
      </c>
      <c r="D6153" s="2">
        <v>43617</v>
      </c>
      <c r="E6153" t="s">
        <v>21</v>
      </c>
      <c r="F6153">
        <v>141.19999999999999</v>
      </c>
      <c r="G6153" t="str">
        <f>VLOOKUP(Table1_2[[#This Row],[Categories]],Sheet3!$A$1:$B$27,2,FALSE)</f>
        <v>Fuel and light</v>
      </c>
    </row>
    <row r="6154" spans="1:7" x14ac:dyDescent="0.3">
      <c r="A6154" t="s">
        <v>34</v>
      </c>
      <c r="B6154">
        <v>2019</v>
      </c>
      <c r="C6154" t="s">
        <v>39</v>
      </c>
      <c r="D6154" s="2">
        <v>43617</v>
      </c>
      <c r="E6154" t="s">
        <v>22</v>
      </c>
      <c r="F6154">
        <v>143.80000000000001</v>
      </c>
      <c r="G6154" t="str">
        <f>VLOOKUP(Table1_2[[#This Row],[Categories]],Sheet3!$A$1:$B$27,2,FALSE)</f>
        <v>Household Items</v>
      </c>
    </row>
    <row r="6155" spans="1:7" x14ac:dyDescent="0.3">
      <c r="A6155" t="s">
        <v>34</v>
      </c>
      <c r="B6155">
        <v>2019</v>
      </c>
      <c r="C6155" t="s">
        <v>39</v>
      </c>
      <c r="D6155" s="2">
        <v>43617</v>
      </c>
      <c r="E6155" t="s">
        <v>23</v>
      </c>
      <c r="F6155">
        <v>147.4</v>
      </c>
      <c r="G6155" t="str">
        <f>VLOOKUP(Table1_2[[#This Row],[Categories]],Sheet3!$A$1:$B$27,2,FALSE)</f>
        <v>Health</v>
      </c>
    </row>
    <row r="6156" spans="1:7" x14ac:dyDescent="0.3">
      <c r="A6156" t="s">
        <v>34</v>
      </c>
      <c r="B6156">
        <v>2019</v>
      </c>
      <c r="C6156" t="s">
        <v>39</v>
      </c>
      <c r="D6156" s="2">
        <v>43617</v>
      </c>
      <c r="E6156" t="s">
        <v>24</v>
      </c>
      <c r="F6156">
        <v>124.6</v>
      </c>
      <c r="G6156" t="str">
        <f>VLOOKUP(Table1_2[[#This Row],[Categories]],Sheet3!$A$1:$B$27,2,FALSE)</f>
        <v>Transport and communication</v>
      </c>
    </row>
    <row r="6157" spans="1:7" x14ac:dyDescent="0.3">
      <c r="A6157" t="s">
        <v>34</v>
      </c>
      <c r="B6157">
        <v>2019</v>
      </c>
      <c r="C6157" t="s">
        <v>39</v>
      </c>
      <c r="D6157" s="2">
        <v>43617</v>
      </c>
      <c r="E6157" t="s">
        <v>25</v>
      </c>
      <c r="F6157">
        <v>139.6</v>
      </c>
      <c r="G6157" t="str">
        <f>VLOOKUP(Table1_2[[#This Row],[Categories]],Sheet3!$A$1:$B$27,2,FALSE)</f>
        <v>Recreation and amusement</v>
      </c>
    </row>
    <row r="6158" spans="1:7" x14ac:dyDescent="0.3">
      <c r="A6158" t="s">
        <v>34</v>
      </c>
      <c r="B6158">
        <v>2019</v>
      </c>
      <c r="C6158" t="s">
        <v>39</v>
      </c>
      <c r="D6158" s="2">
        <v>43617</v>
      </c>
      <c r="E6158" t="s">
        <v>26</v>
      </c>
      <c r="F6158">
        <v>152.5</v>
      </c>
      <c r="G6158" t="str">
        <f>VLOOKUP(Table1_2[[#This Row],[Categories]],Sheet3!$A$1:$B$27,2,FALSE)</f>
        <v>Education</v>
      </c>
    </row>
    <row r="6159" spans="1:7" x14ac:dyDescent="0.3">
      <c r="A6159" t="s">
        <v>34</v>
      </c>
      <c r="B6159">
        <v>2019</v>
      </c>
      <c r="C6159" t="s">
        <v>39</v>
      </c>
      <c r="D6159" s="2">
        <v>43617</v>
      </c>
      <c r="E6159" t="s">
        <v>27</v>
      </c>
      <c r="F6159">
        <v>134.30000000000001</v>
      </c>
      <c r="G6159" t="str">
        <f>VLOOKUP(Table1_2[[#This Row],[Categories]],Sheet3!$A$1:$B$27,2,FALSE)</f>
        <v>Household Items</v>
      </c>
    </row>
    <row r="6160" spans="1:7" x14ac:dyDescent="0.3">
      <c r="A6160" t="s">
        <v>34</v>
      </c>
      <c r="B6160">
        <v>2019</v>
      </c>
      <c r="C6160" t="s">
        <v>39</v>
      </c>
      <c r="D6160" s="2">
        <v>43617</v>
      </c>
      <c r="E6160" t="s">
        <v>28</v>
      </c>
      <c r="F6160">
        <v>138.6</v>
      </c>
      <c r="G6160" t="str">
        <f>VLOOKUP(Table1_2[[#This Row],[Categories]],Sheet3!$A$1:$B$27,2,FALSE)</f>
        <v>Miscellaneous</v>
      </c>
    </row>
    <row r="6161" spans="1:7" x14ac:dyDescent="0.3">
      <c r="A6161" t="s">
        <v>34</v>
      </c>
      <c r="B6161">
        <v>2019</v>
      </c>
      <c r="C6161" t="s">
        <v>39</v>
      </c>
      <c r="D6161" s="2">
        <v>43617</v>
      </c>
      <c r="E6161" t="s">
        <v>29</v>
      </c>
      <c r="F6161">
        <v>142.9</v>
      </c>
      <c r="G6161" t="str">
        <f>VLOOKUP(Table1_2[[#This Row],[Categories]],Sheet3!$A$1:$B$27,2,FALSE)</f>
        <v>General index</v>
      </c>
    </row>
    <row r="6162" spans="1:7" x14ac:dyDescent="0.3">
      <c r="A6162" t="s">
        <v>30</v>
      </c>
      <c r="B6162">
        <v>2019</v>
      </c>
      <c r="C6162" t="s">
        <v>40</v>
      </c>
      <c r="D6162" s="2">
        <v>43647</v>
      </c>
      <c r="E6162" t="s">
        <v>3</v>
      </c>
      <c r="F6162">
        <v>138.4</v>
      </c>
      <c r="G6162" t="str">
        <f>VLOOKUP(Table1_2[[#This Row],[Categories]],Sheet3!$A$1:$B$27,2,FALSE)</f>
        <v>Food &amp;Beverage</v>
      </c>
    </row>
    <row r="6163" spans="1:7" x14ac:dyDescent="0.3">
      <c r="A6163" t="s">
        <v>30</v>
      </c>
      <c r="B6163">
        <v>2019</v>
      </c>
      <c r="C6163" t="s">
        <v>40</v>
      </c>
      <c r="D6163" s="2">
        <v>43647</v>
      </c>
      <c r="E6163" t="s">
        <v>4</v>
      </c>
      <c r="F6163">
        <v>164</v>
      </c>
      <c r="G6163" t="str">
        <f>VLOOKUP(Table1_2[[#This Row],[Categories]],Sheet3!$A$1:$B$27,2,FALSE)</f>
        <v>Food &amp;Beverage</v>
      </c>
    </row>
    <row r="6164" spans="1:7" x14ac:dyDescent="0.3">
      <c r="A6164" t="s">
        <v>30</v>
      </c>
      <c r="B6164">
        <v>2019</v>
      </c>
      <c r="C6164" t="s">
        <v>40</v>
      </c>
      <c r="D6164" s="2">
        <v>43647</v>
      </c>
      <c r="E6164" t="s">
        <v>5</v>
      </c>
      <c r="F6164">
        <v>138.4</v>
      </c>
      <c r="G6164" t="str">
        <f>VLOOKUP(Table1_2[[#This Row],[Categories]],Sheet3!$A$1:$B$27,2,FALSE)</f>
        <v>Food &amp;Beverage</v>
      </c>
    </row>
    <row r="6165" spans="1:7" x14ac:dyDescent="0.3">
      <c r="A6165" t="s">
        <v>30</v>
      </c>
      <c r="B6165">
        <v>2019</v>
      </c>
      <c r="C6165" t="s">
        <v>40</v>
      </c>
      <c r="D6165" s="2">
        <v>43647</v>
      </c>
      <c r="E6165" t="s">
        <v>6</v>
      </c>
      <c r="F6165">
        <v>143.9</v>
      </c>
      <c r="G6165" t="str">
        <f>VLOOKUP(Table1_2[[#This Row],[Categories]],Sheet3!$A$1:$B$27,2,FALSE)</f>
        <v>Food &amp;Beverage</v>
      </c>
    </row>
    <row r="6166" spans="1:7" x14ac:dyDescent="0.3">
      <c r="A6166" t="s">
        <v>30</v>
      </c>
      <c r="B6166">
        <v>2019</v>
      </c>
      <c r="C6166" t="s">
        <v>40</v>
      </c>
      <c r="D6166" s="2">
        <v>43647</v>
      </c>
      <c r="E6166" t="s">
        <v>7</v>
      </c>
      <c r="F6166">
        <v>124.4</v>
      </c>
      <c r="G6166" t="str">
        <f>VLOOKUP(Table1_2[[#This Row],[Categories]],Sheet3!$A$1:$B$27,2,FALSE)</f>
        <v>Food &amp;Beverage</v>
      </c>
    </row>
    <row r="6167" spans="1:7" x14ac:dyDescent="0.3">
      <c r="A6167" t="s">
        <v>30</v>
      </c>
      <c r="B6167">
        <v>2019</v>
      </c>
      <c r="C6167" t="s">
        <v>40</v>
      </c>
      <c r="D6167" s="2">
        <v>43647</v>
      </c>
      <c r="E6167" t="s">
        <v>8</v>
      </c>
      <c r="F6167">
        <v>146.4</v>
      </c>
      <c r="G6167" t="str">
        <f>VLOOKUP(Table1_2[[#This Row],[Categories]],Sheet3!$A$1:$B$27,2,FALSE)</f>
        <v>Food &amp;Beverage</v>
      </c>
    </row>
    <row r="6168" spans="1:7" x14ac:dyDescent="0.3">
      <c r="A6168" t="s">
        <v>30</v>
      </c>
      <c r="B6168">
        <v>2019</v>
      </c>
      <c r="C6168" t="s">
        <v>40</v>
      </c>
      <c r="D6168" s="2">
        <v>43647</v>
      </c>
      <c r="E6168" t="s">
        <v>9</v>
      </c>
      <c r="F6168">
        <v>150.1</v>
      </c>
      <c r="G6168" t="str">
        <f>VLOOKUP(Table1_2[[#This Row],[Categories]],Sheet3!$A$1:$B$27,2,FALSE)</f>
        <v>Food &amp;Beverage</v>
      </c>
    </row>
    <row r="6169" spans="1:7" x14ac:dyDescent="0.3">
      <c r="A6169" t="s">
        <v>30</v>
      </c>
      <c r="B6169">
        <v>2019</v>
      </c>
      <c r="C6169" t="s">
        <v>40</v>
      </c>
      <c r="D6169" s="2">
        <v>43647</v>
      </c>
      <c r="E6169" t="s">
        <v>10</v>
      </c>
      <c r="F6169">
        <v>130.6</v>
      </c>
      <c r="G6169" t="str">
        <f>VLOOKUP(Table1_2[[#This Row],[Categories]],Sheet3!$A$1:$B$27,2,FALSE)</f>
        <v>Food &amp;Beverage</v>
      </c>
    </row>
    <row r="6170" spans="1:7" x14ac:dyDescent="0.3">
      <c r="A6170" t="s">
        <v>30</v>
      </c>
      <c r="B6170">
        <v>2019</v>
      </c>
      <c r="C6170" t="s">
        <v>40</v>
      </c>
      <c r="D6170" s="2">
        <v>43647</v>
      </c>
      <c r="E6170" t="s">
        <v>11</v>
      </c>
      <c r="F6170">
        <v>110.8</v>
      </c>
      <c r="G6170" t="str">
        <f>VLOOKUP(Table1_2[[#This Row],[Categories]],Sheet3!$A$1:$B$27,2,FALSE)</f>
        <v>Food &amp;Beverage</v>
      </c>
    </row>
    <row r="6171" spans="1:7" x14ac:dyDescent="0.3">
      <c r="A6171" t="s">
        <v>30</v>
      </c>
      <c r="B6171">
        <v>2019</v>
      </c>
      <c r="C6171" t="s">
        <v>40</v>
      </c>
      <c r="D6171" s="2">
        <v>43647</v>
      </c>
      <c r="E6171" t="s">
        <v>12</v>
      </c>
      <c r="F6171">
        <v>141.69999999999999</v>
      </c>
      <c r="G6171" t="str">
        <f>VLOOKUP(Table1_2[[#This Row],[Categories]],Sheet3!$A$1:$B$27,2,FALSE)</f>
        <v>Food &amp;Beverage</v>
      </c>
    </row>
    <row r="6172" spans="1:7" x14ac:dyDescent="0.3">
      <c r="A6172" t="s">
        <v>30</v>
      </c>
      <c r="B6172">
        <v>2019</v>
      </c>
      <c r="C6172" t="s">
        <v>40</v>
      </c>
      <c r="D6172" s="2">
        <v>43647</v>
      </c>
      <c r="E6172" t="s">
        <v>13</v>
      </c>
      <c r="F6172">
        <v>138.5</v>
      </c>
      <c r="G6172" t="str">
        <f>VLOOKUP(Table1_2[[#This Row],[Categories]],Sheet3!$A$1:$B$27,2,FALSE)</f>
        <v>Food &amp;Beverage</v>
      </c>
    </row>
    <row r="6173" spans="1:7" x14ac:dyDescent="0.3">
      <c r="A6173" t="s">
        <v>30</v>
      </c>
      <c r="B6173">
        <v>2019</v>
      </c>
      <c r="C6173" t="s">
        <v>40</v>
      </c>
      <c r="D6173" s="2">
        <v>43647</v>
      </c>
      <c r="E6173" t="s">
        <v>14</v>
      </c>
      <c r="F6173">
        <v>156.69999999999999</v>
      </c>
      <c r="G6173" t="str">
        <f>VLOOKUP(Table1_2[[#This Row],[Categories]],Sheet3!$A$1:$B$27,2,FALSE)</f>
        <v>Food &amp;Beverage</v>
      </c>
    </row>
    <row r="6174" spans="1:7" x14ac:dyDescent="0.3">
      <c r="A6174" t="s">
        <v>30</v>
      </c>
      <c r="B6174">
        <v>2019</v>
      </c>
      <c r="C6174" t="s">
        <v>40</v>
      </c>
      <c r="D6174" s="2">
        <v>43647</v>
      </c>
      <c r="E6174" t="s">
        <v>15</v>
      </c>
      <c r="F6174">
        <v>143</v>
      </c>
      <c r="G6174" t="str">
        <f>VLOOKUP(Table1_2[[#This Row],[Categories]],Sheet3!$A$1:$B$27,2,FALSE)</f>
        <v>Food &amp;Beverage</v>
      </c>
    </row>
    <row r="6175" spans="1:7" x14ac:dyDescent="0.3">
      <c r="A6175" t="s">
        <v>30</v>
      </c>
      <c r="B6175">
        <v>2019</v>
      </c>
      <c r="C6175" t="s">
        <v>40</v>
      </c>
      <c r="D6175" s="2">
        <v>43647</v>
      </c>
      <c r="E6175" t="s">
        <v>16</v>
      </c>
      <c r="F6175">
        <v>164.5</v>
      </c>
      <c r="G6175" t="str">
        <f>VLOOKUP(Table1_2[[#This Row],[Categories]],Sheet3!$A$1:$B$27,2,FALSE)</f>
        <v>Recreation and amusement</v>
      </c>
    </row>
    <row r="6176" spans="1:7" x14ac:dyDescent="0.3">
      <c r="A6176" t="s">
        <v>30</v>
      </c>
      <c r="B6176">
        <v>2019</v>
      </c>
      <c r="C6176" t="s">
        <v>40</v>
      </c>
      <c r="D6176" s="2">
        <v>43647</v>
      </c>
      <c r="E6176" t="s">
        <v>17</v>
      </c>
      <c r="F6176">
        <v>151.6</v>
      </c>
      <c r="G6176" t="str">
        <f>VLOOKUP(Table1_2[[#This Row],[Categories]],Sheet3!$A$1:$B$27,2,FALSE)</f>
        <v>Clothing and footwear</v>
      </c>
    </row>
    <row r="6177" spans="1:7" x14ac:dyDescent="0.3">
      <c r="A6177" t="s">
        <v>30</v>
      </c>
      <c r="B6177">
        <v>2019</v>
      </c>
      <c r="C6177" t="s">
        <v>40</v>
      </c>
      <c r="D6177" s="2">
        <v>43647</v>
      </c>
      <c r="E6177" t="s">
        <v>18</v>
      </c>
      <c r="F6177">
        <v>146.6</v>
      </c>
      <c r="G6177" t="str">
        <f>VLOOKUP(Table1_2[[#This Row],[Categories]],Sheet3!$A$1:$B$27,2,FALSE)</f>
        <v>Clothing and footwear</v>
      </c>
    </row>
    <row r="6178" spans="1:7" x14ac:dyDescent="0.3">
      <c r="A6178" t="s">
        <v>30</v>
      </c>
      <c r="B6178">
        <v>2019</v>
      </c>
      <c r="C6178" t="s">
        <v>40</v>
      </c>
      <c r="D6178" s="2">
        <v>43647</v>
      </c>
      <c r="E6178" t="s">
        <v>19</v>
      </c>
      <c r="F6178">
        <v>150.9</v>
      </c>
      <c r="G6178" t="str">
        <f>VLOOKUP(Table1_2[[#This Row],[Categories]],Sheet3!$A$1:$B$27,2,FALSE)</f>
        <v>Clothing and footwear</v>
      </c>
    </row>
    <row r="6179" spans="1:7" x14ac:dyDescent="0.3">
      <c r="A6179" t="s">
        <v>30</v>
      </c>
      <c r="B6179">
        <v>2019</v>
      </c>
      <c r="C6179" t="s">
        <v>40</v>
      </c>
      <c r="D6179" s="2">
        <v>43647</v>
      </c>
      <c r="E6179" t="s">
        <v>21</v>
      </c>
      <c r="F6179">
        <v>146.80000000000001</v>
      </c>
      <c r="G6179" t="str">
        <f>VLOOKUP(Table1_2[[#This Row],[Categories]],Sheet3!$A$1:$B$27,2,FALSE)</f>
        <v>Fuel and light</v>
      </c>
    </row>
    <row r="6180" spans="1:7" x14ac:dyDescent="0.3">
      <c r="A6180" t="s">
        <v>30</v>
      </c>
      <c r="B6180">
        <v>2019</v>
      </c>
      <c r="C6180" t="s">
        <v>40</v>
      </c>
      <c r="D6180" s="2">
        <v>43647</v>
      </c>
      <c r="E6180" t="s">
        <v>22</v>
      </c>
      <c r="F6180">
        <v>150</v>
      </c>
      <c r="G6180" t="str">
        <f>VLOOKUP(Table1_2[[#This Row],[Categories]],Sheet3!$A$1:$B$27,2,FALSE)</f>
        <v>Household Items</v>
      </c>
    </row>
    <row r="6181" spans="1:7" x14ac:dyDescent="0.3">
      <c r="A6181" t="s">
        <v>30</v>
      </c>
      <c r="B6181">
        <v>2019</v>
      </c>
      <c r="C6181" t="s">
        <v>40</v>
      </c>
      <c r="D6181" s="2">
        <v>43647</v>
      </c>
      <c r="E6181" t="s">
        <v>23</v>
      </c>
      <c r="F6181">
        <v>152.19999999999999</v>
      </c>
      <c r="G6181" t="str">
        <f>VLOOKUP(Table1_2[[#This Row],[Categories]],Sheet3!$A$1:$B$27,2,FALSE)</f>
        <v>Health</v>
      </c>
    </row>
    <row r="6182" spans="1:7" x14ac:dyDescent="0.3">
      <c r="A6182" t="s">
        <v>30</v>
      </c>
      <c r="B6182">
        <v>2019</v>
      </c>
      <c r="C6182" t="s">
        <v>40</v>
      </c>
      <c r="D6182" s="2">
        <v>43647</v>
      </c>
      <c r="E6182" t="s">
        <v>24</v>
      </c>
      <c r="F6182">
        <v>131.19999999999999</v>
      </c>
      <c r="G6182" t="str">
        <f>VLOOKUP(Table1_2[[#This Row],[Categories]],Sheet3!$A$1:$B$27,2,FALSE)</f>
        <v>Transport and communication</v>
      </c>
    </row>
    <row r="6183" spans="1:7" x14ac:dyDescent="0.3">
      <c r="A6183" t="s">
        <v>30</v>
      </c>
      <c r="B6183">
        <v>2019</v>
      </c>
      <c r="C6183" t="s">
        <v>40</v>
      </c>
      <c r="D6183" s="2">
        <v>43647</v>
      </c>
      <c r="E6183" t="s">
        <v>25</v>
      </c>
      <c r="F6183">
        <v>147.5</v>
      </c>
      <c r="G6183" t="str">
        <f>VLOOKUP(Table1_2[[#This Row],[Categories]],Sheet3!$A$1:$B$27,2,FALSE)</f>
        <v>Recreation and amusement</v>
      </c>
    </row>
    <row r="6184" spans="1:7" x14ac:dyDescent="0.3">
      <c r="A6184" t="s">
        <v>30</v>
      </c>
      <c r="B6184">
        <v>2019</v>
      </c>
      <c r="C6184" t="s">
        <v>40</v>
      </c>
      <c r="D6184" s="2">
        <v>43647</v>
      </c>
      <c r="E6184" t="s">
        <v>26</v>
      </c>
      <c r="F6184">
        <v>159.1</v>
      </c>
      <c r="G6184" t="str">
        <f>VLOOKUP(Table1_2[[#This Row],[Categories]],Sheet3!$A$1:$B$27,2,FALSE)</f>
        <v>Education</v>
      </c>
    </row>
    <row r="6185" spans="1:7" x14ac:dyDescent="0.3">
      <c r="A6185" t="s">
        <v>30</v>
      </c>
      <c r="B6185">
        <v>2019</v>
      </c>
      <c r="C6185" t="s">
        <v>40</v>
      </c>
      <c r="D6185" s="2">
        <v>43647</v>
      </c>
      <c r="E6185" t="s">
        <v>27</v>
      </c>
      <c r="F6185">
        <v>136.1</v>
      </c>
      <c r="G6185" t="str">
        <f>VLOOKUP(Table1_2[[#This Row],[Categories]],Sheet3!$A$1:$B$27,2,FALSE)</f>
        <v>Household Items</v>
      </c>
    </row>
    <row r="6186" spans="1:7" x14ac:dyDescent="0.3">
      <c r="A6186" t="s">
        <v>30</v>
      </c>
      <c r="B6186">
        <v>2019</v>
      </c>
      <c r="C6186" t="s">
        <v>40</v>
      </c>
      <c r="D6186" s="2">
        <v>43647</v>
      </c>
      <c r="E6186" t="s">
        <v>28</v>
      </c>
      <c r="F6186">
        <v>144.19999999999999</v>
      </c>
      <c r="G6186" t="str">
        <f>VLOOKUP(Table1_2[[#This Row],[Categories]],Sheet3!$A$1:$B$27,2,FALSE)</f>
        <v>Miscellaneous</v>
      </c>
    </row>
    <row r="6187" spans="1:7" x14ac:dyDescent="0.3">
      <c r="A6187" t="s">
        <v>30</v>
      </c>
      <c r="B6187">
        <v>2019</v>
      </c>
      <c r="C6187" t="s">
        <v>40</v>
      </c>
      <c r="D6187" s="2">
        <v>43647</v>
      </c>
      <c r="E6187" t="s">
        <v>29</v>
      </c>
      <c r="F6187">
        <v>144.9</v>
      </c>
      <c r="G6187" t="str">
        <f>VLOOKUP(Table1_2[[#This Row],[Categories]],Sheet3!$A$1:$B$27,2,FALSE)</f>
        <v>General index</v>
      </c>
    </row>
    <row r="6188" spans="1:7" x14ac:dyDescent="0.3">
      <c r="A6188" t="s">
        <v>33</v>
      </c>
      <c r="B6188">
        <v>2019</v>
      </c>
      <c r="C6188" t="s">
        <v>40</v>
      </c>
      <c r="D6188" s="2">
        <v>43647</v>
      </c>
      <c r="E6188" t="s">
        <v>3</v>
      </c>
      <c r="F6188">
        <v>141.4</v>
      </c>
      <c r="G6188" t="str">
        <f>VLOOKUP(Table1_2[[#This Row],[Categories]],Sheet3!$A$1:$B$27,2,FALSE)</f>
        <v>Food &amp;Beverage</v>
      </c>
    </row>
    <row r="6189" spans="1:7" x14ac:dyDescent="0.3">
      <c r="A6189" t="s">
        <v>33</v>
      </c>
      <c r="B6189">
        <v>2019</v>
      </c>
      <c r="C6189" t="s">
        <v>40</v>
      </c>
      <c r="D6189" s="2">
        <v>43647</v>
      </c>
      <c r="E6189" t="s">
        <v>4</v>
      </c>
      <c r="F6189">
        <v>160.19999999999999</v>
      </c>
      <c r="G6189" t="str">
        <f>VLOOKUP(Table1_2[[#This Row],[Categories]],Sheet3!$A$1:$B$27,2,FALSE)</f>
        <v>Food &amp;Beverage</v>
      </c>
    </row>
    <row r="6190" spans="1:7" x14ac:dyDescent="0.3">
      <c r="A6190" t="s">
        <v>33</v>
      </c>
      <c r="B6190">
        <v>2019</v>
      </c>
      <c r="C6190" t="s">
        <v>40</v>
      </c>
      <c r="D6190" s="2">
        <v>43647</v>
      </c>
      <c r="E6190" t="s">
        <v>5</v>
      </c>
      <c r="F6190">
        <v>142.5</v>
      </c>
      <c r="G6190" t="str">
        <f>VLOOKUP(Table1_2[[#This Row],[Categories]],Sheet3!$A$1:$B$27,2,FALSE)</f>
        <v>Food &amp;Beverage</v>
      </c>
    </row>
    <row r="6191" spans="1:7" x14ac:dyDescent="0.3">
      <c r="A6191" t="s">
        <v>33</v>
      </c>
      <c r="B6191">
        <v>2019</v>
      </c>
      <c r="C6191" t="s">
        <v>40</v>
      </c>
      <c r="D6191" s="2">
        <v>43647</v>
      </c>
      <c r="E6191" t="s">
        <v>6</v>
      </c>
      <c r="F6191">
        <v>144.1</v>
      </c>
      <c r="G6191" t="str">
        <f>VLOOKUP(Table1_2[[#This Row],[Categories]],Sheet3!$A$1:$B$27,2,FALSE)</f>
        <v>Food &amp;Beverage</v>
      </c>
    </row>
    <row r="6192" spans="1:7" x14ac:dyDescent="0.3">
      <c r="A6192" t="s">
        <v>33</v>
      </c>
      <c r="B6192">
        <v>2019</v>
      </c>
      <c r="C6192" t="s">
        <v>40</v>
      </c>
      <c r="D6192" s="2">
        <v>43647</v>
      </c>
      <c r="E6192" t="s">
        <v>7</v>
      </c>
      <c r="F6192">
        <v>119.3</v>
      </c>
      <c r="G6192" t="str">
        <f>VLOOKUP(Table1_2[[#This Row],[Categories]],Sheet3!$A$1:$B$27,2,FALSE)</f>
        <v>Food &amp;Beverage</v>
      </c>
    </row>
    <row r="6193" spans="1:7" x14ac:dyDescent="0.3">
      <c r="A6193" t="s">
        <v>33</v>
      </c>
      <c r="B6193">
        <v>2019</v>
      </c>
      <c r="C6193" t="s">
        <v>40</v>
      </c>
      <c r="D6193" s="2">
        <v>43647</v>
      </c>
      <c r="E6193" t="s">
        <v>8</v>
      </c>
      <c r="F6193">
        <v>154.69999999999999</v>
      </c>
      <c r="G6193" t="str">
        <f>VLOOKUP(Table1_2[[#This Row],[Categories]],Sheet3!$A$1:$B$27,2,FALSE)</f>
        <v>Food &amp;Beverage</v>
      </c>
    </row>
    <row r="6194" spans="1:7" x14ac:dyDescent="0.3">
      <c r="A6194" t="s">
        <v>33</v>
      </c>
      <c r="B6194">
        <v>2019</v>
      </c>
      <c r="C6194" t="s">
        <v>40</v>
      </c>
      <c r="D6194" s="2">
        <v>43647</v>
      </c>
      <c r="E6194" t="s">
        <v>9</v>
      </c>
      <c r="F6194">
        <v>180.1</v>
      </c>
      <c r="G6194" t="str">
        <f>VLOOKUP(Table1_2[[#This Row],[Categories]],Sheet3!$A$1:$B$27,2,FALSE)</f>
        <v>Food &amp;Beverage</v>
      </c>
    </row>
    <row r="6195" spans="1:7" x14ac:dyDescent="0.3">
      <c r="A6195" t="s">
        <v>33</v>
      </c>
      <c r="B6195">
        <v>2019</v>
      </c>
      <c r="C6195" t="s">
        <v>40</v>
      </c>
      <c r="D6195" s="2">
        <v>43647</v>
      </c>
      <c r="E6195" t="s">
        <v>10</v>
      </c>
      <c r="F6195">
        <v>128.9</v>
      </c>
      <c r="G6195" t="str">
        <f>VLOOKUP(Table1_2[[#This Row],[Categories]],Sheet3!$A$1:$B$27,2,FALSE)</f>
        <v>Food &amp;Beverage</v>
      </c>
    </row>
    <row r="6196" spans="1:7" x14ac:dyDescent="0.3">
      <c r="A6196" t="s">
        <v>33</v>
      </c>
      <c r="B6196">
        <v>2019</v>
      </c>
      <c r="C6196" t="s">
        <v>40</v>
      </c>
      <c r="D6196" s="2">
        <v>43647</v>
      </c>
      <c r="E6196" t="s">
        <v>11</v>
      </c>
      <c r="F6196">
        <v>111.8</v>
      </c>
      <c r="G6196" t="str">
        <f>VLOOKUP(Table1_2[[#This Row],[Categories]],Sheet3!$A$1:$B$27,2,FALSE)</f>
        <v>Food &amp;Beverage</v>
      </c>
    </row>
    <row r="6197" spans="1:7" x14ac:dyDescent="0.3">
      <c r="A6197" t="s">
        <v>33</v>
      </c>
      <c r="B6197">
        <v>2019</v>
      </c>
      <c r="C6197" t="s">
        <v>40</v>
      </c>
      <c r="D6197" s="2">
        <v>43647</v>
      </c>
      <c r="E6197" t="s">
        <v>12</v>
      </c>
      <c r="F6197">
        <v>141.6</v>
      </c>
      <c r="G6197" t="str">
        <f>VLOOKUP(Table1_2[[#This Row],[Categories]],Sheet3!$A$1:$B$27,2,FALSE)</f>
        <v>Food &amp;Beverage</v>
      </c>
    </row>
    <row r="6198" spans="1:7" x14ac:dyDescent="0.3">
      <c r="A6198" t="s">
        <v>33</v>
      </c>
      <c r="B6198">
        <v>2019</v>
      </c>
      <c r="C6198" t="s">
        <v>40</v>
      </c>
      <c r="D6198" s="2">
        <v>43647</v>
      </c>
      <c r="E6198" t="s">
        <v>13</v>
      </c>
      <c r="F6198">
        <v>129.5</v>
      </c>
      <c r="G6198" t="str">
        <f>VLOOKUP(Table1_2[[#This Row],[Categories]],Sheet3!$A$1:$B$27,2,FALSE)</f>
        <v>Food &amp;Beverage</v>
      </c>
    </row>
    <row r="6199" spans="1:7" x14ac:dyDescent="0.3">
      <c r="A6199" t="s">
        <v>33</v>
      </c>
      <c r="B6199">
        <v>2019</v>
      </c>
      <c r="C6199" t="s">
        <v>40</v>
      </c>
      <c r="D6199" s="2">
        <v>43647</v>
      </c>
      <c r="E6199" t="s">
        <v>14</v>
      </c>
      <c r="F6199">
        <v>155.6</v>
      </c>
      <c r="G6199" t="str">
        <f>VLOOKUP(Table1_2[[#This Row],[Categories]],Sheet3!$A$1:$B$27,2,FALSE)</f>
        <v>Food &amp;Beverage</v>
      </c>
    </row>
    <row r="6200" spans="1:7" x14ac:dyDescent="0.3">
      <c r="A6200" t="s">
        <v>33</v>
      </c>
      <c r="B6200">
        <v>2019</v>
      </c>
      <c r="C6200" t="s">
        <v>40</v>
      </c>
      <c r="D6200" s="2">
        <v>43647</v>
      </c>
      <c r="E6200" t="s">
        <v>15</v>
      </c>
      <c r="F6200">
        <v>147.69999999999999</v>
      </c>
      <c r="G6200" t="str">
        <f>VLOOKUP(Table1_2[[#This Row],[Categories]],Sheet3!$A$1:$B$27,2,FALSE)</f>
        <v>Food &amp;Beverage</v>
      </c>
    </row>
    <row r="6201" spans="1:7" x14ac:dyDescent="0.3">
      <c r="A6201" t="s">
        <v>33</v>
      </c>
      <c r="B6201">
        <v>2019</v>
      </c>
      <c r="C6201" t="s">
        <v>40</v>
      </c>
      <c r="D6201" s="2">
        <v>43647</v>
      </c>
      <c r="E6201" t="s">
        <v>16</v>
      </c>
      <c r="F6201">
        <v>167.2</v>
      </c>
      <c r="G6201" t="str">
        <f>VLOOKUP(Table1_2[[#This Row],[Categories]],Sheet3!$A$1:$B$27,2,FALSE)</f>
        <v>Recreation and amusement</v>
      </c>
    </row>
    <row r="6202" spans="1:7" x14ac:dyDescent="0.3">
      <c r="A6202" t="s">
        <v>33</v>
      </c>
      <c r="B6202">
        <v>2019</v>
      </c>
      <c r="C6202" t="s">
        <v>40</v>
      </c>
      <c r="D6202" s="2">
        <v>43647</v>
      </c>
      <c r="E6202" t="s">
        <v>17</v>
      </c>
      <c r="F6202">
        <v>144.69999999999999</v>
      </c>
      <c r="G6202" t="str">
        <f>VLOOKUP(Table1_2[[#This Row],[Categories]],Sheet3!$A$1:$B$27,2,FALSE)</f>
        <v>Clothing and footwear</v>
      </c>
    </row>
    <row r="6203" spans="1:7" x14ac:dyDescent="0.3">
      <c r="A6203" t="s">
        <v>33</v>
      </c>
      <c r="B6203">
        <v>2019</v>
      </c>
      <c r="C6203" t="s">
        <v>40</v>
      </c>
      <c r="D6203" s="2">
        <v>43647</v>
      </c>
      <c r="E6203" t="s">
        <v>18</v>
      </c>
      <c r="F6203">
        <v>131.9</v>
      </c>
      <c r="G6203" t="str">
        <f>VLOOKUP(Table1_2[[#This Row],[Categories]],Sheet3!$A$1:$B$27,2,FALSE)</f>
        <v>Clothing and footwear</v>
      </c>
    </row>
    <row r="6204" spans="1:7" x14ac:dyDescent="0.3">
      <c r="A6204" t="s">
        <v>33</v>
      </c>
      <c r="B6204">
        <v>2019</v>
      </c>
      <c r="C6204" t="s">
        <v>40</v>
      </c>
      <c r="D6204" s="2">
        <v>43647</v>
      </c>
      <c r="E6204" t="s">
        <v>19</v>
      </c>
      <c r="F6204">
        <v>142.69999999999999</v>
      </c>
      <c r="G6204" t="str">
        <f>VLOOKUP(Table1_2[[#This Row],[Categories]],Sheet3!$A$1:$B$27,2,FALSE)</f>
        <v>Clothing and footwear</v>
      </c>
    </row>
    <row r="6205" spans="1:7" x14ac:dyDescent="0.3">
      <c r="A6205" t="s">
        <v>33</v>
      </c>
      <c r="B6205">
        <v>2019</v>
      </c>
      <c r="C6205" t="s">
        <v>40</v>
      </c>
      <c r="D6205" s="2">
        <v>43647</v>
      </c>
      <c r="E6205" t="s">
        <v>20</v>
      </c>
      <c r="F6205">
        <v>150.6</v>
      </c>
      <c r="G6205" t="str">
        <f>VLOOKUP(Table1_2[[#This Row],[Categories]],Sheet3!$A$1:$B$27,2,FALSE)</f>
        <v>Housing</v>
      </c>
    </row>
    <row r="6206" spans="1:7" x14ac:dyDescent="0.3">
      <c r="A6206" t="s">
        <v>33</v>
      </c>
      <c r="B6206">
        <v>2019</v>
      </c>
      <c r="C6206" t="s">
        <v>40</v>
      </c>
      <c r="D6206" s="2">
        <v>43647</v>
      </c>
      <c r="E6206" t="s">
        <v>21</v>
      </c>
      <c r="F6206">
        <v>127</v>
      </c>
      <c r="G6206" t="str">
        <f>VLOOKUP(Table1_2[[#This Row],[Categories]],Sheet3!$A$1:$B$27,2,FALSE)</f>
        <v>Fuel and light</v>
      </c>
    </row>
    <row r="6207" spans="1:7" x14ac:dyDescent="0.3">
      <c r="A6207" t="s">
        <v>33</v>
      </c>
      <c r="B6207">
        <v>2019</v>
      </c>
      <c r="C6207" t="s">
        <v>40</v>
      </c>
      <c r="D6207" s="2">
        <v>43647</v>
      </c>
      <c r="E6207" t="s">
        <v>22</v>
      </c>
      <c r="F6207">
        <v>137.69999999999999</v>
      </c>
      <c r="G6207" t="str">
        <f>VLOOKUP(Table1_2[[#This Row],[Categories]],Sheet3!$A$1:$B$27,2,FALSE)</f>
        <v>Household Items</v>
      </c>
    </row>
    <row r="6208" spans="1:7" x14ac:dyDescent="0.3">
      <c r="A6208" t="s">
        <v>33</v>
      </c>
      <c r="B6208">
        <v>2019</v>
      </c>
      <c r="C6208" t="s">
        <v>40</v>
      </c>
      <c r="D6208" s="2">
        <v>43647</v>
      </c>
      <c r="E6208" t="s">
        <v>23</v>
      </c>
      <c r="F6208">
        <v>140.80000000000001</v>
      </c>
      <c r="G6208" t="str">
        <f>VLOOKUP(Table1_2[[#This Row],[Categories]],Sheet3!$A$1:$B$27,2,FALSE)</f>
        <v>Health</v>
      </c>
    </row>
    <row r="6209" spans="1:7" x14ac:dyDescent="0.3">
      <c r="A6209" t="s">
        <v>33</v>
      </c>
      <c r="B6209">
        <v>2019</v>
      </c>
      <c r="C6209" t="s">
        <v>40</v>
      </c>
      <c r="D6209" s="2">
        <v>43647</v>
      </c>
      <c r="E6209" t="s">
        <v>24</v>
      </c>
      <c r="F6209">
        <v>120.6</v>
      </c>
      <c r="G6209" t="str">
        <f>VLOOKUP(Table1_2[[#This Row],[Categories]],Sheet3!$A$1:$B$27,2,FALSE)</f>
        <v>Transport and communication</v>
      </c>
    </row>
    <row r="6210" spans="1:7" x14ac:dyDescent="0.3">
      <c r="A6210" t="s">
        <v>33</v>
      </c>
      <c r="B6210">
        <v>2019</v>
      </c>
      <c r="C6210" t="s">
        <v>40</v>
      </c>
      <c r="D6210" s="2">
        <v>43647</v>
      </c>
      <c r="E6210" t="s">
        <v>25</v>
      </c>
      <c r="F6210">
        <v>135</v>
      </c>
      <c r="G6210" t="str">
        <f>VLOOKUP(Table1_2[[#This Row],[Categories]],Sheet3!$A$1:$B$27,2,FALSE)</f>
        <v>Recreation and amusement</v>
      </c>
    </row>
    <row r="6211" spans="1:7" x14ac:dyDescent="0.3">
      <c r="A6211" t="s">
        <v>33</v>
      </c>
      <c r="B6211">
        <v>2019</v>
      </c>
      <c r="C6211" t="s">
        <v>40</v>
      </c>
      <c r="D6211" s="2">
        <v>43647</v>
      </c>
      <c r="E6211" t="s">
        <v>26</v>
      </c>
      <c r="F6211">
        <v>150.4</v>
      </c>
      <c r="G6211" t="str">
        <f>VLOOKUP(Table1_2[[#This Row],[Categories]],Sheet3!$A$1:$B$27,2,FALSE)</f>
        <v>Education</v>
      </c>
    </row>
    <row r="6212" spans="1:7" x14ac:dyDescent="0.3">
      <c r="A6212" t="s">
        <v>33</v>
      </c>
      <c r="B6212">
        <v>2019</v>
      </c>
      <c r="C6212" t="s">
        <v>40</v>
      </c>
      <c r="D6212" s="2">
        <v>43647</v>
      </c>
      <c r="E6212" t="s">
        <v>27</v>
      </c>
      <c r="F6212">
        <v>135.1</v>
      </c>
      <c r="G6212" t="str">
        <f>VLOOKUP(Table1_2[[#This Row],[Categories]],Sheet3!$A$1:$B$27,2,FALSE)</f>
        <v>Household Items</v>
      </c>
    </row>
    <row r="6213" spans="1:7" x14ac:dyDescent="0.3">
      <c r="A6213" t="s">
        <v>33</v>
      </c>
      <c r="B6213">
        <v>2019</v>
      </c>
      <c r="C6213" t="s">
        <v>40</v>
      </c>
      <c r="D6213" s="2">
        <v>43647</v>
      </c>
      <c r="E6213" t="s">
        <v>28</v>
      </c>
      <c r="F6213">
        <v>134.5</v>
      </c>
      <c r="G6213" t="str">
        <f>VLOOKUP(Table1_2[[#This Row],[Categories]],Sheet3!$A$1:$B$27,2,FALSE)</f>
        <v>Miscellaneous</v>
      </c>
    </row>
    <row r="6214" spans="1:7" x14ac:dyDescent="0.3">
      <c r="A6214" t="s">
        <v>33</v>
      </c>
      <c r="B6214">
        <v>2019</v>
      </c>
      <c r="C6214" t="s">
        <v>40</v>
      </c>
      <c r="D6214" s="2">
        <v>43647</v>
      </c>
      <c r="E6214" t="s">
        <v>29</v>
      </c>
      <c r="F6214">
        <v>143.30000000000001</v>
      </c>
      <c r="G6214" t="str">
        <f>VLOOKUP(Table1_2[[#This Row],[Categories]],Sheet3!$A$1:$B$27,2,FALSE)</f>
        <v>General index</v>
      </c>
    </row>
    <row r="6215" spans="1:7" x14ac:dyDescent="0.3">
      <c r="A6215" t="s">
        <v>34</v>
      </c>
      <c r="B6215">
        <v>2019</v>
      </c>
      <c r="C6215" t="s">
        <v>40</v>
      </c>
      <c r="D6215" s="2">
        <v>43647</v>
      </c>
      <c r="E6215" t="s">
        <v>3</v>
      </c>
      <c r="F6215">
        <v>139.30000000000001</v>
      </c>
      <c r="G6215" t="str">
        <f>VLOOKUP(Table1_2[[#This Row],[Categories]],Sheet3!$A$1:$B$27,2,FALSE)</f>
        <v>Food &amp;Beverage</v>
      </c>
    </row>
    <row r="6216" spans="1:7" x14ac:dyDescent="0.3">
      <c r="A6216" t="s">
        <v>34</v>
      </c>
      <c r="B6216">
        <v>2019</v>
      </c>
      <c r="C6216" t="s">
        <v>40</v>
      </c>
      <c r="D6216" s="2">
        <v>43647</v>
      </c>
      <c r="E6216" t="s">
        <v>4</v>
      </c>
      <c r="F6216">
        <v>162.69999999999999</v>
      </c>
      <c r="G6216" t="str">
        <f>VLOOKUP(Table1_2[[#This Row],[Categories]],Sheet3!$A$1:$B$27,2,FALSE)</f>
        <v>Food &amp;Beverage</v>
      </c>
    </row>
    <row r="6217" spans="1:7" x14ac:dyDescent="0.3">
      <c r="A6217" t="s">
        <v>34</v>
      </c>
      <c r="B6217">
        <v>2019</v>
      </c>
      <c r="C6217" t="s">
        <v>40</v>
      </c>
      <c r="D6217" s="2">
        <v>43647</v>
      </c>
      <c r="E6217" t="s">
        <v>5</v>
      </c>
      <c r="F6217">
        <v>140</v>
      </c>
      <c r="G6217" t="str">
        <f>VLOOKUP(Table1_2[[#This Row],[Categories]],Sheet3!$A$1:$B$27,2,FALSE)</f>
        <v>Food &amp;Beverage</v>
      </c>
    </row>
    <row r="6218" spans="1:7" x14ac:dyDescent="0.3">
      <c r="A6218" t="s">
        <v>34</v>
      </c>
      <c r="B6218">
        <v>2019</v>
      </c>
      <c r="C6218" t="s">
        <v>40</v>
      </c>
      <c r="D6218" s="2">
        <v>43647</v>
      </c>
      <c r="E6218" t="s">
        <v>6</v>
      </c>
      <c r="F6218">
        <v>144</v>
      </c>
      <c r="G6218" t="str">
        <f>VLOOKUP(Table1_2[[#This Row],[Categories]],Sheet3!$A$1:$B$27,2,FALSE)</f>
        <v>Food &amp;Beverage</v>
      </c>
    </row>
    <row r="6219" spans="1:7" x14ac:dyDescent="0.3">
      <c r="A6219" t="s">
        <v>34</v>
      </c>
      <c r="B6219">
        <v>2019</v>
      </c>
      <c r="C6219" t="s">
        <v>40</v>
      </c>
      <c r="D6219" s="2">
        <v>43647</v>
      </c>
      <c r="E6219" t="s">
        <v>7</v>
      </c>
      <c r="F6219">
        <v>122.5</v>
      </c>
      <c r="G6219" t="str">
        <f>VLOOKUP(Table1_2[[#This Row],[Categories]],Sheet3!$A$1:$B$27,2,FALSE)</f>
        <v>Food &amp;Beverage</v>
      </c>
    </row>
    <row r="6220" spans="1:7" x14ac:dyDescent="0.3">
      <c r="A6220" t="s">
        <v>34</v>
      </c>
      <c r="B6220">
        <v>2019</v>
      </c>
      <c r="C6220" t="s">
        <v>40</v>
      </c>
      <c r="D6220" s="2">
        <v>43647</v>
      </c>
      <c r="E6220" t="s">
        <v>8</v>
      </c>
      <c r="F6220">
        <v>150.30000000000001</v>
      </c>
      <c r="G6220" t="str">
        <f>VLOOKUP(Table1_2[[#This Row],[Categories]],Sheet3!$A$1:$B$27,2,FALSE)</f>
        <v>Food &amp;Beverage</v>
      </c>
    </row>
    <row r="6221" spans="1:7" x14ac:dyDescent="0.3">
      <c r="A6221" t="s">
        <v>34</v>
      </c>
      <c r="B6221">
        <v>2019</v>
      </c>
      <c r="C6221" t="s">
        <v>40</v>
      </c>
      <c r="D6221" s="2">
        <v>43647</v>
      </c>
      <c r="E6221" t="s">
        <v>9</v>
      </c>
      <c r="F6221">
        <v>160.30000000000001</v>
      </c>
      <c r="G6221" t="str">
        <f>VLOOKUP(Table1_2[[#This Row],[Categories]],Sheet3!$A$1:$B$27,2,FALSE)</f>
        <v>Food &amp;Beverage</v>
      </c>
    </row>
    <row r="6222" spans="1:7" x14ac:dyDescent="0.3">
      <c r="A6222" t="s">
        <v>34</v>
      </c>
      <c r="B6222">
        <v>2019</v>
      </c>
      <c r="C6222" t="s">
        <v>40</v>
      </c>
      <c r="D6222" s="2">
        <v>43647</v>
      </c>
      <c r="E6222" t="s">
        <v>10</v>
      </c>
      <c r="F6222">
        <v>130</v>
      </c>
      <c r="G6222" t="str">
        <f>VLOOKUP(Table1_2[[#This Row],[Categories]],Sheet3!$A$1:$B$27,2,FALSE)</f>
        <v>Food &amp;Beverage</v>
      </c>
    </row>
    <row r="6223" spans="1:7" x14ac:dyDescent="0.3">
      <c r="A6223" t="s">
        <v>34</v>
      </c>
      <c r="B6223">
        <v>2019</v>
      </c>
      <c r="C6223" t="s">
        <v>40</v>
      </c>
      <c r="D6223" s="2">
        <v>43647</v>
      </c>
      <c r="E6223" t="s">
        <v>11</v>
      </c>
      <c r="F6223">
        <v>111.1</v>
      </c>
      <c r="G6223" t="str">
        <f>VLOOKUP(Table1_2[[#This Row],[Categories]],Sheet3!$A$1:$B$27,2,FALSE)</f>
        <v>Food &amp;Beverage</v>
      </c>
    </row>
    <row r="6224" spans="1:7" x14ac:dyDescent="0.3">
      <c r="A6224" t="s">
        <v>34</v>
      </c>
      <c r="B6224">
        <v>2019</v>
      </c>
      <c r="C6224" t="s">
        <v>40</v>
      </c>
      <c r="D6224" s="2">
        <v>43647</v>
      </c>
      <c r="E6224" t="s">
        <v>12</v>
      </c>
      <c r="F6224">
        <v>141.69999999999999</v>
      </c>
      <c r="G6224" t="str">
        <f>VLOOKUP(Table1_2[[#This Row],[Categories]],Sheet3!$A$1:$B$27,2,FALSE)</f>
        <v>Food &amp;Beverage</v>
      </c>
    </row>
    <row r="6225" spans="1:7" x14ac:dyDescent="0.3">
      <c r="A6225" t="s">
        <v>34</v>
      </c>
      <c r="B6225">
        <v>2019</v>
      </c>
      <c r="C6225" t="s">
        <v>40</v>
      </c>
      <c r="D6225" s="2">
        <v>43647</v>
      </c>
      <c r="E6225" t="s">
        <v>13</v>
      </c>
      <c r="F6225">
        <v>134.69999999999999</v>
      </c>
      <c r="G6225" t="str">
        <f>VLOOKUP(Table1_2[[#This Row],[Categories]],Sheet3!$A$1:$B$27,2,FALSE)</f>
        <v>Food &amp;Beverage</v>
      </c>
    </row>
    <row r="6226" spans="1:7" x14ac:dyDescent="0.3">
      <c r="A6226" t="s">
        <v>34</v>
      </c>
      <c r="B6226">
        <v>2019</v>
      </c>
      <c r="C6226" t="s">
        <v>40</v>
      </c>
      <c r="D6226" s="2">
        <v>43647</v>
      </c>
      <c r="E6226" t="s">
        <v>14</v>
      </c>
      <c r="F6226">
        <v>156.19999999999999</v>
      </c>
      <c r="G6226" t="str">
        <f>VLOOKUP(Table1_2[[#This Row],[Categories]],Sheet3!$A$1:$B$27,2,FALSE)</f>
        <v>Food &amp;Beverage</v>
      </c>
    </row>
    <row r="6227" spans="1:7" x14ac:dyDescent="0.3">
      <c r="A6227" t="s">
        <v>34</v>
      </c>
      <c r="B6227">
        <v>2019</v>
      </c>
      <c r="C6227" t="s">
        <v>40</v>
      </c>
      <c r="D6227" s="2">
        <v>43647</v>
      </c>
      <c r="E6227" t="s">
        <v>15</v>
      </c>
      <c r="F6227">
        <v>144.69999999999999</v>
      </c>
      <c r="G6227" t="str">
        <f>VLOOKUP(Table1_2[[#This Row],[Categories]],Sheet3!$A$1:$B$27,2,FALSE)</f>
        <v>Food &amp;Beverage</v>
      </c>
    </row>
    <row r="6228" spans="1:7" x14ac:dyDescent="0.3">
      <c r="A6228" t="s">
        <v>34</v>
      </c>
      <c r="B6228">
        <v>2019</v>
      </c>
      <c r="C6228" t="s">
        <v>40</v>
      </c>
      <c r="D6228" s="2">
        <v>43647</v>
      </c>
      <c r="E6228" t="s">
        <v>16</v>
      </c>
      <c r="F6228">
        <v>165.2</v>
      </c>
      <c r="G6228" t="str">
        <f>VLOOKUP(Table1_2[[#This Row],[Categories]],Sheet3!$A$1:$B$27,2,FALSE)</f>
        <v>Recreation and amusement</v>
      </c>
    </row>
    <row r="6229" spans="1:7" x14ac:dyDescent="0.3">
      <c r="A6229" t="s">
        <v>34</v>
      </c>
      <c r="B6229">
        <v>2019</v>
      </c>
      <c r="C6229" t="s">
        <v>40</v>
      </c>
      <c r="D6229" s="2">
        <v>43647</v>
      </c>
      <c r="E6229" t="s">
        <v>17</v>
      </c>
      <c r="F6229">
        <v>148.9</v>
      </c>
      <c r="G6229" t="str">
        <f>VLOOKUP(Table1_2[[#This Row],[Categories]],Sheet3!$A$1:$B$27,2,FALSE)</f>
        <v>Clothing and footwear</v>
      </c>
    </row>
    <row r="6230" spans="1:7" x14ac:dyDescent="0.3">
      <c r="A6230" t="s">
        <v>34</v>
      </c>
      <c r="B6230">
        <v>2019</v>
      </c>
      <c r="C6230" t="s">
        <v>40</v>
      </c>
      <c r="D6230" s="2">
        <v>43647</v>
      </c>
      <c r="E6230" t="s">
        <v>18</v>
      </c>
      <c r="F6230">
        <v>140.5</v>
      </c>
      <c r="G6230" t="str">
        <f>VLOOKUP(Table1_2[[#This Row],[Categories]],Sheet3!$A$1:$B$27,2,FALSE)</f>
        <v>Clothing and footwear</v>
      </c>
    </row>
    <row r="6231" spans="1:7" x14ac:dyDescent="0.3">
      <c r="A6231" t="s">
        <v>34</v>
      </c>
      <c r="B6231">
        <v>2019</v>
      </c>
      <c r="C6231" t="s">
        <v>40</v>
      </c>
      <c r="D6231" s="2">
        <v>43647</v>
      </c>
      <c r="E6231" t="s">
        <v>19</v>
      </c>
      <c r="F6231">
        <v>147.6</v>
      </c>
      <c r="G6231" t="str">
        <f>VLOOKUP(Table1_2[[#This Row],[Categories]],Sheet3!$A$1:$B$27,2,FALSE)</f>
        <v>Clothing and footwear</v>
      </c>
    </row>
    <row r="6232" spans="1:7" x14ac:dyDescent="0.3">
      <c r="A6232" t="s">
        <v>34</v>
      </c>
      <c r="B6232">
        <v>2019</v>
      </c>
      <c r="C6232" t="s">
        <v>40</v>
      </c>
      <c r="D6232" s="2">
        <v>43647</v>
      </c>
      <c r="E6232" t="s">
        <v>20</v>
      </c>
      <c r="F6232">
        <v>150.6</v>
      </c>
      <c r="G6232" t="str">
        <f>VLOOKUP(Table1_2[[#This Row],[Categories]],Sheet3!$A$1:$B$27,2,FALSE)</f>
        <v>Housing</v>
      </c>
    </row>
    <row r="6233" spans="1:7" x14ac:dyDescent="0.3">
      <c r="A6233" t="s">
        <v>34</v>
      </c>
      <c r="B6233">
        <v>2019</v>
      </c>
      <c r="C6233" t="s">
        <v>40</v>
      </c>
      <c r="D6233" s="2">
        <v>43647</v>
      </c>
      <c r="E6233" t="s">
        <v>21</v>
      </c>
      <c r="F6233">
        <v>139.30000000000001</v>
      </c>
      <c r="G6233" t="str">
        <f>VLOOKUP(Table1_2[[#This Row],[Categories]],Sheet3!$A$1:$B$27,2,FALSE)</f>
        <v>Fuel and light</v>
      </c>
    </row>
    <row r="6234" spans="1:7" x14ac:dyDescent="0.3">
      <c r="A6234" t="s">
        <v>34</v>
      </c>
      <c r="B6234">
        <v>2019</v>
      </c>
      <c r="C6234" t="s">
        <v>40</v>
      </c>
      <c r="D6234" s="2">
        <v>43647</v>
      </c>
      <c r="E6234" t="s">
        <v>22</v>
      </c>
      <c r="F6234">
        <v>144.19999999999999</v>
      </c>
      <c r="G6234" t="str">
        <f>VLOOKUP(Table1_2[[#This Row],[Categories]],Sheet3!$A$1:$B$27,2,FALSE)</f>
        <v>Household Items</v>
      </c>
    </row>
    <row r="6235" spans="1:7" x14ac:dyDescent="0.3">
      <c r="A6235" t="s">
        <v>34</v>
      </c>
      <c r="B6235">
        <v>2019</v>
      </c>
      <c r="C6235" t="s">
        <v>40</v>
      </c>
      <c r="D6235" s="2">
        <v>43647</v>
      </c>
      <c r="E6235" t="s">
        <v>23</v>
      </c>
      <c r="F6235">
        <v>147.9</v>
      </c>
      <c r="G6235" t="str">
        <f>VLOOKUP(Table1_2[[#This Row],[Categories]],Sheet3!$A$1:$B$27,2,FALSE)</f>
        <v>Health</v>
      </c>
    </row>
    <row r="6236" spans="1:7" x14ac:dyDescent="0.3">
      <c r="A6236" t="s">
        <v>34</v>
      </c>
      <c r="B6236">
        <v>2019</v>
      </c>
      <c r="C6236" t="s">
        <v>40</v>
      </c>
      <c r="D6236" s="2">
        <v>43647</v>
      </c>
      <c r="E6236" t="s">
        <v>24</v>
      </c>
      <c r="F6236">
        <v>125.6</v>
      </c>
      <c r="G6236" t="str">
        <f>VLOOKUP(Table1_2[[#This Row],[Categories]],Sheet3!$A$1:$B$27,2,FALSE)</f>
        <v>Transport and communication</v>
      </c>
    </row>
    <row r="6237" spans="1:7" x14ac:dyDescent="0.3">
      <c r="A6237" t="s">
        <v>34</v>
      </c>
      <c r="B6237">
        <v>2019</v>
      </c>
      <c r="C6237" t="s">
        <v>40</v>
      </c>
      <c r="D6237" s="2">
        <v>43647</v>
      </c>
      <c r="E6237" t="s">
        <v>25</v>
      </c>
      <c r="F6237">
        <v>140.5</v>
      </c>
      <c r="G6237" t="str">
        <f>VLOOKUP(Table1_2[[#This Row],[Categories]],Sheet3!$A$1:$B$27,2,FALSE)</f>
        <v>Recreation and amusement</v>
      </c>
    </row>
    <row r="6238" spans="1:7" x14ac:dyDescent="0.3">
      <c r="A6238" t="s">
        <v>34</v>
      </c>
      <c r="B6238">
        <v>2019</v>
      </c>
      <c r="C6238" t="s">
        <v>40</v>
      </c>
      <c r="D6238" s="2">
        <v>43647</v>
      </c>
      <c r="E6238" t="s">
        <v>26</v>
      </c>
      <c r="F6238">
        <v>154</v>
      </c>
      <c r="G6238" t="str">
        <f>VLOOKUP(Table1_2[[#This Row],[Categories]],Sheet3!$A$1:$B$27,2,FALSE)</f>
        <v>Education</v>
      </c>
    </row>
    <row r="6239" spans="1:7" x14ac:dyDescent="0.3">
      <c r="A6239" t="s">
        <v>34</v>
      </c>
      <c r="B6239">
        <v>2019</v>
      </c>
      <c r="C6239" t="s">
        <v>40</v>
      </c>
      <c r="D6239" s="2">
        <v>43647</v>
      </c>
      <c r="E6239" t="s">
        <v>27</v>
      </c>
      <c r="F6239">
        <v>135.69999999999999</v>
      </c>
      <c r="G6239" t="str">
        <f>VLOOKUP(Table1_2[[#This Row],[Categories]],Sheet3!$A$1:$B$27,2,FALSE)</f>
        <v>Household Items</v>
      </c>
    </row>
    <row r="6240" spans="1:7" x14ac:dyDescent="0.3">
      <c r="A6240" t="s">
        <v>34</v>
      </c>
      <c r="B6240">
        <v>2019</v>
      </c>
      <c r="C6240" t="s">
        <v>40</v>
      </c>
      <c r="D6240" s="2">
        <v>43647</v>
      </c>
      <c r="E6240" t="s">
        <v>28</v>
      </c>
      <c r="F6240">
        <v>139.5</v>
      </c>
      <c r="G6240" t="str">
        <f>VLOOKUP(Table1_2[[#This Row],[Categories]],Sheet3!$A$1:$B$27,2,FALSE)</f>
        <v>Miscellaneous</v>
      </c>
    </row>
    <row r="6241" spans="1:7" x14ac:dyDescent="0.3">
      <c r="A6241" t="s">
        <v>34</v>
      </c>
      <c r="B6241">
        <v>2019</v>
      </c>
      <c r="C6241" t="s">
        <v>40</v>
      </c>
      <c r="D6241" s="2">
        <v>43647</v>
      </c>
      <c r="E6241" t="s">
        <v>29</v>
      </c>
      <c r="F6241">
        <v>144.19999999999999</v>
      </c>
      <c r="G6241" t="str">
        <f>VLOOKUP(Table1_2[[#This Row],[Categories]],Sheet3!$A$1:$B$27,2,FALSE)</f>
        <v>General index</v>
      </c>
    </row>
    <row r="6242" spans="1:7" x14ac:dyDescent="0.3">
      <c r="A6242" t="s">
        <v>30</v>
      </c>
      <c r="B6242">
        <v>2019</v>
      </c>
      <c r="C6242" t="s">
        <v>41</v>
      </c>
      <c r="D6242" s="2">
        <v>43678</v>
      </c>
      <c r="E6242" t="s">
        <v>3</v>
      </c>
      <c r="F6242">
        <v>139.19999999999999</v>
      </c>
      <c r="G6242" t="str">
        <f>VLOOKUP(Table1_2[[#This Row],[Categories]],Sheet3!$A$1:$B$27,2,FALSE)</f>
        <v>Food &amp;Beverage</v>
      </c>
    </row>
    <row r="6243" spans="1:7" x14ac:dyDescent="0.3">
      <c r="A6243" t="s">
        <v>30</v>
      </c>
      <c r="B6243">
        <v>2019</v>
      </c>
      <c r="C6243" t="s">
        <v>41</v>
      </c>
      <c r="D6243" s="2">
        <v>43678</v>
      </c>
      <c r="E6243" t="s">
        <v>4</v>
      </c>
      <c r="F6243">
        <v>161.9</v>
      </c>
      <c r="G6243" t="str">
        <f>VLOOKUP(Table1_2[[#This Row],[Categories]],Sheet3!$A$1:$B$27,2,FALSE)</f>
        <v>Food &amp;Beverage</v>
      </c>
    </row>
    <row r="6244" spans="1:7" x14ac:dyDescent="0.3">
      <c r="A6244" t="s">
        <v>30</v>
      </c>
      <c r="B6244">
        <v>2019</v>
      </c>
      <c r="C6244" t="s">
        <v>41</v>
      </c>
      <c r="D6244" s="2">
        <v>43678</v>
      </c>
      <c r="E6244" t="s">
        <v>5</v>
      </c>
      <c r="F6244">
        <v>137.1</v>
      </c>
      <c r="G6244" t="str">
        <f>VLOOKUP(Table1_2[[#This Row],[Categories]],Sheet3!$A$1:$B$27,2,FALSE)</f>
        <v>Food &amp;Beverage</v>
      </c>
    </row>
    <row r="6245" spans="1:7" x14ac:dyDescent="0.3">
      <c r="A6245" t="s">
        <v>30</v>
      </c>
      <c r="B6245">
        <v>2019</v>
      </c>
      <c r="C6245" t="s">
        <v>41</v>
      </c>
      <c r="D6245" s="2">
        <v>43678</v>
      </c>
      <c r="E6245" t="s">
        <v>6</v>
      </c>
      <c r="F6245">
        <v>144.6</v>
      </c>
      <c r="G6245" t="str">
        <f>VLOOKUP(Table1_2[[#This Row],[Categories]],Sheet3!$A$1:$B$27,2,FALSE)</f>
        <v>Food &amp;Beverage</v>
      </c>
    </row>
    <row r="6246" spans="1:7" x14ac:dyDescent="0.3">
      <c r="A6246" t="s">
        <v>30</v>
      </c>
      <c r="B6246">
        <v>2019</v>
      </c>
      <c r="C6246" t="s">
        <v>41</v>
      </c>
      <c r="D6246" s="2">
        <v>43678</v>
      </c>
      <c r="E6246" t="s">
        <v>7</v>
      </c>
      <c r="F6246">
        <v>124.7</v>
      </c>
      <c r="G6246" t="str">
        <f>VLOOKUP(Table1_2[[#This Row],[Categories]],Sheet3!$A$1:$B$27,2,FALSE)</f>
        <v>Food &amp;Beverage</v>
      </c>
    </row>
    <row r="6247" spans="1:7" x14ac:dyDescent="0.3">
      <c r="A6247" t="s">
        <v>30</v>
      </c>
      <c r="B6247">
        <v>2019</v>
      </c>
      <c r="C6247" t="s">
        <v>41</v>
      </c>
      <c r="D6247" s="2">
        <v>43678</v>
      </c>
      <c r="E6247" t="s">
        <v>8</v>
      </c>
      <c r="F6247">
        <v>145.5</v>
      </c>
      <c r="G6247" t="str">
        <f>VLOOKUP(Table1_2[[#This Row],[Categories]],Sheet3!$A$1:$B$27,2,FALSE)</f>
        <v>Food &amp;Beverage</v>
      </c>
    </row>
    <row r="6248" spans="1:7" x14ac:dyDescent="0.3">
      <c r="A6248" t="s">
        <v>30</v>
      </c>
      <c r="B6248">
        <v>2019</v>
      </c>
      <c r="C6248" t="s">
        <v>41</v>
      </c>
      <c r="D6248" s="2">
        <v>43678</v>
      </c>
      <c r="E6248" t="s">
        <v>9</v>
      </c>
      <c r="F6248">
        <v>156.19999999999999</v>
      </c>
      <c r="G6248" t="str">
        <f>VLOOKUP(Table1_2[[#This Row],[Categories]],Sheet3!$A$1:$B$27,2,FALSE)</f>
        <v>Food &amp;Beverage</v>
      </c>
    </row>
    <row r="6249" spans="1:7" x14ac:dyDescent="0.3">
      <c r="A6249" t="s">
        <v>30</v>
      </c>
      <c r="B6249">
        <v>2019</v>
      </c>
      <c r="C6249" t="s">
        <v>41</v>
      </c>
      <c r="D6249" s="2">
        <v>43678</v>
      </c>
      <c r="E6249" t="s">
        <v>10</v>
      </c>
      <c r="F6249">
        <v>131.5</v>
      </c>
      <c r="G6249" t="str">
        <f>VLOOKUP(Table1_2[[#This Row],[Categories]],Sheet3!$A$1:$B$27,2,FALSE)</f>
        <v>Food &amp;Beverage</v>
      </c>
    </row>
    <row r="6250" spans="1:7" x14ac:dyDescent="0.3">
      <c r="A6250" t="s">
        <v>30</v>
      </c>
      <c r="B6250">
        <v>2019</v>
      </c>
      <c r="C6250" t="s">
        <v>41</v>
      </c>
      <c r="D6250" s="2">
        <v>43678</v>
      </c>
      <c r="E6250" t="s">
        <v>11</v>
      </c>
      <c r="F6250">
        <v>111.7</v>
      </c>
      <c r="G6250" t="str">
        <f>VLOOKUP(Table1_2[[#This Row],[Categories]],Sheet3!$A$1:$B$27,2,FALSE)</f>
        <v>Food &amp;Beverage</v>
      </c>
    </row>
    <row r="6251" spans="1:7" x14ac:dyDescent="0.3">
      <c r="A6251" t="s">
        <v>30</v>
      </c>
      <c r="B6251">
        <v>2019</v>
      </c>
      <c r="C6251" t="s">
        <v>41</v>
      </c>
      <c r="D6251" s="2">
        <v>43678</v>
      </c>
      <c r="E6251" t="s">
        <v>12</v>
      </c>
      <c r="F6251">
        <v>142.69999999999999</v>
      </c>
      <c r="G6251" t="str">
        <f>VLOOKUP(Table1_2[[#This Row],[Categories]],Sheet3!$A$1:$B$27,2,FALSE)</f>
        <v>Food &amp;Beverage</v>
      </c>
    </row>
    <row r="6252" spans="1:7" x14ac:dyDescent="0.3">
      <c r="A6252" t="s">
        <v>30</v>
      </c>
      <c r="B6252">
        <v>2019</v>
      </c>
      <c r="C6252" t="s">
        <v>41</v>
      </c>
      <c r="D6252" s="2">
        <v>43678</v>
      </c>
      <c r="E6252" t="s">
        <v>13</v>
      </c>
      <c r="F6252">
        <v>138.5</v>
      </c>
      <c r="G6252" t="str">
        <f>VLOOKUP(Table1_2[[#This Row],[Categories]],Sheet3!$A$1:$B$27,2,FALSE)</f>
        <v>Food &amp;Beverage</v>
      </c>
    </row>
    <row r="6253" spans="1:7" x14ac:dyDescent="0.3">
      <c r="A6253" t="s">
        <v>30</v>
      </c>
      <c r="B6253">
        <v>2019</v>
      </c>
      <c r="C6253" t="s">
        <v>41</v>
      </c>
      <c r="D6253" s="2">
        <v>43678</v>
      </c>
      <c r="E6253" t="s">
        <v>14</v>
      </c>
      <c r="F6253">
        <v>156.9</v>
      </c>
      <c r="G6253" t="str">
        <f>VLOOKUP(Table1_2[[#This Row],[Categories]],Sheet3!$A$1:$B$27,2,FALSE)</f>
        <v>Food &amp;Beverage</v>
      </c>
    </row>
    <row r="6254" spans="1:7" x14ac:dyDescent="0.3">
      <c r="A6254" t="s">
        <v>30</v>
      </c>
      <c r="B6254">
        <v>2019</v>
      </c>
      <c r="C6254" t="s">
        <v>41</v>
      </c>
      <c r="D6254" s="2">
        <v>43678</v>
      </c>
      <c r="E6254" t="s">
        <v>15</v>
      </c>
      <c r="F6254">
        <v>144</v>
      </c>
      <c r="G6254" t="str">
        <f>VLOOKUP(Table1_2[[#This Row],[Categories]],Sheet3!$A$1:$B$27,2,FALSE)</f>
        <v>Food &amp;Beverage</v>
      </c>
    </row>
    <row r="6255" spans="1:7" x14ac:dyDescent="0.3">
      <c r="A6255" t="s">
        <v>30</v>
      </c>
      <c r="B6255">
        <v>2019</v>
      </c>
      <c r="C6255" t="s">
        <v>41</v>
      </c>
      <c r="D6255" s="2">
        <v>43678</v>
      </c>
      <c r="E6255" t="s">
        <v>16</v>
      </c>
      <c r="F6255">
        <v>165.1</v>
      </c>
      <c r="G6255" t="str">
        <f>VLOOKUP(Table1_2[[#This Row],[Categories]],Sheet3!$A$1:$B$27,2,FALSE)</f>
        <v>Recreation and amusement</v>
      </c>
    </row>
    <row r="6256" spans="1:7" x14ac:dyDescent="0.3">
      <c r="A6256" t="s">
        <v>30</v>
      </c>
      <c r="B6256">
        <v>2019</v>
      </c>
      <c r="C6256" t="s">
        <v>41</v>
      </c>
      <c r="D6256" s="2">
        <v>43678</v>
      </c>
      <c r="E6256" t="s">
        <v>17</v>
      </c>
      <c r="F6256">
        <v>151.80000000000001</v>
      </c>
      <c r="G6256" t="str">
        <f>VLOOKUP(Table1_2[[#This Row],[Categories]],Sheet3!$A$1:$B$27,2,FALSE)</f>
        <v>Clothing and footwear</v>
      </c>
    </row>
    <row r="6257" spans="1:7" x14ac:dyDescent="0.3">
      <c r="A6257" t="s">
        <v>30</v>
      </c>
      <c r="B6257">
        <v>2019</v>
      </c>
      <c r="C6257" t="s">
        <v>41</v>
      </c>
      <c r="D6257" s="2">
        <v>43678</v>
      </c>
      <c r="E6257" t="s">
        <v>18</v>
      </c>
      <c r="F6257">
        <v>146.6</v>
      </c>
      <c r="G6257" t="str">
        <f>VLOOKUP(Table1_2[[#This Row],[Categories]],Sheet3!$A$1:$B$27,2,FALSE)</f>
        <v>Clothing and footwear</v>
      </c>
    </row>
    <row r="6258" spans="1:7" x14ac:dyDescent="0.3">
      <c r="A6258" t="s">
        <v>30</v>
      </c>
      <c r="B6258">
        <v>2019</v>
      </c>
      <c r="C6258" t="s">
        <v>41</v>
      </c>
      <c r="D6258" s="2">
        <v>43678</v>
      </c>
      <c r="E6258" t="s">
        <v>19</v>
      </c>
      <c r="F6258">
        <v>151.1</v>
      </c>
      <c r="G6258" t="str">
        <f>VLOOKUP(Table1_2[[#This Row],[Categories]],Sheet3!$A$1:$B$27,2,FALSE)</f>
        <v>Clothing and footwear</v>
      </c>
    </row>
    <row r="6259" spans="1:7" x14ac:dyDescent="0.3">
      <c r="A6259" t="s">
        <v>30</v>
      </c>
      <c r="B6259">
        <v>2019</v>
      </c>
      <c r="C6259" t="s">
        <v>41</v>
      </c>
      <c r="D6259" s="2">
        <v>43678</v>
      </c>
      <c r="E6259" t="s">
        <v>21</v>
      </c>
      <c r="F6259">
        <v>146.4</v>
      </c>
      <c r="G6259" t="str">
        <f>VLOOKUP(Table1_2[[#This Row],[Categories]],Sheet3!$A$1:$B$27,2,FALSE)</f>
        <v>Fuel and light</v>
      </c>
    </row>
    <row r="6260" spans="1:7" x14ac:dyDescent="0.3">
      <c r="A6260" t="s">
        <v>30</v>
      </c>
      <c r="B6260">
        <v>2019</v>
      </c>
      <c r="C6260" t="s">
        <v>41</v>
      </c>
      <c r="D6260" s="2">
        <v>43678</v>
      </c>
      <c r="E6260" t="s">
        <v>22</v>
      </c>
      <c r="F6260">
        <v>150.19999999999999</v>
      </c>
      <c r="G6260" t="str">
        <f>VLOOKUP(Table1_2[[#This Row],[Categories]],Sheet3!$A$1:$B$27,2,FALSE)</f>
        <v>Household Items</v>
      </c>
    </row>
    <row r="6261" spans="1:7" x14ac:dyDescent="0.3">
      <c r="A6261" t="s">
        <v>30</v>
      </c>
      <c r="B6261">
        <v>2019</v>
      </c>
      <c r="C6261" t="s">
        <v>41</v>
      </c>
      <c r="D6261" s="2">
        <v>43678</v>
      </c>
      <c r="E6261" t="s">
        <v>23</v>
      </c>
      <c r="F6261">
        <v>152.69999999999999</v>
      </c>
      <c r="G6261" t="str">
        <f>VLOOKUP(Table1_2[[#This Row],[Categories]],Sheet3!$A$1:$B$27,2,FALSE)</f>
        <v>Health</v>
      </c>
    </row>
    <row r="6262" spans="1:7" x14ac:dyDescent="0.3">
      <c r="A6262" t="s">
        <v>30</v>
      </c>
      <c r="B6262">
        <v>2019</v>
      </c>
      <c r="C6262" t="s">
        <v>41</v>
      </c>
      <c r="D6262" s="2">
        <v>43678</v>
      </c>
      <c r="E6262" t="s">
        <v>24</v>
      </c>
      <c r="F6262">
        <v>131.4</v>
      </c>
      <c r="G6262" t="str">
        <f>VLOOKUP(Table1_2[[#This Row],[Categories]],Sheet3!$A$1:$B$27,2,FALSE)</f>
        <v>Transport and communication</v>
      </c>
    </row>
    <row r="6263" spans="1:7" x14ac:dyDescent="0.3">
      <c r="A6263" t="s">
        <v>30</v>
      </c>
      <c r="B6263">
        <v>2019</v>
      </c>
      <c r="C6263" t="s">
        <v>41</v>
      </c>
      <c r="D6263" s="2">
        <v>43678</v>
      </c>
      <c r="E6263" t="s">
        <v>25</v>
      </c>
      <c r="F6263">
        <v>148</v>
      </c>
      <c r="G6263" t="str">
        <f>VLOOKUP(Table1_2[[#This Row],[Categories]],Sheet3!$A$1:$B$27,2,FALSE)</f>
        <v>Recreation and amusement</v>
      </c>
    </row>
    <row r="6264" spans="1:7" x14ac:dyDescent="0.3">
      <c r="A6264" t="s">
        <v>30</v>
      </c>
      <c r="B6264">
        <v>2019</v>
      </c>
      <c r="C6264" t="s">
        <v>41</v>
      </c>
      <c r="D6264" s="2">
        <v>43678</v>
      </c>
      <c r="E6264" t="s">
        <v>26</v>
      </c>
      <c r="F6264">
        <v>159.69999999999999</v>
      </c>
      <c r="G6264" t="str">
        <f>VLOOKUP(Table1_2[[#This Row],[Categories]],Sheet3!$A$1:$B$27,2,FALSE)</f>
        <v>Education</v>
      </c>
    </row>
    <row r="6265" spans="1:7" x14ac:dyDescent="0.3">
      <c r="A6265" t="s">
        <v>30</v>
      </c>
      <c r="B6265">
        <v>2019</v>
      </c>
      <c r="C6265" t="s">
        <v>41</v>
      </c>
      <c r="D6265" s="2">
        <v>43678</v>
      </c>
      <c r="E6265" t="s">
        <v>27</v>
      </c>
      <c r="F6265">
        <v>138.80000000000001</v>
      </c>
      <c r="G6265" t="str">
        <f>VLOOKUP(Table1_2[[#This Row],[Categories]],Sheet3!$A$1:$B$27,2,FALSE)</f>
        <v>Household Items</v>
      </c>
    </row>
    <row r="6266" spans="1:7" x14ac:dyDescent="0.3">
      <c r="A6266" t="s">
        <v>30</v>
      </c>
      <c r="B6266">
        <v>2019</v>
      </c>
      <c r="C6266" t="s">
        <v>41</v>
      </c>
      <c r="D6266" s="2">
        <v>43678</v>
      </c>
      <c r="E6266" t="s">
        <v>28</v>
      </c>
      <c r="F6266">
        <v>144.9</v>
      </c>
      <c r="G6266" t="str">
        <f>VLOOKUP(Table1_2[[#This Row],[Categories]],Sheet3!$A$1:$B$27,2,FALSE)</f>
        <v>Miscellaneous</v>
      </c>
    </row>
    <row r="6267" spans="1:7" x14ac:dyDescent="0.3">
      <c r="A6267" t="s">
        <v>30</v>
      </c>
      <c r="B6267">
        <v>2019</v>
      </c>
      <c r="C6267" t="s">
        <v>41</v>
      </c>
      <c r="D6267" s="2">
        <v>43678</v>
      </c>
      <c r="E6267" t="s">
        <v>29</v>
      </c>
      <c r="F6267">
        <v>145.69999999999999</v>
      </c>
      <c r="G6267" t="str">
        <f>VLOOKUP(Table1_2[[#This Row],[Categories]],Sheet3!$A$1:$B$27,2,FALSE)</f>
        <v>General index</v>
      </c>
    </row>
    <row r="6268" spans="1:7" x14ac:dyDescent="0.3">
      <c r="A6268" t="s">
        <v>33</v>
      </c>
      <c r="B6268">
        <v>2019</v>
      </c>
      <c r="C6268" t="s">
        <v>41</v>
      </c>
      <c r="D6268" s="2">
        <v>43678</v>
      </c>
      <c r="E6268" t="s">
        <v>3</v>
      </c>
      <c r="F6268">
        <v>142.1</v>
      </c>
      <c r="G6268" t="str">
        <f>VLOOKUP(Table1_2[[#This Row],[Categories]],Sheet3!$A$1:$B$27,2,FALSE)</f>
        <v>Food &amp;Beverage</v>
      </c>
    </row>
    <row r="6269" spans="1:7" x14ac:dyDescent="0.3">
      <c r="A6269" t="s">
        <v>33</v>
      </c>
      <c r="B6269">
        <v>2019</v>
      </c>
      <c r="C6269" t="s">
        <v>41</v>
      </c>
      <c r="D6269" s="2">
        <v>43678</v>
      </c>
      <c r="E6269" t="s">
        <v>4</v>
      </c>
      <c r="F6269">
        <v>158.30000000000001</v>
      </c>
      <c r="G6269" t="str">
        <f>VLOOKUP(Table1_2[[#This Row],[Categories]],Sheet3!$A$1:$B$27,2,FALSE)</f>
        <v>Food &amp;Beverage</v>
      </c>
    </row>
    <row r="6270" spans="1:7" x14ac:dyDescent="0.3">
      <c r="A6270" t="s">
        <v>33</v>
      </c>
      <c r="B6270">
        <v>2019</v>
      </c>
      <c r="C6270" t="s">
        <v>41</v>
      </c>
      <c r="D6270" s="2">
        <v>43678</v>
      </c>
      <c r="E6270" t="s">
        <v>5</v>
      </c>
      <c r="F6270">
        <v>140.80000000000001</v>
      </c>
      <c r="G6270" t="str">
        <f>VLOOKUP(Table1_2[[#This Row],[Categories]],Sheet3!$A$1:$B$27,2,FALSE)</f>
        <v>Food &amp;Beverage</v>
      </c>
    </row>
    <row r="6271" spans="1:7" x14ac:dyDescent="0.3">
      <c r="A6271" t="s">
        <v>33</v>
      </c>
      <c r="B6271">
        <v>2019</v>
      </c>
      <c r="C6271" t="s">
        <v>41</v>
      </c>
      <c r="D6271" s="2">
        <v>43678</v>
      </c>
      <c r="E6271" t="s">
        <v>6</v>
      </c>
      <c r="F6271">
        <v>144.9</v>
      </c>
      <c r="G6271" t="str">
        <f>VLOOKUP(Table1_2[[#This Row],[Categories]],Sheet3!$A$1:$B$27,2,FALSE)</f>
        <v>Food &amp;Beverage</v>
      </c>
    </row>
    <row r="6272" spans="1:7" x14ac:dyDescent="0.3">
      <c r="A6272" t="s">
        <v>33</v>
      </c>
      <c r="B6272">
        <v>2019</v>
      </c>
      <c r="C6272" t="s">
        <v>41</v>
      </c>
      <c r="D6272" s="2">
        <v>43678</v>
      </c>
      <c r="E6272" t="s">
        <v>7</v>
      </c>
      <c r="F6272">
        <v>119.9</v>
      </c>
      <c r="G6272" t="str">
        <f>VLOOKUP(Table1_2[[#This Row],[Categories]],Sheet3!$A$1:$B$27,2,FALSE)</f>
        <v>Food &amp;Beverage</v>
      </c>
    </row>
    <row r="6273" spans="1:7" x14ac:dyDescent="0.3">
      <c r="A6273" t="s">
        <v>33</v>
      </c>
      <c r="B6273">
        <v>2019</v>
      </c>
      <c r="C6273" t="s">
        <v>41</v>
      </c>
      <c r="D6273" s="2">
        <v>43678</v>
      </c>
      <c r="E6273" t="s">
        <v>8</v>
      </c>
      <c r="F6273">
        <v>153.9</v>
      </c>
      <c r="G6273" t="str">
        <f>VLOOKUP(Table1_2[[#This Row],[Categories]],Sheet3!$A$1:$B$27,2,FALSE)</f>
        <v>Food &amp;Beverage</v>
      </c>
    </row>
    <row r="6274" spans="1:7" x14ac:dyDescent="0.3">
      <c r="A6274" t="s">
        <v>33</v>
      </c>
      <c r="B6274">
        <v>2019</v>
      </c>
      <c r="C6274" t="s">
        <v>41</v>
      </c>
      <c r="D6274" s="2">
        <v>43678</v>
      </c>
      <c r="E6274" t="s">
        <v>9</v>
      </c>
      <c r="F6274">
        <v>189.1</v>
      </c>
      <c r="G6274" t="str">
        <f>VLOOKUP(Table1_2[[#This Row],[Categories]],Sheet3!$A$1:$B$27,2,FALSE)</f>
        <v>Food &amp;Beverage</v>
      </c>
    </row>
    <row r="6275" spans="1:7" x14ac:dyDescent="0.3">
      <c r="A6275" t="s">
        <v>33</v>
      </c>
      <c r="B6275">
        <v>2019</v>
      </c>
      <c r="C6275" t="s">
        <v>41</v>
      </c>
      <c r="D6275" s="2">
        <v>43678</v>
      </c>
      <c r="E6275" t="s">
        <v>10</v>
      </c>
      <c r="F6275">
        <v>129.80000000000001</v>
      </c>
      <c r="G6275" t="str">
        <f>VLOOKUP(Table1_2[[#This Row],[Categories]],Sheet3!$A$1:$B$27,2,FALSE)</f>
        <v>Food &amp;Beverage</v>
      </c>
    </row>
    <row r="6276" spans="1:7" x14ac:dyDescent="0.3">
      <c r="A6276" t="s">
        <v>33</v>
      </c>
      <c r="B6276">
        <v>2019</v>
      </c>
      <c r="C6276" t="s">
        <v>41</v>
      </c>
      <c r="D6276" s="2">
        <v>43678</v>
      </c>
      <c r="E6276" t="s">
        <v>11</v>
      </c>
      <c r="F6276">
        <v>112.7</v>
      </c>
      <c r="G6276" t="str">
        <f>VLOOKUP(Table1_2[[#This Row],[Categories]],Sheet3!$A$1:$B$27,2,FALSE)</f>
        <v>Food &amp;Beverage</v>
      </c>
    </row>
    <row r="6277" spans="1:7" x14ac:dyDescent="0.3">
      <c r="A6277" t="s">
        <v>33</v>
      </c>
      <c r="B6277">
        <v>2019</v>
      </c>
      <c r="C6277" t="s">
        <v>41</v>
      </c>
      <c r="D6277" s="2">
        <v>43678</v>
      </c>
      <c r="E6277" t="s">
        <v>12</v>
      </c>
      <c r="F6277">
        <v>142.5</v>
      </c>
      <c r="G6277" t="str">
        <f>VLOOKUP(Table1_2[[#This Row],[Categories]],Sheet3!$A$1:$B$27,2,FALSE)</f>
        <v>Food &amp;Beverage</v>
      </c>
    </row>
    <row r="6278" spans="1:7" x14ac:dyDescent="0.3">
      <c r="A6278" t="s">
        <v>33</v>
      </c>
      <c r="B6278">
        <v>2019</v>
      </c>
      <c r="C6278" t="s">
        <v>41</v>
      </c>
      <c r="D6278" s="2">
        <v>43678</v>
      </c>
      <c r="E6278" t="s">
        <v>13</v>
      </c>
      <c r="F6278">
        <v>129.80000000000001</v>
      </c>
      <c r="G6278" t="str">
        <f>VLOOKUP(Table1_2[[#This Row],[Categories]],Sheet3!$A$1:$B$27,2,FALSE)</f>
        <v>Food &amp;Beverage</v>
      </c>
    </row>
    <row r="6279" spans="1:7" x14ac:dyDescent="0.3">
      <c r="A6279" t="s">
        <v>33</v>
      </c>
      <c r="B6279">
        <v>2019</v>
      </c>
      <c r="C6279" t="s">
        <v>41</v>
      </c>
      <c r="D6279" s="2">
        <v>43678</v>
      </c>
      <c r="E6279" t="s">
        <v>14</v>
      </c>
      <c r="F6279">
        <v>156.19999999999999</v>
      </c>
      <c r="G6279" t="str">
        <f>VLOOKUP(Table1_2[[#This Row],[Categories]],Sheet3!$A$1:$B$27,2,FALSE)</f>
        <v>Food &amp;Beverage</v>
      </c>
    </row>
    <row r="6280" spans="1:7" x14ac:dyDescent="0.3">
      <c r="A6280" t="s">
        <v>33</v>
      </c>
      <c r="B6280">
        <v>2019</v>
      </c>
      <c r="C6280" t="s">
        <v>41</v>
      </c>
      <c r="D6280" s="2">
        <v>43678</v>
      </c>
      <c r="E6280" t="s">
        <v>15</v>
      </c>
      <c r="F6280">
        <v>149.1</v>
      </c>
      <c r="G6280" t="str">
        <f>VLOOKUP(Table1_2[[#This Row],[Categories]],Sheet3!$A$1:$B$27,2,FALSE)</f>
        <v>Food &amp;Beverage</v>
      </c>
    </row>
    <row r="6281" spans="1:7" x14ac:dyDescent="0.3">
      <c r="A6281" t="s">
        <v>33</v>
      </c>
      <c r="B6281">
        <v>2019</v>
      </c>
      <c r="C6281" t="s">
        <v>41</v>
      </c>
      <c r="D6281" s="2">
        <v>43678</v>
      </c>
      <c r="E6281" t="s">
        <v>16</v>
      </c>
      <c r="F6281">
        <v>167.9</v>
      </c>
      <c r="G6281" t="str">
        <f>VLOOKUP(Table1_2[[#This Row],[Categories]],Sheet3!$A$1:$B$27,2,FALSE)</f>
        <v>Recreation and amusement</v>
      </c>
    </row>
    <row r="6282" spans="1:7" x14ac:dyDescent="0.3">
      <c r="A6282" t="s">
        <v>33</v>
      </c>
      <c r="B6282">
        <v>2019</v>
      </c>
      <c r="C6282" t="s">
        <v>41</v>
      </c>
      <c r="D6282" s="2">
        <v>43678</v>
      </c>
      <c r="E6282" t="s">
        <v>17</v>
      </c>
      <c r="F6282">
        <v>145</v>
      </c>
      <c r="G6282" t="str">
        <f>VLOOKUP(Table1_2[[#This Row],[Categories]],Sheet3!$A$1:$B$27,2,FALSE)</f>
        <v>Clothing and footwear</v>
      </c>
    </row>
    <row r="6283" spans="1:7" x14ac:dyDescent="0.3">
      <c r="A6283" t="s">
        <v>33</v>
      </c>
      <c r="B6283">
        <v>2019</v>
      </c>
      <c r="C6283" t="s">
        <v>41</v>
      </c>
      <c r="D6283" s="2">
        <v>43678</v>
      </c>
      <c r="E6283" t="s">
        <v>18</v>
      </c>
      <c r="F6283">
        <v>132.19999999999999</v>
      </c>
      <c r="G6283" t="str">
        <f>VLOOKUP(Table1_2[[#This Row],[Categories]],Sheet3!$A$1:$B$27,2,FALSE)</f>
        <v>Clothing and footwear</v>
      </c>
    </row>
    <row r="6284" spans="1:7" x14ac:dyDescent="0.3">
      <c r="A6284" t="s">
        <v>33</v>
      </c>
      <c r="B6284">
        <v>2019</v>
      </c>
      <c r="C6284" t="s">
        <v>41</v>
      </c>
      <c r="D6284" s="2">
        <v>43678</v>
      </c>
      <c r="E6284" t="s">
        <v>19</v>
      </c>
      <c r="F6284">
        <v>143</v>
      </c>
      <c r="G6284" t="str">
        <f>VLOOKUP(Table1_2[[#This Row],[Categories]],Sheet3!$A$1:$B$27,2,FALSE)</f>
        <v>Clothing and footwear</v>
      </c>
    </row>
    <row r="6285" spans="1:7" x14ac:dyDescent="0.3">
      <c r="A6285" t="s">
        <v>33</v>
      </c>
      <c r="B6285">
        <v>2019</v>
      </c>
      <c r="C6285" t="s">
        <v>41</v>
      </c>
      <c r="D6285" s="2">
        <v>43678</v>
      </c>
      <c r="E6285" t="s">
        <v>20</v>
      </c>
      <c r="F6285">
        <v>151.6</v>
      </c>
      <c r="G6285" t="str">
        <f>VLOOKUP(Table1_2[[#This Row],[Categories]],Sheet3!$A$1:$B$27,2,FALSE)</f>
        <v>Housing</v>
      </c>
    </row>
    <row r="6286" spans="1:7" x14ac:dyDescent="0.3">
      <c r="A6286" t="s">
        <v>33</v>
      </c>
      <c r="B6286">
        <v>2019</v>
      </c>
      <c r="C6286" t="s">
        <v>41</v>
      </c>
      <c r="D6286" s="2">
        <v>43678</v>
      </c>
      <c r="E6286" t="s">
        <v>21</v>
      </c>
      <c r="F6286">
        <v>125.5</v>
      </c>
      <c r="G6286" t="str">
        <f>VLOOKUP(Table1_2[[#This Row],[Categories]],Sheet3!$A$1:$B$27,2,FALSE)</f>
        <v>Fuel and light</v>
      </c>
    </row>
    <row r="6287" spans="1:7" x14ac:dyDescent="0.3">
      <c r="A6287" t="s">
        <v>33</v>
      </c>
      <c r="B6287">
        <v>2019</v>
      </c>
      <c r="C6287" t="s">
        <v>41</v>
      </c>
      <c r="D6287" s="2">
        <v>43678</v>
      </c>
      <c r="E6287" t="s">
        <v>22</v>
      </c>
      <c r="F6287">
        <v>138.1</v>
      </c>
      <c r="G6287" t="str">
        <f>VLOOKUP(Table1_2[[#This Row],[Categories]],Sheet3!$A$1:$B$27,2,FALSE)</f>
        <v>Household Items</v>
      </c>
    </row>
    <row r="6288" spans="1:7" x14ac:dyDescent="0.3">
      <c r="A6288" t="s">
        <v>33</v>
      </c>
      <c r="B6288">
        <v>2019</v>
      </c>
      <c r="C6288" t="s">
        <v>41</v>
      </c>
      <c r="D6288" s="2">
        <v>43678</v>
      </c>
      <c r="E6288" t="s">
        <v>23</v>
      </c>
      <c r="F6288">
        <v>141.5</v>
      </c>
      <c r="G6288" t="str">
        <f>VLOOKUP(Table1_2[[#This Row],[Categories]],Sheet3!$A$1:$B$27,2,FALSE)</f>
        <v>Health</v>
      </c>
    </row>
    <row r="6289" spans="1:7" x14ac:dyDescent="0.3">
      <c r="A6289" t="s">
        <v>33</v>
      </c>
      <c r="B6289">
        <v>2019</v>
      </c>
      <c r="C6289" t="s">
        <v>41</v>
      </c>
      <c r="D6289" s="2">
        <v>43678</v>
      </c>
      <c r="E6289" t="s">
        <v>24</v>
      </c>
      <c r="F6289">
        <v>120.8</v>
      </c>
      <c r="G6289" t="str">
        <f>VLOOKUP(Table1_2[[#This Row],[Categories]],Sheet3!$A$1:$B$27,2,FALSE)</f>
        <v>Transport and communication</v>
      </c>
    </row>
    <row r="6290" spans="1:7" x14ac:dyDescent="0.3">
      <c r="A6290" t="s">
        <v>33</v>
      </c>
      <c r="B6290">
        <v>2019</v>
      </c>
      <c r="C6290" t="s">
        <v>41</v>
      </c>
      <c r="D6290" s="2">
        <v>43678</v>
      </c>
      <c r="E6290" t="s">
        <v>25</v>
      </c>
      <c r="F6290">
        <v>135.4</v>
      </c>
      <c r="G6290" t="str">
        <f>VLOOKUP(Table1_2[[#This Row],[Categories]],Sheet3!$A$1:$B$27,2,FALSE)</f>
        <v>Recreation and amusement</v>
      </c>
    </row>
    <row r="6291" spans="1:7" x14ac:dyDescent="0.3">
      <c r="A6291" t="s">
        <v>33</v>
      </c>
      <c r="B6291">
        <v>2019</v>
      </c>
      <c r="C6291" t="s">
        <v>41</v>
      </c>
      <c r="D6291" s="2">
        <v>43678</v>
      </c>
      <c r="E6291" t="s">
        <v>26</v>
      </c>
      <c r="F6291">
        <v>151.5</v>
      </c>
      <c r="G6291" t="str">
        <f>VLOOKUP(Table1_2[[#This Row],[Categories]],Sheet3!$A$1:$B$27,2,FALSE)</f>
        <v>Education</v>
      </c>
    </row>
    <row r="6292" spans="1:7" x14ac:dyDescent="0.3">
      <c r="A6292" t="s">
        <v>33</v>
      </c>
      <c r="B6292">
        <v>2019</v>
      </c>
      <c r="C6292" t="s">
        <v>41</v>
      </c>
      <c r="D6292" s="2">
        <v>43678</v>
      </c>
      <c r="E6292" t="s">
        <v>27</v>
      </c>
      <c r="F6292">
        <v>137.80000000000001</v>
      </c>
      <c r="G6292" t="str">
        <f>VLOOKUP(Table1_2[[#This Row],[Categories]],Sheet3!$A$1:$B$27,2,FALSE)</f>
        <v>Household Items</v>
      </c>
    </row>
    <row r="6293" spans="1:7" x14ac:dyDescent="0.3">
      <c r="A6293" t="s">
        <v>33</v>
      </c>
      <c r="B6293">
        <v>2019</v>
      </c>
      <c r="C6293" t="s">
        <v>41</v>
      </c>
      <c r="D6293" s="2">
        <v>43678</v>
      </c>
      <c r="E6293" t="s">
        <v>28</v>
      </c>
      <c r="F6293">
        <v>135.30000000000001</v>
      </c>
      <c r="G6293" t="str">
        <f>VLOOKUP(Table1_2[[#This Row],[Categories]],Sheet3!$A$1:$B$27,2,FALSE)</f>
        <v>Miscellaneous</v>
      </c>
    </row>
    <row r="6294" spans="1:7" x14ac:dyDescent="0.3">
      <c r="A6294" t="s">
        <v>33</v>
      </c>
      <c r="B6294">
        <v>2019</v>
      </c>
      <c r="C6294" t="s">
        <v>41</v>
      </c>
      <c r="D6294" s="2">
        <v>43678</v>
      </c>
      <c r="E6294" t="s">
        <v>29</v>
      </c>
      <c r="F6294">
        <v>144.19999999999999</v>
      </c>
      <c r="G6294" t="str">
        <f>VLOOKUP(Table1_2[[#This Row],[Categories]],Sheet3!$A$1:$B$27,2,FALSE)</f>
        <v>General index</v>
      </c>
    </row>
    <row r="6295" spans="1:7" x14ac:dyDescent="0.3">
      <c r="A6295" t="s">
        <v>34</v>
      </c>
      <c r="B6295">
        <v>2019</v>
      </c>
      <c r="C6295" t="s">
        <v>41</v>
      </c>
      <c r="D6295" s="2">
        <v>43678</v>
      </c>
      <c r="E6295" t="s">
        <v>3</v>
      </c>
      <c r="F6295">
        <v>140.1</v>
      </c>
      <c r="G6295" t="str">
        <f>VLOOKUP(Table1_2[[#This Row],[Categories]],Sheet3!$A$1:$B$27,2,FALSE)</f>
        <v>Food &amp;Beverage</v>
      </c>
    </row>
    <row r="6296" spans="1:7" x14ac:dyDescent="0.3">
      <c r="A6296" t="s">
        <v>34</v>
      </c>
      <c r="B6296">
        <v>2019</v>
      </c>
      <c r="C6296" t="s">
        <v>41</v>
      </c>
      <c r="D6296" s="2">
        <v>43678</v>
      </c>
      <c r="E6296" t="s">
        <v>4</v>
      </c>
      <c r="F6296">
        <v>160.6</v>
      </c>
      <c r="G6296" t="str">
        <f>VLOOKUP(Table1_2[[#This Row],[Categories]],Sheet3!$A$1:$B$27,2,FALSE)</f>
        <v>Food &amp;Beverage</v>
      </c>
    </row>
    <row r="6297" spans="1:7" x14ac:dyDescent="0.3">
      <c r="A6297" t="s">
        <v>34</v>
      </c>
      <c r="B6297">
        <v>2019</v>
      </c>
      <c r="C6297" t="s">
        <v>41</v>
      </c>
      <c r="D6297" s="2">
        <v>43678</v>
      </c>
      <c r="E6297" t="s">
        <v>5</v>
      </c>
      <c r="F6297">
        <v>138.5</v>
      </c>
      <c r="G6297" t="str">
        <f>VLOOKUP(Table1_2[[#This Row],[Categories]],Sheet3!$A$1:$B$27,2,FALSE)</f>
        <v>Food &amp;Beverage</v>
      </c>
    </row>
    <row r="6298" spans="1:7" x14ac:dyDescent="0.3">
      <c r="A6298" t="s">
        <v>34</v>
      </c>
      <c r="B6298">
        <v>2019</v>
      </c>
      <c r="C6298" t="s">
        <v>41</v>
      </c>
      <c r="D6298" s="2">
        <v>43678</v>
      </c>
      <c r="E6298" t="s">
        <v>6</v>
      </c>
      <c r="F6298">
        <v>144.69999999999999</v>
      </c>
      <c r="G6298" t="str">
        <f>VLOOKUP(Table1_2[[#This Row],[Categories]],Sheet3!$A$1:$B$27,2,FALSE)</f>
        <v>Food &amp;Beverage</v>
      </c>
    </row>
    <row r="6299" spans="1:7" x14ac:dyDescent="0.3">
      <c r="A6299" t="s">
        <v>34</v>
      </c>
      <c r="B6299">
        <v>2019</v>
      </c>
      <c r="C6299" t="s">
        <v>41</v>
      </c>
      <c r="D6299" s="2">
        <v>43678</v>
      </c>
      <c r="E6299" t="s">
        <v>7</v>
      </c>
      <c r="F6299">
        <v>122.9</v>
      </c>
      <c r="G6299" t="str">
        <f>VLOOKUP(Table1_2[[#This Row],[Categories]],Sheet3!$A$1:$B$27,2,FALSE)</f>
        <v>Food &amp;Beverage</v>
      </c>
    </row>
    <row r="6300" spans="1:7" x14ac:dyDescent="0.3">
      <c r="A6300" t="s">
        <v>34</v>
      </c>
      <c r="B6300">
        <v>2019</v>
      </c>
      <c r="C6300" t="s">
        <v>41</v>
      </c>
      <c r="D6300" s="2">
        <v>43678</v>
      </c>
      <c r="E6300" t="s">
        <v>8</v>
      </c>
      <c r="F6300">
        <v>149.4</v>
      </c>
      <c r="G6300" t="str">
        <f>VLOOKUP(Table1_2[[#This Row],[Categories]],Sheet3!$A$1:$B$27,2,FALSE)</f>
        <v>Food &amp;Beverage</v>
      </c>
    </row>
    <row r="6301" spans="1:7" x14ac:dyDescent="0.3">
      <c r="A6301" t="s">
        <v>34</v>
      </c>
      <c r="B6301">
        <v>2019</v>
      </c>
      <c r="C6301" t="s">
        <v>41</v>
      </c>
      <c r="D6301" s="2">
        <v>43678</v>
      </c>
      <c r="E6301" t="s">
        <v>9</v>
      </c>
      <c r="F6301">
        <v>167.4</v>
      </c>
      <c r="G6301" t="str">
        <f>VLOOKUP(Table1_2[[#This Row],[Categories]],Sheet3!$A$1:$B$27,2,FALSE)</f>
        <v>Food &amp;Beverage</v>
      </c>
    </row>
    <row r="6302" spans="1:7" x14ac:dyDescent="0.3">
      <c r="A6302" t="s">
        <v>34</v>
      </c>
      <c r="B6302">
        <v>2019</v>
      </c>
      <c r="C6302" t="s">
        <v>41</v>
      </c>
      <c r="D6302" s="2">
        <v>43678</v>
      </c>
      <c r="E6302" t="s">
        <v>10</v>
      </c>
      <c r="F6302">
        <v>130.9</v>
      </c>
      <c r="G6302" t="str">
        <f>VLOOKUP(Table1_2[[#This Row],[Categories]],Sheet3!$A$1:$B$27,2,FALSE)</f>
        <v>Food &amp;Beverage</v>
      </c>
    </row>
    <row r="6303" spans="1:7" x14ac:dyDescent="0.3">
      <c r="A6303" t="s">
        <v>34</v>
      </c>
      <c r="B6303">
        <v>2019</v>
      </c>
      <c r="C6303" t="s">
        <v>41</v>
      </c>
      <c r="D6303" s="2">
        <v>43678</v>
      </c>
      <c r="E6303" t="s">
        <v>11</v>
      </c>
      <c r="F6303">
        <v>112</v>
      </c>
      <c r="G6303" t="str">
        <f>VLOOKUP(Table1_2[[#This Row],[Categories]],Sheet3!$A$1:$B$27,2,FALSE)</f>
        <v>Food &amp;Beverage</v>
      </c>
    </row>
    <row r="6304" spans="1:7" x14ac:dyDescent="0.3">
      <c r="A6304" t="s">
        <v>34</v>
      </c>
      <c r="B6304">
        <v>2019</v>
      </c>
      <c r="C6304" t="s">
        <v>41</v>
      </c>
      <c r="D6304" s="2">
        <v>43678</v>
      </c>
      <c r="E6304" t="s">
        <v>12</v>
      </c>
      <c r="F6304">
        <v>142.6</v>
      </c>
      <c r="G6304" t="str">
        <f>VLOOKUP(Table1_2[[#This Row],[Categories]],Sheet3!$A$1:$B$27,2,FALSE)</f>
        <v>Food &amp;Beverage</v>
      </c>
    </row>
    <row r="6305" spans="1:7" x14ac:dyDescent="0.3">
      <c r="A6305" t="s">
        <v>34</v>
      </c>
      <c r="B6305">
        <v>2019</v>
      </c>
      <c r="C6305" t="s">
        <v>41</v>
      </c>
      <c r="D6305" s="2">
        <v>43678</v>
      </c>
      <c r="E6305" t="s">
        <v>13</v>
      </c>
      <c r="F6305">
        <v>134.9</v>
      </c>
      <c r="G6305" t="str">
        <f>VLOOKUP(Table1_2[[#This Row],[Categories]],Sheet3!$A$1:$B$27,2,FALSE)</f>
        <v>Food &amp;Beverage</v>
      </c>
    </row>
    <row r="6306" spans="1:7" x14ac:dyDescent="0.3">
      <c r="A6306" t="s">
        <v>34</v>
      </c>
      <c r="B6306">
        <v>2019</v>
      </c>
      <c r="C6306" t="s">
        <v>41</v>
      </c>
      <c r="D6306" s="2">
        <v>43678</v>
      </c>
      <c r="E6306" t="s">
        <v>14</v>
      </c>
      <c r="F6306">
        <v>156.6</v>
      </c>
      <c r="G6306" t="str">
        <f>VLOOKUP(Table1_2[[#This Row],[Categories]],Sheet3!$A$1:$B$27,2,FALSE)</f>
        <v>Food &amp;Beverage</v>
      </c>
    </row>
    <row r="6307" spans="1:7" x14ac:dyDescent="0.3">
      <c r="A6307" t="s">
        <v>34</v>
      </c>
      <c r="B6307">
        <v>2019</v>
      </c>
      <c r="C6307" t="s">
        <v>41</v>
      </c>
      <c r="D6307" s="2">
        <v>43678</v>
      </c>
      <c r="E6307" t="s">
        <v>15</v>
      </c>
      <c r="F6307">
        <v>145.9</v>
      </c>
      <c r="G6307" t="str">
        <f>VLOOKUP(Table1_2[[#This Row],[Categories]],Sheet3!$A$1:$B$27,2,FALSE)</f>
        <v>Food &amp;Beverage</v>
      </c>
    </row>
    <row r="6308" spans="1:7" x14ac:dyDescent="0.3">
      <c r="A6308" t="s">
        <v>34</v>
      </c>
      <c r="B6308">
        <v>2019</v>
      </c>
      <c r="C6308" t="s">
        <v>41</v>
      </c>
      <c r="D6308" s="2">
        <v>43678</v>
      </c>
      <c r="E6308" t="s">
        <v>16</v>
      </c>
      <c r="F6308">
        <v>165.8</v>
      </c>
      <c r="G6308" t="str">
        <f>VLOOKUP(Table1_2[[#This Row],[Categories]],Sheet3!$A$1:$B$27,2,FALSE)</f>
        <v>Recreation and amusement</v>
      </c>
    </row>
    <row r="6309" spans="1:7" x14ac:dyDescent="0.3">
      <c r="A6309" t="s">
        <v>34</v>
      </c>
      <c r="B6309">
        <v>2019</v>
      </c>
      <c r="C6309" t="s">
        <v>41</v>
      </c>
      <c r="D6309" s="2">
        <v>43678</v>
      </c>
      <c r="E6309" t="s">
        <v>17</v>
      </c>
      <c r="F6309">
        <v>149.1</v>
      </c>
      <c r="G6309" t="str">
        <f>VLOOKUP(Table1_2[[#This Row],[Categories]],Sheet3!$A$1:$B$27,2,FALSE)</f>
        <v>Clothing and footwear</v>
      </c>
    </row>
    <row r="6310" spans="1:7" x14ac:dyDescent="0.3">
      <c r="A6310" t="s">
        <v>34</v>
      </c>
      <c r="B6310">
        <v>2019</v>
      </c>
      <c r="C6310" t="s">
        <v>41</v>
      </c>
      <c r="D6310" s="2">
        <v>43678</v>
      </c>
      <c r="E6310" t="s">
        <v>18</v>
      </c>
      <c r="F6310">
        <v>140.6</v>
      </c>
      <c r="G6310" t="str">
        <f>VLOOKUP(Table1_2[[#This Row],[Categories]],Sheet3!$A$1:$B$27,2,FALSE)</f>
        <v>Clothing and footwear</v>
      </c>
    </row>
    <row r="6311" spans="1:7" x14ac:dyDescent="0.3">
      <c r="A6311" t="s">
        <v>34</v>
      </c>
      <c r="B6311">
        <v>2019</v>
      </c>
      <c r="C6311" t="s">
        <v>41</v>
      </c>
      <c r="D6311" s="2">
        <v>43678</v>
      </c>
      <c r="E6311" t="s">
        <v>19</v>
      </c>
      <c r="F6311">
        <v>147.9</v>
      </c>
      <c r="G6311" t="str">
        <f>VLOOKUP(Table1_2[[#This Row],[Categories]],Sheet3!$A$1:$B$27,2,FALSE)</f>
        <v>Clothing and footwear</v>
      </c>
    </row>
    <row r="6312" spans="1:7" x14ac:dyDescent="0.3">
      <c r="A6312" t="s">
        <v>34</v>
      </c>
      <c r="B6312">
        <v>2019</v>
      </c>
      <c r="C6312" t="s">
        <v>41</v>
      </c>
      <c r="D6312" s="2">
        <v>43678</v>
      </c>
      <c r="E6312" t="s">
        <v>20</v>
      </c>
      <c r="F6312">
        <v>151.6</v>
      </c>
      <c r="G6312" t="str">
        <f>VLOOKUP(Table1_2[[#This Row],[Categories]],Sheet3!$A$1:$B$27,2,FALSE)</f>
        <v>Housing</v>
      </c>
    </row>
    <row r="6313" spans="1:7" x14ac:dyDescent="0.3">
      <c r="A6313" t="s">
        <v>34</v>
      </c>
      <c r="B6313">
        <v>2019</v>
      </c>
      <c r="C6313" t="s">
        <v>41</v>
      </c>
      <c r="D6313" s="2">
        <v>43678</v>
      </c>
      <c r="E6313" t="s">
        <v>21</v>
      </c>
      <c r="F6313">
        <v>138.5</v>
      </c>
      <c r="G6313" t="str">
        <f>VLOOKUP(Table1_2[[#This Row],[Categories]],Sheet3!$A$1:$B$27,2,FALSE)</f>
        <v>Fuel and light</v>
      </c>
    </row>
    <row r="6314" spans="1:7" x14ac:dyDescent="0.3">
      <c r="A6314" t="s">
        <v>34</v>
      </c>
      <c r="B6314">
        <v>2019</v>
      </c>
      <c r="C6314" t="s">
        <v>41</v>
      </c>
      <c r="D6314" s="2">
        <v>43678</v>
      </c>
      <c r="E6314" t="s">
        <v>22</v>
      </c>
      <c r="F6314">
        <v>144.5</v>
      </c>
      <c r="G6314" t="str">
        <f>VLOOKUP(Table1_2[[#This Row],[Categories]],Sheet3!$A$1:$B$27,2,FALSE)</f>
        <v>Household Items</v>
      </c>
    </row>
    <row r="6315" spans="1:7" x14ac:dyDescent="0.3">
      <c r="A6315" t="s">
        <v>34</v>
      </c>
      <c r="B6315">
        <v>2019</v>
      </c>
      <c r="C6315" t="s">
        <v>41</v>
      </c>
      <c r="D6315" s="2">
        <v>43678</v>
      </c>
      <c r="E6315" t="s">
        <v>23</v>
      </c>
      <c r="F6315">
        <v>148.5</v>
      </c>
      <c r="G6315" t="str">
        <f>VLOOKUP(Table1_2[[#This Row],[Categories]],Sheet3!$A$1:$B$27,2,FALSE)</f>
        <v>Health</v>
      </c>
    </row>
    <row r="6316" spans="1:7" x14ac:dyDescent="0.3">
      <c r="A6316" t="s">
        <v>34</v>
      </c>
      <c r="B6316">
        <v>2019</v>
      </c>
      <c r="C6316" t="s">
        <v>41</v>
      </c>
      <c r="D6316" s="2">
        <v>43678</v>
      </c>
      <c r="E6316" t="s">
        <v>24</v>
      </c>
      <c r="F6316">
        <v>125.8</v>
      </c>
      <c r="G6316" t="str">
        <f>VLOOKUP(Table1_2[[#This Row],[Categories]],Sheet3!$A$1:$B$27,2,FALSE)</f>
        <v>Transport and communication</v>
      </c>
    </row>
    <row r="6317" spans="1:7" x14ac:dyDescent="0.3">
      <c r="A6317" t="s">
        <v>34</v>
      </c>
      <c r="B6317">
        <v>2019</v>
      </c>
      <c r="C6317" t="s">
        <v>41</v>
      </c>
      <c r="D6317" s="2">
        <v>43678</v>
      </c>
      <c r="E6317" t="s">
        <v>25</v>
      </c>
      <c r="F6317">
        <v>140.9</v>
      </c>
      <c r="G6317" t="str">
        <f>VLOOKUP(Table1_2[[#This Row],[Categories]],Sheet3!$A$1:$B$27,2,FALSE)</f>
        <v>Recreation and amusement</v>
      </c>
    </row>
    <row r="6318" spans="1:7" x14ac:dyDescent="0.3">
      <c r="A6318" t="s">
        <v>34</v>
      </c>
      <c r="B6318">
        <v>2019</v>
      </c>
      <c r="C6318" t="s">
        <v>41</v>
      </c>
      <c r="D6318" s="2">
        <v>43678</v>
      </c>
      <c r="E6318" t="s">
        <v>26</v>
      </c>
      <c r="F6318">
        <v>154.9</v>
      </c>
      <c r="G6318" t="str">
        <f>VLOOKUP(Table1_2[[#This Row],[Categories]],Sheet3!$A$1:$B$27,2,FALSE)</f>
        <v>Education</v>
      </c>
    </row>
    <row r="6319" spans="1:7" x14ac:dyDescent="0.3">
      <c r="A6319" t="s">
        <v>34</v>
      </c>
      <c r="B6319">
        <v>2019</v>
      </c>
      <c r="C6319" t="s">
        <v>41</v>
      </c>
      <c r="D6319" s="2">
        <v>43678</v>
      </c>
      <c r="E6319" t="s">
        <v>27</v>
      </c>
      <c r="F6319">
        <v>138.4</v>
      </c>
      <c r="G6319" t="str">
        <f>VLOOKUP(Table1_2[[#This Row],[Categories]],Sheet3!$A$1:$B$27,2,FALSE)</f>
        <v>Household Items</v>
      </c>
    </row>
    <row r="6320" spans="1:7" x14ac:dyDescent="0.3">
      <c r="A6320" t="s">
        <v>34</v>
      </c>
      <c r="B6320">
        <v>2019</v>
      </c>
      <c r="C6320" t="s">
        <v>41</v>
      </c>
      <c r="D6320" s="2">
        <v>43678</v>
      </c>
      <c r="E6320" t="s">
        <v>28</v>
      </c>
      <c r="F6320">
        <v>140.19999999999999</v>
      </c>
      <c r="G6320" t="str">
        <f>VLOOKUP(Table1_2[[#This Row],[Categories]],Sheet3!$A$1:$B$27,2,FALSE)</f>
        <v>Miscellaneous</v>
      </c>
    </row>
    <row r="6321" spans="1:7" x14ac:dyDescent="0.3">
      <c r="A6321" t="s">
        <v>34</v>
      </c>
      <c r="B6321">
        <v>2019</v>
      </c>
      <c r="C6321" t="s">
        <v>41</v>
      </c>
      <c r="D6321" s="2">
        <v>43678</v>
      </c>
      <c r="E6321" t="s">
        <v>29</v>
      </c>
      <c r="F6321">
        <v>145</v>
      </c>
      <c r="G6321" t="str">
        <f>VLOOKUP(Table1_2[[#This Row],[Categories]],Sheet3!$A$1:$B$27,2,FALSE)</f>
        <v>General index</v>
      </c>
    </row>
    <row r="6322" spans="1:7" x14ac:dyDescent="0.3">
      <c r="A6322" t="s">
        <v>30</v>
      </c>
      <c r="B6322">
        <v>2019</v>
      </c>
      <c r="C6322" t="s">
        <v>42</v>
      </c>
      <c r="D6322" s="2">
        <v>43709</v>
      </c>
      <c r="E6322" t="s">
        <v>3</v>
      </c>
      <c r="F6322">
        <v>140.1</v>
      </c>
      <c r="G6322" t="str">
        <f>VLOOKUP(Table1_2[[#This Row],[Categories]],Sheet3!$A$1:$B$27,2,FALSE)</f>
        <v>Food &amp;Beverage</v>
      </c>
    </row>
    <row r="6323" spans="1:7" x14ac:dyDescent="0.3">
      <c r="A6323" t="s">
        <v>30</v>
      </c>
      <c r="B6323">
        <v>2019</v>
      </c>
      <c r="C6323" t="s">
        <v>42</v>
      </c>
      <c r="D6323" s="2">
        <v>43709</v>
      </c>
      <c r="E6323" t="s">
        <v>4</v>
      </c>
      <c r="F6323">
        <v>161.9</v>
      </c>
      <c r="G6323" t="str">
        <f>VLOOKUP(Table1_2[[#This Row],[Categories]],Sheet3!$A$1:$B$27,2,FALSE)</f>
        <v>Food &amp;Beverage</v>
      </c>
    </row>
    <row r="6324" spans="1:7" x14ac:dyDescent="0.3">
      <c r="A6324" t="s">
        <v>30</v>
      </c>
      <c r="B6324">
        <v>2019</v>
      </c>
      <c r="C6324" t="s">
        <v>42</v>
      </c>
      <c r="D6324" s="2">
        <v>43709</v>
      </c>
      <c r="E6324" t="s">
        <v>5</v>
      </c>
      <c r="F6324">
        <v>138.30000000000001</v>
      </c>
      <c r="G6324" t="str">
        <f>VLOOKUP(Table1_2[[#This Row],[Categories]],Sheet3!$A$1:$B$27,2,FALSE)</f>
        <v>Food &amp;Beverage</v>
      </c>
    </row>
    <row r="6325" spans="1:7" x14ac:dyDescent="0.3">
      <c r="A6325" t="s">
        <v>30</v>
      </c>
      <c r="B6325">
        <v>2019</v>
      </c>
      <c r="C6325" t="s">
        <v>42</v>
      </c>
      <c r="D6325" s="2">
        <v>43709</v>
      </c>
      <c r="E6325" t="s">
        <v>6</v>
      </c>
      <c r="F6325">
        <v>145.69999999999999</v>
      </c>
      <c r="G6325" t="str">
        <f>VLOOKUP(Table1_2[[#This Row],[Categories]],Sheet3!$A$1:$B$27,2,FALSE)</f>
        <v>Food &amp;Beverage</v>
      </c>
    </row>
    <row r="6326" spans="1:7" x14ac:dyDescent="0.3">
      <c r="A6326" t="s">
        <v>30</v>
      </c>
      <c r="B6326">
        <v>2019</v>
      </c>
      <c r="C6326" t="s">
        <v>42</v>
      </c>
      <c r="D6326" s="2">
        <v>43709</v>
      </c>
      <c r="E6326" t="s">
        <v>7</v>
      </c>
      <c r="F6326">
        <v>125.1</v>
      </c>
      <c r="G6326" t="str">
        <f>VLOOKUP(Table1_2[[#This Row],[Categories]],Sheet3!$A$1:$B$27,2,FALSE)</f>
        <v>Food &amp;Beverage</v>
      </c>
    </row>
    <row r="6327" spans="1:7" x14ac:dyDescent="0.3">
      <c r="A6327" t="s">
        <v>30</v>
      </c>
      <c r="B6327">
        <v>2019</v>
      </c>
      <c r="C6327" t="s">
        <v>42</v>
      </c>
      <c r="D6327" s="2">
        <v>43709</v>
      </c>
      <c r="E6327" t="s">
        <v>8</v>
      </c>
      <c r="F6327">
        <v>143.80000000000001</v>
      </c>
      <c r="G6327" t="str">
        <f>VLOOKUP(Table1_2[[#This Row],[Categories]],Sheet3!$A$1:$B$27,2,FALSE)</f>
        <v>Food &amp;Beverage</v>
      </c>
    </row>
    <row r="6328" spans="1:7" x14ac:dyDescent="0.3">
      <c r="A6328" t="s">
        <v>30</v>
      </c>
      <c r="B6328">
        <v>2019</v>
      </c>
      <c r="C6328" t="s">
        <v>42</v>
      </c>
      <c r="D6328" s="2">
        <v>43709</v>
      </c>
      <c r="E6328" t="s">
        <v>9</v>
      </c>
      <c r="F6328">
        <v>163.4</v>
      </c>
      <c r="G6328" t="str">
        <f>VLOOKUP(Table1_2[[#This Row],[Categories]],Sheet3!$A$1:$B$27,2,FALSE)</f>
        <v>Food &amp;Beverage</v>
      </c>
    </row>
    <row r="6329" spans="1:7" x14ac:dyDescent="0.3">
      <c r="A6329" t="s">
        <v>30</v>
      </c>
      <c r="B6329">
        <v>2019</v>
      </c>
      <c r="C6329" t="s">
        <v>42</v>
      </c>
      <c r="D6329" s="2">
        <v>43709</v>
      </c>
      <c r="E6329" t="s">
        <v>10</v>
      </c>
      <c r="F6329">
        <v>132.19999999999999</v>
      </c>
      <c r="G6329" t="str">
        <f>VLOOKUP(Table1_2[[#This Row],[Categories]],Sheet3!$A$1:$B$27,2,FALSE)</f>
        <v>Food &amp;Beverage</v>
      </c>
    </row>
    <row r="6330" spans="1:7" x14ac:dyDescent="0.3">
      <c r="A6330" t="s">
        <v>30</v>
      </c>
      <c r="B6330">
        <v>2019</v>
      </c>
      <c r="C6330" t="s">
        <v>42</v>
      </c>
      <c r="D6330" s="2">
        <v>43709</v>
      </c>
      <c r="E6330" t="s">
        <v>11</v>
      </c>
      <c r="F6330">
        <v>112.8</v>
      </c>
      <c r="G6330" t="str">
        <f>VLOOKUP(Table1_2[[#This Row],[Categories]],Sheet3!$A$1:$B$27,2,FALSE)</f>
        <v>Food &amp;Beverage</v>
      </c>
    </row>
    <row r="6331" spans="1:7" x14ac:dyDescent="0.3">
      <c r="A6331" t="s">
        <v>30</v>
      </c>
      <c r="B6331">
        <v>2019</v>
      </c>
      <c r="C6331" t="s">
        <v>42</v>
      </c>
      <c r="D6331" s="2">
        <v>43709</v>
      </c>
      <c r="E6331" t="s">
        <v>12</v>
      </c>
      <c r="F6331">
        <v>144.19999999999999</v>
      </c>
      <c r="G6331" t="str">
        <f>VLOOKUP(Table1_2[[#This Row],[Categories]],Sheet3!$A$1:$B$27,2,FALSE)</f>
        <v>Food &amp;Beverage</v>
      </c>
    </row>
    <row r="6332" spans="1:7" x14ac:dyDescent="0.3">
      <c r="A6332" t="s">
        <v>30</v>
      </c>
      <c r="B6332">
        <v>2019</v>
      </c>
      <c r="C6332" t="s">
        <v>42</v>
      </c>
      <c r="D6332" s="2">
        <v>43709</v>
      </c>
      <c r="E6332" t="s">
        <v>13</v>
      </c>
      <c r="F6332">
        <v>138.5</v>
      </c>
      <c r="G6332" t="str">
        <f>VLOOKUP(Table1_2[[#This Row],[Categories]],Sheet3!$A$1:$B$27,2,FALSE)</f>
        <v>Food &amp;Beverage</v>
      </c>
    </row>
    <row r="6333" spans="1:7" x14ac:dyDescent="0.3">
      <c r="A6333" t="s">
        <v>30</v>
      </c>
      <c r="B6333">
        <v>2019</v>
      </c>
      <c r="C6333" t="s">
        <v>42</v>
      </c>
      <c r="D6333" s="2">
        <v>43709</v>
      </c>
      <c r="E6333" t="s">
        <v>14</v>
      </c>
      <c r="F6333">
        <v>157.19999999999999</v>
      </c>
      <c r="G6333" t="str">
        <f>VLOOKUP(Table1_2[[#This Row],[Categories]],Sheet3!$A$1:$B$27,2,FALSE)</f>
        <v>Food &amp;Beverage</v>
      </c>
    </row>
    <row r="6334" spans="1:7" x14ac:dyDescent="0.3">
      <c r="A6334" t="s">
        <v>30</v>
      </c>
      <c r="B6334">
        <v>2019</v>
      </c>
      <c r="C6334" t="s">
        <v>42</v>
      </c>
      <c r="D6334" s="2">
        <v>43709</v>
      </c>
      <c r="E6334" t="s">
        <v>15</v>
      </c>
      <c r="F6334">
        <v>145.5</v>
      </c>
      <c r="G6334" t="str">
        <f>VLOOKUP(Table1_2[[#This Row],[Categories]],Sheet3!$A$1:$B$27,2,FALSE)</f>
        <v>Food &amp;Beverage</v>
      </c>
    </row>
    <row r="6335" spans="1:7" x14ac:dyDescent="0.3">
      <c r="A6335" t="s">
        <v>30</v>
      </c>
      <c r="B6335">
        <v>2019</v>
      </c>
      <c r="C6335" t="s">
        <v>42</v>
      </c>
      <c r="D6335" s="2">
        <v>43709</v>
      </c>
      <c r="E6335" t="s">
        <v>16</v>
      </c>
      <c r="F6335">
        <v>165.7</v>
      </c>
      <c r="G6335" t="str">
        <f>VLOOKUP(Table1_2[[#This Row],[Categories]],Sheet3!$A$1:$B$27,2,FALSE)</f>
        <v>Recreation and amusement</v>
      </c>
    </row>
    <row r="6336" spans="1:7" x14ac:dyDescent="0.3">
      <c r="A6336" t="s">
        <v>30</v>
      </c>
      <c r="B6336">
        <v>2019</v>
      </c>
      <c r="C6336" t="s">
        <v>42</v>
      </c>
      <c r="D6336" s="2">
        <v>43709</v>
      </c>
      <c r="E6336" t="s">
        <v>17</v>
      </c>
      <c r="F6336">
        <v>151.69999999999999</v>
      </c>
      <c r="G6336" t="str">
        <f>VLOOKUP(Table1_2[[#This Row],[Categories]],Sheet3!$A$1:$B$27,2,FALSE)</f>
        <v>Clothing and footwear</v>
      </c>
    </row>
    <row r="6337" spans="1:7" x14ac:dyDescent="0.3">
      <c r="A6337" t="s">
        <v>30</v>
      </c>
      <c r="B6337">
        <v>2019</v>
      </c>
      <c r="C6337" t="s">
        <v>42</v>
      </c>
      <c r="D6337" s="2">
        <v>43709</v>
      </c>
      <c r="E6337" t="s">
        <v>18</v>
      </c>
      <c r="F6337">
        <v>146.6</v>
      </c>
      <c r="G6337" t="str">
        <f>VLOOKUP(Table1_2[[#This Row],[Categories]],Sheet3!$A$1:$B$27,2,FALSE)</f>
        <v>Clothing and footwear</v>
      </c>
    </row>
    <row r="6338" spans="1:7" x14ac:dyDescent="0.3">
      <c r="A6338" t="s">
        <v>30</v>
      </c>
      <c r="B6338">
        <v>2019</v>
      </c>
      <c r="C6338" t="s">
        <v>42</v>
      </c>
      <c r="D6338" s="2">
        <v>43709</v>
      </c>
      <c r="E6338" t="s">
        <v>19</v>
      </c>
      <c r="F6338">
        <v>151</v>
      </c>
      <c r="G6338" t="str">
        <f>VLOOKUP(Table1_2[[#This Row],[Categories]],Sheet3!$A$1:$B$27,2,FALSE)</f>
        <v>Clothing and footwear</v>
      </c>
    </row>
    <row r="6339" spans="1:7" x14ac:dyDescent="0.3">
      <c r="A6339" t="s">
        <v>30</v>
      </c>
      <c r="B6339">
        <v>2019</v>
      </c>
      <c r="C6339" t="s">
        <v>42</v>
      </c>
      <c r="D6339" s="2">
        <v>43709</v>
      </c>
      <c r="E6339" t="s">
        <v>21</v>
      </c>
      <c r="F6339">
        <v>146.9</v>
      </c>
      <c r="G6339" t="str">
        <f>VLOOKUP(Table1_2[[#This Row],[Categories]],Sheet3!$A$1:$B$27,2,FALSE)</f>
        <v>Fuel and light</v>
      </c>
    </row>
    <row r="6340" spans="1:7" x14ac:dyDescent="0.3">
      <c r="A6340" t="s">
        <v>30</v>
      </c>
      <c r="B6340">
        <v>2019</v>
      </c>
      <c r="C6340" t="s">
        <v>42</v>
      </c>
      <c r="D6340" s="2">
        <v>43709</v>
      </c>
      <c r="E6340" t="s">
        <v>22</v>
      </c>
      <c r="F6340">
        <v>150.30000000000001</v>
      </c>
      <c r="G6340" t="str">
        <f>VLOOKUP(Table1_2[[#This Row],[Categories]],Sheet3!$A$1:$B$27,2,FALSE)</f>
        <v>Household Items</v>
      </c>
    </row>
    <row r="6341" spans="1:7" x14ac:dyDescent="0.3">
      <c r="A6341" t="s">
        <v>30</v>
      </c>
      <c r="B6341">
        <v>2019</v>
      </c>
      <c r="C6341" t="s">
        <v>42</v>
      </c>
      <c r="D6341" s="2">
        <v>43709</v>
      </c>
      <c r="E6341" t="s">
        <v>23</v>
      </c>
      <c r="F6341">
        <v>153.4</v>
      </c>
      <c r="G6341" t="str">
        <f>VLOOKUP(Table1_2[[#This Row],[Categories]],Sheet3!$A$1:$B$27,2,FALSE)</f>
        <v>Health</v>
      </c>
    </row>
    <row r="6342" spans="1:7" x14ac:dyDescent="0.3">
      <c r="A6342" t="s">
        <v>30</v>
      </c>
      <c r="B6342">
        <v>2019</v>
      </c>
      <c r="C6342" t="s">
        <v>42</v>
      </c>
      <c r="D6342" s="2">
        <v>43709</v>
      </c>
      <c r="E6342" t="s">
        <v>24</v>
      </c>
      <c r="F6342">
        <v>131.6</v>
      </c>
      <c r="G6342" t="str">
        <f>VLOOKUP(Table1_2[[#This Row],[Categories]],Sheet3!$A$1:$B$27,2,FALSE)</f>
        <v>Transport and communication</v>
      </c>
    </row>
    <row r="6343" spans="1:7" x14ac:dyDescent="0.3">
      <c r="A6343" t="s">
        <v>30</v>
      </c>
      <c r="B6343">
        <v>2019</v>
      </c>
      <c r="C6343" t="s">
        <v>42</v>
      </c>
      <c r="D6343" s="2">
        <v>43709</v>
      </c>
      <c r="E6343" t="s">
        <v>25</v>
      </c>
      <c r="F6343">
        <v>148.30000000000001</v>
      </c>
      <c r="G6343" t="str">
        <f>VLOOKUP(Table1_2[[#This Row],[Categories]],Sheet3!$A$1:$B$27,2,FALSE)</f>
        <v>Recreation and amusement</v>
      </c>
    </row>
    <row r="6344" spans="1:7" x14ac:dyDescent="0.3">
      <c r="A6344" t="s">
        <v>30</v>
      </c>
      <c r="B6344">
        <v>2019</v>
      </c>
      <c r="C6344" t="s">
        <v>42</v>
      </c>
      <c r="D6344" s="2">
        <v>43709</v>
      </c>
      <c r="E6344" t="s">
        <v>26</v>
      </c>
      <c r="F6344">
        <v>160.19999999999999</v>
      </c>
      <c r="G6344" t="str">
        <f>VLOOKUP(Table1_2[[#This Row],[Categories]],Sheet3!$A$1:$B$27,2,FALSE)</f>
        <v>Education</v>
      </c>
    </row>
    <row r="6345" spans="1:7" x14ac:dyDescent="0.3">
      <c r="A6345" t="s">
        <v>30</v>
      </c>
      <c r="B6345">
        <v>2019</v>
      </c>
      <c r="C6345" t="s">
        <v>42</v>
      </c>
      <c r="D6345" s="2">
        <v>43709</v>
      </c>
      <c r="E6345" t="s">
        <v>27</v>
      </c>
      <c r="F6345">
        <v>140.19999999999999</v>
      </c>
      <c r="G6345" t="str">
        <f>VLOOKUP(Table1_2[[#This Row],[Categories]],Sheet3!$A$1:$B$27,2,FALSE)</f>
        <v>Household Items</v>
      </c>
    </row>
    <row r="6346" spans="1:7" x14ac:dyDescent="0.3">
      <c r="A6346" t="s">
        <v>30</v>
      </c>
      <c r="B6346">
        <v>2019</v>
      </c>
      <c r="C6346" t="s">
        <v>42</v>
      </c>
      <c r="D6346" s="2">
        <v>43709</v>
      </c>
      <c r="E6346" t="s">
        <v>28</v>
      </c>
      <c r="F6346">
        <v>145.4</v>
      </c>
      <c r="G6346" t="str">
        <f>VLOOKUP(Table1_2[[#This Row],[Categories]],Sheet3!$A$1:$B$27,2,FALSE)</f>
        <v>Miscellaneous</v>
      </c>
    </row>
    <row r="6347" spans="1:7" x14ac:dyDescent="0.3">
      <c r="A6347" t="s">
        <v>30</v>
      </c>
      <c r="B6347">
        <v>2019</v>
      </c>
      <c r="C6347" t="s">
        <v>42</v>
      </c>
      <c r="D6347" s="2">
        <v>43709</v>
      </c>
      <c r="E6347" t="s">
        <v>29</v>
      </c>
      <c r="F6347">
        <v>146.69999999999999</v>
      </c>
      <c r="G6347" t="str">
        <f>VLOOKUP(Table1_2[[#This Row],[Categories]],Sheet3!$A$1:$B$27,2,FALSE)</f>
        <v>General index</v>
      </c>
    </row>
    <row r="6348" spans="1:7" x14ac:dyDescent="0.3">
      <c r="A6348" t="s">
        <v>33</v>
      </c>
      <c r="B6348">
        <v>2019</v>
      </c>
      <c r="C6348" t="s">
        <v>42</v>
      </c>
      <c r="D6348" s="2">
        <v>43709</v>
      </c>
      <c r="E6348" t="s">
        <v>3</v>
      </c>
      <c r="F6348">
        <v>142.69999999999999</v>
      </c>
      <c r="G6348" t="str">
        <f>VLOOKUP(Table1_2[[#This Row],[Categories]],Sheet3!$A$1:$B$27,2,FALSE)</f>
        <v>Food &amp;Beverage</v>
      </c>
    </row>
    <row r="6349" spans="1:7" x14ac:dyDescent="0.3">
      <c r="A6349" t="s">
        <v>33</v>
      </c>
      <c r="B6349">
        <v>2019</v>
      </c>
      <c r="C6349" t="s">
        <v>42</v>
      </c>
      <c r="D6349" s="2">
        <v>43709</v>
      </c>
      <c r="E6349" t="s">
        <v>4</v>
      </c>
      <c r="F6349">
        <v>158.69999999999999</v>
      </c>
      <c r="G6349" t="str">
        <f>VLOOKUP(Table1_2[[#This Row],[Categories]],Sheet3!$A$1:$B$27,2,FALSE)</f>
        <v>Food &amp;Beverage</v>
      </c>
    </row>
    <row r="6350" spans="1:7" x14ac:dyDescent="0.3">
      <c r="A6350" t="s">
        <v>33</v>
      </c>
      <c r="B6350">
        <v>2019</v>
      </c>
      <c r="C6350" t="s">
        <v>42</v>
      </c>
      <c r="D6350" s="2">
        <v>43709</v>
      </c>
      <c r="E6350" t="s">
        <v>5</v>
      </c>
      <c r="F6350">
        <v>141.6</v>
      </c>
      <c r="G6350" t="str">
        <f>VLOOKUP(Table1_2[[#This Row],[Categories]],Sheet3!$A$1:$B$27,2,FALSE)</f>
        <v>Food &amp;Beverage</v>
      </c>
    </row>
    <row r="6351" spans="1:7" x14ac:dyDescent="0.3">
      <c r="A6351" t="s">
        <v>33</v>
      </c>
      <c r="B6351">
        <v>2019</v>
      </c>
      <c r="C6351" t="s">
        <v>42</v>
      </c>
      <c r="D6351" s="2">
        <v>43709</v>
      </c>
      <c r="E6351" t="s">
        <v>6</v>
      </c>
      <c r="F6351">
        <v>144.9</v>
      </c>
      <c r="G6351" t="str">
        <f>VLOOKUP(Table1_2[[#This Row],[Categories]],Sheet3!$A$1:$B$27,2,FALSE)</f>
        <v>Food &amp;Beverage</v>
      </c>
    </row>
    <row r="6352" spans="1:7" x14ac:dyDescent="0.3">
      <c r="A6352" t="s">
        <v>33</v>
      </c>
      <c r="B6352">
        <v>2019</v>
      </c>
      <c r="C6352" t="s">
        <v>42</v>
      </c>
      <c r="D6352" s="2">
        <v>43709</v>
      </c>
      <c r="E6352" t="s">
        <v>7</v>
      </c>
      <c r="F6352">
        <v>120.8</v>
      </c>
      <c r="G6352" t="str">
        <f>VLOOKUP(Table1_2[[#This Row],[Categories]],Sheet3!$A$1:$B$27,2,FALSE)</f>
        <v>Food &amp;Beverage</v>
      </c>
    </row>
    <row r="6353" spans="1:7" x14ac:dyDescent="0.3">
      <c r="A6353" t="s">
        <v>33</v>
      </c>
      <c r="B6353">
        <v>2019</v>
      </c>
      <c r="C6353" t="s">
        <v>42</v>
      </c>
      <c r="D6353" s="2">
        <v>43709</v>
      </c>
      <c r="E6353" t="s">
        <v>8</v>
      </c>
      <c r="F6353">
        <v>149.80000000000001</v>
      </c>
      <c r="G6353" t="str">
        <f>VLOOKUP(Table1_2[[#This Row],[Categories]],Sheet3!$A$1:$B$27,2,FALSE)</f>
        <v>Food &amp;Beverage</v>
      </c>
    </row>
    <row r="6354" spans="1:7" x14ac:dyDescent="0.3">
      <c r="A6354" t="s">
        <v>33</v>
      </c>
      <c r="B6354">
        <v>2019</v>
      </c>
      <c r="C6354" t="s">
        <v>42</v>
      </c>
      <c r="D6354" s="2">
        <v>43709</v>
      </c>
      <c r="E6354" t="s">
        <v>9</v>
      </c>
      <c r="F6354">
        <v>192.4</v>
      </c>
      <c r="G6354" t="str">
        <f>VLOOKUP(Table1_2[[#This Row],[Categories]],Sheet3!$A$1:$B$27,2,FALSE)</f>
        <v>Food &amp;Beverage</v>
      </c>
    </row>
    <row r="6355" spans="1:7" x14ac:dyDescent="0.3">
      <c r="A6355" t="s">
        <v>33</v>
      </c>
      <c r="B6355">
        <v>2019</v>
      </c>
      <c r="C6355" t="s">
        <v>42</v>
      </c>
      <c r="D6355" s="2">
        <v>43709</v>
      </c>
      <c r="E6355" t="s">
        <v>10</v>
      </c>
      <c r="F6355">
        <v>130.30000000000001</v>
      </c>
      <c r="G6355" t="str">
        <f>VLOOKUP(Table1_2[[#This Row],[Categories]],Sheet3!$A$1:$B$27,2,FALSE)</f>
        <v>Food &amp;Beverage</v>
      </c>
    </row>
    <row r="6356" spans="1:7" x14ac:dyDescent="0.3">
      <c r="A6356" t="s">
        <v>33</v>
      </c>
      <c r="B6356">
        <v>2019</v>
      </c>
      <c r="C6356" t="s">
        <v>42</v>
      </c>
      <c r="D6356" s="2">
        <v>43709</v>
      </c>
      <c r="E6356" t="s">
        <v>11</v>
      </c>
      <c r="F6356">
        <v>114</v>
      </c>
      <c r="G6356" t="str">
        <f>VLOOKUP(Table1_2[[#This Row],[Categories]],Sheet3!$A$1:$B$27,2,FALSE)</f>
        <v>Food &amp;Beverage</v>
      </c>
    </row>
    <row r="6357" spans="1:7" x14ac:dyDescent="0.3">
      <c r="A6357" t="s">
        <v>33</v>
      </c>
      <c r="B6357">
        <v>2019</v>
      </c>
      <c r="C6357" t="s">
        <v>42</v>
      </c>
      <c r="D6357" s="2">
        <v>43709</v>
      </c>
      <c r="E6357" t="s">
        <v>12</v>
      </c>
      <c r="F6357">
        <v>143.80000000000001</v>
      </c>
      <c r="G6357" t="str">
        <f>VLOOKUP(Table1_2[[#This Row],[Categories]],Sheet3!$A$1:$B$27,2,FALSE)</f>
        <v>Food &amp;Beverage</v>
      </c>
    </row>
    <row r="6358" spans="1:7" x14ac:dyDescent="0.3">
      <c r="A6358" t="s">
        <v>33</v>
      </c>
      <c r="B6358">
        <v>2019</v>
      </c>
      <c r="C6358" t="s">
        <v>42</v>
      </c>
      <c r="D6358" s="2">
        <v>43709</v>
      </c>
      <c r="E6358" t="s">
        <v>13</v>
      </c>
      <c r="F6358">
        <v>130</v>
      </c>
      <c r="G6358" t="str">
        <f>VLOOKUP(Table1_2[[#This Row],[Categories]],Sheet3!$A$1:$B$27,2,FALSE)</f>
        <v>Food &amp;Beverage</v>
      </c>
    </row>
    <row r="6359" spans="1:7" x14ac:dyDescent="0.3">
      <c r="A6359" t="s">
        <v>33</v>
      </c>
      <c r="B6359">
        <v>2019</v>
      </c>
      <c r="C6359" t="s">
        <v>42</v>
      </c>
      <c r="D6359" s="2">
        <v>43709</v>
      </c>
      <c r="E6359" t="s">
        <v>14</v>
      </c>
      <c r="F6359">
        <v>156.4</v>
      </c>
      <c r="G6359" t="str">
        <f>VLOOKUP(Table1_2[[#This Row],[Categories]],Sheet3!$A$1:$B$27,2,FALSE)</f>
        <v>Food &amp;Beverage</v>
      </c>
    </row>
    <row r="6360" spans="1:7" x14ac:dyDescent="0.3">
      <c r="A6360" t="s">
        <v>33</v>
      </c>
      <c r="B6360">
        <v>2019</v>
      </c>
      <c r="C6360" t="s">
        <v>42</v>
      </c>
      <c r="D6360" s="2">
        <v>43709</v>
      </c>
      <c r="E6360" t="s">
        <v>15</v>
      </c>
      <c r="F6360">
        <v>149.5</v>
      </c>
      <c r="G6360" t="str">
        <f>VLOOKUP(Table1_2[[#This Row],[Categories]],Sheet3!$A$1:$B$27,2,FALSE)</f>
        <v>Food &amp;Beverage</v>
      </c>
    </row>
    <row r="6361" spans="1:7" x14ac:dyDescent="0.3">
      <c r="A6361" t="s">
        <v>33</v>
      </c>
      <c r="B6361">
        <v>2019</v>
      </c>
      <c r="C6361" t="s">
        <v>42</v>
      </c>
      <c r="D6361" s="2">
        <v>43709</v>
      </c>
      <c r="E6361" t="s">
        <v>16</v>
      </c>
      <c r="F6361">
        <v>168.6</v>
      </c>
      <c r="G6361" t="str">
        <f>VLOOKUP(Table1_2[[#This Row],[Categories]],Sheet3!$A$1:$B$27,2,FALSE)</f>
        <v>Recreation and amusement</v>
      </c>
    </row>
    <row r="6362" spans="1:7" x14ac:dyDescent="0.3">
      <c r="A6362" t="s">
        <v>33</v>
      </c>
      <c r="B6362">
        <v>2019</v>
      </c>
      <c r="C6362" t="s">
        <v>42</v>
      </c>
      <c r="D6362" s="2">
        <v>43709</v>
      </c>
      <c r="E6362" t="s">
        <v>17</v>
      </c>
      <c r="F6362">
        <v>145.30000000000001</v>
      </c>
      <c r="G6362" t="str">
        <f>VLOOKUP(Table1_2[[#This Row],[Categories]],Sheet3!$A$1:$B$27,2,FALSE)</f>
        <v>Clothing and footwear</v>
      </c>
    </row>
    <row r="6363" spans="1:7" x14ac:dyDescent="0.3">
      <c r="A6363" t="s">
        <v>33</v>
      </c>
      <c r="B6363">
        <v>2019</v>
      </c>
      <c r="C6363" t="s">
        <v>42</v>
      </c>
      <c r="D6363" s="2">
        <v>43709</v>
      </c>
      <c r="E6363" t="s">
        <v>18</v>
      </c>
      <c r="F6363">
        <v>132.19999999999999</v>
      </c>
      <c r="G6363" t="str">
        <f>VLOOKUP(Table1_2[[#This Row],[Categories]],Sheet3!$A$1:$B$27,2,FALSE)</f>
        <v>Clothing and footwear</v>
      </c>
    </row>
    <row r="6364" spans="1:7" x14ac:dyDescent="0.3">
      <c r="A6364" t="s">
        <v>33</v>
      </c>
      <c r="B6364">
        <v>2019</v>
      </c>
      <c r="C6364" t="s">
        <v>42</v>
      </c>
      <c r="D6364" s="2">
        <v>43709</v>
      </c>
      <c r="E6364" t="s">
        <v>19</v>
      </c>
      <c r="F6364">
        <v>143.30000000000001</v>
      </c>
      <c r="G6364" t="str">
        <f>VLOOKUP(Table1_2[[#This Row],[Categories]],Sheet3!$A$1:$B$27,2,FALSE)</f>
        <v>Clothing and footwear</v>
      </c>
    </row>
    <row r="6365" spans="1:7" x14ac:dyDescent="0.3">
      <c r="A6365" t="s">
        <v>33</v>
      </c>
      <c r="B6365">
        <v>2019</v>
      </c>
      <c r="C6365" t="s">
        <v>42</v>
      </c>
      <c r="D6365" s="2">
        <v>43709</v>
      </c>
      <c r="E6365" t="s">
        <v>20</v>
      </c>
      <c r="F6365">
        <v>152.19999999999999</v>
      </c>
      <c r="G6365" t="str">
        <f>VLOOKUP(Table1_2[[#This Row],[Categories]],Sheet3!$A$1:$B$27,2,FALSE)</f>
        <v>Housing</v>
      </c>
    </row>
    <row r="6366" spans="1:7" x14ac:dyDescent="0.3">
      <c r="A6366" t="s">
        <v>33</v>
      </c>
      <c r="B6366">
        <v>2019</v>
      </c>
      <c r="C6366" t="s">
        <v>42</v>
      </c>
      <c r="D6366" s="2">
        <v>43709</v>
      </c>
      <c r="E6366" t="s">
        <v>21</v>
      </c>
      <c r="F6366">
        <v>126.6</v>
      </c>
      <c r="G6366" t="str">
        <f>VLOOKUP(Table1_2[[#This Row],[Categories]],Sheet3!$A$1:$B$27,2,FALSE)</f>
        <v>Fuel and light</v>
      </c>
    </row>
    <row r="6367" spans="1:7" x14ac:dyDescent="0.3">
      <c r="A6367" t="s">
        <v>33</v>
      </c>
      <c r="B6367">
        <v>2019</v>
      </c>
      <c r="C6367" t="s">
        <v>42</v>
      </c>
      <c r="D6367" s="2">
        <v>43709</v>
      </c>
      <c r="E6367" t="s">
        <v>22</v>
      </c>
      <c r="F6367">
        <v>138.30000000000001</v>
      </c>
      <c r="G6367" t="str">
        <f>VLOOKUP(Table1_2[[#This Row],[Categories]],Sheet3!$A$1:$B$27,2,FALSE)</f>
        <v>Household Items</v>
      </c>
    </row>
    <row r="6368" spans="1:7" x14ac:dyDescent="0.3">
      <c r="A6368" t="s">
        <v>33</v>
      </c>
      <c r="B6368">
        <v>2019</v>
      </c>
      <c r="C6368" t="s">
        <v>42</v>
      </c>
      <c r="D6368" s="2">
        <v>43709</v>
      </c>
      <c r="E6368" t="s">
        <v>23</v>
      </c>
      <c r="F6368">
        <v>141.9</v>
      </c>
      <c r="G6368" t="str">
        <f>VLOOKUP(Table1_2[[#This Row],[Categories]],Sheet3!$A$1:$B$27,2,FALSE)</f>
        <v>Health</v>
      </c>
    </row>
    <row r="6369" spans="1:7" x14ac:dyDescent="0.3">
      <c r="A6369" t="s">
        <v>33</v>
      </c>
      <c r="B6369">
        <v>2019</v>
      </c>
      <c r="C6369" t="s">
        <v>42</v>
      </c>
      <c r="D6369" s="2">
        <v>43709</v>
      </c>
      <c r="E6369" t="s">
        <v>24</v>
      </c>
      <c r="F6369">
        <v>121.2</v>
      </c>
      <c r="G6369" t="str">
        <f>VLOOKUP(Table1_2[[#This Row],[Categories]],Sheet3!$A$1:$B$27,2,FALSE)</f>
        <v>Transport and communication</v>
      </c>
    </row>
    <row r="6370" spans="1:7" x14ac:dyDescent="0.3">
      <c r="A6370" t="s">
        <v>33</v>
      </c>
      <c r="B6370">
        <v>2019</v>
      </c>
      <c r="C6370" t="s">
        <v>42</v>
      </c>
      <c r="D6370" s="2">
        <v>43709</v>
      </c>
      <c r="E6370" t="s">
        <v>25</v>
      </c>
      <c r="F6370">
        <v>135.9</v>
      </c>
      <c r="G6370" t="str">
        <f>VLOOKUP(Table1_2[[#This Row],[Categories]],Sheet3!$A$1:$B$27,2,FALSE)</f>
        <v>Recreation and amusement</v>
      </c>
    </row>
    <row r="6371" spans="1:7" x14ac:dyDescent="0.3">
      <c r="A6371" t="s">
        <v>33</v>
      </c>
      <c r="B6371">
        <v>2019</v>
      </c>
      <c r="C6371" t="s">
        <v>42</v>
      </c>
      <c r="D6371" s="2">
        <v>43709</v>
      </c>
      <c r="E6371" t="s">
        <v>26</v>
      </c>
      <c r="F6371">
        <v>151.6</v>
      </c>
      <c r="G6371" t="str">
        <f>VLOOKUP(Table1_2[[#This Row],[Categories]],Sheet3!$A$1:$B$27,2,FALSE)</f>
        <v>Education</v>
      </c>
    </row>
    <row r="6372" spans="1:7" x14ac:dyDescent="0.3">
      <c r="A6372" t="s">
        <v>33</v>
      </c>
      <c r="B6372">
        <v>2019</v>
      </c>
      <c r="C6372" t="s">
        <v>42</v>
      </c>
      <c r="D6372" s="2">
        <v>43709</v>
      </c>
      <c r="E6372" t="s">
        <v>27</v>
      </c>
      <c r="F6372">
        <v>139</v>
      </c>
      <c r="G6372" t="str">
        <f>VLOOKUP(Table1_2[[#This Row],[Categories]],Sheet3!$A$1:$B$27,2,FALSE)</f>
        <v>Household Items</v>
      </c>
    </row>
    <row r="6373" spans="1:7" x14ac:dyDescent="0.3">
      <c r="A6373" t="s">
        <v>33</v>
      </c>
      <c r="B6373">
        <v>2019</v>
      </c>
      <c r="C6373" t="s">
        <v>42</v>
      </c>
      <c r="D6373" s="2">
        <v>43709</v>
      </c>
      <c r="E6373" t="s">
        <v>28</v>
      </c>
      <c r="F6373">
        <v>135.69999999999999</v>
      </c>
      <c r="G6373" t="str">
        <f>VLOOKUP(Table1_2[[#This Row],[Categories]],Sheet3!$A$1:$B$27,2,FALSE)</f>
        <v>Miscellaneous</v>
      </c>
    </row>
    <row r="6374" spans="1:7" x14ac:dyDescent="0.3">
      <c r="A6374" t="s">
        <v>33</v>
      </c>
      <c r="B6374">
        <v>2019</v>
      </c>
      <c r="C6374" t="s">
        <v>42</v>
      </c>
      <c r="D6374" s="2">
        <v>43709</v>
      </c>
      <c r="E6374" t="s">
        <v>29</v>
      </c>
      <c r="F6374">
        <v>144.69999999999999</v>
      </c>
      <c r="G6374" t="str">
        <f>VLOOKUP(Table1_2[[#This Row],[Categories]],Sheet3!$A$1:$B$27,2,FALSE)</f>
        <v>General index</v>
      </c>
    </row>
    <row r="6375" spans="1:7" x14ac:dyDescent="0.3">
      <c r="A6375" t="s">
        <v>34</v>
      </c>
      <c r="B6375">
        <v>2019</v>
      </c>
      <c r="C6375" t="s">
        <v>42</v>
      </c>
      <c r="D6375" s="2">
        <v>43709</v>
      </c>
      <c r="E6375" t="s">
        <v>3</v>
      </c>
      <c r="F6375">
        <v>140.9</v>
      </c>
      <c r="G6375" t="str">
        <f>VLOOKUP(Table1_2[[#This Row],[Categories]],Sheet3!$A$1:$B$27,2,FALSE)</f>
        <v>Food &amp;Beverage</v>
      </c>
    </row>
    <row r="6376" spans="1:7" x14ac:dyDescent="0.3">
      <c r="A6376" t="s">
        <v>34</v>
      </c>
      <c r="B6376">
        <v>2019</v>
      </c>
      <c r="C6376" t="s">
        <v>42</v>
      </c>
      <c r="D6376" s="2">
        <v>43709</v>
      </c>
      <c r="E6376" t="s">
        <v>4</v>
      </c>
      <c r="F6376">
        <v>160.80000000000001</v>
      </c>
      <c r="G6376" t="str">
        <f>VLOOKUP(Table1_2[[#This Row],[Categories]],Sheet3!$A$1:$B$27,2,FALSE)</f>
        <v>Food &amp;Beverage</v>
      </c>
    </row>
    <row r="6377" spans="1:7" x14ac:dyDescent="0.3">
      <c r="A6377" t="s">
        <v>34</v>
      </c>
      <c r="B6377">
        <v>2019</v>
      </c>
      <c r="C6377" t="s">
        <v>42</v>
      </c>
      <c r="D6377" s="2">
        <v>43709</v>
      </c>
      <c r="E6377" t="s">
        <v>5</v>
      </c>
      <c r="F6377">
        <v>139.6</v>
      </c>
      <c r="G6377" t="str">
        <f>VLOOKUP(Table1_2[[#This Row],[Categories]],Sheet3!$A$1:$B$27,2,FALSE)</f>
        <v>Food &amp;Beverage</v>
      </c>
    </row>
    <row r="6378" spans="1:7" x14ac:dyDescent="0.3">
      <c r="A6378" t="s">
        <v>34</v>
      </c>
      <c r="B6378">
        <v>2019</v>
      </c>
      <c r="C6378" t="s">
        <v>42</v>
      </c>
      <c r="D6378" s="2">
        <v>43709</v>
      </c>
      <c r="E6378" t="s">
        <v>6</v>
      </c>
      <c r="F6378">
        <v>145.4</v>
      </c>
      <c r="G6378" t="str">
        <f>VLOOKUP(Table1_2[[#This Row],[Categories]],Sheet3!$A$1:$B$27,2,FALSE)</f>
        <v>Food &amp;Beverage</v>
      </c>
    </row>
    <row r="6379" spans="1:7" x14ac:dyDescent="0.3">
      <c r="A6379" t="s">
        <v>34</v>
      </c>
      <c r="B6379">
        <v>2019</v>
      </c>
      <c r="C6379" t="s">
        <v>42</v>
      </c>
      <c r="D6379" s="2">
        <v>43709</v>
      </c>
      <c r="E6379" t="s">
        <v>7</v>
      </c>
      <c r="F6379">
        <v>123.5</v>
      </c>
      <c r="G6379" t="str">
        <f>VLOOKUP(Table1_2[[#This Row],[Categories]],Sheet3!$A$1:$B$27,2,FALSE)</f>
        <v>Food &amp;Beverage</v>
      </c>
    </row>
    <row r="6380" spans="1:7" x14ac:dyDescent="0.3">
      <c r="A6380" t="s">
        <v>34</v>
      </c>
      <c r="B6380">
        <v>2019</v>
      </c>
      <c r="C6380" t="s">
        <v>42</v>
      </c>
      <c r="D6380" s="2">
        <v>43709</v>
      </c>
      <c r="E6380" t="s">
        <v>8</v>
      </c>
      <c r="F6380">
        <v>146.6</v>
      </c>
      <c r="G6380" t="str">
        <f>VLOOKUP(Table1_2[[#This Row],[Categories]],Sheet3!$A$1:$B$27,2,FALSE)</f>
        <v>Food &amp;Beverage</v>
      </c>
    </row>
    <row r="6381" spans="1:7" x14ac:dyDescent="0.3">
      <c r="A6381" t="s">
        <v>34</v>
      </c>
      <c r="B6381">
        <v>2019</v>
      </c>
      <c r="C6381" t="s">
        <v>42</v>
      </c>
      <c r="D6381" s="2">
        <v>43709</v>
      </c>
      <c r="E6381" t="s">
        <v>9</v>
      </c>
      <c r="F6381">
        <v>173.2</v>
      </c>
      <c r="G6381" t="str">
        <f>VLOOKUP(Table1_2[[#This Row],[Categories]],Sheet3!$A$1:$B$27,2,FALSE)</f>
        <v>Food &amp;Beverage</v>
      </c>
    </row>
    <row r="6382" spans="1:7" x14ac:dyDescent="0.3">
      <c r="A6382" t="s">
        <v>34</v>
      </c>
      <c r="B6382">
        <v>2019</v>
      </c>
      <c r="C6382" t="s">
        <v>42</v>
      </c>
      <c r="D6382" s="2">
        <v>43709</v>
      </c>
      <c r="E6382" t="s">
        <v>10</v>
      </c>
      <c r="F6382">
        <v>131.6</v>
      </c>
      <c r="G6382" t="str">
        <f>VLOOKUP(Table1_2[[#This Row],[Categories]],Sheet3!$A$1:$B$27,2,FALSE)</f>
        <v>Food &amp;Beverage</v>
      </c>
    </row>
    <row r="6383" spans="1:7" x14ac:dyDescent="0.3">
      <c r="A6383" t="s">
        <v>34</v>
      </c>
      <c r="B6383">
        <v>2019</v>
      </c>
      <c r="C6383" t="s">
        <v>42</v>
      </c>
      <c r="D6383" s="2">
        <v>43709</v>
      </c>
      <c r="E6383" t="s">
        <v>11</v>
      </c>
      <c r="F6383">
        <v>113.2</v>
      </c>
      <c r="G6383" t="str">
        <f>VLOOKUP(Table1_2[[#This Row],[Categories]],Sheet3!$A$1:$B$27,2,FALSE)</f>
        <v>Food &amp;Beverage</v>
      </c>
    </row>
    <row r="6384" spans="1:7" x14ac:dyDescent="0.3">
      <c r="A6384" t="s">
        <v>34</v>
      </c>
      <c r="B6384">
        <v>2019</v>
      </c>
      <c r="C6384" t="s">
        <v>42</v>
      </c>
      <c r="D6384" s="2">
        <v>43709</v>
      </c>
      <c r="E6384" t="s">
        <v>12</v>
      </c>
      <c r="F6384">
        <v>144.1</v>
      </c>
      <c r="G6384" t="str">
        <f>VLOOKUP(Table1_2[[#This Row],[Categories]],Sheet3!$A$1:$B$27,2,FALSE)</f>
        <v>Food &amp;Beverage</v>
      </c>
    </row>
    <row r="6385" spans="1:7" x14ac:dyDescent="0.3">
      <c r="A6385" t="s">
        <v>34</v>
      </c>
      <c r="B6385">
        <v>2019</v>
      </c>
      <c r="C6385" t="s">
        <v>42</v>
      </c>
      <c r="D6385" s="2">
        <v>43709</v>
      </c>
      <c r="E6385" t="s">
        <v>13</v>
      </c>
      <c r="F6385">
        <v>135</v>
      </c>
      <c r="G6385" t="str">
        <f>VLOOKUP(Table1_2[[#This Row],[Categories]],Sheet3!$A$1:$B$27,2,FALSE)</f>
        <v>Food &amp;Beverage</v>
      </c>
    </row>
    <row r="6386" spans="1:7" x14ac:dyDescent="0.3">
      <c r="A6386" t="s">
        <v>34</v>
      </c>
      <c r="B6386">
        <v>2019</v>
      </c>
      <c r="C6386" t="s">
        <v>42</v>
      </c>
      <c r="D6386" s="2">
        <v>43709</v>
      </c>
      <c r="E6386" t="s">
        <v>14</v>
      </c>
      <c r="F6386">
        <v>156.80000000000001</v>
      </c>
      <c r="G6386" t="str">
        <f>VLOOKUP(Table1_2[[#This Row],[Categories]],Sheet3!$A$1:$B$27,2,FALSE)</f>
        <v>Food &amp;Beverage</v>
      </c>
    </row>
    <row r="6387" spans="1:7" x14ac:dyDescent="0.3">
      <c r="A6387" t="s">
        <v>34</v>
      </c>
      <c r="B6387">
        <v>2019</v>
      </c>
      <c r="C6387" t="s">
        <v>42</v>
      </c>
      <c r="D6387" s="2">
        <v>43709</v>
      </c>
      <c r="E6387" t="s">
        <v>15</v>
      </c>
      <c r="F6387">
        <v>147</v>
      </c>
      <c r="G6387" t="str">
        <f>VLOOKUP(Table1_2[[#This Row],[Categories]],Sheet3!$A$1:$B$27,2,FALSE)</f>
        <v>Food &amp;Beverage</v>
      </c>
    </row>
    <row r="6388" spans="1:7" x14ac:dyDescent="0.3">
      <c r="A6388" t="s">
        <v>34</v>
      </c>
      <c r="B6388">
        <v>2019</v>
      </c>
      <c r="C6388" t="s">
        <v>42</v>
      </c>
      <c r="D6388" s="2">
        <v>43709</v>
      </c>
      <c r="E6388" t="s">
        <v>16</v>
      </c>
      <c r="F6388">
        <v>166.5</v>
      </c>
      <c r="G6388" t="str">
        <f>VLOOKUP(Table1_2[[#This Row],[Categories]],Sheet3!$A$1:$B$27,2,FALSE)</f>
        <v>Recreation and amusement</v>
      </c>
    </row>
    <row r="6389" spans="1:7" x14ac:dyDescent="0.3">
      <c r="A6389" t="s">
        <v>34</v>
      </c>
      <c r="B6389">
        <v>2019</v>
      </c>
      <c r="C6389" t="s">
        <v>42</v>
      </c>
      <c r="D6389" s="2">
        <v>43709</v>
      </c>
      <c r="E6389" t="s">
        <v>17</v>
      </c>
      <c r="F6389">
        <v>149.19999999999999</v>
      </c>
      <c r="G6389" t="str">
        <f>VLOOKUP(Table1_2[[#This Row],[Categories]],Sheet3!$A$1:$B$27,2,FALSE)</f>
        <v>Clothing and footwear</v>
      </c>
    </row>
    <row r="6390" spans="1:7" x14ac:dyDescent="0.3">
      <c r="A6390" t="s">
        <v>34</v>
      </c>
      <c r="B6390">
        <v>2019</v>
      </c>
      <c r="C6390" t="s">
        <v>42</v>
      </c>
      <c r="D6390" s="2">
        <v>43709</v>
      </c>
      <c r="E6390" t="s">
        <v>18</v>
      </c>
      <c r="F6390">
        <v>140.6</v>
      </c>
      <c r="G6390" t="str">
        <f>VLOOKUP(Table1_2[[#This Row],[Categories]],Sheet3!$A$1:$B$27,2,FALSE)</f>
        <v>Clothing and footwear</v>
      </c>
    </row>
    <row r="6391" spans="1:7" x14ac:dyDescent="0.3">
      <c r="A6391" t="s">
        <v>34</v>
      </c>
      <c r="B6391">
        <v>2019</v>
      </c>
      <c r="C6391" t="s">
        <v>42</v>
      </c>
      <c r="D6391" s="2">
        <v>43709</v>
      </c>
      <c r="E6391" t="s">
        <v>19</v>
      </c>
      <c r="F6391">
        <v>147.9</v>
      </c>
      <c r="G6391" t="str">
        <f>VLOOKUP(Table1_2[[#This Row],[Categories]],Sheet3!$A$1:$B$27,2,FALSE)</f>
        <v>Clothing and footwear</v>
      </c>
    </row>
    <row r="6392" spans="1:7" x14ac:dyDescent="0.3">
      <c r="A6392" t="s">
        <v>34</v>
      </c>
      <c r="B6392">
        <v>2019</v>
      </c>
      <c r="C6392" t="s">
        <v>42</v>
      </c>
      <c r="D6392" s="2">
        <v>43709</v>
      </c>
      <c r="E6392" t="s">
        <v>20</v>
      </c>
      <c r="F6392">
        <v>152.19999999999999</v>
      </c>
      <c r="G6392" t="str">
        <f>VLOOKUP(Table1_2[[#This Row],[Categories]],Sheet3!$A$1:$B$27,2,FALSE)</f>
        <v>Housing</v>
      </c>
    </row>
    <row r="6393" spans="1:7" x14ac:dyDescent="0.3">
      <c r="A6393" t="s">
        <v>34</v>
      </c>
      <c r="B6393">
        <v>2019</v>
      </c>
      <c r="C6393" t="s">
        <v>42</v>
      </c>
      <c r="D6393" s="2">
        <v>43709</v>
      </c>
      <c r="E6393" t="s">
        <v>21</v>
      </c>
      <c r="F6393">
        <v>139.19999999999999</v>
      </c>
      <c r="G6393" t="str">
        <f>VLOOKUP(Table1_2[[#This Row],[Categories]],Sheet3!$A$1:$B$27,2,FALSE)</f>
        <v>Fuel and light</v>
      </c>
    </row>
    <row r="6394" spans="1:7" x14ac:dyDescent="0.3">
      <c r="A6394" t="s">
        <v>34</v>
      </c>
      <c r="B6394">
        <v>2019</v>
      </c>
      <c r="C6394" t="s">
        <v>42</v>
      </c>
      <c r="D6394" s="2">
        <v>43709</v>
      </c>
      <c r="E6394" t="s">
        <v>22</v>
      </c>
      <c r="F6394">
        <v>144.6</v>
      </c>
      <c r="G6394" t="str">
        <f>VLOOKUP(Table1_2[[#This Row],[Categories]],Sheet3!$A$1:$B$27,2,FALSE)</f>
        <v>Household Items</v>
      </c>
    </row>
    <row r="6395" spans="1:7" x14ac:dyDescent="0.3">
      <c r="A6395" t="s">
        <v>34</v>
      </c>
      <c r="B6395">
        <v>2019</v>
      </c>
      <c r="C6395" t="s">
        <v>42</v>
      </c>
      <c r="D6395" s="2">
        <v>43709</v>
      </c>
      <c r="E6395" t="s">
        <v>23</v>
      </c>
      <c r="F6395">
        <v>149</v>
      </c>
      <c r="G6395" t="str">
        <f>VLOOKUP(Table1_2[[#This Row],[Categories]],Sheet3!$A$1:$B$27,2,FALSE)</f>
        <v>Health</v>
      </c>
    </row>
    <row r="6396" spans="1:7" x14ac:dyDescent="0.3">
      <c r="A6396" t="s">
        <v>34</v>
      </c>
      <c r="B6396">
        <v>2019</v>
      </c>
      <c r="C6396" t="s">
        <v>42</v>
      </c>
      <c r="D6396" s="2">
        <v>43709</v>
      </c>
      <c r="E6396" t="s">
        <v>24</v>
      </c>
      <c r="F6396">
        <v>126.1</v>
      </c>
      <c r="G6396" t="str">
        <f>VLOOKUP(Table1_2[[#This Row],[Categories]],Sheet3!$A$1:$B$27,2,FALSE)</f>
        <v>Transport and communication</v>
      </c>
    </row>
    <row r="6397" spans="1:7" x14ac:dyDescent="0.3">
      <c r="A6397" t="s">
        <v>34</v>
      </c>
      <c r="B6397">
        <v>2019</v>
      </c>
      <c r="C6397" t="s">
        <v>42</v>
      </c>
      <c r="D6397" s="2">
        <v>43709</v>
      </c>
      <c r="E6397" t="s">
        <v>25</v>
      </c>
      <c r="F6397">
        <v>141.30000000000001</v>
      </c>
      <c r="G6397" t="str">
        <f>VLOOKUP(Table1_2[[#This Row],[Categories]],Sheet3!$A$1:$B$27,2,FALSE)</f>
        <v>Recreation and amusement</v>
      </c>
    </row>
    <row r="6398" spans="1:7" x14ac:dyDescent="0.3">
      <c r="A6398" t="s">
        <v>34</v>
      </c>
      <c r="B6398">
        <v>2019</v>
      </c>
      <c r="C6398" t="s">
        <v>42</v>
      </c>
      <c r="D6398" s="2">
        <v>43709</v>
      </c>
      <c r="E6398" t="s">
        <v>26</v>
      </c>
      <c r="F6398">
        <v>155.19999999999999</v>
      </c>
      <c r="G6398" t="str">
        <f>VLOOKUP(Table1_2[[#This Row],[Categories]],Sheet3!$A$1:$B$27,2,FALSE)</f>
        <v>Education</v>
      </c>
    </row>
    <row r="6399" spans="1:7" x14ac:dyDescent="0.3">
      <c r="A6399" t="s">
        <v>34</v>
      </c>
      <c r="B6399">
        <v>2019</v>
      </c>
      <c r="C6399" t="s">
        <v>42</v>
      </c>
      <c r="D6399" s="2">
        <v>43709</v>
      </c>
      <c r="E6399" t="s">
        <v>27</v>
      </c>
      <c r="F6399">
        <v>139.69999999999999</v>
      </c>
      <c r="G6399" t="str">
        <f>VLOOKUP(Table1_2[[#This Row],[Categories]],Sheet3!$A$1:$B$27,2,FALSE)</f>
        <v>Household Items</v>
      </c>
    </row>
    <row r="6400" spans="1:7" x14ac:dyDescent="0.3">
      <c r="A6400" t="s">
        <v>34</v>
      </c>
      <c r="B6400">
        <v>2019</v>
      </c>
      <c r="C6400" t="s">
        <v>42</v>
      </c>
      <c r="D6400" s="2">
        <v>43709</v>
      </c>
      <c r="E6400" t="s">
        <v>28</v>
      </c>
      <c r="F6400">
        <v>140.69999999999999</v>
      </c>
      <c r="G6400" t="str">
        <f>VLOOKUP(Table1_2[[#This Row],[Categories]],Sheet3!$A$1:$B$27,2,FALSE)</f>
        <v>Miscellaneous</v>
      </c>
    </row>
    <row r="6401" spans="1:7" x14ac:dyDescent="0.3">
      <c r="A6401" t="s">
        <v>34</v>
      </c>
      <c r="B6401">
        <v>2019</v>
      </c>
      <c r="C6401" t="s">
        <v>42</v>
      </c>
      <c r="D6401" s="2">
        <v>43709</v>
      </c>
      <c r="E6401" t="s">
        <v>29</v>
      </c>
      <c r="F6401">
        <v>145.80000000000001</v>
      </c>
      <c r="G6401" t="str">
        <f>VLOOKUP(Table1_2[[#This Row],[Categories]],Sheet3!$A$1:$B$27,2,FALSE)</f>
        <v>General index</v>
      </c>
    </row>
    <row r="6402" spans="1:7" x14ac:dyDescent="0.3">
      <c r="A6402" t="s">
        <v>30</v>
      </c>
      <c r="B6402">
        <v>2019</v>
      </c>
      <c r="C6402" t="s">
        <v>43</v>
      </c>
      <c r="D6402" s="2">
        <v>43739</v>
      </c>
      <c r="E6402" t="s">
        <v>3</v>
      </c>
      <c r="F6402">
        <v>141</v>
      </c>
      <c r="G6402" t="str">
        <f>VLOOKUP(Table1_2[[#This Row],[Categories]],Sheet3!$A$1:$B$27,2,FALSE)</f>
        <v>Food &amp;Beverage</v>
      </c>
    </row>
    <row r="6403" spans="1:7" x14ac:dyDescent="0.3">
      <c r="A6403" t="s">
        <v>30</v>
      </c>
      <c r="B6403">
        <v>2019</v>
      </c>
      <c r="C6403" t="s">
        <v>43</v>
      </c>
      <c r="D6403" s="2">
        <v>43739</v>
      </c>
      <c r="E6403" t="s">
        <v>4</v>
      </c>
      <c r="F6403">
        <v>161.6</v>
      </c>
      <c r="G6403" t="str">
        <f>VLOOKUP(Table1_2[[#This Row],[Categories]],Sheet3!$A$1:$B$27,2,FALSE)</f>
        <v>Food &amp;Beverage</v>
      </c>
    </row>
    <row r="6404" spans="1:7" x14ac:dyDescent="0.3">
      <c r="A6404" t="s">
        <v>30</v>
      </c>
      <c r="B6404">
        <v>2019</v>
      </c>
      <c r="C6404" t="s">
        <v>43</v>
      </c>
      <c r="D6404" s="2">
        <v>43739</v>
      </c>
      <c r="E6404" t="s">
        <v>5</v>
      </c>
      <c r="F6404">
        <v>141.19999999999999</v>
      </c>
      <c r="G6404" t="str">
        <f>VLOOKUP(Table1_2[[#This Row],[Categories]],Sheet3!$A$1:$B$27,2,FALSE)</f>
        <v>Food &amp;Beverage</v>
      </c>
    </row>
    <row r="6405" spans="1:7" x14ac:dyDescent="0.3">
      <c r="A6405" t="s">
        <v>30</v>
      </c>
      <c r="B6405">
        <v>2019</v>
      </c>
      <c r="C6405" t="s">
        <v>43</v>
      </c>
      <c r="D6405" s="2">
        <v>43739</v>
      </c>
      <c r="E6405" t="s">
        <v>6</v>
      </c>
      <c r="F6405">
        <v>146.5</v>
      </c>
      <c r="G6405" t="str">
        <f>VLOOKUP(Table1_2[[#This Row],[Categories]],Sheet3!$A$1:$B$27,2,FALSE)</f>
        <v>Food &amp;Beverage</v>
      </c>
    </row>
    <row r="6406" spans="1:7" x14ac:dyDescent="0.3">
      <c r="A6406" t="s">
        <v>30</v>
      </c>
      <c r="B6406">
        <v>2019</v>
      </c>
      <c r="C6406" t="s">
        <v>43</v>
      </c>
      <c r="D6406" s="2">
        <v>43739</v>
      </c>
      <c r="E6406" t="s">
        <v>7</v>
      </c>
      <c r="F6406">
        <v>125.6</v>
      </c>
      <c r="G6406" t="str">
        <f>VLOOKUP(Table1_2[[#This Row],[Categories]],Sheet3!$A$1:$B$27,2,FALSE)</f>
        <v>Food &amp;Beverage</v>
      </c>
    </row>
    <row r="6407" spans="1:7" x14ac:dyDescent="0.3">
      <c r="A6407" t="s">
        <v>30</v>
      </c>
      <c r="B6407">
        <v>2019</v>
      </c>
      <c r="C6407" t="s">
        <v>43</v>
      </c>
      <c r="D6407" s="2">
        <v>43739</v>
      </c>
      <c r="E6407" t="s">
        <v>8</v>
      </c>
      <c r="F6407">
        <v>145.69999999999999</v>
      </c>
      <c r="G6407" t="str">
        <f>VLOOKUP(Table1_2[[#This Row],[Categories]],Sheet3!$A$1:$B$27,2,FALSE)</f>
        <v>Food &amp;Beverage</v>
      </c>
    </row>
    <row r="6408" spans="1:7" x14ac:dyDescent="0.3">
      <c r="A6408" t="s">
        <v>30</v>
      </c>
      <c r="B6408">
        <v>2019</v>
      </c>
      <c r="C6408" t="s">
        <v>43</v>
      </c>
      <c r="D6408" s="2">
        <v>43739</v>
      </c>
      <c r="E6408" t="s">
        <v>9</v>
      </c>
      <c r="F6408">
        <v>178.8</v>
      </c>
      <c r="G6408" t="str">
        <f>VLOOKUP(Table1_2[[#This Row],[Categories]],Sheet3!$A$1:$B$27,2,FALSE)</f>
        <v>Food &amp;Beverage</v>
      </c>
    </row>
    <row r="6409" spans="1:7" x14ac:dyDescent="0.3">
      <c r="A6409" t="s">
        <v>30</v>
      </c>
      <c r="B6409">
        <v>2019</v>
      </c>
      <c r="C6409" t="s">
        <v>43</v>
      </c>
      <c r="D6409" s="2">
        <v>43739</v>
      </c>
      <c r="E6409" t="s">
        <v>10</v>
      </c>
      <c r="F6409">
        <v>133.1</v>
      </c>
      <c r="G6409" t="str">
        <f>VLOOKUP(Table1_2[[#This Row],[Categories]],Sheet3!$A$1:$B$27,2,FALSE)</f>
        <v>Food &amp;Beverage</v>
      </c>
    </row>
    <row r="6410" spans="1:7" x14ac:dyDescent="0.3">
      <c r="A6410" t="s">
        <v>30</v>
      </c>
      <c r="B6410">
        <v>2019</v>
      </c>
      <c r="C6410" t="s">
        <v>43</v>
      </c>
      <c r="D6410" s="2">
        <v>43739</v>
      </c>
      <c r="E6410" t="s">
        <v>11</v>
      </c>
      <c r="F6410">
        <v>113.6</v>
      </c>
      <c r="G6410" t="str">
        <f>VLOOKUP(Table1_2[[#This Row],[Categories]],Sheet3!$A$1:$B$27,2,FALSE)</f>
        <v>Food &amp;Beverage</v>
      </c>
    </row>
    <row r="6411" spans="1:7" x14ac:dyDescent="0.3">
      <c r="A6411" t="s">
        <v>30</v>
      </c>
      <c r="B6411">
        <v>2019</v>
      </c>
      <c r="C6411" t="s">
        <v>43</v>
      </c>
      <c r="D6411" s="2">
        <v>43739</v>
      </c>
      <c r="E6411" t="s">
        <v>12</v>
      </c>
      <c r="F6411">
        <v>145.5</v>
      </c>
      <c r="G6411" t="str">
        <f>VLOOKUP(Table1_2[[#This Row],[Categories]],Sheet3!$A$1:$B$27,2,FALSE)</f>
        <v>Food &amp;Beverage</v>
      </c>
    </row>
    <row r="6412" spans="1:7" x14ac:dyDescent="0.3">
      <c r="A6412" t="s">
        <v>30</v>
      </c>
      <c r="B6412">
        <v>2019</v>
      </c>
      <c r="C6412" t="s">
        <v>43</v>
      </c>
      <c r="D6412" s="2">
        <v>43739</v>
      </c>
      <c r="E6412" t="s">
        <v>13</v>
      </c>
      <c r="F6412">
        <v>138.6</v>
      </c>
      <c r="G6412" t="str">
        <f>VLOOKUP(Table1_2[[#This Row],[Categories]],Sheet3!$A$1:$B$27,2,FALSE)</f>
        <v>Food &amp;Beverage</v>
      </c>
    </row>
    <row r="6413" spans="1:7" x14ac:dyDescent="0.3">
      <c r="A6413" t="s">
        <v>30</v>
      </c>
      <c r="B6413">
        <v>2019</v>
      </c>
      <c r="C6413" t="s">
        <v>43</v>
      </c>
      <c r="D6413" s="2">
        <v>43739</v>
      </c>
      <c r="E6413" t="s">
        <v>14</v>
      </c>
      <c r="F6413">
        <v>157.4</v>
      </c>
      <c r="G6413" t="str">
        <f>VLOOKUP(Table1_2[[#This Row],[Categories]],Sheet3!$A$1:$B$27,2,FALSE)</f>
        <v>Food &amp;Beverage</v>
      </c>
    </row>
    <row r="6414" spans="1:7" x14ac:dyDescent="0.3">
      <c r="A6414" t="s">
        <v>30</v>
      </c>
      <c r="B6414">
        <v>2019</v>
      </c>
      <c r="C6414" t="s">
        <v>43</v>
      </c>
      <c r="D6414" s="2">
        <v>43739</v>
      </c>
      <c r="E6414" t="s">
        <v>15</v>
      </c>
      <c r="F6414">
        <v>148.30000000000001</v>
      </c>
      <c r="G6414" t="str">
        <f>VLOOKUP(Table1_2[[#This Row],[Categories]],Sheet3!$A$1:$B$27,2,FALSE)</f>
        <v>Food &amp;Beverage</v>
      </c>
    </row>
    <row r="6415" spans="1:7" x14ac:dyDescent="0.3">
      <c r="A6415" t="s">
        <v>30</v>
      </c>
      <c r="B6415">
        <v>2019</v>
      </c>
      <c r="C6415" t="s">
        <v>43</v>
      </c>
      <c r="D6415" s="2">
        <v>43739</v>
      </c>
      <c r="E6415" t="s">
        <v>16</v>
      </c>
      <c r="F6415">
        <v>166.3</v>
      </c>
      <c r="G6415" t="str">
        <f>VLOOKUP(Table1_2[[#This Row],[Categories]],Sheet3!$A$1:$B$27,2,FALSE)</f>
        <v>Recreation and amusement</v>
      </c>
    </row>
    <row r="6416" spans="1:7" x14ac:dyDescent="0.3">
      <c r="A6416" t="s">
        <v>30</v>
      </c>
      <c r="B6416">
        <v>2019</v>
      </c>
      <c r="C6416" t="s">
        <v>43</v>
      </c>
      <c r="D6416" s="2">
        <v>43739</v>
      </c>
      <c r="E6416" t="s">
        <v>17</v>
      </c>
      <c r="F6416">
        <v>151.69999999999999</v>
      </c>
      <c r="G6416" t="str">
        <f>VLOOKUP(Table1_2[[#This Row],[Categories]],Sheet3!$A$1:$B$27,2,FALSE)</f>
        <v>Clothing and footwear</v>
      </c>
    </row>
    <row r="6417" spans="1:7" x14ac:dyDescent="0.3">
      <c r="A6417" t="s">
        <v>30</v>
      </c>
      <c r="B6417">
        <v>2019</v>
      </c>
      <c r="C6417" t="s">
        <v>43</v>
      </c>
      <c r="D6417" s="2">
        <v>43739</v>
      </c>
      <c r="E6417" t="s">
        <v>18</v>
      </c>
      <c r="F6417">
        <v>146.69999999999999</v>
      </c>
      <c r="G6417" t="str">
        <f>VLOOKUP(Table1_2[[#This Row],[Categories]],Sheet3!$A$1:$B$27,2,FALSE)</f>
        <v>Clothing and footwear</v>
      </c>
    </row>
    <row r="6418" spans="1:7" x14ac:dyDescent="0.3">
      <c r="A6418" t="s">
        <v>30</v>
      </c>
      <c r="B6418">
        <v>2019</v>
      </c>
      <c r="C6418" t="s">
        <v>43</v>
      </c>
      <c r="D6418" s="2">
        <v>43739</v>
      </c>
      <c r="E6418" t="s">
        <v>19</v>
      </c>
      <c r="F6418">
        <v>151</v>
      </c>
      <c r="G6418" t="str">
        <f>VLOOKUP(Table1_2[[#This Row],[Categories]],Sheet3!$A$1:$B$27,2,FALSE)</f>
        <v>Clothing and footwear</v>
      </c>
    </row>
    <row r="6419" spans="1:7" x14ac:dyDescent="0.3">
      <c r="A6419" t="s">
        <v>30</v>
      </c>
      <c r="B6419">
        <v>2019</v>
      </c>
      <c r="C6419" t="s">
        <v>43</v>
      </c>
      <c r="D6419" s="2">
        <v>43739</v>
      </c>
      <c r="E6419" t="s">
        <v>21</v>
      </c>
      <c r="F6419">
        <v>147.69999999999999</v>
      </c>
      <c r="G6419" t="str">
        <f>VLOOKUP(Table1_2[[#This Row],[Categories]],Sheet3!$A$1:$B$27,2,FALSE)</f>
        <v>Fuel and light</v>
      </c>
    </row>
    <row r="6420" spans="1:7" x14ac:dyDescent="0.3">
      <c r="A6420" t="s">
        <v>30</v>
      </c>
      <c r="B6420">
        <v>2019</v>
      </c>
      <c r="C6420" t="s">
        <v>43</v>
      </c>
      <c r="D6420" s="2">
        <v>43739</v>
      </c>
      <c r="E6420" t="s">
        <v>22</v>
      </c>
      <c r="F6420">
        <v>150.6</v>
      </c>
      <c r="G6420" t="str">
        <f>VLOOKUP(Table1_2[[#This Row],[Categories]],Sheet3!$A$1:$B$27,2,FALSE)</f>
        <v>Household Items</v>
      </c>
    </row>
    <row r="6421" spans="1:7" x14ac:dyDescent="0.3">
      <c r="A6421" t="s">
        <v>30</v>
      </c>
      <c r="B6421">
        <v>2019</v>
      </c>
      <c r="C6421" t="s">
        <v>43</v>
      </c>
      <c r="D6421" s="2">
        <v>43739</v>
      </c>
      <c r="E6421" t="s">
        <v>23</v>
      </c>
      <c r="F6421">
        <v>153.69999999999999</v>
      </c>
      <c r="G6421" t="str">
        <f>VLOOKUP(Table1_2[[#This Row],[Categories]],Sheet3!$A$1:$B$27,2,FALSE)</f>
        <v>Health</v>
      </c>
    </row>
    <row r="6422" spans="1:7" x14ac:dyDescent="0.3">
      <c r="A6422" t="s">
        <v>30</v>
      </c>
      <c r="B6422">
        <v>2019</v>
      </c>
      <c r="C6422" t="s">
        <v>43</v>
      </c>
      <c r="D6422" s="2">
        <v>43739</v>
      </c>
      <c r="E6422" t="s">
        <v>24</v>
      </c>
      <c r="F6422">
        <v>131.69999999999999</v>
      </c>
      <c r="G6422" t="str">
        <f>VLOOKUP(Table1_2[[#This Row],[Categories]],Sheet3!$A$1:$B$27,2,FALSE)</f>
        <v>Transport and communication</v>
      </c>
    </row>
    <row r="6423" spans="1:7" x14ac:dyDescent="0.3">
      <c r="A6423" t="s">
        <v>30</v>
      </c>
      <c r="B6423">
        <v>2019</v>
      </c>
      <c r="C6423" t="s">
        <v>43</v>
      </c>
      <c r="D6423" s="2">
        <v>43739</v>
      </c>
      <c r="E6423" t="s">
        <v>25</v>
      </c>
      <c r="F6423">
        <v>148.69999999999999</v>
      </c>
      <c r="G6423" t="str">
        <f>VLOOKUP(Table1_2[[#This Row],[Categories]],Sheet3!$A$1:$B$27,2,FALSE)</f>
        <v>Recreation and amusement</v>
      </c>
    </row>
    <row r="6424" spans="1:7" x14ac:dyDescent="0.3">
      <c r="A6424" t="s">
        <v>30</v>
      </c>
      <c r="B6424">
        <v>2019</v>
      </c>
      <c r="C6424" t="s">
        <v>43</v>
      </c>
      <c r="D6424" s="2">
        <v>43739</v>
      </c>
      <c r="E6424" t="s">
        <v>26</v>
      </c>
      <c r="F6424">
        <v>160.69999999999999</v>
      </c>
      <c r="G6424" t="str">
        <f>VLOOKUP(Table1_2[[#This Row],[Categories]],Sheet3!$A$1:$B$27,2,FALSE)</f>
        <v>Education</v>
      </c>
    </row>
    <row r="6425" spans="1:7" x14ac:dyDescent="0.3">
      <c r="A6425" t="s">
        <v>30</v>
      </c>
      <c r="B6425">
        <v>2019</v>
      </c>
      <c r="C6425" t="s">
        <v>43</v>
      </c>
      <c r="D6425" s="2">
        <v>43739</v>
      </c>
      <c r="E6425" t="s">
        <v>27</v>
      </c>
      <c r="F6425">
        <v>140.30000000000001</v>
      </c>
      <c r="G6425" t="str">
        <f>VLOOKUP(Table1_2[[#This Row],[Categories]],Sheet3!$A$1:$B$27,2,FALSE)</f>
        <v>Household Items</v>
      </c>
    </row>
    <row r="6426" spans="1:7" x14ac:dyDescent="0.3">
      <c r="A6426" t="s">
        <v>30</v>
      </c>
      <c r="B6426">
        <v>2019</v>
      </c>
      <c r="C6426" t="s">
        <v>43</v>
      </c>
      <c r="D6426" s="2">
        <v>43739</v>
      </c>
      <c r="E6426" t="s">
        <v>28</v>
      </c>
      <c r="F6426">
        <v>145.69999999999999</v>
      </c>
      <c r="G6426" t="str">
        <f>VLOOKUP(Table1_2[[#This Row],[Categories]],Sheet3!$A$1:$B$27,2,FALSE)</f>
        <v>Miscellaneous</v>
      </c>
    </row>
    <row r="6427" spans="1:7" x14ac:dyDescent="0.3">
      <c r="A6427" t="s">
        <v>30</v>
      </c>
      <c r="B6427">
        <v>2019</v>
      </c>
      <c r="C6427" t="s">
        <v>43</v>
      </c>
      <c r="D6427" s="2">
        <v>43739</v>
      </c>
      <c r="E6427" t="s">
        <v>29</v>
      </c>
      <c r="F6427">
        <v>148.30000000000001</v>
      </c>
      <c r="G6427" t="str">
        <f>VLOOKUP(Table1_2[[#This Row],[Categories]],Sheet3!$A$1:$B$27,2,FALSE)</f>
        <v>General index</v>
      </c>
    </row>
    <row r="6428" spans="1:7" x14ac:dyDescent="0.3">
      <c r="A6428" t="s">
        <v>33</v>
      </c>
      <c r="B6428">
        <v>2019</v>
      </c>
      <c r="C6428" t="s">
        <v>43</v>
      </c>
      <c r="D6428" s="2">
        <v>43739</v>
      </c>
      <c r="E6428" t="s">
        <v>3</v>
      </c>
      <c r="F6428">
        <v>143.5</v>
      </c>
      <c r="G6428" t="str">
        <f>VLOOKUP(Table1_2[[#This Row],[Categories]],Sheet3!$A$1:$B$27,2,FALSE)</f>
        <v>Food &amp;Beverage</v>
      </c>
    </row>
    <row r="6429" spans="1:7" x14ac:dyDescent="0.3">
      <c r="A6429" t="s">
        <v>33</v>
      </c>
      <c r="B6429">
        <v>2019</v>
      </c>
      <c r="C6429" t="s">
        <v>43</v>
      </c>
      <c r="D6429" s="2">
        <v>43739</v>
      </c>
      <c r="E6429" t="s">
        <v>4</v>
      </c>
      <c r="F6429">
        <v>159.80000000000001</v>
      </c>
      <c r="G6429" t="str">
        <f>VLOOKUP(Table1_2[[#This Row],[Categories]],Sheet3!$A$1:$B$27,2,FALSE)</f>
        <v>Food &amp;Beverage</v>
      </c>
    </row>
    <row r="6430" spans="1:7" x14ac:dyDescent="0.3">
      <c r="A6430" t="s">
        <v>33</v>
      </c>
      <c r="B6430">
        <v>2019</v>
      </c>
      <c r="C6430" t="s">
        <v>43</v>
      </c>
      <c r="D6430" s="2">
        <v>43739</v>
      </c>
      <c r="E6430" t="s">
        <v>5</v>
      </c>
      <c r="F6430">
        <v>144.69999999999999</v>
      </c>
      <c r="G6430" t="str">
        <f>VLOOKUP(Table1_2[[#This Row],[Categories]],Sheet3!$A$1:$B$27,2,FALSE)</f>
        <v>Food &amp;Beverage</v>
      </c>
    </row>
    <row r="6431" spans="1:7" x14ac:dyDescent="0.3">
      <c r="A6431" t="s">
        <v>33</v>
      </c>
      <c r="B6431">
        <v>2019</v>
      </c>
      <c r="C6431" t="s">
        <v>43</v>
      </c>
      <c r="D6431" s="2">
        <v>43739</v>
      </c>
      <c r="E6431" t="s">
        <v>6</v>
      </c>
      <c r="F6431">
        <v>145.6</v>
      </c>
      <c r="G6431" t="str">
        <f>VLOOKUP(Table1_2[[#This Row],[Categories]],Sheet3!$A$1:$B$27,2,FALSE)</f>
        <v>Food &amp;Beverage</v>
      </c>
    </row>
    <row r="6432" spans="1:7" x14ac:dyDescent="0.3">
      <c r="A6432" t="s">
        <v>33</v>
      </c>
      <c r="B6432">
        <v>2019</v>
      </c>
      <c r="C6432" t="s">
        <v>43</v>
      </c>
      <c r="D6432" s="2">
        <v>43739</v>
      </c>
      <c r="E6432" t="s">
        <v>7</v>
      </c>
      <c r="F6432">
        <v>121.1</v>
      </c>
      <c r="G6432" t="str">
        <f>VLOOKUP(Table1_2[[#This Row],[Categories]],Sheet3!$A$1:$B$27,2,FALSE)</f>
        <v>Food &amp;Beverage</v>
      </c>
    </row>
    <row r="6433" spans="1:7" x14ac:dyDescent="0.3">
      <c r="A6433" t="s">
        <v>33</v>
      </c>
      <c r="B6433">
        <v>2019</v>
      </c>
      <c r="C6433" t="s">
        <v>43</v>
      </c>
      <c r="D6433" s="2">
        <v>43739</v>
      </c>
      <c r="E6433" t="s">
        <v>8</v>
      </c>
      <c r="F6433">
        <v>150.6</v>
      </c>
      <c r="G6433" t="str">
        <f>VLOOKUP(Table1_2[[#This Row],[Categories]],Sheet3!$A$1:$B$27,2,FALSE)</f>
        <v>Food &amp;Beverage</v>
      </c>
    </row>
    <row r="6434" spans="1:7" x14ac:dyDescent="0.3">
      <c r="A6434" t="s">
        <v>33</v>
      </c>
      <c r="B6434">
        <v>2019</v>
      </c>
      <c r="C6434" t="s">
        <v>43</v>
      </c>
      <c r="D6434" s="2">
        <v>43739</v>
      </c>
      <c r="E6434" t="s">
        <v>9</v>
      </c>
      <c r="F6434">
        <v>207.2</v>
      </c>
      <c r="G6434" t="str">
        <f>VLOOKUP(Table1_2[[#This Row],[Categories]],Sheet3!$A$1:$B$27,2,FALSE)</f>
        <v>Food &amp;Beverage</v>
      </c>
    </row>
    <row r="6435" spans="1:7" x14ac:dyDescent="0.3">
      <c r="A6435" t="s">
        <v>33</v>
      </c>
      <c r="B6435">
        <v>2019</v>
      </c>
      <c r="C6435" t="s">
        <v>43</v>
      </c>
      <c r="D6435" s="2">
        <v>43739</v>
      </c>
      <c r="E6435" t="s">
        <v>10</v>
      </c>
      <c r="F6435">
        <v>131.19999999999999</v>
      </c>
      <c r="G6435" t="str">
        <f>VLOOKUP(Table1_2[[#This Row],[Categories]],Sheet3!$A$1:$B$27,2,FALSE)</f>
        <v>Food &amp;Beverage</v>
      </c>
    </row>
    <row r="6436" spans="1:7" x14ac:dyDescent="0.3">
      <c r="A6436" t="s">
        <v>33</v>
      </c>
      <c r="B6436">
        <v>2019</v>
      </c>
      <c r="C6436" t="s">
        <v>43</v>
      </c>
      <c r="D6436" s="2">
        <v>43739</v>
      </c>
      <c r="E6436" t="s">
        <v>11</v>
      </c>
      <c r="F6436">
        <v>114.8</v>
      </c>
      <c r="G6436" t="str">
        <f>VLOOKUP(Table1_2[[#This Row],[Categories]],Sheet3!$A$1:$B$27,2,FALSE)</f>
        <v>Food &amp;Beverage</v>
      </c>
    </row>
    <row r="6437" spans="1:7" x14ac:dyDescent="0.3">
      <c r="A6437" t="s">
        <v>33</v>
      </c>
      <c r="B6437">
        <v>2019</v>
      </c>
      <c r="C6437" t="s">
        <v>43</v>
      </c>
      <c r="D6437" s="2">
        <v>43739</v>
      </c>
      <c r="E6437" t="s">
        <v>12</v>
      </c>
      <c r="F6437">
        <v>145.19999999999999</v>
      </c>
      <c r="G6437" t="str">
        <f>VLOOKUP(Table1_2[[#This Row],[Categories]],Sheet3!$A$1:$B$27,2,FALSE)</f>
        <v>Food &amp;Beverage</v>
      </c>
    </row>
    <row r="6438" spans="1:7" x14ac:dyDescent="0.3">
      <c r="A6438" t="s">
        <v>33</v>
      </c>
      <c r="B6438">
        <v>2019</v>
      </c>
      <c r="C6438" t="s">
        <v>43</v>
      </c>
      <c r="D6438" s="2">
        <v>43739</v>
      </c>
      <c r="E6438" t="s">
        <v>13</v>
      </c>
      <c r="F6438">
        <v>130.19999999999999</v>
      </c>
      <c r="G6438" t="str">
        <f>VLOOKUP(Table1_2[[#This Row],[Categories]],Sheet3!$A$1:$B$27,2,FALSE)</f>
        <v>Food &amp;Beverage</v>
      </c>
    </row>
    <row r="6439" spans="1:7" x14ac:dyDescent="0.3">
      <c r="A6439" t="s">
        <v>33</v>
      </c>
      <c r="B6439">
        <v>2019</v>
      </c>
      <c r="C6439" t="s">
        <v>43</v>
      </c>
      <c r="D6439" s="2">
        <v>43739</v>
      </c>
      <c r="E6439" t="s">
        <v>14</v>
      </c>
      <c r="F6439">
        <v>156.80000000000001</v>
      </c>
      <c r="G6439" t="str">
        <f>VLOOKUP(Table1_2[[#This Row],[Categories]],Sheet3!$A$1:$B$27,2,FALSE)</f>
        <v>Food &amp;Beverage</v>
      </c>
    </row>
    <row r="6440" spans="1:7" x14ac:dyDescent="0.3">
      <c r="A6440" t="s">
        <v>33</v>
      </c>
      <c r="B6440">
        <v>2019</v>
      </c>
      <c r="C6440" t="s">
        <v>43</v>
      </c>
      <c r="D6440" s="2">
        <v>43739</v>
      </c>
      <c r="E6440" t="s">
        <v>15</v>
      </c>
      <c r="F6440">
        <v>151.9</v>
      </c>
      <c r="G6440" t="str">
        <f>VLOOKUP(Table1_2[[#This Row],[Categories]],Sheet3!$A$1:$B$27,2,FALSE)</f>
        <v>Food &amp;Beverage</v>
      </c>
    </row>
    <row r="6441" spans="1:7" x14ac:dyDescent="0.3">
      <c r="A6441" t="s">
        <v>33</v>
      </c>
      <c r="B6441">
        <v>2019</v>
      </c>
      <c r="C6441" t="s">
        <v>43</v>
      </c>
      <c r="D6441" s="2">
        <v>43739</v>
      </c>
      <c r="E6441" t="s">
        <v>16</v>
      </c>
      <c r="F6441">
        <v>169.3</v>
      </c>
      <c r="G6441" t="str">
        <f>VLOOKUP(Table1_2[[#This Row],[Categories]],Sheet3!$A$1:$B$27,2,FALSE)</f>
        <v>Recreation and amusement</v>
      </c>
    </row>
    <row r="6442" spans="1:7" x14ac:dyDescent="0.3">
      <c r="A6442" t="s">
        <v>33</v>
      </c>
      <c r="B6442">
        <v>2019</v>
      </c>
      <c r="C6442" t="s">
        <v>43</v>
      </c>
      <c r="D6442" s="2">
        <v>43739</v>
      </c>
      <c r="E6442" t="s">
        <v>17</v>
      </c>
      <c r="F6442">
        <v>145.9</v>
      </c>
      <c r="G6442" t="str">
        <f>VLOOKUP(Table1_2[[#This Row],[Categories]],Sheet3!$A$1:$B$27,2,FALSE)</f>
        <v>Clothing and footwear</v>
      </c>
    </row>
    <row r="6443" spans="1:7" x14ac:dyDescent="0.3">
      <c r="A6443" t="s">
        <v>33</v>
      </c>
      <c r="B6443">
        <v>2019</v>
      </c>
      <c r="C6443" t="s">
        <v>43</v>
      </c>
      <c r="D6443" s="2">
        <v>43739</v>
      </c>
      <c r="E6443" t="s">
        <v>18</v>
      </c>
      <c r="F6443">
        <v>132.4</v>
      </c>
      <c r="G6443" t="str">
        <f>VLOOKUP(Table1_2[[#This Row],[Categories]],Sheet3!$A$1:$B$27,2,FALSE)</f>
        <v>Clothing and footwear</v>
      </c>
    </row>
    <row r="6444" spans="1:7" x14ac:dyDescent="0.3">
      <c r="A6444" t="s">
        <v>33</v>
      </c>
      <c r="B6444">
        <v>2019</v>
      </c>
      <c r="C6444" t="s">
        <v>43</v>
      </c>
      <c r="D6444" s="2">
        <v>43739</v>
      </c>
      <c r="E6444" t="s">
        <v>19</v>
      </c>
      <c r="F6444">
        <v>143.9</v>
      </c>
      <c r="G6444" t="str">
        <f>VLOOKUP(Table1_2[[#This Row],[Categories]],Sheet3!$A$1:$B$27,2,FALSE)</f>
        <v>Clothing and footwear</v>
      </c>
    </row>
    <row r="6445" spans="1:7" x14ac:dyDescent="0.3">
      <c r="A6445" t="s">
        <v>33</v>
      </c>
      <c r="B6445">
        <v>2019</v>
      </c>
      <c r="C6445" t="s">
        <v>43</v>
      </c>
      <c r="D6445" s="2">
        <v>43739</v>
      </c>
      <c r="E6445" t="s">
        <v>20</v>
      </c>
      <c r="F6445">
        <v>153</v>
      </c>
      <c r="G6445" t="str">
        <f>VLOOKUP(Table1_2[[#This Row],[Categories]],Sheet3!$A$1:$B$27,2,FALSE)</f>
        <v>Housing</v>
      </c>
    </row>
    <row r="6446" spans="1:7" x14ac:dyDescent="0.3">
      <c r="A6446" t="s">
        <v>33</v>
      </c>
      <c r="B6446">
        <v>2019</v>
      </c>
      <c r="C6446" t="s">
        <v>43</v>
      </c>
      <c r="D6446" s="2">
        <v>43739</v>
      </c>
      <c r="E6446" t="s">
        <v>21</v>
      </c>
      <c r="F6446">
        <v>128.9</v>
      </c>
      <c r="G6446" t="str">
        <f>VLOOKUP(Table1_2[[#This Row],[Categories]],Sheet3!$A$1:$B$27,2,FALSE)</f>
        <v>Fuel and light</v>
      </c>
    </row>
    <row r="6447" spans="1:7" x14ac:dyDescent="0.3">
      <c r="A6447" t="s">
        <v>33</v>
      </c>
      <c r="B6447">
        <v>2019</v>
      </c>
      <c r="C6447" t="s">
        <v>43</v>
      </c>
      <c r="D6447" s="2">
        <v>43739</v>
      </c>
      <c r="E6447" t="s">
        <v>22</v>
      </c>
      <c r="F6447">
        <v>138.69999999999999</v>
      </c>
      <c r="G6447" t="str">
        <f>VLOOKUP(Table1_2[[#This Row],[Categories]],Sheet3!$A$1:$B$27,2,FALSE)</f>
        <v>Household Items</v>
      </c>
    </row>
    <row r="6448" spans="1:7" x14ac:dyDescent="0.3">
      <c r="A6448" t="s">
        <v>33</v>
      </c>
      <c r="B6448">
        <v>2019</v>
      </c>
      <c r="C6448" t="s">
        <v>43</v>
      </c>
      <c r="D6448" s="2">
        <v>43739</v>
      </c>
      <c r="E6448" t="s">
        <v>23</v>
      </c>
      <c r="F6448">
        <v>142.4</v>
      </c>
      <c r="G6448" t="str">
        <f>VLOOKUP(Table1_2[[#This Row],[Categories]],Sheet3!$A$1:$B$27,2,FALSE)</f>
        <v>Health</v>
      </c>
    </row>
    <row r="6449" spans="1:7" x14ac:dyDescent="0.3">
      <c r="A6449" t="s">
        <v>33</v>
      </c>
      <c r="B6449">
        <v>2019</v>
      </c>
      <c r="C6449" t="s">
        <v>43</v>
      </c>
      <c r="D6449" s="2">
        <v>43739</v>
      </c>
      <c r="E6449" t="s">
        <v>24</v>
      </c>
      <c r="F6449">
        <v>121.5</v>
      </c>
      <c r="G6449" t="str">
        <f>VLOOKUP(Table1_2[[#This Row],[Categories]],Sheet3!$A$1:$B$27,2,FALSE)</f>
        <v>Transport and communication</v>
      </c>
    </row>
    <row r="6450" spans="1:7" x14ac:dyDescent="0.3">
      <c r="A6450" t="s">
        <v>33</v>
      </c>
      <c r="B6450">
        <v>2019</v>
      </c>
      <c r="C6450" t="s">
        <v>43</v>
      </c>
      <c r="D6450" s="2">
        <v>43739</v>
      </c>
      <c r="E6450" t="s">
        <v>25</v>
      </c>
      <c r="F6450">
        <v>136.19999999999999</v>
      </c>
      <c r="G6450" t="str">
        <f>VLOOKUP(Table1_2[[#This Row],[Categories]],Sheet3!$A$1:$B$27,2,FALSE)</f>
        <v>Recreation and amusement</v>
      </c>
    </row>
    <row r="6451" spans="1:7" x14ac:dyDescent="0.3">
      <c r="A6451" t="s">
        <v>33</v>
      </c>
      <c r="B6451">
        <v>2019</v>
      </c>
      <c r="C6451" t="s">
        <v>43</v>
      </c>
      <c r="D6451" s="2">
        <v>43739</v>
      </c>
      <c r="E6451" t="s">
        <v>26</v>
      </c>
      <c r="F6451">
        <v>151.69999999999999</v>
      </c>
      <c r="G6451" t="str">
        <f>VLOOKUP(Table1_2[[#This Row],[Categories]],Sheet3!$A$1:$B$27,2,FALSE)</f>
        <v>Education</v>
      </c>
    </row>
    <row r="6452" spans="1:7" x14ac:dyDescent="0.3">
      <c r="A6452" t="s">
        <v>33</v>
      </c>
      <c r="B6452">
        <v>2019</v>
      </c>
      <c r="C6452" t="s">
        <v>43</v>
      </c>
      <c r="D6452" s="2">
        <v>43739</v>
      </c>
      <c r="E6452" t="s">
        <v>27</v>
      </c>
      <c r="F6452">
        <v>139.5</v>
      </c>
      <c r="G6452" t="str">
        <f>VLOOKUP(Table1_2[[#This Row],[Categories]],Sheet3!$A$1:$B$27,2,FALSE)</f>
        <v>Household Items</v>
      </c>
    </row>
    <row r="6453" spans="1:7" x14ac:dyDescent="0.3">
      <c r="A6453" t="s">
        <v>33</v>
      </c>
      <c r="B6453">
        <v>2019</v>
      </c>
      <c r="C6453" t="s">
        <v>43</v>
      </c>
      <c r="D6453" s="2">
        <v>43739</v>
      </c>
      <c r="E6453" t="s">
        <v>28</v>
      </c>
      <c r="F6453">
        <v>136</v>
      </c>
      <c r="G6453" t="str">
        <f>VLOOKUP(Table1_2[[#This Row],[Categories]],Sheet3!$A$1:$B$27,2,FALSE)</f>
        <v>Miscellaneous</v>
      </c>
    </row>
    <row r="6454" spans="1:7" x14ac:dyDescent="0.3">
      <c r="A6454" t="s">
        <v>33</v>
      </c>
      <c r="B6454">
        <v>2019</v>
      </c>
      <c r="C6454" t="s">
        <v>43</v>
      </c>
      <c r="D6454" s="2">
        <v>43739</v>
      </c>
      <c r="E6454" t="s">
        <v>29</v>
      </c>
      <c r="F6454">
        <v>146</v>
      </c>
      <c r="G6454" t="str">
        <f>VLOOKUP(Table1_2[[#This Row],[Categories]],Sheet3!$A$1:$B$27,2,FALSE)</f>
        <v>General index</v>
      </c>
    </row>
    <row r="6455" spans="1:7" x14ac:dyDescent="0.3">
      <c r="A6455" t="s">
        <v>34</v>
      </c>
      <c r="B6455">
        <v>2019</v>
      </c>
      <c r="C6455" t="s">
        <v>43</v>
      </c>
      <c r="D6455" s="2">
        <v>43739</v>
      </c>
      <c r="E6455" t="s">
        <v>3</v>
      </c>
      <c r="F6455">
        <v>141.80000000000001</v>
      </c>
      <c r="G6455" t="str">
        <f>VLOOKUP(Table1_2[[#This Row],[Categories]],Sheet3!$A$1:$B$27,2,FALSE)</f>
        <v>Food &amp;Beverage</v>
      </c>
    </row>
    <row r="6456" spans="1:7" x14ac:dyDescent="0.3">
      <c r="A6456" t="s">
        <v>34</v>
      </c>
      <c r="B6456">
        <v>2019</v>
      </c>
      <c r="C6456" t="s">
        <v>43</v>
      </c>
      <c r="D6456" s="2">
        <v>43739</v>
      </c>
      <c r="E6456" t="s">
        <v>4</v>
      </c>
      <c r="F6456">
        <v>161</v>
      </c>
      <c r="G6456" t="str">
        <f>VLOOKUP(Table1_2[[#This Row],[Categories]],Sheet3!$A$1:$B$27,2,FALSE)</f>
        <v>Food &amp;Beverage</v>
      </c>
    </row>
    <row r="6457" spans="1:7" x14ac:dyDescent="0.3">
      <c r="A6457" t="s">
        <v>34</v>
      </c>
      <c r="B6457">
        <v>2019</v>
      </c>
      <c r="C6457" t="s">
        <v>43</v>
      </c>
      <c r="D6457" s="2">
        <v>43739</v>
      </c>
      <c r="E6457" t="s">
        <v>5</v>
      </c>
      <c r="F6457">
        <v>142.6</v>
      </c>
      <c r="G6457" t="str">
        <f>VLOOKUP(Table1_2[[#This Row],[Categories]],Sheet3!$A$1:$B$27,2,FALSE)</f>
        <v>Food &amp;Beverage</v>
      </c>
    </row>
    <row r="6458" spans="1:7" x14ac:dyDescent="0.3">
      <c r="A6458" t="s">
        <v>34</v>
      </c>
      <c r="B6458">
        <v>2019</v>
      </c>
      <c r="C6458" t="s">
        <v>43</v>
      </c>
      <c r="D6458" s="2">
        <v>43739</v>
      </c>
      <c r="E6458" t="s">
        <v>6</v>
      </c>
      <c r="F6458">
        <v>146.19999999999999</v>
      </c>
      <c r="G6458" t="str">
        <f>VLOOKUP(Table1_2[[#This Row],[Categories]],Sheet3!$A$1:$B$27,2,FALSE)</f>
        <v>Food &amp;Beverage</v>
      </c>
    </row>
    <row r="6459" spans="1:7" x14ac:dyDescent="0.3">
      <c r="A6459" t="s">
        <v>34</v>
      </c>
      <c r="B6459">
        <v>2019</v>
      </c>
      <c r="C6459" t="s">
        <v>43</v>
      </c>
      <c r="D6459" s="2">
        <v>43739</v>
      </c>
      <c r="E6459" t="s">
        <v>7</v>
      </c>
      <c r="F6459">
        <v>123.9</v>
      </c>
      <c r="G6459" t="str">
        <f>VLOOKUP(Table1_2[[#This Row],[Categories]],Sheet3!$A$1:$B$27,2,FALSE)</f>
        <v>Food &amp;Beverage</v>
      </c>
    </row>
    <row r="6460" spans="1:7" x14ac:dyDescent="0.3">
      <c r="A6460" t="s">
        <v>34</v>
      </c>
      <c r="B6460">
        <v>2019</v>
      </c>
      <c r="C6460" t="s">
        <v>43</v>
      </c>
      <c r="D6460" s="2">
        <v>43739</v>
      </c>
      <c r="E6460" t="s">
        <v>8</v>
      </c>
      <c r="F6460">
        <v>148</v>
      </c>
      <c r="G6460" t="str">
        <f>VLOOKUP(Table1_2[[#This Row],[Categories]],Sheet3!$A$1:$B$27,2,FALSE)</f>
        <v>Food &amp;Beverage</v>
      </c>
    </row>
    <row r="6461" spans="1:7" x14ac:dyDescent="0.3">
      <c r="A6461" t="s">
        <v>34</v>
      </c>
      <c r="B6461">
        <v>2019</v>
      </c>
      <c r="C6461" t="s">
        <v>43</v>
      </c>
      <c r="D6461" s="2">
        <v>43739</v>
      </c>
      <c r="E6461" t="s">
        <v>9</v>
      </c>
      <c r="F6461">
        <v>188.4</v>
      </c>
      <c r="G6461" t="str">
        <f>VLOOKUP(Table1_2[[#This Row],[Categories]],Sheet3!$A$1:$B$27,2,FALSE)</f>
        <v>Food &amp;Beverage</v>
      </c>
    </row>
    <row r="6462" spans="1:7" x14ac:dyDescent="0.3">
      <c r="A6462" t="s">
        <v>34</v>
      </c>
      <c r="B6462">
        <v>2019</v>
      </c>
      <c r="C6462" t="s">
        <v>43</v>
      </c>
      <c r="D6462" s="2">
        <v>43739</v>
      </c>
      <c r="E6462" t="s">
        <v>10</v>
      </c>
      <c r="F6462">
        <v>132.5</v>
      </c>
      <c r="G6462" t="str">
        <f>VLOOKUP(Table1_2[[#This Row],[Categories]],Sheet3!$A$1:$B$27,2,FALSE)</f>
        <v>Food &amp;Beverage</v>
      </c>
    </row>
    <row r="6463" spans="1:7" x14ac:dyDescent="0.3">
      <c r="A6463" t="s">
        <v>34</v>
      </c>
      <c r="B6463">
        <v>2019</v>
      </c>
      <c r="C6463" t="s">
        <v>43</v>
      </c>
      <c r="D6463" s="2">
        <v>43739</v>
      </c>
      <c r="E6463" t="s">
        <v>11</v>
      </c>
      <c r="F6463">
        <v>114</v>
      </c>
      <c r="G6463" t="str">
        <f>VLOOKUP(Table1_2[[#This Row],[Categories]],Sheet3!$A$1:$B$27,2,FALSE)</f>
        <v>Food &amp;Beverage</v>
      </c>
    </row>
    <row r="6464" spans="1:7" x14ac:dyDescent="0.3">
      <c r="A6464" t="s">
        <v>34</v>
      </c>
      <c r="B6464">
        <v>2019</v>
      </c>
      <c r="C6464" t="s">
        <v>43</v>
      </c>
      <c r="D6464" s="2">
        <v>43739</v>
      </c>
      <c r="E6464" t="s">
        <v>12</v>
      </c>
      <c r="F6464">
        <v>145.4</v>
      </c>
      <c r="G6464" t="str">
        <f>VLOOKUP(Table1_2[[#This Row],[Categories]],Sheet3!$A$1:$B$27,2,FALSE)</f>
        <v>Food &amp;Beverage</v>
      </c>
    </row>
    <row r="6465" spans="1:7" x14ac:dyDescent="0.3">
      <c r="A6465" t="s">
        <v>34</v>
      </c>
      <c r="B6465">
        <v>2019</v>
      </c>
      <c r="C6465" t="s">
        <v>43</v>
      </c>
      <c r="D6465" s="2">
        <v>43739</v>
      </c>
      <c r="E6465" t="s">
        <v>13</v>
      </c>
      <c r="F6465">
        <v>135.1</v>
      </c>
      <c r="G6465" t="str">
        <f>VLOOKUP(Table1_2[[#This Row],[Categories]],Sheet3!$A$1:$B$27,2,FALSE)</f>
        <v>Food &amp;Beverage</v>
      </c>
    </row>
    <row r="6466" spans="1:7" x14ac:dyDescent="0.3">
      <c r="A6466" t="s">
        <v>34</v>
      </c>
      <c r="B6466">
        <v>2019</v>
      </c>
      <c r="C6466" t="s">
        <v>43</v>
      </c>
      <c r="D6466" s="2">
        <v>43739</v>
      </c>
      <c r="E6466" t="s">
        <v>14</v>
      </c>
      <c r="F6466">
        <v>157.1</v>
      </c>
      <c r="G6466" t="str">
        <f>VLOOKUP(Table1_2[[#This Row],[Categories]],Sheet3!$A$1:$B$27,2,FALSE)</f>
        <v>Food &amp;Beverage</v>
      </c>
    </row>
    <row r="6467" spans="1:7" x14ac:dyDescent="0.3">
      <c r="A6467" t="s">
        <v>34</v>
      </c>
      <c r="B6467">
        <v>2019</v>
      </c>
      <c r="C6467" t="s">
        <v>43</v>
      </c>
      <c r="D6467" s="2">
        <v>43739</v>
      </c>
      <c r="E6467" t="s">
        <v>15</v>
      </c>
      <c r="F6467">
        <v>149.6</v>
      </c>
      <c r="G6467" t="str">
        <f>VLOOKUP(Table1_2[[#This Row],[Categories]],Sheet3!$A$1:$B$27,2,FALSE)</f>
        <v>Food &amp;Beverage</v>
      </c>
    </row>
    <row r="6468" spans="1:7" x14ac:dyDescent="0.3">
      <c r="A6468" t="s">
        <v>34</v>
      </c>
      <c r="B6468">
        <v>2019</v>
      </c>
      <c r="C6468" t="s">
        <v>43</v>
      </c>
      <c r="D6468" s="2">
        <v>43739</v>
      </c>
      <c r="E6468" t="s">
        <v>16</v>
      </c>
      <c r="F6468">
        <v>167.1</v>
      </c>
      <c r="G6468" t="str">
        <f>VLOOKUP(Table1_2[[#This Row],[Categories]],Sheet3!$A$1:$B$27,2,FALSE)</f>
        <v>Recreation and amusement</v>
      </c>
    </row>
    <row r="6469" spans="1:7" x14ac:dyDescent="0.3">
      <c r="A6469" t="s">
        <v>34</v>
      </c>
      <c r="B6469">
        <v>2019</v>
      </c>
      <c r="C6469" t="s">
        <v>43</v>
      </c>
      <c r="D6469" s="2">
        <v>43739</v>
      </c>
      <c r="E6469" t="s">
        <v>17</v>
      </c>
      <c r="F6469">
        <v>149.4</v>
      </c>
      <c r="G6469" t="str">
        <f>VLOOKUP(Table1_2[[#This Row],[Categories]],Sheet3!$A$1:$B$27,2,FALSE)</f>
        <v>Clothing and footwear</v>
      </c>
    </row>
    <row r="6470" spans="1:7" x14ac:dyDescent="0.3">
      <c r="A6470" t="s">
        <v>34</v>
      </c>
      <c r="B6470">
        <v>2019</v>
      </c>
      <c r="C6470" t="s">
        <v>43</v>
      </c>
      <c r="D6470" s="2">
        <v>43739</v>
      </c>
      <c r="E6470" t="s">
        <v>18</v>
      </c>
      <c r="F6470">
        <v>140.80000000000001</v>
      </c>
      <c r="G6470" t="str">
        <f>VLOOKUP(Table1_2[[#This Row],[Categories]],Sheet3!$A$1:$B$27,2,FALSE)</f>
        <v>Clothing and footwear</v>
      </c>
    </row>
    <row r="6471" spans="1:7" x14ac:dyDescent="0.3">
      <c r="A6471" t="s">
        <v>34</v>
      </c>
      <c r="B6471">
        <v>2019</v>
      </c>
      <c r="C6471" t="s">
        <v>43</v>
      </c>
      <c r="D6471" s="2">
        <v>43739</v>
      </c>
      <c r="E6471" t="s">
        <v>19</v>
      </c>
      <c r="F6471">
        <v>148.19999999999999</v>
      </c>
      <c r="G6471" t="str">
        <f>VLOOKUP(Table1_2[[#This Row],[Categories]],Sheet3!$A$1:$B$27,2,FALSE)</f>
        <v>Clothing and footwear</v>
      </c>
    </row>
    <row r="6472" spans="1:7" x14ac:dyDescent="0.3">
      <c r="A6472" t="s">
        <v>34</v>
      </c>
      <c r="B6472">
        <v>2019</v>
      </c>
      <c r="C6472" t="s">
        <v>43</v>
      </c>
      <c r="D6472" s="2">
        <v>43739</v>
      </c>
      <c r="E6472" t="s">
        <v>20</v>
      </c>
      <c r="F6472">
        <v>153</v>
      </c>
      <c r="G6472" t="str">
        <f>VLOOKUP(Table1_2[[#This Row],[Categories]],Sheet3!$A$1:$B$27,2,FALSE)</f>
        <v>Housing</v>
      </c>
    </row>
    <row r="6473" spans="1:7" x14ac:dyDescent="0.3">
      <c r="A6473" t="s">
        <v>34</v>
      </c>
      <c r="B6473">
        <v>2019</v>
      </c>
      <c r="C6473" t="s">
        <v>43</v>
      </c>
      <c r="D6473" s="2">
        <v>43739</v>
      </c>
      <c r="E6473" t="s">
        <v>21</v>
      </c>
      <c r="F6473">
        <v>140.6</v>
      </c>
      <c r="G6473" t="str">
        <f>VLOOKUP(Table1_2[[#This Row],[Categories]],Sheet3!$A$1:$B$27,2,FALSE)</f>
        <v>Fuel and light</v>
      </c>
    </row>
    <row r="6474" spans="1:7" x14ac:dyDescent="0.3">
      <c r="A6474" t="s">
        <v>34</v>
      </c>
      <c r="B6474">
        <v>2019</v>
      </c>
      <c r="C6474" t="s">
        <v>43</v>
      </c>
      <c r="D6474" s="2">
        <v>43739</v>
      </c>
      <c r="E6474" t="s">
        <v>22</v>
      </c>
      <c r="F6474">
        <v>145</v>
      </c>
      <c r="G6474" t="str">
        <f>VLOOKUP(Table1_2[[#This Row],[Categories]],Sheet3!$A$1:$B$27,2,FALSE)</f>
        <v>Household Items</v>
      </c>
    </row>
    <row r="6475" spans="1:7" x14ac:dyDescent="0.3">
      <c r="A6475" t="s">
        <v>34</v>
      </c>
      <c r="B6475">
        <v>2019</v>
      </c>
      <c r="C6475" t="s">
        <v>43</v>
      </c>
      <c r="D6475" s="2">
        <v>43739</v>
      </c>
      <c r="E6475" t="s">
        <v>23</v>
      </c>
      <c r="F6475">
        <v>149.4</v>
      </c>
      <c r="G6475" t="str">
        <f>VLOOKUP(Table1_2[[#This Row],[Categories]],Sheet3!$A$1:$B$27,2,FALSE)</f>
        <v>Health</v>
      </c>
    </row>
    <row r="6476" spans="1:7" x14ac:dyDescent="0.3">
      <c r="A6476" t="s">
        <v>34</v>
      </c>
      <c r="B6476">
        <v>2019</v>
      </c>
      <c r="C6476" t="s">
        <v>43</v>
      </c>
      <c r="D6476" s="2">
        <v>43739</v>
      </c>
      <c r="E6476" t="s">
        <v>24</v>
      </c>
      <c r="F6476">
        <v>126.3</v>
      </c>
      <c r="G6476" t="str">
        <f>VLOOKUP(Table1_2[[#This Row],[Categories]],Sheet3!$A$1:$B$27,2,FALSE)</f>
        <v>Transport and communication</v>
      </c>
    </row>
    <row r="6477" spans="1:7" x14ac:dyDescent="0.3">
      <c r="A6477" t="s">
        <v>34</v>
      </c>
      <c r="B6477">
        <v>2019</v>
      </c>
      <c r="C6477" t="s">
        <v>43</v>
      </c>
      <c r="D6477" s="2">
        <v>43739</v>
      </c>
      <c r="E6477" t="s">
        <v>25</v>
      </c>
      <c r="F6477">
        <v>141.69999999999999</v>
      </c>
      <c r="G6477" t="str">
        <f>VLOOKUP(Table1_2[[#This Row],[Categories]],Sheet3!$A$1:$B$27,2,FALSE)</f>
        <v>Recreation and amusement</v>
      </c>
    </row>
    <row r="6478" spans="1:7" x14ac:dyDescent="0.3">
      <c r="A6478" t="s">
        <v>34</v>
      </c>
      <c r="B6478">
        <v>2019</v>
      </c>
      <c r="C6478" t="s">
        <v>43</v>
      </c>
      <c r="D6478" s="2">
        <v>43739</v>
      </c>
      <c r="E6478" t="s">
        <v>26</v>
      </c>
      <c r="F6478">
        <v>155.4</v>
      </c>
      <c r="G6478" t="str">
        <f>VLOOKUP(Table1_2[[#This Row],[Categories]],Sheet3!$A$1:$B$27,2,FALSE)</f>
        <v>Education</v>
      </c>
    </row>
    <row r="6479" spans="1:7" x14ac:dyDescent="0.3">
      <c r="A6479" t="s">
        <v>34</v>
      </c>
      <c r="B6479">
        <v>2019</v>
      </c>
      <c r="C6479" t="s">
        <v>43</v>
      </c>
      <c r="D6479" s="2">
        <v>43739</v>
      </c>
      <c r="E6479" t="s">
        <v>27</v>
      </c>
      <c r="F6479">
        <v>140</v>
      </c>
      <c r="G6479" t="str">
        <f>VLOOKUP(Table1_2[[#This Row],[Categories]],Sheet3!$A$1:$B$27,2,FALSE)</f>
        <v>Household Items</v>
      </c>
    </row>
    <row r="6480" spans="1:7" x14ac:dyDescent="0.3">
      <c r="A6480" t="s">
        <v>34</v>
      </c>
      <c r="B6480">
        <v>2019</v>
      </c>
      <c r="C6480" t="s">
        <v>43</v>
      </c>
      <c r="D6480" s="2">
        <v>43739</v>
      </c>
      <c r="E6480" t="s">
        <v>28</v>
      </c>
      <c r="F6480">
        <v>141</v>
      </c>
      <c r="G6480" t="str">
        <f>VLOOKUP(Table1_2[[#This Row],[Categories]],Sheet3!$A$1:$B$27,2,FALSE)</f>
        <v>Miscellaneous</v>
      </c>
    </row>
    <row r="6481" spans="1:7" x14ac:dyDescent="0.3">
      <c r="A6481" t="s">
        <v>34</v>
      </c>
      <c r="B6481">
        <v>2019</v>
      </c>
      <c r="C6481" t="s">
        <v>43</v>
      </c>
      <c r="D6481" s="2">
        <v>43739</v>
      </c>
      <c r="E6481" t="s">
        <v>29</v>
      </c>
      <c r="F6481">
        <v>147.19999999999999</v>
      </c>
      <c r="G6481" t="str">
        <f>VLOOKUP(Table1_2[[#This Row],[Categories]],Sheet3!$A$1:$B$27,2,FALSE)</f>
        <v>General index</v>
      </c>
    </row>
    <row r="6482" spans="1:7" x14ac:dyDescent="0.3">
      <c r="A6482" t="s">
        <v>30</v>
      </c>
      <c r="B6482">
        <v>2019</v>
      </c>
      <c r="C6482" t="s">
        <v>45</v>
      </c>
      <c r="D6482" s="2">
        <v>43770</v>
      </c>
      <c r="E6482" t="s">
        <v>3</v>
      </c>
      <c r="F6482">
        <v>141.80000000000001</v>
      </c>
      <c r="G6482" t="str">
        <f>VLOOKUP(Table1_2[[#This Row],[Categories]],Sheet3!$A$1:$B$27,2,FALSE)</f>
        <v>Food &amp;Beverage</v>
      </c>
    </row>
    <row r="6483" spans="1:7" x14ac:dyDescent="0.3">
      <c r="A6483" t="s">
        <v>30</v>
      </c>
      <c r="B6483">
        <v>2019</v>
      </c>
      <c r="C6483" t="s">
        <v>45</v>
      </c>
      <c r="D6483" s="2">
        <v>43770</v>
      </c>
      <c r="E6483" t="s">
        <v>4</v>
      </c>
      <c r="F6483">
        <v>163.69999999999999</v>
      </c>
      <c r="G6483" t="str">
        <f>VLOOKUP(Table1_2[[#This Row],[Categories]],Sheet3!$A$1:$B$27,2,FALSE)</f>
        <v>Food &amp;Beverage</v>
      </c>
    </row>
    <row r="6484" spans="1:7" x14ac:dyDescent="0.3">
      <c r="A6484" t="s">
        <v>30</v>
      </c>
      <c r="B6484">
        <v>2019</v>
      </c>
      <c r="C6484" t="s">
        <v>45</v>
      </c>
      <c r="D6484" s="2">
        <v>43770</v>
      </c>
      <c r="E6484" t="s">
        <v>5</v>
      </c>
      <c r="F6484">
        <v>143.80000000000001</v>
      </c>
      <c r="G6484" t="str">
        <f>VLOOKUP(Table1_2[[#This Row],[Categories]],Sheet3!$A$1:$B$27,2,FALSE)</f>
        <v>Food &amp;Beverage</v>
      </c>
    </row>
    <row r="6485" spans="1:7" x14ac:dyDescent="0.3">
      <c r="A6485" t="s">
        <v>30</v>
      </c>
      <c r="B6485">
        <v>2019</v>
      </c>
      <c r="C6485" t="s">
        <v>45</v>
      </c>
      <c r="D6485" s="2">
        <v>43770</v>
      </c>
      <c r="E6485" t="s">
        <v>6</v>
      </c>
      <c r="F6485">
        <v>147.1</v>
      </c>
      <c r="G6485" t="str">
        <f>VLOOKUP(Table1_2[[#This Row],[Categories]],Sheet3!$A$1:$B$27,2,FALSE)</f>
        <v>Food &amp;Beverage</v>
      </c>
    </row>
    <row r="6486" spans="1:7" x14ac:dyDescent="0.3">
      <c r="A6486" t="s">
        <v>30</v>
      </c>
      <c r="B6486">
        <v>2019</v>
      </c>
      <c r="C6486" t="s">
        <v>45</v>
      </c>
      <c r="D6486" s="2">
        <v>43770</v>
      </c>
      <c r="E6486" t="s">
        <v>7</v>
      </c>
      <c r="F6486">
        <v>126</v>
      </c>
      <c r="G6486" t="str">
        <f>VLOOKUP(Table1_2[[#This Row],[Categories]],Sheet3!$A$1:$B$27,2,FALSE)</f>
        <v>Food &amp;Beverage</v>
      </c>
    </row>
    <row r="6487" spans="1:7" x14ac:dyDescent="0.3">
      <c r="A6487" t="s">
        <v>30</v>
      </c>
      <c r="B6487">
        <v>2019</v>
      </c>
      <c r="C6487" t="s">
        <v>45</v>
      </c>
      <c r="D6487" s="2">
        <v>43770</v>
      </c>
      <c r="E6487" t="s">
        <v>8</v>
      </c>
      <c r="F6487">
        <v>146.19999999999999</v>
      </c>
      <c r="G6487" t="str">
        <f>VLOOKUP(Table1_2[[#This Row],[Categories]],Sheet3!$A$1:$B$27,2,FALSE)</f>
        <v>Food &amp;Beverage</v>
      </c>
    </row>
    <row r="6488" spans="1:7" x14ac:dyDescent="0.3">
      <c r="A6488" t="s">
        <v>30</v>
      </c>
      <c r="B6488">
        <v>2019</v>
      </c>
      <c r="C6488" t="s">
        <v>45</v>
      </c>
      <c r="D6488" s="2">
        <v>43770</v>
      </c>
      <c r="E6488" t="s">
        <v>9</v>
      </c>
      <c r="F6488">
        <v>191.4</v>
      </c>
      <c r="G6488" t="str">
        <f>VLOOKUP(Table1_2[[#This Row],[Categories]],Sheet3!$A$1:$B$27,2,FALSE)</f>
        <v>Food &amp;Beverage</v>
      </c>
    </row>
    <row r="6489" spans="1:7" x14ac:dyDescent="0.3">
      <c r="A6489" t="s">
        <v>30</v>
      </c>
      <c r="B6489">
        <v>2019</v>
      </c>
      <c r="C6489" t="s">
        <v>45</v>
      </c>
      <c r="D6489" s="2">
        <v>43770</v>
      </c>
      <c r="E6489" t="s">
        <v>10</v>
      </c>
      <c r="F6489">
        <v>136.19999999999999</v>
      </c>
      <c r="G6489" t="str">
        <f>VLOOKUP(Table1_2[[#This Row],[Categories]],Sheet3!$A$1:$B$27,2,FALSE)</f>
        <v>Food &amp;Beverage</v>
      </c>
    </row>
    <row r="6490" spans="1:7" x14ac:dyDescent="0.3">
      <c r="A6490" t="s">
        <v>30</v>
      </c>
      <c r="B6490">
        <v>2019</v>
      </c>
      <c r="C6490" t="s">
        <v>45</v>
      </c>
      <c r="D6490" s="2">
        <v>43770</v>
      </c>
      <c r="E6490" t="s">
        <v>11</v>
      </c>
      <c r="F6490">
        <v>113.8</v>
      </c>
      <c r="G6490" t="str">
        <f>VLOOKUP(Table1_2[[#This Row],[Categories]],Sheet3!$A$1:$B$27,2,FALSE)</f>
        <v>Food &amp;Beverage</v>
      </c>
    </row>
    <row r="6491" spans="1:7" x14ac:dyDescent="0.3">
      <c r="A6491" t="s">
        <v>30</v>
      </c>
      <c r="B6491">
        <v>2019</v>
      </c>
      <c r="C6491" t="s">
        <v>45</v>
      </c>
      <c r="D6491" s="2">
        <v>43770</v>
      </c>
      <c r="E6491" t="s">
        <v>12</v>
      </c>
      <c r="F6491">
        <v>147.30000000000001</v>
      </c>
      <c r="G6491" t="str">
        <f>VLOOKUP(Table1_2[[#This Row],[Categories]],Sheet3!$A$1:$B$27,2,FALSE)</f>
        <v>Food &amp;Beverage</v>
      </c>
    </row>
    <row r="6492" spans="1:7" x14ac:dyDescent="0.3">
      <c r="A6492" t="s">
        <v>30</v>
      </c>
      <c r="B6492">
        <v>2019</v>
      </c>
      <c r="C6492" t="s">
        <v>45</v>
      </c>
      <c r="D6492" s="2">
        <v>43770</v>
      </c>
      <c r="E6492" t="s">
        <v>13</v>
      </c>
      <c r="F6492">
        <v>138.69999999999999</v>
      </c>
      <c r="G6492" t="str">
        <f>VLOOKUP(Table1_2[[#This Row],[Categories]],Sheet3!$A$1:$B$27,2,FALSE)</f>
        <v>Food &amp;Beverage</v>
      </c>
    </row>
    <row r="6493" spans="1:7" x14ac:dyDescent="0.3">
      <c r="A6493" t="s">
        <v>30</v>
      </c>
      <c r="B6493">
        <v>2019</v>
      </c>
      <c r="C6493" t="s">
        <v>45</v>
      </c>
      <c r="D6493" s="2">
        <v>43770</v>
      </c>
      <c r="E6493" t="s">
        <v>14</v>
      </c>
      <c r="F6493">
        <v>157.69999999999999</v>
      </c>
      <c r="G6493" t="str">
        <f>VLOOKUP(Table1_2[[#This Row],[Categories]],Sheet3!$A$1:$B$27,2,FALSE)</f>
        <v>Food &amp;Beverage</v>
      </c>
    </row>
    <row r="6494" spans="1:7" x14ac:dyDescent="0.3">
      <c r="A6494" t="s">
        <v>30</v>
      </c>
      <c r="B6494">
        <v>2019</v>
      </c>
      <c r="C6494" t="s">
        <v>45</v>
      </c>
      <c r="D6494" s="2">
        <v>43770</v>
      </c>
      <c r="E6494" t="s">
        <v>15</v>
      </c>
      <c r="F6494">
        <v>150.9</v>
      </c>
      <c r="G6494" t="str">
        <f>VLOOKUP(Table1_2[[#This Row],[Categories]],Sheet3!$A$1:$B$27,2,FALSE)</f>
        <v>Food &amp;Beverage</v>
      </c>
    </row>
    <row r="6495" spans="1:7" x14ac:dyDescent="0.3">
      <c r="A6495" t="s">
        <v>30</v>
      </c>
      <c r="B6495">
        <v>2019</v>
      </c>
      <c r="C6495" t="s">
        <v>45</v>
      </c>
      <c r="D6495" s="2">
        <v>43770</v>
      </c>
      <c r="E6495" t="s">
        <v>16</v>
      </c>
      <c r="F6495">
        <v>167.2</v>
      </c>
      <c r="G6495" t="str">
        <f>VLOOKUP(Table1_2[[#This Row],[Categories]],Sheet3!$A$1:$B$27,2,FALSE)</f>
        <v>Recreation and amusement</v>
      </c>
    </row>
    <row r="6496" spans="1:7" x14ac:dyDescent="0.3">
      <c r="A6496" t="s">
        <v>30</v>
      </c>
      <c r="B6496">
        <v>2019</v>
      </c>
      <c r="C6496" t="s">
        <v>45</v>
      </c>
      <c r="D6496" s="2">
        <v>43770</v>
      </c>
      <c r="E6496" t="s">
        <v>17</v>
      </c>
      <c r="F6496">
        <v>152.30000000000001</v>
      </c>
      <c r="G6496" t="str">
        <f>VLOOKUP(Table1_2[[#This Row],[Categories]],Sheet3!$A$1:$B$27,2,FALSE)</f>
        <v>Clothing and footwear</v>
      </c>
    </row>
    <row r="6497" spans="1:7" x14ac:dyDescent="0.3">
      <c r="A6497" t="s">
        <v>30</v>
      </c>
      <c r="B6497">
        <v>2019</v>
      </c>
      <c r="C6497" t="s">
        <v>45</v>
      </c>
      <c r="D6497" s="2">
        <v>43770</v>
      </c>
      <c r="E6497" t="s">
        <v>18</v>
      </c>
      <c r="F6497">
        <v>147</v>
      </c>
      <c r="G6497" t="str">
        <f>VLOOKUP(Table1_2[[#This Row],[Categories]],Sheet3!$A$1:$B$27,2,FALSE)</f>
        <v>Clothing and footwear</v>
      </c>
    </row>
    <row r="6498" spans="1:7" x14ac:dyDescent="0.3">
      <c r="A6498" t="s">
        <v>30</v>
      </c>
      <c r="B6498">
        <v>2019</v>
      </c>
      <c r="C6498" t="s">
        <v>45</v>
      </c>
      <c r="D6498" s="2">
        <v>43770</v>
      </c>
      <c r="E6498" t="s">
        <v>19</v>
      </c>
      <c r="F6498">
        <v>151.5</v>
      </c>
      <c r="G6498" t="str">
        <f>VLOOKUP(Table1_2[[#This Row],[Categories]],Sheet3!$A$1:$B$27,2,FALSE)</f>
        <v>Clothing and footwear</v>
      </c>
    </row>
    <row r="6499" spans="1:7" x14ac:dyDescent="0.3">
      <c r="A6499" t="s">
        <v>30</v>
      </c>
      <c r="B6499">
        <v>2019</v>
      </c>
      <c r="C6499" t="s">
        <v>45</v>
      </c>
      <c r="D6499" s="2">
        <v>43770</v>
      </c>
      <c r="E6499" t="s">
        <v>21</v>
      </c>
      <c r="F6499">
        <v>148.4</v>
      </c>
      <c r="G6499" t="str">
        <f>VLOOKUP(Table1_2[[#This Row],[Categories]],Sheet3!$A$1:$B$27,2,FALSE)</f>
        <v>Fuel and light</v>
      </c>
    </row>
    <row r="6500" spans="1:7" x14ac:dyDescent="0.3">
      <c r="A6500" t="s">
        <v>30</v>
      </c>
      <c r="B6500">
        <v>2019</v>
      </c>
      <c r="C6500" t="s">
        <v>45</v>
      </c>
      <c r="D6500" s="2">
        <v>43770</v>
      </c>
      <c r="E6500" t="s">
        <v>22</v>
      </c>
      <c r="F6500">
        <v>150.9</v>
      </c>
      <c r="G6500" t="str">
        <f>VLOOKUP(Table1_2[[#This Row],[Categories]],Sheet3!$A$1:$B$27,2,FALSE)</f>
        <v>Household Items</v>
      </c>
    </row>
    <row r="6501" spans="1:7" x14ac:dyDescent="0.3">
      <c r="A6501" t="s">
        <v>30</v>
      </c>
      <c r="B6501">
        <v>2019</v>
      </c>
      <c r="C6501" t="s">
        <v>45</v>
      </c>
      <c r="D6501" s="2">
        <v>43770</v>
      </c>
      <c r="E6501" t="s">
        <v>23</v>
      </c>
      <c r="F6501">
        <v>154.30000000000001</v>
      </c>
      <c r="G6501" t="str">
        <f>VLOOKUP(Table1_2[[#This Row],[Categories]],Sheet3!$A$1:$B$27,2,FALSE)</f>
        <v>Health</v>
      </c>
    </row>
    <row r="6502" spans="1:7" x14ac:dyDescent="0.3">
      <c r="A6502" t="s">
        <v>30</v>
      </c>
      <c r="B6502">
        <v>2019</v>
      </c>
      <c r="C6502" t="s">
        <v>45</v>
      </c>
      <c r="D6502" s="2">
        <v>43770</v>
      </c>
      <c r="E6502" t="s">
        <v>24</v>
      </c>
      <c r="F6502">
        <v>132.1</v>
      </c>
      <c r="G6502" t="str">
        <f>VLOOKUP(Table1_2[[#This Row],[Categories]],Sheet3!$A$1:$B$27,2,FALSE)</f>
        <v>Transport and communication</v>
      </c>
    </row>
    <row r="6503" spans="1:7" x14ac:dyDescent="0.3">
      <c r="A6503" t="s">
        <v>30</v>
      </c>
      <c r="B6503">
        <v>2019</v>
      </c>
      <c r="C6503" t="s">
        <v>45</v>
      </c>
      <c r="D6503" s="2">
        <v>43770</v>
      </c>
      <c r="E6503" t="s">
        <v>25</v>
      </c>
      <c r="F6503">
        <v>149.1</v>
      </c>
      <c r="G6503" t="str">
        <f>VLOOKUP(Table1_2[[#This Row],[Categories]],Sheet3!$A$1:$B$27,2,FALSE)</f>
        <v>Recreation and amusement</v>
      </c>
    </row>
    <row r="6504" spans="1:7" x14ac:dyDescent="0.3">
      <c r="A6504" t="s">
        <v>30</v>
      </c>
      <c r="B6504">
        <v>2019</v>
      </c>
      <c r="C6504" t="s">
        <v>45</v>
      </c>
      <c r="D6504" s="2">
        <v>43770</v>
      </c>
      <c r="E6504" t="s">
        <v>26</v>
      </c>
      <c r="F6504">
        <v>160.80000000000001</v>
      </c>
      <c r="G6504" t="str">
        <f>VLOOKUP(Table1_2[[#This Row],[Categories]],Sheet3!$A$1:$B$27,2,FALSE)</f>
        <v>Education</v>
      </c>
    </row>
    <row r="6505" spans="1:7" x14ac:dyDescent="0.3">
      <c r="A6505" t="s">
        <v>30</v>
      </c>
      <c r="B6505">
        <v>2019</v>
      </c>
      <c r="C6505" t="s">
        <v>45</v>
      </c>
      <c r="D6505" s="2">
        <v>43770</v>
      </c>
      <c r="E6505" t="s">
        <v>27</v>
      </c>
      <c r="F6505">
        <v>140.6</v>
      </c>
      <c r="G6505" t="str">
        <f>VLOOKUP(Table1_2[[#This Row],[Categories]],Sheet3!$A$1:$B$27,2,FALSE)</f>
        <v>Household Items</v>
      </c>
    </row>
    <row r="6506" spans="1:7" x14ac:dyDescent="0.3">
      <c r="A6506" t="s">
        <v>30</v>
      </c>
      <c r="B6506">
        <v>2019</v>
      </c>
      <c r="C6506" t="s">
        <v>45</v>
      </c>
      <c r="D6506" s="2">
        <v>43770</v>
      </c>
      <c r="E6506" t="s">
        <v>28</v>
      </c>
      <c r="F6506">
        <v>146.1</v>
      </c>
      <c r="G6506" t="str">
        <f>VLOOKUP(Table1_2[[#This Row],[Categories]],Sheet3!$A$1:$B$27,2,FALSE)</f>
        <v>Miscellaneous</v>
      </c>
    </row>
    <row r="6507" spans="1:7" x14ac:dyDescent="0.3">
      <c r="A6507" t="s">
        <v>30</v>
      </c>
      <c r="B6507">
        <v>2019</v>
      </c>
      <c r="C6507" t="s">
        <v>45</v>
      </c>
      <c r="D6507" s="2">
        <v>43770</v>
      </c>
      <c r="E6507" t="s">
        <v>29</v>
      </c>
      <c r="F6507">
        <v>149.9</v>
      </c>
      <c r="G6507" t="str">
        <f>VLOOKUP(Table1_2[[#This Row],[Categories]],Sheet3!$A$1:$B$27,2,FALSE)</f>
        <v>General index</v>
      </c>
    </row>
    <row r="6508" spans="1:7" x14ac:dyDescent="0.3">
      <c r="A6508" t="s">
        <v>33</v>
      </c>
      <c r="B6508">
        <v>2019</v>
      </c>
      <c r="C6508" t="s">
        <v>45</v>
      </c>
      <c r="D6508" s="2">
        <v>43770</v>
      </c>
      <c r="E6508" t="s">
        <v>3</v>
      </c>
      <c r="F6508">
        <v>144.1</v>
      </c>
      <c r="G6508" t="str">
        <f>VLOOKUP(Table1_2[[#This Row],[Categories]],Sheet3!$A$1:$B$27,2,FALSE)</f>
        <v>Food &amp;Beverage</v>
      </c>
    </row>
    <row r="6509" spans="1:7" x14ac:dyDescent="0.3">
      <c r="A6509" t="s">
        <v>33</v>
      </c>
      <c r="B6509">
        <v>2019</v>
      </c>
      <c r="C6509" t="s">
        <v>45</v>
      </c>
      <c r="D6509" s="2">
        <v>43770</v>
      </c>
      <c r="E6509" t="s">
        <v>4</v>
      </c>
      <c r="F6509">
        <v>162.4</v>
      </c>
      <c r="G6509" t="str">
        <f>VLOOKUP(Table1_2[[#This Row],[Categories]],Sheet3!$A$1:$B$27,2,FALSE)</f>
        <v>Food &amp;Beverage</v>
      </c>
    </row>
    <row r="6510" spans="1:7" x14ac:dyDescent="0.3">
      <c r="A6510" t="s">
        <v>33</v>
      </c>
      <c r="B6510">
        <v>2019</v>
      </c>
      <c r="C6510" t="s">
        <v>45</v>
      </c>
      <c r="D6510" s="2">
        <v>43770</v>
      </c>
      <c r="E6510" t="s">
        <v>5</v>
      </c>
      <c r="F6510">
        <v>148.4</v>
      </c>
      <c r="G6510" t="str">
        <f>VLOOKUP(Table1_2[[#This Row],[Categories]],Sheet3!$A$1:$B$27,2,FALSE)</f>
        <v>Food &amp;Beverage</v>
      </c>
    </row>
    <row r="6511" spans="1:7" x14ac:dyDescent="0.3">
      <c r="A6511" t="s">
        <v>33</v>
      </c>
      <c r="B6511">
        <v>2019</v>
      </c>
      <c r="C6511" t="s">
        <v>45</v>
      </c>
      <c r="D6511" s="2">
        <v>43770</v>
      </c>
      <c r="E6511" t="s">
        <v>6</v>
      </c>
      <c r="F6511">
        <v>145.9</v>
      </c>
      <c r="G6511" t="str">
        <f>VLOOKUP(Table1_2[[#This Row],[Categories]],Sheet3!$A$1:$B$27,2,FALSE)</f>
        <v>Food &amp;Beverage</v>
      </c>
    </row>
    <row r="6512" spans="1:7" x14ac:dyDescent="0.3">
      <c r="A6512" t="s">
        <v>33</v>
      </c>
      <c r="B6512">
        <v>2019</v>
      </c>
      <c r="C6512" t="s">
        <v>45</v>
      </c>
      <c r="D6512" s="2">
        <v>43770</v>
      </c>
      <c r="E6512" t="s">
        <v>7</v>
      </c>
      <c r="F6512">
        <v>121.5</v>
      </c>
      <c r="G6512" t="str">
        <f>VLOOKUP(Table1_2[[#This Row],[Categories]],Sheet3!$A$1:$B$27,2,FALSE)</f>
        <v>Food &amp;Beverage</v>
      </c>
    </row>
    <row r="6513" spans="1:7" x14ac:dyDescent="0.3">
      <c r="A6513" t="s">
        <v>33</v>
      </c>
      <c r="B6513">
        <v>2019</v>
      </c>
      <c r="C6513" t="s">
        <v>45</v>
      </c>
      <c r="D6513" s="2">
        <v>43770</v>
      </c>
      <c r="E6513" t="s">
        <v>8</v>
      </c>
      <c r="F6513">
        <v>148.80000000000001</v>
      </c>
      <c r="G6513" t="str">
        <f>VLOOKUP(Table1_2[[#This Row],[Categories]],Sheet3!$A$1:$B$27,2,FALSE)</f>
        <v>Food &amp;Beverage</v>
      </c>
    </row>
    <row r="6514" spans="1:7" x14ac:dyDescent="0.3">
      <c r="A6514" t="s">
        <v>33</v>
      </c>
      <c r="B6514">
        <v>2019</v>
      </c>
      <c r="C6514" t="s">
        <v>45</v>
      </c>
      <c r="D6514" s="2">
        <v>43770</v>
      </c>
      <c r="E6514" t="s">
        <v>9</v>
      </c>
      <c r="F6514">
        <v>215.7</v>
      </c>
      <c r="G6514" t="str">
        <f>VLOOKUP(Table1_2[[#This Row],[Categories]],Sheet3!$A$1:$B$27,2,FALSE)</f>
        <v>Food &amp;Beverage</v>
      </c>
    </row>
    <row r="6515" spans="1:7" x14ac:dyDescent="0.3">
      <c r="A6515" t="s">
        <v>33</v>
      </c>
      <c r="B6515">
        <v>2019</v>
      </c>
      <c r="C6515" t="s">
        <v>45</v>
      </c>
      <c r="D6515" s="2">
        <v>43770</v>
      </c>
      <c r="E6515" t="s">
        <v>10</v>
      </c>
      <c r="F6515">
        <v>134.6</v>
      </c>
      <c r="G6515" t="str">
        <f>VLOOKUP(Table1_2[[#This Row],[Categories]],Sheet3!$A$1:$B$27,2,FALSE)</f>
        <v>Food &amp;Beverage</v>
      </c>
    </row>
    <row r="6516" spans="1:7" x14ac:dyDescent="0.3">
      <c r="A6516" t="s">
        <v>33</v>
      </c>
      <c r="B6516">
        <v>2019</v>
      </c>
      <c r="C6516" t="s">
        <v>45</v>
      </c>
      <c r="D6516" s="2">
        <v>43770</v>
      </c>
      <c r="E6516" t="s">
        <v>11</v>
      </c>
      <c r="F6516">
        <v>115</v>
      </c>
      <c r="G6516" t="str">
        <f>VLOOKUP(Table1_2[[#This Row],[Categories]],Sheet3!$A$1:$B$27,2,FALSE)</f>
        <v>Food &amp;Beverage</v>
      </c>
    </row>
    <row r="6517" spans="1:7" x14ac:dyDescent="0.3">
      <c r="A6517" t="s">
        <v>33</v>
      </c>
      <c r="B6517">
        <v>2019</v>
      </c>
      <c r="C6517" t="s">
        <v>45</v>
      </c>
      <c r="D6517" s="2">
        <v>43770</v>
      </c>
      <c r="E6517" t="s">
        <v>12</v>
      </c>
      <c r="F6517">
        <v>146.30000000000001</v>
      </c>
      <c r="G6517" t="str">
        <f>VLOOKUP(Table1_2[[#This Row],[Categories]],Sheet3!$A$1:$B$27,2,FALSE)</f>
        <v>Food &amp;Beverage</v>
      </c>
    </row>
    <row r="6518" spans="1:7" x14ac:dyDescent="0.3">
      <c r="A6518" t="s">
        <v>33</v>
      </c>
      <c r="B6518">
        <v>2019</v>
      </c>
      <c r="C6518" t="s">
        <v>45</v>
      </c>
      <c r="D6518" s="2">
        <v>43770</v>
      </c>
      <c r="E6518" t="s">
        <v>13</v>
      </c>
      <c r="F6518">
        <v>130.5</v>
      </c>
      <c r="G6518" t="str">
        <f>VLOOKUP(Table1_2[[#This Row],[Categories]],Sheet3!$A$1:$B$27,2,FALSE)</f>
        <v>Food &amp;Beverage</v>
      </c>
    </row>
    <row r="6519" spans="1:7" x14ac:dyDescent="0.3">
      <c r="A6519" t="s">
        <v>33</v>
      </c>
      <c r="B6519">
        <v>2019</v>
      </c>
      <c r="C6519" t="s">
        <v>45</v>
      </c>
      <c r="D6519" s="2">
        <v>43770</v>
      </c>
      <c r="E6519" t="s">
        <v>14</v>
      </c>
      <c r="F6519">
        <v>157.19999999999999</v>
      </c>
      <c r="G6519" t="str">
        <f>VLOOKUP(Table1_2[[#This Row],[Categories]],Sheet3!$A$1:$B$27,2,FALSE)</f>
        <v>Food &amp;Beverage</v>
      </c>
    </row>
    <row r="6520" spans="1:7" x14ac:dyDescent="0.3">
      <c r="A6520" t="s">
        <v>33</v>
      </c>
      <c r="B6520">
        <v>2019</v>
      </c>
      <c r="C6520" t="s">
        <v>45</v>
      </c>
      <c r="D6520" s="2">
        <v>43770</v>
      </c>
      <c r="E6520" t="s">
        <v>15</v>
      </c>
      <c r="F6520">
        <v>153.6</v>
      </c>
      <c r="G6520" t="str">
        <f>VLOOKUP(Table1_2[[#This Row],[Categories]],Sheet3!$A$1:$B$27,2,FALSE)</f>
        <v>Food &amp;Beverage</v>
      </c>
    </row>
    <row r="6521" spans="1:7" x14ac:dyDescent="0.3">
      <c r="A6521" t="s">
        <v>33</v>
      </c>
      <c r="B6521">
        <v>2019</v>
      </c>
      <c r="C6521" t="s">
        <v>45</v>
      </c>
      <c r="D6521" s="2">
        <v>43770</v>
      </c>
      <c r="E6521" t="s">
        <v>16</v>
      </c>
      <c r="F6521">
        <v>169.9</v>
      </c>
      <c r="G6521" t="str">
        <f>VLOOKUP(Table1_2[[#This Row],[Categories]],Sheet3!$A$1:$B$27,2,FALSE)</f>
        <v>Recreation and amusement</v>
      </c>
    </row>
    <row r="6522" spans="1:7" x14ac:dyDescent="0.3">
      <c r="A6522" t="s">
        <v>33</v>
      </c>
      <c r="B6522">
        <v>2019</v>
      </c>
      <c r="C6522" t="s">
        <v>45</v>
      </c>
      <c r="D6522" s="2">
        <v>43770</v>
      </c>
      <c r="E6522" t="s">
        <v>17</v>
      </c>
      <c r="F6522">
        <v>146.30000000000001</v>
      </c>
      <c r="G6522" t="str">
        <f>VLOOKUP(Table1_2[[#This Row],[Categories]],Sheet3!$A$1:$B$27,2,FALSE)</f>
        <v>Clothing and footwear</v>
      </c>
    </row>
    <row r="6523" spans="1:7" x14ac:dyDescent="0.3">
      <c r="A6523" t="s">
        <v>33</v>
      </c>
      <c r="B6523">
        <v>2019</v>
      </c>
      <c r="C6523" t="s">
        <v>45</v>
      </c>
      <c r="D6523" s="2">
        <v>43770</v>
      </c>
      <c r="E6523" t="s">
        <v>18</v>
      </c>
      <c r="F6523">
        <v>132.6</v>
      </c>
      <c r="G6523" t="str">
        <f>VLOOKUP(Table1_2[[#This Row],[Categories]],Sheet3!$A$1:$B$27,2,FALSE)</f>
        <v>Clothing and footwear</v>
      </c>
    </row>
    <row r="6524" spans="1:7" x14ac:dyDescent="0.3">
      <c r="A6524" t="s">
        <v>33</v>
      </c>
      <c r="B6524">
        <v>2019</v>
      </c>
      <c r="C6524" t="s">
        <v>45</v>
      </c>
      <c r="D6524" s="2">
        <v>43770</v>
      </c>
      <c r="E6524" t="s">
        <v>19</v>
      </c>
      <c r="F6524">
        <v>144.19999999999999</v>
      </c>
      <c r="G6524" t="str">
        <f>VLOOKUP(Table1_2[[#This Row],[Categories]],Sheet3!$A$1:$B$27,2,FALSE)</f>
        <v>Clothing and footwear</v>
      </c>
    </row>
    <row r="6525" spans="1:7" x14ac:dyDescent="0.3">
      <c r="A6525" t="s">
        <v>33</v>
      </c>
      <c r="B6525">
        <v>2019</v>
      </c>
      <c r="C6525" t="s">
        <v>45</v>
      </c>
      <c r="D6525" s="2">
        <v>43770</v>
      </c>
      <c r="E6525" t="s">
        <v>20</v>
      </c>
      <c r="F6525">
        <v>153.5</v>
      </c>
      <c r="G6525" t="str">
        <f>VLOOKUP(Table1_2[[#This Row],[Categories]],Sheet3!$A$1:$B$27,2,FALSE)</f>
        <v>Housing</v>
      </c>
    </row>
    <row r="6526" spans="1:7" x14ac:dyDescent="0.3">
      <c r="A6526" t="s">
        <v>33</v>
      </c>
      <c r="B6526">
        <v>2019</v>
      </c>
      <c r="C6526" t="s">
        <v>45</v>
      </c>
      <c r="D6526" s="2">
        <v>43770</v>
      </c>
      <c r="E6526" t="s">
        <v>21</v>
      </c>
      <c r="F6526">
        <v>132.19999999999999</v>
      </c>
      <c r="G6526" t="str">
        <f>VLOOKUP(Table1_2[[#This Row],[Categories]],Sheet3!$A$1:$B$27,2,FALSE)</f>
        <v>Fuel and light</v>
      </c>
    </row>
    <row r="6527" spans="1:7" x14ac:dyDescent="0.3">
      <c r="A6527" t="s">
        <v>33</v>
      </c>
      <c r="B6527">
        <v>2019</v>
      </c>
      <c r="C6527" t="s">
        <v>45</v>
      </c>
      <c r="D6527" s="2">
        <v>43770</v>
      </c>
      <c r="E6527" t="s">
        <v>22</v>
      </c>
      <c r="F6527">
        <v>139.1</v>
      </c>
      <c r="G6527" t="str">
        <f>VLOOKUP(Table1_2[[#This Row],[Categories]],Sheet3!$A$1:$B$27,2,FALSE)</f>
        <v>Household Items</v>
      </c>
    </row>
    <row r="6528" spans="1:7" x14ac:dyDescent="0.3">
      <c r="A6528" t="s">
        <v>33</v>
      </c>
      <c r="B6528">
        <v>2019</v>
      </c>
      <c r="C6528" t="s">
        <v>45</v>
      </c>
      <c r="D6528" s="2">
        <v>43770</v>
      </c>
      <c r="E6528" t="s">
        <v>23</v>
      </c>
      <c r="F6528">
        <v>142.80000000000001</v>
      </c>
      <c r="G6528" t="str">
        <f>VLOOKUP(Table1_2[[#This Row],[Categories]],Sheet3!$A$1:$B$27,2,FALSE)</f>
        <v>Health</v>
      </c>
    </row>
    <row r="6529" spans="1:7" x14ac:dyDescent="0.3">
      <c r="A6529" t="s">
        <v>33</v>
      </c>
      <c r="B6529">
        <v>2019</v>
      </c>
      <c r="C6529" t="s">
        <v>45</v>
      </c>
      <c r="D6529" s="2">
        <v>43770</v>
      </c>
      <c r="E6529" t="s">
        <v>24</v>
      </c>
      <c r="F6529">
        <v>121.7</v>
      </c>
      <c r="G6529" t="str">
        <f>VLOOKUP(Table1_2[[#This Row],[Categories]],Sheet3!$A$1:$B$27,2,FALSE)</f>
        <v>Transport and communication</v>
      </c>
    </row>
    <row r="6530" spans="1:7" x14ac:dyDescent="0.3">
      <c r="A6530" t="s">
        <v>33</v>
      </c>
      <c r="B6530">
        <v>2019</v>
      </c>
      <c r="C6530" t="s">
        <v>45</v>
      </c>
      <c r="D6530" s="2">
        <v>43770</v>
      </c>
      <c r="E6530" t="s">
        <v>25</v>
      </c>
      <c r="F6530">
        <v>136.69999999999999</v>
      </c>
      <c r="G6530" t="str">
        <f>VLOOKUP(Table1_2[[#This Row],[Categories]],Sheet3!$A$1:$B$27,2,FALSE)</f>
        <v>Recreation and amusement</v>
      </c>
    </row>
    <row r="6531" spans="1:7" x14ac:dyDescent="0.3">
      <c r="A6531" t="s">
        <v>33</v>
      </c>
      <c r="B6531">
        <v>2019</v>
      </c>
      <c r="C6531" t="s">
        <v>45</v>
      </c>
      <c r="D6531" s="2">
        <v>43770</v>
      </c>
      <c r="E6531" t="s">
        <v>26</v>
      </c>
      <c r="F6531">
        <v>151.80000000000001</v>
      </c>
      <c r="G6531" t="str">
        <f>VLOOKUP(Table1_2[[#This Row],[Categories]],Sheet3!$A$1:$B$27,2,FALSE)</f>
        <v>Education</v>
      </c>
    </row>
    <row r="6532" spans="1:7" x14ac:dyDescent="0.3">
      <c r="A6532" t="s">
        <v>33</v>
      </c>
      <c r="B6532">
        <v>2019</v>
      </c>
      <c r="C6532" t="s">
        <v>45</v>
      </c>
      <c r="D6532" s="2">
        <v>43770</v>
      </c>
      <c r="E6532" t="s">
        <v>27</v>
      </c>
      <c r="F6532">
        <v>139.80000000000001</v>
      </c>
      <c r="G6532" t="str">
        <f>VLOOKUP(Table1_2[[#This Row],[Categories]],Sheet3!$A$1:$B$27,2,FALSE)</f>
        <v>Household Items</v>
      </c>
    </row>
    <row r="6533" spans="1:7" x14ac:dyDescent="0.3">
      <c r="A6533" t="s">
        <v>33</v>
      </c>
      <c r="B6533">
        <v>2019</v>
      </c>
      <c r="C6533" t="s">
        <v>45</v>
      </c>
      <c r="D6533" s="2">
        <v>43770</v>
      </c>
      <c r="E6533" t="s">
        <v>28</v>
      </c>
      <c r="F6533">
        <v>136.30000000000001</v>
      </c>
      <c r="G6533" t="str">
        <f>VLOOKUP(Table1_2[[#This Row],[Categories]],Sheet3!$A$1:$B$27,2,FALSE)</f>
        <v>Miscellaneous</v>
      </c>
    </row>
    <row r="6534" spans="1:7" x14ac:dyDescent="0.3">
      <c r="A6534" t="s">
        <v>33</v>
      </c>
      <c r="B6534">
        <v>2019</v>
      </c>
      <c r="C6534" t="s">
        <v>45</v>
      </c>
      <c r="D6534" s="2">
        <v>43770</v>
      </c>
      <c r="E6534" t="s">
        <v>29</v>
      </c>
      <c r="F6534">
        <v>147</v>
      </c>
      <c r="G6534" t="str">
        <f>VLOOKUP(Table1_2[[#This Row],[Categories]],Sheet3!$A$1:$B$27,2,FALSE)</f>
        <v>General index</v>
      </c>
    </row>
    <row r="6535" spans="1:7" x14ac:dyDescent="0.3">
      <c r="A6535" t="s">
        <v>34</v>
      </c>
      <c r="B6535">
        <v>2019</v>
      </c>
      <c r="C6535" t="s">
        <v>45</v>
      </c>
      <c r="D6535" s="2">
        <v>43770</v>
      </c>
      <c r="E6535" t="s">
        <v>3</v>
      </c>
      <c r="F6535">
        <v>142.5</v>
      </c>
      <c r="G6535" t="str">
        <f>VLOOKUP(Table1_2[[#This Row],[Categories]],Sheet3!$A$1:$B$27,2,FALSE)</f>
        <v>Food &amp;Beverage</v>
      </c>
    </row>
    <row r="6536" spans="1:7" x14ac:dyDescent="0.3">
      <c r="A6536" t="s">
        <v>34</v>
      </c>
      <c r="B6536">
        <v>2019</v>
      </c>
      <c r="C6536" t="s">
        <v>45</v>
      </c>
      <c r="D6536" s="2">
        <v>43770</v>
      </c>
      <c r="E6536" t="s">
        <v>4</v>
      </c>
      <c r="F6536">
        <v>163.19999999999999</v>
      </c>
      <c r="G6536" t="str">
        <f>VLOOKUP(Table1_2[[#This Row],[Categories]],Sheet3!$A$1:$B$27,2,FALSE)</f>
        <v>Food &amp;Beverage</v>
      </c>
    </row>
    <row r="6537" spans="1:7" x14ac:dyDescent="0.3">
      <c r="A6537" t="s">
        <v>34</v>
      </c>
      <c r="B6537">
        <v>2019</v>
      </c>
      <c r="C6537" t="s">
        <v>45</v>
      </c>
      <c r="D6537" s="2">
        <v>43770</v>
      </c>
      <c r="E6537" t="s">
        <v>5</v>
      </c>
      <c r="F6537">
        <v>145.6</v>
      </c>
      <c r="G6537" t="str">
        <f>VLOOKUP(Table1_2[[#This Row],[Categories]],Sheet3!$A$1:$B$27,2,FALSE)</f>
        <v>Food &amp;Beverage</v>
      </c>
    </row>
    <row r="6538" spans="1:7" x14ac:dyDescent="0.3">
      <c r="A6538" t="s">
        <v>34</v>
      </c>
      <c r="B6538">
        <v>2019</v>
      </c>
      <c r="C6538" t="s">
        <v>45</v>
      </c>
      <c r="D6538" s="2">
        <v>43770</v>
      </c>
      <c r="E6538" t="s">
        <v>6</v>
      </c>
      <c r="F6538">
        <v>146.69999999999999</v>
      </c>
      <c r="G6538" t="str">
        <f>VLOOKUP(Table1_2[[#This Row],[Categories]],Sheet3!$A$1:$B$27,2,FALSE)</f>
        <v>Food &amp;Beverage</v>
      </c>
    </row>
    <row r="6539" spans="1:7" x14ac:dyDescent="0.3">
      <c r="A6539" t="s">
        <v>34</v>
      </c>
      <c r="B6539">
        <v>2019</v>
      </c>
      <c r="C6539" t="s">
        <v>45</v>
      </c>
      <c r="D6539" s="2">
        <v>43770</v>
      </c>
      <c r="E6539" t="s">
        <v>7</v>
      </c>
      <c r="F6539">
        <v>124.3</v>
      </c>
      <c r="G6539" t="str">
        <f>VLOOKUP(Table1_2[[#This Row],[Categories]],Sheet3!$A$1:$B$27,2,FALSE)</f>
        <v>Food &amp;Beverage</v>
      </c>
    </row>
    <row r="6540" spans="1:7" x14ac:dyDescent="0.3">
      <c r="A6540" t="s">
        <v>34</v>
      </c>
      <c r="B6540">
        <v>2019</v>
      </c>
      <c r="C6540" t="s">
        <v>45</v>
      </c>
      <c r="D6540" s="2">
        <v>43770</v>
      </c>
      <c r="E6540" t="s">
        <v>8</v>
      </c>
      <c r="F6540">
        <v>147.4</v>
      </c>
      <c r="G6540" t="str">
        <f>VLOOKUP(Table1_2[[#This Row],[Categories]],Sheet3!$A$1:$B$27,2,FALSE)</f>
        <v>Food &amp;Beverage</v>
      </c>
    </row>
    <row r="6541" spans="1:7" x14ac:dyDescent="0.3">
      <c r="A6541" t="s">
        <v>34</v>
      </c>
      <c r="B6541">
        <v>2019</v>
      </c>
      <c r="C6541" t="s">
        <v>45</v>
      </c>
      <c r="D6541" s="2">
        <v>43770</v>
      </c>
      <c r="E6541" t="s">
        <v>9</v>
      </c>
      <c r="F6541">
        <v>199.6</v>
      </c>
      <c r="G6541" t="str">
        <f>VLOOKUP(Table1_2[[#This Row],[Categories]],Sheet3!$A$1:$B$27,2,FALSE)</f>
        <v>Food &amp;Beverage</v>
      </c>
    </row>
    <row r="6542" spans="1:7" x14ac:dyDescent="0.3">
      <c r="A6542" t="s">
        <v>34</v>
      </c>
      <c r="B6542">
        <v>2019</v>
      </c>
      <c r="C6542" t="s">
        <v>45</v>
      </c>
      <c r="D6542" s="2">
        <v>43770</v>
      </c>
      <c r="E6542" t="s">
        <v>10</v>
      </c>
      <c r="F6542">
        <v>135.69999999999999</v>
      </c>
      <c r="G6542" t="str">
        <f>VLOOKUP(Table1_2[[#This Row],[Categories]],Sheet3!$A$1:$B$27,2,FALSE)</f>
        <v>Food &amp;Beverage</v>
      </c>
    </row>
    <row r="6543" spans="1:7" x14ac:dyDescent="0.3">
      <c r="A6543" t="s">
        <v>34</v>
      </c>
      <c r="B6543">
        <v>2019</v>
      </c>
      <c r="C6543" t="s">
        <v>45</v>
      </c>
      <c r="D6543" s="2">
        <v>43770</v>
      </c>
      <c r="E6543" t="s">
        <v>11</v>
      </c>
      <c r="F6543">
        <v>114.2</v>
      </c>
      <c r="G6543" t="str">
        <f>VLOOKUP(Table1_2[[#This Row],[Categories]],Sheet3!$A$1:$B$27,2,FALSE)</f>
        <v>Food &amp;Beverage</v>
      </c>
    </row>
    <row r="6544" spans="1:7" x14ac:dyDescent="0.3">
      <c r="A6544" t="s">
        <v>34</v>
      </c>
      <c r="B6544">
        <v>2019</v>
      </c>
      <c r="C6544" t="s">
        <v>45</v>
      </c>
      <c r="D6544" s="2">
        <v>43770</v>
      </c>
      <c r="E6544" t="s">
        <v>12</v>
      </c>
      <c r="F6544">
        <v>147</v>
      </c>
      <c r="G6544" t="str">
        <f>VLOOKUP(Table1_2[[#This Row],[Categories]],Sheet3!$A$1:$B$27,2,FALSE)</f>
        <v>Food &amp;Beverage</v>
      </c>
    </row>
    <row r="6545" spans="1:7" x14ac:dyDescent="0.3">
      <c r="A6545" t="s">
        <v>34</v>
      </c>
      <c r="B6545">
        <v>2019</v>
      </c>
      <c r="C6545" t="s">
        <v>45</v>
      </c>
      <c r="D6545" s="2">
        <v>43770</v>
      </c>
      <c r="E6545" t="s">
        <v>13</v>
      </c>
      <c r="F6545">
        <v>135.30000000000001</v>
      </c>
      <c r="G6545" t="str">
        <f>VLOOKUP(Table1_2[[#This Row],[Categories]],Sheet3!$A$1:$B$27,2,FALSE)</f>
        <v>Food &amp;Beverage</v>
      </c>
    </row>
    <row r="6546" spans="1:7" x14ac:dyDescent="0.3">
      <c r="A6546" t="s">
        <v>34</v>
      </c>
      <c r="B6546">
        <v>2019</v>
      </c>
      <c r="C6546" t="s">
        <v>45</v>
      </c>
      <c r="D6546" s="2">
        <v>43770</v>
      </c>
      <c r="E6546" t="s">
        <v>14</v>
      </c>
      <c r="F6546">
        <v>157.5</v>
      </c>
      <c r="G6546" t="str">
        <f>VLOOKUP(Table1_2[[#This Row],[Categories]],Sheet3!$A$1:$B$27,2,FALSE)</f>
        <v>Food &amp;Beverage</v>
      </c>
    </row>
    <row r="6547" spans="1:7" x14ac:dyDescent="0.3">
      <c r="A6547" t="s">
        <v>34</v>
      </c>
      <c r="B6547">
        <v>2019</v>
      </c>
      <c r="C6547" t="s">
        <v>45</v>
      </c>
      <c r="D6547" s="2">
        <v>43770</v>
      </c>
      <c r="E6547" t="s">
        <v>15</v>
      </c>
      <c r="F6547">
        <v>151.9</v>
      </c>
      <c r="G6547" t="str">
        <f>VLOOKUP(Table1_2[[#This Row],[Categories]],Sheet3!$A$1:$B$27,2,FALSE)</f>
        <v>Food &amp;Beverage</v>
      </c>
    </row>
    <row r="6548" spans="1:7" x14ac:dyDescent="0.3">
      <c r="A6548" t="s">
        <v>34</v>
      </c>
      <c r="B6548">
        <v>2019</v>
      </c>
      <c r="C6548" t="s">
        <v>45</v>
      </c>
      <c r="D6548" s="2">
        <v>43770</v>
      </c>
      <c r="E6548" t="s">
        <v>16</v>
      </c>
      <c r="F6548">
        <v>167.9</v>
      </c>
      <c r="G6548" t="str">
        <f>VLOOKUP(Table1_2[[#This Row],[Categories]],Sheet3!$A$1:$B$27,2,FALSE)</f>
        <v>Recreation and amusement</v>
      </c>
    </row>
    <row r="6549" spans="1:7" x14ac:dyDescent="0.3">
      <c r="A6549" t="s">
        <v>34</v>
      </c>
      <c r="B6549">
        <v>2019</v>
      </c>
      <c r="C6549" t="s">
        <v>45</v>
      </c>
      <c r="D6549" s="2">
        <v>43770</v>
      </c>
      <c r="E6549" t="s">
        <v>17</v>
      </c>
      <c r="F6549">
        <v>149.9</v>
      </c>
      <c r="G6549" t="str">
        <f>VLOOKUP(Table1_2[[#This Row],[Categories]],Sheet3!$A$1:$B$27,2,FALSE)</f>
        <v>Clothing and footwear</v>
      </c>
    </row>
    <row r="6550" spans="1:7" x14ac:dyDescent="0.3">
      <c r="A6550" t="s">
        <v>34</v>
      </c>
      <c r="B6550">
        <v>2019</v>
      </c>
      <c r="C6550" t="s">
        <v>45</v>
      </c>
      <c r="D6550" s="2">
        <v>43770</v>
      </c>
      <c r="E6550" t="s">
        <v>18</v>
      </c>
      <c r="F6550">
        <v>141</v>
      </c>
      <c r="G6550" t="str">
        <f>VLOOKUP(Table1_2[[#This Row],[Categories]],Sheet3!$A$1:$B$27,2,FALSE)</f>
        <v>Clothing and footwear</v>
      </c>
    </row>
    <row r="6551" spans="1:7" x14ac:dyDescent="0.3">
      <c r="A6551" t="s">
        <v>34</v>
      </c>
      <c r="B6551">
        <v>2019</v>
      </c>
      <c r="C6551" t="s">
        <v>45</v>
      </c>
      <c r="D6551" s="2">
        <v>43770</v>
      </c>
      <c r="E6551" t="s">
        <v>19</v>
      </c>
      <c r="F6551">
        <v>148.6</v>
      </c>
      <c r="G6551" t="str">
        <f>VLOOKUP(Table1_2[[#This Row],[Categories]],Sheet3!$A$1:$B$27,2,FALSE)</f>
        <v>Clothing and footwear</v>
      </c>
    </row>
    <row r="6552" spans="1:7" x14ac:dyDescent="0.3">
      <c r="A6552" t="s">
        <v>34</v>
      </c>
      <c r="B6552">
        <v>2019</v>
      </c>
      <c r="C6552" t="s">
        <v>45</v>
      </c>
      <c r="D6552" s="2">
        <v>43770</v>
      </c>
      <c r="E6552" t="s">
        <v>20</v>
      </c>
      <c r="F6552">
        <v>153.5</v>
      </c>
      <c r="G6552" t="str">
        <f>VLOOKUP(Table1_2[[#This Row],[Categories]],Sheet3!$A$1:$B$27,2,FALSE)</f>
        <v>Housing</v>
      </c>
    </row>
    <row r="6553" spans="1:7" x14ac:dyDescent="0.3">
      <c r="A6553" t="s">
        <v>34</v>
      </c>
      <c r="B6553">
        <v>2019</v>
      </c>
      <c r="C6553" t="s">
        <v>45</v>
      </c>
      <c r="D6553" s="2">
        <v>43770</v>
      </c>
      <c r="E6553" t="s">
        <v>21</v>
      </c>
      <c r="F6553">
        <v>142.30000000000001</v>
      </c>
      <c r="G6553" t="str">
        <f>VLOOKUP(Table1_2[[#This Row],[Categories]],Sheet3!$A$1:$B$27,2,FALSE)</f>
        <v>Fuel and light</v>
      </c>
    </row>
    <row r="6554" spans="1:7" x14ac:dyDescent="0.3">
      <c r="A6554" t="s">
        <v>34</v>
      </c>
      <c r="B6554">
        <v>2019</v>
      </c>
      <c r="C6554" t="s">
        <v>45</v>
      </c>
      <c r="D6554" s="2">
        <v>43770</v>
      </c>
      <c r="E6554" t="s">
        <v>22</v>
      </c>
      <c r="F6554">
        <v>145.30000000000001</v>
      </c>
      <c r="G6554" t="str">
        <f>VLOOKUP(Table1_2[[#This Row],[Categories]],Sheet3!$A$1:$B$27,2,FALSE)</f>
        <v>Household Items</v>
      </c>
    </row>
    <row r="6555" spans="1:7" x14ac:dyDescent="0.3">
      <c r="A6555" t="s">
        <v>34</v>
      </c>
      <c r="B6555">
        <v>2019</v>
      </c>
      <c r="C6555" t="s">
        <v>45</v>
      </c>
      <c r="D6555" s="2">
        <v>43770</v>
      </c>
      <c r="E6555" t="s">
        <v>23</v>
      </c>
      <c r="F6555">
        <v>149.9</v>
      </c>
      <c r="G6555" t="str">
        <f>VLOOKUP(Table1_2[[#This Row],[Categories]],Sheet3!$A$1:$B$27,2,FALSE)</f>
        <v>Health</v>
      </c>
    </row>
    <row r="6556" spans="1:7" x14ac:dyDescent="0.3">
      <c r="A6556" t="s">
        <v>34</v>
      </c>
      <c r="B6556">
        <v>2019</v>
      </c>
      <c r="C6556" t="s">
        <v>45</v>
      </c>
      <c r="D6556" s="2">
        <v>43770</v>
      </c>
      <c r="E6556" t="s">
        <v>24</v>
      </c>
      <c r="F6556">
        <v>126.6</v>
      </c>
      <c r="G6556" t="str">
        <f>VLOOKUP(Table1_2[[#This Row],[Categories]],Sheet3!$A$1:$B$27,2,FALSE)</f>
        <v>Transport and communication</v>
      </c>
    </row>
    <row r="6557" spans="1:7" x14ac:dyDescent="0.3">
      <c r="A6557" t="s">
        <v>34</v>
      </c>
      <c r="B6557">
        <v>2019</v>
      </c>
      <c r="C6557" t="s">
        <v>45</v>
      </c>
      <c r="D6557" s="2">
        <v>43770</v>
      </c>
      <c r="E6557" t="s">
        <v>25</v>
      </c>
      <c r="F6557">
        <v>142.1</v>
      </c>
      <c r="G6557" t="str">
        <f>VLOOKUP(Table1_2[[#This Row],[Categories]],Sheet3!$A$1:$B$27,2,FALSE)</f>
        <v>Recreation and amusement</v>
      </c>
    </row>
    <row r="6558" spans="1:7" x14ac:dyDescent="0.3">
      <c r="A6558" t="s">
        <v>34</v>
      </c>
      <c r="B6558">
        <v>2019</v>
      </c>
      <c r="C6558" t="s">
        <v>45</v>
      </c>
      <c r="D6558" s="2">
        <v>43770</v>
      </c>
      <c r="E6558" t="s">
        <v>26</v>
      </c>
      <c r="F6558">
        <v>155.5</v>
      </c>
      <c r="G6558" t="str">
        <f>VLOOKUP(Table1_2[[#This Row],[Categories]],Sheet3!$A$1:$B$27,2,FALSE)</f>
        <v>Education</v>
      </c>
    </row>
    <row r="6559" spans="1:7" x14ac:dyDescent="0.3">
      <c r="A6559" t="s">
        <v>34</v>
      </c>
      <c r="B6559">
        <v>2019</v>
      </c>
      <c r="C6559" t="s">
        <v>45</v>
      </c>
      <c r="D6559" s="2">
        <v>43770</v>
      </c>
      <c r="E6559" t="s">
        <v>27</v>
      </c>
      <c r="F6559">
        <v>140.30000000000001</v>
      </c>
      <c r="G6559" t="str">
        <f>VLOOKUP(Table1_2[[#This Row],[Categories]],Sheet3!$A$1:$B$27,2,FALSE)</f>
        <v>Household Items</v>
      </c>
    </row>
    <row r="6560" spans="1:7" x14ac:dyDescent="0.3">
      <c r="A6560" t="s">
        <v>34</v>
      </c>
      <c r="B6560">
        <v>2019</v>
      </c>
      <c r="C6560" t="s">
        <v>45</v>
      </c>
      <c r="D6560" s="2">
        <v>43770</v>
      </c>
      <c r="E6560" t="s">
        <v>28</v>
      </c>
      <c r="F6560">
        <v>141.30000000000001</v>
      </c>
      <c r="G6560" t="str">
        <f>VLOOKUP(Table1_2[[#This Row],[Categories]],Sheet3!$A$1:$B$27,2,FALSE)</f>
        <v>Miscellaneous</v>
      </c>
    </row>
    <row r="6561" spans="1:7" x14ac:dyDescent="0.3">
      <c r="A6561" t="s">
        <v>34</v>
      </c>
      <c r="B6561">
        <v>2019</v>
      </c>
      <c r="C6561" t="s">
        <v>45</v>
      </c>
      <c r="D6561" s="2">
        <v>43770</v>
      </c>
      <c r="E6561" t="s">
        <v>29</v>
      </c>
      <c r="F6561">
        <v>148.6</v>
      </c>
      <c r="G6561" t="str">
        <f>VLOOKUP(Table1_2[[#This Row],[Categories]],Sheet3!$A$1:$B$27,2,FALSE)</f>
        <v>General index</v>
      </c>
    </row>
    <row r="6562" spans="1:7" x14ac:dyDescent="0.3">
      <c r="A6562" t="s">
        <v>30</v>
      </c>
      <c r="B6562">
        <v>2019</v>
      </c>
      <c r="C6562" t="s">
        <v>46</v>
      </c>
      <c r="D6562" s="2">
        <v>43800</v>
      </c>
      <c r="E6562" t="s">
        <v>3</v>
      </c>
      <c r="F6562">
        <v>142.80000000000001</v>
      </c>
      <c r="G6562" t="str">
        <f>VLOOKUP(Table1_2[[#This Row],[Categories]],Sheet3!$A$1:$B$27,2,FALSE)</f>
        <v>Food &amp;Beverage</v>
      </c>
    </row>
    <row r="6563" spans="1:7" x14ac:dyDescent="0.3">
      <c r="A6563" t="s">
        <v>30</v>
      </c>
      <c r="B6563">
        <v>2019</v>
      </c>
      <c r="C6563" t="s">
        <v>46</v>
      </c>
      <c r="D6563" s="2">
        <v>43800</v>
      </c>
      <c r="E6563" t="s">
        <v>4</v>
      </c>
      <c r="F6563">
        <v>165.3</v>
      </c>
      <c r="G6563" t="str">
        <f>VLOOKUP(Table1_2[[#This Row],[Categories]],Sheet3!$A$1:$B$27,2,FALSE)</f>
        <v>Food &amp;Beverage</v>
      </c>
    </row>
    <row r="6564" spans="1:7" x14ac:dyDescent="0.3">
      <c r="A6564" t="s">
        <v>30</v>
      </c>
      <c r="B6564">
        <v>2019</v>
      </c>
      <c r="C6564" t="s">
        <v>46</v>
      </c>
      <c r="D6564" s="2">
        <v>43800</v>
      </c>
      <c r="E6564" t="s">
        <v>5</v>
      </c>
      <c r="F6564">
        <v>149.5</v>
      </c>
      <c r="G6564" t="str">
        <f>VLOOKUP(Table1_2[[#This Row],[Categories]],Sheet3!$A$1:$B$27,2,FALSE)</f>
        <v>Food &amp;Beverage</v>
      </c>
    </row>
    <row r="6565" spans="1:7" x14ac:dyDescent="0.3">
      <c r="A6565" t="s">
        <v>30</v>
      </c>
      <c r="B6565">
        <v>2019</v>
      </c>
      <c r="C6565" t="s">
        <v>46</v>
      </c>
      <c r="D6565" s="2">
        <v>43800</v>
      </c>
      <c r="E6565" t="s">
        <v>6</v>
      </c>
      <c r="F6565">
        <v>148.69999999999999</v>
      </c>
      <c r="G6565" t="str">
        <f>VLOOKUP(Table1_2[[#This Row],[Categories]],Sheet3!$A$1:$B$27,2,FALSE)</f>
        <v>Food &amp;Beverage</v>
      </c>
    </row>
    <row r="6566" spans="1:7" x14ac:dyDescent="0.3">
      <c r="A6566" t="s">
        <v>30</v>
      </c>
      <c r="B6566">
        <v>2019</v>
      </c>
      <c r="C6566" t="s">
        <v>46</v>
      </c>
      <c r="D6566" s="2">
        <v>43800</v>
      </c>
      <c r="E6566" t="s">
        <v>7</v>
      </c>
      <c r="F6566">
        <v>127.5</v>
      </c>
      <c r="G6566" t="str">
        <f>VLOOKUP(Table1_2[[#This Row],[Categories]],Sheet3!$A$1:$B$27,2,FALSE)</f>
        <v>Food &amp;Beverage</v>
      </c>
    </row>
    <row r="6567" spans="1:7" x14ac:dyDescent="0.3">
      <c r="A6567" t="s">
        <v>30</v>
      </c>
      <c r="B6567">
        <v>2019</v>
      </c>
      <c r="C6567" t="s">
        <v>46</v>
      </c>
      <c r="D6567" s="2">
        <v>43800</v>
      </c>
      <c r="E6567" t="s">
        <v>8</v>
      </c>
      <c r="F6567">
        <v>144.30000000000001</v>
      </c>
      <c r="G6567" t="str">
        <f>VLOOKUP(Table1_2[[#This Row],[Categories]],Sheet3!$A$1:$B$27,2,FALSE)</f>
        <v>Food &amp;Beverage</v>
      </c>
    </row>
    <row r="6568" spans="1:7" x14ac:dyDescent="0.3">
      <c r="A6568" t="s">
        <v>30</v>
      </c>
      <c r="B6568">
        <v>2019</v>
      </c>
      <c r="C6568" t="s">
        <v>46</v>
      </c>
      <c r="D6568" s="2">
        <v>43800</v>
      </c>
      <c r="E6568" t="s">
        <v>9</v>
      </c>
      <c r="F6568">
        <v>209.5</v>
      </c>
      <c r="G6568" t="str">
        <f>VLOOKUP(Table1_2[[#This Row],[Categories]],Sheet3!$A$1:$B$27,2,FALSE)</f>
        <v>Food &amp;Beverage</v>
      </c>
    </row>
    <row r="6569" spans="1:7" x14ac:dyDescent="0.3">
      <c r="A6569" t="s">
        <v>30</v>
      </c>
      <c r="B6569">
        <v>2019</v>
      </c>
      <c r="C6569" t="s">
        <v>46</v>
      </c>
      <c r="D6569" s="2">
        <v>43800</v>
      </c>
      <c r="E6569" t="s">
        <v>10</v>
      </c>
      <c r="F6569">
        <v>138.80000000000001</v>
      </c>
      <c r="G6569" t="str">
        <f>VLOOKUP(Table1_2[[#This Row],[Categories]],Sheet3!$A$1:$B$27,2,FALSE)</f>
        <v>Food &amp;Beverage</v>
      </c>
    </row>
    <row r="6570" spans="1:7" x14ac:dyDescent="0.3">
      <c r="A6570" t="s">
        <v>30</v>
      </c>
      <c r="B6570">
        <v>2019</v>
      </c>
      <c r="C6570" t="s">
        <v>46</v>
      </c>
      <c r="D6570" s="2">
        <v>43800</v>
      </c>
      <c r="E6570" t="s">
        <v>11</v>
      </c>
      <c r="F6570">
        <v>113.6</v>
      </c>
      <c r="G6570" t="str">
        <f>VLOOKUP(Table1_2[[#This Row],[Categories]],Sheet3!$A$1:$B$27,2,FALSE)</f>
        <v>Food &amp;Beverage</v>
      </c>
    </row>
    <row r="6571" spans="1:7" x14ac:dyDescent="0.3">
      <c r="A6571" t="s">
        <v>30</v>
      </c>
      <c r="B6571">
        <v>2019</v>
      </c>
      <c r="C6571" t="s">
        <v>46</v>
      </c>
      <c r="D6571" s="2">
        <v>43800</v>
      </c>
      <c r="E6571" t="s">
        <v>12</v>
      </c>
      <c r="F6571">
        <v>149.1</v>
      </c>
      <c r="G6571" t="str">
        <f>VLOOKUP(Table1_2[[#This Row],[Categories]],Sheet3!$A$1:$B$27,2,FALSE)</f>
        <v>Food &amp;Beverage</v>
      </c>
    </row>
    <row r="6572" spans="1:7" x14ac:dyDescent="0.3">
      <c r="A6572" t="s">
        <v>30</v>
      </c>
      <c r="B6572">
        <v>2019</v>
      </c>
      <c r="C6572" t="s">
        <v>46</v>
      </c>
      <c r="D6572" s="2">
        <v>43800</v>
      </c>
      <c r="E6572" t="s">
        <v>13</v>
      </c>
      <c r="F6572">
        <v>139.30000000000001</v>
      </c>
      <c r="G6572" t="str">
        <f>VLOOKUP(Table1_2[[#This Row],[Categories]],Sheet3!$A$1:$B$27,2,FALSE)</f>
        <v>Food &amp;Beverage</v>
      </c>
    </row>
    <row r="6573" spans="1:7" x14ac:dyDescent="0.3">
      <c r="A6573" t="s">
        <v>30</v>
      </c>
      <c r="B6573">
        <v>2019</v>
      </c>
      <c r="C6573" t="s">
        <v>46</v>
      </c>
      <c r="D6573" s="2">
        <v>43800</v>
      </c>
      <c r="E6573" t="s">
        <v>14</v>
      </c>
      <c r="F6573">
        <v>158.30000000000001</v>
      </c>
      <c r="G6573" t="str">
        <f>VLOOKUP(Table1_2[[#This Row],[Categories]],Sheet3!$A$1:$B$27,2,FALSE)</f>
        <v>Food &amp;Beverage</v>
      </c>
    </row>
    <row r="6574" spans="1:7" x14ac:dyDescent="0.3">
      <c r="A6574" t="s">
        <v>30</v>
      </c>
      <c r="B6574">
        <v>2019</v>
      </c>
      <c r="C6574" t="s">
        <v>46</v>
      </c>
      <c r="D6574" s="2">
        <v>43800</v>
      </c>
      <c r="E6574" t="s">
        <v>15</v>
      </c>
      <c r="F6574">
        <v>154.30000000000001</v>
      </c>
      <c r="G6574" t="str">
        <f>VLOOKUP(Table1_2[[#This Row],[Categories]],Sheet3!$A$1:$B$27,2,FALSE)</f>
        <v>Food &amp;Beverage</v>
      </c>
    </row>
    <row r="6575" spans="1:7" x14ac:dyDescent="0.3">
      <c r="A6575" t="s">
        <v>30</v>
      </c>
      <c r="B6575">
        <v>2019</v>
      </c>
      <c r="C6575" t="s">
        <v>46</v>
      </c>
      <c r="D6575" s="2">
        <v>43800</v>
      </c>
      <c r="E6575" t="s">
        <v>16</v>
      </c>
      <c r="F6575">
        <v>167.8</v>
      </c>
      <c r="G6575" t="str">
        <f>VLOOKUP(Table1_2[[#This Row],[Categories]],Sheet3!$A$1:$B$27,2,FALSE)</f>
        <v>Recreation and amusement</v>
      </c>
    </row>
    <row r="6576" spans="1:7" x14ac:dyDescent="0.3">
      <c r="A6576" t="s">
        <v>30</v>
      </c>
      <c r="B6576">
        <v>2019</v>
      </c>
      <c r="C6576" t="s">
        <v>46</v>
      </c>
      <c r="D6576" s="2">
        <v>43800</v>
      </c>
      <c r="E6576" t="s">
        <v>17</v>
      </c>
      <c r="F6576">
        <v>152.6</v>
      </c>
      <c r="G6576" t="str">
        <f>VLOOKUP(Table1_2[[#This Row],[Categories]],Sheet3!$A$1:$B$27,2,FALSE)</f>
        <v>Clothing and footwear</v>
      </c>
    </row>
    <row r="6577" spans="1:7" x14ac:dyDescent="0.3">
      <c r="A6577" t="s">
        <v>30</v>
      </c>
      <c r="B6577">
        <v>2019</v>
      </c>
      <c r="C6577" t="s">
        <v>46</v>
      </c>
      <c r="D6577" s="2">
        <v>43800</v>
      </c>
      <c r="E6577" t="s">
        <v>18</v>
      </c>
      <c r="F6577">
        <v>147.30000000000001</v>
      </c>
      <c r="G6577" t="str">
        <f>VLOOKUP(Table1_2[[#This Row],[Categories]],Sheet3!$A$1:$B$27,2,FALSE)</f>
        <v>Clothing and footwear</v>
      </c>
    </row>
    <row r="6578" spans="1:7" x14ac:dyDescent="0.3">
      <c r="A6578" t="s">
        <v>30</v>
      </c>
      <c r="B6578">
        <v>2019</v>
      </c>
      <c r="C6578" t="s">
        <v>46</v>
      </c>
      <c r="D6578" s="2">
        <v>43800</v>
      </c>
      <c r="E6578" t="s">
        <v>19</v>
      </c>
      <c r="F6578">
        <v>151.9</v>
      </c>
      <c r="G6578" t="str">
        <f>VLOOKUP(Table1_2[[#This Row],[Categories]],Sheet3!$A$1:$B$27,2,FALSE)</f>
        <v>Clothing and footwear</v>
      </c>
    </row>
    <row r="6579" spans="1:7" x14ac:dyDescent="0.3">
      <c r="A6579" t="s">
        <v>30</v>
      </c>
      <c r="B6579">
        <v>2019</v>
      </c>
      <c r="C6579" t="s">
        <v>46</v>
      </c>
      <c r="D6579" s="2">
        <v>43800</v>
      </c>
      <c r="E6579" t="s">
        <v>21</v>
      </c>
      <c r="F6579">
        <v>149.9</v>
      </c>
      <c r="G6579" t="str">
        <f>VLOOKUP(Table1_2[[#This Row],[Categories]],Sheet3!$A$1:$B$27,2,FALSE)</f>
        <v>Fuel and light</v>
      </c>
    </row>
    <row r="6580" spans="1:7" x14ac:dyDescent="0.3">
      <c r="A6580" t="s">
        <v>30</v>
      </c>
      <c r="B6580">
        <v>2019</v>
      </c>
      <c r="C6580" t="s">
        <v>46</v>
      </c>
      <c r="D6580" s="2">
        <v>43800</v>
      </c>
      <c r="E6580" t="s">
        <v>22</v>
      </c>
      <c r="F6580">
        <v>151.19999999999999</v>
      </c>
      <c r="G6580" t="str">
        <f>VLOOKUP(Table1_2[[#This Row],[Categories]],Sheet3!$A$1:$B$27,2,FALSE)</f>
        <v>Household Items</v>
      </c>
    </row>
    <row r="6581" spans="1:7" x14ac:dyDescent="0.3">
      <c r="A6581" t="s">
        <v>30</v>
      </c>
      <c r="B6581">
        <v>2019</v>
      </c>
      <c r="C6581" t="s">
        <v>46</v>
      </c>
      <c r="D6581" s="2">
        <v>43800</v>
      </c>
      <c r="E6581" t="s">
        <v>23</v>
      </c>
      <c r="F6581">
        <v>154.80000000000001</v>
      </c>
      <c r="G6581" t="str">
        <f>VLOOKUP(Table1_2[[#This Row],[Categories]],Sheet3!$A$1:$B$27,2,FALSE)</f>
        <v>Health</v>
      </c>
    </row>
    <row r="6582" spans="1:7" x14ac:dyDescent="0.3">
      <c r="A6582" t="s">
        <v>30</v>
      </c>
      <c r="B6582">
        <v>2019</v>
      </c>
      <c r="C6582" t="s">
        <v>46</v>
      </c>
      <c r="D6582" s="2">
        <v>43800</v>
      </c>
      <c r="E6582" t="s">
        <v>24</v>
      </c>
      <c r="F6582">
        <v>135</v>
      </c>
      <c r="G6582" t="str">
        <f>VLOOKUP(Table1_2[[#This Row],[Categories]],Sheet3!$A$1:$B$27,2,FALSE)</f>
        <v>Transport and communication</v>
      </c>
    </row>
    <row r="6583" spans="1:7" x14ac:dyDescent="0.3">
      <c r="A6583" t="s">
        <v>30</v>
      </c>
      <c r="B6583">
        <v>2019</v>
      </c>
      <c r="C6583" t="s">
        <v>46</v>
      </c>
      <c r="D6583" s="2">
        <v>43800</v>
      </c>
      <c r="E6583" t="s">
        <v>25</v>
      </c>
      <c r="F6583">
        <v>149.5</v>
      </c>
      <c r="G6583" t="str">
        <f>VLOOKUP(Table1_2[[#This Row],[Categories]],Sheet3!$A$1:$B$27,2,FALSE)</f>
        <v>Recreation and amusement</v>
      </c>
    </row>
    <row r="6584" spans="1:7" x14ac:dyDescent="0.3">
      <c r="A6584" t="s">
        <v>30</v>
      </c>
      <c r="B6584">
        <v>2019</v>
      </c>
      <c r="C6584" t="s">
        <v>46</v>
      </c>
      <c r="D6584" s="2">
        <v>43800</v>
      </c>
      <c r="E6584" t="s">
        <v>26</v>
      </c>
      <c r="F6584">
        <v>161.1</v>
      </c>
      <c r="G6584" t="str">
        <f>VLOOKUP(Table1_2[[#This Row],[Categories]],Sheet3!$A$1:$B$27,2,FALSE)</f>
        <v>Education</v>
      </c>
    </row>
    <row r="6585" spans="1:7" x14ac:dyDescent="0.3">
      <c r="A6585" t="s">
        <v>30</v>
      </c>
      <c r="B6585">
        <v>2019</v>
      </c>
      <c r="C6585" t="s">
        <v>46</v>
      </c>
      <c r="D6585" s="2">
        <v>43800</v>
      </c>
      <c r="E6585" t="s">
        <v>27</v>
      </c>
      <c r="F6585">
        <v>140.6</v>
      </c>
      <c r="G6585" t="str">
        <f>VLOOKUP(Table1_2[[#This Row],[Categories]],Sheet3!$A$1:$B$27,2,FALSE)</f>
        <v>Household Items</v>
      </c>
    </row>
    <row r="6586" spans="1:7" x14ac:dyDescent="0.3">
      <c r="A6586" t="s">
        <v>30</v>
      </c>
      <c r="B6586">
        <v>2019</v>
      </c>
      <c r="C6586" t="s">
        <v>46</v>
      </c>
      <c r="D6586" s="2">
        <v>43800</v>
      </c>
      <c r="E6586" t="s">
        <v>28</v>
      </c>
      <c r="F6586">
        <v>147.1</v>
      </c>
      <c r="G6586" t="str">
        <f>VLOOKUP(Table1_2[[#This Row],[Categories]],Sheet3!$A$1:$B$27,2,FALSE)</f>
        <v>Miscellaneous</v>
      </c>
    </row>
    <row r="6587" spans="1:7" x14ac:dyDescent="0.3">
      <c r="A6587" t="s">
        <v>30</v>
      </c>
      <c r="B6587">
        <v>2019</v>
      </c>
      <c r="C6587" t="s">
        <v>46</v>
      </c>
      <c r="D6587" s="2">
        <v>43800</v>
      </c>
      <c r="E6587" t="s">
        <v>29</v>
      </c>
      <c r="F6587">
        <v>152.30000000000001</v>
      </c>
      <c r="G6587" t="str">
        <f>VLOOKUP(Table1_2[[#This Row],[Categories]],Sheet3!$A$1:$B$27,2,FALSE)</f>
        <v>General index</v>
      </c>
    </row>
    <row r="6588" spans="1:7" x14ac:dyDescent="0.3">
      <c r="A6588" t="s">
        <v>33</v>
      </c>
      <c r="B6588">
        <v>2019</v>
      </c>
      <c r="C6588" t="s">
        <v>46</v>
      </c>
      <c r="D6588" s="2">
        <v>43800</v>
      </c>
      <c r="E6588" t="s">
        <v>3</v>
      </c>
      <c r="F6588">
        <v>144.9</v>
      </c>
      <c r="G6588" t="str">
        <f>VLOOKUP(Table1_2[[#This Row],[Categories]],Sheet3!$A$1:$B$27,2,FALSE)</f>
        <v>Food &amp;Beverage</v>
      </c>
    </row>
    <row r="6589" spans="1:7" x14ac:dyDescent="0.3">
      <c r="A6589" t="s">
        <v>33</v>
      </c>
      <c r="B6589">
        <v>2019</v>
      </c>
      <c r="C6589" t="s">
        <v>46</v>
      </c>
      <c r="D6589" s="2">
        <v>43800</v>
      </c>
      <c r="E6589" t="s">
        <v>4</v>
      </c>
      <c r="F6589">
        <v>164.5</v>
      </c>
      <c r="G6589" t="str">
        <f>VLOOKUP(Table1_2[[#This Row],[Categories]],Sheet3!$A$1:$B$27,2,FALSE)</f>
        <v>Food &amp;Beverage</v>
      </c>
    </row>
    <row r="6590" spans="1:7" x14ac:dyDescent="0.3">
      <c r="A6590" t="s">
        <v>33</v>
      </c>
      <c r="B6590">
        <v>2019</v>
      </c>
      <c r="C6590" t="s">
        <v>46</v>
      </c>
      <c r="D6590" s="2">
        <v>43800</v>
      </c>
      <c r="E6590" t="s">
        <v>5</v>
      </c>
      <c r="F6590">
        <v>153.69999999999999</v>
      </c>
      <c r="G6590" t="str">
        <f>VLOOKUP(Table1_2[[#This Row],[Categories]],Sheet3!$A$1:$B$27,2,FALSE)</f>
        <v>Food &amp;Beverage</v>
      </c>
    </row>
    <row r="6591" spans="1:7" x14ac:dyDescent="0.3">
      <c r="A6591" t="s">
        <v>33</v>
      </c>
      <c r="B6591">
        <v>2019</v>
      </c>
      <c r="C6591" t="s">
        <v>46</v>
      </c>
      <c r="D6591" s="2">
        <v>43800</v>
      </c>
      <c r="E6591" t="s">
        <v>6</v>
      </c>
      <c r="F6591">
        <v>147.5</v>
      </c>
      <c r="G6591" t="str">
        <f>VLOOKUP(Table1_2[[#This Row],[Categories]],Sheet3!$A$1:$B$27,2,FALSE)</f>
        <v>Food &amp;Beverage</v>
      </c>
    </row>
    <row r="6592" spans="1:7" x14ac:dyDescent="0.3">
      <c r="A6592" t="s">
        <v>33</v>
      </c>
      <c r="B6592">
        <v>2019</v>
      </c>
      <c r="C6592" t="s">
        <v>46</v>
      </c>
      <c r="D6592" s="2">
        <v>43800</v>
      </c>
      <c r="E6592" t="s">
        <v>7</v>
      </c>
      <c r="F6592">
        <v>122.7</v>
      </c>
      <c r="G6592" t="str">
        <f>VLOOKUP(Table1_2[[#This Row],[Categories]],Sheet3!$A$1:$B$27,2,FALSE)</f>
        <v>Food &amp;Beverage</v>
      </c>
    </row>
    <row r="6593" spans="1:7" x14ac:dyDescent="0.3">
      <c r="A6593" t="s">
        <v>33</v>
      </c>
      <c r="B6593">
        <v>2019</v>
      </c>
      <c r="C6593" t="s">
        <v>46</v>
      </c>
      <c r="D6593" s="2">
        <v>43800</v>
      </c>
      <c r="E6593" t="s">
        <v>8</v>
      </c>
      <c r="F6593">
        <v>147.19999999999999</v>
      </c>
      <c r="G6593" t="str">
        <f>VLOOKUP(Table1_2[[#This Row],[Categories]],Sheet3!$A$1:$B$27,2,FALSE)</f>
        <v>Food &amp;Beverage</v>
      </c>
    </row>
    <row r="6594" spans="1:7" x14ac:dyDescent="0.3">
      <c r="A6594" t="s">
        <v>33</v>
      </c>
      <c r="B6594">
        <v>2019</v>
      </c>
      <c r="C6594" t="s">
        <v>46</v>
      </c>
      <c r="D6594" s="2">
        <v>43800</v>
      </c>
      <c r="E6594" t="s">
        <v>9</v>
      </c>
      <c r="F6594">
        <v>231.5</v>
      </c>
      <c r="G6594" t="str">
        <f>VLOOKUP(Table1_2[[#This Row],[Categories]],Sheet3!$A$1:$B$27,2,FALSE)</f>
        <v>Food &amp;Beverage</v>
      </c>
    </row>
    <row r="6595" spans="1:7" x14ac:dyDescent="0.3">
      <c r="A6595" t="s">
        <v>33</v>
      </c>
      <c r="B6595">
        <v>2019</v>
      </c>
      <c r="C6595" t="s">
        <v>46</v>
      </c>
      <c r="D6595" s="2">
        <v>43800</v>
      </c>
      <c r="E6595" t="s">
        <v>10</v>
      </c>
      <c r="F6595">
        <v>137.19999999999999</v>
      </c>
      <c r="G6595" t="str">
        <f>VLOOKUP(Table1_2[[#This Row],[Categories]],Sheet3!$A$1:$B$27,2,FALSE)</f>
        <v>Food &amp;Beverage</v>
      </c>
    </row>
    <row r="6596" spans="1:7" x14ac:dyDescent="0.3">
      <c r="A6596" t="s">
        <v>33</v>
      </c>
      <c r="B6596">
        <v>2019</v>
      </c>
      <c r="C6596" t="s">
        <v>46</v>
      </c>
      <c r="D6596" s="2">
        <v>43800</v>
      </c>
      <c r="E6596" t="s">
        <v>11</v>
      </c>
      <c r="F6596">
        <v>114.7</v>
      </c>
      <c r="G6596" t="str">
        <f>VLOOKUP(Table1_2[[#This Row],[Categories]],Sheet3!$A$1:$B$27,2,FALSE)</f>
        <v>Food &amp;Beverage</v>
      </c>
    </row>
    <row r="6597" spans="1:7" x14ac:dyDescent="0.3">
      <c r="A6597" t="s">
        <v>33</v>
      </c>
      <c r="B6597">
        <v>2019</v>
      </c>
      <c r="C6597" t="s">
        <v>46</v>
      </c>
      <c r="D6597" s="2">
        <v>43800</v>
      </c>
      <c r="E6597" t="s">
        <v>12</v>
      </c>
      <c r="F6597">
        <v>148</v>
      </c>
      <c r="G6597" t="str">
        <f>VLOOKUP(Table1_2[[#This Row],[Categories]],Sheet3!$A$1:$B$27,2,FALSE)</f>
        <v>Food &amp;Beverage</v>
      </c>
    </row>
    <row r="6598" spans="1:7" x14ac:dyDescent="0.3">
      <c r="A6598" t="s">
        <v>33</v>
      </c>
      <c r="B6598">
        <v>2019</v>
      </c>
      <c r="C6598" t="s">
        <v>46</v>
      </c>
      <c r="D6598" s="2">
        <v>43800</v>
      </c>
      <c r="E6598" t="s">
        <v>13</v>
      </c>
      <c r="F6598">
        <v>130.80000000000001</v>
      </c>
      <c r="G6598" t="str">
        <f>VLOOKUP(Table1_2[[#This Row],[Categories]],Sheet3!$A$1:$B$27,2,FALSE)</f>
        <v>Food &amp;Beverage</v>
      </c>
    </row>
    <row r="6599" spans="1:7" x14ac:dyDescent="0.3">
      <c r="A6599" t="s">
        <v>33</v>
      </c>
      <c r="B6599">
        <v>2019</v>
      </c>
      <c r="C6599" t="s">
        <v>46</v>
      </c>
      <c r="D6599" s="2">
        <v>43800</v>
      </c>
      <c r="E6599" t="s">
        <v>14</v>
      </c>
      <c r="F6599">
        <v>157.69999999999999</v>
      </c>
      <c r="G6599" t="str">
        <f>VLOOKUP(Table1_2[[#This Row],[Categories]],Sheet3!$A$1:$B$27,2,FALSE)</f>
        <v>Food &amp;Beverage</v>
      </c>
    </row>
    <row r="6600" spans="1:7" x14ac:dyDescent="0.3">
      <c r="A6600" t="s">
        <v>33</v>
      </c>
      <c r="B6600">
        <v>2019</v>
      </c>
      <c r="C6600" t="s">
        <v>46</v>
      </c>
      <c r="D6600" s="2">
        <v>43800</v>
      </c>
      <c r="E6600" t="s">
        <v>15</v>
      </c>
      <c r="F6600">
        <v>156.30000000000001</v>
      </c>
      <c r="G6600" t="str">
        <f>VLOOKUP(Table1_2[[#This Row],[Categories]],Sheet3!$A$1:$B$27,2,FALSE)</f>
        <v>Food &amp;Beverage</v>
      </c>
    </row>
    <row r="6601" spans="1:7" x14ac:dyDescent="0.3">
      <c r="A6601" t="s">
        <v>33</v>
      </c>
      <c r="B6601">
        <v>2019</v>
      </c>
      <c r="C6601" t="s">
        <v>46</v>
      </c>
      <c r="D6601" s="2">
        <v>43800</v>
      </c>
      <c r="E6601" t="s">
        <v>16</v>
      </c>
      <c r="F6601">
        <v>170.4</v>
      </c>
      <c r="G6601" t="str">
        <f>VLOOKUP(Table1_2[[#This Row],[Categories]],Sheet3!$A$1:$B$27,2,FALSE)</f>
        <v>Recreation and amusement</v>
      </c>
    </row>
    <row r="6602" spans="1:7" x14ac:dyDescent="0.3">
      <c r="A6602" t="s">
        <v>33</v>
      </c>
      <c r="B6602">
        <v>2019</v>
      </c>
      <c r="C6602" t="s">
        <v>46</v>
      </c>
      <c r="D6602" s="2">
        <v>43800</v>
      </c>
      <c r="E6602" t="s">
        <v>17</v>
      </c>
      <c r="F6602">
        <v>146.80000000000001</v>
      </c>
      <c r="G6602" t="str">
        <f>VLOOKUP(Table1_2[[#This Row],[Categories]],Sheet3!$A$1:$B$27,2,FALSE)</f>
        <v>Clothing and footwear</v>
      </c>
    </row>
    <row r="6603" spans="1:7" x14ac:dyDescent="0.3">
      <c r="A6603" t="s">
        <v>33</v>
      </c>
      <c r="B6603">
        <v>2019</v>
      </c>
      <c r="C6603" t="s">
        <v>46</v>
      </c>
      <c r="D6603" s="2">
        <v>43800</v>
      </c>
      <c r="E6603" t="s">
        <v>18</v>
      </c>
      <c r="F6603">
        <v>132.80000000000001</v>
      </c>
      <c r="G6603" t="str">
        <f>VLOOKUP(Table1_2[[#This Row],[Categories]],Sheet3!$A$1:$B$27,2,FALSE)</f>
        <v>Clothing and footwear</v>
      </c>
    </row>
    <row r="6604" spans="1:7" x14ac:dyDescent="0.3">
      <c r="A6604" t="s">
        <v>33</v>
      </c>
      <c r="B6604">
        <v>2019</v>
      </c>
      <c r="C6604" t="s">
        <v>46</v>
      </c>
      <c r="D6604" s="2">
        <v>43800</v>
      </c>
      <c r="E6604" t="s">
        <v>19</v>
      </c>
      <c r="F6604">
        <v>144.6</v>
      </c>
      <c r="G6604" t="str">
        <f>VLOOKUP(Table1_2[[#This Row],[Categories]],Sheet3!$A$1:$B$27,2,FALSE)</f>
        <v>Clothing and footwear</v>
      </c>
    </row>
    <row r="6605" spans="1:7" x14ac:dyDescent="0.3">
      <c r="A6605" t="s">
        <v>33</v>
      </c>
      <c r="B6605">
        <v>2019</v>
      </c>
      <c r="C6605" t="s">
        <v>46</v>
      </c>
      <c r="D6605" s="2">
        <v>43800</v>
      </c>
      <c r="E6605" t="s">
        <v>20</v>
      </c>
      <c r="F6605">
        <v>152.80000000000001</v>
      </c>
      <c r="G6605" t="str">
        <f>VLOOKUP(Table1_2[[#This Row],[Categories]],Sheet3!$A$1:$B$27,2,FALSE)</f>
        <v>Housing</v>
      </c>
    </row>
    <row r="6606" spans="1:7" x14ac:dyDescent="0.3">
      <c r="A6606" t="s">
        <v>33</v>
      </c>
      <c r="B6606">
        <v>2019</v>
      </c>
      <c r="C6606" t="s">
        <v>46</v>
      </c>
      <c r="D6606" s="2">
        <v>43800</v>
      </c>
      <c r="E6606" t="s">
        <v>21</v>
      </c>
      <c r="F6606">
        <v>133.6</v>
      </c>
      <c r="G6606" t="str">
        <f>VLOOKUP(Table1_2[[#This Row],[Categories]],Sheet3!$A$1:$B$27,2,FALSE)</f>
        <v>Fuel and light</v>
      </c>
    </row>
    <row r="6607" spans="1:7" x14ac:dyDescent="0.3">
      <c r="A6607" t="s">
        <v>33</v>
      </c>
      <c r="B6607">
        <v>2019</v>
      </c>
      <c r="C6607" t="s">
        <v>46</v>
      </c>
      <c r="D6607" s="2">
        <v>43800</v>
      </c>
      <c r="E6607" t="s">
        <v>22</v>
      </c>
      <c r="F6607">
        <v>139.80000000000001</v>
      </c>
      <c r="G6607" t="str">
        <f>VLOOKUP(Table1_2[[#This Row],[Categories]],Sheet3!$A$1:$B$27,2,FALSE)</f>
        <v>Household Items</v>
      </c>
    </row>
    <row r="6608" spans="1:7" x14ac:dyDescent="0.3">
      <c r="A6608" t="s">
        <v>33</v>
      </c>
      <c r="B6608">
        <v>2019</v>
      </c>
      <c r="C6608" t="s">
        <v>46</v>
      </c>
      <c r="D6608" s="2">
        <v>43800</v>
      </c>
      <c r="E6608" t="s">
        <v>23</v>
      </c>
      <c r="F6608">
        <v>143.19999999999999</v>
      </c>
      <c r="G6608" t="str">
        <f>VLOOKUP(Table1_2[[#This Row],[Categories]],Sheet3!$A$1:$B$27,2,FALSE)</f>
        <v>Health</v>
      </c>
    </row>
    <row r="6609" spans="1:7" x14ac:dyDescent="0.3">
      <c r="A6609" t="s">
        <v>33</v>
      </c>
      <c r="B6609">
        <v>2019</v>
      </c>
      <c r="C6609" t="s">
        <v>46</v>
      </c>
      <c r="D6609" s="2">
        <v>43800</v>
      </c>
      <c r="E6609" t="s">
        <v>24</v>
      </c>
      <c r="F6609">
        <v>125.2</v>
      </c>
      <c r="G6609" t="str">
        <f>VLOOKUP(Table1_2[[#This Row],[Categories]],Sheet3!$A$1:$B$27,2,FALSE)</f>
        <v>Transport and communication</v>
      </c>
    </row>
    <row r="6610" spans="1:7" x14ac:dyDescent="0.3">
      <c r="A6610" t="s">
        <v>33</v>
      </c>
      <c r="B6610">
        <v>2019</v>
      </c>
      <c r="C6610" t="s">
        <v>46</v>
      </c>
      <c r="D6610" s="2">
        <v>43800</v>
      </c>
      <c r="E6610" t="s">
        <v>25</v>
      </c>
      <c r="F6610">
        <v>136.80000000000001</v>
      </c>
      <c r="G6610" t="str">
        <f>VLOOKUP(Table1_2[[#This Row],[Categories]],Sheet3!$A$1:$B$27,2,FALSE)</f>
        <v>Recreation and amusement</v>
      </c>
    </row>
    <row r="6611" spans="1:7" x14ac:dyDescent="0.3">
      <c r="A6611" t="s">
        <v>33</v>
      </c>
      <c r="B6611">
        <v>2019</v>
      </c>
      <c r="C6611" t="s">
        <v>46</v>
      </c>
      <c r="D6611" s="2">
        <v>43800</v>
      </c>
      <c r="E6611" t="s">
        <v>26</v>
      </c>
      <c r="F6611">
        <v>151.9</v>
      </c>
      <c r="G6611" t="str">
        <f>VLOOKUP(Table1_2[[#This Row],[Categories]],Sheet3!$A$1:$B$27,2,FALSE)</f>
        <v>Education</v>
      </c>
    </row>
    <row r="6612" spans="1:7" x14ac:dyDescent="0.3">
      <c r="A6612" t="s">
        <v>33</v>
      </c>
      <c r="B6612">
        <v>2019</v>
      </c>
      <c r="C6612" t="s">
        <v>46</v>
      </c>
      <c r="D6612" s="2">
        <v>43800</v>
      </c>
      <c r="E6612" t="s">
        <v>27</v>
      </c>
      <c r="F6612">
        <v>140.19999999999999</v>
      </c>
      <c r="G6612" t="str">
        <f>VLOOKUP(Table1_2[[#This Row],[Categories]],Sheet3!$A$1:$B$27,2,FALSE)</f>
        <v>Household Items</v>
      </c>
    </row>
    <row r="6613" spans="1:7" x14ac:dyDescent="0.3">
      <c r="A6613" t="s">
        <v>33</v>
      </c>
      <c r="B6613">
        <v>2019</v>
      </c>
      <c r="C6613" t="s">
        <v>46</v>
      </c>
      <c r="D6613" s="2">
        <v>43800</v>
      </c>
      <c r="E6613" t="s">
        <v>28</v>
      </c>
      <c r="F6613">
        <v>137.69999999999999</v>
      </c>
      <c r="G6613" t="str">
        <f>VLOOKUP(Table1_2[[#This Row],[Categories]],Sheet3!$A$1:$B$27,2,FALSE)</f>
        <v>Miscellaneous</v>
      </c>
    </row>
    <row r="6614" spans="1:7" x14ac:dyDescent="0.3">
      <c r="A6614" t="s">
        <v>33</v>
      </c>
      <c r="B6614">
        <v>2019</v>
      </c>
      <c r="C6614" t="s">
        <v>46</v>
      </c>
      <c r="D6614" s="2">
        <v>43800</v>
      </c>
      <c r="E6614" t="s">
        <v>29</v>
      </c>
      <c r="F6614">
        <v>148.30000000000001</v>
      </c>
      <c r="G6614" t="str">
        <f>VLOOKUP(Table1_2[[#This Row],[Categories]],Sheet3!$A$1:$B$27,2,FALSE)</f>
        <v>General index</v>
      </c>
    </row>
    <row r="6615" spans="1:7" x14ac:dyDescent="0.3">
      <c r="A6615" t="s">
        <v>34</v>
      </c>
      <c r="B6615">
        <v>2019</v>
      </c>
      <c r="C6615" t="s">
        <v>46</v>
      </c>
      <c r="D6615" s="2">
        <v>43800</v>
      </c>
      <c r="E6615" t="s">
        <v>3</v>
      </c>
      <c r="F6615">
        <v>143.5</v>
      </c>
      <c r="G6615" t="str">
        <f>VLOOKUP(Table1_2[[#This Row],[Categories]],Sheet3!$A$1:$B$27,2,FALSE)</f>
        <v>Food &amp;Beverage</v>
      </c>
    </row>
    <row r="6616" spans="1:7" x14ac:dyDescent="0.3">
      <c r="A6616" t="s">
        <v>34</v>
      </c>
      <c r="B6616">
        <v>2019</v>
      </c>
      <c r="C6616" t="s">
        <v>46</v>
      </c>
      <c r="D6616" s="2">
        <v>43800</v>
      </c>
      <c r="E6616" t="s">
        <v>4</v>
      </c>
      <c r="F6616">
        <v>165</v>
      </c>
      <c r="G6616" t="str">
        <f>VLOOKUP(Table1_2[[#This Row],[Categories]],Sheet3!$A$1:$B$27,2,FALSE)</f>
        <v>Food &amp;Beverage</v>
      </c>
    </row>
    <row r="6617" spans="1:7" x14ac:dyDescent="0.3">
      <c r="A6617" t="s">
        <v>34</v>
      </c>
      <c r="B6617">
        <v>2019</v>
      </c>
      <c r="C6617" t="s">
        <v>46</v>
      </c>
      <c r="D6617" s="2">
        <v>43800</v>
      </c>
      <c r="E6617" t="s">
        <v>5</v>
      </c>
      <c r="F6617">
        <v>151.1</v>
      </c>
      <c r="G6617" t="str">
        <f>VLOOKUP(Table1_2[[#This Row],[Categories]],Sheet3!$A$1:$B$27,2,FALSE)</f>
        <v>Food &amp;Beverage</v>
      </c>
    </row>
    <row r="6618" spans="1:7" x14ac:dyDescent="0.3">
      <c r="A6618" t="s">
        <v>34</v>
      </c>
      <c r="B6618">
        <v>2019</v>
      </c>
      <c r="C6618" t="s">
        <v>46</v>
      </c>
      <c r="D6618" s="2">
        <v>43800</v>
      </c>
      <c r="E6618" t="s">
        <v>6</v>
      </c>
      <c r="F6618">
        <v>148.30000000000001</v>
      </c>
      <c r="G6618" t="str">
        <f>VLOOKUP(Table1_2[[#This Row],[Categories]],Sheet3!$A$1:$B$27,2,FALSE)</f>
        <v>Food &amp;Beverage</v>
      </c>
    </row>
    <row r="6619" spans="1:7" x14ac:dyDescent="0.3">
      <c r="A6619" t="s">
        <v>34</v>
      </c>
      <c r="B6619">
        <v>2019</v>
      </c>
      <c r="C6619" t="s">
        <v>46</v>
      </c>
      <c r="D6619" s="2">
        <v>43800</v>
      </c>
      <c r="E6619" t="s">
        <v>7</v>
      </c>
      <c r="F6619">
        <v>125.7</v>
      </c>
      <c r="G6619" t="str">
        <f>VLOOKUP(Table1_2[[#This Row],[Categories]],Sheet3!$A$1:$B$27,2,FALSE)</f>
        <v>Food &amp;Beverage</v>
      </c>
    </row>
    <row r="6620" spans="1:7" x14ac:dyDescent="0.3">
      <c r="A6620" t="s">
        <v>34</v>
      </c>
      <c r="B6620">
        <v>2019</v>
      </c>
      <c r="C6620" t="s">
        <v>46</v>
      </c>
      <c r="D6620" s="2">
        <v>43800</v>
      </c>
      <c r="E6620" t="s">
        <v>8</v>
      </c>
      <c r="F6620">
        <v>145.69999999999999</v>
      </c>
      <c r="G6620" t="str">
        <f>VLOOKUP(Table1_2[[#This Row],[Categories]],Sheet3!$A$1:$B$27,2,FALSE)</f>
        <v>Food &amp;Beverage</v>
      </c>
    </row>
    <row r="6621" spans="1:7" x14ac:dyDescent="0.3">
      <c r="A6621" t="s">
        <v>34</v>
      </c>
      <c r="B6621">
        <v>2019</v>
      </c>
      <c r="C6621" t="s">
        <v>46</v>
      </c>
      <c r="D6621" s="2">
        <v>43800</v>
      </c>
      <c r="E6621" t="s">
        <v>9</v>
      </c>
      <c r="F6621">
        <v>217</v>
      </c>
      <c r="G6621" t="str">
        <f>VLOOKUP(Table1_2[[#This Row],[Categories]],Sheet3!$A$1:$B$27,2,FALSE)</f>
        <v>Food &amp;Beverage</v>
      </c>
    </row>
    <row r="6622" spans="1:7" x14ac:dyDescent="0.3">
      <c r="A6622" t="s">
        <v>34</v>
      </c>
      <c r="B6622">
        <v>2019</v>
      </c>
      <c r="C6622" t="s">
        <v>46</v>
      </c>
      <c r="D6622" s="2">
        <v>43800</v>
      </c>
      <c r="E6622" t="s">
        <v>10</v>
      </c>
      <c r="F6622">
        <v>138.30000000000001</v>
      </c>
      <c r="G6622" t="str">
        <f>VLOOKUP(Table1_2[[#This Row],[Categories]],Sheet3!$A$1:$B$27,2,FALSE)</f>
        <v>Food &amp;Beverage</v>
      </c>
    </row>
    <row r="6623" spans="1:7" x14ac:dyDescent="0.3">
      <c r="A6623" t="s">
        <v>34</v>
      </c>
      <c r="B6623">
        <v>2019</v>
      </c>
      <c r="C6623" t="s">
        <v>46</v>
      </c>
      <c r="D6623" s="2">
        <v>43800</v>
      </c>
      <c r="E6623" t="s">
        <v>11</v>
      </c>
      <c r="F6623">
        <v>114</v>
      </c>
      <c r="G6623" t="str">
        <f>VLOOKUP(Table1_2[[#This Row],[Categories]],Sheet3!$A$1:$B$27,2,FALSE)</f>
        <v>Food &amp;Beverage</v>
      </c>
    </row>
    <row r="6624" spans="1:7" x14ac:dyDescent="0.3">
      <c r="A6624" t="s">
        <v>34</v>
      </c>
      <c r="B6624">
        <v>2019</v>
      </c>
      <c r="C6624" t="s">
        <v>46</v>
      </c>
      <c r="D6624" s="2">
        <v>43800</v>
      </c>
      <c r="E6624" t="s">
        <v>12</v>
      </c>
      <c r="F6624">
        <v>148.69999999999999</v>
      </c>
      <c r="G6624" t="str">
        <f>VLOOKUP(Table1_2[[#This Row],[Categories]],Sheet3!$A$1:$B$27,2,FALSE)</f>
        <v>Food &amp;Beverage</v>
      </c>
    </row>
    <row r="6625" spans="1:7" x14ac:dyDescent="0.3">
      <c r="A6625" t="s">
        <v>34</v>
      </c>
      <c r="B6625">
        <v>2019</v>
      </c>
      <c r="C6625" t="s">
        <v>46</v>
      </c>
      <c r="D6625" s="2">
        <v>43800</v>
      </c>
      <c r="E6625" t="s">
        <v>13</v>
      </c>
      <c r="F6625">
        <v>135.80000000000001</v>
      </c>
      <c r="G6625" t="str">
        <f>VLOOKUP(Table1_2[[#This Row],[Categories]],Sheet3!$A$1:$B$27,2,FALSE)</f>
        <v>Food &amp;Beverage</v>
      </c>
    </row>
    <row r="6626" spans="1:7" x14ac:dyDescent="0.3">
      <c r="A6626" t="s">
        <v>34</v>
      </c>
      <c r="B6626">
        <v>2019</v>
      </c>
      <c r="C6626" t="s">
        <v>46</v>
      </c>
      <c r="D6626" s="2">
        <v>43800</v>
      </c>
      <c r="E6626" t="s">
        <v>14</v>
      </c>
      <c r="F6626">
        <v>158</v>
      </c>
      <c r="G6626" t="str">
        <f>VLOOKUP(Table1_2[[#This Row],[Categories]],Sheet3!$A$1:$B$27,2,FALSE)</f>
        <v>Food &amp;Beverage</v>
      </c>
    </row>
    <row r="6627" spans="1:7" x14ac:dyDescent="0.3">
      <c r="A6627" t="s">
        <v>34</v>
      </c>
      <c r="B6627">
        <v>2019</v>
      </c>
      <c r="C6627" t="s">
        <v>46</v>
      </c>
      <c r="D6627" s="2">
        <v>43800</v>
      </c>
      <c r="E6627" t="s">
        <v>15</v>
      </c>
      <c r="F6627">
        <v>155</v>
      </c>
      <c r="G6627" t="str">
        <f>VLOOKUP(Table1_2[[#This Row],[Categories]],Sheet3!$A$1:$B$27,2,FALSE)</f>
        <v>Food &amp;Beverage</v>
      </c>
    </row>
    <row r="6628" spans="1:7" x14ac:dyDescent="0.3">
      <c r="A6628" t="s">
        <v>34</v>
      </c>
      <c r="B6628">
        <v>2019</v>
      </c>
      <c r="C6628" t="s">
        <v>46</v>
      </c>
      <c r="D6628" s="2">
        <v>43800</v>
      </c>
      <c r="E6628" t="s">
        <v>16</v>
      </c>
      <c r="F6628">
        <v>168.5</v>
      </c>
      <c r="G6628" t="str">
        <f>VLOOKUP(Table1_2[[#This Row],[Categories]],Sheet3!$A$1:$B$27,2,FALSE)</f>
        <v>Recreation and amusement</v>
      </c>
    </row>
    <row r="6629" spans="1:7" x14ac:dyDescent="0.3">
      <c r="A6629" t="s">
        <v>34</v>
      </c>
      <c r="B6629">
        <v>2019</v>
      </c>
      <c r="C6629" t="s">
        <v>46</v>
      </c>
      <c r="D6629" s="2">
        <v>43800</v>
      </c>
      <c r="E6629" t="s">
        <v>17</v>
      </c>
      <c r="F6629">
        <v>150.30000000000001</v>
      </c>
      <c r="G6629" t="str">
        <f>VLOOKUP(Table1_2[[#This Row],[Categories]],Sheet3!$A$1:$B$27,2,FALSE)</f>
        <v>Clothing and footwear</v>
      </c>
    </row>
    <row r="6630" spans="1:7" x14ac:dyDescent="0.3">
      <c r="A6630" t="s">
        <v>34</v>
      </c>
      <c r="B6630">
        <v>2019</v>
      </c>
      <c r="C6630" t="s">
        <v>46</v>
      </c>
      <c r="D6630" s="2">
        <v>43800</v>
      </c>
      <c r="E6630" t="s">
        <v>18</v>
      </c>
      <c r="F6630">
        <v>141.30000000000001</v>
      </c>
      <c r="G6630" t="str">
        <f>VLOOKUP(Table1_2[[#This Row],[Categories]],Sheet3!$A$1:$B$27,2,FALSE)</f>
        <v>Clothing and footwear</v>
      </c>
    </row>
    <row r="6631" spans="1:7" x14ac:dyDescent="0.3">
      <c r="A6631" t="s">
        <v>34</v>
      </c>
      <c r="B6631">
        <v>2019</v>
      </c>
      <c r="C6631" t="s">
        <v>46</v>
      </c>
      <c r="D6631" s="2">
        <v>43800</v>
      </c>
      <c r="E6631" t="s">
        <v>19</v>
      </c>
      <c r="F6631">
        <v>149</v>
      </c>
      <c r="G6631" t="str">
        <f>VLOOKUP(Table1_2[[#This Row],[Categories]],Sheet3!$A$1:$B$27,2,FALSE)</f>
        <v>Clothing and footwear</v>
      </c>
    </row>
    <row r="6632" spans="1:7" x14ac:dyDescent="0.3">
      <c r="A6632" t="s">
        <v>34</v>
      </c>
      <c r="B6632">
        <v>2019</v>
      </c>
      <c r="C6632" t="s">
        <v>46</v>
      </c>
      <c r="D6632" s="2">
        <v>43800</v>
      </c>
      <c r="E6632" t="s">
        <v>20</v>
      </c>
      <c r="F6632">
        <v>152.80000000000001</v>
      </c>
      <c r="G6632" t="str">
        <f>VLOOKUP(Table1_2[[#This Row],[Categories]],Sheet3!$A$1:$B$27,2,FALSE)</f>
        <v>Housing</v>
      </c>
    </row>
    <row r="6633" spans="1:7" x14ac:dyDescent="0.3">
      <c r="A6633" t="s">
        <v>34</v>
      </c>
      <c r="B6633">
        <v>2019</v>
      </c>
      <c r="C6633" t="s">
        <v>46</v>
      </c>
      <c r="D6633" s="2">
        <v>43800</v>
      </c>
      <c r="E6633" t="s">
        <v>21</v>
      </c>
      <c r="F6633">
        <v>143.69999999999999</v>
      </c>
      <c r="G6633" t="str">
        <f>VLOOKUP(Table1_2[[#This Row],[Categories]],Sheet3!$A$1:$B$27,2,FALSE)</f>
        <v>Fuel and light</v>
      </c>
    </row>
    <row r="6634" spans="1:7" x14ac:dyDescent="0.3">
      <c r="A6634" t="s">
        <v>34</v>
      </c>
      <c r="B6634">
        <v>2019</v>
      </c>
      <c r="C6634" t="s">
        <v>46</v>
      </c>
      <c r="D6634" s="2">
        <v>43800</v>
      </c>
      <c r="E6634" t="s">
        <v>22</v>
      </c>
      <c r="F6634">
        <v>145.80000000000001</v>
      </c>
      <c r="G6634" t="str">
        <f>VLOOKUP(Table1_2[[#This Row],[Categories]],Sheet3!$A$1:$B$27,2,FALSE)</f>
        <v>Household Items</v>
      </c>
    </row>
    <row r="6635" spans="1:7" x14ac:dyDescent="0.3">
      <c r="A6635" t="s">
        <v>34</v>
      </c>
      <c r="B6635">
        <v>2019</v>
      </c>
      <c r="C6635" t="s">
        <v>46</v>
      </c>
      <c r="D6635" s="2">
        <v>43800</v>
      </c>
      <c r="E6635" t="s">
        <v>23</v>
      </c>
      <c r="F6635">
        <v>150.4</v>
      </c>
      <c r="G6635" t="str">
        <f>VLOOKUP(Table1_2[[#This Row],[Categories]],Sheet3!$A$1:$B$27,2,FALSE)</f>
        <v>Health</v>
      </c>
    </row>
    <row r="6636" spans="1:7" x14ac:dyDescent="0.3">
      <c r="A6636" t="s">
        <v>34</v>
      </c>
      <c r="B6636">
        <v>2019</v>
      </c>
      <c r="C6636" t="s">
        <v>46</v>
      </c>
      <c r="D6636" s="2">
        <v>43800</v>
      </c>
      <c r="E6636" t="s">
        <v>24</v>
      </c>
      <c r="F6636">
        <v>129.80000000000001</v>
      </c>
      <c r="G6636" t="str">
        <f>VLOOKUP(Table1_2[[#This Row],[Categories]],Sheet3!$A$1:$B$27,2,FALSE)</f>
        <v>Transport and communication</v>
      </c>
    </row>
    <row r="6637" spans="1:7" x14ac:dyDescent="0.3">
      <c r="A6637" t="s">
        <v>34</v>
      </c>
      <c r="B6637">
        <v>2019</v>
      </c>
      <c r="C6637" t="s">
        <v>46</v>
      </c>
      <c r="D6637" s="2">
        <v>43800</v>
      </c>
      <c r="E6637" t="s">
        <v>25</v>
      </c>
      <c r="F6637">
        <v>142.30000000000001</v>
      </c>
      <c r="G6637" t="str">
        <f>VLOOKUP(Table1_2[[#This Row],[Categories]],Sheet3!$A$1:$B$27,2,FALSE)</f>
        <v>Recreation and amusement</v>
      </c>
    </row>
    <row r="6638" spans="1:7" x14ac:dyDescent="0.3">
      <c r="A6638" t="s">
        <v>34</v>
      </c>
      <c r="B6638">
        <v>2019</v>
      </c>
      <c r="C6638" t="s">
        <v>46</v>
      </c>
      <c r="D6638" s="2">
        <v>43800</v>
      </c>
      <c r="E6638" t="s">
        <v>26</v>
      </c>
      <c r="F6638">
        <v>155.69999999999999</v>
      </c>
      <c r="G6638" t="str">
        <f>VLOOKUP(Table1_2[[#This Row],[Categories]],Sheet3!$A$1:$B$27,2,FALSE)</f>
        <v>Education</v>
      </c>
    </row>
    <row r="6639" spans="1:7" x14ac:dyDescent="0.3">
      <c r="A6639" t="s">
        <v>34</v>
      </c>
      <c r="B6639">
        <v>2019</v>
      </c>
      <c r="C6639" t="s">
        <v>46</v>
      </c>
      <c r="D6639" s="2">
        <v>43800</v>
      </c>
      <c r="E6639" t="s">
        <v>27</v>
      </c>
      <c r="F6639">
        <v>140.4</v>
      </c>
      <c r="G6639" t="str">
        <f>VLOOKUP(Table1_2[[#This Row],[Categories]],Sheet3!$A$1:$B$27,2,FALSE)</f>
        <v>Household Items</v>
      </c>
    </row>
    <row r="6640" spans="1:7" x14ac:dyDescent="0.3">
      <c r="A6640" t="s">
        <v>34</v>
      </c>
      <c r="B6640">
        <v>2019</v>
      </c>
      <c r="C6640" t="s">
        <v>46</v>
      </c>
      <c r="D6640" s="2">
        <v>43800</v>
      </c>
      <c r="E6640" t="s">
        <v>28</v>
      </c>
      <c r="F6640">
        <v>142.5</v>
      </c>
      <c r="G6640" t="str">
        <f>VLOOKUP(Table1_2[[#This Row],[Categories]],Sheet3!$A$1:$B$27,2,FALSE)</f>
        <v>Miscellaneous</v>
      </c>
    </row>
    <row r="6641" spans="1:7" x14ac:dyDescent="0.3">
      <c r="A6641" t="s">
        <v>34</v>
      </c>
      <c r="B6641">
        <v>2019</v>
      </c>
      <c r="C6641" t="s">
        <v>46</v>
      </c>
      <c r="D6641" s="2">
        <v>43800</v>
      </c>
      <c r="E6641" t="s">
        <v>29</v>
      </c>
      <c r="F6641">
        <v>150.4</v>
      </c>
      <c r="G6641" t="str">
        <f>VLOOKUP(Table1_2[[#This Row],[Categories]],Sheet3!$A$1:$B$27,2,FALSE)</f>
        <v>General index</v>
      </c>
    </row>
    <row r="6642" spans="1:7" x14ac:dyDescent="0.3">
      <c r="A6642" t="s">
        <v>30</v>
      </c>
      <c r="B6642">
        <v>2020</v>
      </c>
      <c r="C6642" t="s">
        <v>31</v>
      </c>
      <c r="D6642" s="2">
        <v>43831</v>
      </c>
      <c r="E6642" t="s">
        <v>3</v>
      </c>
      <c r="F6642">
        <v>143.69999999999999</v>
      </c>
      <c r="G6642" t="str">
        <f>VLOOKUP(Table1_2[[#This Row],[Categories]],Sheet3!$A$1:$B$27,2,FALSE)</f>
        <v>Food &amp;Beverage</v>
      </c>
    </row>
    <row r="6643" spans="1:7" x14ac:dyDescent="0.3">
      <c r="A6643" t="s">
        <v>30</v>
      </c>
      <c r="B6643">
        <v>2020</v>
      </c>
      <c r="C6643" t="s">
        <v>31</v>
      </c>
      <c r="D6643" s="2">
        <v>43831</v>
      </c>
      <c r="E6643" t="s">
        <v>4</v>
      </c>
      <c r="F6643">
        <v>167.3</v>
      </c>
      <c r="G6643" t="str">
        <f>VLOOKUP(Table1_2[[#This Row],[Categories]],Sheet3!$A$1:$B$27,2,FALSE)</f>
        <v>Food &amp;Beverage</v>
      </c>
    </row>
    <row r="6644" spans="1:7" x14ac:dyDescent="0.3">
      <c r="A6644" t="s">
        <v>30</v>
      </c>
      <c r="B6644">
        <v>2020</v>
      </c>
      <c r="C6644" t="s">
        <v>31</v>
      </c>
      <c r="D6644" s="2">
        <v>43831</v>
      </c>
      <c r="E6644" t="s">
        <v>5</v>
      </c>
      <c r="F6644">
        <v>153.5</v>
      </c>
      <c r="G6644" t="str">
        <f>VLOOKUP(Table1_2[[#This Row],[Categories]],Sheet3!$A$1:$B$27,2,FALSE)</f>
        <v>Food &amp;Beverage</v>
      </c>
    </row>
    <row r="6645" spans="1:7" x14ac:dyDescent="0.3">
      <c r="A6645" t="s">
        <v>30</v>
      </c>
      <c r="B6645">
        <v>2020</v>
      </c>
      <c r="C6645" t="s">
        <v>31</v>
      </c>
      <c r="D6645" s="2">
        <v>43831</v>
      </c>
      <c r="E6645" t="s">
        <v>6</v>
      </c>
      <c r="F6645">
        <v>150.5</v>
      </c>
      <c r="G6645" t="str">
        <f>VLOOKUP(Table1_2[[#This Row],[Categories]],Sheet3!$A$1:$B$27,2,FALSE)</f>
        <v>Food &amp;Beverage</v>
      </c>
    </row>
    <row r="6646" spans="1:7" x14ac:dyDescent="0.3">
      <c r="A6646" t="s">
        <v>30</v>
      </c>
      <c r="B6646">
        <v>2020</v>
      </c>
      <c r="C6646" t="s">
        <v>31</v>
      </c>
      <c r="D6646" s="2">
        <v>43831</v>
      </c>
      <c r="E6646" t="s">
        <v>7</v>
      </c>
      <c r="F6646">
        <v>132</v>
      </c>
      <c r="G6646" t="str">
        <f>VLOOKUP(Table1_2[[#This Row],[Categories]],Sheet3!$A$1:$B$27,2,FALSE)</f>
        <v>Food &amp;Beverage</v>
      </c>
    </row>
    <row r="6647" spans="1:7" x14ac:dyDescent="0.3">
      <c r="A6647" t="s">
        <v>30</v>
      </c>
      <c r="B6647">
        <v>2020</v>
      </c>
      <c r="C6647" t="s">
        <v>31</v>
      </c>
      <c r="D6647" s="2">
        <v>43831</v>
      </c>
      <c r="E6647" t="s">
        <v>8</v>
      </c>
      <c r="F6647">
        <v>142.19999999999999</v>
      </c>
      <c r="G6647" t="str">
        <f>VLOOKUP(Table1_2[[#This Row],[Categories]],Sheet3!$A$1:$B$27,2,FALSE)</f>
        <v>Food &amp;Beverage</v>
      </c>
    </row>
    <row r="6648" spans="1:7" x14ac:dyDescent="0.3">
      <c r="A6648" t="s">
        <v>30</v>
      </c>
      <c r="B6648">
        <v>2020</v>
      </c>
      <c r="C6648" t="s">
        <v>31</v>
      </c>
      <c r="D6648" s="2">
        <v>43831</v>
      </c>
      <c r="E6648" t="s">
        <v>9</v>
      </c>
      <c r="F6648">
        <v>191.5</v>
      </c>
      <c r="G6648" t="str">
        <f>VLOOKUP(Table1_2[[#This Row],[Categories]],Sheet3!$A$1:$B$27,2,FALSE)</f>
        <v>Food &amp;Beverage</v>
      </c>
    </row>
    <row r="6649" spans="1:7" x14ac:dyDescent="0.3">
      <c r="A6649" t="s">
        <v>30</v>
      </c>
      <c r="B6649">
        <v>2020</v>
      </c>
      <c r="C6649" t="s">
        <v>31</v>
      </c>
      <c r="D6649" s="2">
        <v>43831</v>
      </c>
      <c r="E6649" t="s">
        <v>10</v>
      </c>
      <c r="F6649">
        <v>141.1</v>
      </c>
      <c r="G6649" t="str">
        <f>VLOOKUP(Table1_2[[#This Row],[Categories]],Sheet3!$A$1:$B$27,2,FALSE)</f>
        <v>Food &amp;Beverage</v>
      </c>
    </row>
    <row r="6650" spans="1:7" x14ac:dyDescent="0.3">
      <c r="A6650" t="s">
        <v>30</v>
      </c>
      <c r="B6650">
        <v>2020</v>
      </c>
      <c r="C6650" t="s">
        <v>31</v>
      </c>
      <c r="D6650" s="2">
        <v>43831</v>
      </c>
      <c r="E6650" t="s">
        <v>11</v>
      </c>
      <c r="F6650">
        <v>113.8</v>
      </c>
      <c r="G6650" t="str">
        <f>VLOOKUP(Table1_2[[#This Row],[Categories]],Sheet3!$A$1:$B$27,2,FALSE)</f>
        <v>Food &amp;Beverage</v>
      </c>
    </row>
    <row r="6651" spans="1:7" x14ac:dyDescent="0.3">
      <c r="A6651" t="s">
        <v>30</v>
      </c>
      <c r="B6651">
        <v>2020</v>
      </c>
      <c r="C6651" t="s">
        <v>31</v>
      </c>
      <c r="D6651" s="2">
        <v>43831</v>
      </c>
      <c r="E6651" t="s">
        <v>12</v>
      </c>
      <c r="F6651">
        <v>151.6</v>
      </c>
      <c r="G6651" t="str">
        <f>VLOOKUP(Table1_2[[#This Row],[Categories]],Sheet3!$A$1:$B$27,2,FALSE)</f>
        <v>Food &amp;Beverage</v>
      </c>
    </row>
    <row r="6652" spans="1:7" x14ac:dyDescent="0.3">
      <c r="A6652" t="s">
        <v>30</v>
      </c>
      <c r="B6652">
        <v>2020</v>
      </c>
      <c r="C6652" t="s">
        <v>31</v>
      </c>
      <c r="D6652" s="2">
        <v>43831</v>
      </c>
      <c r="E6652" t="s">
        <v>13</v>
      </c>
      <c r="F6652">
        <v>139.69999999999999</v>
      </c>
      <c r="G6652" t="str">
        <f>VLOOKUP(Table1_2[[#This Row],[Categories]],Sheet3!$A$1:$B$27,2,FALSE)</f>
        <v>Food &amp;Beverage</v>
      </c>
    </row>
    <row r="6653" spans="1:7" x14ac:dyDescent="0.3">
      <c r="A6653" t="s">
        <v>30</v>
      </c>
      <c r="B6653">
        <v>2020</v>
      </c>
      <c r="C6653" t="s">
        <v>31</v>
      </c>
      <c r="D6653" s="2">
        <v>43831</v>
      </c>
      <c r="E6653" t="s">
        <v>14</v>
      </c>
      <c r="F6653">
        <v>158.69999999999999</v>
      </c>
      <c r="G6653" t="str">
        <f>VLOOKUP(Table1_2[[#This Row],[Categories]],Sheet3!$A$1:$B$27,2,FALSE)</f>
        <v>Food &amp;Beverage</v>
      </c>
    </row>
    <row r="6654" spans="1:7" x14ac:dyDescent="0.3">
      <c r="A6654" t="s">
        <v>30</v>
      </c>
      <c r="B6654">
        <v>2020</v>
      </c>
      <c r="C6654" t="s">
        <v>31</v>
      </c>
      <c r="D6654" s="2">
        <v>43831</v>
      </c>
      <c r="E6654" t="s">
        <v>15</v>
      </c>
      <c r="F6654">
        <v>153</v>
      </c>
      <c r="G6654" t="str">
        <f>VLOOKUP(Table1_2[[#This Row],[Categories]],Sheet3!$A$1:$B$27,2,FALSE)</f>
        <v>Food &amp;Beverage</v>
      </c>
    </row>
    <row r="6655" spans="1:7" x14ac:dyDescent="0.3">
      <c r="A6655" t="s">
        <v>30</v>
      </c>
      <c r="B6655">
        <v>2020</v>
      </c>
      <c r="C6655" t="s">
        <v>31</v>
      </c>
      <c r="D6655" s="2">
        <v>43831</v>
      </c>
      <c r="E6655" t="s">
        <v>16</v>
      </c>
      <c r="F6655">
        <v>168.6</v>
      </c>
      <c r="G6655" t="str">
        <f>VLOOKUP(Table1_2[[#This Row],[Categories]],Sheet3!$A$1:$B$27,2,FALSE)</f>
        <v>Recreation and amusement</v>
      </c>
    </row>
    <row r="6656" spans="1:7" x14ac:dyDescent="0.3">
      <c r="A6656" t="s">
        <v>30</v>
      </c>
      <c r="B6656">
        <v>2020</v>
      </c>
      <c r="C6656" t="s">
        <v>31</v>
      </c>
      <c r="D6656" s="2">
        <v>43831</v>
      </c>
      <c r="E6656" t="s">
        <v>17</v>
      </c>
      <c r="F6656">
        <v>152.80000000000001</v>
      </c>
      <c r="G6656" t="str">
        <f>VLOOKUP(Table1_2[[#This Row],[Categories]],Sheet3!$A$1:$B$27,2,FALSE)</f>
        <v>Clothing and footwear</v>
      </c>
    </row>
    <row r="6657" spans="1:7" x14ac:dyDescent="0.3">
      <c r="A6657" t="s">
        <v>30</v>
      </c>
      <c r="B6657">
        <v>2020</v>
      </c>
      <c r="C6657" t="s">
        <v>31</v>
      </c>
      <c r="D6657" s="2">
        <v>43831</v>
      </c>
      <c r="E6657" t="s">
        <v>18</v>
      </c>
      <c r="F6657">
        <v>147.4</v>
      </c>
      <c r="G6657" t="str">
        <f>VLOOKUP(Table1_2[[#This Row],[Categories]],Sheet3!$A$1:$B$27,2,FALSE)</f>
        <v>Clothing and footwear</v>
      </c>
    </row>
    <row r="6658" spans="1:7" x14ac:dyDescent="0.3">
      <c r="A6658" t="s">
        <v>30</v>
      </c>
      <c r="B6658">
        <v>2020</v>
      </c>
      <c r="C6658" t="s">
        <v>31</v>
      </c>
      <c r="D6658" s="2">
        <v>43831</v>
      </c>
      <c r="E6658" t="s">
        <v>19</v>
      </c>
      <c r="F6658">
        <v>152.1</v>
      </c>
      <c r="G6658" t="str">
        <f>VLOOKUP(Table1_2[[#This Row],[Categories]],Sheet3!$A$1:$B$27,2,FALSE)</f>
        <v>Clothing and footwear</v>
      </c>
    </row>
    <row r="6659" spans="1:7" x14ac:dyDescent="0.3">
      <c r="A6659" t="s">
        <v>30</v>
      </c>
      <c r="B6659">
        <v>2020</v>
      </c>
      <c r="C6659" t="s">
        <v>31</v>
      </c>
      <c r="D6659" s="2">
        <v>43831</v>
      </c>
      <c r="E6659" t="s">
        <v>21</v>
      </c>
      <c r="F6659">
        <v>150.4</v>
      </c>
      <c r="G6659" t="str">
        <f>VLOOKUP(Table1_2[[#This Row],[Categories]],Sheet3!$A$1:$B$27,2,FALSE)</f>
        <v>Fuel and light</v>
      </c>
    </row>
    <row r="6660" spans="1:7" x14ac:dyDescent="0.3">
      <c r="A6660" t="s">
        <v>30</v>
      </c>
      <c r="B6660">
        <v>2020</v>
      </c>
      <c r="C6660" t="s">
        <v>31</v>
      </c>
      <c r="D6660" s="2">
        <v>43831</v>
      </c>
      <c r="E6660" t="s">
        <v>22</v>
      </c>
      <c r="F6660">
        <v>151.69999999999999</v>
      </c>
      <c r="G6660" t="str">
        <f>VLOOKUP(Table1_2[[#This Row],[Categories]],Sheet3!$A$1:$B$27,2,FALSE)</f>
        <v>Household Items</v>
      </c>
    </row>
    <row r="6661" spans="1:7" x14ac:dyDescent="0.3">
      <c r="A6661" t="s">
        <v>30</v>
      </c>
      <c r="B6661">
        <v>2020</v>
      </c>
      <c r="C6661" t="s">
        <v>31</v>
      </c>
      <c r="D6661" s="2">
        <v>43831</v>
      </c>
      <c r="E6661" t="s">
        <v>23</v>
      </c>
      <c r="F6661">
        <v>155.69999999999999</v>
      </c>
      <c r="G6661" t="str">
        <f>VLOOKUP(Table1_2[[#This Row],[Categories]],Sheet3!$A$1:$B$27,2,FALSE)</f>
        <v>Health</v>
      </c>
    </row>
    <row r="6662" spans="1:7" x14ac:dyDescent="0.3">
      <c r="A6662" t="s">
        <v>30</v>
      </c>
      <c r="B6662">
        <v>2020</v>
      </c>
      <c r="C6662" t="s">
        <v>31</v>
      </c>
      <c r="D6662" s="2">
        <v>43831</v>
      </c>
      <c r="E6662" t="s">
        <v>24</v>
      </c>
      <c r="F6662">
        <v>136.30000000000001</v>
      </c>
      <c r="G6662" t="str">
        <f>VLOOKUP(Table1_2[[#This Row],[Categories]],Sheet3!$A$1:$B$27,2,FALSE)</f>
        <v>Transport and communication</v>
      </c>
    </row>
    <row r="6663" spans="1:7" x14ac:dyDescent="0.3">
      <c r="A6663" t="s">
        <v>30</v>
      </c>
      <c r="B6663">
        <v>2020</v>
      </c>
      <c r="C6663" t="s">
        <v>31</v>
      </c>
      <c r="D6663" s="2">
        <v>43831</v>
      </c>
      <c r="E6663" t="s">
        <v>25</v>
      </c>
      <c r="F6663">
        <v>150.1</v>
      </c>
      <c r="G6663" t="str">
        <f>VLOOKUP(Table1_2[[#This Row],[Categories]],Sheet3!$A$1:$B$27,2,FALSE)</f>
        <v>Recreation and amusement</v>
      </c>
    </row>
    <row r="6664" spans="1:7" x14ac:dyDescent="0.3">
      <c r="A6664" t="s">
        <v>30</v>
      </c>
      <c r="B6664">
        <v>2020</v>
      </c>
      <c r="C6664" t="s">
        <v>31</v>
      </c>
      <c r="D6664" s="2">
        <v>43831</v>
      </c>
      <c r="E6664" t="s">
        <v>26</v>
      </c>
      <c r="F6664">
        <v>161.69999999999999</v>
      </c>
      <c r="G6664" t="str">
        <f>VLOOKUP(Table1_2[[#This Row],[Categories]],Sheet3!$A$1:$B$27,2,FALSE)</f>
        <v>Education</v>
      </c>
    </row>
    <row r="6665" spans="1:7" x14ac:dyDescent="0.3">
      <c r="A6665" t="s">
        <v>30</v>
      </c>
      <c r="B6665">
        <v>2020</v>
      </c>
      <c r="C6665" t="s">
        <v>31</v>
      </c>
      <c r="D6665" s="2">
        <v>43831</v>
      </c>
      <c r="E6665" t="s">
        <v>27</v>
      </c>
      <c r="F6665">
        <v>142.5</v>
      </c>
      <c r="G6665" t="str">
        <f>VLOOKUP(Table1_2[[#This Row],[Categories]],Sheet3!$A$1:$B$27,2,FALSE)</f>
        <v>Household Items</v>
      </c>
    </row>
    <row r="6666" spans="1:7" x14ac:dyDescent="0.3">
      <c r="A6666" t="s">
        <v>30</v>
      </c>
      <c r="B6666">
        <v>2020</v>
      </c>
      <c r="C6666" t="s">
        <v>31</v>
      </c>
      <c r="D6666" s="2">
        <v>43831</v>
      </c>
      <c r="E6666" t="s">
        <v>28</v>
      </c>
      <c r="F6666">
        <v>148.1</v>
      </c>
      <c r="G6666" t="str">
        <f>VLOOKUP(Table1_2[[#This Row],[Categories]],Sheet3!$A$1:$B$27,2,FALSE)</f>
        <v>Miscellaneous</v>
      </c>
    </row>
    <row r="6667" spans="1:7" x14ac:dyDescent="0.3">
      <c r="A6667" t="s">
        <v>30</v>
      </c>
      <c r="B6667">
        <v>2020</v>
      </c>
      <c r="C6667" t="s">
        <v>31</v>
      </c>
      <c r="D6667" s="2">
        <v>43831</v>
      </c>
      <c r="E6667" t="s">
        <v>29</v>
      </c>
      <c r="F6667">
        <v>151.9</v>
      </c>
      <c r="G6667" t="str">
        <f>VLOOKUP(Table1_2[[#This Row],[Categories]],Sheet3!$A$1:$B$27,2,FALSE)</f>
        <v>General index</v>
      </c>
    </row>
    <row r="6668" spans="1:7" x14ac:dyDescent="0.3">
      <c r="A6668" t="s">
        <v>33</v>
      </c>
      <c r="B6668">
        <v>2020</v>
      </c>
      <c r="C6668" t="s">
        <v>31</v>
      </c>
      <c r="D6668" s="2">
        <v>43831</v>
      </c>
      <c r="E6668" t="s">
        <v>3</v>
      </c>
      <c r="F6668">
        <v>145.6</v>
      </c>
      <c r="G6668" t="str">
        <f>VLOOKUP(Table1_2[[#This Row],[Categories]],Sheet3!$A$1:$B$27,2,FALSE)</f>
        <v>Food &amp;Beverage</v>
      </c>
    </row>
    <row r="6669" spans="1:7" x14ac:dyDescent="0.3">
      <c r="A6669" t="s">
        <v>33</v>
      </c>
      <c r="B6669">
        <v>2020</v>
      </c>
      <c r="C6669" t="s">
        <v>31</v>
      </c>
      <c r="D6669" s="2">
        <v>43831</v>
      </c>
      <c r="E6669" t="s">
        <v>4</v>
      </c>
      <c r="F6669">
        <v>167.6</v>
      </c>
      <c r="G6669" t="str">
        <f>VLOOKUP(Table1_2[[#This Row],[Categories]],Sheet3!$A$1:$B$27,2,FALSE)</f>
        <v>Food &amp;Beverage</v>
      </c>
    </row>
    <row r="6670" spans="1:7" x14ac:dyDescent="0.3">
      <c r="A6670" t="s">
        <v>33</v>
      </c>
      <c r="B6670">
        <v>2020</v>
      </c>
      <c r="C6670" t="s">
        <v>31</v>
      </c>
      <c r="D6670" s="2">
        <v>43831</v>
      </c>
      <c r="E6670" t="s">
        <v>5</v>
      </c>
      <c r="F6670">
        <v>157</v>
      </c>
      <c r="G6670" t="str">
        <f>VLOOKUP(Table1_2[[#This Row],[Categories]],Sheet3!$A$1:$B$27,2,FALSE)</f>
        <v>Food &amp;Beverage</v>
      </c>
    </row>
    <row r="6671" spans="1:7" x14ac:dyDescent="0.3">
      <c r="A6671" t="s">
        <v>33</v>
      </c>
      <c r="B6671">
        <v>2020</v>
      </c>
      <c r="C6671" t="s">
        <v>31</v>
      </c>
      <c r="D6671" s="2">
        <v>43831</v>
      </c>
      <c r="E6671" t="s">
        <v>6</v>
      </c>
      <c r="F6671">
        <v>149.30000000000001</v>
      </c>
      <c r="G6671" t="str">
        <f>VLOOKUP(Table1_2[[#This Row],[Categories]],Sheet3!$A$1:$B$27,2,FALSE)</f>
        <v>Food &amp;Beverage</v>
      </c>
    </row>
    <row r="6672" spans="1:7" x14ac:dyDescent="0.3">
      <c r="A6672" t="s">
        <v>33</v>
      </c>
      <c r="B6672">
        <v>2020</v>
      </c>
      <c r="C6672" t="s">
        <v>31</v>
      </c>
      <c r="D6672" s="2">
        <v>43831</v>
      </c>
      <c r="E6672" t="s">
        <v>7</v>
      </c>
      <c r="F6672">
        <v>126.3</v>
      </c>
      <c r="G6672" t="str">
        <f>VLOOKUP(Table1_2[[#This Row],[Categories]],Sheet3!$A$1:$B$27,2,FALSE)</f>
        <v>Food &amp;Beverage</v>
      </c>
    </row>
    <row r="6673" spans="1:7" x14ac:dyDescent="0.3">
      <c r="A6673" t="s">
        <v>33</v>
      </c>
      <c r="B6673">
        <v>2020</v>
      </c>
      <c r="C6673" t="s">
        <v>31</v>
      </c>
      <c r="D6673" s="2">
        <v>43831</v>
      </c>
      <c r="E6673" t="s">
        <v>8</v>
      </c>
      <c r="F6673">
        <v>144.4</v>
      </c>
      <c r="G6673" t="str">
        <f>VLOOKUP(Table1_2[[#This Row],[Categories]],Sheet3!$A$1:$B$27,2,FALSE)</f>
        <v>Food &amp;Beverage</v>
      </c>
    </row>
    <row r="6674" spans="1:7" x14ac:dyDescent="0.3">
      <c r="A6674" t="s">
        <v>33</v>
      </c>
      <c r="B6674">
        <v>2020</v>
      </c>
      <c r="C6674" t="s">
        <v>31</v>
      </c>
      <c r="D6674" s="2">
        <v>43831</v>
      </c>
      <c r="E6674" t="s">
        <v>9</v>
      </c>
      <c r="F6674">
        <v>207.8</v>
      </c>
      <c r="G6674" t="str">
        <f>VLOOKUP(Table1_2[[#This Row],[Categories]],Sheet3!$A$1:$B$27,2,FALSE)</f>
        <v>Food &amp;Beverage</v>
      </c>
    </row>
    <row r="6675" spans="1:7" x14ac:dyDescent="0.3">
      <c r="A6675" t="s">
        <v>33</v>
      </c>
      <c r="B6675">
        <v>2020</v>
      </c>
      <c r="C6675" t="s">
        <v>31</v>
      </c>
      <c r="D6675" s="2">
        <v>43831</v>
      </c>
      <c r="E6675" t="s">
        <v>10</v>
      </c>
      <c r="F6675">
        <v>139.1</v>
      </c>
      <c r="G6675" t="str">
        <f>VLOOKUP(Table1_2[[#This Row],[Categories]],Sheet3!$A$1:$B$27,2,FALSE)</f>
        <v>Food &amp;Beverage</v>
      </c>
    </row>
    <row r="6676" spans="1:7" x14ac:dyDescent="0.3">
      <c r="A6676" t="s">
        <v>33</v>
      </c>
      <c r="B6676">
        <v>2020</v>
      </c>
      <c r="C6676" t="s">
        <v>31</v>
      </c>
      <c r="D6676" s="2">
        <v>43831</v>
      </c>
      <c r="E6676" t="s">
        <v>11</v>
      </c>
      <c r="F6676">
        <v>114.8</v>
      </c>
      <c r="G6676" t="str">
        <f>VLOOKUP(Table1_2[[#This Row],[Categories]],Sheet3!$A$1:$B$27,2,FALSE)</f>
        <v>Food &amp;Beverage</v>
      </c>
    </row>
    <row r="6677" spans="1:7" x14ac:dyDescent="0.3">
      <c r="A6677" t="s">
        <v>33</v>
      </c>
      <c r="B6677">
        <v>2020</v>
      </c>
      <c r="C6677" t="s">
        <v>31</v>
      </c>
      <c r="D6677" s="2">
        <v>43831</v>
      </c>
      <c r="E6677" t="s">
        <v>12</v>
      </c>
      <c r="F6677">
        <v>149.5</v>
      </c>
      <c r="G6677" t="str">
        <f>VLOOKUP(Table1_2[[#This Row],[Categories]],Sheet3!$A$1:$B$27,2,FALSE)</f>
        <v>Food &amp;Beverage</v>
      </c>
    </row>
    <row r="6678" spans="1:7" x14ac:dyDescent="0.3">
      <c r="A6678" t="s">
        <v>33</v>
      </c>
      <c r="B6678">
        <v>2020</v>
      </c>
      <c r="C6678" t="s">
        <v>31</v>
      </c>
      <c r="D6678" s="2">
        <v>43831</v>
      </c>
      <c r="E6678" t="s">
        <v>13</v>
      </c>
      <c r="F6678">
        <v>131.1</v>
      </c>
      <c r="G6678" t="str">
        <f>VLOOKUP(Table1_2[[#This Row],[Categories]],Sheet3!$A$1:$B$27,2,FALSE)</f>
        <v>Food &amp;Beverage</v>
      </c>
    </row>
    <row r="6679" spans="1:7" x14ac:dyDescent="0.3">
      <c r="A6679" t="s">
        <v>33</v>
      </c>
      <c r="B6679">
        <v>2020</v>
      </c>
      <c r="C6679" t="s">
        <v>31</v>
      </c>
      <c r="D6679" s="2">
        <v>43831</v>
      </c>
      <c r="E6679" t="s">
        <v>14</v>
      </c>
      <c r="F6679">
        <v>158.5</v>
      </c>
      <c r="G6679" t="str">
        <f>VLOOKUP(Table1_2[[#This Row],[Categories]],Sheet3!$A$1:$B$27,2,FALSE)</f>
        <v>Food &amp;Beverage</v>
      </c>
    </row>
    <row r="6680" spans="1:7" x14ac:dyDescent="0.3">
      <c r="A6680" t="s">
        <v>33</v>
      </c>
      <c r="B6680">
        <v>2020</v>
      </c>
      <c r="C6680" t="s">
        <v>31</v>
      </c>
      <c r="D6680" s="2">
        <v>43831</v>
      </c>
      <c r="E6680" t="s">
        <v>15</v>
      </c>
      <c r="F6680">
        <v>154.4</v>
      </c>
      <c r="G6680" t="str">
        <f>VLOOKUP(Table1_2[[#This Row],[Categories]],Sheet3!$A$1:$B$27,2,FALSE)</f>
        <v>Food &amp;Beverage</v>
      </c>
    </row>
    <row r="6681" spans="1:7" x14ac:dyDescent="0.3">
      <c r="A6681" t="s">
        <v>33</v>
      </c>
      <c r="B6681">
        <v>2020</v>
      </c>
      <c r="C6681" t="s">
        <v>31</v>
      </c>
      <c r="D6681" s="2">
        <v>43831</v>
      </c>
      <c r="E6681" t="s">
        <v>16</v>
      </c>
      <c r="F6681">
        <v>170.8</v>
      </c>
      <c r="G6681" t="str">
        <f>VLOOKUP(Table1_2[[#This Row],[Categories]],Sheet3!$A$1:$B$27,2,FALSE)</f>
        <v>Recreation and amusement</v>
      </c>
    </row>
    <row r="6682" spans="1:7" x14ac:dyDescent="0.3">
      <c r="A6682" t="s">
        <v>33</v>
      </c>
      <c r="B6682">
        <v>2020</v>
      </c>
      <c r="C6682" t="s">
        <v>31</v>
      </c>
      <c r="D6682" s="2">
        <v>43831</v>
      </c>
      <c r="E6682" t="s">
        <v>17</v>
      </c>
      <c r="F6682">
        <v>147</v>
      </c>
      <c r="G6682" t="str">
        <f>VLOOKUP(Table1_2[[#This Row],[Categories]],Sheet3!$A$1:$B$27,2,FALSE)</f>
        <v>Clothing and footwear</v>
      </c>
    </row>
    <row r="6683" spans="1:7" x14ac:dyDescent="0.3">
      <c r="A6683" t="s">
        <v>33</v>
      </c>
      <c r="B6683">
        <v>2020</v>
      </c>
      <c r="C6683" t="s">
        <v>31</v>
      </c>
      <c r="D6683" s="2">
        <v>43831</v>
      </c>
      <c r="E6683" t="s">
        <v>18</v>
      </c>
      <c r="F6683">
        <v>133.19999999999999</v>
      </c>
      <c r="G6683" t="str">
        <f>VLOOKUP(Table1_2[[#This Row],[Categories]],Sheet3!$A$1:$B$27,2,FALSE)</f>
        <v>Clothing and footwear</v>
      </c>
    </row>
    <row r="6684" spans="1:7" x14ac:dyDescent="0.3">
      <c r="A6684" t="s">
        <v>33</v>
      </c>
      <c r="B6684">
        <v>2020</v>
      </c>
      <c r="C6684" t="s">
        <v>31</v>
      </c>
      <c r="D6684" s="2">
        <v>43831</v>
      </c>
      <c r="E6684" t="s">
        <v>19</v>
      </c>
      <c r="F6684">
        <v>144.9</v>
      </c>
      <c r="G6684" t="str">
        <f>VLOOKUP(Table1_2[[#This Row],[Categories]],Sheet3!$A$1:$B$27,2,FALSE)</f>
        <v>Clothing and footwear</v>
      </c>
    </row>
    <row r="6685" spans="1:7" x14ac:dyDescent="0.3">
      <c r="A6685" t="s">
        <v>33</v>
      </c>
      <c r="B6685">
        <v>2020</v>
      </c>
      <c r="C6685" t="s">
        <v>31</v>
      </c>
      <c r="D6685" s="2">
        <v>43831</v>
      </c>
      <c r="E6685" t="s">
        <v>20</v>
      </c>
      <c r="F6685">
        <v>153.9</v>
      </c>
      <c r="G6685" t="str">
        <f>VLOOKUP(Table1_2[[#This Row],[Categories]],Sheet3!$A$1:$B$27,2,FALSE)</f>
        <v>Housing</v>
      </c>
    </row>
    <row r="6686" spans="1:7" x14ac:dyDescent="0.3">
      <c r="A6686" t="s">
        <v>33</v>
      </c>
      <c r="B6686">
        <v>2020</v>
      </c>
      <c r="C6686" t="s">
        <v>31</v>
      </c>
      <c r="D6686" s="2">
        <v>43831</v>
      </c>
      <c r="E6686" t="s">
        <v>21</v>
      </c>
      <c r="F6686">
        <v>135.1</v>
      </c>
      <c r="G6686" t="str">
        <f>VLOOKUP(Table1_2[[#This Row],[Categories]],Sheet3!$A$1:$B$27,2,FALSE)</f>
        <v>Fuel and light</v>
      </c>
    </row>
    <row r="6687" spans="1:7" x14ac:dyDescent="0.3">
      <c r="A6687" t="s">
        <v>33</v>
      </c>
      <c r="B6687">
        <v>2020</v>
      </c>
      <c r="C6687" t="s">
        <v>31</v>
      </c>
      <c r="D6687" s="2">
        <v>43831</v>
      </c>
      <c r="E6687" t="s">
        <v>22</v>
      </c>
      <c r="F6687">
        <v>140.1</v>
      </c>
      <c r="G6687" t="str">
        <f>VLOOKUP(Table1_2[[#This Row],[Categories]],Sheet3!$A$1:$B$27,2,FALSE)</f>
        <v>Household Items</v>
      </c>
    </row>
    <row r="6688" spans="1:7" x14ac:dyDescent="0.3">
      <c r="A6688" t="s">
        <v>33</v>
      </c>
      <c r="B6688">
        <v>2020</v>
      </c>
      <c r="C6688" t="s">
        <v>31</v>
      </c>
      <c r="D6688" s="2">
        <v>43831</v>
      </c>
      <c r="E6688" t="s">
        <v>23</v>
      </c>
      <c r="F6688">
        <v>143.80000000000001</v>
      </c>
      <c r="G6688" t="str">
        <f>VLOOKUP(Table1_2[[#This Row],[Categories]],Sheet3!$A$1:$B$27,2,FALSE)</f>
        <v>Health</v>
      </c>
    </row>
    <row r="6689" spans="1:7" x14ac:dyDescent="0.3">
      <c r="A6689" t="s">
        <v>33</v>
      </c>
      <c r="B6689">
        <v>2020</v>
      </c>
      <c r="C6689" t="s">
        <v>31</v>
      </c>
      <c r="D6689" s="2">
        <v>43831</v>
      </c>
      <c r="E6689" t="s">
        <v>24</v>
      </c>
      <c r="F6689">
        <v>126.1</v>
      </c>
      <c r="G6689" t="str">
        <f>VLOOKUP(Table1_2[[#This Row],[Categories]],Sheet3!$A$1:$B$27,2,FALSE)</f>
        <v>Transport and communication</v>
      </c>
    </row>
    <row r="6690" spans="1:7" x14ac:dyDescent="0.3">
      <c r="A6690" t="s">
        <v>33</v>
      </c>
      <c r="B6690">
        <v>2020</v>
      </c>
      <c r="C6690" t="s">
        <v>31</v>
      </c>
      <c r="D6690" s="2">
        <v>43831</v>
      </c>
      <c r="E6690" t="s">
        <v>25</v>
      </c>
      <c r="F6690">
        <v>137.19999999999999</v>
      </c>
      <c r="G6690" t="str">
        <f>VLOOKUP(Table1_2[[#This Row],[Categories]],Sheet3!$A$1:$B$27,2,FALSE)</f>
        <v>Recreation and amusement</v>
      </c>
    </row>
    <row r="6691" spans="1:7" x14ac:dyDescent="0.3">
      <c r="A6691" t="s">
        <v>33</v>
      </c>
      <c r="B6691">
        <v>2020</v>
      </c>
      <c r="C6691" t="s">
        <v>31</v>
      </c>
      <c r="D6691" s="2">
        <v>43831</v>
      </c>
      <c r="E6691" t="s">
        <v>26</v>
      </c>
      <c r="F6691">
        <v>152.1</v>
      </c>
      <c r="G6691" t="str">
        <f>VLOOKUP(Table1_2[[#This Row],[Categories]],Sheet3!$A$1:$B$27,2,FALSE)</f>
        <v>Education</v>
      </c>
    </row>
    <row r="6692" spans="1:7" x14ac:dyDescent="0.3">
      <c r="A6692" t="s">
        <v>33</v>
      </c>
      <c r="B6692">
        <v>2020</v>
      </c>
      <c r="C6692" t="s">
        <v>31</v>
      </c>
      <c r="D6692" s="2">
        <v>43831</v>
      </c>
      <c r="E6692" t="s">
        <v>27</v>
      </c>
      <c r="F6692">
        <v>142.1</v>
      </c>
      <c r="G6692" t="str">
        <f>VLOOKUP(Table1_2[[#This Row],[Categories]],Sheet3!$A$1:$B$27,2,FALSE)</f>
        <v>Household Items</v>
      </c>
    </row>
    <row r="6693" spans="1:7" x14ac:dyDescent="0.3">
      <c r="A6693" t="s">
        <v>33</v>
      </c>
      <c r="B6693">
        <v>2020</v>
      </c>
      <c r="C6693" t="s">
        <v>31</v>
      </c>
      <c r="D6693" s="2">
        <v>43831</v>
      </c>
      <c r="E6693" t="s">
        <v>28</v>
      </c>
      <c r="F6693">
        <v>138.4</v>
      </c>
      <c r="G6693" t="str">
        <f>VLOOKUP(Table1_2[[#This Row],[Categories]],Sheet3!$A$1:$B$27,2,FALSE)</f>
        <v>Miscellaneous</v>
      </c>
    </row>
    <row r="6694" spans="1:7" x14ac:dyDescent="0.3">
      <c r="A6694" t="s">
        <v>33</v>
      </c>
      <c r="B6694">
        <v>2020</v>
      </c>
      <c r="C6694" t="s">
        <v>31</v>
      </c>
      <c r="D6694" s="2">
        <v>43831</v>
      </c>
      <c r="E6694" t="s">
        <v>29</v>
      </c>
      <c r="F6694">
        <v>148.19999999999999</v>
      </c>
      <c r="G6694" t="str">
        <f>VLOOKUP(Table1_2[[#This Row],[Categories]],Sheet3!$A$1:$B$27,2,FALSE)</f>
        <v>General index</v>
      </c>
    </row>
    <row r="6695" spans="1:7" x14ac:dyDescent="0.3">
      <c r="A6695" t="s">
        <v>34</v>
      </c>
      <c r="B6695">
        <v>2020</v>
      </c>
      <c r="C6695" t="s">
        <v>31</v>
      </c>
      <c r="D6695" s="2">
        <v>43831</v>
      </c>
      <c r="E6695" t="s">
        <v>3</v>
      </c>
      <c r="F6695">
        <v>144.30000000000001</v>
      </c>
      <c r="G6695" t="str">
        <f>VLOOKUP(Table1_2[[#This Row],[Categories]],Sheet3!$A$1:$B$27,2,FALSE)</f>
        <v>Food &amp;Beverage</v>
      </c>
    </row>
    <row r="6696" spans="1:7" x14ac:dyDescent="0.3">
      <c r="A6696" t="s">
        <v>34</v>
      </c>
      <c r="B6696">
        <v>2020</v>
      </c>
      <c r="C6696" t="s">
        <v>31</v>
      </c>
      <c r="D6696" s="2">
        <v>43831</v>
      </c>
      <c r="E6696" t="s">
        <v>4</v>
      </c>
      <c r="F6696">
        <v>167.4</v>
      </c>
      <c r="G6696" t="str">
        <f>VLOOKUP(Table1_2[[#This Row],[Categories]],Sheet3!$A$1:$B$27,2,FALSE)</f>
        <v>Food &amp;Beverage</v>
      </c>
    </row>
    <row r="6697" spans="1:7" x14ac:dyDescent="0.3">
      <c r="A6697" t="s">
        <v>34</v>
      </c>
      <c r="B6697">
        <v>2020</v>
      </c>
      <c r="C6697" t="s">
        <v>31</v>
      </c>
      <c r="D6697" s="2">
        <v>43831</v>
      </c>
      <c r="E6697" t="s">
        <v>5</v>
      </c>
      <c r="F6697">
        <v>154.9</v>
      </c>
      <c r="G6697" t="str">
        <f>VLOOKUP(Table1_2[[#This Row],[Categories]],Sheet3!$A$1:$B$27,2,FALSE)</f>
        <v>Food &amp;Beverage</v>
      </c>
    </row>
    <row r="6698" spans="1:7" x14ac:dyDescent="0.3">
      <c r="A6698" t="s">
        <v>34</v>
      </c>
      <c r="B6698">
        <v>2020</v>
      </c>
      <c r="C6698" t="s">
        <v>31</v>
      </c>
      <c r="D6698" s="2">
        <v>43831</v>
      </c>
      <c r="E6698" t="s">
        <v>6</v>
      </c>
      <c r="F6698">
        <v>150.1</v>
      </c>
      <c r="G6698" t="str">
        <f>VLOOKUP(Table1_2[[#This Row],[Categories]],Sheet3!$A$1:$B$27,2,FALSE)</f>
        <v>Food &amp;Beverage</v>
      </c>
    </row>
    <row r="6699" spans="1:7" x14ac:dyDescent="0.3">
      <c r="A6699" t="s">
        <v>34</v>
      </c>
      <c r="B6699">
        <v>2020</v>
      </c>
      <c r="C6699" t="s">
        <v>31</v>
      </c>
      <c r="D6699" s="2">
        <v>43831</v>
      </c>
      <c r="E6699" t="s">
        <v>7</v>
      </c>
      <c r="F6699">
        <v>129.9</v>
      </c>
      <c r="G6699" t="str">
        <f>VLOOKUP(Table1_2[[#This Row],[Categories]],Sheet3!$A$1:$B$27,2,FALSE)</f>
        <v>Food &amp;Beverage</v>
      </c>
    </row>
    <row r="6700" spans="1:7" x14ac:dyDescent="0.3">
      <c r="A6700" t="s">
        <v>34</v>
      </c>
      <c r="B6700">
        <v>2020</v>
      </c>
      <c r="C6700" t="s">
        <v>31</v>
      </c>
      <c r="D6700" s="2">
        <v>43831</v>
      </c>
      <c r="E6700" t="s">
        <v>8</v>
      </c>
      <c r="F6700">
        <v>143.19999999999999</v>
      </c>
      <c r="G6700" t="str">
        <f>VLOOKUP(Table1_2[[#This Row],[Categories]],Sheet3!$A$1:$B$27,2,FALSE)</f>
        <v>Food &amp;Beverage</v>
      </c>
    </row>
    <row r="6701" spans="1:7" x14ac:dyDescent="0.3">
      <c r="A6701" t="s">
        <v>34</v>
      </c>
      <c r="B6701">
        <v>2020</v>
      </c>
      <c r="C6701" t="s">
        <v>31</v>
      </c>
      <c r="D6701" s="2">
        <v>43831</v>
      </c>
      <c r="E6701" t="s">
        <v>9</v>
      </c>
      <c r="F6701">
        <v>197</v>
      </c>
      <c r="G6701" t="str">
        <f>VLOOKUP(Table1_2[[#This Row],[Categories]],Sheet3!$A$1:$B$27,2,FALSE)</f>
        <v>Food &amp;Beverage</v>
      </c>
    </row>
    <row r="6702" spans="1:7" x14ac:dyDescent="0.3">
      <c r="A6702" t="s">
        <v>34</v>
      </c>
      <c r="B6702">
        <v>2020</v>
      </c>
      <c r="C6702" t="s">
        <v>31</v>
      </c>
      <c r="D6702" s="2">
        <v>43831</v>
      </c>
      <c r="E6702" t="s">
        <v>10</v>
      </c>
      <c r="F6702">
        <v>140.4</v>
      </c>
      <c r="G6702" t="str">
        <f>VLOOKUP(Table1_2[[#This Row],[Categories]],Sheet3!$A$1:$B$27,2,FALSE)</f>
        <v>Food &amp;Beverage</v>
      </c>
    </row>
    <row r="6703" spans="1:7" x14ac:dyDescent="0.3">
      <c r="A6703" t="s">
        <v>34</v>
      </c>
      <c r="B6703">
        <v>2020</v>
      </c>
      <c r="C6703" t="s">
        <v>31</v>
      </c>
      <c r="D6703" s="2">
        <v>43831</v>
      </c>
      <c r="E6703" t="s">
        <v>11</v>
      </c>
      <c r="F6703">
        <v>114.1</v>
      </c>
      <c r="G6703" t="str">
        <f>VLOOKUP(Table1_2[[#This Row],[Categories]],Sheet3!$A$1:$B$27,2,FALSE)</f>
        <v>Food &amp;Beverage</v>
      </c>
    </row>
    <row r="6704" spans="1:7" x14ac:dyDescent="0.3">
      <c r="A6704" t="s">
        <v>34</v>
      </c>
      <c r="B6704">
        <v>2020</v>
      </c>
      <c r="C6704" t="s">
        <v>31</v>
      </c>
      <c r="D6704" s="2">
        <v>43831</v>
      </c>
      <c r="E6704" t="s">
        <v>12</v>
      </c>
      <c r="F6704">
        <v>150.9</v>
      </c>
      <c r="G6704" t="str">
        <f>VLOOKUP(Table1_2[[#This Row],[Categories]],Sheet3!$A$1:$B$27,2,FALSE)</f>
        <v>Food &amp;Beverage</v>
      </c>
    </row>
    <row r="6705" spans="1:7" x14ac:dyDescent="0.3">
      <c r="A6705" t="s">
        <v>34</v>
      </c>
      <c r="B6705">
        <v>2020</v>
      </c>
      <c r="C6705" t="s">
        <v>31</v>
      </c>
      <c r="D6705" s="2">
        <v>43831</v>
      </c>
      <c r="E6705" t="s">
        <v>13</v>
      </c>
      <c r="F6705">
        <v>136.1</v>
      </c>
      <c r="G6705" t="str">
        <f>VLOOKUP(Table1_2[[#This Row],[Categories]],Sheet3!$A$1:$B$27,2,FALSE)</f>
        <v>Food &amp;Beverage</v>
      </c>
    </row>
    <row r="6706" spans="1:7" x14ac:dyDescent="0.3">
      <c r="A6706" t="s">
        <v>34</v>
      </c>
      <c r="B6706">
        <v>2020</v>
      </c>
      <c r="C6706" t="s">
        <v>31</v>
      </c>
      <c r="D6706" s="2">
        <v>43831</v>
      </c>
      <c r="E6706" t="s">
        <v>14</v>
      </c>
      <c r="F6706">
        <v>158.6</v>
      </c>
      <c r="G6706" t="str">
        <f>VLOOKUP(Table1_2[[#This Row],[Categories]],Sheet3!$A$1:$B$27,2,FALSE)</f>
        <v>Food &amp;Beverage</v>
      </c>
    </row>
    <row r="6707" spans="1:7" x14ac:dyDescent="0.3">
      <c r="A6707" t="s">
        <v>34</v>
      </c>
      <c r="B6707">
        <v>2020</v>
      </c>
      <c r="C6707" t="s">
        <v>31</v>
      </c>
      <c r="D6707" s="2">
        <v>43831</v>
      </c>
      <c r="E6707" t="s">
        <v>15</v>
      </c>
      <c r="F6707">
        <v>153.5</v>
      </c>
      <c r="G6707" t="str">
        <f>VLOOKUP(Table1_2[[#This Row],[Categories]],Sheet3!$A$1:$B$27,2,FALSE)</f>
        <v>Food &amp;Beverage</v>
      </c>
    </row>
    <row r="6708" spans="1:7" x14ac:dyDescent="0.3">
      <c r="A6708" t="s">
        <v>34</v>
      </c>
      <c r="B6708">
        <v>2020</v>
      </c>
      <c r="C6708" t="s">
        <v>31</v>
      </c>
      <c r="D6708" s="2">
        <v>43831</v>
      </c>
      <c r="E6708" t="s">
        <v>16</v>
      </c>
      <c r="F6708">
        <v>169.2</v>
      </c>
      <c r="G6708" t="str">
        <f>VLOOKUP(Table1_2[[#This Row],[Categories]],Sheet3!$A$1:$B$27,2,FALSE)</f>
        <v>Recreation and amusement</v>
      </c>
    </row>
    <row r="6709" spans="1:7" x14ac:dyDescent="0.3">
      <c r="A6709" t="s">
        <v>34</v>
      </c>
      <c r="B6709">
        <v>2020</v>
      </c>
      <c r="C6709" t="s">
        <v>31</v>
      </c>
      <c r="D6709" s="2">
        <v>43831</v>
      </c>
      <c r="E6709" t="s">
        <v>17</v>
      </c>
      <c r="F6709">
        <v>150.5</v>
      </c>
      <c r="G6709" t="str">
        <f>VLOOKUP(Table1_2[[#This Row],[Categories]],Sheet3!$A$1:$B$27,2,FALSE)</f>
        <v>Clothing and footwear</v>
      </c>
    </row>
    <row r="6710" spans="1:7" x14ac:dyDescent="0.3">
      <c r="A6710" t="s">
        <v>34</v>
      </c>
      <c r="B6710">
        <v>2020</v>
      </c>
      <c r="C6710" t="s">
        <v>31</v>
      </c>
      <c r="D6710" s="2">
        <v>43831</v>
      </c>
      <c r="E6710" t="s">
        <v>18</v>
      </c>
      <c r="F6710">
        <v>141.5</v>
      </c>
      <c r="G6710" t="str">
        <f>VLOOKUP(Table1_2[[#This Row],[Categories]],Sheet3!$A$1:$B$27,2,FALSE)</f>
        <v>Clothing and footwear</v>
      </c>
    </row>
    <row r="6711" spans="1:7" x14ac:dyDescent="0.3">
      <c r="A6711" t="s">
        <v>34</v>
      </c>
      <c r="B6711">
        <v>2020</v>
      </c>
      <c r="C6711" t="s">
        <v>31</v>
      </c>
      <c r="D6711" s="2">
        <v>43831</v>
      </c>
      <c r="E6711" t="s">
        <v>19</v>
      </c>
      <c r="F6711">
        <v>149.19999999999999</v>
      </c>
      <c r="G6711" t="str">
        <f>VLOOKUP(Table1_2[[#This Row],[Categories]],Sheet3!$A$1:$B$27,2,FALSE)</f>
        <v>Clothing and footwear</v>
      </c>
    </row>
    <row r="6712" spans="1:7" x14ac:dyDescent="0.3">
      <c r="A6712" t="s">
        <v>34</v>
      </c>
      <c r="B6712">
        <v>2020</v>
      </c>
      <c r="C6712" t="s">
        <v>31</v>
      </c>
      <c r="D6712" s="2">
        <v>43831</v>
      </c>
      <c r="E6712" t="s">
        <v>20</v>
      </c>
      <c r="F6712">
        <v>153.9</v>
      </c>
      <c r="G6712" t="str">
        <f>VLOOKUP(Table1_2[[#This Row],[Categories]],Sheet3!$A$1:$B$27,2,FALSE)</f>
        <v>Housing</v>
      </c>
    </row>
    <row r="6713" spans="1:7" x14ac:dyDescent="0.3">
      <c r="A6713" t="s">
        <v>34</v>
      </c>
      <c r="B6713">
        <v>2020</v>
      </c>
      <c r="C6713" t="s">
        <v>31</v>
      </c>
      <c r="D6713" s="2">
        <v>43831</v>
      </c>
      <c r="E6713" t="s">
        <v>21</v>
      </c>
      <c r="F6713">
        <v>144.6</v>
      </c>
      <c r="G6713" t="str">
        <f>VLOOKUP(Table1_2[[#This Row],[Categories]],Sheet3!$A$1:$B$27,2,FALSE)</f>
        <v>Fuel and light</v>
      </c>
    </row>
    <row r="6714" spans="1:7" x14ac:dyDescent="0.3">
      <c r="A6714" t="s">
        <v>34</v>
      </c>
      <c r="B6714">
        <v>2020</v>
      </c>
      <c r="C6714" t="s">
        <v>31</v>
      </c>
      <c r="D6714" s="2">
        <v>43831</v>
      </c>
      <c r="E6714" t="s">
        <v>22</v>
      </c>
      <c r="F6714">
        <v>146.19999999999999</v>
      </c>
      <c r="G6714" t="str">
        <f>VLOOKUP(Table1_2[[#This Row],[Categories]],Sheet3!$A$1:$B$27,2,FALSE)</f>
        <v>Household Items</v>
      </c>
    </row>
    <row r="6715" spans="1:7" x14ac:dyDescent="0.3">
      <c r="A6715" t="s">
        <v>34</v>
      </c>
      <c r="B6715">
        <v>2020</v>
      </c>
      <c r="C6715" t="s">
        <v>31</v>
      </c>
      <c r="D6715" s="2">
        <v>43831</v>
      </c>
      <c r="E6715" t="s">
        <v>23</v>
      </c>
      <c r="F6715">
        <v>151.19999999999999</v>
      </c>
      <c r="G6715" t="str">
        <f>VLOOKUP(Table1_2[[#This Row],[Categories]],Sheet3!$A$1:$B$27,2,FALSE)</f>
        <v>Health</v>
      </c>
    </row>
    <row r="6716" spans="1:7" x14ac:dyDescent="0.3">
      <c r="A6716" t="s">
        <v>34</v>
      </c>
      <c r="B6716">
        <v>2020</v>
      </c>
      <c r="C6716" t="s">
        <v>31</v>
      </c>
      <c r="D6716" s="2">
        <v>43831</v>
      </c>
      <c r="E6716" t="s">
        <v>24</v>
      </c>
      <c r="F6716">
        <v>130.9</v>
      </c>
      <c r="G6716" t="str">
        <f>VLOOKUP(Table1_2[[#This Row],[Categories]],Sheet3!$A$1:$B$27,2,FALSE)</f>
        <v>Transport and communication</v>
      </c>
    </row>
    <row r="6717" spans="1:7" x14ac:dyDescent="0.3">
      <c r="A6717" t="s">
        <v>34</v>
      </c>
      <c r="B6717">
        <v>2020</v>
      </c>
      <c r="C6717" t="s">
        <v>31</v>
      </c>
      <c r="D6717" s="2">
        <v>43831</v>
      </c>
      <c r="E6717" t="s">
        <v>25</v>
      </c>
      <c r="F6717">
        <v>142.80000000000001</v>
      </c>
      <c r="G6717" t="str">
        <f>VLOOKUP(Table1_2[[#This Row],[Categories]],Sheet3!$A$1:$B$27,2,FALSE)</f>
        <v>Recreation and amusement</v>
      </c>
    </row>
    <row r="6718" spans="1:7" x14ac:dyDescent="0.3">
      <c r="A6718" t="s">
        <v>34</v>
      </c>
      <c r="B6718">
        <v>2020</v>
      </c>
      <c r="C6718" t="s">
        <v>31</v>
      </c>
      <c r="D6718" s="2">
        <v>43831</v>
      </c>
      <c r="E6718" t="s">
        <v>26</v>
      </c>
      <c r="F6718">
        <v>156.1</v>
      </c>
      <c r="G6718" t="str">
        <f>VLOOKUP(Table1_2[[#This Row],[Categories]],Sheet3!$A$1:$B$27,2,FALSE)</f>
        <v>Education</v>
      </c>
    </row>
    <row r="6719" spans="1:7" x14ac:dyDescent="0.3">
      <c r="A6719" t="s">
        <v>34</v>
      </c>
      <c r="B6719">
        <v>2020</v>
      </c>
      <c r="C6719" t="s">
        <v>31</v>
      </c>
      <c r="D6719" s="2">
        <v>43831</v>
      </c>
      <c r="E6719" t="s">
        <v>27</v>
      </c>
      <c r="F6719">
        <v>142.30000000000001</v>
      </c>
      <c r="G6719" t="str">
        <f>VLOOKUP(Table1_2[[#This Row],[Categories]],Sheet3!$A$1:$B$27,2,FALSE)</f>
        <v>Household Items</v>
      </c>
    </row>
    <row r="6720" spans="1:7" x14ac:dyDescent="0.3">
      <c r="A6720" t="s">
        <v>34</v>
      </c>
      <c r="B6720">
        <v>2020</v>
      </c>
      <c r="C6720" t="s">
        <v>31</v>
      </c>
      <c r="D6720" s="2">
        <v>43831</v>
      </c>
      <c r="E6720" t="s">
        <v>28</v>
      </c>
      <c r="F6720">
        <v>143.4</v>
      </c>
      <c r="G6720" t="str">
        <f>VLOOKUP(Table1_2[[#This Row],[Categories]],Sheet3!$A$1:$B$27,2,FALSE)</f>
        <v>Miscellaneous</v>
      </c>
    </row>
    <row r="6721" spans="1:7" x14ac:dyDescent="0.3">
      <c r="A6721" t="s">
        <v>34</v>
      </c>
      <c r="B6721">
        <v>2020</v>
      </c>
      <c r="C6721" t="s">
        <v>31</v>
      </c>
      <c r="D6721" s="2">
        <v>43831</v>
      </c>
      <c r="E6721" t="s">
        <v>29</v>
      </c>
      <c r="F6721">
        <v>150.19999999999999</v>
      </c>
      <c r="G6721" t="str">
        <f>VLOOKUP(Table1_2[[#This Row],[Categories]],Sheet3!$A$1:$B$27,2,FALSE)</f>
        <v>General index</v>
      </c>
    </row>
    <row r="6722" spans="1:7" x14ac:dyDescent="0.3">
      <c r="A6722" t="s">
        <v>30</v>
      </c>
      <c r="B6722">
        <v>2020</v>
      </c>
      <c r="C6722" t="s">
        <v>35</v>
      </c>
      <c r="D6722" s="2">
        <v>43862</v>
      </c>
      <c r="E6722" t="s">
        <v>3</v>
      </c>
      <c r="F6722">
        <v>144.19999999999999</v>
      </c>
      <c r="G6722" t="str">
        <f>VLOOKUP(Table1_2[[#This Row],[Categories]],Sheet3!$A$1:$B$27,2,FALSE)</f>
        <v>Food &amp;Beverage</v>
      </c>
    </row>
    <row r="6723" spans="1:7" x14ac:dyDescent="0.3">
      <c r="A6723" t="s">
        <v>30</v>
      </c>
      <c r="B6723">
        <v>2020</v>
      </c>
      <c r="C6723" t="s">
        <v>35</v>
      </c>
      <c r="D6723" s="2">
        <v>43862</v>
      </c>
      <c r="E6723" t="s">
        <v>4</v>
      </c>
      <c r="F6723">
        <v>167.5</v>
      </c>
      <c r="G6723" t="str">
        <f>VLOOKUP(Table1_2[[#This Row],[Categories]],Sheet3!$A$1:$B$27,2,FALSE)</f>
        <v>Food &amp;Beverage</v>
      </c>
    </row>
    <row r="6724" spans="1:7" x14ac:dyDescent="0.3">
      <c r="A6724" t="s">
        <v>30</v>
      </c>
      <c r="B6724">
        <v>2020</v>
      </c>
      <c r="C6724" t="s">
        <v>35</v>
      </c>
      <c r="D6724" s="2">
        <v>43862</v>
      </c>
      <c r="E6724" t="s">
        <v>5</v>
      </c>
      <c r="F6724">
        <v>150.9</v>
      </c>
      <c r="G6724" t="str">
        <f>VLOOKUP(Table1_2[[#This Row],[Categories]],Sheet3!$A$1:$B$27,2,FALSE)</f>
        <v>Food &amp;Beverage</v>
      </c>
    </row>
    <row r="6725" spans="1:7" x14ac:dyDescent="0.3">
      <c r="A6725" t="s">
        <v>30</v>
      </c>
      <c r="B6725">
        <v>2020</v>
      </c>
      <c r="C6725" t="s">
        <v>35</v>
      </c>
      <c r="D6725" s="2">
        <v>43862</v>
      </c>
      <c r="E6725" t="s">
        <v>6</v>
      </c>
      <c r="F6725">
        <v>150.9</v>
      </c>
      <c r="G6725" t="str">
        <f>VLOOKUP(Table1_2[[#This Row],[Categories]],Sheet3!$A$1:$B$27,2,FALSE)</f>
        <v>Food &amp;Beverage</v>
      </c>
    </row>
    <row r="6726" spans="1:7" x14ac:dyDescent="0.3">
      <c r="A6726" t="s">
        <v>30</v>
      </c>
      <c r="B6726">
        <v>2020</v>
      </c>
      <c r="C6726" t="s">
        <v>35</v>
      </c>
      <c r="D6726" s="2">
        <v>43862</v>
      </c>
      <c r="E6726" t="s">
        <v>7</v>
      </c>
      <c r="F6726">
        <v>133.69999999999999</v>
      </c>
      <c r="G6726" t="str">
        <f>VLOOKUP(Table1_2[[#This Row],[Categories]],Sheet3!$A$1:$B$27,2,FALSE)</f>
        <v>Food &amp;Beverage</v>
      </c>
    </row>
    <row r="6727" spans="1:7" x14ac:dyDescent="0.3">
      <c r="A6727" t="s">
        <v>30</v>
      </c>
      <c r="B6727">
        <v>2020</v>
      </c>
      <c r="C6727" t="s">
        <v>35</v>
      </c>
      <c r="D6727" s="2">
        <v>43862</v>
      </c>
      <c r="E6727" t="s">
        <v>8</v>
      </c>
      <c r="F6727">
        <v>140.69999999999999</v>
      </c>
      <c r="G6727" t="str">
        <f>VLOOKUP(Table1_2[[#This Row],[Categories]],Sheet3!$A$1:$B$27,2,FALSE)</f>
        <v>Food &amp;Beverage</v>
      </c>
    </row>
    <row r="6728" spans="1:7" x14ac:dyDescent="0.3">
      <c r="A6728" t="s">
        <v>30</v>
      </c>
      <c r="B6728">
        <v>2020</v>
      </c>
      <c r="C6728" t="s">
        <v>35</v>
      </c>
      <c r="D6728" s="2">
        <v>43862</v>
      </c>
      <c r="E6728" t="s">
        <v>9</v>
      </c>
      <c r="F6728">
        <v>165.1</v>
      </c>
      <c r="G6728" t="str">
        <f>VLOOKUP(Table1_2[[#This Row],[Categories]],Sheet3!$A$1:$B$27,2,FALSE)</f>
        <v>Food &amp;Beverage</v>
      </c>
    </row>
    <row r="6729" spans="1:7" x14ac:dyDescent="0.3">
      <c r="A6729" t="s">
        <v>30</v>
      </c>
      <c r="B6729">
        <v>2020</v>
      </c>
      <c r="C6729" t="s">
        <v>35</v>
      </c>
      <c r="D6729" s="2">
        <v>43862</v>
      </c>
      <c r="E6729" t="s">
        <v>10</v>
      </c>
      <c r="F6729">
        <v>141.80000000000001</v>
      </c>
      <c r="G6729" t="str">
        <f>VLOOKUP(Table1_2[[#This Row],[Categories]],Sheet3!$A$1:$B$27,2,FALSE)</f>
        <v>Food &amp;Beverage</v>
      </c>
    </row>
    <row r="6730" spans="1:7" x14ac:dyDescent="0.3">
      <c r="A6730" t="s">
        <v>30</v>
      </c>
      <c r="B6730">
        <v>2020</v>
      </c>
      <c r="C6730" t="s">
        <v>35</v>
      </c>
      <c r="D6730" s="2">
        <v>43862</v>
      </c>
      <c r="E6730" t="s">
        <v>11</v>
      </c>
      <c r="F6730">
        <v>113.1</v>
      </c>
      <c r="G6730" t="str">
        <f>VLOOKUP(Table1_2[[#This Row],[Categories]],Sheet3!$A$1:$B$27,2,FALSE)</f>
        <v>Food &amp;Beverage</v>
      </c>
    </row>
    <row r="6731" spans="1:7" x14ac:dyDescent="0.3">
      <c r="A6731" t="s">
        <v>30</v>
      </c>
      <c r="B6731">
        <v>2020</v>
      </c>
      <c r="C6731" t="s">
        <v>35</v>
      </c>
      <c r="D6731" s="2">
        <v>43862</v>
      </c>
      <c r="E6731" t="s">
        <v>12</v>
      </c>
      <c r="F6731">
        <v>152.80000000000001</v>
      </c>
      <c r="G6731" t="str">
        <f>VLOOKUP(Table1_2[[#This Row],[Categories]],Sheet3!$A$1:$B$27,2,FALSE)</f>
        <v>Food &amp;Beverage</v>
      </c>
    </row>
    <row r="6732" spans="1:7" x14ac:dyDescent="0.3">
      <c r="A6732" t="s">
        <v>30</v>
      </c>
      <c r="B6732">
        <v>2020</v>
      </c>
      <c r="C6732" t="s">
        <v>35</v>
      </c>
      <c r="D6732" s="2">
        <v>43862</v>
      </c>
      <c r="E6732" t="s">
        <v>13</v>
      </c>
      <c r="F6732">
        <v>140.1</v>
      </c>
      <c r="G6732" t="str">
        <f>VLOOKUP(Table1_2[[#This Row],[Categories]],Sheet3!$A$1:$B$27,2,FALSE)</f>
        <v>Food &amp;Beverage</v>
      </c>
    </row>
    <row r="6733" spans="1:7" x14ac:dyDescent="0.3">
      <c r="A6733" t="s">
        <v>30</v>
      </c>
      <c r="B6733">
        <v>2020</v>
      </c>
      <c r="C6733" t="s">
        <v>35</v>
      </c>
      <c r="D6733" s="2">
        <v>43862</v>
      </c>
      <c r="E6733" t="s">
        <v>14</v>
      </c>
      <c r="F6733">
        <v>159.19999999999999</v>
      </c>
      <c r="G6733" t="str">
        <f>VLOOKUP(Table1_2[[#This Row],[Categories]],Sheet3!$A$1:$B$27,2,FALSE)</f>
        <v>Food &amp;Beverage</v>
      </c>
    </row>
    <row r="6734" spans="1:7" x14ac:dyDescent="0.3">
      <c r="A6734" t="s">
        <v>30</v>
      </c>
      <c r="B6734">
        <v>2020</v>
      </c>
      <c r="C6734" t="s">
        <v>35</v>
      </c>
      <c r="D6734" s="2">
        <v>43862</v>
      </c>
      <c r="E6734" t="s">
        <v>15</v>
      </c>
      <c r="F6734">
        <v>149.80000000000001</v>
      </c>
      <c r="G6734" t="str">
        <f>VLOOKUP(Table1_2[[#This Row],[Categories]],Sheet3!$A$1:$B$27,2,FALSE)</f>
        <v>Food &amp;Beverage</v>
      </c>
    </row>
    <row r="6735" spans="1:7" x14ac:dyDescent="0.3">
      <c r="A6735" t="s">
        <v>30</v>
      </c>
      <c r="B6735">
        <v>2020</v>
      </c>
      <c r="C6735" t="s">
        <v>35</v>
      </c>
      <c r="D6735" s="2">
        <v>43862</v>
      </c>
      <c r="E6735" t="s">
        <v>16</v>
      </c>
      <c r="F6735">
        <v>169.4</v>
      </c>
      <c r="G6735" t="str">
        <f>VLOOKUP(Table1_2[[#This Row],[Categories]],Sheet3!$A$1:$B$27,2,FALSE)</f>
        <v>Recreation and amusement</v>
      </c>
    </row>
    <row r="6736" spans="1:7" x14ac:dyDescent="0.3">
      <c r="A6736" t="s">
        <v>30</v>
      </c>
      <c r="B6736">
        <v>2020</v>
      </c>
      <c r="C6736" t="s">
        <v>35</v>
      </c>
      <c r="D6736" s="2">
        <v>43862</v>
      </c>
      <c r="E6736" t="s">
        <v>17</v>
      </c>
      <c r="F6736">
        <v>153</v>
      </c>
      <c r="G6736" t="str">
        <f>VLOOKUP(Table1_2[[#This Row],[Categories]],Sheet3!$A$1:$B$27,2,FALSE)</f>
        <v>Clothing and footwear</v>
      </c>
    </row>
    <row r="6737" spans="1:7" x14ac:dyDescent="0.3">
      <c r="A6737" t="s">
        <v>30</v>
      </c>
      <c r="B6737">
        <v>2020</v>
      </c>
      <c r="C6737" t="s">
        <v>35</v>
      </c>
      <c r="D6737" s="2">
        <v>43862</v>
      </c>
      <c r="E6737" t="s">
        <v>18</v>
      </c>
      <c r="F6737">
        <v>147.5</v>
      </c>
      <c r="G6737" t="str">
        <f>VLOOKUP(Table1_2[[#This Row],[Categories]],Sheet3!$A$1:$B$27,2,FALSE)</f>
        <v>Clothing and footwear</v>
      </c>
    </row>
    <row r="6738" spans="1:7" x14ac:dyDescent="0.3">
      <c r="A6738" t="s">
        <v>30</v>
      </c>
      <c r="B6738">
        <v>2020</v>
      </c>
      <c r="C6738" t="s">
        <v>35</v>
      </c>
      <c r="D6738" s="2">
        <v>43862</v>
      </c>
      <c r="E6738" t="s">
        <v>19</v>
      </c>
      <c r="F6738">
        <v>152.30000000000001</v>
      </c>
      <c r="G6738" t="str">
        <f>VLOOKUP(Table1_2[[#This Row],[Categories]],Sheet3!$A$1:$B$27,2,FALSE)</f>
        <v>Clothing and footwear</v>
      </c>
    </row>
    <row r="6739" spans="1:7" x14ac:dyDescent="0.3">
      <c r="A6739" t="s">
        <v>30</v>
      </c>
      <c r="B6739">
        <v>2020</v>
      </c>
      <c r="C6739" t="s">
        <v>35</v>
      </c>
      <c r="D6739" s="2">
        <v>43862</v>
      </c>
      <c r="E6739" t="s">
        <v>21</v>
      </c>
      <c r="F6739">
        <v>152.30000000000001</v>
      </c>
      <c r="G6739" t="str">
        <f>VLOOKUP(Table1_2[[#This Row],[Categories]],Sheet3!$A$1:$B$27,2,FALSE)</f>
        <v>Fuel and light</v>
      </c>
    </row>
    <row r="6740" spans="1:7" x14ac:dyDescent="0.3">
      <c r="A6740" t="s">
        <v>30</v>
      </c>
      <c r="B6740">
        <v>2020</v>
      </c>
      <c r="C6740" t="s">
        <v>35</v>
      </c>
      <c r="D6740" s="2">
        <v>43862</v>
      </c>
      <c r="E6740" t="s">
        <v>22</v>
      </c>
      <c r="F6740">
        <v>151.80000000000001</v>
      </c>
      <c r="G6740" t="str">
        <f>VLOOKUP(Table1_2[[#This Row],[Categories]],Sheet3!$A$1:$B$27,2,FALSE)</f>
        <v>Household Items</v>
      </c>
    </row>
    <row r="6741" spans="1:7" x14ac:dyDescent="0.3">
      <c r="A6741" t="s">
        <v>30</v>
      </c>
      <c r="B6741">
        <v>2020</v>
      </c>
      <c r="C6741" t="s">
        <v>35</v>
      </c>
      <c r="D6741" s="2">
        <v>43862</v>
      </c>
      <c r="E6741" t="s">
        <v>23</v>
      </c>
      <c r="F6741">
        <v>156.19999999999999</v>
      </c>
      <c r="G6741" t="str">
        <f>VLOOKUP(Table1_2[[#This Row],[Categories]],Sheet3!$A$1:$B$27,2,FALSE)</f>
        <v>Health</v>
      </c>
    </row>
    <row r="6742" spans="1:7" x14ac:dyDescent="0.3">
      <c r="A6742" t="s">
        <v>30</v>
      </c>
      <c r="B6742">
        <v>2020</v>
      </c>
      <c r="C6742" t="s">
        <v>35</v>
      </c>
      <c r="D6742" s="2">
        <v>43862</v>
      </c>
      <c r="E6742" t="s">
        <v>24</v>
      </c>
      <c r="F6742">
        <v>136</v>
      </c>
      <c r="G6742" t="str">
        <f>VLOOKUP(Table1_2[[#This Row],[Categories]],Sheet3!$A$1:$B$27,2,FALSE)</f>
        <v>Transport and communication</v>
      </c>
    </row>
    <row r="6743" spans="1:7" x14ac:dyDescent="0.3">
      <c r="A6743" t="s">
        <v>30</v>
      </c>
      <c r="B6743">
        <v>2020</v>
      </c>
      <c r="C6743" t="s">
        <v>35</v>
      </c>
      <c r="D6743" s="2">
        <v>43862</v>
      </c>
      <c r="E6743" t="s">
        <v>25</v>
      </c>
      <c r="F6743">
        <v>150.4</v>
      </c>
      <c r="G6743" t="str">
        <f>VLOOKUP(Table1_2[[#This Row],[Categories]],Sheet3!$A$1:$B$27,2,FALSE)</f>
        <v>Recreation and amusement</v>
      </c>
    </row>
    <row r="6744" spans="1:7" x14ac:dyDescent="0.3">
      <c r="A6744" t="s">
        <v>30</v>
      </c>
      <c r="B6744">
        <v>2020</v>
      </c>
      <c r="C6744" t="s">
        <v>35</v>
      </c>
      <c r="D6744" s="2">
        <v>43862</v>
      </c>
      <c r="E6744" t="s">
        <v>26</v>
      </c>
      <c r="F6744">
        <v>161.9</v>
      </c>
      <c r="G6744" t="str">
        <f>VLOOKUP(Table1_2[[#This Row],[Categories]],Sheet3!$A$1:$B$27,2,FALSE)</f>
        <v>Education</v>
      </c>
    </row>
    <row r="6745" spans="1:7" x14ac:dyDescent="0.3">
      <c r="A6745" t="s">
        <v>30</v>
      </c>
      <c r="B6745">
        <v>2020</v>
      </c>
      <c r="C6745" t="s">
        <v>35</v>
      </c>
      <c r="D6745" s="2">
        <v>43862</v>
      </c>
      <c r="E6745" t="s">
        <v>27</v>
      </c>
      <c r="F6745">
        <v>143.4</v>
      </c>
      <c r="G6745" t="str">
        <f>VLOOKUP(Table1_2[[#This Row],[Categories]],Sheet3!$A$1:$B$27,2,FALSE)</f>
        <v>Household Items</v>
      </c>
    </row>
    <row r="6746" spans="1:7" x14ac:dyDescent="0.3">
      <c r="A6746" t="s">
        <v>30</v>
      </c>
      <c r="B6746">
        <v>2020</v>
      </c>
      <c r="C6746" t="s">
        <v>35</v>
      </c>
      <c r="D6746" s="2">
        <v>43862</v>
      </c>
      <c r="E6746" t="s">
        <v>28</v>
      </c>
      <c r="F6746">
        <v>148.4</v>
      </c>
      <c r="G6746" t="str">
        <f>VLOOKUP(Table1_2[[#This Row],[Categories]],Sheet3!$A$1:$B$27,2,FALSE)</f>
        <v>Miscellaneous</v>
      </c>
    </row>
    <row r="6747" spans="1:7" x14ac:dyDescent="0.3">
      <c r="A6747" t="s">
        <v>30</v>
      </c>
      <c r="B6747">
        <v>2020</v>
      </c>
      <c r="C6747" t="s">
        <v>35</v>
      </c>
      <c r="D6747" s="2">
        <v>43862</v>
      </c>
      <c r="E6747" t="s">
        <v>29</v>
      </c>
      <c r="F6747">
        <v>150.4</v>
      </c>
      <c r="G6747" t="str">
        <f>VLOOKUP(Table1_2[[#This Row],[Categories]],Sheet3!$A$1:$B$27,2,FALSE)</f>
        <v>General index</v>
      </c>
    </row>
    <row r="6748" spans="1:7" x14ac:dyDescent="0.3">
      <c r="A6748" t="s">
        <v>33</v>
      </c>
      <c r="B6748">
        <v>2020</v>
      </c>
      <c r="C6748" t="s">
        <v>35</v>
      </c>
      <c r="D6748" s="2">
        <v>43862</v>
      </c>
      <c r="E6748" t="s">
        <v>3</v>
      </c>
      <c r="F6748">
        <v>146.19999999999999</v>
      </c>
      <c r="G6748" t="str">
        <f>VLOOKUP(Table1_2[[#This Row],[Categories]],Sheet3!$A$1:$B$27,2,FALSE)</f>
        <v>Food &amp;Beverage</v>
      </c>
    </row>
    <row r="6749" spans="1:7" x14ac:dyDescent="0.3">
      <c r="A6749" t="s">
        <v>33</v>
      </c>
      <c r="B6749">
        <v>2020</v>
      </c>
      <c r="C6749" t="s">
        <v>35</v>
      </c>
      <c r="D6749" s="2">
        <v>43862</v>
      </c>
      <c r="E6749" t="s">
        <v>4</v>
      </c>
      <c r="F6749">
        <v>167.6</v>
      </c>
      <c r="G6749" t="str">
        <f>VLOOKUP(Table1_2[[#This Row],[Categories]],Sheet3!$A$1:$B$27,2,FALSE)</f>
        <v>Food &amp;Beverage</v>
      </c>
    </row>
    <row r="6750" spans="1:7" x14ac:dyDescent="0.3">
      <c r="A6750" t="s">
        <v>33</v>
      </c>
      <c r="B6750">
        <v>2020</v>
      </c>
      <c r="C6750" t="s">
        <v>35</v>
      </c>
      <c r="D6750" s="2">
        <v>43862</v>
      </c>
      <c r="E6750" t="s">
        <v>5</v>
      </c>
      <c r="F6750">
        <v>153.1</v>
      </c>
      <c r="G6750" t="str">
        <f>VLOOKUP(Table1_2[[#This Row],[Categories]],Sheet3!$A$1:$B$27,2,FALSE)</f>
        <v>Food &amp;Beverage</v>
      </c>
    </row>
    <row r="6751" spans="1:7" x14ac:dyDescent="0.3">
      <c r="A6751" t="s">
        <v>33</v>
      </c>
      <c r="B6751">
        <v>2020</v>
      </c>
      <c r="C6751" t="s">
        <v>35</v>
      </c>
      <c r="D6751" s="2">
        <v>43862</v>
      </c>
      <c r="E6751" t="s">
        <v>6</v>
      </c>
      <c r="F6751">
        <v>150.69999999999999</v>
      </c>
      <c r="G6751" t="str">
        <f>VLOOKUP(Table1_2[[#This Row],[Categories]],Sheet3!$A$1:$B$27,2,FALSE)</f>
        <v>Food &amp;Beverage</v>
      </c>
    </row>
    <row r="6752" spans="1:7" x14ac:dyDescent="0.3">
      <c r="A6752" t="s">
        <v>33</v>
      </c>
      <c r="B6752">
        <v>2020</v>
      </c>
      <c r="C6752" t="s">
        <v>35</v>
      </c>
      <c r="D6752" s="2">
        <v>43862</v>
      </c>
      <c r="E6752" t="s">
        <v>7</v>
      </c>
      <c r="F6752">
        <v>127.4</v>
      </c>
      <c r="G6752" t="str">
        <f>VLOOKUP(Table1_2[[#This Row],[Categories]],Sheet3!$A$1:$B$27,2,FALSE)</f>
        <v>Food &amp;Beverage</v>
      </c>
    </row>
    <row r="6753" spans="1:7" x14ac:dyDescent="0.3">
      <c r="A6753" t="s">
        <v>33</v>
      </c>
      <c r="B6753">
        <v>2020</v>
      </c>
      <c r="C6753" t="s">
        <v>35</v>
      </c>
      <c r="D6753" s="2">
        <v>43862</v>
      </c>
      <c r="E6753" t="s">
        <v>8</v>
      </c>
      <c r="F6753">
        <v>143.1</v>
      </c>
      <c r="G6753" t="str">
        <f>VLOOKUP(Table1_2[[#This Row],[Categories]],Sheet3!$A$1:$B$27,2,FALSE)</f>
        <v>Food &amp;Beverage</v>
      </c>
    </row>
    <row r="6754" spans="1:7" x14ac:dyDescent="0.3">
      <c r="A6754" t="s">
        <v>33</v>
      </c>
      <c r="B6754">
        <v>2020</v>
      </c>
      <c r="C6754" t="s">
        <v>35</v>
      </c>
      <c r="D6754" s="2">
        <v>43862</v>
      </c>
      <c r="E6754" t="s">
        <v>9</v>
      </c>
      <c r="F6754">
        <v>181.7</v>
      </c>
      <c r="G6754" t="str">
        <f>VLOOKUP(Table1_2[[#This Row],[Categories]],Sheet3!$A$1:$B$27,2,FALSE)</f>
        <v>Food &amp;Beverage</v>
      </c>
    </row>
    <row r="6755" spans="1:7" x14ac:dyDescent="0.3">
      <c r="A6755" t="s">
        <v>33</v>
      </c>
      <c r="B6755">
        <v>2020</v>
      </c>
      <c r="C6755" t="s">
        <v>35</v>
      </c>
      <c r="D6755" s="2">
        <v>43862</v>
      </c>
      <c r="E6755" t="s">
        <v>10</v>
      </c>
      <c r="F6755">
        <v>139.6</v>
      </c>
      <c r="G6755" t="str">
        <f>VLOOKUP(Table1_2[[#This Row],[Categories]],Sheet3!$A$1:$B$27,2,FALSE)</f>
        <v>Food &amp;Beverage</v>
      </c>
    </row>
    <row r="6756" spans="1:7" x14ac:dyDescent="0.3">
      <c r="A6756" t="s">
        <v>33</v>
      </c>
      <c r="B6756">
        <v>2020</v>
      </c>
      <c r="C6756" t="s">
        <v>35</v>
      </c>
      <c r="D6756" s="2">
        <v>43862</v>
      </c>
      <c r="E6756" t="s">
        <v>11</v>
      </c>
      <c r="F6756">
        <v>114.6</v>
      </c>
      <c r="G6756" t="str">
        <f>VLOOKUP(Table1_2[[#This Row],[Categories]],Sheet3!$A$1:$B$27,2,FALSE)</f>
        <v>Food &amp;Beverage</v>
      </c>
    </row>
    <row r="6757" spans="1:7" x14ac:dyDescent="0.3">
      <c r="A6757" t="s">
        <v>33</v>
      </c>
      <c r="B6757">
        <v>2020</v>
      </c>
      <c r="C6757" t="s">
        <v>35</v>
      </c>
      <c r="D6757" s="2">
        <v>43862</v>
      </c>
      <c r="E6757" t="s">
        <v>12</v>
      </c>
      <c r="F6757">
        <v>150.4</v>
      </c>
      <c r="G6757" t="str">
        <f>VLOOKUP(Table1_2[[#This Row],[Categories]],Sheet3!$A$1:$B$27,2,FALSE)</f>
        <v>Food &amp;Beverage</v>
      </c>
    </row>
    <row r="6758" spans="1:7" x14ac:dyDescent="0.3">
      <c r="A6758" t="s">
        <v>33</v>
      </c>
      <c r="B6758">
        <v>2020</v>
      </c>
      <c r="C6758" t="s">
        <v>35</v>
      </c>
      <c r="D6758" s="2">
        <v>43862</v>
      </c>
      <c r="E6758" t="s">
        <v>13</v>
      </c>
      <c r="F6758">
        <v>131.5</v>
      </c>
      <c r="G6758" t="str">
        <f>VLOOKUP(Table1_2[[#This Row],[Categories]],Sheet3!$A$1:$B$27,2,FALSE)</f>
        <v>Food &amp;Beverage</v>
      </c>
    </row>
    <row r="6759" spans="1:7" x14ac:dyDescent="0.3">
      <c r="A6759" t="s">
        <v>33</v>
      </c>
      <c r="B6759">
        <v>2020</v>
      </c>
      <c r="C6759" t="s">
        <v>35</v>
      </c>
      <c r="D6759" s="2">
        <v>43862</v>
      </c>
      <c r="E6759" t="s">
        <v>14</v>
      </c>
      <c r="F6759">
        <v>159</v>
      </c>
      <c r="G6759" t="str">
        <f>VLOOKUP(Table1_2[[#This Row],[Categories]],Sheet3!$A$1:$B$27,2,FALSE)</f>
        <v>Food &amp;Beverage</v>
      </c>
    </row>
    <row r="6760" spans="1:7" x14ac:dyDescent="0.3">
      <c r="A6760" t="s">
        <v>33</v>
      </c>
      <c r="B6760">
        <v>2020</v>
      </c>
      <c r="C6760" t="s">
        <v>35</v>
      </c>
      <c r="D6760" s="2">
        <v>43862</v>
      </c>
      <c r="E6760" t="s">
        <v>15</v>
      </c>
      <c r="F6760">
        <v>151.69999999999999</v>
      </c>
      <c r="G6760" t="str">
        <f>VLOOKUP(Table1_2[[#This Row],[Categories]],Sheet3!$A$1:$B$27,2,FALSE)</f>
        <v>Food &amp;Beverage</v>
      </c>
    </row>
    <row r="6761" spans="1:7" x14ac:dyDescent="0.3">
      <c r="A6761" t="s">
        <v>33</v>
      </c>
      <c r="B6761">
        <v>2020</v>
      </c>
      <c r="C6761" t="s">
        <v>35</v>
      </c>
      <c r="D6761" s="2">
        <v>43862</v>
      </c>
      <c r="E6761" t="s">
        <v>16</v>
      </c>
      <c r="F6761">
        <v>172</v>
      </c>
      <c r="G6761" t="str">
        <f>VLOOKUP(Table1_2[[#This Row],[Categories]],Sheet3!$A$1:$B$27,2,FALSE)</f>
        <v>Recreation and amusement</v>
      </c>
    </row>
    <row r="6762" spans="1:7" x14ac:dyDescent="0.3">
      <c r="A6762" t="s">
        <v>33</v>
      </c>
      <c r="B6762">
        <v>2020</v>
      </c>
      <c r="C6762" t="s">
        <v>35</v>
      </c>
      <c r="D6762" s="2">
        <v>43862</v>
      </c>
      <c r="E6762" t="s">
        <v>17</v>
      </c>
      <c r="F6762">
        <v>147.30000000000001</v>
      </c>
      <c r="G6762" t="str">
        <f>VLOOKUP(Table1_2[[#This Row],[Categories]],Sheet3!$A$1:$B$27,2,FALSE)</f>
        <v>Clothing and footwear</v>
      </c>
    </row>
    <row r="6763" spans="1:7" x14ac:dyDescent="0.3">
      <c r="A6763" t="s">
        <v>33</v>
      </c>
      <c r="B6763">
        <v>2020</v>
      </c>
      <c r="C6763" t="s">
        <v>35</v>
      </c>
      <c r="D6763" s="2">
        <v>43862</v>
      </c>
      <c r="E6763" t="s">
        <v>18</v>
      </c>
      <c r="F6763">
        <v>133.5</v>
      </c>
      <c r="G6763" t="str">
        <f>VLOOKUP(Table1_2[[#This Row],[Categories]],Sheet3!$A$1:$B$27,2,FALSE)</f>
        <v>Clothing and footwear</v>
      </c>
    </row>
    <row r="6764" spans="1:7" x14ac:dyDescent="0.3">
      <c r="A6764" t="s">
        <v>33</v>
      </c>
      <c r="B6764">
        <v>2020</v>
      </c>
      <c r="C6764" t="s">
        <v>35</v>
      </c>
      <c r="D6764" s="2">
        <v>43862</v>
      </c>
      <c r="E6764" t="s">
        <v>19</v>
      </c>
      <c r="F6764">
        <v>145.19999999999999</v>
      </c>
      <c r="G6764" t="str">
        <f>VLOOKUP(Table1_2[[#This Row],[Categories]],Sheet3!$A$1:$B$27,2,FALSE)</f>
        <v>Clothing and footwear</v>
      </c>
    </row>
    <row r="6765" spans="1:7" x14ac:dyDescent="0.3">
      <c r="A6765" t="s">
        <v>33</v>
      </c>
      <c r="B6765">
        <v>2020</v>
      </c>
      <c r="C6765" t="s">
        <v>35</v>
      </c>
      <c r="D6765" s="2">
        <v>43862</v>
      </c>
      <c r="E6765" t="s">
        <v>20</v>
      </c>
      <c r="F6765">
        <v>154.80000000000001</v>
      </c>
      <c r="G6765" t="str">
        <f>VLOOKUP(Table1_2[[#This Row],[Categories]],Sheet3!$A$1:$B$27,2,FALSE)</f>
        <v>Housing</v>
      </c>
    </row>
    <row r="6766" spans="1:7" x14ac:dyDescent="0.3">
      <c r="A6766" t="s">
        <v>33</v>
      </c>
      <c r="B6766">
        <v>2020</v>
      </c>
      <c r="C6766" t="s">
        <v>35</v>
      </c>
      <c r="D6766" s="2">
        <v>43862</v>
      </c>
      <c r="E6766" t="s">
        <v>21</v>
      </c>
      <c r="F6766">
        <v>138.9</v>
      </c>
      <c r="G6766" t="str">
        <f>VLOOKUP(Table1_2[[#This Row],[Categories]],Sheet3!$A$1:$B$27,2,FALSE)</f>
        <v>Fuel and light</v>
      </c>
    </row>
    <row r="6767" spans="1:7" x14ac:dyDescent="0.3">
      <c r="A6767" t="s">
        <v>33</v>
      </c>
      <c r="B6767">
        <v>2020</v>
      </c>
      <c r="C6767" t="s">
        <v>35</v>
      </c>
      <c r="D6767" s="2">
        <v>43862</v>
      </c>
      <c r="E6767" t="s">
        <v>22</v>
      </c>
      <c r="F6767">
        <v>140.4</v>
      </c>
      <c r="G6767" t="str">
        <f>VLOOKUP(Table1_2[[#This Row],[Categories]],Sheet3!$A$1:$B$27,2,FALSE)</f>
        <v>Household Items</v>
      </c>
    </row>
    <row r="6768" spans="1:7" x14ac:dyDescent="0.3">
      <c r="A6768" t="s">
        <v>33</v>
      </c>
      <c r="B6768">
        <v>2020</v>
      </c>
      <c r="C6768" t="s">
        <v>35</v>
      </c>
      <c r="D6768" s="2">
        <v>43862</v>
      </c>
      <c r="E6768" t="s">
        <v>23</v>
      </c>
      <c r="F6768">
        <v>144.4</v>
      </c>
      <c r="G6768" t="str">
        <f>VLOOKUP(Table1_2[[#This Row],[Categories]],Sheet3!$A$1:$B$27,2,FALSE)</f>
        <v>Health</v>
      </c>
    </row>
    <row r="6769" spans="1:7" x14ac:dyDescent="0.3">
      <c r="A6769" t="s">
        <v>33</v>
      </c>
      <c r="B6769">
        <v>2020</v>
      </c>
      <c r="C6769" t="s">
        <v>35</v>
      </c>
      <c r="D6769" s="2">
        <v>43862</v>
      </c>
      <c r="E6769" t="s">
        <v>24</v>
      </c>
      <c r="F6769">
        <v>125.2</v>
      </c>
      <c r="G6769" t="str">
        <f>VLOOKUP(Table1_2[[#This Row],[Categories]],Sheet3!$A$1:$B$27,2,FALSE)</f>
        <v>Transport and communication</v>
      </c>
    </row>
    <row r="6770" spans="1:7" x14ac:dyDescent="0.3">
      <c r="A6770" t="s">
        <v>33</v>
      </c>
      <c r="B6770">
        <v>2020</v>
      </c>
      <c r="C6770" t="s">
        <v>35</v>
      </c>
      <c r="D6770" s="2">
        <v>43862</v>
      </c>
      <c r="E6770" t="s">
        <v>25</v>
      </c>
      <c r="F6770">
        <v>137.69999999999999</v>
      </c>
      <c r="G6770" t="str">
        <f>VLOOKUP(Table1_2[[#This Row],[Categories]],Sheet3!$A$1:$B$27,2,FALSE)</f>
        <v>Recreation and amusement</v>
      </c>
    </row>
    <row r="6771" spans="1:7" x14ac:dyDescent="0.3">
      <c r="A6771" t="s">
        <v>33</v>
      </c>
      <c r="B6771">
        <v>2020</v>
      </c>
      <c r="C6771" t="s">
        <v>35</v>
      </c>
      <c r="D6771" s="2">
        <v>43862</v>
      </c>
      <c r="E6771" t="s">
        <v>26</v>
      </c>
      <c r="F6771">
        <v>152.19999999999999</v>
      </c>
      <c r="G6771" t="str">
        <f>VLOOKUP(Table1_2[[#This Row],[Categories]],Sheet3!$A$1:$B$27,2,FALSE)</f>
        <v>Education</v>
      </c>
    </row>
    <row r="6772" spans="1:7" x14ac:dyDescent="0.3">
      <c r="A6772" t="s">
        <v>33</v>
      </c>
      <c r="B6772">
        <v>2020</v>
      </c>
      <c r="C6772" t="s">
        <v>35</v>
      </c>
      <c r="D6772" s="2">
        <v>43862</v>
      </c>
      <c r="E6772" t="s">
        <v>27</v>
      </c>
      <c r="F6772">
        <v>143.5</v>
      </c>
      <c r="G6772" t="str">
        <f>VLOOKUP(Table1_2[[#This Row],[Categories]],Sheet3!$A$1:$B$27,2,FALSE)</f>
        <v>Household Items</v>
      </c>
    </row>
    <row r="6773" spans="1:7" x14ac:dyDescent="0.3">
      <c r="A6773" t="s">
        <v>33</v>
      </c>
      <c r="B6773">
        <v>2020</v>
      </c>
      <c r="C6773" t="s">
        <v>35</v>
      </c>
      <c r="D6773" s="2">
        <v>43862</v>
      </c>
      <c r="E6773" t="s">
        <v>28</v>
      </c>
      <c r="F6773">
        <v>138.4</v>
      </c>
      <c r="G6773" t="str">
        <f>VLOOKUP(Table1_2[[#This Row],[Categories]],Sheet3!$A$1:$B$27,2,FALSE)</f>
        <v>Miscellaneous</v>
      </c>
    </row>
    <row r="6774" spans="1:7" x14ac:dyDescent="0.3">
      <c r="A6774" t="s">
        <v>33</v>
      </c>
      <c r="B6774">
        <v>2020</v>
      </c>
      <c r="C6774" t="s">
        <v>35</v>
      </c>
      <c r="D6774" s="2">
        <v>43862</v>
      </c>
      <c r="E6774" t="s">
        <v>29</v>
      </c>
      <c r="F6774">
        <v>147.69999999999999</v>
      </c>
      <c r="G6774" t="str">
        <f>VLOOKUP(Table1_2[[#This Row],[Categories]],Sheet3!$A$1:$B$27,2,FALSE)</f>
        <v>General index</v>
      </c>
    </row>
    <row r="6775" spans="1:7" x14ac:dyDescent="0.3">
      <c r="A6775" t="s">
        <v>34</v>
      </c>
      <c r="B6775">
        <v>2020</v>
      </c>
      <c r="C6775" t="s">
        <v>35</v>
      </c>
      <c r="D6775" s="2">
        <v>43862</v>
      </c>
      <c r="E6775" t="s">
        <v>3</v>
      </c>
      <c r="F6775">
        <v>144.80000000000001</v>
      </c>
      <c r="G6775" t="str">
        <f>VLOOKUP(Table1_2[[#This Row],[Categories]],Sheet3!$A$1:$B$27,2,FALSE)</f>
        <v>Food &amp;Beverage</v>
      </c>
    </row>
    <row r="6776" spans="1:7" x14ac:dyDescent="0.3">
      <c r="A6776" t="s">
        <v>34</v>
      </c>
      <c r="B6776">
        <v>2020</v>
      </c>
      <c r="C6776" t="s">
        <v>35</v>
      </c>
      <c r="D6776" s="2">
        <v>43862</v>
      </c>
      <c r="E6776" t="s">
        <v>4</v>
      </c>
      <c r="F6776">
        <v>167.5</v>
      </c>
      <c r="G6776" t="str">
        <f>VLOOKUP(Table1_2[[#This Row],[Categories]],Sheet3!$A$1:$B$27,2,FALSE)</f>
        <v>Food &amp;Beverage</v>
      </c>
    </row>
    <row r="6777" spans="1:7" x14ac:dyDescent="0.3">
      <c r="A6777" t="s">
        <v>34</v>
      </c>
      <c r="B6777">
        <v>2020</v>
      </c>
      <c r="C6777" t="s">
        <v>35</v>
      </c>
      <c r="D6777" s="2">
        <v>43862</v>
      </c>
      <c r="E6777" t="s">
        <v>5</v>
      </c>
      <c r="F6777">
        <v>151.80000000000001</v>
      </c>
      <c r="G6777" t="str">
        <f>VLOOKUP(Table1_2[[#This Row],[Categories]],Sheet3!$A$1:$B$27,2,FALSE)</f>
        <v>Food &amp;Beverage</v>
      </c>
    </row>
    <row r="6778" spans="1:7" x14ac:dyDescent="0.3">
      <c r="A6778" t="s">
        <v>34</v>
      </c>
      <c r="B6778">
        <v>2020</v>
      </c>
      <c r="C6778" t="s">
        <v>35</v>
      </c>
      <c r="D6778" s="2">
        <v>43862</v>
      </c>
      <c r="E6778" t="s">
        <v>6</v>
      </c>
      <c r="F6778">
        <v>150.80000000000001</v>
      </c>
      <c r="G6778" t="str">
        <f>VLOOKUP(Table1_2[[#This Row],[Categories]],Sheet3!$A$1:$B$27,2,FALSE)</f>
        <v>Food &amp;Beverage</v>
      </c>
    </row>
    <row r="6779" spans="1:7" x14ac:dyDescent="0.3">
      <c r="A6779" t="s">
        <v>34</v>
      </c>
      <c r="B6779">
        <v>2020</v>
      </c>
      <c r="C6779" t="s">
        <v>35</v>
      </c>
      <c r="D6779" s="2">
        <v>43862</v>
      </c>
      <c r="E6779" t="s">
        <v>7</v>
      </c>
      <c r="F6779">
        <v>131.4</v>
      </c>
      <c r="G6779" t="str">
        <f>VLOOKUP(Table1_2[[#This Row],[Categories]],Sheet3!$A$1:$B$27,2,FALSE)</f>
        <v>Food &amp;Beverage</v>
      </c>
    </row>
    <row r="6780" spans="1:7" x14ac:dyDescent="0.3">
      <c r="A6780" t="s">
        <v>34</v>
      </c>
      <c r="B6780">
        <v>2020</v>
      </c>
      <c r="C6780" t="s">
        <v>35</v>
      </c>
      <c r="D6780" s="2">
        <v>43862</v>
      </c>
      <c r="E6780" t="s">
        <v>8</v>
      </c>
      <c r="F6780">
        <v>141.80000000000001</v>
      </c>
      <c r="G6780" t="str">
        <f>VLOOKUP(Table1_2[[#This Row],[Categories]],Sheet3!$A$1:$B$27,2,FALSE)</f>
        <v>Food &amp;Beverage</v>
      </c>
    </row>
    <row r="6781" spans="1:7" x14ac:dyDescent="0.3">
      <c r="A6781" t="s">
        <v>34</v>
      </c>
      <c r="B6781">
        <v>2020</v>
      </c>
      <c r="C6781" t="s">
        <v>35</v>
      </c>
      <c r="D6781" s="2">
        <v>43862</v>
      </c>
      <c r="E6781" t="s">
        <v>9</v>
      </c>
      <c r="F6781">
        <v>170.7</v>
      </c>
      <c r="G6781" t="str">
        <f>VLOOKUP(Table1_2[[#This Row],[Categories]],Sheet3!$A$1:$B$27,2,FALSE)</f>
        <v>Food &amp;Beverage</v>
      </c>
    </row>
    <row r="6782" spans="1:7" x14ac:dyDescent="0.3">
      <c r="A6782" t="s">
        <v>34</v>
      </c>
      <c r="B6782">
        <v>2020</v>
      </c>
      <c r="C6782" t="s">
        <v>35</v>
      </c>
      <c r="D6782" s="2">
        <v>43862</v>
      </c>
      <c r="E6782" t="s">
        <v>10</v>
      </c>
      <c r="F6782">
        <v>141.1</v>
      </c>
      <c r="G6782" t="str">
        <f>VLOOKUP(Table1_2[[#This Row],[Categories]],Sheet3!$A$1:$B$27,2,FALSE)</f>
        <v>Food &amp;Beverage</v>
      </c>
    </row>
    <row r="6783" spans="1:7" x14ac:dyDescent="0.3">
      <c r="A6783" t="s">
        <v>34</v>
      </c>
      <c r="B6783">
        <v>2020</v>
      </c>
      <c r="C6783" t="s">
        <v>35</v>
      </c>
      <c r="D6783" s="2">
        <v>43862</v>
      </c>
      <c r="E6783" t="s">
        <v>11</v>
      </c>
      <c r="F6783">
        <v>113.6</v>
      </c>
      <c r="G6783" t="str">
        <f>VLOOKUP(Table1_2[[#This Row],[Categories]],Sheet3!$A$1:$B$27,2,FALSE)</f>
        <v>Food &amp;Beverage</v>
      </c>
    </row>
    <row r="6784" spans="1:7" x14ac:dyDescent="0.3">
      <c r="A6784" t="s">
        <v>34</v>
      </c>
      <c r="B6784">
        <v>2020</v>
      </c>
      <c r="C6784" t="s">
        <v>35</v>
      </c>
      <c r="D6784" s="2">
        <v>43862</v>
      </c>
      <c r="E6784" t="s">
        <v>12</v>
      </c>
      <c r="F6784">
        <v>152</v>
      </c>
      <c r="G6784" t="str">
        <f>VLOOKUP(Table1_2[[#This Row],[Categories]],Sheet3!$A$1:$B$27,2,FALSE)</f>
        <v>Food &amp;Beverage</v>
      </c>
    </row>
    <row r="6785" spans="1:7" x14ac:dyDescent="0.3">
      <c r="A6785" t="s">
        <v>34</v>
      </c>
      <c r="B6785">
        <v>2020</v>
      </c>
      <c r="C6785" t="s">
        <v>35</v>
      </c>
      <c r="D6785" s="2">
        <v>43862</v>
      </c>
      <c r="E6785" t="s">
        <v>13</v>
      </c>
      <c r="F6785">
        <v>136.5</v>
      </c>
      <c r="G6785" t="str">
        <f>VLOOKUP(Table1_2[[#This Row],[Categories]],Sheet3!$A$1:$B$27,2,FALSE)</f>
        <v>Food &amp;Beverage</v>
      </c>
    </row>
    <row r="6786" spans="1:7" x14ac:dyDescent="0.3">
      <c r="A6786" t="s">
        <v>34</v>
      </c>
      <c r="B6786">
        <v>2020</v>
      </c>
      <c r="C6786" t="s">
        <v>35</v>
      </c>
      <c r="D6786" s="2">
        <v>43862</v>
      </c>
      <c r="E6786" t="s">
        <v>14</v>
      </c>
      <c r="F6786">
        <v>159.1</v>
      </c>
      <c r="G6786" t="str">
        <f>VLOOKUP(Table1_2[[#This Row],[Categories]],Sheet3!$A$1:$B$27,2,FALSE)</f>
        <v>Food &amp;Beverage</v>
      </c>
    </row>
    <row r="6787" spans="1:7" x14ac:dyDescent="0.3">
      <c r="A6787" t="s">
        <v>34</v>
      </c>
      <c r="B6787">
        <v>2020</v>
      </c>
      <c r="C6787" t="s">
        <v>35</v>
      </c>
      <c r="D6787" s="2">
        <v>43862</v>
      </c>
      <c r="E6787" t="s">
        <v>15</v>
      </c>
      <c r="F6787">
        <v>150.5</v>
      </c>
      <c r="G6787" t="str">
        <f>VLOOKUP(Table1_2[[#This Row],[Categories]],Sheet3!$A$1:$B$27,2,FALSE)</f>
        <v>Food &amp;Beverage</v>
      </c>
    </row>
    <row r="6788" spans="1:7" x14ac:dyDescent="0.3">
      <c r="A6788" t="s">
        <v>34</v>
      </c>
      <c r="B6788">
        <v>2020</v>
      </c>
      <c r="C6788" t="s">
        <v>35</v>
      </c>
      <c r="D6788" s="2">
        <v>43862</v>
      </c>
      <c r="E6788" t="s">
        <v>16</v>
      </c>
      <c r="F6788">
        <v>170.1</v>
      </c>
      <c r="G6788" t="str">
        <f>VLOOKUP(Table1_2[[#This Row],[Categories]],Sheet3!$A$1:$B$27,2,FALSE)</f>
        <v>Recreation and amusement</v>
      </c>
    </row>
    <row r="6789" spans="1:7" x14ac:dyDescent="0.3">
      <c r="A6789" t="s">
        <v>34</v>
      </c>
      <c r="B6789">
        <v>2020</v>
      </c>
      <c r="C6789" t="s">
        <v>35</v>
      </c>
      <c r="D6789" s="2">
        <v>43862</v>
      </c>
      <c r="E6789" t="s">
        <v>17</v>
      </c>
      <c r="F6789">
        <v>150.80000000000001</v>
      </c>
      <c r="G6789" t="str">
        <f>VLOOKUP(Table1_2[[#This Row],[Categories]],Sheet3!$A$1:$B$27,2,FALSE)</f>
        <v>Clothing and footwear</v>
      </c>
    </row>
    <row r="6790" spans="1:7" x14ac:dyDescent="0.3">
      <c r="A6790" t="s">
        <v>34</v>
      </c>
      <c r="B6790">
        <v>2020</v>
      </c>
      <c r="C6790" t="s">
        <v>35</v>
      </c>
      <c r="D6790" s="2">
        <v>43862</v>
      </c>
      <c r="E6790" t="s">
        <v>18</v>
      </c>
      <c r="F6790">
        <v>141.69999999999999</v>
      </c>
      <c r="G6790" t="str">
        <f>VLOOKUP(Table1_2[[#This Row],[Categories]],Sheet3!$A$1:$B$27,2,FALSE)</f>
        <v>Clothing and footwear</v>
      </c>
    </row>
    <row r="6791" spans="1:7" x14ac:dyDescent="0.3">
      <c r="A6791" t="s">
        <v>34</v>
      </c>
      <c r="B6791">
        <v>2020</v>
      </c>
      <c r="C6791" t="s">
        <v>35</v>
      </c>
      <c r="D6791" s="2">
        <v>43862</v>
      </c>
      <c r="E6791" t="s">
        <v>19</v>
      </c>
      <c r="F6791">
        <v>149.5</v>
      </c>
      <c r="G6791" t="str">
        <f>VLOOKUP(Table1_2[[#This Row],[Categories]],Sheet3!$A$1:$B$27,2,FALSE)</f>
        <v>Clothing and footwear</v>
      </c>
    </row>
    <row r="6792" spans="1:7" x14ac:dyDescent="0.3">
      <c r="A6792" t="s">
        <v>34</v>
      </c>
      <c r="B6792">
        <v>2020</v>
      </c>
      <c r="C6792" t="s">
        <v>35</v>
      </c>
      <c r="D6792" s="2">
        <v>43862</v>
      </c>
      <c r="E6792" t="s">
        <v>20</v>
      </c>
      <c r="F6792">
        <v>154.80000000000001</v>
      </c>
      <c r="G6792" t="str">
        <f>VLOOKUP(Table1_2[[#This Row],[Categories]],Sheet3!$A$1:$B$27,2,FALSE)</f>
        <v>Housing</v>
      </c>
    </row>
    <row r="6793" spans="1:7" x14ac:dyDescent="0.3">
      <c r="A6793" t="s">
        <v>34</v>
      </c>
      <c r="B6793">
        <v>2020</v>
      </c>
      <c r="C6793" t="s">
        <v>35</v>
      </c>
      <c r="D6793" s="2">
        <v>43862</v>
      </c>
      <c r="E6793" t="s">
        <v>21</v>
      </c>
      <c r="F6793">
        <v>147.19999999999999</v>
      </c>
      <c r="G6793" t="str">
        <f>VLOOKUP(Table1_2[[#This Row],[Categories]],Sheet3!$A$1:$B$27,2,FALSE)</f>
        <v>Fuel and light</v>
      </c>
    </row>
    <row r="6794" spans="1:7" x14ac:dyDescent="0.3">
      <c r="A6794" t="s">
        <v>34</v>
      </c>
      <c r="B6794">
        <v>2020</v>
      </c>
      <c r="C6794" t="s">
        <v>35</v>
      </c>
      <c r="D6794" s="2">
        <v>43862</v>
      </c>
      <c r="E6794" t="s">
        <v>22</v>
      </c>
      <c r="F6794">
        <v>146.4</v>
      </c>
      <c r="G6794" t="str">
        <f>VLOOKUP(Table1_2[[#This Row],[Categories]],Sheet3!$A$1:$B$27,2,FALSE)</f>
        <v>Household Items</v>
      </c>
    </row>
    <row r="6795" spans="1:7" x14ac:dyDescent="0.3">
      <c r="A6795" t="s">
        <v>34</v>
      </c>
      <c r="B6795">
        <v>2020</v>
      </c>
      <c r="C6795" t="s">
        <v>35</v>
      </c>
      <c r="D6795" s="2">
        <v>43862</v>
      </c>
      <c r="E6795" t="s">
        <v>23</v>
      </c>
      <c r="F6795">
        <v>151.69999999999999</v>
      </c>
      <c r="G6795" t="str">
        <f>VLOOKUP(Table1_2[[#This Row],[Categories]],Sheet3!$A$1:$B$27,2,FALSE)</f>
        <v>Health</v>
      </c>
    </row>
    <row r="6796" spans="1:7" x14ac:dyDescent="0.3">
      <c r="A6796" t="s">
        <v>34</v>
      </c>
      <c r="B6796">
        <v>2020</v>
      </c>
      <c r="C6796" t="s">
        <v>35</v>
      </c>
      <c r="D6796" s="2">
        <v>43862</v>
      </c>
      <c r="E6796" t="s">
        <v>24</v>
      </c>
      <c r="F6796">
        <v>130.30000000000001</v>
      </c>
      <c r="G6796" t="str">
        <f>VLOOKUP(Table1_2[[#This Row],[Categories]],Sheet3!$A$1:$B$27,2,FALSE)</f>
        <v>Transport and communication</v>
      </c>
    </row>
    <row r="6797" spans="1:7" x14ac:dyDescent="0.3">
      <c r="A6797" t="s">
        <v>34</v>
      </c>
      <c r="B6797">
        <v>2020</v>
      </c>
      <c r="C6797" t="s">
        <v>35</v>
      </c>
      <c r="D6797" s="2">
        <v>43862</v>
      </c>
      <c r="E6797" t="s">
        <v>25</v>
      </c>
      <c r="F6797">
        <v>143.19999999999999</v>
      </c>
      <c r="G6797" t="str">
        <f>VLOOKUP(Table1_2[[#This Row],[Categories]],Sheet3!$A$1:$B$27,2,FALSE)</f>
        <v>Recreation and amusement</v>
      </c>
    </row>
    <row r="6798" spans="1:7" x14ac:dyDescent="0.3">
      <c r="A6798" t="s">
        <v>34</v>
      </c>
      <c r="B6798">
        <v>2020</v>
      </c>
      <c r="C6798" t="s">
        <v>35</v>
      </c>
      <c r="D6798" s="2">
        <v>43862</v>
      </c>
      <c r="E6798" t="s">
        <v>26</v>
      </c>
      <c r="F6798">
        <v>156.19999999999999</v>
      </c>
      <c r="G6798" t="str">
        <f>VLOOKUP(Table1_2[[#This Row],[Categories]],Sheet3!$A$1:$B$27,2,FALSE)</f>
        <v>Education</v>
      </c>
    </row>
    <row r="6799" spans="1:7" x14ac:dyDescent="0.3">
      <c r="A6799" t="s">
        <v>34</v>
      </c>
      <c r="B6799">
        <v>2020</v>
      </c>
      <c r="C6799" t="s">
        <v>35</v>
      </c>
      <c r="D6799" s="2">
        <v>43862</v>
      </c>
      <c r="E6799" t="s">
        <v>27</v>
      </c>
      <c r="F6799">
        <v>143.4</v>
      </c>
      <c r="G6799" t="str">
        <f>VLOOKUP(Table1_2[[#This Row],[Categories]],Sheet3!$A$1:$B$27,2,FALSE)</f>
        <v>Household Items</v>
      </c>
    </row>
    <row r="6800" spans="1:7" x14ac:dyDescent="0.3">
      <c r="A6800" t="s">
        <v>34</v>
      </c>
      <c r="B6800">
        <v>2020</v>
      </c>
      <c r="C6800" t="s">
        <v>35</v>
      </c>
      <c r="D6800" s="2">
        <v>43862</v>
      </c>
      <c r="E6800" t="s">
        <v>28</v>
      </c>
      <c r="F6800">
        <v>143.6</v>
      </c>
      <c r="G6800" t="str">
        <f>VLOOKUP(Table1_2[[#This Row],[Categories]],Sheet3!$A$1:$B$27,2,FALSE)</f>
        <v>Miscellaneous</v>
      </c>
    </row>
    <row r="6801" spans="1:7" x14ac:dyDescent="0.3">
      <c r="A6801" t="s">
        <v>34</v>
      </c>
      <c r="B6801">
        <v>2020</v>
      </c>
      <c r="C6801" t="s">
        <v>35</v>
      </c>
      <c r="D6801" s="2">
        <v>43862</v>
      </c>
      <c r="E6801" t="s">
        <v>29</v>
      </c>
      <c r="F6801">
        <v>149.1</v>
      </c>
      <c r="G6801" t="str">
        <f>VLOOKUP(Table1_2[[#This Row],[Categories]],Sheet3!$A$1:$B$27,2,FALSE)</f>
        <v>General index</v>
      </c>
    </row>
    <row r="6802" spans="1:7" x14ac:dyDescent="0.3">
      <c r="A6802" t="s">
        <v>30</v>
      </c>
      <c r="B6802">
        <v>2020</v>
      </c>
      <c r="C6802" t="s">
        <v>36</v>
      </c>
      <c r="D6802" s="2">
        <v>43891</v>
      </c>
      <c r="E6802" t="s">
        <v>3</v>
      </c>
      <c r="F6802">
        <v>144.4</v>
      </c>
      <c r="G6802" t="str">
        <f>VLOOKUP(Table1_2[[#This Row],[Categories]],Sheet3!$A$1:$B$27,2,FALSE)</f>
        <v>Food &amp;Beverage</v>
      </c>
    </row>
    <row r="6803" spans="1:7" x14ac:dyDescent="0.3">
      <c r="A6803" t="s">
        <v>30</v>
      </c>
      <c r="B6803">
        <v>2020</v>
      </c>
      <c r="C6803" t="s">
        <v>36</v>
      </c>
      <c r="D6803" s="2">
        <v>43891</v>
      </c>
      <c r="E6803" t="s">
        <v>4</v>
      </c>
      <c r="F6803">
        <v>166.8</v>
      </c>
      <c r="G6803" t="str">
        <f>VLOOKUP(Table1_2[[#This Row],[Categories]],Sheet3!$A$1:$B$27,2,FALSE)</f>
        <v>Food &amp;Beverage</v>
      </c>
    </row>
    <row r="6804" spans="1:7" x14ac:dyDescent="0.3">
      <c r="A6804" t="s">
        <v>30</v>
      </c>
      <c r="B6804">
        <v>2020</v>
      </c>
      <c r="C6804" t="s">
        <v>36</v>
      </c>
      <c r="D6804" s="2">
        <v>43891</v>
      </c>
      <c r="E6804" t="s">
        <v>5</v>
      </c>
      <c r="F6804">
        <v>147.6</v>
      </c>
      <c r="G6804" t="str">
        <f>VLOOKUP(Table1_2[[#This Row],[Categories]],Sheet3!$A$1:$B$27,2,FALSE)</f>
        <v>Food &amp;Beverage</v>
      </c>
    </row>
    <row r="6805" spans="1:7" x14ac:dyDescent="0.3">
      <c r="A6805" t="s">
        <v>30</v>
      </c>
      <c r="B6805">
        <v>2020</v>
      </c>
      <c r="C6805" t="s">
        <v>36</v>
      </c>
      <c r="D6805" s="2">
        <v>43891</v>
      </c>
      <c r="E6805" t="s">
        <v>6</v>
      </c>
      <c r="F6805">
        <v>151.69999999999999</v>
      </c>
      <c r="G6805" t="str">
        <f>VLOOKUP(Table1_2[[#This Row],[Categories]],Sheet3!$A$1:$B$27,2,FALSE)</f>
        <v>Food &amp;Beverage</v>
      </c>
    </row>
    <row r="6806" spans="1:7" x14ac:dyDescent="0.3">
      <c r="A6806" t="s">
        <v>30</v>
      </c>
      <c r="B6806">
        <v>2020</v>
      </c>
      <c r="C6806" t="s">
        <v>36</v>
      </c>
      <c r="D6806" s="2">
        <v>43891</v>
      </c>
      <c r="E6806" t="s">
        <v>7</v>
      </c>
      <c r="F6806">
        <v>133.30000000000001</v>
      </c>
      <c r="G6806" t="str">
        <f>VLOOKUP(Table1_2[[#This Row],[Categories]],Sheet3!$A$1:$B$27,2,FALSE)</f>
        <v>Food &amp;Beverage</v>
      </c>
    </row>
    <row r="6807" spans="1:7" x14ac:dyDescent="0.3">
      <c r="A6807" t="s">
        <v>30</v>
      </c>
      <c r="B6807">
        <v>2020</v>
      </c>
      <c r="C6807" t="s">
        <v>36</v>
      </c>
      <c r="D6807" s="2">
        <v>43891</v>
      </c>
      <c r="E6807" t="s">
        <v>8</v>
      </c>
      <c r="F6807">
        <v>141.80000000000001</v>
      </c>
      <c r="G6807" t="str">
        <f>VLOOKUP(Table1_2[[#This Row],[Categories]],Sheet3!$A$1:$B$27,2,FALSE)</f>
        <v>Food &amp;Beverage</v>
      </c>
    </row>
    <row r="6808" spans="1:7" x14ac:dyDescent="0.3">
      <c r="A6808" t="s">
        <v>30</v>
      </c>
      <c r="B6808">
        <v>2020</v>
      </c>
      <c r="C6808" t="s">
        <v>36</v>
      </c>
      <c r="D6808" s="2">
        <v>43891</v>
      </c>
      <c r="E6808" t="s">
        <v>9</v>
      </c>
      <c r="F6808">
        <v>152.30000000000001</v>
      </c>
      <c r="G6808" t="str">
        <f>VLOOKUP(Table1_2[[#This Row],[Categories]],Sheet3!$A$1:$B$27,2,FALSE)</f>
        <v>Food &amp;Beverage</v>
      </c>
    </row>
    <row r="6809" spans="1:7" x14ac:dyDescent="0.3">
      <c r="A6809" t="s">
        <v>30</v>
      </c>
      <c r="B6809">
        <v>2020</v>
      </c>
      <c r="C6809" t="s">
        <v>36</v>
      </c>
      <c r="D6809" s="2">
        <v>43891</v>
      </c>
      <c r="E6809" t="s">
        <v>10</v>
      </c>
      <c r="F6809">
        <v>141.80000000000001</v>
      </c>
      <c r="G6809" t="str">
        <f>VLOOKUP(Table1_2[[#This Row],[Categories]],Sheet3!$A$1:$B$27,2,FALSE)</f>
        <v>Food &amp;Beverage</v>
      </c>
    </row>
    <row r="6810" spans="1:7" x14ac:dyDescent="0.3">
      <c r="A6810" t="s">
        <v>30</v>
      </c>
      <c r="B6810">
        <v>2020</v>
      </c>
      <c r="C6810" t="s">
        <v>36</v>
      </c>
      <c r="D6810" s="2">
        <v>43891</v>
      </c>
      <c r="E6810" t="s">
        <v>11</v>
      </c>
      <c r="F6810">
        <v>112.6</v>
      </c>
      <c r="G6810" t="str">
        <f>VLOOKUP(Table1_2[[#This Row],[Categories]],Sheet3!$A$1:$B$27,2,FALSE)</f>
        <v>Food &amp;Beverage</v>
      </c>
    </row>
    <row r="6811" spans="1:7" x14ac:dyDescent="0.3">
      <c r="A6811" t="s">
        <v>30</v>
      </c>
      <c r="B6811">
        <v>2020</v>
      </c>
      <c r="C6811" t="s">
        <v>36</v>
      </c>
      <c r="D6811" s="2">
        <v>43891</v>
      </c>
      <c r="E6811" t="s">
        <v>12</v>
      </c>
      <c r="F6811">
        <v>154</v>
      </c>
      <c r="G6811" t="str">
        <f>VLOOKUP(Table1_2[[#This Row],[Categories]],Sheet3!$A$1:$B$27,2,FALSE)</f>
        <v>Food &amp;Beverage</v>
      </c>
    </row>
    <row r="6812" spans="1:7" x14ac:dyDescent="0.3">
      <c r="A6812" t="s">
        <v>30</v>
      </c>
      <c r="B6812">
        <v>2020</v>
      </c>
      <c r="C6812" t="s">
        <v>36</v>
      </c>
      <c r="D6812" s="2">
        <v>43891</v>
      </c>
      <c r="E6812" t="s">
        <v>13</v>
      </c>
      <c r="F6812">
        <v>140.1</v>
      </c>
      <c r="G6812" t="str">
        <f>VLOOKUP(Table1_2[[#This Row],[Categories]],Sheet3!$A$1:$B$27,2,FALSE)</f>
        <v>Food &amp;Beverage</v>
      </c>
    </row>
    <row r="6813" spans="1:7" x14ac:dyDescent="0.3">
      <c r="A6813" t="s">
        <v>30</v>
      </c>
      <c r="B6813">
        <v>2020</v>
      </c>
      <c r="C6813" t="s">
        <v>36</v>
      </c>
      <c r="D6813" s="2">
        <v>43891</v>
      </c>
      <c r="E6813" t="s">
        <v>14</v>
      </c>
      <c r="F6813">
        <v>160</v>
      </c>
      <c r="G6813" t="str">
        <f>VLOOKUP(Table1_2[[#This Row],[Categories]],Sheet3!$A$1:$B$27,2,FALSE)</f>
        <v>Food &amp;Beverage</v>
      </c>
    </row>
    <row r="6814" spans="1:7" x14ac:dyDescent="0.3">
      <c r="A6814" t="s">
        <v>30</v>
      </c>
      <c r="B6814">
        <v>2020</v>
      </c>
      <c r="C6814" t="s">
        <v>36</v>
      </c>
      <c r="D6814" s="2">
        <v>43891</v>
      </c>
      <c r="E6814" t="s">
        <v>15</v>
      </c>
      <c r="F6814">
        <v>148.19999999999999</v>
      </c>
      <c r="G6814" t="str">
        <f>VLOOKUP(Table1_2[[#This Row],[Categories]],Sheet3!$A$1:$B$27,2,FALSE)</f>
        <v>Food &amp;Beverage</v>
      </c>
    </row>
    <row r="6815" spans="1:7" x14ac:dyDescent="0.3">
      <c r="A6815" t="s">
        <v>30</v>
      </c>
      <c r="B6815">
        <v>2020</v>
      </c>
      <c r="C6815" t="s">
        <v>36</v>
      </c>
      <c r="D6815" s="2">
        <v>43891</v>
      </c>
      <c r="E6815" t="s">
        <v>16</v>
      </c>
      <c r="F6815">
        <v>170.5</v>
      </c>
      <c r="G6815" t="str">
        <f>VLOOKUP(Table1_2[[#This Row],[Categories]],Sheet3!$A$1:$B$27,2,FALSE)</f>
        <v>Recreation and amusement</v>
      </c>
    </row>
    <row r="6816" spans="1:7" x14ac:dyDescent="0.3">
      <c r="A6816" t="s">
        <v>30</v>
      </c>
      <c r="B6816">
        <v>2020</v>
      </c>
      <c r="C6816" t="s">
        <v>36</v>
      </c>
      <c r="D6816" s="2">
        <v>43891</v>
      </c>
      <c r="E6816" t="s">
        <v>17</v>
      </c>
      <c r="F6816">
        <v>153.4</v>
      </c>
      <c r="G6816" t="str">
        <f>VLOOKUP(Table1_2[[#This Row],[Categories]],Sheet3!$A$1:$B$27,2,FALSE)</f>
        <v>Clothing and footwear</v>
      </c>
    </row>
    <row r="6817" spans="1:7" x14ac:dyDescent="0.3">
      <c r="A6817" t="s">
        <v>30</v>
      </c>
      <c r="B6817">
        <v>2020</v>
      </c>
      <c r="C6817" t="s">
        <v>36</v>
      </c>
      <c r="D6817" s="2">
        <v>43891</v>
      </c>
      <c r="E6817" t="s">
        <v>18</v>
      </c>
      <c r="F6817">
        <v>147.6</v>
      </c>
      <c r="G6817" t="str">
        <f>VLOOKUP(Table1_2[[#This Row],[Categories]],Sheet3!$A$1:$B$27,2,FALSE)</f>
        <v>Clothing and footwear</v>
      </c>
    </row>
    <row r="6818" spans="1:7" x14ac:dyDescent="0.3">
      <c r="A6818" t="s">
        <v>30</v>
      </c>
      <c r="B6818">
        <v>2020</v>
      </c>
      <c r="C6818" t="s">
        <v>36</v>
      </c>
      <c r="D6818" s="2">
        <v>43891</v>
      </c>
      <c r="E6818" t="s">
        <v>19</v>
      </c>
      <c r="F6818">
        <v>152.5</v>
      </c>
      <c r="G6818" t="str">
        <f>VLOOKUP(Table1_2[[#This Row],[Categories]],Sheet3!$A$1:$B$27,2,FALSE)</f>
        <v>Clothing and footwear</v>
      </c>
    </row>
    <row r="6819" spans="1:7" x14ac:dyDescent="0.3">
      <c r="A6819" t="s">
        <v>30</v>
      </c>
      <c r="B6819">
        <v>2020</v>
      </c>
      <c r="C6819" t="s">
        <v>36</v>
      </c>
      <c r="D6819" s="2">
        <v>43891</v>
      </c>
      <c r="E6819" t="s">
        <v>21</v>
      </c>
      <c r="F6819">
        <v>153.4</v>
      </c>
      <c r="G6819" t="str">
        <f>VLOOKUP(Table1_2[[#This Row],[Categories]],Sheet3!$A$1:$B$27,2,FALSE)</f>
        <v>Fuel and light</v>
      </c>
    </row>
    <row r="6820" spans="1:7" x14ac:dyDescent="0.3">
      <c r="A6820" t="s">
        <v>30</v>
      </c>
      <c r="B6820">
        <v>2020</v>
      </c>
      <c r="C6820" t="s">
        <v>36</v>
      </c>
      <c r="D6820" s="2">
        <v>43891</v>
      </c>
      <c r="E6820" t="s">
        <v>22</v>
      </c>
      <c r="F6820">
        <v>151.5</v>
      </c>
      <c r="G6820" t="str">
        <f>VLOOKUP(Table1_2[[#This Row],[Categories]],Sheet3!$A$1:$B$27,2,FALSE)</f>
        <v>Household Items</v>
      </c>
    </row>
    <row r="6821" spans="1:7" x14ac:dyDescent="0.3">
      <c r="A6821" t="s">
        <v>30</v>
      </c>
      <c r="B6821">
        <v>2020</v>
      </c>
      <c r="C6821" t="s">
        <v>36</v>
      </c>
      <c r="D6821" s="2">
        <v>43891</v>
      </c>
      <c r="E6821" t="s">
        <v>23</v>
      </c>
      <c r="F6821">
        <v>156.69999999999999</v>
      </c>
      <c r="G6821" t="str">
        <f>VLOOKUP(Table1_2[[#This Row],[Categories]],Sheet3!$A$1:$B$27,2,FALSE)</f>
        <v>Health</v>
      </c>
    </row>
    <row r="6822" spans="1:7" x14ac:dyDescent="0.3">
      <c r="A6822" t="s">
        <v>30</v>
      </c>
      <c r="B6822">
        <v>2020</v>
      </c>
      <c r="C6822" t="s">
        <v>36</v>
      </c>
      <c r="D6822" s="2">
        <v>43891</v>
      </c>
      <c r="E6822" t="s">
        <v>24</v>
      </c>
      <c r="F6822">
        <v>135.80000000000001</v>
      </c>
      <c r="G6822" t="str">
        <f>VLOOKUP(Table1_2[[#This Row],[Categories]],Sheet3!$A$1:$B$27,2,FALSE)</f>
        <v>Transport and communication</v>
      </c>
    </row>
    <row r="6823" spans="1:7" x14ac:dyDescent="0.3">
      <c r="A6823" t="s">
        <v>30</v>
      </c>
      <c r="B6823">
        <v>2020</v>
      </c>
      <c r="C6823" t="s">
        <v>36</v>
      </c>
      <c r="D6823" s="2">
        <v>43891</v>
      </c>
      <c r="E6823" t="s">
        <v>25</v>
      </c>
      <c r="F6823">
        <v>151.19999999999999</v>
      </c>
      <c r="G6823" t="str">
        <f>VLOOKUP(Table1_2[[#This Row],[Categories]],Sheet3!$A$1:$B$27,2,FALSE)</f>
        <v>Recreation and amusement</v>
      </c>
    </row>
    <row r="6824" spans="1:7" x14ac:dyDescent="0.3">
      <c r="A6824" t="s">
        <v>30</v>
      </c>
      <c r="B6824">
        <v>2020</v>
      </c>
      <c r="C6824" t="s">
        <v>36</v>
      </c>
      <c r="D6824" s="2">
        <v>43891</v>
      </c>
      <c r="E6824" t="s">
        <v>26</v>
      </c>
      <c r="F6824">
        <v>161.19999999999999</v>
      </c>
      <c r="G6824" t="str">
        <f>VLOOKUP(Table1_2[[#This Row],[Categories]],Sheet3!$A$1:$B$27,2,FALSE)</f>
        <v>Education</v>
      </c>
    </row>
    <row r="6825" spans="1:7" x14ac:dyDescent="0.3">
      <c r="A6825" t="s">
        <v>30</v>
      </c>
      <c r="B6825">
        <v>2020</v>
      </c>
      <c r="C6825" t="s">
        <v>36</v>
      </c>
      <c r="D6825" s="2">
        <v>43891</v>
      </c>
      <c r="E6825" t="s">
        <v>27</v>
      </c>
      <c r="F6825">
        <v>145.1</v>
      </c>
      <c r="G6825" t="str">
        <f>VLOOKUP(Table1_2[[#This Row],[Categories]],Sheet3!$A$1:$B$27,2,FALSE)</f>
        <v>Household Items</v>
      </c>
    </row>
    <row r="6826" spans="1:7" x14ac:dyDescent="0.3">
      <c r="A6826" t="s">
        <v>30</v>
      </c>
      <c r="B6826">
        <v>2020</v>
      </c>
      <c r="C6826" t="s">
        <v>36</v>
      </c>
      <c r="D6826" s="2">
        <v>43891</v>
      </c>
      <c r="E6826" t="s">
        <v>28</v>
      </c>
      <c r="F6826">
        <v>148.6</v>
      </c>
      <c r="G6826" t="str">
        <f>VLOOKUP(Table1_2[[#This Row],[Categories]],Sheet3!$A$1:$B$27,2,FALSE)</f>
        <v>Miscellaneous</v>
      </c>
    </row>
    <row r="6827" spans="1:7" x14ac:dyDescent="0.3">
      <c r="A6827" t="s">
        <v>30</v>
      </c>
      <c r="B6827">
        <v>2020</v>
      </c>
      <c r="C6827" t="s">
        <v>36</v>
      </c>
      <c r="D6827" s="2">
        <v>43891</v>
      </c>
      <c r="E6827" t="s">
        <v>29</v>
      </c>
      <c r="F6827">
        <v>149.80000000000001</v>
      </c>
      <c r="G6827" t="str">
        <f>VLOOKUP(Table1_2[[#This Row],[Categories]],Sheet3!$A$1:$B$27,2,FALSE)</f>
        <v>General index</v>
      </c>
    </row>
    <row r="6828" spans="1:7" x14ac:dyDescent="0.3">
      <c r="A6828" t="s">
        <v>33</v>
      </c>
      <c r="B6828">
        <v>2020</v>
      </c>
      <c r="C6828" t="s">
        <v>36</v>
      </c>
      <c r="D6828" s="2">
        <v>43891</v>
      </c>
      <c r="E6828" t="s">
        <v>3</v>
      </c>
      <c r="F6828">
        <v>146.5</v>
      </c>
      <c r="G6828" t="str">
        <f>VLOOKUP(Table1_2[[#This Row],[Categories]],Sheet3!$A$1:$B$27,2,FALSE)</f>
        <v>Food &amp;Beverage</v>
      </c>
    </row>
    <row r="6829" spans="1:7" x14ac:dyDescent="0.3">
      <c r="A6829" t="s">
        <v>33</v>
      </c>
      <c r="B6829">
        <v>2020</v>
      </c>
      <c r="C6829" t="s">
        <v>36</v>
      </c>
      <c r="D6829" s="2">
        <v>43891</v>
      </c>
      <c r="E6829" t="s">
        <v>4</v>
      </c>
      <c r="F6829">
        <v>167.5</v>
      </c>
      <c r="G6829" t="str">
        <f>VLOOKUP(Table1_2[[#This Row],[Categories]],Sheet3!$A$1:$B$27,2,FALSE)</f>
        <v>Food &amp;Beverage</v>
      </c>
    </row>
    <row r="6830" spans="1:7" x14ac:dyDescent="0.3">
      <c r="A6830" t="s">
        <v>33</v>
      </c>
      <c r="B6830">
        <v>2020</v>
      </c>
      <c r="C6830" t="s">
        <v>36</v>
      </c>
      <c r="D6830" s="2">
        <v>43891</v>
      </c>
      <c r="E6830" t="s">
        <v>5</v>
      </c>
      <c r="F6830">
        <v>148.9</v>
      </c>
      <c r="G6830" t="str">
        <f>VLOOKUP(Table1_2[[#This Row],[Categories]],Sheet3!$A$1:$B$27,2,FALSE)</f>
        <v>Food &amp;Beverage</v>
      </c>
    </row>
    <row r="6831" spans="1:7" x14ac:dyDescent="0.3">
      <c r="A6831" t="s">
        <v>33</v>
      </c>
      <c r="B6831">
        <v>2020</v>
      </c>
      <c r="C6831" t="s">
        <v>36</v>
      </c>
      <c r="D6831" s="2">
        <v>43891</v>
      </c>
      <c r="E6831" t="s">
        <v>6</v>
      </c>
      <c r="F6831">
        <v>151.1</v>
      </c>
      <c r="G6831" t="str">
        <f>VLOOKUP(Table1_2[[#This Row],[Categories]],Sheet3!$A$1:$B$27,2,FALSE)</f>
        <v>Food &amp;Beverage</v>
      </c>
    </row>
    <row r="6832" spans="1:7" x14ac:dyDescent="0.3">
      <c r="A6832" t="s">
        <v>33</v>
      </c>
      <c r="B6832">
        <v>2020</v>
      </c>
      <c r="C6832" t="s">
        <v>36</v>
      </c>
      <c r="D6832" s="2">
        <v>43891</v>
      </c>
      <c r="E6832" t="s">
        <v>7</v>
      </c>
      <c r="F6832">
        <v>127.5</v>
      </c>
      <c r="G6832" t="str">
        <f>VLOOKUP(Table1_2[[#This Row],[Categories]],Sheet3!$A$1:$B$27,2,FALSE)</f>
        <v>Food &amp;Beverage</v>
      </c>
    </row>
    <row r="6833" spans="1:7" x14ac:dyDescent="0.3">
      <c r="A6833" t="s">
        <v>33</v>
      </c>
      <c r="B6833">
        <v>2020</v>
      </c>
      <c r="C6833" t="s">
        <v>36</v>
      </c>
      <c r="D6833" s="2">
        <v>43891</v>
      </c>
      <c r="E6833" t="s">
        <v>8</v>
      </c>
      <c r="F6833">
        <v>143.30000000000001</v>
      </c>
      <c r="G6833" t="str">
        <f>VLOOKUP(Table1_2[[#This Row],[Categories]],Sheet3!$A$1:$B$27,2,FALSE)</f>
        <v>Food &amp;Beverage</v>
      </c>
    </row>
    <row r="6834" spans="1:7" x14ac:dyDescent="0.3">
      <c r="A6834" t="s">
        <v>33</v>
      </c>
      <c r="B6834">
        <v>2020</v>
      </c>
      <c r="C6834" t="s">
        <v>36</v>
      </c>
      <c r="D6834" s="2">
        <v>43891</v>
      </c>
      <c r="E6834" t="s">
        <v>9</v>
      </c>
      <c r="F6834">
        <v>167</v>
      </c>
      <c r="G6834" t="str">
        <f>VLOOKUP(Table1_2[[#This Row],[Categories]],Sheet3!$A$1:$B$27,2,FALSE)</f>
        <v>Food &amp;Beverage</v>
      </c>
    </row>
    <row r="6835" spans="1:7" x14ac:dyDescent="0.3">
      <c r="A6835" t="s">
        <v>33</v>
      </c>
      <c r="B6835">
        <v>2020</v>
      </c>
      <c r="C6835" t="s">
        <v>36</v>
      </c>
      <c r="D6835" s="2">
        <v>43891</v>
      </c>
      <c r="E6835" t="s">
        <v>10</v>
      </c>
      <c r="F6835">
        <v>139.69999999999999</v>
      </c>
      <c r="G6835" t="str">
        <f>VLOOKUP(Table1_2[[#This Row],[Categories]],Sheet3!$A$1:$B$27,2,FALSE)</f>
        <v>Food &amp;Beverage</v>
      </c>
    </row>
    <row r="6836" spans="1:7" x14ac:dyDescent="0.3">
      <c r="A6836" t="s">
        <v>33</v>
      </c>
      <c r="B6836">
        <v>2020</v>
      </c>
      <c r="C6836" t="s">
        <v>36</v>
      </c>
      <c r="D6836" s="2">
        <v>43891</v>
      </c>
      <c r="E6836" t="s">
        <v>11</v>
      </c>
      <c r="F6836">
        <v>114.4</v>
      </c>
      <c r="G6836" t="str">
        <f>VLOOKUP(Table1_2[[#This Row],[Categories]],Sheet3!$A$1:$B$27,2,FALSE)</f>
        <v>Food &amp;Beverage</v>
      </c>
    </row>
    <row r="6837" spans="1:7" x14ac:dyDescent="0.3">
      <c r="A6837" t="s">
        <v>33</v>
      </c>
      <c r="B6837">
        <v>2020</v>
      </c>
      <c r="C6837" t="s">
        <v>36</v>
      </c>
      <c r="D6837" s="2">
        <v>43891</v>
      </c>
      <c r="E6837" t="s">
        <v>12</v>
      </c>
      <c r="F6837">
        <v>151.5</v>
      </c>
      <c r="G6837" t="str">
        <f>VLOOKUP(Table1_2[[#This Row],[Categories]],Sheet3!$A$1:$B$27,2,FALSE)</f>
        <v>Food &amp;Beverage</v>
      </c>
    </row>
    <row r="6838" spans="1:7" x14ac:dyDescent="0.3">
      <c r="A6838" t="s">
        <v>33</v>
      </c>
      <c r="B6838">
        <v>2020</v>
      </c>
      <c r="C6838" t="s">
        <v>36</v>
      </c>
      <c r="D6838" s="2">
        <v>43891</v>
      </c>
      <c r="E6838" t="s">
        <v>13</v>
      </c>
      <c r="F6838">
        <v>131.9</v>
      </c>
      <c r="G6838" t="str">
        <f>VLOOKUP(Table1_2[[#This Row],[Categories]],Sheet3!$A$1:$B$27,2,FALSE)</f>
        <v>Food &amp;Beverage</v>
      </c>
    </row>
    <row r="6839" spans="1:7" x14ac:dyDescent="0.3">
      <c r="A6839" t="s">
        <v>33</v>
      </c>
      <c r="B6839">
        <v>2020</v>
      </c>
      <c r="C6839" t="s">
        <v>36</v>
      </c>
      <c r="D6839" s="2">
        <v>43891</v>
      </c>
      <c r="E6839" t="s">
        <v>14</v>
      </c>
      <c r="F6839">
        <v>159.1</v>
      </c>
      <c r="G6839" t="str">
        <f>VLOOKUP(Table1_2[[#This Row],[Categories]],Sheet3!$A$1:$B$27,2,FALSE)</f>
        <v>Food &amp;Beverage</v>
      </c>
    </row>
    <row r="6840" spans="1:7" x14ac:dyDescent="0.3">
      <c r="A6840" t="s">
        <v>33</v>
      </c>
      <c r="B6840">
        <v>2020</v>
      </c>
      <c r="C6840" t="s">
        <v>36</v>
      </c>
      <c r="D6840" s="2">
        <v>43891</v>
      </c>
      <c r="E6840" t="s">
        <v>15</v>
      </c>
      <c r="F6840">
        <v>150.1</v>
      </c>
      <c r="G6840" t="str">
        <f>VLOOKUP(Table1_2[[#This Row],[Categories]],Sheet3!$A$1:$B$27,2,FALSE)</f>
        <v>Food &amp;Beverage</v>
      </c>
    </row>
    <row r="6841" spans="1:7" x14ac:dyDescent="0.3">
      <c r="A6841" t="s">
        <v>33</v>
      </c>
      <c r="B6841">
        <v>2020</v>
      </c>
      <c r="C6841" t="s">
        <v>36</v>
      </c>
      <c r="D6841" s="2">
        <v>43891</v>
      </c>
      <c r="E6841" t="s">
        <v>16</v>
      </c>
      <c r="F6841">
        <v>173.3</v>
      </c>
      <c r="G6841" t="str">
        <f>VLOOKUP(Table1_2[[#This Row],[Categories]],Sheet3!$A$1:$B$27,2,FALSE)</f>
        <v>Recreation and amusement</v>
      </c>
    </row>
    <row r="6842" spans="1:7" x14ac:dyDescent="0.3">
      <c r="A6842" t="s">
        <v>33</v>
      </c>
      <c r="B6842">
        <v>2020</v>
      </c>
      <c r="C6842" t="s">
        <v>36</v>
      </c>
      <c r="D6842" s="2">
        <v>43891</v>
      </c>
      <c r="E6842" t="s">
        <v>17</v>
      </c>
      <c r="F6842">
        <v>147.69999999999999</v>
      </c>
      <c r="G6842" t="str">
        <f>VLOOKUP(Table1_2[[#This Row],[Categories]],Sheet3!$A$1:$B$27,2,FALSE)</f>
        <v>Clothing and footwear</v>
      </c>
    </row>
    <row r="6843" spans="1:7" x14ac:dyDescent="0.3">
      <c r="A6843" t="s">
        <v>33</v>
      </c>
      <c r="B6843">
        <v>2020</v>
      </c>
      <c r="C6843" t="s">
        <v>36</v>
      </c>
      <c r="D6843" s="2">
        <v>43891</v>
      </c>
      <c r="E6843" t="s">
        <v>18</v>
      </c>
      <c r="F6843">
        <v>133.80000000000001</v>
      </c>
      <c r="G6843" t="str">
        <f>VLOOKUP(Table1_2[[#This Row],[Categories]],Sheet3!$A$1:$B$27,2,FALSE)</f>
        <v>Clothing and footwear</v>
      </c>
    </row>
    <row r="6844" spans="1:7" x14ac:dyDescent="0.3">
      <c r="A6844" t="s">
        <v>33</v>
      </c>
      <c r="B6844">
        <v>2020</v>
      </c>
      <c r="C6844" t="s">
        <v>36</v>
      </c>
      <c r="D6844" s="2">
        <v>43891</v>
      </c>
      <c r="E6844" t="s">
        <v>19</v>
      </c>
      <c r="F6844">
        <v>145.6</v>
      </c>
      <c r="G6844" t="str">
        <f>VLOOKUP(Table1_2[[#This Row],[Categories]],Sheet3!$A$1:$B$27,2,FALSE)</f>
        <v>Clothing and footwear</v>
      </c>
    </row>
    <row r="6845" spans="1:7" x14ac:dyDescent="0.3">
      <c r="A6845" t="s">
        <v>33</v>
      </c>
      <c r="B6845">
        <v>2020</v>
      </c>
      <c r="C6845" t="s">
        <v>36</v>
      </c>
      <c r="D6845" s="2">
        <v>43891</v>
      </c>
      <c r="E6845" t="s">
        <v>20</v>
      </c>
      <c r="F6845">
        <v>154.5</v>
      </c>
      <c r="G6845" t="str">
        <f>VLOOKUP(Table1_2[[#This Row],[Categories]],Sheet3!$A$1:$B$27,2,FALSE)</f>
        <v>Housing</v>
      </c>
    </row>
    <row r="6846" spans="1:7" x14ac:dyDescent="0.3">
      <c r="A6846" t="s">
        <v>33</v>
      </c>
      <c r="B6846">
        <v>2020</v>
      </c>
      <c r="C6846" t="s">
        <v>36</v>
      </c>
      <c r="D6846" s="2">
        <v>43891</v>
      </c>
      <c r="E6846" t="s">
        <v>21</v>
      </c>
      <c r="F6846">
        <v>141.4</v>
      </c>
      <c r="G6846" t="str">
        <f>VLOOKUP(Table1_2[[#This Row],[Categories]],Sheet3!$A$1:$B$27,2,FALSE)</f>
        <v>Fuel and light</v>
      </c>
    </row>
    <row r="6847" spans="1:7" x14ac:dyDescent="0.3">
      <c r="A6847" t="s">
        <v>33</v>
      </c>
      <c r="B6847">
        <v>2020</v>
      </c>
      <c r="C6847" t="s">
        <v>36</v>
      </c>
      <c r="D6847" s="2">
        <v>43891</v>
      </c>
      <c r="E6847" t="s">
        <v>22</v>
      </c>
      <c r="F6847">
        <v>140.80000000000001</v>
      </c>
      <c r="G6847" t="str">
        <f>VLOOKUP(Table1_2[[#This Row],[Categories]],Sheet3!$A$1:$B$27,2,FALSE)</f>
        <v>Household Items</v>
      </c>
    </row>
    <row r="6848" spans="1:7" x14ac:dyDescent="0.3">
      <c r="A6848" t="s">
        <v>33</v>
      </c>
      <c r="B6848">
        <v>2020</v>
      </c>
      <c r="C6848" t="s">
        <v>36</v>
      </c>
      <c r="D6848" s="2">
        <v>43891</v>
      </c>
      <c r="E6848" t="s">
        <v>23</v>
      </c>
      <c r="F6848">
        <v>145</v>
      </c>
      <c r="G6848" t="str">
        <f>VLOOKUP(Table1_2[[#This Row],[Categories]],Sheet3!$A$1:$B$27,2,FALSE)</f>
        <v>Health</v>
      </c>
    </row>
    <row r="6849" spans="1:7" x14ac:dyDescent="0.3">
      <c r="A6849" t="s">
        <v>33</v>
      </c>
      <c r="B6849">
        <v>2020</v>
      </c>
      <c r="C6849" t="s">
        <v>36</v>
      </c>
      <c r="D6849" s="2">
        <v>43891</v>
      </c>
      <c r="E6849" t="s">
        <v>24</v>
      </c>
      <c r="F6849">
        <v>124.6</v>
      </c>
      <c r="G6849" t="str">
        <f>VLOOKUP(Table1_2[[#This Row],[Categories]],Sheet3!$A$1:$B$27,2,FALSE)</f>
        <v>Transport and communication</v>
      </c>
    </row>
    <row r="6850" spans="1:7" x14ac:dyDescent="0.3">
      <c r="A6850" t="s">
        <v>33</v>
      </c>
      <c r="B6850">
        <v>2020</v>
      </c>
      <c r="C6850" t="s">
        <v>36</v>
      </c>
      <c r="D6850" s="2">
        <v>43891</v>
      </c>
      <c r="E6850" t="s">
        <v>25</v>
      </c>
      <c r="F6850">
        <v>137.9</v>
      </c>
      <c r="G6850" t="str">
        <f>VLOOKUP(Table1_2[[#This Row],[Categories]],Sheet3!$A$1:$B$27,2,FALSE)</f>
        <v>Recreation and amusement</v>
      </c>
    </row>
    <row r="6851" spans="1:7" x14ac:dyDescent="0.3">
      <c r="A6851" t="s">
        <v>33</v>
      </c>
      <c r="B6851">
        <v>2020</v>
      </c>
      <c r="C6851" t="s">
        <v>36</v>
      </c>
      <c r="D6851" s="2">
        <v>43891</v>
      </c>
      <c r="E6851" t="s">
        <v>26</v>
      </c>
      <c r="F6851">
        <v>152.5</v>
      </c>
      <c r="G6851" t="str">
        <f>VLOOKUP(Table1_2[[#This Row],[Categories]],Sheet3!$A$1:$B$27,2,FALSE)</f>
        <v>Education</v>
      </c>
    </row>
    <row r="6852" spans="1:7" x14ac:dyDescent="0.3">
      <c r="A6852" t="s">
        <v>33</v>
      </c>
      <c r="B6852">
        <v>2020</v>
      </c>
      <c r="C6852" t="s">
        <v>36</v>
      </c>
      <c r="D6852" s="2">
        <v>43891</v>
      </c>
      <c r="E6852" t="s">
        <v>27</v>
      </c>
      <c r="F6852">
        <v>145.30000000000001</v>
      </c>
      <c r="G6852" t="str">
        <f>VLOOKUP(Table1_2[[#This Row],[Categories]],Sheet3!$A$1:$B$27,2,FALSE)</f>
        <v>Household Items</v>
      </c>
    </row>
    <row r="6853" spans="1:7" x14ac:dyDescent="0.3">
      <c r="A6853" t="s">
        <v>33</v>
      </c>
      <c r="B6853">
        <v>2020</v>
      </c>
      <c r="C6853" t="s">
        <v>36</v>
      </c>
      <c r="D6853" s="2">
        <v>43891</v>
      </c>
      <c r="E6853" t="s">
        <v>28</v>
      </c>
      <c r="F6853">
        <v>138.69999999999999</v>
      </c>
      <c r="G6853" t="str">
        <f>VLOOKUP(Table1_2[[#This Row],[Categories]],Sheet3!$A$1:$B$27,2,FALSE)</f>
        <v>Miscellaneous</v>
      </c>
    </row>
    <row r="6854" spans="1:7" x14ac:dyDescent="0.3">
      <c r="A6854" t="s">
        <v>33</v>
      </c>
      <c r="B6854">
        <v>2020</v>
      </c>
      <c r="C6854" t="s">
        <v>36</v>
      </c>
      <c r="D6854" s="2">
        <v>43891</v>
      </c>
      <c r="E6854" t="s">
        <v>29</v>
      </c>
      <c r="F6854">
        <v>147.30000000000001</v>
      </c>
      <c r="G6854" t="str">
        <f>VLOOKUP(Table1_2[[#This Row],[Categories]],Sheet3!$A$1:$B$27,2,FALSE)</f>
        <v>General index</v>
      </c>
    </row>
    <row r="6855" spans="1:7" x14ac:dyDescent="0.3">
      <c r="A6855" t="s">
        <v>34</v>
      </c>
      <c r="B6855">
        <v>2020</v>
      </c>
      <c r="C6855" t="s">
        <v>36</v>
      </c>
      <c r="D6855" s="2">
        <v>43891</v>
      </c>
      <c r="E6855" t="s">
        <v>3</v>
      </c>
      <c r="F6855">
        <v>145.1</v>
      </c>
      <c r="G6855" t="str">
        <f>VLOOKUP(Table1_2[[#This Row],[Categories]],Sheet3!$A$1:$B$27,2,FALSE)</f>
        <v>Food &amp;Beverage</v>
      </c>
    </row>
    <row r="6856" spans="1:7" x14ac:dyDescent="0.3">
      <c r="A6856" t="s">
        <v>34</v>
      </c>
      <c r="B6856">
        <v>2020</v>
      </c>
      <c r="C6856" t="s">
        <v>36</v>
      </c>
      <c r="D6856" s="2">
        <v>43891</v>
      </c>
      <c r="E6856" t="s">
        <v>4</v>
      </c>
      <c r="F6856">
        <v>167</v>
      </c>
      <c r="G6856" t="str">
        <f>VLOOKUP(Table1_2[[#This Row],[Categories]],Sheet3!$A$1:$B$27,2,FALSE)</f>
        <v>Food &amp;Beverage</v>
      </c>
    </row>
    <row r="6857" spans="1:7" x14ac:dyDescent="0.3">
      <c r="A6857" t="s">
        <v>34</v>
      </c>
      <c r="B6857">
        <v>2020</v>
      </c>
      <c r="C6857" t="s">
        <v>36</v>
      </c>
      <c r="D6857" s="2">
        <v>43891</v>
      </c>
      <c r="E6857" t="s">
        <v>5</v>
      </c>
      <c r="F6857">
        <v>148.1</v>
      </c>
      <c r="G6857" t="str">
        <f>VLOOKUP(Table1_2[[#This Row],[Categories]],Sheet3!$A$1:$B$27,2,FALSE)</f>
        <v>Food &amp;Beverage</v>
      </c>
    </row>
    <row r="6858" spans="1:7" x14ac:dyDescent="0.3">
      <c r="A6858" t="s">
        <v>34</v>
      </c>
      <c r="B6858">
        <v>2020</v>
      </c>
      <c r="C6858" t="s">
        <v>36</v>
      </c>
      <c r="D6858" s="2">
        <v>43891</v>
      </c>
      <c r="E6858" t="s">
        <v>6</v>
      </c>
      <c r="F6858">
        <v>151.5</v>
      </c>
      <c r="G6858" t="str">
        <f>VLOOKUP(Table1_2[[#This Row],[Categories]],Sheet3!$A$1:$B$27,2,FALSE)</f>
        <v>Food &amp;Beverage</v>
      </c>
    </row>
    <row r="6859" spans="1:7" x14ac:dyDescent="0.3">
      <c r="A6859" t="s">
        <v>34</v>
      </c>
      <c r="B6859">
        <v>2020</v>
      </c>
      <c r="C6859" t="s">
        <v>36</v>
      </c>
      <c r="D6859" s="2">
        <v>43891</v>
      </c>
      <c r="E6859" t="s">
        <v>7</v>
      </c>
      <c r="F6859">
        <v>131.19999999999999</v>
      </c>
      <c r="G6859" t="str">
        <f>VLOOKUP(Table1_2[[#This Row],[Categories]],Sheet3!$A$1:$B$27,2,FALSE)</f>
        <v>Food &amp;Beverage</v>
      </c>
    </row>
    <row r="6860" spans="1:7" x14ac:dyDescent="0.3">
      <c r="A6860" t="s">
        <v>34</v>
      </c>
      <c r="B6860">
        <v>2020</v>
      </c>
      <c r="C6860" t="s">
        <v>36</v>
      </c>
      <c r="D6860" s="2">
        <v>43891</v>
      </c>
      <c r="E6860" t="s">
        <v>8</v>
      </c>
      <c r="F6860">
        <v>142.5</v>
      </c>
      <c r="G6860" t="str">
        <f>VLOOKUP(Table1_2[[#This Row],[Categories]],Sheet3!$A$1:$B$27,2,FALSE)</f>
        <v>Food &amp;Beverage</v>
      </c>
    </row>
    <row r="6861" spans="1:7" x14ac:dyDescent="0.3">
      <c r="A6861" t="s">
        <v>34</v>
      </c>
      <c r="B6861">
        <v>2020</v>
      </c>
      <c r="C6861" t="s">
        <v>36</v>
      </c>
      <c r="D6861" s="2">
        <v>43891</v>
      </c>
      <c r="E6861" t="s">
        <v>9</v>
      </c>
      <c r="F6861">
        <v>157.30000000000001</v>
      </c>
      <c r="G6861" t="str">
        <f>VLOOKUP(Table1_2[[#This Row],[Categories]],Sheet3!$A$1:$B$27,2,FALSE)</f>
        <v>Food &amp;Beverage</v>
      </c>
    </row>
    <row r="6862" spans="1:7" x14ac:dyDescent="0.3">
      <c r="A6862" t="s">
        <v>34</v>
      </c>
      <c r="B6862">
        <v>2020</v>
      </c>
      <c r="C6862" t="s">
        <v>36</v>
      </c>
      <c r="D6862" s="2">
        <v>43891</v>
      </c>
      <c r="E6862" t="s">
        <v>10</v>
      </c>
      <c r="F6862">
        <v>141.1</v>
      </c>
      <c r="G6862" t="str">
        <f>VLOOKUP(Table1_2[[#This Row],[Categories]],Sheet3!$A$1:$B$27,2,FALSE)</f>
        <v>Food &amp;Beverage</v>
      </c>
    </row>
    <row r="6863" spans="1:7" x14ac:dyDescent="0.3">
      <c r="A6863" t="s">
        <v>34</v>
      </c>
      <c r="B6863">
        <v>2020</v>
      </c>
      <c r="C6863" t="s">
        <v>36</v>
      </c>
      <c r="D6863" s="2">
        <v>43891</v>
      </c>
      <c r="E6863" t="s">
        <v>11</v>
      </c>
      <c r="F6863">
        <v>113.2</v>
      </c>
      <c r="G6863" t="str">
        <f>VLOOKUP(Table1_2[[#This Row],[Categories]],Sheet3!$A$1:$B$27,2,FALSE)</f>
        <v>Food &amp;Beverage</v>
      </c>
    </row>
    <row r="6864" spans="1:7" x14ac:dyDescent="0.3">
      <c r="A6864" t="s">
        <v>34</v>
      </c>
      <c r="B6864">
        <v>2020</v>
      </c>
      <c r="C6864" t="s">
        <v>36</v>
      </c>
      <c r="D6864" s="2">
        <v>43891</v>
      </c>
      <c r="E6864" t="s">
        <v>12</v>
      </c>
      <c r="F6864">
        <v>153.19999999999999</v>
      </c>
      <c r="G6864" t="str">
        <f>VLOOKUP(Table1_2[[#This Row],[Categories]],Sheet3!$A$1:$B$27,2,FALSE)</f>
        <v>Food &amp;Beverage</v>
      </c>
    </row>
    <row r="6865" spans="1:7" x14ac:dyDescent="0.3">
      <c r="A6865" t="s">
        <v>34</v>
      </c>
      <c r="B6865">
        <v>2020</v>
      </c>
      <c r="C6865" t="s">
        <v>36</v>
      </c>
      <c r="D6865" s="2">
        <v>43891</v>
      </c>
      <c r="E6865" t="s">
        <v>13</v>
      </c>
      <c r="F6865">
        <v>136.69999999999999</v>
      </c>
      <c r="G6865" t="str">
        <f>VLOOKUP(Table1_2[[#This Row],[Categories]],Sheet3!$A$1:$B$27,2,FALSE)</f>
        <v>Food &amp;Beverage</v>
      </c>
    </row>
    <row r="6866" spans="1:7" x14ac:dyDescent="0.3">
      <c r="A6866" t="s">
        <v>34</v>
      </c>
      <c r="B6866">
        <v>2020</v>
      </c>
      <c r="C6866" t="s">
        <v>36</v>
      </c>
      <c r="D6866" s="2">
        <v>43891</v>
      </c>
      <c r="E6866" t="s">
        <v>14</v>
      </c>
      <c r="F6866">
        <v>159.6</v>
      </c>
      <c r="G6866" t="str">
        <f>VLOOKUP(Table1_2[[#This Row],[Categories]],Sheet3!$A$1:$B$27,2,FALSE)</f>
        <v>Food &amp;Beverage</v>
      </c>
    </row>
    <row r="6867" spans="1:7" x14ac:dyDescent="0.3">
      <c r="A6867" t="s">
        <v>34</v>
      </c>
      <c r="B6867">
        <v>2020</v>
      </c>
      <c r="C6867" t="s">
        <v>36</v>
      </c>
      <c r="D6867" s="2">
        <v>43891</v>
      </c>
      <c r="E6867" t="s">
        <v>15</v>
      </c>
      <c r="F6867">
        <v>148.9</v>
      </c>
      <c r="G6867" t="str">
        <f>VLOOKUP(Table1_2[[#This Row],[Categories]],Sheet3!$A$1:$B$27,2,FALSE)</f>
        <v>Food &amp;Beverage</v>
      </c>
    </row>
    <row r="6868" spans="1:7" x14ac:dyDescent="0.3">
      <c r="A6868" t="s">
        <v>34</v>
      </c>
      <c r="B6868">
        <v>2020</v>
      </c>
      <c r="C6868" t="s">
        <v>36</v>
      </c>
      <c r="D6868" s="2">
        <v>43891</v>
      </c>
      <c r="E6868" t="s">
        <v>16</v>
      </c>
      <c r="F6868">
        <v>171.2</v>
      </c>
      <c r="G6868" t="str">
        <f>VLOOKUP(Table1_2[[#This Row],[Categories]],Sheet3!$A$1:$B$27,2,FALSE)</f>
        <v>Recreation and amusement</v>
      </c>
    </row>
    <row r="6869" spans="1:7" x14ac:dyDescent="0.3">
      <c r="A6869" t="s">
        <v>34</v>
      </c>
      <c r="B6869">
        <v>2020</v>
      </c>
      <c r="C6869" t="s">
        <v>36</v>
      </c>
      <c r="D6869" s="2">
        <v>43891</v>
      </c>
      <c r="E6869" t="s">
        <v>17</v>
      </c>
      <c r="F6869">
        <v>151.19999999999999</v>
      </c>
      <c r="G6869" t="str">
        <f>VLOOKUP(Table1_2[[#This Row],[Categories]],Sheet3!$A$1:$B$27,2,FALSE)</f>
        <v>Clothing and footwear</v>
      </c>
    </row>
    <row r="6870" spans="1:7" x14ac:dyDescent="0.3">
      <c r="A6870" t="s">
        <v>34</v>
      </c>
      <c r="B6870">
        <v>2020</v>
      </c>
      <c r="C6870" t="s">
        <v>36</v>
      </c>
      <c r="D6870" s="2">
        <v>43891</v>
      </c>
      <c r="E6870" t="s">
        <v>18</v>
      </c>
      <c r="F6870">
        <v>141.9</v>
      </c>
      <c r="G6870" t="str">
        <f>VLOOKUP(Table1_2[[#This Row],[Categories]],Sheet3!$A$1:$B$27,2,FALSE)</f>
        <v>Clothing and footwear</v>
      </c>
    </row>
    <row r="6871" spans="1:7" x14ac:dyDescent="0.3">
      <c r="A6871" t="s">
        <v>34</v>
      </c>
      <c r="B6871">
        <v>2020</v>
      </c>
      <c r="C6871" t="s">
        <v>36</v>
      </c>
      <c r="D6871" s="2">
        <v>43891</v>
      </c>
      <c r="E6871" t="s">
        <v>19</v>
      </c>
      <c r="F6871">
        <v>149.80000000000001</v>
      </c>
      <c r="G6871" t="str">
        <f>VLOOKUP(Table1_2[[#This Row],[Categories]],Sheet3!$A$1:$B$27,2,FALSE)</f>
        <v>Clothing and footwear</v>
      </c>
    </row>
    <row r="6872" spans="1:7" x14ac:dyDescent="0.3">
      <c r="A6872" t="s">
        <v>34</v>
      </c>
      <c r="B6872">
        <v>2020</v>
      </c>
      <c r="C6872" t="s">
        <v>36</v>
      </c>
      <c r="D6872" s="2">
        <v>43891</v>
      </c>
      <c r="E6872" t="s">
        <v>20</v>
      </c>
      <c r="F6872">
        <v>154.5</v>
      </c>
      <c r="G6872" t="str">
        <f>VLOOKUP(Table1_2[[#This Row],[Categories]],Sheet3!$A$1:$B$27,2,FALSE)</f>
        <v>Housing</v>
      </c>
    </row>
    <row r="6873" spans="1:7" x14ac:dyDescent="0.3">
      <c r="A6873" t="s">
        <v>34</v>
      </c>
      <c r="B6873">
        <v>2020</v>
      </c>
      <c r="C6873" t="s">
        <v>36</v>
      </c>
      <c r="D6873" s="2">
        <v>43891</v>
      </c>
      <c r="E6873" t="s">
        <v>21</v>
      </c>
      <c r="F6873">
        <v>148.9</v>
      </c>
      <c r="G6873" t="str">
        <f>VLOOKUP(Table1_2[[#This Row],[Categories]],Sheet3!$A$1:$B$27,2,FALSE)</f>
        <v>Fuel and light</v>
      </c>
    </row>
    <row r="6874" spans="1:7" x14ac:dyDescent="0.3">
      <c r="A6874" t="s">
        <v>34</v>
      </c>
      <c r="B6874">
        <v>2020</v>
      </c>
      <c r="C6874" t="s">
        <v>36</v>
      </c>
      <c r="D6874" s="2">
        <v>43891</v>
      </c>
      <c r="E6874" t="s">
        <v>22</v>
      </c>
      <c r="F6874">
        <v>146.4</v>
      </c>
      <c r="G6874" t="str">
        <f>VLOOKUP(Table1_2[[#This Row],[Categories]],Sheet3!$A$1:$B$27,2,FALSE)</f>
        <v>Household Items</v>
      </c>
    </row>
    <row r="6875" spans="1:7" x14ac:dyDescent="0.3">
      <c r="A6875" t="s">
        <v>34</v>
      </c>
      <c r="B6875">
        <v>2020</v>
      </c>
      <c r="C6875" t="s">
        <v>36</v>
      </c>
      <c r="D6875" s="2">
        <v>43891</v>
      </c>
      <c r="E6875" t="s">
        <v>23</v>
      </c>
      <c r="F6875">
        <v>152.30000000000001</v>
      </c>
      <c r="G6875" t="str">
        <f>VLOOKUP(Table1_2[[#This Row],[Categories]],Sheet3!$A$1:$B$27,2,FALSE)</f>
        <v>Health</v>
      </c>
    </row>
    <row r="6876" spans="1:7" x14ac:dyDescent="0.3">
      <c r="A6876" t="s">
        <v>34</v>
      </c>
      <c r="B6876">
        <v>2020</v>
      </c>
      <c r="C6876" t="s">
        <v>36</v>
      </c>
      <c r="D6876" s="2">
        <v>43891</v>
      </c>
      <c r="E6876" t="s">
        <v>24</v>
      </c>
      <c r="F6876">
        <v>129.9</v>
      </c>
      <c r="G6876" t="str">
        <f>VLOOKUP(Table1_2[[#This Row],[Categories]],Sheet3!$A$1:$B$27,2,FALSE)</f>
        <v>Transport and communication</v>
      </c>
    </row>
    <row r="6877" spans="1:7" x14ac:dyDescent="0.3">
      <c r="A6877" t="s">
        <v>34</v>
      </c>
      <c r="B6877">
        <v>2020</v>
      </c>
      <c r="C6877" t="s">
        <v>36</v>
      </c>
      <c r="D6877" s="2">
        <v>43891</v>
      </c>
      <c r="E6877" t="s">
        <v>25</v>
      </c>
      <c r="F6877">
        <v>143.69999999999999</v>
      </c>
      <c r="G6877" t="str">
        <f>VLOOKUP(Table1_2[[#This Row],[Categories]],Sheet3!$A$1:$B$27,2,FALSE)</f>
        <v>Recreation and amusement</v>
      </c>
    </row>
    <row r="6878" spans="1:7" x14ac:dyDescent="0.3">
      <c r="A6878" t="s">
        <v>34</v>
      </c>
      <c r="B6878">
        <v>2020</v>
      </c>
      <c r="C6878" t="s">
        <v>36</v>
      </c>
      <c r="D6878" s="2">
        <v>43891</v>
      </c>
      <c r="E6878" t="s">
        <v>26</v>
      </c>
      <c r="F6878">
        <v>156.1</v>
      </c>
      <c r="G6878" t="str">
        <f>VLOOKUP(Table1_2[[#This Row],[Categories]],Sheet3!$A$1:$B$27,2,FALSE)</f>
        <v>Education</v>
      </c>
    </row>
    <row r="6879" spans="1:7" x14ac:dyDescent="0.3">
      <c r="A6879" t="s">
        <v>34</v>
      </c>
      <c r="B6879">
        <v>2020</v>
      </c>
      <c r="C6879" t="s">
        <v>36</v>
      </c>
      <c r="D6879" s="2">
        <v>43891</v>
      </c>
      <c r="E6879" t="s">
        <v>27</v>
      </c>
      <c r="F6879">
        <v>145.19999999999999</v>
      </c>
      <c r="G6879" t="str">
        <f>VLOOKUP(Table1_2[[#This Row],[Categories]],Sheet3!$A$1:$B$27,2,FALSE)</f>
        <v>Household Items</v>
      </c>
    </row>
    <row r="6880" spans="1:7" x14ac:dyDescent="0.3">
      <c r="A6880" t="s">
        <v>34</v>
      </c>
      <c r="B6880">
        <v>2020</v>
      </c>
      <c r="C6880" t="s">
        <v>36</v>
      </c>
      <c r="D6880" s="2">
        <v>43891</v>
      </c>
      <c r="E6880" t="s">
        <v>28</v>
      </c>
      <c r="F6880">
        <v>143.80000000000001</v>
      </c>
      <c r="G6880" t="str">
        <f>VLOOKUP(Table1_2[[#This Row],[Categories]],Sheet3!$A$1:$B$27,2,FALSE)</f>
        <v>Miscellaneous</v>
      </c>
    </row>
    <row r="6881" spans="1:7" x14ac:dyDescent="0.3">
      <c r="A6881" t="s">
        <v>34</v>
      </c>
      <c r="B6881">
        <v>2020</v>
      </c>
      <c r="C6881" t="s">
        <v>36</v>
      </c>
      <c r="D6881" s="2">
        <v>43891</v>
      </c>
      <c r="E6881" t="s">
        <v>29</v>
      </c>
      <c r="F6881">
        <v>148.6</v>
      </c>
      <c r="G6881" t="str">
        <f>VLOOKUP(Table1_2[[#This Row],[Categories]],Sheet3!$A$1:$B$27,2,FALSE)</f>
        <v>General index</v>
      </c>
    </row>
    <row r="6882" spans="1:7" x14ac:dyDescent="0.3">
      <c r="A6882" t="s">
        <v>30</v>
      </c>
      <c r="B6882">
        <v>2020</v>
      </c>
      <c r="C6882" t="s">
        <v>37</v>
      </c>
      <c r="D6882" s="2">
        <v>43922</v>
      </c>
      <c r="E6882" t="s">
        <v>3</v>
      </c>
      <c r="F6882">
        <v>147.19999999999999</v>
      </c>
      <c r="G6882" t="str">
        <f>VLOOKUP(Table1_2[[#This Row],[Categories]],Sheet3!$A$1:$B$27,2,FALSE)</f>
        <v>Food &amp;Beverage</v>
      </c>
    </row>
    <row r="6883" spans="1:7" x14ac:dyDescent="0.3">
      <c r="A6883" t="s">
        <v>30</v>
      </c>
      <c r="B6883">
        <v>2020</v>
      </c>
      <c r="C6883" t="s">
        <v>37</v>
      </c>
      <c r="D6883" s="2">
        <v>43922</v>
      </c>
      <c r="E6883" t="s">
        <v>5</v>
      </c>
      <c r="F6883">
        <v>146.9</v>
      </c>
      <c r="G6883" t="str">
        <f>VLOOKUP(Table1_2[[#This Row],[Categories]],Sheet3!$A$1:$B$27,2,FALSE)</f>
        <v>Food &amp;Beverage</v>
      </c>
    </row>
    <row r="6884" spans="1:7" x14ac:dyDescent="0.3">
      <c r="A6884" t="s">
        <v>30</v>
      </c>
      <c r="B6884">
        <v>2020</v>
      </c>
      <c r="C6884" t="s">
        <v>37</v>
      </c>
      <c r="D6884" s="2">
        <v>43922</v>
      </c>
      <c r="E6884" t="s">
        <v>6</v>
      </c>
      <c r="F6884">
        <v>155.6</v>
      </c>
      <c r="G6884" t="str">
        <f>VLOOKUP(Table1_2[[#This Row],[Categories]],Sheet3!$A$1:$B$27,2,FALSE)</f>
        <v>Food &amp;Beverage</v>
      </c>
    </row>
    <row r="6885" spans="1:7" x14ac:dyDescent="0.3">
      <c r="A6885" t="s">
        <v>30</v>
      </c>
      <c r="B6885">
        <v>2020</v>
      </c>
      <c r="C6885" t="s">
        <v>37</v>
      </c>
      <c r="D6885" s="2">
        <v>43922</v>
      </c>
      <c r="E6885" t="s">
        <v>7</v>
      </c>
      <c r="F6885">
        <v>137.1</v>
      </c>
      <c r="G6885" t="str">
        <f>VLOOKUP(Table1_2[[#This Row],[Categories]],Sheet3!$A$1:$B$27,2,FALSE)</f>
        <v>Food &amp;Beverage</v>
      </c>
    </row>
    <row r="6886" spans="1:7" x14ac:dyDescent="0.3">
      <c r="A6886" t="s">
        <v>30</v>
      </c>
      <c r="B6886">
        <v>2020</v>
      </c>
      <c r="C6886" t="s">
        <v>37</v>
      </c>
      <c r="D6886" s="2">
        <v>43922</v>
      </c>
      <c r="E6886" t="s">
        <v>8</v>
      </c>
      <c r="F6886">
        <v>147.30000000000001</v>
      </c>
      <c r="G6886" t="str">
        <f>VLOOKUP(Table1_2[[#This Row],[Categories]],Sheet3!$A$1:$B$27,2,FALSE)</f>
        <v>Food &amp;Beverage</v>
      </c>
    </row>
    <row r="6887" spans="1:7" x14ac:dyDescent="0.3">
      <c r="A6887" t="s">
        <v>30</v>
      </c>
      <c r="B6887">
        <v>2020</v>
      </c>
      <c r="C6887" t="s">
        <v>37</v>
      </c>
      <c r="D6887" s="2">
        <v>43922</v>
      </c>
      <c r="E6887" t="s">
        <v>9</v>
      </c>
      <c r="F6887">
        <v>162.69999999999999</v>
      </c>
      <c r="G6887" t="str">
        <f>VLOOKUP(Table1_2[[#This Row],[Categories]],Sheet3!$A$1:$B$27,2,FALSE)</f>
        <v>Food &amp;Beverage</v>
      </c>
    </row>
    <row r="6888" spans="1:7" x14ac:dyDescent="0.3">
      <c r="A6888" t="s">
        <v>30</v>
      </c>
      <c r="B6888">
        <v>2020</v>
      </c>
      <c r="C6888" t="s">
        <v>37</v>
      </c>
      <c r="D6888" s="2">
        <v>43922</v>
      </c>
      <c r="E6888" t="s">
        <v>10</v>
      </c>
      <c r="F6888">
        <v>150.19999999999999</v>
      </c>
      <c r="G6888" t="str">
        <f>VLOOKUP(Table1_2[[#This Row],[Categories]],Sheet3!$A$1:$B$27,2,FALSE)</f>
        <v>Food &amp;Beverage</v>
      </c>
    </row>
    <row r="6889" spans="1:7" x14ac:dyDescent="0.3">
      <c r="A6889" t="s">
        <v>30</v>
      </c>
      <c r="B6889">
        <v>2020</v>
      </c>
      <c r="C6889" t="s">
        <v>37</v>
      </c>
      <c r="D6889" s="2">
        <v>43922</v>
      </c>
      <c r="E6889" t="s">
        <v>11</v>
      </c>
      <c r="F6889">
        <v>119.8</v>
      </c>
      <c r="G6889" t="str">
        <f>VLOOKUP(Table1_2[[#This Row],[Categories]],Sheet3!$A$1:$B$27,2,FALSE)</f>
        <v>Food &amp;Beverage</v>
      </c>
    </row>
    <row r="6890" spans="1:7" x14ac:dyDescent="0.3">
      <c r="A6890" t="s">
        <v>30</v>
      </c>
      <c r="B6890">
        <v>2020</v>
      </c>
      <c r="C6890" t="s">
        <v>37</v>
      </c>
      <c r="D6890" s="2">
        <v>43922</v>
      </c>
      <c r="E6890" t="s">
        <v>12</v>
      </c>
      <c r="F6890">
        <v>158.69999999999999</v>
      </c>
      <c r="G6890" t="str">
        <f>VLOOKUP(Table1_2[[#This Row],[Categories]],Sheet3!$A$1:$B$27,2,FALSE)</f>
        <v>Food &amp;Beverage</v>
      </c>
    </row>
    <row r="6891" spans="1:7" x14ac:dyDescent="0.3">
      <c r="A6891" t="s">
        <v>30</v>
      </c>
      <c r="B6891">
        <v>2020</v>
      </c>
      <c r="C6891" t="s">
        <v>37</v>
      </c>
      <c r="D6891" s="2">
        <v>43922</v>
      </c>
      <c r="E6891" t="s">
        <v>13</v>
      </c>
      <c r="F6891">
        <v>139.19999999999999</v>
      </c>
      <c r="G6891" t="str">
        <f>VLOOKUP(Table1_2[[#This Row],[Categories]],Sheet3!$A$1:$B$27,2,FALSE)</f>
        <v>Food &amp;Beverage</v>
      </c>
    </row>
    <row r="6892" spans="1:7" x14ac:dyDescent="0.3">
      <c r="A6892" t="s">
        <v>30</v>
      </c>
      <c r="B6892">
        <v>2020</v>
      </c>
      <c r="C6892" t="s">
        <v>37</v>
      </c>
      <c r="D6892" s="2">
        <v>43922</v>
      </c>
      <c r="E6892" t="s">
        <v>15</v>
      </c>
      <c r="F6892">
        <v>150.1</v>
      </c>
      <c r="G6892" t="str">
        <f>VLOOKUP(Table1_2[[#This Row],[Categories]],Sheet3!$A$1:$B$27,2,FALSE)</f>
        <v>Food &amp;Beverage</v>
      </c>
    </row>
    <row r="6893" spans="1:7" x14ac:dyDescent="0.3">
      <c r="A6893" t="s">
        <v>30</v>
      </c>
      <c r="B6893">
        <v>2020</v>
      </c>
      <c r="C6893" t="s">
        <v>37</v>
      </c>
      <c r="D6893" s="2">
        <v>43922</v>
      </c>
      <c r="E6893" t="s">
        <v>21</v>
      </c>
      <c r="F6893">
        <v>148.4</v>
      </c>
      <c r="G6893" t="str">
        <f>VLOOKUP(Table1_2[[#This Row],[Categories]],Sheet3!$A$1:$B$27,2,FALSE)</f>
        <v>Fuel and light</v>
      </c>
    </row>
    <row r="6894" spans="1:7" x14ac:dyDescent="0.3">
      <c r="A6894" t="s">
        <v>30</v>
      </c>
      <c r="B6894">
        <v>2020</v>
      </c>
      <c r="C6894" t="s">
        <v>37</v>
      </c>
      <c r="D6894" s="2">
        <v>43922</v>
      </c>
      <c r="E6894" t="s">
        <v>23</v>
      </c>
      <c r="F6894">
        <v>154.30000000000001</v>
      </c>
      <c r="G6894" t="str">
        <f>VLOOKUP(Table1_2[[#This Row],[Categories]],Sheet3!$A$1:$B$27,2,FALSE)</f>
        <v>Health</v>
      </c>
    </row>
    <row r="6895" spans="1:7" x14ac:dyDescent="0.3">
      <c r="A6895" t="s">
        <v>30</v>
      </c>
      <c r="B6895">
        <v>2020</v>
      </c>
      <c r="C6895" t="s">
        <v>37</v>
      </c>
      <c r="D6895" s="2">
        <v>43922</v>
      </c>
      <c r="E6895" t="s">
        <v>24</v>
      </c>
      <c r="F6895">
        <v>136.03333333333333</v>
      </c>
      <c r="G6895" t="str">
        <f>VLOOKUP(Table1_2[[#This Row],[Categories]],Sheet3!$A$1:$B$27,2,FALSE)</f>
        <v>Transport and communication</v>
      </c>
    </row>
    <row r="6896" spans="1:7" x14ac:dyDescent="0.3">
      <c r="A6896" t="s">
        <v>33</v>
      </c>
      <c r="B6896">
        <v>2020</v>
      </c>
      <c r="C6896" t="s">
        <v>37</v>
      </c>
      <c r="D6896" s="2">
        <v>43922</v>
      </c>
      <c r="E6896" t="s">
        <v>3</v>
      </c>
      <c r="F6896">
        <v>151.80000000000001</v>
      </c>
      <c r="G6896" t="str">
        <f>VLOOKUP(Table1_2[[#This Row],[Categories]],Sheet3!$A$1:$B$27,2,FALSE)</f>
        <v>Food &amp;Beverage</v>
      </c>
    </row>
    <row r="6897" spans="1:7" x14ac:dyDescent="0.3">
      <c r="A6897" t="s">
        <v>33</v>
      </c>
      <c r="B6897">
        <v>2020</v>
      </c>
      <c r="C6897" t="s">
        <v>37</v>
      </c>
      <c r="D6897" s="2">
        <v>43922</v>
      </c>
      <c r="E6897" t="s">
        <v>5</v>
      </c>
      <c r="F6897">
        <v>151.9</v>
      </c>
      <c r="G6897" t="str">
        <f>VLOOKUP(Table1_2[[#This Row],[Categories]],Sheet3!$A$1:$B$27,2,FALSE)</f>
        <v>Food &amp;Beverage</v>
      </c>
    </row>
    <row r="6898" spans="1:7" x14ac:dyDescent="0.3">
      <c r="A6898" t="s">
        <v>33</v>
      </c>
      <c r="B6898">
        <v>2020</v>
      </c>
      <c r="C6898" t="s">
        <v>37</v>
      </c>
      <c r="D6898" s="2">
        <v>43922</v>
      </c>
      <c r="E6898" t="s">
        <v>6</v>
      </c>
      <c r="F6898">
        <v>155.5</v>
      </c>
      <c r="G6898" t="str">
        <f>VLOOKUP(Table1_2[[#This Row],[Categories]],Sheet3!$A$1:$B$27,2,FALSE)</f>
        <v>Food &amp;Beverage</v>
      </c>
    </row>
    <row r="6899" spans="1:7" x14ac:dyDescent="0.3">
      <c r="A6899" t="s">
        <v>33</v>
      </c>
      <c r="B6899">
        <v>2020</v>
      </c>
      <c r="C6899" t="s">
        <v>37</v>
      </c>
      <c r="D6899" s="2">
        <v>43922</v>
      </c>
      <c r="E6899" t="s">
        <v>7</v>
      </c>
      <c r="F6899">
        <v>131.6</v>
      </c>
      <c r="G6899" t="str">
        <f>VLOOKUP(Table1_2[[#This Row],[Categories]],Sheet3!$A$1:$B$27,2,FALSE)</f>
        <v>Food &amp;Beverage</v>
      </c>
    </row>
    <row r="6900" spans="1:7" x14ac:dyDescent="0.3">
      <c r="A6900" t="s">
        <v>33</v>
      </c>
      <c r="B6900">
        <v>2020</v>
      </c>
      <c r="C6900" t="s">
        <v>37</v>
      </c>
      <c r="D6900" s="2">
        <v>43922</v>
      </c>
      <c r="E6900" t="s">
        <v>8</v>
      </c>
      <c r="F6900">
        <v>152.9</v>
      </c>
      <c r="G6900" t="str">
        <f>VLOOKUP(Table1_2[[#This Row],[Categories]],Sheet3!$A$1:$B$27,2,FALSE)</f>
        <v>Food &amp;Beverage</v>
      </c>
    </row>
    <row r="6901" spans="1:7" x14ac:dyDescent="0.3">
      <c r="A6901" t="s">
        <v>33</v>
      </c>
      <c r="B6901">
        <v>2020</v>
      </c>
      <c r="C6901" t="s">
        <v>37</v>
      </c>
      <c r="D6901" s="2">
        <v>43922</v>
      </c>
      <c r="E6901" t="s">
        <v>9</v>
      </c>
      <c r="F6901">
        <v>180</v>
      </c>
      <c r="G6901" t="str">
        <f>VLOOKUP(Table1_2[[#This Row],[Categories]],Sheet3!$A$1:$B$27,2,FALSE)</f>
        <v>Food &amp;Beverage</v>
      </c>
    </row>
    <row r="6902" spans="1:7" x14ac:dyDescent="0.3">
      <c r="A6902" t="s">
        <v>33</v>
      </c>
      <c r="B6902">
        <v>2020</v>
      </c>
      <c r="C6902" t="s">
        <v>37</v>
      </c>
      <c r="D6902" s="2">
        <v>43922</v>
      </c>
      <c r="E6902" t="s">
        <v>10</v>
      </c>
      <c r="F6902">
        <v>150.80000000000001</v>
      </c>
      <c r="G6902" t="str">
        <f>VLOOKUP(Table1_2[[#This Row],[Categories]],Sheet3!$A$1:$B$27,2,FALSE)</f>
        <v>Food &amp;Beverage</v>
      </c>
    </row>
    <row r="6903" spans="1:7" x14ac:dyDescent="0.3">
      <c r="A6903" t="s">
        <v>33</v>
      </c>
      <c r="B6903">
        <v>2020</v>
      </c>
      <c r="C6903" t="s">
        <v>37</v>
      </c>
      <c r="D6903" s="2">
        <v>43922</v>
      </c>
      <c r="E6903" t="s">
        <v>11</v>
      </c>
      <c r="F6903">
        <v>121.2</v>
      </c>
      <c r="G6903" t="str">
        <f>VLOOKUP(Table1_2[[#This Row],[Categories]],Sheet3!$A$1:$B$27,2,FALSE)</f>
        <v>Food &amp;Beverage</v>
      </c>
    </row>
    <row r="6904" spans="1:7" x14ac:dyDescent="0.3">
      <c r="A6904" t="s">
        <v>33</v>
      </c>
      <c r="B6904">
        <v>2020</v>
      </c>
      <c r="C6904" t="s">
        <v>37</v>
      </c>
      <c r="D6904" s="2">
        <v>43922</v>
      </c>
      <c r="E6904" t="s">
        <v>12</v>
      </c>
      <c r="F6904">
        <v>154</v>
      </c>
      <c r="G6904" t="str">
        <f>VLOOKUP(Table1_2[[#This Row],[Categories]],Sheet3!$A$1:$B$27,2,FALSE)</f>
        <v>Food &amp;Beverage</v>
      </c>
    </row>
    <row r="6905" spans="1:7" x14ac:dyDescent="0.3">
      <c r="A6905" t="s">
        <v>33</v>
      </c>
      <c r="B6905">
        <v>2020</v>
      </c>
      <c r="C6905" t="s">
        <v>37</v>
      </c>
      <c r="D6905" s="2">
        <v>43922</v>
      </c>
      <c r="E6905" t="s">
        <v>13</v>
      </c>
      <c r="F6905">
        <v>133.5</v>
      </c>
      <c r="G6905" t="str">
        <f>VLOOKUP(Table1_2[[#This Row],[Categories]],Sheet3!$A$1:$B$27,2,FALSE)</f>
        <v>Food &amp;Beverage</v>
      </c>
    </row>
    <row r="6906" spans="1:7" x14ac:dyDescent="0.3">
      <c r="A6906" t="s">
        <v>33</v>
      </c>
      <c r="B6906">
        <v>2020</v>
      </c>
      <c r="C6906" t="s">
        <v>37</v>
      </c>
      <c r="D6906" s="2">
        <v>43922</v>
      </c>
      <c r="E6906" t="s">
        <v>15</v>
      </c>
      <c r="F6906">
        <v>153.5</v>
      </c>
      <c r="G6906" t="str">
        <f>VLOOKUP(Table1_2[[#This Row],[Categories]],Sheet3!$A$1:$B$27,2,FALSE)</f>
        <v>Food &amp;Beverage</v>
      </c>
    </row>
    <row r="6907" spans="1:7" x14ac:dyDescent="0.3">
      <c r="A6907" t="s">
        <v>33</v>
      </c>
      <c r="B6907">
        <v>2020</v>
      </c>
      <c r="C6907" t="s">
        <v>37</v>
      </c>
      <c r="D6907" s="2">
        <v>43922</v>
      </c>
      <c r="E6907" t="s">
        <v>20</v>
      </c>
      <c r="F6907">
        <v>155.6</v>
      </c>
      <c r="G6907" t="str">
        <f>VLOOKUP(Table1_2[[#This Row],[Categories]],Sheet3!$A$1:$B$27,2,FALSE)</f>
        <v>Housing</v>
      </c>
    </row>
    <row r="6908" spans="1:7" x14ac:dyDescent="0.3">
      <c r="A6908" t="s">
        <v>33</v>
      </c>
      <c r="B6908">
        <v>2020</v>
      </c>
      <c r="C6908" t="s">
        <v>37</v>
      </c>
      <c r="D6908" s="2">
        <v>43922</v>
      </c>
      <c r="E6908" t="s">
        <v>21</v>
      </c>
      <c r="F6908">
        <v>137.1</v>
      </c>
      <c r="G6908" t="str">
        <f>VLOOKUP(Table1_2[[#This Row],[Categories]],Sheet3!$A$1:$B$27,2,FALSE)</f>
        <v>Fuel and light</v>
      </c>
    </row>
    <row r="6909" spans="1:7" x14ac:dyDescent="0.3">
      <c r="A6909" t="s">
        <v>33</v>
      </c>
      <c r="B6909">
        <v>2020</v>
      </c>
      <c r="C6909" t="s">
        <v>37</v>
      </c>
      <c r="D6909" s="2">
        <v>43922</v>
      </c>
      <c r="E6909" t="s">
        <v>23</v>
      </c>
      <c r="F6909">
        <v>144.80000000000001</v>
      </c>
      <c r="G6909" t="str">
        <f>VLOOKUP(Table1_2[[#This Row],[Categories]],Sheet3!$A$1:$B$27,2,FALSE)</f>
        <v>Health</v>
      </c>
    </row>
    <row r="6910" spans="1:7" x14ac:dyDescent="0.3">
      <c r="A6910" t="s">
        <v>33</v>
      </c>
      <c r="B6910">
        <v>2020</v>
      </c>
      <c r="C6910" t="s">
        <v>37</v>
      </c>
      <c r="D6910" s="2">
        <v>43922</v>
      </c>
      <c r="E6910" t="s">
        <v>24</v>
      </c>
      <c r="F6910">
        <v>125.3</v>
      </c>
      <c r="G6910" t="str">
        <f>VLOOKUP(Table1_2[[#This Row],[Categories]],Sheet3!$A$1:$B$27,2,FALSE)</f>
        <v>Transport and communication</v>
      </c>
    </row>
    <row r="6911" spans="1:7" x14ac:dyDescent="0.3">
      <c r="A6911" t="s">
        <v>34</v>
      </c>
      <c r="B6911">
        <v>2020</v>
      </c>
      <c r="C6911" t="s">
        <v>37</v>
      </c>
      <c r="D6911" s="2">
        <v>43922</v>
      </c>
      <c r="E6911" t="s">
        <v>3</v>
      </c>
      <c r="F6911">
        <v>148.69999999999999</v>
      </c>
      <c r="G6911" t="str">
        <f>VLOOKUP(Table1_2[[#This Row],[Categories]],Sheet3!$A$1:$B$27,2,FALSE)</f>
        <v>Food &amp;Beverage</v>
      </c>
    </row>
    <row r="6912" spans="1:7" x14ac:dyDescent="0.3">
      <c r="A6912" t="s">
        <v>34</v>
      </c>
      <c r="B6912">
        <v>2020</v>
      </c>
      <c r="C6912" t="s">
        <v>37</v>
      </c>
      <c r="D6912" s="2">
        <v>43922</v>
      </c>
      <c r="E6912" t="s">
        <v>5</v>
      </c>
      <c r="F6912">
        <v>148.80000000000001</v>
      </c>
      <c r="G6912" t="str">
        <f>VLOOKUP(Table1_2[[#This Row],[Categories]],Sheet3!$A$1:$B$27,2,FALSE)</f>
        <v>Food &amp;Beverage</v>
      </c>
    </row>
    <row r="6913" spans="1:7" x14ac:dyDescent="0.3">
      <c r="A6913" t="s">
        <v>34</v>
      </c>
      <c r="B6913">
        <v>2020</v>
      </c>
      <c r="C6913" t="s">
        <v>37</v>
      </c>
      <c r="D6913" s="2">
        <v>43922</v>
      </c>
      <c r="E6913" t="s">
        <v>6</v>
      </c>
      <c r="F6913">
        <v>155.6</v>
      </c>
      <c r="G6913" t="str">
        <f>VLOOKUP(Table1_2[[#This Row],[Categories]],Sheet3!$A$1:$B$27,2,FALSE)</f>
        <v>Food &amp;Beverage</v>
      </c>
    </row>
    <row r="6914" spans="1:7" x14ac:dyDescent="0.3">
      <c r="A6914" t="s">
        <v>34</v>
      </c>
      <c r="B6914">
        <v>2020</v>
      </c>
      <c r="C6914" t="s">
        <v>37</v>
      </c>
      <c r="D6914" s="2">
        <v>43922</v>
      </c>
      <c r="E6914" t="s">
        <v>7</v>
      </c>
      <c r="F6914">
        <v>135.1</v>
      </c>
      <c r="G6914" t="str">
        <f>VLOOKUP(Table1_2[[#This Row],[Categories]],Sheet3!$A$1:$B$27,2,FALSE)</f>
        <v>Food &amp;Beverage</v>
      </c>
    </row>
    <row r="6915" spans="1:7" x14ac:dyDescent="0.3">
      <c r="A6915" t="s">
        <v>34</v>
      </c>
      <c r="B6915">
        <v>2020</v>
      </c>
      <c r="C6915" t="s">
        <v>37</v>
      </c>
      <c r="D6915" s="2">
        <v>43922</v>
      </c>
      <c r="E6915" t="s">
        <v>8</v>
      </c>
      <c r="F6915">
        <v>149.9</v>
      </c>
      <c r="G6915" t="str">
        <f>VLOOKUP(Table1_2[[#This Row],[Categories]],Sheet3!$A$1:$B$27,2,FALSE)</f>
        <v>Food &amp;Beverage</v>
      </c>
    </row>
    <row r="6916" spans="1:7" x14ac:dyDescent="0.3">
      <c r="A6916" t="s">
        <v>34</v>
      </c>
      <c r="B6916">
        <v>2020</v>
      </c>
      <c r="C6916" t="s">
        <v>37</v>
      </c>
      <c r="D6916" s="2">
        <v>43922</v>
      </c>
      <c r="E6916" t="s">
        <v>9</v>
      </c>
      <c r="F6916">
        <v>168.6</v>
      </c>
      <c r="G6916" t="str">
        <f>VLOOKUP(Table1_2[[#This Row],[Categories]],Sheet3!$A$1:$B$27,2,FALSE)</f>
        <v>Food &amp;Beverage</v>
      </c>
    </row>
    <row r="6917" spans="1:7" x14ac:dyDescent="0.3">
      <c r="A6917" t="s">
        <v>34</v>
      </c>
      <c r="B6917">
        <v>2020</v>
      </c>
      <c r="C6917" t="s">
        <v>37</v>
      </c>
      <c r="D6917" s="2">
        <v>43922</v>
      </c>
      <c r="E6917" t="s">
        <v>10</v>
      </c>
      <c r="F6917">
        <v>150.4</v>
      </c>
      <c r="G6917" t="str">
        <f>VLOOKUP(Table1_2[[#This Row],[Categories]],Sheet3!$A$1:$B$27,2,FALSE)</f>
        <v>Food &amp;Beverage</v>
      </c>
    </row>
    <row r="6918" spans="1:7" x14ac:dyDescent="0.3">
      <c r="A6918" t="s">
        <v>34</v>
      </c>
      <c r="B6918">
        <v>2020</v>
      </c>
      <c r="C6918" t="s">
        <v>37</v>
      </c>
      <c r="D6918" s="2">
        <v>43922</v>
      </c>
      <c r="E6918" t="s">
        <v>11</v>
      </c>
      <c r="F6918">
        <v>120.3</v>
      </c>
      <c r="G6918" t="str">
        <f>VLOOKUP(Table1_2[[#This Row],[Categories]],Sheet3!$A$1:$B$27,2,FALSE)</f>
        <v>Food &amp;Beverage</v>
      </c>
    </row>
    <row r="6919" spans="1:7" x14ac:dyDescent="0.3">
      <c r="A6919" t="s">
        <v>34</v>
      </c>
      <c r="B6919">
        <v>2020</v>
      </c>
      <c r="C6919" t="s">
        <v>37</v>
      </c>
      <c r="D6919" s="2">
        <v>43922</v>
      </c>
      <c r="E6919" t="s">
        <v>12</v>
      </c>
      <c r="F6919">
        <v>157.1</v>
      </c>
      <c r="G6919" t="str">
        <f>VLOOKUP(Table1_2[[#This Row],[Categories]],Sheet3!$A$1:$B$27,2,FALSE)</f>
        <v>Food &amp;Beverage</v>
      </c>
    </row>
    <row r="6920" spans="1:7" x14ac:dyDescent="0.3">
      <c r="A6920" t="s">
        <v>34</v>
      </c>
      <c r="B6920">
        <v>2020</v>
      </c>
      <c r="C6920" t="s">
        <v>37</v>
      </c>
      <c r="D6920" s="2">
        <v>43922</v>
      </c>
      <c r="E6920" t="s">
        <v>13</v>
      </c>
      <c r="F6920">
        <v>136.80000000000001</v>
      </c>
      <c r="G6920" t="str">
        <f>VLOOKUP(Table1_2[[#This Row],[Categories]],Sheet3!$A$1:$B$27,2,FALSE)</f>
        <v>Food &amp;Beverage</v>
      </c>
    </row>
    <row r="6921" spans="1:7" x14ac:dyDescent="0.3">
      <c r="A6921" t="s">
        <v>34</v>
      </c>
      <c r="B6921">
        <v>2020</v>
      </c>
      <c r="C6921" t="s">
        <v>37</v>
      </c>
      <c r="D6921" s="2">
        <v>43922</v>
      </c>
      <c r="E6921" t="s">
        <v>15</v>
      </c>
      <c r="F6921">
        <v>151.4</v>
      </c>
      <c r="G6921" t="str">
        <f>VLOOKUP(Table1_2[[#This Row],[Categories]],Sheet3!$A$1:$B$27,2,FALSE)</f>
        <v>Food &amp;Beverage</v>
      </c>
    </row>
    <row r="6922" spans="1:7" x14ac:dyDescent="0.3">
      <c r="A6922" t="s">
        <v>34</v>
      </c>
      <c r="B6922">
        <v>2020</v>
      </c>
      <c r="C6922" t="s">
        <v>37</v>
      </c>
      <c r="D6922" s="2">
        <v>43922</v>
      </c>
      <c r="E6922" t="s">
        <v>20</v>
      </c>
      <c r="F6922">
        <v>155.6</v>
      </c>
      <c r="G6922" t="str">
        <f>VLOOKUP(Table1_2[[#This Row],[Categories]],Sheet3!$A$1:$B$27,2,FALSE)</f>
        <v>Housing</v>
      </c>
    </row>
    <row r="6923" spans="1:7" x14ac:dyDescent="0.3">
      <c r="A6923" t="s">
        <v>34</v>
      </c>
      <c r="B6923">
        <v>2020</v>
      </c>
      <c r="C6923" t="s">
        <v>37</v>
      </c>
      <c r="D6923" s="2">
        <v>43922</v>
      </c>
      <c r="E6923" t="s">
        <v>21</v>
      </c>
      <c r="F6923">
        <v>144.1</v>
      </c>
      <c r="G6923" t="str">
        <f>VLOOKUP(Table1_2[[#This Row],[Categories]],Sheet3!$A$1:$B$27,2,FALSE)</f>
        <v>Fuel and light</v>
      </c>
    </row>
    <row r="6924" spans="1:7" x14ac:dyDescent="0.3">
      <c r="A6924" t="s">
        <v>34</v>
      </c>
      <c r="B6924">
        <v>2020</v>
      </c>
      <c r="C6924" t="s">
        <v>37</v>
      </c>
      <c r="D6924" s="2">
        <v>43922</v>
      </c>
      <c r="E6924" t="s">
        <v>23</v>
      </c>
      <c r="F6924">
        <v>150.69999999999999</v>
      </c>
      <c r="G6924" t="str">
        <f>VLOOKUP(Table1_2[[#This Row],[Categories]],Sheet3!$A$1:$B$27,2,FALSE)</f>
        <v>Health</v>
      </c>
    </row>
    <row r="6925" spans="1:7" x14ac:dyDescent="0.3">
      <c r="A6925" t="s">
        <v>34</v>
      </c>
      <c r="B6925">
        <v>2020</v>
      </c>
      <c r="C6925" t="s">
        <v>37</v>
      </c>
      <c r="D6925" s="2">
        <v>43922</v>
      </c>
      <c r="E6925" t="s">
        <v>24</v>
      </c>
      <c r="F6925">
        <v>130.36666666666667</v>
      </c>
      <c r="G6925" t="str">
        <f>VLOOKUP(Table1_2[[#This Row],[Categories]],Sheet3!$A$1:$B$27,2,FALSE)</f>
        <v>Transport and communication</v>
      </c>
    </row>
    <row r="6926" spans="1:7" x14ac:dyDescent="0.3">
      <c r="A6926" t="s">
        <v>30</v>
      </c>
      <c r="B6926">
        <v>2020</v>
      </c>
      <c r="C6926" t="s">
        <v>38</v>
      </c>
      <c r="D6926" s="2">
        <v>43952</v>
      </c>
      <c r="E6926" t="s">
        <v>15</v>
      </c>
      <c r="F6926">
        <v>151.33333333333334</v>
      </c>
      <c r="G6926" t="str">
        <f>VLOOKUP(Table1_2[[#This Row],[Categories]],Sheet3!$A$1:$B$27,2,FALSE)</f>
        <v>Food &amp;Beverage</v>
      </c>
    </row>
    <row r="6927" spans="1:7" x14ac:dyDescent="0.3">
      <c r="A6927" t="s">
        <v>30</v>
      </c>
      <c r="B6927">
        <v>2020</v>
      </c>
      <c r="C6927" t="s">
        <v>38</v>
      </c>
      <c r="D6927" s="2">
        <v>43952</v>
      </c>
      <c r="E6927" t="s">
        <v>21</v>
      </c>
      <c r="F6927">
        <v>148.28333333333333</v>
      </c>
      <c r="G6927" t="str">
        <f>VLOOKUP(Table1_2[[#This Row],[Categories]],Sheet3!$A$1:$B$27,2,FALSE)</f>
        <v>Fuel and light</v>
      </c>
    </row>
    <row r="6928" spans="1:7" x14ac:dyDescent="0.3">
      <c r="A6928" t="s">
        <v>30</v>
      </c>
      <c r="B6928">
        <v>2020</v>
      </c>
      <c r="C6928" t="s">
        <v>38</v>
      </c>
      <c r="D6928" s="2">
        <v>43952</v>
      </c>
      <c r="E6928" t="s">
        <v>23</v>
      </c>
      <c r="F6928">
        <v>157.06666666666663</v>
      </c>
      <c r="G6928" t="str">
        <f>VLOOKUP(Table1_2[[#This Row],[Categories]],Sheet3!$A$1:$B$27,2,FALSE)</f>
        <v>Health</v>
      </c>
    </row>
    <row r="6929" spans="1:7" x14ac:dyDescent="0.3">
      <c r="A6929" t="s">
        <v>30</v>
      </c>
      <c r="B6929">
        <v>2020</v>
      </c>
      <c r="C6929" t="s">
        <v>38</v>
      </c>
      <c r="D6929" s="2">
        <v>43952</v>
      </c>
      <c r="E6929" t="s">
        <v>24</v>
      </c>
      <c r="F6929">
        <v>142.13333333333333</v>
      </c>
      <c r="G6929" t="str">
        <f>VLOOKUP(Table1_2[[#This Row],[Categories]],Sheet3!$A$1:$B$27,2,FALSE)</f>
        <v>Transport and communication</v>
      </c>
    </row>
    <row r="6930" spans="1:7" x14ac:dyDescent="0.3">
      <c r="A6930" t="s">
        <v>33</v>
      </c>
      <c r="B6930">
        <v>2020</v>
      </c>
      <c r="C6930" t="s">
        <v>38</v>
      </c>
      <c r="D6930" s="2">
        <v>43952</v>
      </c>
      <c r="E6930" t="s">
        <v>15</v>
      </c>
      <c r="F6930">
        <v>154.86666666666665</v>
      </c>
      <c r="G6930" t="str">
        <f>VLOOKUP(Table1_2[[#This Row],[Categories]],Sheet3!$A$1:$B$27,2,FALSE)</f>
        <v>Food &amp;Beverage</v>
      </c>
    </row>
    <row r="6931" spans="1:7" x14ac:dyDescent="0.3">
      <c r="A6931" t="s">
        <v>33</v>
      </c>
      <c r="B6931">
        <v>2020</v>
      </c>
      <c r="C6931" t="s">
        <v>38</v>
      </c>
      <c r="D6931" s="2">
        <v>43952</v>
      </c>
      <c r="E6931" t="s">
        <v>21</v>
      </c>
      <c r="F6931">
        <v>138.31666666666669</v>
      </c>
      <c r="G6931" t="str">
        <f>VLOOKUP(Table1_2[[#This Row],[Categories]],Sheet3!$A$1:$B$27,2,FALSE)</f>
        <v>Fuel and light</v>
      </c>
    </row>
    <row r="6932" spans="1:7" x14ac:dyDescent="0.3">
      <c r="A6932" t="s">
        <v>33</v>
      </c>
      <c r="B6932">
        <v>2020</v>
      </c>
      <c r="C6932" t="s">
        <v>38</v>
      </c>
      <c r="D6932" s="2">
        <v>43952</v>
      </c>
      <c r="E6932" t="s">
        <v>23</v>
      </c>
      <c r="F6932">
        <v>146.51666666666668</v>
      </c>
      <c r="G6932" t="str">
        <f>VLOOKUP(Table1_2[[#This Row],[Categories]],Sheet3!$A$1:$B$27,2,FALSE)</f>
        <v>Health</v>
      </c>
    </row>
    <row r="6933" spans="1:7" x14ac:dyDescent="0.3">
      <c r="A6933" t="s">
        <v>33</v>
      </c>
      <c r="B6933">
        <v>2020</v>
      </c>
      <c r="C6933" t="s">
        <v>38</v>
      </c>
      <c r="D6933" s="2">
        <v>43952</v>
      </c>
      <c r="E6933" t="s">
        <v>24</v>
      </c>
      <c r="F6933">
        <v>130.83333333333334</v>
      </c>
      <c r="G6933" t="str">
        <f>VLOOKUP(Table1_2[[#This Row],[Categories]],Sheet3!$A$1:$B$27,2,FALSE)</f>
        <v>Transport and communication</v>
      </c>
    </row>
    <row r="6934" spans="1:7" x14ac:dyDescent="0.3">
      <c r="A6934" t="s">
        <v>34</v>
      </c>
      <c r="B6934">
        <v>2020</v>
      </c>
      <c r="C6934" t="s">
        <v>38</v>
      </c>
      <c r="D6934" s="2">
        <v>43952</v>
      </c>
      <c r="E6934" t="s">
        <v>15</v>
      </c>
      <c r="F6934">
        <v>152.63333333333333</v>
      </c>
      <c r="G6934" t="str">
        <f>VLOOKUP(Table1_2[[#This Row],[Categories]],Sheet3!$A$1:$B$27,2,FALSE)</f>
        <v>Food &amp;Beverage</v>
      </c>
    </row>
    <row r="6935" spans="1:7" x14ac:dyDescent="0.3">
      <c r="A6935" t="s">
        <v>34</v>
      </c>
      <c r="B6935">
        <v>2020</v>
      </c>
      <c r="C6935" t="s">
        <v>38</v>
      </c>
      <c r="D6935" s="2">
        <v>43952</v>
      </c>
      <c r="E6935" t="s">
        <v>21</v>
      </c>
      <c r="F6935">
        <v>144.5</v>
      </c>
      <c r="G6935" t="str">
        <f>VLOOKUP(Table1_2[[#This Row],[Categories]],Sheet3!$A$1:$B$27,2,FALSE)</f>
        <v>Fuel and light</v>
      </c>
    </row>
    <row r="6936" spans="1:7" x14ac:dyDescent="0.3">
      <c r="A6936" t="s">
        <v>34</v>
      </c>
      <c r="B6936">
        <v>2020</v>
      </c>
      <c r="C6936" t="s">
        <v>38</v>
      </c>
      <c r="D6936" s="2">
        <v>43952</v>
      </c>
      <c r="E6936" t="s">
        <v>23</v>
      </c>
      <c r="F6936">
        <v>153.08333333333334</v>
      </c>
      <c r="G6936" t="str">
        <f>VLOOKUP(Table1_2[[#This Row],[Categories]],Sheet3!$A$1:$B$27,2,FALSE)</f>
        <v>Health</v>
      </c>
    </row>
    <row r="6937" spans="1:7" x14ac:dyDescent="0.3">
      <c r="A6937" t="s">
        <v>34</v>
      </c>
      <c r="B6937">
        <v>2020</v>
      </c>
      <c r="C6937" t="s">
        <v>38</v>
      </c>
      <c r="D6937" s="2">
        <v>43952</v>
      </c>
      <c r="E6937" t="s">
        <v>24</v>
      </c>
      <c r="F6937">
        <v>136.16666666666666</v>
      </c>
      <c r="G6937" t="str">
        <f>VLOOKUP(Table1_2[[#This Row],[Categories]],Sheet3!$A$1:$B$27,2,FALSE)</f>
        <v>Transport and communication</v>
      </c>
    </row>
    <row r="6938" spans="1:7" x14ac:dyDescent="0.3">
      <c r="A6938" t="s">
        <v>30</v>
      </c>
      <c r="B6938">
        <v>2020</v>
      </c>
      <c r="C6938" t="s">
        <v>39</v>
      </c>
      <c r="D6938" s="2">
        <v>43983</v>
      </c>
      <c r="E6938" t="s">
        <v>3</v>
      </c>
      <c r="F6938">
        <v>148.19999999999999</v>
      </c>
      <c r="G6938" t="str">
        <f>VLOOKUP(Table1_2[[#This Row],[Categories]],Sheet3!$A$1:$B$27,2,FALSE)</f>
        <v>Food &amp;Beverage</v>
      </c>
    </row>
    <row r="6939" spans="1:7" x14ac:dyDescent="0.3">
      <c r="A6939" t="s">
        <v>30</v>
      </c>
      <c r="B6939">
        <v>2020</v>
      </c>
      <c r="C6939" t="s">
        <v>39</v>
      </c>
      <c r="D6939" s="2">
        <v>43983</v>
      </c>
      <c r="E6939" t="s">
        <v>4</v>
      </c>
      <c r="F6939">
        <v>190.3</v>
      </c>
      <c r="G6939" t="str">
        <f>VLOOKUP(Table1_2[[#This Row],[Categories]],Sheet3!$A$1:$B$27,2,FALSE)</f>
        <v>Food &amp;Beverage</v>
      </c>
    </row>
    <row r="6940" spans="1:7" x14ac:dyDescent="0.3">
      <c r="A6940" t="s">
        <v>30</v>
      </c>
      <c r="B6940">
        <v>2020</v>
      </c>
      <c r="C6940" t="s">
        <v>39</v>
      </c>
      <c r="D6940" s="2">
        <v>43983</v>
      </c>
      <c r="E6940" t="s">
        <v>5</v>
      </c>
      <c r="F6940">
        <v>149.4</v>
      </c>
      <c r="G6940" t="str">
        <f>VLOOKUP(Table1_2[[#This Row],[Categories]],Sheet3!$A$1:$B$27,2,FALSE)</f>
        <v>Food &amp;Beverage</v>
      </c>
    </row>
    <row r="6941" spans="1:7" x14ac:dyDescent="0.3">
      <c r="A6941" t="s">
        <v>30</v>
      </c>
      <c r="B6941">
        <v>2020</v>
      </c>
      <c r="C6941" t="s">
        <v>39</v>
      </c>
      <c r="D6941" s="2">
        <v>43983</v>
      </c>
      <c r="E6941" t="s">
        <v>6</v>
      </c>
      <c r="F6941">
        <v>153.30000000000001</v>
      </c>
      <c r="G6941" t="str">
        <f>VLOOKUP(Table1_2[[#This Row],[Categories]],Sheet3!$A$1:$B$27,2,FALSE)</f>
        <v>Food &amp;Beverage</v>
      </c>
    </row>
    <row r="6942" spans="1:7" x14ac:dyDescent="0.3">
      <c r="A6942" t="s">
        <v>30</v>
      </c>
      <c r="B6942">
        <v>2020</v>
      </c>
      <c r="C6942" t="s">
        <v>39</v>
      </c>
      <c r="D6942" s="2">
        <v>43983</v>
      </c>
      <c r="E6942" t="s">
        <v>7</v>
      </c>
      <c r="F6942">
        <v>138.19999999999999</v>
      </c>
      <c r="G6942" t="str">
        <f>VLOOKUP(Table1_2[[#This Row],[Categories]],Sheet3!$A$1:$B$27,2,FALSE)</f>
        <v>Food &amp;Beverage</v>
      </c>
    </row>
    <row r="6943" spans="1:7" x14ac:dyDescent="0.3">
      <c r="A6943" t="s">
        <v>30</v>
      </c>
      <c r="B6943">
        <v>2020</v>
      </c>
      <c r="C6943" t="s">
        <v>39</v>
      </c>
      <c r="D6943" s="2">
        <v>43983</v>
      </c>
      <c r="E6943" t="s">
        <v>8</v>
      </c>
      <c r="F6943">
        <v>143.19999999999999</v>
      </c>
      <c r="G6943" t="str">
        <f>VLOOKUP(Table1_2[[#This Row],[Categories]],Sheet3!$A$1:$B$27,2,FALSE)</f>
        <v>Food &amp;Beverage</v>
      </c>
    </row>
    <row r="6944" spans="1:7" x14ac:dyDescent="0.3">
      <c r="A6944" t="s">
        <v>30</v>
      </c>
      <c r="B6944">
        <v>2020</v>
      </c>
      <c r="C6944" t="s">
        <v>39</v>
      </c>
      <c r="D6944" s="2">
        <v>43983</v>
      </c>
      <c r="E6944" t="s">
        <v>9</v>
      </c>
      <c r="F6944">
        <v>148.9</v>
      </c>
      <c r="G6944" t="str">
        <f>VLOOKUP(Table1_2[[#This Row],[Categories]],Sheet3!$A$1:$B$27,2,FALSE)</f>
        <v>Food &amp;Beverage</v>
      </c>
    </row>
    <row r="6945" spans="1:7" x14ac:dyDescent="0.3">
      <c r="A6945" t="s">
        <v>30</v>
      </c>
      <c r="B6945">
        <v>2020</v>
      </c>
      <c r="C6945" t="s">
        <v>39</v>
      </c>
      <c r="D6945" s="2">
        <v>43983</v>
      </c>
      <c r="E6945" t="s">
        <v>10</v>
      </c>
      <c r="F6945">
        <v>150.30000000000001</v>
      </c>
      <c r="G6945" t="str">
        <f>VLOOKUP(Table1_2[[#This Row],[Categories]],Sheet3!$A$1:$B$27,2,FALSE)</f>
        <v>Food &amp;Beverage</v>
      </c>
    </row>
    <row r="6946" spans="1:7" x14ac:dyDescent="0.3">
      <c r="A6946" t="s">
        <v>30</v>
      </c>
      <c r="B6946">
        <v>2020</v>
      </c>
      <c r="C6946" t="s">
        <v>39</v>
      </c>
      <c r="D6946" s="2">
        <v>43983</v>
      </c>
      <c r="E6946" t="s">
        <v>11</v>
      </c>
      <c r="F6946">
        <v>113.2</v>
      </c>
      <c r="G6946" t="str">
        <f>VLOOKUP(Table1_2[[#This Row],[Categories]],Sheet3!$A$1:$B$27,2,FALSE)</f>
        <v>Food &amp;Beverage</v>
      </c>
    </row>
    <row r="6947" spans="1:7" x14ac:dyDescent="0.3">
      <c r="A6947" t="s">
        <v>30</v>
      </c>
      <c r="B6947">
        <v>2020</v>
      </c>
      <c r="C6947" t="s">
        <v>39</v>
      </c>
      <c r="D6947" s="2">
        <v>43983</v>
      </c>
      <c r="E6947" t="s">
        <v>12</v>
      </c>
      <c r="F6947">
        <v>159.80000000000001</v>
      </c>
      <c r="G6947" t="str">
        <f>VLOOKUP(Table1_2[[#This Row],[Categories]],Sheet3!$A$1:$B$27,2,FALSE)</f>
        <v>Food &amp;Beverage</v>
      </c>
    </row>
    <row r="6948" spans="1:7" x14ac:dyDescent="0.3">
      <c r="A6948" t="s">
        <v>30</v>
      </c>
      <c r="B6948">
        <v>2020</v>
      </c>
      <c r="C6948" t="s">
        <v>39</v>
      </c>
      <c r="D6948" s="2">
        <v>43983</v>
      </c>
      <c r="E6948" t="s">
        <v>13</v>
      </c>
      <c r="F6948">
        <v>142.1</v>
      </c>
      <c r="G6948" t="str">
        <f>VLOOKUP(Table1_2[[#This Row],[Categories]],Sheet3!$A$1:$B$27,2,FALSE)</f>
        <v>Food &amp;Beverage</v>
      </c>
    </row>
    <row r="6949" spans="1:7" x14ac:dyDescent="0.3">
      <c r="A6949" t="s">
        <v>30</v>
      </c>
      <c r="B6949">
        <v>2020</v>
      </c>
      <c r="C6949" t="s">
        <v>39</v>
      </c>
      <c r="D6949" s="2">
        <v>43983</v>
      </c>
      <c r="E6949" t="s">
        <v>14</v>
      </c>
      <c r="F6949">
        <v>161.80000000000001</v>
      </c>
      <c r="G6949" t="str">
        <f>VLOOKUP(Table1_2[[#This Row],[Categories]],Sheet3!$A$1:$B$27,2,FALSE)</f>
        <v>Food &amp;Beverage</v>
      </c>
    </row>
    <row r="6950" spans="1:7" x14ac:dyDescent="0.3">
      <c r="A6950" t="s">
        <v>30</v>
      </c>
      <c r="B6950">
        <v>2020</v>
      </c>
      <c r="C6950" t="s">
        <v>39</v>
      </c>
      <c r="D6950" s="2">
        <v>43983</v>
      </c>
      <c r="E6950" t="s">
        <v>15</v>
      </c>
      <c r="F6950">
        <v>152.30000000000001</v>
      </c>
      <c r="G6950" t="str">
        <f>VLOOKUP(Table1_2[[#This Row],[Categories]],Sheet3!$A$1:$B$27,2,FALSE)</f>
        <v>Food &amp;Beverage</v>
      </c>
    </row>
    <row r="6951" spans="1:7" x14ac:dyDescent="0.3">
      <c r="A6951" t="s">
        <v>30</v>
      </c>
      <c r="B6951">
        <v>2020</v>
      </c>
      <c r="C6951" t="s">
        <v>39</v>
      </c>
      <c r="D6951" s="2">
        <v>43983</v>
      </c>
      <c r="E6951" t="s">
        <v>16</v>
      </c>
      <c r="F6951">
        <v>182.4</v>
      </c>
      <c r="G6951" t="str">
        <f>VLOOKUP(Table1_2[[#This Row],[Categories]],Sheet3!$A$1:$B$27,2,FALSE)</f>
        <v>Recreation and amusement</v>
      </c>
    </row>
    <row r="6952" spans="1:7" x14ac:dyDescent="0.3">
      <c r="A6952" t="s">
        <v>30</v>
      </c>
      <c r="B6952">
        <v>2020</v>
      </c>
      <c r="C6952" t="s">
        <v>39</v>
      </c>
      <c r="D6952" s="2">
        <v>43983</v>
      </c>
      <c r="E6952" t="s">
        <v>17</v>
      </c>
      <c r="F6952">
        <v>154.69999999999999</v>
      </c>
      <c r="G6952" t="str">
        <f>VLOOKUP(Table1_2[[#This Row],[Categories]],Sheet3!$A$1:$B$27,2,FALSE)</f>
        <v>Clothing and footwear</v>
      </c>
    </row>
    <row r="6953" spans="1:7" x14ac:dyDescent="0.3">
      <c r="A6953" t="s">
        <v>30</v>
      </c>
      <c r="B6953">
        <v>2020</v>
      </c>
      <c r="C6953" t="s">
        <v>39</v>
      </c>
      <c r="D6953" s="2">
        <v>43983</v>
      </c>
      <c r="E6953" t="s">
        <v>18</v>
      </c>
      <c r="F6953">
        <v>150</v>
      </c>
      <c r="G6953" t="str">
        <f>VLOOKUP(Table1_2[[#This Row],[Categories]],Sheet3!$A$1:$B$27,2,FALSE)</f>
        <v>Clothing and footwear</v>
      </c>
    </row>
    <row r="6954" spans="1:7" x14ac:dyDescent="0.3">
      <c r="A6954" t="s">
        <v>30</v>
      </c>
      <c r="B6954">
        <v>2020</v>
      </c>
      <c r="C6954" t="s">
        <v>39</v>
      </c>
      <c r="D6954" s="2">
        <v>43983</v>
      </c>
      <c r="E6954" t="s">
        <v>19</v>
      </c>
      <c r="F6954">
        <v>154.1</v>
      </c>
      <c r="G6954" t="str">
        <f>VLOOKUP(Table1_2[[#This Row],[Categories]],Sheet3!$A$1:$B$27,2,FALSE)</f>
        <v>Clothing and footwear</v>
      </c>
    </row>
    <row r="6955" spans="1:7" x14ac:dyDescent="0.3">
      <c r="A6955" t="s">
        <v>30</v>
      </c>
      <c r="B6955">
        <v>2020</v>
      </c>
      <c r="C6955" t="s">
        <v>39</v>
      </c>
      <c r="D6955" s="2">
        <v>43983</v>
      </c>
      <c r="E6955" t="s">
        <v>21</v>
      </c>
      <c r="F6955">
        <v>144.9</v>
      </c>
      <c r="G6955" t="str">
        <f>VLOOKUP(Table1_2[[#This Row],[Categories]],Sheet3!$A$1:$B$27,2,FALSE)</f>
        <v>Fuel and light</v>
      </c>
    </row>
    <row r="6956" spans="1:7" x14ac:dyDescent="0.3">
      <c r="A6956" t="s">
        <v>30</v>
      </c>
      <c r="B6956">
        <v>2020</v>
      </c>
      <c r="C6956" t="s">
        <v>39</v>
      </c>
      <c r="D6956" s="2">
        <v>43983</v>
      </c>
      <c r="E6956" t="s">
        <v>22</v>
      </c>
      <c r="F6956">
        <v>151.69999999999999</v>
      </c>
      <c r="G6956" t="str">
        <f>VLOOKUP(Table1_2[[#This Row],[Categories]],Sheet3!$A$1:$B$27,2,FALSE)</f>
        <v>Household Items</v>
      </c>
    </row>
    <row r="6957" spans="1:7" x14ac:dyDescent="0.3">
      <c r="A6957" t="s">
        <v>30</v>
      </c>
      <c r="B6957">
        <v>2020</v>
      </c>
      <c r="C6957" t="s">
        <v>39</v>
      </c>
      <c r="D6957" s="2">
        <v>43983</v>
      </c>
      <c r="E6957" t="s">
        <v>23</v>
      </c>
      <c r="F6957">
        <v>158.19999999999999</v>
      </c>
      <c r="G6957" t="str">
        <f>VLOOKUP(Table1_2[[#This Row],[Categories]],Sheet3!$A$1:$B$27,2,FALSE)</f>
        <v>Health</v>
      </c>
    </row>
    <row r="6958" spans="1:7" x14ac:dyDescent="0.3">
      <c r="A6958" t="s">
        <v>30</v>
      </c>
      <c r="B6958">
        <v>2020</v>
      </c>
      <c r="C6958" t="s">
        <v>39</v>
      </c>
      <c r="D6958" s="2">
        <v>43983</v>
      </c>
      <c r="E6958" t="s">
        <v>24</v>
      </c>
      <c r="F6958">
        <v>141.4</v>
      </c>
      <c r="G6958" t="str">
        <f>VLOOKUP(Table1_2[[#This Row],[Categories]],Sheet3!$A$1:$B$27,2,FALSE)</f>
        <v>Transport and communication</v>
      </c>
    </row>
    <row r="6959" spans="1:7" x14ac:dyDescent="0.3">
      <c r="A6959" t="s">
        <v>30</v>
      </c>
      <c r="B6959">
        <v>2020</v>
      </c>
      <c r="C6959" t="s">
        <v>39</v>
      </c>
      <c r="D6959" s="2">
        <v>43983</v>
      </c>
      <c r="E6959" t="s">
        <v>25</v>
      </c>
      <c r="F6959">
        <v>153.19999999999999</v>
      </c>
      <c r="G6959" t="str">
        <f>VLOOKUP(Table1_2[[#This Row],[Categories]],Sheet3!$A$1:$B$27,2,FALSE)</f>
        <v>Recreation and amusement</v>
      </c>
    </row>
    <row r="6960" spans="1:7" x14ac:dyDescent="0.3">
      <c r="A6960" t="s">
        <v>30</v>
      </c>
      <c r="B6960">
        <v>2020</v>
      </c>
      <c r="C6960" t="s">
        <v>39</v>
      </c>
      <c r="D6960" s="2">
        <v>43983</v>
      </c>
      <c r="E6960" t="s">
        <v>26</v>
      </c>
      <c r="F6960">
        <v>161.80000000000001</v>
      </c>
      <c r="G6960" t="str">
        <f>VLOOKUP(Table1_2[[#This Row],[Categories]],Sheet3!$A$1:$B$27,2,FALSE)</f>
        <v>Education</v>
      </c>
    </row>
    <row r="6961" spans="1:7" x14ac:dyDescent="0.3">
      <c r="A6961" t="s">
        <v>30</v>
      </c>
      <c r="B6961">
        <v>2020</v>
      </c>
      <c r="C6961" t="s">
        <v>39</v>
      </c>
      <c r="D6961" s="2">
        <v>43983</v>
      </c>
      <c r="E6961" t="s">
        <v>27</v>
      </c>
      <c r="F6961">
        <v>151.19999999999999</v>
      </c>
      <c r="G6961" t="str">
        <f>VLOOKUP(Table1_2[[#This Row],[Categories]],Sheet3!$A$1:$B$27,2,FALSE)</f>
        <v>Household Items</v>
      </c>
    </row>
    <row r="6962" spans="1:7" x14ac:dyDescent="0.3">
      <c r="A6962" t="s">
        <v>30</v>
      </c>
      <c r="B6962">
        <v>2020</v>
      </c>
      <c r="C6962" t="s">
        <v>39</v>
      </c>
      <c r="D6962" s="2">
        <v>43983</v>
      </c>
      <c r="E6962" t="s">
        <v>28</v>
      </c>
      <c r="F6962">
        <v>151.69999999999999</v>
      </c>
      <c r="G6962" t="str">
        <f>VLOOKUP(Table1_2[[#This Row],[Categories]],Sheet3!$A$1:$B$27,2,FALSE)</f>
        <v>Miscellaneous</v>
      </c>
    </row>
    <row r="6963" spans="1:7" x14ac:dyDescent="0.3">
      <c r="A6963" t="s">
        <v>30</v>
      </c>
      <c r="B6963">
        <v>2020</v>
      </c>
      <c r="C6963" t="s">
        <v>39</v>
      </c>
      <c r="D6963" s="2">
        <v>43983</v>
      </c>
      <c r="E6963" t="s">
        <v>29</v>
      </c>
      <c r="F6963">
        <v>152.69999999999999</v>
      </c>
      <c r="G6963" t="str">
        <f>VLOOKUP(Table1_2[[#This Row],[Categories]],Sheet3!$A$1:$B$27,2,FALSE)</f>
        <v>General index</v>
      </c>
    </row>
    <row r="6964" spans="1:7" x14ac:dyDescent="0.3">
      <c r="A6964" t="s">
        <v>33</v>
      </c>
      <c r="B6964">
        <v>2020</v>
      </c>
      <c r="C6964" t="s">
        <v>39</v>
      </c>
      <c r="D6964" s="2">
        <v>43983</v>
      </c>
      <c r="E6964" t="s">
        <v>3</v>
      </c>
      <c r="F6964">
        <v>152.69999999999999</v>
      </c>
      <c r="G6964" t="str">
        <f>VLOOKUP(Table1_2[[#This Row],[Categories]],Sheet3!$A$1:$B$27,2,FALSE)</f>
        <v>Food &amp;Beverage</v>
      </c>
    </row>
    <row r="6965" spans="1:7" x14ac:dyDescent="0.3">
      <c r="A6965" t="s">
        <v>33</v>
      </c>
      <c r="B6965">
        <v>2020</v>
      </c>
      <c r="C6965" t="s">
        <v>39</v>
      </c>
      <c r="D6965" s="2">
        <v>43983</v>
      </c>
      <c r="E6965" t="s">
        <v>4</v>
      </c>
      <c r="F6965">
        <v>197</v>
      </c>
      <c r="G6965" t="str">
        <f>VLOOKUP(Table1_2[[#This Row],[Categories]],Sheet3!$A$1:$B$27,2,FALSE)</f>
        <v>Food &amp;Beverage</v>
      </c>
    </row>
    <row r="6966" spans="1:7" x14ac:dyDescent="0.3">
      <c r="A6966" t="s">
        <v>33</v>
      </c>
      <c r="B6966">
        <v>2020</v>
      </c>
      <c r="C6966" t="s">
        <v>39</v>
      </c>
      <c r="D6966" s="2">
        <v>43983</v>
      </c>
      <c r="E6966" t="s">
        <v>5</v>
      </c>
      <c r="F6966">
        <v>154.6</v>
      </c>
      <c r="G6966" t="str">
        <f>VLOOKUP(Table1_2[[#This Row],[Categories]],Sheet3!$A$1:$B$27,2,FALSE)</f>
        <v>Food &amp;Beverage</v>
      </c>
    </row>
    <row r="6967" spans="1:7" x14ac:dyDescent="0.3">
      <c r="A6967" t="s">
        <v>33</v>
      </c>
      <c r="B6967">
        <v>2020</v>
      </c>
      <c r="C6967" t="s">
        <v>39</v>
      </c>
      <c r="D6967" s="2">
        <v>43983</v>
      </c>
      <c r="E6967" t="s">
        <v>6</v>
      </c>
      <c r="F6967">
        <v>153.4</v>
      </c>
      <c r="G6967" t="str">
        <f>VLOOKUP(Table1_2[[#This Row],[Categories]],Sheet3!$A$1:$B$27,2,FALSE)</f>
        <v>Food &amp;Beverage</v>
      </c>
    </row>
    <row r="6968" spans="1:7" x14ac:dyDescent="0.3">
      <c r="A6968" t="s">
        <v>33</v>
      </c>
      <c r="B6968">
        <v>2020</v>
      </c>
      <c r="C6968" t="s">
        <v>39</v>
      </c>
      <c r="D6968" s="2">
        <v>43983</v>
      </c>
      <c r="E6968" t="s">
        <v>7</v>
      </c>
      <c r="F6968">
        <v>132.9</v>
      </c>
      <c r="G6968" t="str">
        <f>VLOOKUP(Table1_2[[#This Row],[Categories]],Sheet3!$A$1:$B$27,2,FALSE)</f>
        <v>Food &amp;Beverage</v>
      </c>
    </row>
    <row r="6969" spans="1:7" x14ac:dyDescent="0.3">
      <c r="A6969" t="s">
        <v>33</v>
      </c>
      <c r="B6969">
        <v>2020</v>
      </c>
      <c r="C6969" t="s">
        <v>39</v>
      </c>
      <c r="D6969" s="2">
        <v>43983</v>
      </c>
      <c r="E6969" t="s">
        <v>8</v>
      </c>
      <c r="F6969">
        <v>151.80000000000001</v>
      </c>
      <c r="G6969" t="str">
        <f>VLOOKUP(Table1_2[[#This Row],[Categories]],Sheet3!$A$1:$B$27,2,FALSE)</f>
        <v>Food &amp;Beverage</v>
      </c>
    </row>
    <row r="6970" spans="1:7" x14ac:dyDescent="0.3">
      <c r="A6970" t="s">
        <v>33</v>
      </c>
      <c r="B6970">
        <v>2020</v>
      </c>
      <c r="C6970" t="s">
        <v>39</v>
      </c>
      <c r="D6970" s="2">
        <v>43983</v>
      </c>
      <c r="E6970" t="s">
        <v>9</v>
      </c>
      <c r="F6970">
        <v>171.2</v>
      </c>
      <c r="G6970" t="str">
        <f>VLOOKUP(Table1_2[[#This Row],[Categories]],Sheet3!$A$1:$B$27,2,FALSE)</f>
        <v>Food &amp;Beverage</v>
      </c>
    </row>
    <row r="6971" spans="1:7" x14ac:dyDescent="0.3">
      <c r="A6971" t="s">
        <v>33</v>
      </c>
      <c r="B6971">
        <v>2020</v>
      </c>
      <c r="C6971" t="s">
        <v>39</v>
      </c>
      <c r="D6971" s="2">
        <v>43983</v>
      </c>
      <c r="E6971" t="s">
        <v>10</v>
      </c>
      <c r="F6971">
        <v>152</v>
      </c>
      <c r="G6971" t="str">
        <f>VLOOKUP(Table1_2[[#This Row],[Categories]],Sheet3!$A$1:$B$27,2,FALSE)</f>
        <v>Food &amp;Beverage</v>
      </c>
    </row>
    <row r="6972" spans="1:7" x14ac:dyDescent="0.3">
      <c r="A6972" t="s">
        <v>33</v>
      </c>
      <c r="B6972">
        <v>2020</v>
      </c>
      <c r="C6972" t="s">
        <v>39</v>
      </c>
      <c r="D6972" s="2">
        <v>43983</v>
      </c>
      <c r="E6972" t="s">
        <v>11</v>
      </c>
      <c r="F6972">
        <v>116.3</v>
      </c>
      <c r="G6972" t="str">
        <f>VLOOKUP(Table1_2[[#This Row],[Categories]],Sheet3!$A$1:$B$27,2,FALSE)</f>
        <v>Food &amp;Beverage</v>
      </c>
    </row>
    <row r="6973" spans="1:7" x14ac:dyDescent="0.3">
      <c r="A6973" t="s">
        <v>33</v>
      </c>
      <c r="B6973">
        <v>2020</v>
      </c>
      <c r="C6973" t="s">
        <v>39</v>
      </c>
      <c r="D6973" s="2">
        <v>43983</v>
      </c>
      <c r="E6973" t="s">
        <v>12</v>
      </c>
      <c r="F6973">
        <v>158.80000000000001</v>
      </c>
      <c r="G6973" t="str">
        <f>VLOOKUP(Table1_2[[#This Row],[Categories]],Sheet3!$A$1:$B$27,2,FALSE)</f>
        <v>Food &amp;Beverage</v>
      </c>
    </row>
    <row r="6974" spans="1:7" x14ac:dyDescent="0.3">
      <c r="A6974" t="s">
        <v>33</v>
      </c>
      <c r="B6974">
        <v>2020</v>
      </c>
      <c r="C6974" t="s">
        <v>39</v>
      </c>
      <c r="D6974" s="2">
        <v>43983</v>
      </c>
      <c r="E6974" t="s">
        <v>13</v>
      </c>
      <c r="F6974">
        <v>135.6</v>
      </c>
      <c r="G6974" t="str">
        <f>VLOOKUP(Table1_2[[#This Row],[Categories]],Sheet3!$A$1:$B$27,2,FALSE)</f>
        <v>Food &amp;Beverage</v>
      </c>
    </row>
    <row r="6975" spans="1:7" x14ac:dyDescent="0.3">
      <c r="A6975" t="s">
        <v>33</v>
      </c>
      <c r="B6975">
        <v>2020</v>
      </c>
      <c r="C6975" t="s">
        <v>39</v>
      </c>
      <c r="D6975" s="2">
        <v>43983</v>
      </c>
      <c r="E6975" t="s">
        <v>14</v>
      </c>
      <c r="F6975">
        <v>161.69999999999999</v>
      </c>
      <c r="G6975" t="str">
        <f>VLOOKUP(Table1_2[[#This Row],[Categories]],Sheet3!$A$1:$B$27,2,FALSE)</f>
        <v>Food &amp;Beverage</v>
      </c>
    </row>
    <row r="6976" spans="1:7" x14ac:dyDescent="0.3">
      <c r="A6976" t="s">
        <v>33</v>
      </c>
      <c r="B6976">
        <v>2020</v>
      </c>
      <c r="C6976" t="s">
        <v>39</v>
      </c>
      <c r="D6976" s="2">
        <v>43983</v>
      </c>
      <c r="E6976" t="s">
        <v>15</v>
      </c>
      <c r="F6976">
        <v>157</v>
      </c>
      <c r="G6976" t="str">
        <f>VLOOKUP(Table1_2[[#This Row],[Categories]],Sheet3!$A$1:$B$27,2,FALSE)</f>
        <v>Food &amp;Beverage</v>
      </c>
    </row>
    <row r="6977" spans="1:7" x14ac:dyDescent="0.3">
      <c r="A6977" t="s">
        <v>33</v>
      </c>
      <c r="B6977">
        <v>2020</v>
      </c>
      <c r="C6977" t="s">
        <v>39</v>
      </c>
      <c r="D6977" s="2">
        <v>43983</v>
      </c>
      <c r="E6977" t="s">
        <v>16</v>
      </c>
      <c r="F6977">
        <v>186.7</v>
      </c>
      <c r="G6977" t="str">
        <f>VLOOKUP(Table1_2[[#This Row],[Categories]],Sheet3!$A$1:$B$27,2,FALSE)</f>
        <v>Recreation and amusement</v>
      </c>
    </row>
    <row r="6978" spans="1:7" x14ac:dyDescent="0.3">
      <c r="A6978" t="s">
        <v>33</v>
      </c>
      <c r="B6978">
        <v>2020</v>
      </c>
      <c r="C6978" t="s">
        <v>39</v>
      </c>
      <c r="D6978" s="2">
        <v>43983</v>
      </c>
      <c r="E6978" t="s">
        <v>17</v>
      </c>
      <c r="F6978">
        <v>149.1</v>
      </c>
      <c r="G6978" t="str">
        <f>VLOOKUP(Table1_2[[#This Row],[Categories]],Sheet3!$A$1:$B$27,2,FALSE)</f>
        <v>Clothing and footwear</v>
      </c>
    </row>
    <row r="6979" spans="1:7" x14ac:dyDescent="0.3">
      <c r="A6979" t="s">
        <v>33</v>
      </c>
      <c r="B6979">
        <v>2020</v>
      </c>
      <c r="C6979" t="s">
        <v>39</v>
      </c>
      <c r="D6979" s="2">
        <v>43983</v>
      </c>
      <c r="E6979" t="s">
        <v>18</v>
      </c>
      <c r="F6979">
        <v>136.6</v>
      </c>
      <c r="G6979" t="str">
        <f>VLOOKUP(Table1_2[[#This Row],[Categories]],Sheet3!$A$1:$B$27,2,FALSE)</f>
        <v>Clothing and footwear</v>
      </c>
    </row>
    <row r="6980" spans="1:7" x14ac:dyDescent="0.3">
      <c r="A6980" t="s">
        <v>33</v>
      </c>
      <c r="B6980">
        <v>2020</v>
      </c>
      <c r="C6980" t="s">
        <v>39</v>
      </c>
      <c r="D6980" s="2">
        <v>43983</v>
      </c>
      <c r="E6980" t="s">
        <v>19</v>
      </c>
      <c r="F6980">
        <v>147.19999999999999</v>
      </c>
      <c r="G6980" t="str">
        <f>VLOOKUP(Table1_2[[#This Row],[Categories]],Sheet3!$A$1:$B$27,2,FALSE)</f>
        <v>Clothing and footwear</v>
      </c>
    </row>
    <row r="6981" spans="1:7" x14ac:dyDescent="0.3">
      <c r="A6981" t="s">
        <v>33</v>
      </c>
      <c r="B6981">
        <v>2020</v>
      </c>
      <c r="C6981" t="s">
        <v>39</v>
      </c>
      <c r="D6981" s="2">
        <v>43983</v>
      </c>
      <c r="E6981" t="s">
        <v>20</v>
      </c>
      <c r="F6981">
        <v>154.69999999999999</v>
      </c>
      <c r="G6981" t="str">
        <f>VLOOKUP(Table1_2[[#This Row],[Categories]],Sheet3!$A$1:$B$27,2,FALSE)</f>
        <v>Housing</v>
      </c>
    </row>
    <row r="6982" spans="1:7" x14ac:dyDescent="0.3">
      <c r="A6982" t="s">
        <v>33</v>
      </c>
      <c r="B6982">
        <v>2020</v>
      </c>
      <c r="C6982" t="s">
        <v>39</v>
      </c>
      <c r="D6982" s="2">
        <v>43983</v>
      </c>
      <c r="E6982" t="s">
        <v>21</v>
      </c>
      <c r="F6982">
        <v>137.1</v>
      </c>
      <c r="G6982" t="str">
        <f>VLOOKUP(Table1_2[[#This Row],[Categories]],Sheet3!$A$1:$B$27,2,FALSE)</f>
        <v>Fuel and light</v>
      </c>
    </row>
    <row r="6983" spans="1:7" x14ac:dyDescent="0.3">
      <c r="A6983" t="s">
        <v>33</v>
      </c>
      <c r="B6983">
        <v>2020</v>
      </c>
      <c r="C6983" t="s">
        <v>39</v>
      </c>
      <c r="D6983" s="2">
        <v>43983</v>
      </c>
      <c r="E6983" t="s">
        <v>22</v>
      </c>
      <c r="F6983">
        <v>140.4</v>
      </c>
      <c r="G6983" t="str">
        <f>VLOOKUP(Table1_2[[#This Row],[Categories]],Sheet3!$A$1:$B$27,2,FALSE)</f>
        <v>Household Items</v>
      </c>
    </row>
    <row r="6984" spans="1:7" x14ac:dyDescent="0.3">
      <c r="A6984" t="s">
        <v>33</v>
      </c>
      <c r="B6984">
        <v>2020</v>
      </c>
      <c r="C6984" t="s">
        <v>39</v>
      </c>
      <c r="D6984" s="2">
        <v>43983</v>
      </c>
      <c r="E6984" t="s">
        <v>23</v>
      </c>
      <c r="F6984">
        <v>148.1</v>
      </c>
      <c r="G6984" t="str">
        <f>VLOOKUP(Table1_2[[#This Row],[Categories]],Sheet3!$A$1:$B$27,2,FALSE)</f>
        <v>Health</v>
      </c>
    </row>
    <row r="6985" spans="1:7" x14ac:dyDescent="0.3">
      <c r="A6985" t="s">
        <v>33</v>
      </c>
      <c r="B6985">
        <v>2020</v>
      </c>
      <c r="C6985" t="s">
        <v>39</v>
      </c>
      <c r="D6985" s="2">
        <v>43983</v>
      </c>
      <c r="E6985" t="s">
        <v>24</v>
      </c>
      <c r="F6985">
        <v>129.30000000000001</v>
      </c>
      <c r="G6985" t="str">
        <f>VLOOKUP(Table1_2[[#This Row],[Categories]],Sheet3!$A$1:$B$27,2,FALSE)</f>
        <v>Transport and communication</v>
      </c>
    </row>
    <row r="6986" spans="1:7" x14ac:dyDescent="0.3">
      <c r="A6986" t="s">
        <v>33</v>
      </c>
      <c r="B6986">
        <v>2020</v>
      </c>
      <c r="C6986" t="s">
        <v>39</v>
      </c>
      <c r="D6986" s="2">
        <v>43983</v>
      </c>
      <c r="E6986" t="s">
        <v>25</v>
      </c>
      <c r="F6986">
        <v>144.5</v>
      </c>
      <c r="G6986" t="str">
        <f>VLOOKUP(Table1_2[[#This Row],[Categories]],Sheet3!$A$1:$B$27,2,FALSE)</f>
        <v>Recreation and amusement</v>
      </c>
    </row>
    <row r="6987" spans="1:7" x14ac:dyDescent="0.3">
      <c r="A6987" t="s">
        <v>33</v>
      </c>
      <c r="B6987">
        <v>2020</v>
      </c>
      <c r="C6987" t="s">
        <v>39</v>
      </c>
      <c r="D6987" s="2">
        <v>43983</v>
      </c>
      <c r="E6987" t="s">
        <v>26</v>
      </c>
      <c r="F6987">
        <v>152.5</v>
      </c>
      <c r="G6987" t="str">
        <f>VLOOKUP(Table1_2[[#This Row],[Categories]],Sheet3!$A$1:$B$27,2,FALSE)</f>
        <v>Education</v>
      </c>
    </row>
    <row r="6988" spans="1:7" x14ac:dyDescent="0.3">
      <c r="A6988" t="s">
        <v>33</v>
      </c>
      <c r="B6988">
        <v>2020</v>
      </c>
      <c r="C6988" t="s">
        <v>39</v>
      </c>
      <c r="D6988" s="2">
        <v>43983</v>
      </c>
      <c r="E6988" t="s">
        <v>27</v>
      </c>
      <c r="F6988">
        <v>152.19999999999999</v>
      </c>
      <c r="G6988" t="str">
        <f>VLOOKUP(Table1_2[[#This Row],[Categories]],Sheet3!$A$1:$B$27,2,FALSE)</f>
        <v>Household Items</v>
      </c>
    </row>
    <row r="6989" spans="1:7" x14ac:dyDescent="0.3">
      <c r="A6989" t="s">
        <v>33</v>
      </c>
      <c r="B6989">
        <v>2020</v>
      </c>
      <c r="C6989" t="s">
        <v>39</v>
      </c>
      <c r="D6989" s="2">
        <v>43983</v>
      </c>
      <c r="E6989" t="s">
        <v>28</v>
      </c>
      <c r="F6989">
        <v>142</v>
      </c>
      <c r="G6989" t="str">
        <f>VLOOKUP(Table1_2[[#This Row],[Categories]],Sheet3!$A$1:$B$27,2,FALSE)</f>
        <v>Miscellaneous</v>
      </c>
    </row>
    <row r="6990" spans="1:7" x14ac:dyDescent="0.3">
      <c r="A6990" t="s">
        <v>33</v>
      </c>
      <c r="B6990">
        <v>2020</v>
      </c>
      <c r="C6990" t="s">
        <v>39</v>
      </c>
      <c r="D6990" s="2">
        <v>43983</v>
      </c>
      <c r="E6990" t="s">
        <v>29</v>
      </c>
      <c r="F6990">
        <v>150.80000000000001</v>
      </c>
      <c r="G6990" t="str">
        <f>VLOOKUP(Table1_2[[#This Row],[Categories]],Sheet3!$A$1:$B$27,2,FALSE)</f>
        <v>General index</v>
      </c>
    </row>
    <row r="6991" spans="1:7" x14ac:dyDescent="0.3">
      <c r="A6991" t="s">
        <v>34</v>
      </c>
      <c r="B6991">
        <v>2020</v>
      </c>
      <c r="C6991" t="s">
        <v>39</v>
      </c>
      <c r="D6991" s="2">
        <v>43983</v>
      </c>
      <c r="E6991" t="s">
        <v>3</v>
      </c>
      <c r="F6991">
        <v>149.6</v>
      </c>
      <c r="G6991" t="str">
        <f>VLOOKUP(Table1_2[[#This Row],[Categories]],Sheet3!$A$1:$B$27,2,FALSE)</f>
        <v>Food &amp;Beverage</v>
      </c>
    </row>
    <row r="6992" spans="1:7" x14ac:dyDescent="0.3">
      <c r="A6992" t="s">
        <v>34</v>
      </c>
      <c r="B6992">
        <v>2020</v>
      </c>
      <c r="C6992" t="s">
        <v>39</v>
      </c>
      <c r="D6992" s="2">
        <v>43983</v>
      </c>
      <c r="E6992" t="s">
        <v>4</v>
      </c>
      <c r="F6992">
        <v>192.7</v>
      </c>
      <c r="G6992" t="str">
        <f>VLOOKUP(Table1_2[[#This Row],[Categories]],Sheet3!$A$1:$B$27,2,FALSE)</f>
        <v>Food &amp;Beverage</v>
      </c>
    </row>
    <row r="6993" spans="1:7" x14ac:dyDescent="0.3">
      <c r="A6993" t="s">
        <v>34</v>
      </c>
      <c r="B6993">
        <v>2020</v>
      </c>
      <c r="C6993" t="s">
        <v>39</v>
      </c>
      <c r="D6993" s="2">
        <v>43983</v>
      </c>
      <c r="E6993" t="s">
        <v>5</v>
      </c>
      <c r="F6993">
        <v>151.4</v>
      </c>
      <c r="G6993" t="str">
        <f>VLOOKUP(Table1_2[[#This Row],[Categories]],Sheet3!$A$1:$B$27,2,FALSE)</f>
        <v>Food &amp;Beverage</v>
      </c>
    </row>
    <row r="6994" spans="1:7" x14ac:dyDescent="0.3">
      <c r="A6994" t="s">
        <v>34</v>
      </c>
      <c r="B6994">
        <v>2020</v>
      </c>
      <c r="C6994" t="s">
        <v>39</v>
      </c>
      <c r="D6994" s="2">
        <v>43983</v>
      </c>
      <c r="E6994" t="s">
        <v>6</v>
      </c>
      <c r="F6994">
        <v>153.30000000000001</v>
      </c>
      <c r="G6994" t="str">
        <f>VLOOKUP(Table1_2[[#This Row],[Categories]],Sheet3!$A$1:$B$27,2,FALSE)</f>
        <v>Food &amp;Beverage</v>
      </c>
    </row>
    <row r="6995" spans="1:7" x14ac:dyDescent="0.3">
      <c r="A6995" t="s">
        <v>34</v>
      </c>
      <c r="B6995">
        <v>2020</v>
      </c>
      <c r="C6995" t="s">
        <v>39</v>
      </c>
      <c r="D6995" s="2">
        <v>43983</v>
      </c>
      <c r="E6995" t="s">
        <v>7</v>
      </c>
      <c r="F6995">
        <v>136.30000000000001</v>
      </c>
      <c r="G6995" t="str">
        <f>VLOOKUP(Table1_2[[#This Row],[Categories]],Sheet3!$A$1:$B$27,2,FALSE)</f>
        <v>Food &amp;Beverage</v>
      </c>
    </row>
    <row r="6996" spans="1:7" x14ac:dyDescent="0.3">
      <c r="A6996" t="s">
        <v>34</v>
      </c>
      <c r="B6996">
        <v>2020</v>
      </c>
      <c r="C6996" t="s">
        <v>39</v>
      </c>
      <c r="D6996" s="2">
        <v>43983</v>
      </c>
      <c r="E6996" t="s">
        <v>8</v>
      </c>
      <c r="F6996">
        <v>147.19999999999999</v>
      </c>
      <c r="G6996" t="str">
        <f>VLOOKUP(Table1_2[[#This Row],[Categories]],Sheet3!$A$1:$B$27,2,FALSE)</f>
        <v>Food &amp;Beverage</v>
      </c>
    </row>
    <row r="6997" spans="1:7" x14ac:dyDescent="0.3">
      <c r="A6997" t="s">
        <v>34</v>
      </c>
      <c r="B6997">
        <v>2020</v>
      </c>
      <c r="C6997" t="s">
        <v>39</v>
      </c>
      <c r="D6997" s="2">
        <v>43983</v>
      </c>
      <c r="E6997" t="s">
        <v>9</v>
      </c>
      <c r="F6997">
        <v>156.5</v>
      </c>
      <c r="G6997" t="str">
        <f>VLOOKUP(Table1_2[[#This Row],[Categories]],Sheet3!$A$1:$B$27,2,FALSE)</f>
        <v>Food &amp;Beverage</v>
      </c>
    </row>
    <row r="6998" spans="1:7" x14ac:dyDescent="0.3">
      <c r="A6998" t="s">
        <v>34</v>
      </c>
      <c r="B6998">
        <v>2020</v>
      </c>
      <c r="C6998" t="s">
        <v>39</v>
      </c>
      <c r="D6998" s="2">
        <v>43983</v>
      </c>
      <c r="E6998" t="s">
        <v>10</v>
      </c>
      <c r="F6998">
        <v>150.9</v>
      </c>
      <c r="G6998" t="str">
        <f>VLOOKUP(Table1_2[[#This Row],[Categories]],Sheet3!$A$1:$B$27,2,FALSE)</f>
        <v>Food &amp;Beverage</v>
      </c>
    </row>
    <row r="6999" spans="1:7" x14ac:dyDescent="0.3">
      <c r="A6999" t="s">
        <v>34</v>
      </c>
      <c r="B6999">
        <v>2020</v>
      </c>
      <c r="C6999" t="s">
        <v>39</v>
      </c>
      <c r="D6999" s="2">
        <v>43983</v>
      </c>
      <c r="E6999" t="s">
        <v>11</v>
      </c>
      <c r="F6999">
        <v>114.2</v>
      </c>
      <c r="G6999" t="str">
        <f>VLOOKUP(Table1_2[[#This Row],[Categories]],Sheet3!$A$1:$B$27,2,FALSE)</f>
        <v>Food &amp;Beverage</v>
      </c>
    </row>
    <row r="7000" spans="1:7" x14ac:dyDescent="0.3">
      <c r="A7000" t="s">
        <v>34</v>
      </c>
      <c r="B7000">
        <v>2020</v>
      </c>
      <c r="C7000" t="s">
        <v>39</v>
      </c>
      <c r="D7000" s="2">
        <v>43983</v>
      </c>
      <c r="E7000" t="s">
        <v>12</v>
      </c>
      <c r="F7000">
        <v>159.5</v>
      </c>
      <c r="G7000" t="str">
        <f>VLOOKUP(Table1_2[[#This Row],[Categories]],Sheet3!$A$1:$B$27,2,FALSE)</f>
        <v>Food &amp;Beverage</v>
      </c>
    </row>
    <row r="7001" spans="1:7" x14ac:dyDescent="0.3">
      <c r="A7001" t="s">
        <v>34</v>
      </c>
      <c r="B7001">
        <v>2020</v>
      </c>
      <c r="C7001" t="s">
        <v>39</v>
      </c>
      <c r="D7001" s="2">
        <v>43983</v>
      </c>
      <c r="E7001" t="s">
        <v>13</v>
      </c>
      <c r="F7001">
        <v>139.4</v>
      </c>
      <c r="G7001" t="str">
        <f>VLOOKUP(Table1_2[[#This Row],[Categories]],Sheet3!$A$1:$B$27,2,FALSE)</f>
        <v>Food &amp;Beverage</v>
      </c>
    </row>
    <row r="7002" spans="1:7" x14ac:dyDescent="0.3">
      <c r="A7002" t="s">
        <v>34</v>
      </c>
      <c r="B7002">
        <v>2020</v>
      </c>
      <c r="C7002" t="s">
        <v>39</v>
      </c>
      <c r="D7002" s="2">
        <v>43983</v>
      </c>
      <c r="E7002" t="s">
        <v>14</v>
      </c>
      <c r="F7002">
        <v>161.80000000000001</v>
      </c>
      <c r="G7002" t="str">
        <f>VLOOKUP(Table1_2[[#This Row],[Categories]],Sheet3!$A$1:$B$27,2,FALSE)</f>
        <v>Food &amp;Beverage</v>
      </c>
    </row>
    <row r="7003" spans="1:7" x14ac:dyDescent="0.3">
      <c r="A7003" t="s">
        <v>34</v>
      </c>
      <c r="B7003">
        <v>2020</v>
      </c>
      <c r="C7003" t="s">
        <v>39</v>
      </c>
      <c r="D7003" s="2">
        <v>43983</v>
      </c>
      <c r="E7003" t="s">
        <v>15</v>
      </c>
      <c r="F7003">
        <v>154</v>
      </c>
      <c r="G7003" t="str">
        <f>VLOOKUP(Table1_2[[#This Row],[Categories]],Sheet3!$A$1:$B$27,2,FALSE)</f>
        <v>Food &amp;Beverage</v>
      </c>
    </row>
    <row r="7004" spans="1:7" x14ac:dyDescent="0.3">
      <c r="A7004" t="s">
        <v>34</v>
      </c>
      <c r="B7004">
        <v>2020</v>
      </c>
      <c r="C7004" t="s">
        <v>39</v>
      </c>
      <c r="D7004" s="2">
        <v>43983</v>
      </c>
      <c r="E7004" t="s">
        <v>16</v>
      </c>
      <c r="F7004">
        <v>183.5</v>
      </c>
      <c r="G7004" t="str">
        <f>VLOOKUP(Table1_2[[#This Row],[Categories]],Sheet3!$A$1:$B$27,2,FALSE)</f>
        <v>Recreation and amusement</v>
      </c>
    </row>
    <row r="7005" spans="1:7" x14ac:dyDescent="0.3">
      <c r="A7005" t="s">
        <v>34</v>
      </c>
      <c r="B7005">
        <v>2020</v>
      </c>
      <c r="C7005" t="s">
        <v>39</v>
      </c>
      <c r="D7005" s="2">
        <v>43983</v>
      </c>
      <c r="E7005" t="s">
        <v>17</v>
      </c>
      <c r="F7005">
        <v>152.5</v>
      </c>
      <c r="G7005" t="str">
        <f>VLOOKUP(Table1_2[[#This Row],[Categories]],Sheet3!$A$1:$B$27,2,FALSE)</f>
        <v>Clothing and footwear</v>
      </c>
    </row>
    <row r="7006" spans="1:7" x14ac:dyDescent="0.3">
      <c r="A7006" t="s">
        <v>34</v>
      </c>
      <c r="B7006">
        <v>2020</v>
      </c>
      <c r="C7006" t="s">
        <v>39</v>
      </c>
      <c r="D7006" s="2">
        <v>43983</v>
      </c>
      <c r="E7006" t="s">
        <v>18</v>
      </c>
      <c r="F7006">
        <v>144.4</v>
      </c>
      <c r="G7006" t="str">
        <f>VLOOKUP(Table1_2[[#This Row],[Categories]],Sheet3!$A$1:$B$27,2,FALSE)</f>
        <v>Clothing and footwear</v>
      </c>
    </row>
    <row r="7007" spans="1:7" x14ac:dyDescent="0.3">
      <c r="A7007" t="s">
        <v>34</v>
      </c>
      <c r="B7007">
        <v>2020</v>
      </c>
      <c r="C7007" t="s">
        <v>39</v>
      </c>
      <c r="D7007" s="2">
        <v>43983</v>
      </c>
      <c r="E7007" t="s">
        <v>19</v>
      </c>
      <c r="F7007">
        <v>151.4</v>
      </c>
      <c r="G7007" t="str">
        <f>VLOOKUP(Table1_2[[#This Row],[Categories]],Sheet3!$A$1:$B$27,2,FALSE)</f>
        <v>Clothing and footwear</v>
      </c>
    </row>
    <row r="7008" spans="1:7" x14ac:dyDescent="0.3">
      <c r="A7008" t="s">
        <v>34</v>
      </c>
      <c r="B7008">
        <v>2020</v>
      </c>
      <c r="C7008" t="s">
        <v>39</v>
      </c>
      <c r="D7008" s="2">
        <v>43983</v>
      </c>
      <c r="E7008" t="s">
        <v>20</v>
      </c>
      <c r="F7008">
        <v>154.69999999999999</v>
      </c>
      <c r="G7008" t="str">
        <f>VLOOKUP(Table1_2[[#This Row],[Categories]],Sheet3!$A$1:$B$27,2,FALSE)</f>
        <v>Housing</v>
      </c>
    </row>
    <row r="7009" spans="1:7" x14ac:dyDescent="0.3">
      <c r="A7009" t="s">
        <v>34</v>
      </c>
      <c r="B7009">
        <v>2020</v>
      </c>
      <c r="C7009" t="s">
        <v>39</v>
      </c>
      <c r="D7009" s="2">
        <v>43983</v>
      </c>
      <c r="E7009" t="s">
        <v>21</v>
      </c>
      <c r="F7009">
        <v>141.9</v>
      </c>
      <c r="G7009" t="str">
        <f>VLOOKUP(Table1_2[[#This Row],[Categories]],Sheet3!$A$1:$B$27,2,FALSE)</f>
        <v>Fuel and light</v>
      </c>
    </row>
    <row r="7010" spans="1:7" x14ac:dyDescent="0.3">
      <c r="A7010" t="s">
        <v>34</v>
      </c>
      <c r="B7010">
        <v>2020</v>
      </c>
      <c r="C7010" t="s">
        <v>39</v>
      </c>
      <c r="D7010" s="2">
        <v>43983</v>
      </c>
      <c r="E7010" t="s">
        <v>22</v>
      </c>
      <c r="F7010">
        <v>146.4</v>
      </c>
      <c r="G7010" t="str">
        <f>VLOOKUP(Table1_2[[#This Row],[Categories]],Sheet3!$A$1:$B$27,2,FALSE)</f>
        <v>Household Items</v>
      </c>
    </row>
    <row r="7011" spans="1:7" x14ac:dyDescent="0.3">
      <c r="A7011" t="s">
        <v>34</v>
      </c>
      <c r="B7011">
        <v>2020</v>
      </c>
      <c r="C7011" t="s">
        <v>39</v>
      </c>
      <c r="D7011" s="2">
        <v>43983</v>
      </c>
      <c r="E7011" t="s">
        <v>23</v>
      </c>
      <c r="F7011">
        <v>154.4</v>
      </c>
      <c r="G7011" t="str">
        <f>VLOOKUP(Table1_2[[#This Row],[Categories]],Sheet3!$A$1:$B$27,2,FALSE)</f>
        <v>Health</v>
      </c>
    </row>
    <row r="7012" spans="1:7" x14ac:dyDescent="0.3">
      <c r="A7012" t="s">
        <v>34</v>
      </c>
      <c r="B7012">
        <v>2020</v>
      </c>
      <c r="C7012" t="s">
        <v>39</v>
      </c>
      <c r="D7012" s="2">
        <v>43983</v>
      </c>
      <c r="E7012" t="s">
        <v>24</v>
      </c>
      <c r="F7012">
        <v>135</v>
      </c>
      <c r="G7012" t="str">
        <f>VLOOKUP(Table1_2[[#This Row],[Categories]],Sheet3!$A$1:$B$27,2,FALSE)</f>
        <v>Transport and communication</v>
      </c>
    </row>
    <row r="7013" spans="1:7" x14ac:dyDescent="0.3">
      <c r="A7013" t="s">
        <v>34</v>
      </c>
      <c r="B7013">
        <v>2020</v>
      </c>
      <c r="C7013" t="s">
        <v>39</v>
      </c>
      <c r="D7013" s="2">
        <v>43983</v>
      </c>
      <c r="E7013" t="s">
        <v>25</v>
      </c>
      <c r="F7013">
        <v>148.30000000000001</v>
      </c>
      <c r="G7013" t="str">
        <f>VLOOKUP(Table1_2[[#This Row],[Categories]],Sheet3!$A$1:$B$27,2,FALSE)</f>
        <v>Recreation and amusement</v>
      </c>
    </row>
    <row r="7014" spans="1:7" x14ac:dyDescent="0.3">
      <c r="A7014" t="s">
        <v>34</v>
      </c>
      <c r="B7014">
        <v>2020</v>
      </c>
      <c r="C7014" t="s">
        <v>39</v>
      </c>
      <c r="D7014" s="2">
        <v>43983</v>
      </c>
      <c r="E7014" t="s">
        <v>26</v>
      </c>
      <c r="F7014">
        <v>156.4</v>
      </c>
      <c r="G7014" t="str">
        <f>VLOOKUP(Table1_2[[#This Row],[Categories]],Sheet3!$A$1:$B$27,2,FALSE)</f>
        <v>Education</v>
      </c>
    </row>
    <row r="7015" spans="1:7" x14ac:dyDescent="0.3">
      <c r="A7015" t="s">
        <v>34</v>
      </c>
      <c r="B7015">
        <v>2020</v>
      </c>
      <c r="C7015" t="s">
        <v>39</v>
      </c>
      <c r="D7015" s="2">
        <v>43983</v>
      </c>
      <c r="E7015" t="s">
        <v>27</v>
      </c>
      <c r="F7015">
        <v>151.6</v>
      </c>
      <c r="G7015" t="str">
        <f>VLOOKUP(Table1_2[[#This Row],[Categories]],Sheet3!$A$1:$B$27,2,FALSE)</f>
        <v>Household Items</v>
      </c>
    </row>
    <row r="7016" spans="1:7" x14ac:dyDescent="0.3">
      <c r="A7016" t="s">
        <v>34</v>
      </c>
      <c r="B7016">
        <v>2020</v>
      </c>
      <c r="C7016" t="s">
        <v>39</v>
      </c>
      <c r="D7016" s="2">
        <v>43983</v>
      </c>
      <c r="E7016" t="s">
        <v>28</v>
      </c>
      <c r="F7016">
        <v>147</v>
      </c>
      <c r="G7016" t="str">
        <f>VLOOKUP(Table1_2[[#This Row],[Categories]],Sheet3!$A$1:$B$27,2,FALSE)</f>
        <v>Miscellaneous</v>
      </c>
    </row>
    <row r="7017" spans="1:7" x14ac:dyDescent="0.3">
      <c r="A7017" t="s">
        <v>34</v>
      </c>
      <c r="B7017">
        <v>2020</v>
      </c>
      <c r="C7017" t="s">
        <v>39</v>
      </c>
      <c r="D7017" s="2">
        <v>43983</v>
      </c>
      <c r="E7017" t="s">
        <v>29</v>
      </c>
      <c r="F7017">
        <v>151.80000000000001</v>
      </c>
      <c r="G7017" t="str">
        <f>VLOOKUP(Table1_2[[#This Row],[Categories]],Sheet3!$A$1:$B$27,2,FALSE)</f>
        <v>General index</v>
      </c>
    </row>
    <row r="7018" spans="1:7" x14ac:dyDescent="0.3">
      <c r="A7018" t="s">
        <v>30</v>
      </c>
      <c r="B7018">
        <v>2020</v>
      </c>
      <c r="C7018" t="s">
        <v>40</v>
      </c>
      <c r="D7018" s="2">
        <v>44013</v>
      </c>
      <c r="E7018" t="s">
        <v>3</v>
      </c>
      <c r="F7018">
        <v>148.19999999999999</v>
      </c>
      <c r="G7018" t="str">
        <f>VLOOKUP(Table1_2[[#This Row],[Categories]],Sheet3!$A$1:$B$27,2,FALSE)</f>
        <v>Food &amp;Beverage</v>
      </c>
    </row>
    <row r="7019" spans="1:7" x14ac:dyDescent="0.3">
      <c r="A7019" t="s">
        <v>30</v>
      </c>
      <c r="B7019">
        <v>2020</v>
      </c>
      <c r="C7019" t="s">
        <v>40</v>
      </c>
      <c r="D7019" s="2">
        <v>44013</v>
      </c>
      <c r="E7019" t="s">
        <v>4</v>
      </c>
      <c r="F7019">
        <v>190.3</v>
      </c>
      <c r="G7019" t="str">
        <f>VLOOKUP(Table1_2[[#This Row],[Categories]],Sheet3!$A$1:$B$27,2,FALSE)</f>
        <v>Food &amp;Beverage</v>
      </c>
    </row>
    <row r="7020" spans="1:7" x14ac:dyDescent="0.3">
      <c r="A7020" t="s">
        <v>30</v>
      </c>
      <c r="B7020">
        <v>2020</v>
      </c>
      <c r="C7020" t="s">
        <v>40</v>
      </c>
      <c r="D7020" s="2">
        <v>44013</v>
      </c>
      <c r="E7020" t="s">
        <v>5</v>
      </c>
      <c r="F7020">
        <v>149.4</v>
      </c>
      <c r="G7020" t="str">
        <f>VLOOKUP(Table1_2[[#This Row],[Categories]],Sheet3!$A$1:$B$27,2,FALSE)</f>
        <v>Food &amp;Beverage</v>
      </c>
    </row>
    <row r="7021" spans="1:7" x14ac:dyDescent="0.3">
      <c r="A7021" t="s">
        <v>30</v>
      </c>
      <c r="B7021">
        <v>2020</v>
      </c>
      <c r="C7021" t="s">
        <v>40</v>
      </c>
      <c r="D7021" s="2">
        <v>44013</v>
      </c>
      <c r="E7021" t="s">
        <v>6</v>
      </c>
      <c r="F7021">
        <v>153.30000000000001</v>
      </c>
      <c r="G7021" t="str">
        <f>VLOOKUP(Table1_2[[#This Row],[Categories]],Sheet3!$A$1:$B$27,2,FALSE)</f>
        <v>Food &amp;Beverage</v>
      </c>
    </row>
    <row r="7022" spans="1:7" x14ac:dyDescent="0.3">
      <c r="A7022" t="s">
        <v>30</v>
      </c>
      <c r="B7022">
        <v>2020</v>
      </c>
      <c r="C7022" t="s">
        <v>40</v>
      </c>
      <c r="D7022" s="2">
        <v>44013</v>
      </c>
      <c r="E7022" t="s">
        <v>7</v>
      </c>
      <c r="F7022">
        <v>138.19999999999999</v>
      </c>
      <c r="G7022" t="str">
        <f>VLOOKUP(Table1_2[[#This Row],[Categories]],Sheet3!$A$1:$B$27,2,FALSE)</f>
        <v>Food &amp;Beverage</v>
      </c>
    </row>
    <row r="7023" spans="1:7" x14ac:dyDescent="0.3">
      <c r="A7023" t="s">
        <v>30</v>
      </c>
      <c r="B7023">
        <v>2020</v>
      </c>
      <c r="C7023" t="s">
        <v>40</v>
      </c>
      <c r="D7023" s="2">
        <v>44013</v>
      </c>
      <c r="E7023" t="s">
        <v>8</v>
      </c>
      <c r="F7023">
        <v>143.19999999999999</v>
      </c>
      <c r="G7023" t="str">
        <f>VLOOKUP(Table1_2[[#This Row],[Categories]],Sheet3!$A$1:$B$27,2,FALSE)</f>
        <v>Food &amp;Beverage</v>
      </c>
    </row>
    <row r="7024" spans="1:7" x14ac:dyDescent="0.3">
      <c r="A7024" t="s">
        <v>30</v>
      </c>
      <c r="B7024">
        <v>2020</v>
      </c>
      <c r="C7024" t="s">
        <v>40</v>
      </c>
      <c r="D7024" s="2">
        <v>44013</v>
      </c>
      <c r="E7024" t="s">
        <v>9</v>
      </c>
      <c r="F7024">
        <v>148.9</v>
      </c>
      <c r="G7024" t="str">
        <f>VLOOKUP(Table1_2[[#This Row],[Categories]],Sheet3!$A$1:$B$27,2,FALSE)</f>
        <v>Food &amp;Beverage</v>
      </c>
    </row>
    <row r="7025" spans="1:7" x14ac:dyDescent="0.3">
      <c r="A7025" t="s">
        <v>30</v>
      </c>
      <c r="B7025">
        <v>2020</v>
      </c>
      <c r="C7025" t="s">
        <v>40</v>
      </c>
      <c r="D7025" s="2">
        <v>44013</v>
      </c>
      <c r="E7025" t="s">
        <v>10</v>
      </c>
      <c r="F7025">
        <v>150.30000000000001</v>
      </c>
      <c r="G7025" t="str">
        <f>VLOOKUP(Table1_2[[#This Row],[Categories]],Sheet3!$A$1:$B$27,2,FALSE)</f>
        <v>Food &amp;Beverage</v>
      </c>
    </row>
    <row r="7026" spans="1:7" x14ac:dyDescent="0.3">
      <c r="A7026" t="s">
        <v>30</v>
      </c>
      <c r="B7026">
        <v>2020</v>
      </c>
      <c r="C7026" t="s">
        <v>40</v>
      </c>
      <c r="D7026" s="2">
        <v>44013</v>
      </c>
      <c r="E7026" t="s">
        <v>11</v>
      </c>
      <c r="F7026">
        <v>113.2</v>
      </c>
      <c r="G7026" t="str">
        <f>VLOOKUP(Table1_2[[#This Row],[Categories]],Sheet3!$A$1:$B$27,2,FALSE)</f>
        <v>Food &amp;Beverage</v>
      </c>
    </row>
    <row r="7027" spans="1:7" x14ac:dyDescent="0.3">
      <c r="A7027" t="s">
        <v>30</v>
      </c>
      <c r="B7027">
        <v>2020</v>
      </c>
      <c r="C7027" t="s">
        <v>40</v>
      </c>
      <c r="D7027" s="2">
        <v>44013</v>
      </c>
      <c r="E7027" t="s">
        <v>12</v>
      </c>
      <c r="F7027">
        <v>159.80000000000001</v>
      </c>
      <c r="G7027" t="str">
        <f>VLOOKUP(Table1_2[[#This Row],[Categories]],Sheet3!$A$1:$B$27,2,FALSE)</f>
        <v>Food &amp;Beverage</v>
      </c>
    </row>
    <row r="7028" spans="1:7" x14ac:dyDescent="0.3">
      <c r="A7028" t="s">
        <v>30</v>
      </c>
      <c r="B7028">
        <v>2020</v>
      </c>
      <c r="C7028" t="s">
        <v>40</v>
      </c>
      <c r="D7028" s="2">
        <v>44013</v>
      </c>
      <c r="E7028" t="s">
        <v>13</v>
      </c>
      <c r="F7028">
        <v>142.1</v>
      </c>
      <c r="G7028" t="str">
        <f>VLOOKUP(Table1_2[[#This Row],[Categories]],Sheet3!$A$1:$B$27,2,FALSE)</f>
        <v>Food &amp;Beverage</v>
      </c>
    </row>
    <row r="7029" spans="1:7" x14ac:dyDescent="0.3">
      <c r="A7029" t="s">
        <v>30</v>
      </c>
      <c r="B7029">
        <v>2020</v>
      </c>
      <c r="C7029" t="s">
        <v>40</v>
      </c>
      <c r="D7029" s="2">
        <v>44013</v>
      </c>
      <c r="E7029" t="s">
        <v>14</v>
      </c>
      <c r="F7029">
        <v>161.80000000000001</v>
      </c>
      <c r="G7029" t="str">
        <f>VLOOKUP(Table1_2[[#This Row],[Categories]],Sheet3!$A$1:$B$27,2,FALSE)</f>
        <v>Food &amp;Beverage</v>
      </c>
    </row>
    <row r="7030" spans="1:7" x14ac:dyDescent="0.3">
      <c r="A7030" t="s">
        <v>30</v>
      </c>
      <c r="B7030">
        <v>2020</v>
      </c>
      <c r="C7030" t="s">
        <v>40</v>
      </c>
      <c r="D7030" s="2">
        <v>44013</v>
      </c>
      <c r="E7030" t="s">
        <v>15</v>
      </c>
      <c r="F7030">
        <v>152.30000000000001</v>
      </c>
      <c r="G7030" t="str">
        <f>VLOOKUP(Table1_2[[#This Row],[Categories]],Sheet3!$A$1:$B$27,2,FALSE)</f>
        <v>Food &amp;Beverage</v>
      </c>
    </row>
    <row r="7031" spans="1:7" x14ac:dyDescent="0.3">
      <c r="A7031" t="s">
        <v>30</v>
      </c>
      <c r="B7031">
        <v>2020</v>
      </c>
      <c r="C7031" t="s">
        <v>40</v>
      </c>
      <c r="D7031" s="2">
        <v>44013</v>
      </c>
      <c r="E7031" t="s">
        <v>16</v>
      </c>
      <c r="F7031">
        <v>182.4</v>
      </c>
      <c r="G7031" t="str">
        <f>VLOOKUP(Table1_2[[#This Row],[Categories]],Sheet3!$A$1:$B$27,2,FALSE)</f>
        <v>Recreation and amusement</v>
      </c>
    </row>
    <row r="7032" spans="1:7" x14ac:dyDescent="0.3">
      <c r="A7032" t="s">
        <v>30</v>
      </c>
      <c r="B7032">
        <v>2020</v>
      </c>
      <c r="C7032" t="s">
        <v>40</v>
      </c>
      <c r="D7032" s="2">
        <v>44013</v>
      </c>
      <c r="E7032" t="s">
        <v>17</v>
      </c>
      <c r="F7032">
        <v>154.69999999999999</v>
      </c>
      <c r="G7032" t="str">
        <f>VLOOKUP(Table1_2[[#This Row],[Categories]],Sheet3!$A$1:$B$27,2,FALSE)</f>
        <v>Clothing and footwear</v>
      </c>
    </row>
    <row r="7033" spans="1:7" x14ac:dyDescent="0.3">
      <c r="A7033" t="s">
        <v>30</v>
      </c>
      <c r="B7033">
        <v>2020</v>
      </c>
      <c r="C7033" t="s">
        <v>40</v>
      </c>
      <c r="D7033" s="2">
        <v>44013</v>
      </c>
      <c r="E7033" t="s">
        <v>18</v>
      </c>
      <c r="F7033">
        <v>150</v>
      </c>
      <c r="G7033" t="str">
        <f>VLOOKUP(Table1_2[[#This Row],[Categories]],Sheet3!$A$1:$B$27,2,FALSE)</f>
        <v>Clothing and footwear</v>
      </c>
    </row>
    <row r="7034" spans="1:7" x14ac:dyDescent="0.3">
      <c r="A7034" t="s">
        <v>30</v>
      </c>
      <c r="B7034">
        <v>2020</v>
      </c>
      <c r="C7034" t="s">
        <v>40</v>
      </c>
      <c r="D7034" s="2">
        <v>44013</v>
      </c>
      <c r="E7034" t="s">
        <v>19</v>
      </c>
      <c r="F7034">
        <v>154.1</v>
      </c>
      <c r="G7034" t="str">
        <f>VLOOKUP(Table1_2[[#This Row],[Categories]],Sheet3!$A$1:$B$27,2,FALSE)</f>
        <v>Clothing and footwear</v>
      </c>
    </row>
    <row r="7035" spans="1:7" x14ac:dyDescent="0.3">
      <c r="A7035" t="s">
        <v>30</v>
      </c>
      <c r="B7035">
        <v>2020</v>
      </c>
      <c r="C7035" t="s">
        <v>40</v>
      </c>
      <c r="D7035" s="2">
        <v>44013</v>
      </c>
      <c r="E7035" t="s">
        <v>21</v>
      </c>
      <c r="F7035">
        <v>144.9</v>
      </c>
      <c r="G7035" t="str">
        <f>VLOOKUP(Table1_2[[#This Row],[Categories]],Sheet3!$A$1:$B$27,2,FALSE)</f>
        <v>Fuel and light</v>
      </c>
    </row>
    <row r="7036" spans="1:7" x14ac:dyDescent="0.3">
      <c r="A7036" t="s">
        <v>30</v>
      </c>
      <c r="B7036">
        <v>2020</v>
      </c>
      <c r="C7036" t="s">
        <v>40</v>
      </c>
      <c r="D7036" s="2">
        <v>44013</v>
      </c>
      <c r="E7036" t="s">
        <v>22</v>
      </c>
      <c r="F7036">
        <v>151.69999999999999</v>
      </c>
      <c r="G7036" t="str">
        <f>VLOOKUP(Table1_2[[#This Row],[Categories]],Sheet3!$A$1:$B$27,2,FALSE)</f>
        <v>Household Items</v>
      </c>
    </row>
    <row r="7037" spans="1:7" x14ac:dyDescent="0.3">
      <c r="A7037" t="s">
        <v>30</v>
      </c>
      <c r="B7037">
        <v>2020</v>
      </c>
      <c r="C7037" t="s">
        <v>40</v>
      </c>
      <c r="D7037" s="2">
        <v>44013</v>
      </c>
      <c r="E7037" t="s">
        <v>23</v>
      </c>
      <c r="F7037">
        <v>158.19999999999999</v>
      </c>
      <c r="G7037" t="str">
        <f>VLOOKUP(Table1_2[[#This Row],[Categories]],Sheet3!$A$1:$B$27,2,FALSE)</f>
        <v>Health</v>
      </c>
    </row>
    <row r="7038" spans="1:7" x14ac:dyDescent="0.3">
      <c r="A7038" t="s">
        <v>30</v>
      </c>
      <c r="B7038">
        <v>2020</v>
      </c>
      <c r="C7038" t="s">
        <v>40</v>
      </c>
      <c r="D7038" s="2">
        <v>44013</v>
      </c>
      <c r="E7038" t="s">
        <v>24</v>
      </c>
      <c r="F7038">
        <v>141.4</v>
      </c>
      <c r="G7038" t="str">
        <f>VLOOKUP(Table1_2[[#This Row],[Categories]],Sheet3!$A$1:$B$27,2,FALSE)</f>
        <v>Transport and communication</v>
      </c>
    </row>
    <row r="7039" spans="1:7" x14ac:dyDescent="0.3">
      <c r="A7039" t="s">
        <v>30</v>
      </c>
      <c r="B7039">
        <v>2020</v>
      </c>
      <c r="C7039" t="s">
        <v>40</v>
      </c>
      <c r="D7039" s="2">
        <v>44013</v>
      </c>
      <c r="E7039" t="s">
        <v>25</v>
      </c>
      <c r="F7039">
        <v>153.19999999999999</v>
      </c>
      <c r="G7039" t="str">
        <f>VLOOKUP(Table1_2[[#This Row],[Categories]],Sheet3!$A$1:$B$27,2,FALSE)</f>
        <v>Recreation and amusement</v>
      </c>
    </row>
    <row r="7040" spans="1:7" x14ac:dyDescent="0.3">
      <c r="A7040" t="s">
        <v>30</v>
      </c>
      <c r="B7040">
        <v>2020</v>
      </c>
      <c r="C7040" t="s">
        <v>40</v>
      </c>
      <c r="D7040" s="2">
        <v>44013</v>
      </c>
      <c r="E7040" t="s">
        <v>26</v>
      </c>
      <c r="F7040">
        <v>161.80000000000001</v>
      </c>
      <c r="G7040" t="str">
        <f>VLOOKUP(Table1_2[[#This Row],[Categories]],Sheet3!$A$1:$B$27,2,FALSE)</f>
        <v>Education</v>
      </c>
    </row>
    <row r="7041" spans="1:7" x14ac:dyDescent="0.3">
      <c r="A7041" t="s">
        <v>30</v>
      </c>
      <c r="B7041">
        <v>2020</v>
      </c>
      <c r="C7041" t="s">
        <v>40</v>
      </c>
      <c r="D7041" s="2">
        <v>44013</v>
      </c>
      <c r="E7041" t="s">
        <v>27</v>
      </c>
      <c r="F7041">
        <v>151.19999999999999</v>
      </c>
      <c r="G7041" t="str">
        <f>VLOOKUP(Table1_2[[#This Row],[Categories]],Sheet3!$A$1:$B$27,2,FALSE)</f>
        <v>Household Items</v>
      </c>
    </row>
    <row r="7042" spans="1:7" x14ac:dyDescent="0.3">
      <c r="A7042" t="s">
        <v>30</v>
      </c>
      <c r="B7042">
        <v>2020</v>
      </c>
      <c r="C7042" t="s">
        <v>40</v>
      </c>
      <c r="D7042" s="2">
        <v>44013</v>
      </c>
      <c r="E7042" t="s">
        <v>28</v>
      </c>
      <c r="F7042">
        <v>151.69999999999999</v>
      </c>
      <c r="G7042" t="str">
        <f>VLOOKUP(Table1_2[[#This Row],[Categories]],Sheet3!$A$1:$B$27,2,FALSE)</f>
        <v>Miscellaneous</v>
      </c>
    </row>
    <row r="7043" spans="1:7" x14ac:dyDescent="0.3">
      <c r="A7043" t="s">
        <v>30</v>
      </c>
      <c r="B7043">
        <v>2020</v>
      </c>
      <c r="C7043" t="s">
        <v>40</v>
      </c>
      <c r="D7043" s="2">
        <v>44013</v>
      </c>
      <c r="E7043" t="s">
        <v>29</v>
      </c>
      <c r="F7043">
        <v>152.69999999999999</v>
      </c>
      <c r="G7043" t="str">
        <f>VLOOKUP(Table1_2[[#This Row],[Categories]],Sheet3!$A$1:$B$27,2,FALSE)</f>
        <v>General index</v>
      </c>
    </row>
    <row r="7044" spans="1:7" x14ac:dyDescent="0.3">
      <c r="A7044" t="s">
        <v>33</v>
      </c>
      <c r="B7044">
        <v>2020</v>
      </c>
      <c r="C7044" t="s">
        <v>40</v>
      </c>
      <c r="D7044" s="2">
        <v>44013</v>
      </c>
      <c r="E7044" t="s">
        <v>3</v>
      </c>
      <c r="F7044">
        <v>152.69999999999999</v>
      </c>
      <c r="G7044" t="str">
        <f>VLOOKUP(Table1_2[[#This Row],[Categories]],Sheet3!$A$1:$B$27,2,FALSE)</f>
        <v>Food &amp;Beverage</v>
      </c>
    </row>
    <row r="7045" spans="1:7" x14ac:dyDescent="0.3">
      <c r="A7045" t="s">
        <v>33</v>
      </c>
      <c r="B7045">
        <v>2020</v>
      </c>
      <c r="C7045" t="s">
        <v>40</v>
      </c>
      <c r="D7045" s="2">
        <v>44013</v>
      </c>
      <c r="E7045" t="s">
        <v>4</v>
      </c>
      <c r="F7045">
        <v>197</v>
      </c>
      <c r="G7045" t="str">
        <f>VLOOKUP(Table1_2[[#This Row],[Categories]],Sheet3!$A$1:$B$27,2,FALSE)</f>
        <v>Food &amp;Beverage</v>
      </c>
    </row>
    <row r="7046" spans="1:7" x14ac:dyDescent="0.3">
      <c r="A7046" t="s">
        <v>33</v>
      </c>
      <c r="B7046">
        <v>2020</v>
      </c>
      <c r="C7046" t="s">
        <v>40</v>
      </c>
      <c r="D7046" s="2">
        <v>44013</v>
      </c>
      <c r="E7046" t="s">
        <v>5</v>
      </c>
      <c r="F7046">
        <v>154.6</v>
      </c>
      <c r="G7046" t="str">
        <f>VLOOKUP(Table1_2[[#This Row],[Categories]],Sheet3!$A$1:$B$27,2,FALSE)</f>
        <v>Food &amp;Beverage</v>
      </c>
    </row>
    <row r="7047" spans="1:7" x14ac:dyDescent="0.3">
      <c r="A7047" t="s">
        <v>33</v>
      </c>
      <c r="B7047">
        <v>2020</v>
      </c>
      <c r="C7047" t="s">
        <v>40</v>
      </c>
      <c r="D7047" s="2">
        <v>44013</v>
      </c>
      <c r="E7047" t="s">
        <v>6</v>
      </c>
      <c r="F7047">
        <v>153.4</v>
      </c>
      <c r="G7047" t="str">
        <f>VLOOKUP(Table1_2[[#This Row],[Categories]],Sheet3!$A$1:$B$27,2,FALSE)</f>
        <v>Food &amp;Beverage</v>
      </c>
    </row>
    <row r="7048" spans="1:7" x14ac:dyDescent="0.3">
      <c r="A7048" t="s">
        <v>33</v>
      </c>
      <c r="B7048">
        <v>2020</v>
      </c>
      <c r="C7048" t="s">
        <v>40</v>
      </c>
      <c r="D7048" s="2">
        <v>44013</v>
      </c>
      <c r="E7048" t="s">
        <v>7</v>
      </c>
      <c r="F7048">
        <v>132.9</v>
      </c>
      <c r="G7048" t="str">
        <f>VLOOKUP(Table1_2[[#This Row],[Categories]],Sheet3!$A$1:$B$27,2,FALSE)</f>
        <v>Food &amp;Beverage</v>
      </c>
    </row>
    <row r="7049" spans="1:7" x14ac:dyDescent="0.3">
      <c r="A7049" t="s">
        <v>33</v>
      </c>
      <c r="B7049">
        <v>2020</v>
      </c>
      <c r="C7049" t="s">
        <v>40</v>
      </c>
      <c r="D7049" s="2">
        <v>44013</v>
      </c>
      <c r="E7049" t="s">
        <v>8</v>
      </c>
      <c r="F7049">
        <v>151.80000000000001</v>
      </c>
      <c r="G7049" t="str">
        <f>VLOOKUP(Table1_2[[#This Row],[Categories]],Sheet3!$A$1:$B$27,2,FALSE)</f>
        <v>Food &amp;Beverage</v>
      </c>
    </row>
    <row r="7050" spans="1:7" x14ac:dyDescent="0.3">
      <c r="A7050" t="s">
        <v>33</v>
      </c>
      <c r="B7050">
        <v>2020</v>
      </c>
      <c r="C7050" t="s">
        <v>40</v>
      </c>
      <c r="D7050" s="2">
        <v>44013</v>
      </c>
      <c r="E7050" t="s">
        <v>9</v>
      </c>
      <c r="F7050">
        <v>171.2</v>
      </c>
      <c r="G7050" t="str">
        <f>VLOOKUP(Table1_2[[#This Row],[Categories]],Sheet3!$A$1:$B$27,2,FALSE)</f>
        <v>Food &amp;Beverage</v>
      </c>
    </row>
    <row r="7051" spans="1:7" x14ac:dyDescent="0.3">
      <c r="A7051" t="s">
        <v>33</v>
      </c>
      <c r="B7051">
        <v>2020</v>
      </c>
      <c r="C7051" t="s">
        <v>40</v>
      </c>
      <c r="D7051" s="2">
        <v>44013</v>
      </c>
      <c r="E7051" t="s">
        <v>10</v>
      </c>
      <c r="F7051">
        <v>152</v>
      </c>
      <c r="G7051" t="str">
        <f>VLOOKUP(Table1_2[[#This Row],[Categories]],Sheet3!$A$1:$B$27,2,FALSE)</f>
        <v>Food &amp;Beverage</v>
      </c>
    </row>
    <row r="7052" spans="1:7" x14ac:dyDescent="0.3">
      <c r="A7052" t="s">
        <v>33</v>
      </c>
      <c r="B7052">
        <v>2020</v>
      </c>
      <c r="C7052" t="s">
        <v>40</v>
      </c>
      <c r="D7052" s="2">
        <v>44013</v>
      </c>
      <c r="E7052" t="s">
        <v>11</v>
      </c>
      <c r="F7052">
        <v>116.3</v>
      </c>
      <c r="G7052" t="str">
        <f>VLOOKUP(Table1_2[[#This Row],[Categories]],Sheet3!$A$1:$B$27,2,FALSE)</f>
        <v>Food &amp;Beverage</v>
      </c>
    </row>
    <row r="7053" spans="1:7" x14ac:dyDescent="0.3">
      <c r="A7053" t="s">
        <v>33</v>
      </c>
      <c r="B7053">
        <v>2020</v>
      </c>
      <c r="C7053" t="s">
        <v>40</v>
      </c>
      <c r="D7053" s="2">
        <v>44013</v>
      </c>
      <c r="E7053" t="s">
        <v>12</v>
      </c>
      <c r="F7053">
        <v>158.80000000000001</v>
      </c>
      <c r="G7053" t="str">
        <f>VLOOKUP(Table1_2[[#This Row],[Categories]],Sheet3!$A$1:$B$27,2,FALSE)</f>
        <v>Food &amp;Beverage</v>
      </c>
    </row>
    <row r="7054" spans="1:7" x14ac:dyDescent="0.3">
      <c r="A7054" t="s">
        <v>33</v>
      </c>
      <c r="B7054">
        <v>2020</v>
      </c>
      <c r="C7054" t="s">
        <v>40</v>
      </c>
      <c r="D7054" s="2">
        <v>44013</v>
      </c>
      <c r="E7054" t="s">
        <v>13</v>
      </c>
      <c r="F7054">
        <v>135.6</v>
      </c>
      <c r="G7054" t="str">
        <f>VLOOKUP(Table1_2[[#This Row],[Categories]],Sheet3!$A$1:$B$27,2,FALSE)</f>
        <v>Food &amp;Beverage</v>
      </c>
    </row>
    <row r="7055" spans="1:7" x14ac:dyDescent="0.3">
      <c r="A7055" t="s">
        <v>33</v>
      </c>
      <c r="B7055">
        <v>2020</v>
      </c>
      <c r="C7055" t="s">
        <v>40</v>
      </c>
      <c r="D7055" s="2">
        <v>44013</v>
      </c>
      <c r="E7055" t="s">
        <v>14</v>
      </c>
      <c r="F7055">
        <v>161.69999999999999</v>
      </c>
      <c r="G7055" t="str">
        <f>VLOOKUP(Table1_2[[#This Row],[Categories]],Sheet3!$A$1:$B$27,2,FALSE)</f>
        <v>Food &amp;Beverage</v>
      </c>
    </row>
    <row r="7056" spans="1:7" x14ac:dyDescent="0.3">
      <c r="A7056" t="s">
        <v>33</v>
      </c>
      <c r="B7056">
        <v>2020</v>
      </c>
      <c r="C7056" t="s">
        <v>40</v>
      </c>
      <c r="D7056" s="2">
        <v>44013</v>
      </c>
      <c r="E7056" t="s">
        <v>15</v>
      </c>
      <c r="F7056">
        <v>157</v>
      </c>
      <c r="G7056" t="str">
        <f>VLOOKUP(Table1_2[[#This Row],[Categories]],Sheet3!$A$1:$B$27,2,FALSE)</f>
        <v>Food &amp;Beverage</v>
      </c>
    </row>
    <row r="7057" spans="1:7" x14ac:dyDescent="0.3">
      <c r="A7057" t="s">
        <v>33</v>
      </c>
      <c r="B7057">
        <v>2020</v>
      </c>
      <c r="C7057" t="s">
        <v>40</v>
      </c>
      <c r="D7057" s="2">
        <v>44013</v>
      </c>
      <c r="E7057" t="s">
        <v>16</v>
      </c>
      <c r="F7057">
        <v>186.7</v>
      </c>
      <c r="G7057" t="str">
        <f>VLOOKUP(Table1_2[[#This Row],[Categories]],Sheet3!$A$1:$B$27,2,FALSE)</f>
        <v>Recreation and amusement</v>
      </c>
    </row>
    <row r="7058" spans="1:7" x14ac:dyDescent="0.3">
      <c r="A7058" t="s">
        <v>33</v>
      </c>
      <c r="B7058">
        <v>2020</v>
      </c>
      <c r="C7058" t="s">
        <v>40</v>
      </c>
      <c r="D7058" s="2">
        <v>44013</v>
      </c>
      <c r="E7058" t="s">
        <v>17</v>
      </c>
      <c r="F7058">
        <v>149.1</v>
      </c>
      <c r="G7058" t="str">
        <f>VLOOKUP(Table1_2[[#This Row],[Categories]],Sheet3!$A$1:$B$27,2,FALSE)</f>
        <v>Clothing and footwear</v>
      </c>
    </row>
    <row r="7059" spans="1:7" x14ac:dyDescent="0.3">
      <c r="A7059" t="s">
        <v>33</v>
      </c>
      <c r="B7059">
        <v>2020</v>
      </c>
      <c r="C7059" t="s">
        <v>40</v>
      </c>
      <c r="D7059" s="2">
        <v>44013</v>
      </c>
      <c r="E7059" t="s">
        <v>18</v>
      </c>
      <c r="F7059">
        <v>136.6</v>
      </c>
      <c r="G7059" t="str">
        <f>VLOOKUP(Table1_2[[#This Row],[Categories]],Sheet3!$A$1:$B$27,2,FALSE)</f>
        <v>Clothing and footwear</v>
      </c>
    </row>
    <row r="7060" spans="1:7" x14ac:dyDescent="0.3">
      <c r="A7060" t="s">
        <v>33</v>
      </c>
      <c r="B7060">
        <v>2020</v>
      </c>
      <c r="C7060" t="s">
        <v>40</v>
      </c>
      <c r="D7060" s="2">
        <v>44013</v>
      </c>
      <c r="E7060" t="s">
        <v>19</v>
      </c>
      <c r="F7060">
        <v>147.19999999999999</v>
      </c>
      <c r="G7060" t="str">
        <f>VLOOKUP(Table1_2[[#This Row],[Categories]],Sheet3!$A$1:$B$27,2,FALSE)</f>
        <v>Clothing and footwear</v>
      </c>
    </row>
    <row r="7061" spans="1:7" x14ac:dyDescent="0.3">
      <c r="A7061" t="s">
        <v>33</v>
      </c>
      <c r="B7061">
        <v>2020</v>
      </c>
      <c r="C7061" t="s">
        <v>40</v>
      </c>
      <c r="D7061" s="2">
        <v>44013</v>
      </c>
      <c r="E7061" t="s">
        <v>20</v>
      </c>
      <c r="F7061">
        <v>154.69999999999999</v>
      </c>
      <c r="G7061" t="str">
        <f>VLOOKUP(Table1_2[[#This Row],[Categories]],Sheet3!$A$1:$B$27,2,FALSE)</f>
        <v>Housing</v>
      </c>
    </row>
    <row r="7062" spans="1:7" x14ac:dyDescent="0.3">
      <c r="A7062" t="s">
        <v>33</v>
      </c>
      <c r="B7062">
        <v>2020</v>
      </c>
      <c r="C7062" t="s">
        <v>40</v>
      </c>
      <c r="D7062" s="2">
        <v>44013</v>
      </c>
      <c r="E7062" t="s">
        <v>21</v>
      </c>
      <c r="F7062">
        <v>137.1</v>
      </c>
      <c r="G7062" t="str">
        <f>VLOOKUP(Table1_2[[#This Row],[Categories]],Sheet3!$A$1:$B$27,2,FALSE)</f>
        <v>Fuel and light</v>
      </c>
    </row>
    <row r="7063" spans="1:7" x14ac:dyDescent="0.3">
      <c r="A7063" t="s">
        <v>33</v>
      </c>
      <c r="B7063">
        <v>2020</v>
      </c>
      <c r="C7063" t="s">
        <v>40</v>
      </c>
      <c r="D7063" s="2">
        <v>44013</v>
      </c>
      <c r="E7063" t="s">
        <v>22</v>
      </c>
      <c r="F7063">
        <v>140.4</v>
      </c>
      <c r="G7063" t="str">
        <f>VLOOKUP(Table1_2[[#This Row],[Categories]],Sheet3!$A$1:$B$27,2,FALSE)</f>
        <v>Household Items</v>
      </c>
    </row>
    <row r="7064" spans="1:7" x14ac:dyDescent="0.3">
      <c r="A7064" t="s">
        <v>33</v>
      </c>
      <c r="B7064">
        <v>2020</v>
      </c>
      <c r="C7064" t="s">
        <v>40</v>
      </c>
      <c r="D7064" s="2">
        <v>44013</v>
      </c>
      <c r="E7064" t="s">
        <v>23</v>
      </c>
      <c r="F7064">
        <v>148.1</v>
      </c>
      <c r="G7064" t="str">
        <f>VLOOKUP(Table1_2[[#This Row],[Categories]],Sheet3!$A$1:$B$27,2,FALSE)</f>
        <v>Health</v>
      </c>
    </row>
    <row r="7065" spans="1:7" x14ac:dyDescent="0.3">
      <c r="A7065" t="s">
        <v>33</v>
      </c>
      <c r="B7065">
        <v>2020</v>
      </c>
      <c r="C7065" t="s">
        <v>40</v>
      </c>
      <c r="D7065" s="2">
        <v>44013</v>
      </c>
      <c r="E7065" t="s">
        <v>24</v>
      </c>
      <c r="F7065">
        <v>129.30000000000001</v>
      </c>
      <c r="G7065" t="str">
        <f>VLOOKUP(Table1_2[[#This Row],[Categories]],Sheet3!$A$1:$B$27,2,FALSE)</f>
        <v>Transport and communication</v>
      </c>
    </row>
    <row r="7066" spans="1:7" x14ac:dyDescent="0.3">
      <c r="A7066" t="s">
        <v>33</v>
      </c>
      <c r="B7066">
        <v>2020</v>
      </c>
      <c r="C7066" t="s">
        <v>40</v>
      </c>
      <c r="D7066" s="2">
        <v>44013</v>
      </c>
      <c r="E7066" t="s">
        <v>25</v>
      </c>
      <c r="F7066">
        <v>144.5</v>
      </c>
      <c r="G7066" t="str">
        <f>VLOOKUP(Table1_2[[#This Row],[Categories]],Sheet3!$A$1:$B$27,2,FALSE)</f>
        <v>Recreation and amusement</v>
      </c>
    </row>
    <row r="7067" spans="1:7" x14ac:dyDescent="0.3">
      <c r="A7067" t="s">
        <v>33</v>
      </c>
      <c r="B7067">
        <v>2020</v>
      </c>
      <c r="C7067" t="s">
        <v>40</v>
      </c>
      <c r="D7067" s="2">
        <v>44013</v>
      </c>
      <c r="E7067" t="s">
        <v>26</v>
      </c>
      <c r="F7067">
        <v>152.5</v>
      </c>
      <c r="G7067" t="str">
        <f>VLOOKUP(Table1_2[[#This Row],[Categories]],Sheet3!$A$1:$B$27,2,FALSE)</f>
        <v>Education</v>
      </c>
    </row>
    <row r="7068" spans="1:7" x14ac:dyDescent="0.3">
      <c r="A7068" t="s">
        <v>33</v>
      </c>
      <c r="B7068">
        <v>2020</v>
      </c>
      <c r="C7068" t="s">
        <v>40</v>
      </c>
      <c r="D7068" s="2">
        <v>44013</v>
      </c>
      <c r="E7068" t="s">
        <v>27</v>
      </c>
      <c r="F7068">
        <v>152.19999999999999</v>
      </c>
      <c r="G7068" t="str">
        <f>VLOOKUP(Table1_2[[#This Row],[Categories]],Sheet3!$A$1:$B$27,2,FALSE)</f>
        <v>Household Items</v>
      </c>
    </row>
    <row r="7069" spans="1:7" x14ac:dyDescent="0.3">
      <c r="A7069" t="s">
        <v>33</v>
      </c>
      <c r="B7069">
        <v>2020</v>
      </c>
      <c r="C7069" t="s">
        <v>40</v>
      </c>
      <c r="D7069" s="2">
        <v>44013</v>
      </c>
      <c r="E7069" t="s">
        <v>28</v>
      </c>
      <c r="F7069">
        <v>142</v>
      </c>
      <c r="G7069" t="str">
        <f>VLOOKUP(Table1_2[[#This Row],[Categories]],Sheet3!$A$1:$B$27,2,FALSE)</f>
        <v>Miscellaneous</v>
      </c>
    </row>
    <row r="7070" spans="1:7" x14ac:dyDescent="0.3">
      <c r="A7070" t="s">
        <v>33</v>
      </c>
      <c r="B7070">
        <v>2020</v>
      </c>
      <c r="C7070" t="s">
        <v>40</v>
      </c>
      <c r="D7070" s="2">
        <v>44013</v>
      </c>
      <c r="E7070" t="s">
        <v>29</v>
      </c>
      <c r="F7070">
        <v>150.80000000000001</v>
      </c>
      <c r="G7070" t="str">
        <f>VLOOKUP(Table1_2[[#This Row],[Categories]],Sheet3!$A$1:$B$27,2,FALSE)</f>
        <v>General index</v>
      </c>
    </row>
    <row r="7071" spans="1:7" x14ac:dyDescent="0.3">
      <c r="A7071" t="s">
        <v>34</v>
      </c>
      <c r="B7071">
        <v>2020</v>
      </c>
      <c r="C7071" t="s">
        <v>40</v>
      </c>
      <c r="D7071" s="2">
        <v>44013</v>
      </c>
      <c r="E7071" t="s">
        <v>3</v>
      </c>
      <c r="F7071">
        <v>149.6</v>
      </c>
      <c r="G7071" t="str">
        <f>VLOOKUP(Table1_2[[#This Row],[Categories]],Sheet3!$A$1:$B$27,2,FALSE)</f>
        <v>Food &amp;Beverage</v>
      </c>
    </row>
    <row r="7072" spans="1:7" x14ac:dyDescent="0.3">
      <c r="A7072" t="s">
        <v>34</v>
      </c>
      <c r="B7072">
        <v>2020</v>
      </c>
      <c r="C7072" t="s">
        <v>40</v>
      </c>
      <c r="D7072" s="2">
        <v>44013</v>
      </c>
      <c r="E7072" t="s">
        <v>4</v>
      </c>
      <c r="F7072">
        <v>192.7</v>
      </c>
      <c r="G7072" t="str">
        <f>VLOOKUP(Table1_2[[#This Row],[Categories]],Sheet3!$A$1:$B$27,2,FALSE)</f>
        <v>Food &amp;Beverage</v>
      </c>
    </row>
    <row r="7073" spans="1:7" x14ac:dyDescent="0.3">
      <c r="A7073" t="s">
        <v>34</v>
      </c>
      <c r="B7073">
        <v>2020</v>
      </c>
      <c r="C7073" t="s">
        <v>40</v>
      </c>
      <c r="D7073" s="2">
        <v>44013</v>
      </c>
      <c r="E7073" t="s">
        <v>5</v>
      </c>
      <c r="F7073">
        <v>151.4</v>
      </c>
      <c r="G7073" t="str">
        <f>VLOOKUP(Table1_2[[#This Row],[Categories]],Sheet3!$A$1:$B$27,2,FALSE)</f>
        <v>Food &amp;Beverage</v>
      </c>
    </row>
    <row r="7074" spans="1:7" x14ac:dyDescent="0.3">
      <c r="A7074" t="s">
        <v>34</v>
      </c>
      <c r="B7074">
        <v>2020</v>
      </c>
      <c r="C7074" t="s">
        <v>40</v>
      </c>
      <c r="D7074" s="2">
        <v>44013</v>
      </c>
      <c r="E7074" t="s">
        <v>6</v>
      </c>
      <c r="F7074">
        <v>153.30000000000001</v>
      </c>
      <c r="G7074" t="str">
        <f>VLOOKUP(Table1_2[[#This Row],[Categories]],Sheet3!$A$1:$B$27,2,FALSE)</f>
        <v>Food &amp;Beverage</v>
      </c>
    </row>
    <row r="7075" spans="1:7" x14ac:dyDescent="0.3">
      <c r="A7075" t="s">
        <v>34</v>
      </c>
      <c r="B7075">
        <v>2020</v>
      </c>
      <c r="C7075" t="s">
        <v>40</v>
      </c>
      <c r="D7075" s="2">
        <v>44013</v>
      </c>
      <c r="E7075" t="s">
        <v>7</v>
      </c>
      <c r="F7075">
        <v>136.30000000000001</v>
      </c>
      <c r="G7075" t="str">
        <f>VLOOKUP(Table1_2[[#This Row],[Categories]],Sheet3!$A$1:$B$27,2,FALSE)</f>
        <v>Food &amp;Beverage</v>
      </c>
    </row>
    <row r="7076" spans="1:7" x14ac:dyDescent="0.3">
      <c r="A7076" t="s">
        <v>34</v>
      </c>
      <c r="B7076">
        <v>2020</v>
      </c>
      <c r="C7076" t="s">
        <v>40</v>
      </c>
      <c r="D7076" s="2">
        <v>44013</v>
      </c>
      <c r="E7076" t="s">
        <v>8</v>
      </c>
      <c r="F7076">
        <v>147.19999999999999</v>
      </c>
      <c r="G7076" t="str">
        <f>VLOOKUP(Table1_2[[#This Row],[Categories]],Sheet3!$A$1:$B$27,2,FALSE)</f>
        <v>Food &amp;Beverage</v>
      </c>
    </row>
    <row r="7077" spans="1:7" x14ac:dyDescent="0.3">
      <c r="A7077" t="s">
        <v>34</v>
      </c>
      <c r="B7077">
        <v>2020</v>
      </c>
      <c r="C7077" t="s">
        <v>40</v>
      </c>
      <c r="D7077" s="2">
        <v>44013</v>
      </c>
      <c r="E7077" t="s">
        <v>9</v>
      </c>
      <c r="F7077">
        <v>156.5</v>
      </c>
      <c r="G7077" t="str">
        <f>VLOOKUP(Table1_2[[#This Row],[Categories]],Sheet3!$A$1:$B$27,2,FALSE)</f>
        <v>Food &amp;Beverage</v>
      </c>
    </row>
    <row r="7078" spans="1:7" x14ac:dyDescent="0.3">
      <c r="A7078" t="s">
        <v>34</v>
      </c>
      <c r="B7078">
        <v>2020</v>
      </c>
      <c r="C7078" t="s">
        <v>40</v>
      </c>
      <c r="D7078" s="2">
        <v>44013</v>
      </c>
      <c r="E7078" t="s">
        <v>10</v>
      </c>
      <c r="F7078">
        <v>150.9</v>
      </c>
      <c r="G7078" t="str">
        <f>VLOOKUP(Table1_2[[#This Row],[Categories]],Sheet3!$A$1:$B$27,2,FALSE)</f>
        <v>Food &amp;Beverage</v>
      </c>
    </row>
    <row r="7079" spans="1:7" x14ac:dyDescent="0.3">
      <c r="A7079" t="s">
        <v>34</v>
      </c>
      <c r="B7079">
        <v>2020</v>
      </c>
      <c r="C7079" t="s">
        <v>40</v>
      </c>
      <c r="D7079" s="2">
        <v>44013</v>
      </c>
      <c r="E7079" t="s">
        <v>11</v>
      </c>
      <c r="F7079">
        <v>114.2</v>
      </c>
      <c r="G7079" t="str">
        <f>VLOOKUP(Table1_2[[#This Row],[Categories]],Sheet3!$A$1:$B$27,2,FALSE)</f>
        <v>Food &amp;Beverage</v>
      </c>
    </row>
    <row r="7080" spans="1:7" x14ac:dyDescent="0.3">
      <c r="A7080" t="s">
        <v>34</v>
      </c>
      <c r="B7080">
        <v>2020</v>
      </c>
      <c r="C7080" t="s">
        <v>40</v>
      </c>
      <c r="D7080" s="2">
        <v>44013</v>
      </c>
      <c r="E7080" t="s">
        <v>12</v>
      </c>
      <c r="F7080">
        <v>159.5</v>
      </c>
      <c r="G7080" t="str">
        <f>VLOOKUP(Table1_2[[#This Row],[Categories]],Sheet3!$A$1:$B$27,2,FALSE)</f>
        <v>Food &amp;Beverage</v>
      </c>
    </row>
    <row r="7081" spans="1:7" x14ac:dyDescent="0.3">
      <c r="A7081" t="s">
        <v>34</v>
      </c>
      <c r="B7081">
        <v>2020</v>
      </c>
      <c r="C7081" t="s">
        <v>40</v>
      </c>
      <c r="D7081" s="2">
        <v>44013</v>
      </c>
      <c r="E7081" t="s">
        <v>13</v>
      </c>
      <c r="F7081">
        <v>139.4</v>
      </c>
      <c r="G7081" t="str">
        <f>VLOOKUP(Table1_2[[#This Row],[Categories]],Sheet3!$A$1:$B$27,2,FALSE)</f>
        <v>Food &amp;Beverage</v>
      </c>
    </row>
    <row r="7082" spans="1:7" x14ac:dyDescent="0.3">
      <c r="A7082" t="s">
        <v>34</v>
      </c>
      <c r="B7082">
        <v>2020</v>
      </c>
      <c r="C7082" t="s">
        <v>40</v>
      </c>
      <c r="D7082" s="2">
        <v>44013</v>
      </c>
      <c r="E7082" t="s">
        <v>14</v>
      </c>
      <c r="F7082">
        <v>161.80000000000001</v>
      </c>
      <c r="G7082" t="str">
        <f>VLOOKUP(Table1_2[[#This Row],[Categories]],Sheet3!$A$1:$B$27,2,FALSE)</f>
        <v>Food &amp;Beverage</v>
      </c>
    </row>
    <row r="7083" spans="1:7" x14ac:dyDescent="0.3">
      <c r="A7083" t="s">
        <v>34</v>
      </c>
      <c r="B7083">
        <v>2020</v>
      </c>
      <c r="C7083" t="s">
        <v>40</v>
      </c>
      <c r="D7083" s="2">
        <v>44013</v>
      </c>
      <c r="E7083" t="s">
        <v>15</v>
      </c>
      <c r="F7083">
        <v>154</v>
      </c>
      <c r="G7083" t="str">
        <f>VLOOKUP(Table1_2[[#This Row],[Categories]],Sheet3!$A$1:$B$27,2,FALSE)</f>
        <v>Food &amp;Beverage</v>
      </c>
    </row>
    <row r="7084" spans="1:7" x14ac:dyDescent="0.3">
      <c r="A7084" t="s">
        <v>34</v>
      </c>
      <c r="B7084">
        <v>2020</v>
      </c>
      <c r="C7084" t="s">
        <v>40</v>
      </c>
      <c r="D7084" s="2">
        <v>44013</v>
      </c>
      <c r="E7084" t="s">
        <v>16</v>
      </c>
      <c r="F7084">
        <v>183.5</v>
      </c>
      <c r="G7084" t="str">
        <f>VLOOKUP(Table1_2[[#This Row],[Categories]],Sheet3!$A$1:$B$27,2,FALSE)</f>
        <v>Recreation and amusement</v>
      </c>
    </row>
    <row r="7085" spans="1:7" x14ac:dyDescent="0.3">
      <c r="A7085" t="s">
        <v>34</v>
      </c>
      <c r="B7085">
        <v>2020</v>
      </c>
      <c r="C7085" t="s">
        <v>40</v>
      </c>
      <c r="D7085" s="2">
        <v>44013</v>
      </c>
      <c r="E7085" t="s">
        <v>17</v>
      </c>
      <c r="F7085">
        <v>152.5</v>
      </c>
      <c r="G7085" t="str">
        <f>VLOOKUP(Table1_2[[#This Row],[Categories]],Sheet3!$A$1:$B$27,2,FALSE)</f>
        <v>Clothing and footwear</v>
      </c>
    </row>
    <row r="7086" spans="1:7" x14ac:dyDescent="0.3">
      <c r="A7086" t="s">
        <v>34</v>
      </c>
      <c r="B7086">
        <v>2020</v>
      </c>
      <c r="C7086" t="s">
        <v>40</v>
      </c>
      <c r="D7086" s="2">
        <v>44013</v>
      </c>
      <c r="E7086" t="s">
        <v>18</v>
      </c>
      <c r="F7086">
        <v>144.4</v>
      </c>
      <c r="G7086" t="str">
        <f>VLOOKUP(Table1_2[[#This Row],[Categories]],Sheet3!$A$1:$B$27,2,FALSE)</f>
        <v>Clothing and footwear</v>
      </c>
    </row>
    <row r="7087" spans="1:7" x14ac:dyDescent="0.3">
      <c r="A7087" t="s">
        <v>34</v>
      </c>
      <c r="B7087">
        <v>2020</v>
      </c>
      <c r="C7087" t="s">
        <v>40</v>
      </c>
      <c r="D7087" s="2">
        <v>44013</v>
      </c>
      <c r="E7087" t="s">
        <v>19</v>
      </c>
      <c r="F7087">
        <v>151.4</v>
      </c>
      <c r="G7087" t="str">
        <f>VLOOKUP(Table1_2[[#This Row],[Categories]],Sheet3!$A$1:$B$27,2,FALSE)</f>
        <v>Clothing and footwear</v>
      </c>
    </row>
    <row r="7088" spans="1:7" x14ac:dyDescent="0.3">
      <c r="A7088" t="s">
        <v>34</v>
      </c>
      <c r="B7088">
        <v>2020</v>
      </c>
      <c r="C7088" t="s">
        <v>40</v>
      </c>
      <c r="D7088" s="2">
        <v>44013</v>
      </c>
      <c r="E7088" t="s">
        <v>20</v>
      </c>
      <c r="F7088">
        <v>154.69999999999999</v>
      </c>
      <c r="G7088" t="str">
        <f>VLOOKUP(Table1_2[[#This Row],[Categories]],Sheet3!$A$1:$B$27,2,FALSE)</f>
        <v>Housing</v>
      </c>
    </row>
    <row r="7089" spans="1:7" x14ac:dyDescent="0.3">
      <c r="A7089" t="s">
        <v>34</v>
      </c>
      <c r="B7089">
        <v>2020</v>
      </c>
      <c r="C7089" t="s">
        <v>40</v>
      </c>
      <c r="D7089" s="2">
        <v>44013</v>
      </c>
      <c r="E7089" t="s">
        <v>21</v>
      </c>
      <c r="F7089">
        <v>141.9</v>
      </c>
      <c r="G7089" t="str">
        <f>VLOOKUP(Table1_2[[#This Row],[Categories]],Sheet3!$A$1:$B$27,2,FALSE)</f>
        <v>Fuel and light</v>
      </c>
    </row>
    <row r="7090" spans="1:7" x14ac:dyDescent="0.3">
      <c r="A7090" t="s">
        <v>34</v>
      </c>
      <c r="B7090">
        <v>2020</v>
      </c>
      <c r="C7090" t="s">
        <v>40</v>
      </c>
      <c r="D7090" s="2">
        <v>44013</v>
      </c>
      <c r="E7090" t="s">
        <v>22</v>
      </c>
      <c r="F7090">
        <v>146.4</v>
      </c>
      <c r="G7090" t="str">
        <f>VLOOKUP(Table1_2[[#This Row],[Categories]],Sheet3!$A$1:$B$27,2,FALSE)</f>
        <v>Household Items</v>
      </c>
    </row>
    <row r="7091" spans="1:7" x14ac:dyDescent="0.3">
      <c r="A7091" t="s">
        <v>34</v>
      </c>
      <c r="B7091">
        <v>2020</v>
      </c>
      <c r="C7091" t="s">
        <v>40</v>
      </c>
      <c r="D7091" s="2">
        <v>44013</v>
      </c>
      <c r="E7091" t="s">
        <v>23</v>
      </c>
      <c r="F7091">
        <v>154.4</v>
      </c>
      <c r="G7091" t="str">
        <f>VLOOKUP(Table1_2[[#This Row],[Categories]],Sheet3!$A$1:$B$27,2,FALSE)</f>
        <v>Health</v>
      </c>
    </row>
    <row r="7092" spans="1:7" x14ac:dyDescent="0.3">
      <c r="A7092" t="s">
        <v>34</v>
      </c>
      <c r="B7092">
        <v>2020</v>
      </c>
      <c r="C7092" t="s">
        <v>40</v>
      </c>
      <c r="D7092" s="2">
        <v>44013</v>
      </c>
      <c r="E7092" t="s">
        <v>24</v>
      </c>
      <c r="F7092">
        <v>135</v>
      </c>
      <c r="G7092" t="str">
        <f>VLOOKUP(Table1_2[[#This Row],[Categories]],Sheet3!$A$1:$B$27,2,FALSE)</f>
        <v>Transport and communication</v>
      </c>
    </row>
    <row r="7093" spans="1:7" x14ac:dyDescent="0.3">
      <c r="A7093" t="s">
        <v>34</v>
      </c>
      <c r="B7093">
        <v>2020</v>
      </c>
      <c r="C7093" t="s">
        <v>40</v>
      </c>
      <c r="D7093" s="2">
        <v>44013</v>
      </c>
      <c r="E7093" t="s">
        <v>25</v>
      </c>
      <c r="F7093">
        <v>148.30000000000001</v>
      </c>
      <c r="G7093" t="str">
        <f>VLOOKUP(Table1_2[[#This Row],[Categories]],Sheet3!$A$1:$B$27,2,FALSE)</f>
        <v>Recreation and amusement</v>
      </c>
    </row>
    <row r="7094" spans="1:7" x14ac:dyDescent="0.3">
      <c r="A7094" t="s">
        <v>34</v>
      </c>
      <c r="B7094">
        <v>2020</v>
      </c>
      <c r="C7094" t="s">
        <v>40</v>
      </c>
      <c r="D7094" s="2">
        <v>44013</v>
      </c>
      <c r="E7094" t="s">
        <v>26</v>
      </c>
      <c r="F7094">
        <v>156.4</v>
      </c>
      <c r="G7094" t="str">
        <f>VLOOKUP(Table1_2[[#This Row],[Categories]],Sheet3!$A$1:$B$27,2,FALSE)</f>
        <v>Education</v>
      </c>
    </row>
    <row r="7095" spans="1:7" x14ac:dyDescent="0.3">
      <c r="A7095" t="s">
        <v>34</v>
      </c>
      <c r="B7095">
        <v>2020</v>
      </c>
      <c r="C7095" t="s">
        <v>40</v>
      </c>
      <c r="D7095" s="2">
        <v>44013</v>
      </c>
      <c r="E7095" t="s">
        <v>27</v>
      </c>
      <c r="F7095">
        <v>151.6</v>
      </c>
      <c r="G7095" t="str">
        <f>VLOOKUP(Table1_2[[#This Row],[Categories]],Sheet3!$A$1:$B$27,2,FALSE)</f>
        <v>Household Items</v>
      </c>
    </row>
    <row r="7096" spans="1:7" x14ac:dyDescent="0.3">
      <c r="A7096" t="s">
        <v>34</v>
      </c>
      <c r="B7096">
        <v>2020</v>
      </c>
      <c r="C7096" t="s">
        <v>40</v>
      </c>
      <c r="D7096" s="2">
        <v>44013</v>
      </c>
      <c r="E7096" t="s">
        <v>28</v>
      </c>
      <c r="F7096">
        <v>147</v>
      </c>
      <c r="G7096" t="str">
        <f>VLOOKUP(Table1_2[[#This Row],[Categories]],Sheet3!$A$1:$B$27,2,FALSE)</f>
        <v>Miscellaneous</v>
      </c>
    </row>
    <row r="7097" spans="1:7" x14ac:dyDescent="0.3">
      <c r="A7097" t="s">
        <v>34</v>
      </c>
      <c r="B7097">
        <v>2020</v>
      </c>
      <c r="C7097" t="s">
        <v>40</v>
      </c>
      <c r="D7097" s="2">
        <v>44013</v>
      </c>
      <c r="E7097" t="s">
        <v>29</v>
      </c>
      <c r="F7097">
        <v>151.80000000000001</v>
      </c>
      <c r="G7097" t="str">
        <f>VLOOKUP(Table1_2[[#This Row],[Categories]],Sheet3!$A$1:$B$27,2,FALSE)</f>
        <v>General index</v>
      </c>
    </row>
    <row r="7098" spans="1:7" x14ac:dyDescent="0.3">
      <c r="A7098" t="s">
        <v>30</v>
      </c>
      <c r="B7098">
        <v>2020</v>
      </c>
      <c r="C7098" t="s">
        <v>41</v>
      </c>
      <c r="D7098" s="2">
        <v>44044</v>
      </c>
      <c r="E7098" t="s">
        <v>3</v>
      </c>
      <c r="F7098">
        <v>147.6</v>
      </c>
      <c r="G7098" t="str">
        <f>VLOOKUP(Table1_2[[#This Row],[Categories]],Sheet3!$A$1:$B$27,2,FALSE)</f>
        <v>Food &amp;Beverage</v>
      </c>
    </row>
    <row r="7099" spans="1:7" x14ac:dyDescent="0.3">
      <c r="A7099" t="s">
        <v>30</v>
      </c>
      <c r="B7099">
        <v>2020</v>
      </c>
      <c r="C7099" t="s">
        <v>41</v>
      </c>
      <c r="D7099" s="2">
        <v>44044</v>
      </c>
      <c r="E7099" t="s">
        <v>4</v>
      </c>
      <c r="F7099">
        <v>187.2</v>
      </c>
      <c r="G7099" t="str">
        <f>VLOOKUP(Table1_2[[#This Row],[Categories]],Sheet3!$A$1:$B$27,2,FALSE)</f>
        <v>Food &amp;Beverage</v>
      </c>
    </row>
    <row r="7100" spans="1:7" x14ac:dyDescent="0.3">
      <c r="A7100" t="s">
        <v>30</v>
      </c>
      <c r="B7100">
        <v>2020</v>
      </c>
      <c r="C7100" t="s">
        <v>41</v>
      </c>
      <c r="D7100" s="2">
        <v>44044</v>
      </c>
      <c r="E7100" t="s">
        <v>5</v>
      </c>
      <c r="F7100">
        <v>148.4</v>
      </c>
      <c r="G7100" t="str">
        <f>VLOOKUP(Table1_2[[#This Row],[Categories]],Sheet3!$A$1:$B$27,2,FALSE)</f>
        <v>Food &amp;Beverage</v>
      </c>
    </row>
    <row r="7101" spans="1:7" x14ac:dyDescent="0.3">
      <c r="A7101" t="s">
        <v>30</v>
      </c>
      <c r="B7101">
        <v>2020</v>
      </c>
      <c r="C7101" t="s">
        <v>41</v>
      </c>
      <c r="D7101" s="2">
        <v>44044</v>
      </c>
      <c r="E7101" t="s">
        <v>6</v>
      </c>
      <c r="F7101">
        <v>153.30000000000001</v>
      </c>
      <c r="G7101" t="str">
        <f>VLOOKUP(Table1_2[[#This Row],[Categories]],Sheet3!$A$1:$B$27,2,FALSE)</f>
        <v>Food &amp;Beverage</v>
      </c>
    </row>
    <row r="7102" spans="1:7" x14ac:dyDescent="0.3">
      <c r="A7102" t="s">
        <v>30</v>
      </c>
      <c r="B7102">
        <v>2020</v>
      </c>
      <c r="C7102" t="s">
        <v>41</v>
      </c>
      <c r="D7102" s="2">
        <v>44044</v>
      </c>
      <c r="E7102" t="s">
        <v>7</v>
      </c>
      <c r="F7102">
        <v>139.80000000000001</v>
      </c>
      <c r="G7102" t="str">
        <f>VLOOKUP(Table1_2[[#This Row],[Categories]],Sheet3!$A$1:$B$27,2,FALSE)</f>
        <v>Food &amp;Beverage</v>
      </c>
    </row>
    <row r="7103" spans="1:7" x14ac:dyDescent="0.3">
      <c r="A7103" t="s">
        <v>30</v>
      </c>
      <c r="B7103">
        <v>2020</v>
      </c>
      <c r="C7103" t="s">
        <v>41</v>
      </c>
      <c r="D7103" s="2">
        <v>44044</v>
      </c>
      <c r="E7103" t="s">
        <v>8</v>
      </c>
      <c r="F7103">
        <v>146.9</v>
      </c>
      <c r="G7103" t="str">
        <f>VLOOKUP(Table1_2[[#This Row],[Categories]],Sheet3!$A$1:$B$27,2,FALSE)</f>
        <v>Food &amp;Beverage</v>
      </c>
    </row>
    <row r="7104" spans="1:7" x14ac:dyDescent="0.3">
      <c r="A7104" t="s">
        <v>30</v>
      </c>
      <c r="B7104">
        <v>2020</v>
      </c>
      <c r="C7104" t="s">
        <v>41</v>
      </c>
      <c r="D7104" s="2">
        <v>44044</v>
      </c>
      <c r="E7104" t="s">
        <v>9</v>
      </c>
      <c r="F7104">
        <v>171</v>
      </c>
      <c r="G7104" t="str">
        <f>VLOOKUP(Table1_2[[#This Row],[Categories]],Sheet3!$A$1:$B$27,2,FALSE)</f>
        <v>Food &amp;Beverage</v>
      </c>
    </row>
    <row r="7105" spans="1:7" x14ac:dyDescent="0.3">
      <c r="A7105" t="s">
        <v>30</v>
      </c>
      <c r="B7105">
        <v>2020</v>
      </c>
      <c r="C7105" t="s">
        <v>41</v>
      </c>
      <c r="D7105" s="2">
        <v>44044</v>
      </c>
      <c r="E7105" t="s">
        <v>10</v>
      </c>
      <c r="F7105">
        <v>149.9</v>
      </c>
      <c r="G7105" t="str">
        <f>VLOOKUP(Table1_2[[#This Row],[Categories]],Sheet3!$A$1:$B$27,2,FALSE)</f>
        <v>Food &amp;Beverage</v>
      </c>
    </row>
    <row r="7106" spans="1:7" x14ac:dyDescent="0.3">
      <c r="A7106" t="s">
        <v>30</v>
      </c>
      <c r="B7106">
        <v>2020</v>
      </c>
      <c r="C7106" t="s">
        <v>41</v>
      </c>
      <c r="D7106" s="2">
        <v>44044</v>
      </c>
      <c r="E7106" t="s">
        <v>11</v>
      </c>
      <c r="F7106">
        <v>114.2</v>
      </c>
      <c r="G7106" t="str">
        <f>VLOOKUP(Table1_2[[#This Row],[Categories]],Sheet3!$A$1:$B$27,2,FALSE)</f>
        <v>Food &amp;Beverage</v>
      </c>
    </row>
    <row r="7107" spans="1:7" x14ac:dyDescent="0.3">
      <c r="A7107" t="s">
        <v>30</v>
      </c>
      <c r="B7107">
        <v>2020</v>
      </c>
      <c r="C7107" t="s">
        <v>41</v>
      </c>
      <c r="D7107" s="2">
        <v>44044</v>
      </c>
      <c r="E7107" t="s">
        <v>12</v>
      </c>
      <c r="F7107">
        <v>160</v>
      </c>
      <c r="G7107" t="str">
        <f>VLOOKUP(Table1_2[[#This Row],[Categories]],Sheet3!$A$1:$B$27,2,FALSE)</f>
        <v>Food &amp;Beverage</v>
      </c>
    </row>
    <row r="7108" spans="1:7" x14ac:dyDescent="0.3">
      <c r="A7108" t="s">
        <v>30</v>
      </c>
      <c r="B7108">
        <v>2020</v>
      </c>
      <c r="C7108" t="s">
        <v>41</v>
      </c>
      <c r="D7108" s="2">
        <v>44044</v>
      </c>
      <c r="E7108" t="s">
        <v>13</v>
      </c>
      <c r="F7108">
        <v>143.5</v>
      </c>
      <c r="G7108" t="str">
        <f>VLOOKUP(Table1_2[[#This Row],[Categories]],Sheet3!$A$1:$B$27,2,FALSE)</f>
        <v>Food &amp;Beverage</v>
      </c>
    </row>
    <row r="7109" spans="1:7" x14ac:dyDescent="0.3">
      <c r="A7109" t="s">
        <v>30</v>
      </c>
      <c r="B7109">
        <v>2020</v>
      </c>
      <c r="C7109" t="s">
        <v>41</v>
      </c>
      <c r="D7109" s="2">
        <v>44044</v>
      </c>
      <c r="E7109" t="s">
        <v>14</v>
      </c>
      <c r="F7109">
        <v>161.5</v>
      </c>
      <c r="G7109" t="str">
        <f>VLOOKUP(Table1_2[[#This Row],[Categories]],Sheet3!$A$1:$B$27,2,FALSE)</f>
        <v>Food &amp;Beverage</v>
      </c>
    </row>
    <row r="7110" spans="1:7" x14ac:dyDescent="0.3">
      <c r="A7110" t="s">
        <v>30</v>
      </c>
      <c r="B7110">
        <v>2020</v>
      </c>
      <c r="C7110" t="s">
        <v>41</v>
      </c>
      <c r="D7110" s="2">
        <v>44044</v>
      </c>
      <c r="E7110" t="s">
        <v>15</v>
      </c>
      <c r="F7110">
        <v>155.30000000000001</v>
      </c>
      <c r="G7110" t="str">
        <f>VLOOKUP(Table1_2[[#This Row],[Categories]],Sheet3!$A$1:$B$27,2,FALSE)</f>
        <v>Food &amp;Beverage</v>
      </c>
    </row>
    <row r="7111" spans="1:7" x14ac:dyDescent="0.3">
      <c r="A7111" t="s">
        <v>30</v>
      </c>
      <c r="B7111">
        <v>2020</v>
      </c>
      <c r="C7111" t="s">
        <v>41</v>
      </c>
      <c r="D7111" s="2">
        <v>44044</v>
      </c>
      <c r="E7111" t="s">
        <v>16</v>
      </c>
      <c r="F7111">
        <v>180.9</v>
      </c>
      <c r="G7111" t="str">
        <f>VLOOKUP(Table1_2[[#This Row],[Categories]],Sheet3!$A$1:$B$27,2,FALSE)</f>
        <v>Recreation and amusement</v>
      </c>
    </row>
    <row r="7112" spans="1:7" x14ac:dyDescent="0.3">
      <c r="A7112" t="s">
        <v>30</v>
      </c>
      <c r="B7112">
        <v>2020</v>
      </c>
      <c r="C7112" t="s">
        <v>41</v>
      </c>
      <c r="D7112" s="2">
        <v>44044</v>
      </c>
      <c r="E7112" t="s">
        <v>17</v>
      </c>
      <c r="F7112">
        <v>155.1</v>
      </c>
      <c r="G7112" t="str">
        <f>VLOOKUP(Table1_2[[#This Row],[Categories]],Sheet3!$A$1:$B$27,2,FALSE)</f>
        <v>Clothing and footwear</v>
      </c>
    </row>
    <row r="7113" spans="1:7" x14ac:dyDescent="0.3">
      <c r="A7113" t="s">
        <v>30</v>
      </c>
      <c r="B7113">
        <v>2020</v>
      </c>
      <c r="C7113" t="s">
        <v>41</v>
      </c>
      <c r="D7113" s="2">
        <v>44044</v>
      </c>
      <c r="E7113" t="s">
        <v>18</v>
      </c>
      <c r="F7113">
        <v>149.30000000000001</v>
      </c>
      <c r="G7113" t="str">
        <f>VLOOKUP(Table1_2[[#This Row],[Categories]],Sheet3!$A$1:$B$27,2,FALSE)</f>
        <v>Clothing and footwear</v>
      </c>
    </row>
    <row r="7114" spans="1:7" x14ac:dyDescent="0.3">
      <c r="A7114" t="s">
        <v>30</v>
      </c>
      <c r="B7114">
        <v>2020</v>
      </c>
      <c r="C7114" t="s">
        <v>41</v>
      </c>
      <c r="D7114" s="2">
        <v>44044</v>
      </c>
      <c r="E7114" t="s">
        <v>19</v>
      </c>
      <c r="F7114">
        <v>154.30000000000001</v>
      </c>
      <c r="G7114" t="str">
        <f>VLOOKUP(Table1_2[[#This Row],[Categories]],Sheet3!$A$1:$B$27,2,FALSE)</f>
        <v>Clothing and footwear</v>
      </c>
    </row>
    <row r="7115" spans="1:7" x14ac:dyDescent="0.3">
      <c r="A7115" t="s">
        <v>30</v>
      </c>
      <c r="B7115">
        <v>2020</v>
      </c>
      <c r="C7115" t="s">
        <v>41</v>
      </c>
      <c r="D7115" s="2">
        <v>44044</v>
      </c>
      <c r="E7115" t="s">
        <v>21</v>
      </c>
      <c r="F7115">
        <v>145.80000000000001</v>
      </c>
      <c r="G7115" t="str">
        <f>VLOOKUP(Table1_2[[#This Row],[Categories]],Sheet3!$A$1:$B$27,2,FALSE)</f>
        <v>Fuel and light</v>
      </c>
    </row>
    <row r="7116" spans="1:7" x14ac:dyDescent="0.3">
      <c r="A7116" t="s">
        <v>30</v>
      </c>
      <c r="B7116">
        <v>2020</v>
      </c>
      <c r="C7116" t="s">
        <v>41</v>
      </c>
      <c r="D7116" s="2">
        <v>44044</v>
      </c>
      <c r="E7116" t="s">
        <v>22</v>
      </c>
      <c r="F7116">
        <v>151.9</v>
      </c>
      <c r="G7116" t="str">
        <f>VLOOKUP(Table1_2[[#This Row],[Categories]],Sheet3!$A$1:$B$27,2,FALSE)</f>
        <v>Household Items</v>
      </c>
    </row>
    <row r="7117" spans="1:7" x14ac:dyDescent="0.3">
      <c r="A7117" t="s">
        <v>30</v>
      </c>
      <c r="B7117">
        <v>2020</v>
      </c>
      <c r="C7117" t="s">
        <v>41</v>
      </c>
      <c r="D7117" s="2">
        <v>44044</v>
      </c>
      <c r="E7117" t="s">
        <v>23</v>
      </c>
      <c r="F7117">
        <v>158.80000000000001</v>
      </c>
      <c r="G7117" t="str">
        <f>VLOOKUP(Table1_2[[#This Row],[Categories]],Sheet3!$A$1:$B$27,2,FALSE)</f>
        <v>Health</v>
      </c>
    </row>
    <row r="7118" spans="1:7" x14ac:dyDescent="0.3">
      <c r="A7118" t="s">
        <v>30</v>
      </c>
      <c r="B7118">
        <v>2020</v>
      </c>
      <c r="C7118" t="s">
        <v>41</v>
      </c>
      <c r="D7118" s="2">
        <v>44044</v>
      </c>
      <c r="E7118" t="s">
        <v>24</v>
      </c>
      <c r="F7118">
        <v>143.6</v>
      </c>
      <c r="G7118" t="str">
        <f>VLOOKUP(Table1_2[[#This Row],[Categories]],Sheet3!$A$1:$B$27,2,FALSE)</f>
        <v>Transport and communication</v>
      </c>
    </row>
    <row r="7119" spans="1:7" x14ac:dyDescent="0.3">
      <c r="A7119" t="s">
        <v>30</v>
      </c>
      <c r="B7119">
        <v>2020</v>
      </c>
      <c r="C7119" t="s">
        <v>41</v>
      </c>
      <c r="D7119" s="2">
        <v>44044</v>
      </c>
      <c r="E7119" t="s">
        <v>25</v>
      </c>
      <c r="F7119">
        <v>152.19999999999999</v>
      </c>
      <c r="G7119" t="str">
        <f>VLOOKUP(Table1_2[[#This Row],[Categories]],Sheet3!$A$1:$B$27,2,FALSE)</f>
        <v>Recreation and amusement</v>
      </c>
    </row>
    <row r="7120" spans="1:7" x14ac:dyDescent="0.3">
      <c r="A7120" t="s">
        <v>30</v>
      </c>
      <c r="B7120">
        <v>2020</v>
      </c>
      <c r="C7120" t="s">
        <v>41</v>
      </c>
      <c r="D7120" s="2">
        <v>44044</v>
      </c>
      <c r="E7120" t="s">
        <v>26</v>
      </c>
      <c r="F7120">
        <v>162.69999999999999</v>
      </c>
      <c r="G7120" t="str">
        <f>VLOOKUP(Table1_2[[#This Row],[Categories]],Sheet3!$A$1:$B$27,2,FALSE)</f>
        <v>Education</v>
      </c>
    </row>
    <row r="7121" spans="1:7" x14ac:dyDescent="0.3">
      <c r="A7121" t="s">
        <v>30</v>
      </c>
      <c r="B7121">
        <v>2020</v>
      </c>
      <c r="C7121" t="s">
        <v>41</v>
      </c>
      <c r="D7121" s="2">
        <v>44044</v>
      </c>
      <c r="E7121" t="s">
        <v>27</v>
      </c>
      <c r="F7121">
        <v>153.6</v>
      </c>
      <c r="G7121" t="str">
        <f>VLOOKUP(Table1_2[[#This Row],[Categories]],Sheet3!$A$1:$B$27,2,FALSE)</f>
        <v>Household Items</v>
      </c>
    </row>
    <row r="7122" spans="1:7" x14ac:dyDescent="0.3">
      <c r="A7122" t="s">
        <v>30</v>
      </c>
      <c r="B7122">
        <v>2020</v>
      </c>
      <c r="C7122" t="s">
        <v>41</v>
      </c>
      <c r="D7122" s="2">
        <v>44044</v>
      </c>
      <c r="E7122" t="s">
        <v>28</v>
      </c>
      <c r="F7122">
        <v>153</v>
      </c>
      <c r="G7122" t="str">
        <f>VLOOKUP(Table1_2[[#This Row],[Categories]],Sheet3!$A$1:$B$27,2,FALSE)</f>
        <v>Miscellaneous</v>
      </c>
    </row>
    <row r="7123" spans="1:7" x14ac:dyDescent="0.3">
      <c r="A7123" t="s">
        <v>30</v>
      </c>
      <c r="B7123">
        <v>2020</v>
      </c>
      <c r="C7123" t="s">
        <v>41</v>
      </c>
      <c r="D7123" s="2">
        <v>44044</v>
      </c>
      <c r="E7123" t="s">
        <v>29</v>
      </c>
      <c r="F7123">
        <v>154.69999999999999</v>
      </c>
      <c r="G7123" t="str">
        <f>VLOOKUP(Table1_2[[#This Row],[Categories]],Sheet3!$A$1:$B$27,2,FALSE)</f>
        <v>General index</v>
      </c>
    </row>
    <row r="7124" spans="1:7" x14ac:dyDescent="0.3">
      <c r="A7124" t="s">
        <v>33</v>
      </c>
      <c r="B7124">
        <v>2020</v>
      </c>
      <c r="C7124" t="s">
        <v>41</v>
      </c>
      <c r="D7124" s="2">
        <v>44044</v>
      </c>
      <c r="E7124" t="s">
        <v>3</v>
      </c>
      <c r="F7124">
        <v>151.6</v>
      </c>
      <c r="G7124" t="str">
        <f>VLOOKUP(Table1_2[[#This Row],[Categories]],Sheet3!$A$1:$B$27,2,FALSE)</f>
        <v>Food &amp;Beverage</v>
      </c>
    </row>
    <row r="7125" spans="1:7" x14ac:dyDescent="0.3">
      <c r="A7125" t="s">
        <v>33</v>
      </c>
      <c r="B7125">
        <v>2020</v>
      </c>
      <c r="C7125" t="s">
        <v>41</v>
      </c>
      <c r="D7125" s="2">
        <v>44044</v>
      </c>
      <c r="E7125" t="s">
        <v>4</v>
      </c>
      <c r="F7125">
        <v>197.8</v>
      </c>
      <c r="G7125" t="str">
        <f>VLOOKUP(Table1_2[[#This Row],[Categories]],Sheet3!$A$1:$B$27,2,FALSE)</f>
        <v>Food &amp;Beverage</v>
      </c>
    </row>
    <row r="7126" spans="1:7" x14ac:dyDescent="0.3">
      <c r="A7126" t="s">
        <v>33</v>
      </c>
      <c r="B7126">
        <v>2020</v>
      </c>
      <c r="C7126" t="s">
        <v>41</v>
      </c>
      <c r="D7126" s="2">
        <v>44044</v>
      </c>
      <c r="E7126" t="s">
        <v>5</v>
      </c>
      <c r="F7126">
        <v>154.5</v>
      </c>
      <c r="G7126" t="str">
        <f>VLOOKUP(Table1_2[[#This Row],[Categories]],Sheet3!$A$1:$B$27,2,FALSE)</f>
        <v>Food &amp;Beverage</v>
      </c>
    </row>
    <row r="7127" spans="1:7" x14ac:dyDescent="0.3">
      <c r="A7127" t="s">
        <v>33</v>
      </c>
      <c r="B7127">
        <v>2020</v>
      </c>
      <c r="C7127" t="s">
        <v>41</v>
      </c>
      <c r="D7127" s="2">
        <v>44044</v>
      </c>
      <c r="E7127" t="s">
        <v>6</v>
      </c>
      <c r="F7127">
        <v>153.4</v>
      </c>
      <c r="G7127" t="str">
        <f>VLOOKUP(Table1_2[[#This Row],[Categories]],Sheet3!$A$1:$B$27,2,FALSE)</f>
        <v>Food &amp;Beverage</v>
      </c>
    </row>
    <row r="7128" spans="1:7" x14ac:dyDescent="0.3">
      <c r="A7128" t="s">
        <v>33</v>
      </c>
      <c r="B7128">
        <v>2020</v>
      </c>
      <c r="C7128" t="s">
        <v>41</v>
      </c>
      <c r="D7128" s="2">
        <v>44044</v>
      </c>
      <c r="E7128" t="s">
        <v>7</v>
      </c>
      <c r="F7128">
        <v>133.4</v>
      </c>
      <c r="G7128" t="str">
        <f>VLOOKUP(Table1_2[[#This Row],[Categories]],Sheet3!$A$1:$B$27,2,FALSE)</f>
        <v>Food &amp;Beverage</v>
      </c>
    </row>
    <row r="7129" spans="1:7" x14ac:dyDescent="0.3">
      <c r="A7129" t="s">
        <v>33</v>
      </c>
      <c r="B7129">
        <v>2020</v>
      </c>
      <c r="C7129" t="s">
        <v>41</v>
      </c>
      <c r="D7129" s="2">
        <v>44044</v>
      </c>
      <c r="E7129" t="s">
        <v>8</v>
      </c>
      <c r="F7129">
        <v>154.5</v>
      </c>
      <c r="G7129" t="str">
        <f>VLOOKUP(Table1_2[[#This Row],[Categories]],Sheet3!$A$1:$B$27,2,FALSE)</f>
        <v>Food &amp;Beverage</v>
      </c>
    </row>
    <row r="7130" spans="1:7" x14ac:dyDescent="0.3">
      <c r="A7130" t="s">
        <v>33</v>
      </c>
      <c r="B7130">
        <v>2020</v>
      </c>
      <c r="C7130" t="s">
        <v>41</v>
      </c>
      <c r="D7130" s="2">
        <v>44044</v>
      </c>
      <c r="E7130" t="s">
        <v>9</v>
      </c>
      <c r="F7130">
        <v>191.9</v>
      </c>
      <c r="G7130" t="str">
        <f>VLOOKUP(Table1_2[[#This Row],[Categories]],Sheet3!$A$1:$B$27,2,FALSE)</f>
        <v>Food &amp;Beverage</v>
      </c>
    </row>
    <row r="7131" spans="1:7" x14ac:dyDescent="0.3">
      <c r="A7131" t="s">
        <v>33</v>
      </c>
      <c r="B7131">
        <v>2020</v>
      </c>
      <c r="C7131" t="s">
        <v>41</v>
      </c>
      <c r="D7131" s="2">
        <v>44044</v>
      </c>
      <c r="E7131" t="s">
        <v>10</v>
      </c>
      <c r="F7131">
        <v>151.30000000000001</v>
      </c>
      <c r="G7131" t="str">
        <f>VLOOKUP(Table1_2[[#This Row],[Categories]],Sheet3!$A$1:$B$27,2,FALSE)</f>
        <v>Food &amp;Beverage</v>
      </c>
    </row>
    <row r="7132" spans="1:7" x14ac:dyDescent="0.3">
      <c r="A7132" t="s">
        <v>33</v>
      </c>
      <c r="B7132">
        <v>2020</v>
      </c>
      <c r="C7132" t="s">
        <v>41</v>
      </c>
      <c r="D7132" s="2">
        <v>44044</v>
      </c>
      <c r="E7132" t="s">
        <v>11</v>
      </c>
      <c r="F7132">
        <v>116.8</v>
      </c>
      <c r="G7132" t="str">
        <f>VLOOKUP(Table1_2[[#This Row],[Categories]],Sheet3!$A$1:$B$27,2,FALSE)</f>
        <v>Food &amp;Beverage</v>
      </c>
    </row>
    <row r="7133" spans="1:7" x14ac:dyDescent="0.3">
      <c r="A7133" t="s">
        <v>33</v>
      </c>
      <c r="B7133">
        <v>2020</v>
      </c>
      <c r="C7133" t="s">
        <v>41</v>
      </c>
      <c r="D7133" s="2">
        <v>44044</v>
      </c>
      <c r="E7133" t="s">
        <v>12</v>
      </c>
      <c r="F7133">
        <v>160</v>
      </c>
      <c r="G7133" t="str">
        <f>VLOOKUP(Table1_2[[#This Row],[Categories]],Sheet3!$A$1:$B$27,2,FALSE)</f>
        <v>Food &amp;Beverage</v>
      </c>
    </row>
    <row r="7134" spans="1:7" x14ac:dyDescent="0.3">
      <c r="A7134" t="s">
        <v>33</v>
      </c>
      <c r="B7134">
        <v>2020</v>
      </c>
      <c r="C7134" t="s">
        <v>41</v>
      </c>
      <c r="D7134" s="2">
        <v>44044</v>
      </c>
      <c r="E7134" t="s">
        <v>13</v>
      </c>
      <c r="F7134">
        <v>136.5</v>
      </c>
      <c r="G7134" t="str">
        <f>VLOOKUP(Table1_2[[#This Row],[Categories]],Sheet3!$A$1:$B$27,2,FALSE)</f>
        <v>Food &amp;Beverage</v>
      </c>
    </row>
    <row r="7135" spans="1:7" x14ac:dyDescent="0.3">
      <c r="A7135" t="s">
        <v>33</v>
      </c>
      <c r="B7135">
        <v>2020</v>
      </c>
      <c r="C7135" t="s">
        <v>41</v>
      </c>
      <c r="D7135" s="2">
        <v>44044</v>
      </c>
      <c r="E7135" t="s">
        <v>14</v>
      </c>
      <c r="F7135">
        <v>163.30000000000001</v>
      </c>
      <c r="G7135" t="str">
        <f>VLOOKUP(Table1_2[[#This Row],[Categories]],Sheet3!$A$1:$B$27,2,FALSE)</f>
        <v>Food &amp;Beverage</v>
      </c>
    </row>
    <row r="7136" spans="1:7" x14ac:dyDescent="0.3">
      <c r="A7136" t="s">
        <v>33</v>
      </c>
      <c r="B7136">
        <v>2020</v>
      </c>
      <c r="C7136" t="s">
        <v>41</v>
      </c>
      <c r="D7136" s="2">
        <v>44044</v>
      </c>
      <c r="E7136" t="s">
        <v>15</v>
      </c>
      <c r="F7136">
        <v>159.9</v>
      </c>
      <c r="G7136" t="str">
        <f>VLOOKUP(Table1_2[[#This Row],[Categories]],Sheet3!$A$1:$B$27,2,FALSE)</f>
        <v>Food &amp;Beverage</v>
      </c>
    </row>
    <row r="7137" spans="1:7" x14ac:dyDescent="0.3">
      <c r="A7137" t="s">
        <v>33</v>
      </c>
      <c r="B7137">
        <v>2020</v>
      </c>
      <c r="C7137" t="s">
        <v>41</v>
      </c>
      <c r="D7137" s="2">
        <v>44044</v>
      </c>
      <c r="E7137" t="s">
        <v>16</v>
      </c>
      <c r="F7137">
        <v>187.2</v>
      </c>
      <c r="G7137" t="str">
        <f>VLOOKUP(Table1_2[[#This Row],[Categories]],Sheet3!$A$1:$B$27,2,FALSE)</f>
        <v>Recreation and amusement</v>
      </c>
    </row>
    <row r="7138" spans="1:7" x14ac:dyDescent="0.3">
      <c r="A7138" t="s">
        <v>33</v>
      </c>
      <c r="B7138">
        <v>2020</v>
      </c>
      <c r="C7138" t="s">
        <v>41</v>
      </c>
      <c r="D7138" s="2">
        <v>44044</v>
      </c>
      <c r="E7138" t="s">
        <v>17</v>
      </c>
      <c r="F7138">
        <v>150</v>
      </c>
      <c r="G7138" t="str">
        <f>VLOOKUP(Table1_2[[#This Row],[Categories]],Sheet3!$A$1:$B$27,2,FALSE)</f>
        <v>Clothing and footwear</v>
      </c>
    </row>
    <row r="7139" spans="1:7" x14ac:dyDescent="0.3">
      <c r="A7139" t="s">
        <v>33</v>
      </c>
      <c r="B7139">
        <v>2020</v>
      </c>
      <c r="C7139" t="s">
        <v>41</v>
      </c>
      <c r="D7139" s="2">
        <v>44044</v>
      </c>
      <c r="E7139" t="s">
        <v>18</v>
      </c>
      <c r="F7139">
        <v>135.19999999999999</v>
      </c>
      <c r="G7139" t="str">
        <f>VLOOKUP(Table1_2[[#This Row],[Categories]],Sheet3!$A$1:$B$27,2,FALSE)</f>
        <v>Clothing and footwear</v>
      </c>
    </row>
    <row r="7140" spans="1:7" x14ac:dyDescent="0.3">
      <c r="A7140" t="s">
        <v>33</v>
      </c>
      <c r="B7140">
        <v>2020</v>
      </c>
      <c r="C7140" t="s">
        <v>41</v>
      </c>
      <c r="D7140" s="2">
        <v>44044</v>
      </c>
      <c r="E7140" t="s">
        <v>19</v>
      </c>
      <c r="F7140">
        <v>147.80000000000001</v>
      </c>
      <c r="G7140" t="str">
        <f>VLOOKUP(Table1_2[[#This Row],[Categories]],Sheet3!$A$1:$B$27,2,FALSE)</f>
        <v>Clothing and footwear</v>
      </c>
    </row>
    <row r="7141" spans="1:7" x14ac:dyDescent="0.3">
      <c r="A7141" t="s">
        <v>33</v>
      </c>
      <c r="B7141">
        <v>2020</v>
      </c>
      <c r="C7141" t="s">
        <v>41</v>
      </c>
      <c r="D7141" s="2">
        <v>44044</v>
      </c>
      <c r="E7141" t="s">
        <v>20</v>
      </c>
      <c r="F7141">
        <v>155.5</v>
      </c>
      <c r="G7141" t="str">
        <f>VLOOKUP(Table1_2[[#This Row],[Categories]],Sheet3!$A$1:$B$27,2,FALSE)</f>
        <v>Housing</v>
      </c>
    </row>
    <row r="7142" spans="1:7" x14ac:dyDescent="0.3">
      <c r="A7142" t="s">
        <v>33</v>
      </c>
      <c r="B7142">
        <v>2020</v>
      </c>
      <c r="C7142" t="s">
        <v>41</v>
      </c>
      <c r="D7142" s="2">
        <v>44044</v>
      </c>
      <c r="E7142" t="s">
        <v>21</v>
      </c>
      <c r="F7142">
        <v>138.30000000000001</v>
      </c>
      <c r="G7142" t="str">
        <f>VLOOKUP(Table1_2[[#This Row],[Categories]],Sheet3!$A$1:$B$27,2,FALSE)</f>
        <v>Fuel and light</v>
      </c>
    </row>
    <row r="7143" spans="1:7" x14ac:dyDescent="0.3">
      <c r="A7143" t="s">
        <v>33</v>
      </c>
      <c r="B7143">
        <v>2020</v>
      </c>
      <c r="C7143" t="s">
        <v>41</v>
      </c>
      <c r="D7143" s="2">
        <v>44044</v>
      </c>
      <c r="E7143" t="s">
        <v>22</v>
      </c>
      <c r="F7143">
        <v>144.5</v>
      </c>
      <c r="G7143" t="str">
        <f>VLOOKUP(Table1_2[[#This Row],[Categories]],Sheet3!$A$1:$B$27,2,FALSE)</f>
        <v>Household Items</v>
      </c>
    </row>
    <row r="7144" spans="1:7" x14ac:dyDescent="0.3">
      <c r="A7144" t="s">
        <v>33</v>
      </c>
      <c r="B7144">
        <v>2020</v>
      </c>
      <c r="C7144" t="s">
        <v>41</v>
      </c>
      <c r="D7144" s="2">
        <v>44044</v>
      </c>
      <c r="E7144" t="s">
        <v>23</v>
      </c>
      <c r="F7144">
        <v>148.69999999999999</v>
      </c>
      <c r="G7144" t="str">
        <f>VLOOKUP(Table1_2[[#This Row],[Categories]],Sheet3!$A$1:$B$27,2,FALSE)</f>
        <v>Health</v>
      </c>
    </row>
    <row r="7145" spans="1:7" x14ac:dyDescent="0.3">
      <c r="A7145" t="s">
        <v>33</v>
      </c>
      <c r="B7145">
        <v>2020</v>
      </c>
      <c r="C7145" t="s">
        <v>41</v>
      </c>
      <c r="D7145" s="2">
        <v>44044</v>
      </c>
      <c r="E7145" t="s">
        <v>24</v>
      </c>
      <c r="F7145">
        <v>133.9</v>
      </c>
      <c r="G7145" t="str">
        <f>VLOOKUP(Table1_2[[#This Row],[Categories]],Sheet3!$A$1:$B$27,2,FALSE)</f>
        <v>Transport and communication</v>
      </c>
    </row>
    <row r="7146" spans="1:7" x14ac:dyDescent="0.3">
      <c r="A7146" t="s">
        <v>33</v>
      </c>
      <c r="B7146">
        <v>2020</v>
      </c>
      <c r="C7146" t="s">
        <v>41</v>
      </c>
      <c r="D7146" s="2">
        <v>44044</v>
      </c>
      <c r="E7146" t="s">
        <v>25</v>
      </c>
      <c r="F7146">
        <v>141.19999999999999</v>
      </c>
      <c r="G7146" t="str">
        <f>VLOOKUP(Table1_2[[#This Row],[Categories]],Sheet3!$A$1:$B$27,2,FALSE)</f>
        <v>Recreation and amusement</v>
      </c>
    </row>
    <row r="7147" spans="1:7" x14ac:dyDescent="0.3">
      <c r="A7147" t="s">
        <v>33</v>
      </c>
      <c r="B7147">
        <v>2020</v>
      </c>
      <c r="C7147" t="s">
        <v>41</v>
      </c>
      <c r="D7147" s="2">
        <v>44044</v>
      </c>
      <c r="E7147" t="s">
        <v>26</v>
      </c>
      <c r="F7147">
        <v>155.5</v>
      </c>
      <c r="G7147" t="str">
        <f>VLOOKUP(Table1_2[[#This Row],[Categories]],Sheet3!$A$1:$B$27,2,FALSE)</f>
        <v>Education</v>
      </c>
    </row>
    <row r="7148" spans="1:7" x14ac:dyDescent="0.3">
      <c r="A7148" t="s">
        <v>33</v>
      </c>
      <c r="B7148">
        <v>2020</v>
      </c>
      <c r="C7148" t="s">
        <v>41</v>
      </c>
      <c r="D7148" s="2">
        <v>44044</v>
      </c>
      <c r="E7148" t="s">
        <v>27</v>
      </c>
      <c r="F7148">
        <v>155.19999999999999</v>
      </c>
      <c r="G7148" t="str">
        <f>VLOOKUP(Table1_2[[#This Row],[Categories]],Sheet3!$A$1:$B$27,2,FALSE)</f>
        <v>Household Items</v>
      </c>
    </row>
    <row r="7149" spans="1:7" x14ac:dyDescent="0.3">
      <c r="A7149" t="s">
        <v>33</v>
      </c>
      <c r="B7149">
        <v>2020</v>
      </c>
      <c r="C7149" t="s">
        <v>41</v>
      </c>
      <c r="D7149" s="2">
        <v>44044</v>
      </c>
      <c r="E7149" t="s">
        <v>28</v>
      </c>
      <c r="F7149">
        <v>144.80000000000001</v>
      </c>
      <c r="G7149" t="str">
        <f>VLOOKUP(Table1_2[[#This Row],[Categories]],Sheet3!$A$1:$B$27,2,FALSE)</f>
        <v>Miscellaneous</v>
      </c>
    </row>
    <row r="7150" spans="1:7" x14ac:dyDescent="0.3">
      <c r="A7150" t="s">
        <v>33</v>
      </c>
      <c r="B7150">
        <v>2020</v>
      </c>
      <c r="C7150" t="s">
        <v>41</v>
      </c>
      <c r="D7150" s="2">
        <v>44044</v>
      </c>
      <c r="E7150" t="s">
        <v>29</v>
      </c>
      <c r="F7150">
        <v>152.9</v>
      </c>
      <c r="G7150" t="str">
        <f>VLOOKUP(Table1_2[[#This Row],[Categories]],Sheet3!$A$1:$B$27,2,FALSE)</f>
        <v>General index</v>
      </c>
    </row>
    <row r="7151" spans="1:7" x14ac:dyDescent="0.3">
      <c r="A7151" t="s">
        <v>34</v>
      </c>
      <c r="B7151">
        <v>2020</v>
      </c>
      <c r="C7151" t="s">
        <v>41</v>
      </c>
      <c r="D7151" s="2">
        <v>44044</v>
      </c>
      <c r="E7151" t="s">
        <v>3</v>
      </c>
      <c r="F7151">
        <v>148.9</v>
      </c>
      <c r="G7151" t="str">
        <f>VLOOKUP(Table1_2[[#This Row],[Categories]],Sheet3!$A$1:$B$27,2,FALSE)</f>
        <v>Food &amp;Beverage</v>
      </c>
    </row>
    <row r="7152" spans="1:7" x14ac:dyDescent="0.3">
      <c r="A7152" t="s">
        <v>34</v>
      </c>
      <c r="B7152">
        <v>2020</v>
      </c>
      <c r="C7152" t="s">
        <v>41</v>
      </c>
      <c r="D7152" s="2">
        <v>44044</v>
      </c>
      <c r="E7152" t="s">
        <v>4</v>
      </c>
      <c r="F7152">
        <v>190.9</v>
      </c>
      <c r="G7152" t="str">
        <f>VLOOKUP(Table1_2[[#This Row],[Categories]],Sheet3!$A$1:$B$27,2,FALSE)</f>
        <v>Food &amp;Beverage</v>
      </c>
    </row>
    <row r="7153" spans="1:7" x14ac:dyDescent="0.3">
      <c r="A7153" t="s">
        <v>34</v>
      </c>
      <c r="B7153">
        <v>2020</v>
      </c>
      <c r="C7153" t="s">
        <v>41</v>
      </c>
      <c r="D7153" s="2">
        <v>44044</v>
      </c>
      <c r="E7153" t="s">
        <v>5</v>
      </c>
      <c r="F7153">
        <v>150.80000000000001</v>
      </c>
      <c r="G7153" t="str">
        <f>VLOOKUP(Table1_2[[#This Row],[Categories]],Sheet3!$A$1:$B$27,2,FALSE)</f>
        <v>Food &amp;Beverage</v>
      </c>
    </row>
    <row r="7154" spans="1:7" x14ac:dyDescent="0.3">
      <c r="A7154" t="s">
        <v>34</v>
      </c>
      <c r="B7154">
        <v>2020</v>
      </c>
      <c r="C7154" t="s">
        <v>41</v>
      </c>
      <c r="D7154" s="2">
        <v>44044</v>
      </c>
      <c r="E7154" t="s">
        <v>6</v>
      </c>
      <c r="F7154">
        <v>153.30000000000001</v>
      </c>
      <c r="G7154" t="str">
        <f>VLOOKUP(Table1_2[[#This Row],[Categories]],Sheet3!$A$1:$B$27,2,FALSE)</f>
        <v>Food &amp;Beverage</v>
      </c>
    </row>
    <row r="7155" spans="1:7" x14ac:dyDescent="0.3">
      <c r="A7155" t="s">
        <v>34</v>
      </c>
      <c r="B7155">
        <v>2020</v>
      </c>
      <c r="C7155" t="s">
        <v>41</v>
      </c>
      <c r="D7155" s="2">
        <v>44044</v>
      </c>
      <c r="E7155" t="s">
        <v>7</v>
      </c>
      <c r="F7155">
        <v>137.4</v>
      </c>
      <c r="G7155" t="str">
        <f>VLOOKUP(Table1_2[[#This Row],[Categories]],Sheet3!$A$1:$B$27,2,FALSE)</f>
        <v>Food &amp;Beverage</v>
      </c>
    </row>
    <row r="7156" spans="1:7" x14ac:dyDescent="0.3">
      <c r="A7156" t="s">
        <v>34</v>
      </c>
      <c r="B7156">
        <v>2020</v>
      </c>
      <c r="C7156" t="s">
        <v>41</v>
      </c>
      <c r="D7156" s="2">
        <v>44044</v>
      </c>
      <c r="E7156" t="s">
        <v>8</v>
      </c>
      <c r="F7156">
        <v>150.4</v>
      </c>
      <c r="G7156" t="str">
        <f>VLOOKUP(Table1_2[[#This Row],[Categories]],Sheet3!$A$1:$B$27,2,FALSE)</f>
        <v>Food &amp;Beverage</v>
      </c>
    </row>
    <row r="7157" spans="1:7" x14ac:dyDescent="0.3">
      <c r="A7157" t="s">
        <v>34</v>
      </c>
      <c r="B7157">
        <v>2020</v>
      </c>
      <c r="C7157" t="s">
        <v>41</v>
      </c>
      <c r="D7157" s="2">
        <v>44044</v>
      </c>
      <c r="E7157" t="s">
        <v>9</v>
      </c>
      <c r="F7157">
        <v>178.1</v>
      </c>
      <c r="G7157" t="str">
        <f>VLOOKUP(Table1_2[[#This Row],[Categories]],Sheet3!$A$1:$B$27,2,FALSE)</f>
        <v>Food &amp;Beverage</v>
      </c>
    </row>
    <row r="7158" spans="1:7" x14ac:dyDescent="0.3">
      <c r="A7158" t="s">
        <v>34</v>
      </c>
      <c r="B7158">
        <v>2020</v>
      </c>
      <c r="C7158" t="s">
        <v>41</v>
      </c>
      <c r="D7158" s="2">
        <v>44044</v>
      </c>
      <c r="E7158" t="s">
        <v>10</v>
      </c>
      <c r="F7158">
        <v>150.4</v>
      </c>
      <c r="G7158" t="str">
        <f>VLOOKUP(Table1_2[[#This Row],[Categories]],Sheet3!$A$1:$B$27,2,FALSE)</f>
        <v>Food &amp;Beverage</v>
      </c>
    </row>
    <row r="7159" spans="1:7" x14ac:dyDescent="0.3">
      <c r="A7159" t="s">
        <v>34</v>
      </c>
      <c r="B7159">
        <v>2020</v>
      </c>
      <c r="C7159" t="s">
        <v>41</v>
      </c>
      <c r="D7159" s="2">
        <v>44044</v>
      </c>
      <c r="E7159" t="s">
        <v>11</v>
      </c>
      <c r="F7159">
        <v>115.1</v>
      </c>
      <c r="G7159" t="str">
        <f>VLOOKUP(Table1_2[[#This Row],[Categories]],Sheet3!$A$1:$B$27,2,FALSE)</f>
        <v>Food &amp;Beverage</v>
      </c>
    </row>
    <row r="7160" spans="1:7" x14ac:dyDescent="0.3">
      <c r="A7160" t="s">
        <v>34</v>
      </c>
      <c r="B7160">
        <v>2020</v>
      </c>
      <c r="C7160" t="s">
        <v>41</v>
      </c>
      <c r="D7160" s="2">
        <v>44044</v>
      </c>
      <c r="E7160" t="s">
        <v>12</v>
      </c>
      <c r="F7160">
        <v>160</v>
      </c>
      <c r="G7160" t="str">
        <f>VLOOKUP(Table1_2[[#This Row],[Categories]],Sheet3!$A$1:$B$27,2,FALSE)</f>
        <v>Food &amp;Beverage</v>
      </c>
    </row>
    <row r="7161" spans="1:7" x14ac:dyDescent="0.3">
      <c r="A7161" t="s">
        <v>34</v>
      </c>
      <c r="B7161">
        <v>2020</v>
      </c>
      <c r="C7161" t="s">
        <v>41</v>
      </c>
      <c r="D7161" s="2">
        <v>44044</v>
      </c>
      <c r="E7161" t="s">
        <v>13</v>
      </c>
      <c r="F7161">
        <v>140.6</v>
      </c>
      <c r="G7161" t="str">
        <f>VLOOKUP(Table1_2[[#This Row],[Categories]],Sheet3!$A$1:$B$27,2,FALSE)</f>
        <v>Food &amp;Beverage</v>
      </c>
    </row>
    <row r="7162" spans="1:7" x14ac:dyDescent="0.3">
      <c r="A7162" t="s">
        <v>34</v>
      </c>
      <c r="B7162">
        <v>2020</v>
      </c>
      <c r="C7162" t="s">
        <v>41</v>
      </c>
      <c r="D7162" s="2">
        <v>44044</v>
      </c>
      <c r="E7162" t="s">
        <v>14</v>
      </c>
      <c r="F7162">
        <v>162.30000000000001</v>
      </c>
      <c r="G7162" t="str">
        <f>VLOOKUP(Table1_2[[#This Row],[Categories]],Sheet3!$A$1:$B$27,2,FALSE)</f>
        <v>Food &amp;Beverage</v>
      </c>
    </row>
    <row r="7163" spans="1:7" x14ac:dyDescent="0.3">
      <c r="A7163" t="s">
        <v>34</v>
      </c>
      <c r="B7163">
        <v>2020</v>
      </c>
      <c r="C7163" t="s">
        <v>41</v>
      </c>
      <c r="D7163" s="2">
        <v>44044</v>
      </c>
      <c r="E7163" t="s">
        <v>15</v>
      </c>
      <c r="F7163">
        <v>157</v>
      </c>
      <c r="G7163" t="str">
        <f>VLOOKUP(Table1_2[[#This Row],[Categories]],Sheet3!$A$1:$B$27,2,FALSE)</f>
        <v>Food &amp;Beverage</v>
      </c>
    </row>
    <row r="7164" spans="1:7" x14ac:dyDescent="0.3">
      <c r="A7164" t="s">
        <v>34</v>
      </c>
      <c r="B7164">
        <v>2020</v>
      </c>
      <c r="C7164" t="s">
        <v>41</v>
      </c>
      <c r="D7164" s="2">
        <v>44044</v>
      </c>
      <c r="E7164" t="s">
        <v>16</v>
      </c>
      <c r="F7164">
        <v>182.6</v>
      </c>
      <c r="G7164" t="str">
        <f>VLOOKUP(Table1_2[[#This Row],[Categories]],Sheet3!$A$1:$B$27,2,FALSE)</f>
        <v>Recreation and amusement</v>
      </c>
    </row>
    <row r="7165" spans="1:7" x14ac:dyDescent="0.3">
      <c r="A7165" t="s">
        <v>34</v>
      </c>
      <c r="B7165">
        <v>2020</v>
      </c>
      <c r="C7165" t="s">
        <v>41</v>
      </c>
      <c r="D7165" s="2">
        <v>44044</v>
      </c>
      <c r="E7165" t="s">
        <v>17</v>
      </c>
      <c r="F7165">
        <v>153.1</v>
      </c>
      <c r="G7165" t="str">
        <f>VLOOKUP(Table1_2[[#This Row],[Categories]],Sheet3!$A$1:$B$27,2,FALSE)</f>
        <v>Clothing and footwear</v>
      </c>
    </row>
    <row r="7166" spans="1:7" x14ac:dyDescent="0.3">
      <c r="A7166" t="s">
        <v>34</v>
      </c>
      <c r="B7166">
        <v>2020</v>
      </c>
      <c r="C7166" t="s">
        <v>41</v>
      </c>
      <c r="D7166" s="2">
        <v>44044</v>
      </c>
      <c r="E7166" t="s">
        <v>18</v>
      </c>
      <c r="F7166">
        <v>143.4</v>
      </c>
      <c r="G7166" t="str">
        <f>VLOOKUP(Table1_2[[#This Row],[Categories]],Sheet3!$A$1:$B$27,2,FALSE)</f>
        <v>Clothing and footwear</v>
      </c>
    </row>
    <row r="7167" spans="1:7" x14ac:dyDescent="0.3">
      <c r="A7167" t="s">
        <v>34</v>
      </c>
      <c r="B7167">
        <v>2020</v>
      </c>
      <c r="C7167" t="s">
        <v>41</v>
      </c>
      <c r="D7167" s="2">
        <v>44044</v>
      </c>
      <c r="E7167" t="s">
        <v>19</v>
      </c>
      <c r="F7167">
        <v>151.69999999999999</v>
      </c>
      <c r="G7167" t="str">
        <f>VLOOKUP(Table1_2[[#This Row],[Categories]],Sheet3!$A$1:$B$27,2,FALSE)</f>
        <v>Clothing and footwear</v>
      </c>
    </row>
    <row r="7168" spans="1:7" x14ac:dyDescent="0.3">
      <c r="A7168" t="s">
        <v>34</v>
      </c>
      <c r="B7168">
        <v>2020</v>
      </c>
      <c r="C7168" t="s">
        <v>41</v>
      </c>
      <c r="D7168" s="2">
        <v>44044</v>
      </c>
      <c r="E7168" t="s">
        <v>20</v>
      </c>
      <c r="F7168">
        <v>155.5</v>
      </c>
      <c r="G7168" t="str">
        <f>VLOOKUP(Table1_2[[#This Row],[Categories]],Sheet3!$A$1:$B$27,2,FALSE)</f>
        <v>Housing</v>
      </c>
    </row>
    <row r="7169" spans="1:7" x14ac:dyDescent="0.3">
      <c r="A7169" t="s">
        <v>34</v>
      </c>
      <c r="B7169">
        <v>2020</v>
      </c>
      <c r="C7169" t="s">
        <v>41</v>
      </c>
      <c r="D7169" s="2">
        <v>44044</v>
      </c>
      <c r="E7169" t="s">
        <v>21</v>
      </c>
      <c r="F7169">
        <v>143</v>
      </c>
      <c r="G7169" t="str">
        <f>VLOOKUP(Table1_2[[#This Row],[Categories]],Sheet3!$A$1:$B$27,2,FALSE)</f>
        <v>Fuel and light</v>
      </c>
    </row>
    <row r="7170" spans="1:7" x14ac:dyDescent="0.3">
      <c r="A7170" t="s">
        <v>34</v>
      </c>
      <c r="B7170">
        <v>2020</v>
      </c>
      <c r="C7170" t="s">
        <v>41</v>
      </c>
      <c r="D7170" s="2">
        <v>44044</v>
      </c>
      <c r="E7170" t="s">
        <v>22</v>
      </c>
      <c r="F7170">
        <v>148.4</v>
      </c>
      <c r="G7170" t="str">
        <f>VLOOKUP(Table1_2[[#This Row],[Categories]],Sheet3!$A$1:$B$27,2,FALSE)</f>
        <v>Household Items</v>
      </c>
    </row>
    <row r="7171" spans="1:7" x14ac:dyDescent="0.3">
      <c r="A7171" t="s">
        <v>34</v>
      </c>
      <c r="B7171">
        <v>2020</v>
      </c>
      <c r="C7171" t="s">
        <v>41</v>
      </c>
      <c r="D7171" s="2">
        <v>44044</v>
      </c>
      <c r="E7171" t="s">
        <v>23</v>
      </c>
      <c r="F7171">
        <v>155</v>
      </c>
      <c r="G7171" t="str">
        <f>VLOOKUP(Table1_2[[#This Row],[Categories]],Sheet3!$A$1:$B$27,2,FALSE)</f>
        <v>Health</v>
      </c>
    </row>
    <row r="7172" spans="1:7" x14ac:dyDescent="0.3">
      <c r="A7172" t="s">
        <v>34</v>
      </c>
      <c r="B7172">
        <v>2020</v>
      </c>
      <c r="C7172" t="s">
        <v>41</v>
      </c>
      <c r="D7172" s="2">
        <v>44044</v>
      </c>
      <c r="E7172" t="s">
        <v>24</v>
      </c>
      <c r="F7172">
        <v>138.5</v>
      </c>
      <c r="G7172" t="str">
        <f>VLOOKUP(Table1_2[[#This Row],[Categories]],Sheet3!$A$1:$B$27,2,FALSE)</f>
        <v>Transport and communication</v>
      </c>
    </row>
    <row r="7173" spans="1:7" x14ac:dyDescent="0.3">
      <c r="A7173" t="s">
        <v>34</v>
      </c>
      <c r="B7173">
        <v>2020</v>
      </c>
      <c r="C7173" t="s">
        <v>41</v>
      </c>
      <c r="D7173" s="2">
        <v>44044</v>
      </c>
      <c r="E7173" t="s">
        <v>25</v>
      </c>
      <c r="F7173">
        <v>146</v>
      </c>
      <c r="G7173" t="str">
        <f>VLOOKUP(Table1_2[[#This Row],[Categories]],Sheet3!$A$1:$B$27,2,FALSE)</f>
        <v>Recreation and amusement</v>
      </c>
    </row>
    <row r="7174" spans="1:7" x14ac:dyDescent="0.3">
      <c r="A7174" t="s">
        <v>34</v>
      </c>
      <c r="B7174">
        <v>2020</v>
      </c>
      <c r="C7174" t="s">
        <v>41</v>
      </c>
      <c r="D7174" s="2">
        <v>44044</v>
      </c>
      <c r="E7174" t="s">
        <v>26</v>
      </c>
      <c r="F7174">
        <v>158.5</v>
      </c>
      <c r="G7174" t="str">
        <f>VLOOKUP(Table1_2[[#This Row],[Categories]],Sheet3!$A$1:$B$27,2,FALSE)</f>
        <v>Education</v>
      </c>
    </row>
    <row r="7175" spans="1:7" x14ac:dyDescent="0.3">
      <c r="A7175" t="s">
        <v>34</v>
      </c>
      <c r="B7175">
        <v>2020</v>
      </c>
      <c r="C7175" t="s">
        <v>41</v>
      </c>
      <c r="D7175" s="2">
        <v>44044</v>
      </c>
      <c r="E7175" t="s">
        <v>27</v>
      </c>
      <c r="F7175">
        <v>154.30000000000001</v>
      </c>
      <c r="G7175" t="str">
        <f>VLOOKUP(Table1_2[[#This Row],[Categories]],Sheet3!$A$1:$B$27,2,FALSE)</f>
        <v>Household Items</v>
      </c>
    </row>
    <row r="7176" spans="1:7" x14ac:dyDescent="0.3">
      <c r="A7176" t="s">
        <v>34</v>
      </c>
      <c r="B7176">
        <v>2020</v>
      </c>
      <c r="C7176" t="s">
        <v>41</v>
      </c>
      <c r="D7176" s="2">
        <v>44044</v>
      </c>
      <c r="E7176" t="s">
        <v>28</v>
      </c>
      <c r="F7176">
        <v>149</v>
      </c>
      <c r="G7176" t="str">
        <f>VLOOKUP(Table1_2[[#This Row],[Categories]],Sheet3!$A$1:$B$27,2,FALSE)</f>
        <v>Miscellaneous</v>
      </c>
    </row>
    <row r="7177" spans="1:7" x14ac:dyDescent="0.3">
      <c r="A7177" t="s">
        <v>34</v>
      </c>
      <c r="B7177">
        <v>2020</v>
      </c>
      <c r="C7177" t="s">
        <v>41</v>
      </c>
      <c r="D7177" s="2">
        <v>44044</v>
      </c>
      <c r="E7177" t="s">
        <v>29</v>
      </c>
      <c r="F7177">
        <v>153.9</v>
      </c>
      <c r="G7177" t="str">
        <f>VLOOKUP(Table1_2[[#This Row],[Categories]],Sheet3!$A$1:$B$27,2,FALSE)</f>
        <v>General index</v>
      </c>
    </row>
    <row r="7178" spans="1:7" x14ac:dyDescent="0.3">
      <c r="A7178" t="s">
        <v>30</v>
      </c>
      <c r="B7178">
        <v>2020</v>
      </c>
      <c r="C7178" t="s">
        <v>42</v>
      </c>
      <c r="D7178" s="2">
        <v>44075</v>
      </c>
      <c r="E7178" t="s">
        <v>3</v>
      </c>
      <c r="F7178">
        <v>146.9</v>
      </c>
      <c r="G7178" t="str">
        <f>VLOOKUP(Table1_2[[#This Row],[Categories]],Sheet3!$A$1:$B$27,2,FALSE)</f>
        <v>Food &amp;Beverage</v>
      </c>
    </row>
    <row r="7179" spans="1:7" x14ac:dyDescent="0.3">
      <c r="A7179" t="s">
        <v>30</v>
      </c>
      <c r="B7179">
        <v>2020</v>
      </c>
      <c r="C7179" t="s">
        <v>42</v>
      </c>
      <c r="D7179" s="2">
        <v>44075</v>
      </c>
      <c r="E7179" t="s">
        <v>4</v>
      </c>
      <c r="F7179">
        <v>183.9</v>
      </c>
      <c r="G7179" t="str">
        <f>VLOOKUP(Table1_2[[#This Row],[Categories]],Sheet3!$A$1:$B$27,2,FALSE)</f>
        <v>Food &amp;Beverage</v>
      </c>
    </row>
    <row r="7180" spans="1:7" x14ac:dyDescent="0.3">
      <c r="A7180" t="s">
        <v>30</v>
      </c>
      <c r="B7180">
        <v>2020</v>
      </c>
      <c r="C7180" t="s">
        <v>42</v>
      </c>
      <c r="D7180" s="2">
        <v>44075</v>
      </c>
      <c r="E7180" t="s">
        <v>5</v>
      </c>
      <c r="F7180">
        <v>149.5</v>
      </c>
      <c r="G7180" t="str">
        <f>VLOOKUP(Table1_2[[#This Row],[Categories]],Sheet3!$A$1:$B$27,2,FALSE)</f>
        <v>Food &amp;Beverage</v>
      </c>
    </row>
    <row r="7181" spans="1:7" x14ac:dyDescent="0.3">
      <c r="A7181" t="s">
        <v>30</v>
      </c>
      <c r="B7181">
        <v>2020</v>
      </c>
      <c r="C7181" t="s">
        <v>42</v>
      </c>
      <c r="D7181" s="2">
        <v>44075</v>
      </c>
      <c r="E7181" t="s">
        <v>6</v>
      </c>
      <c r="F7181">
        <v>153.4</v>
      </c>
      <c r="G7181" t="str">
        <f>VLOOKUP(Table1_2[[#This Row],[Categories]],Sheet3!$A$1:$B$27,2,FALSE)</f>
        <v>Food &amp;Beverage</v>
      </c>
    </row>
    <row r="7182" spans="1:7" x14ac:dyDescent="0.3">
      <c r="A7182" t="s">
        <v>30</v>
      </c>
      <c r="B7182">
        <v>2020</v>
      </c>
      <c r="C7182" t="s">
        <v>42</v>
      </c>
      <c r="D7182" s="2">
        <v>44075</v>
      </c>
      <c r="E7182" t="s">
        <v>7</v>
      </c>
      <c r="F7182">
        <v>140.4</v>
      </c>
      <c r="G7182" t="str">
        <f>VLOOKUP(Table1_2[[#This Row],[Categories]],Sheet3!$A$1:$B$27,2,FALSE)</f>
        <v>Food &amp;Beverage</v>
      </c>
    </row>
    <row r="7183" spans="1:7" x14ac:dyDescent="0.3">
      <c r="A7183" t="s">
        <v>30</v>
      </c>
      <c r="B7183">
        <v>2020</v>
      </c>
      <c r="C7183" t="s">
        <v>42</v>
      </c>
      <c r="D7183" s="2">
        <v>44075</v>
      </c>
      <c r="E7183" t="s">
        <v>8</v>
      </c>
      <c r="F7183">
        <v>147</v>
      </c>
      <c r="G7183" t="str">
        <f>VLOOKUP(Table1_2[[#This Row],[Categories]],Sheet3!$A$1:$B$27,2,FALSE)</f>
        <v>Food &amp;Beverage</v>
      </c>
    </row>
    <row r="7184" spans="1:7" x14ac:dyDescent="0.3">
      <c r="A7184" t="s">
        <v>30</v>
      </c>
      <c r="B7184">
        <v>2020</v>
      </c>
      <c r="C7184" t="s">
        <v>42</v>
      </c>
      <c r="D7184" s="2">
        <v>44075</v>
      </c>
      <c r="E7184" t="s">
        <v>9</v>
      </c>
      <c r="F7184">
        <v>178.8</v>
      </c>
      <c r="G7184" t="str">
        <f>VLOOKUP(Table1_2[[#This Row],[Categories]],Sheet3!$A$1:$B$27,2,FALSE)</f>
        <v>Food &amp;Beverage</v>
      </c>
    </row>
    <row r="7185" spans="1:7" x14ac:dyDescent="0.3">
      <c r="A7185" t="s">
        <v>30</v>
      </c>
      <c r="B7185">
        <v>2020</v>
      </c>
      <c r="C7185" t="s">
        <v>42</v>
      </c>
      <c r="D7185" s="2">
        <v>44075</v>
      </c>
      <c r="E7185" t="s">
        <v>10</v>
      </c>
      <c r="F7185">
        <v>149.30000000000001</v>
      </c>
      <c r="G7185" t="str">
        <f>VLOOKUP(Table1_2[[#This Row],[Categories]],Sheet3!$A$1:$B$27,2,FALSE)</f>
        <v>Food &amp;Beverage</v>
      </c>
    </row>
    <row r="7186" spans="1:7" x14ac:dyDescent="0.3">
      <c r="A7186" t="s">
        <v>30</v>
      </c>
      <c r="B7186">
        <v>2020</v>
      </c>
      <c r="C7186" t="s">
        <v>42</v>
      </c>
      <c r="D7186" s="2">
        <v>44075</v>
      </c>
      <c r="E7186" t="s">
        <v>11</v>
      </c>
      <c r="F7186">
        <v>115.1</v>
      </c>
      <c r="G7186" t="str">
        <f>VLOOKUP(Table1_2[[#This Row],[Categories]],Sheet3!$A$1:$B$27,2,FALSE)</f>
        <v>Food &amp;Beverage</v>
      </c>
    </row>
    <row r="7187" spans="1:7" x14ac:dyDescent="0.3">
      <c r="A7187" t="s">
        <v>30</v>
      </c>
      <c r="B7187">
        <v>2020</v>
      </c>
      <c r="C7187" t="s">
        <v>42</v>
      </c>
      <c r="D7187" s="2">
        <v>44075</v>
      </c>
      <c r="E7187" t="s">
        <v>12</v>
      </c>
      <c r="F7187">
        <v>160</v>
      </c>
      <c r="G7187" t="str">
        <f>VLOOKUP(Table1_2[[#This Row],[Categories]],Sheet3!$A$1:$B$27,2,FALSE)</f>
        <v>Food &amp;Beverage</v>
      </c>
    </row>
    <row r="7188" spans="1:7" x14ac:dyDescent="0.3">
      <c r="A7188" t="s">
        <v>30</v>
      </c>
      <c r="B7188">
        <v>2020</v>
      </c>
      <c r="C7188" t="s">
        <v>42</v>
      </c>
      <c r="D7188" s="2">
        <v>44075</v>
      </c>
      <c r="E7188" t="s">
        <v>13</v>
      </c>
      <c r="F7188">
        <v>145.4</v>
      </c>
      <c r="G7188" t="str">
        <f>VLOOKUP(Table1_2[[#This Row],[Categories]],Sheet3!$A$1:$B$27,2,FALSE)</f>
        <v>Food &amp;Beverage</v>
      </c>
    </row>
    <row r="7189" spans="1:7" x14ac:dyDescent="0.3">
      <c r="A7189" t="s">
        <v>30</v>
      </c>
      <c r="B7189">
        <v>2020</v>
      </c>
      <c r="C7189" t="s">
        <v>42</v>
      </c>
      <c r="D7189" s="2">
        <v>44075</v>
      </c>
      <c r="E7189" t="s">
        <v>14</v>
      </c>
      <c r="F7189">
        <v>161.6</v>
      </c>
      <c r="G7189" t="str">
        <f>VLOOKUP(Table1_2[[#This Row],[Categories]],Sheet3!$A$1:$B$27,2,FALSE)</f>
        <v>Food &amp;Beverage</v>
      </c>
    </row>
    <row r="7190" spans="1:7" x14ac:dyDescent="0.3">
      <c r="A7190" t="s">
        <v>30</v>
      </c>
      <c r="B7190">
        <v>2020</v>
      </c>
      <c r="C7190" t="s">
        <v>42</v>
      </c>
      <c r="D7190" s="2">
        <v>44075</v>
      </c>
      <c r="E7190" t="s">
        <v>15</v>
      </c>
      <c r="F7190">
        <v>156.1</v>
      </c>
      <c r="G7190" t="str">
        <f>VLOOKUP(Table1_2[[#This Row],[Categories]],Sheet3!$A$1:$B$27,2,FALSE)</f>
        <v>Food &amp;Beverage</v>
      </c>
    </row>
    <row r="7191" spans="1:7" x14ac:dyDescent="0.3">
      <c r="A7191" t="s">
        <v>30</v>
      </c>
      <c r="B7191">
        <v>2020</v>
      </c>
      <c r="C7191" t="s">
        <v>42</v>
      </c>
      <c r="D7191" s="2">
        <v>44075</v>
      </c>
      <c r="E7191" t="s">
        <v>16</v>
      </c>
      <c r="F7191">
        <v>182.9</v>
      </c>
      <c r="G7191" t="str">
        <f>VLOOKUP(Table1_2[[#This Row],[Categories]],Sheet3!$A$1:$B$27,2,FALSE)</f>
        <v>Recreation and amusement</v>
      </c>
    </row>
    <row r="7192" spans="1:7" x14ac:dyDescent="0.3">
      <c r="A7192" t="s">
        <v>30</v>
      </c>
      <c r="B7192">
        <v>2020</v>
      </c>
      <c r="C7192" t="s">
        <v>42</v>
      </c>
      <c r="D7192" s="2">
        <v>44075</v>
      </c>
      <c r="E7192" t="s">
        <v>17</v>
      </c>
      <c r="F7192">
        <v>155.4</v>
      </c>
      <c r="G7192" t="str">
        <f>VLOOKUP(Table1_2[[#This Row],[Categories]],Sheet3!$A$1:$B$27,2,FALSE)</f>
        <v>Clothing and footwear</v>
      </c>
    </row>
    <row r="7193" spans="1:7" x14ac:dyDescent="0.3">
      <c r="A7193" t="s">
        <v>30</v>
      </c>
      <c r="B7193">
        <v>2020</v>
      </c>
      <c r="C7193" t="s">
        <v>42</v>
      </c>
      <c r="D7193" s="2">
        <v>44075</v>
      </c>
      <c r="E7193" t="s">
        <v>18</v>
      </c>
      <c r="F7193">
        <v>149.9</v>
      </c>
      <c r="G7193" t="str">
        <f>VLOOKUP(Table1_2[[#This Row],[Categories]],Sheet3!$A$1:$B$27,2,FALSE)</f>
        <v>Clothing and footwear</v>
      </c>
    </row>
    <row r="7194" spans="1:7" x14ac:dyDescent="0.3">
      <c r="A7194" t="s">
        <v>30</v>
      </c>
      <c r="B7194">
        <v>2020</v>
      </c>
      <c r="C7194" t="s">
        <v>42</v>
      </c>
      <c r="D7194" s="2">
        <v>44075</v>
      </c>
      <c r="E7194" t="s">
        <v>19</v>
      </c>
      <c r="F7194">
        <v>154.6</v>
      </c>
      <c r="G7194" t="str">
        <f>VLOOKUP(Table1_2[[#This Row],[Categories]],Sheet3!$A$1:$B$27,2,FALSE)</f>
        <v>Clothing and footwear</v>
      </c>
    </row>
    <row r="7195" spans="1:7" x14ac:dyDescent="0.3">
      <c r="A7195" t="s">
        <v>30</v>
      </c>
      <c r="B7195">
        <v>2020</v>
      </c>
      <c r="C7195" t="s">
        <v>42</v>
      </c>
      <c r="D7195" s="2">
        <v>44075</v>
      </c>
      <c r="E7195" t="s">
        <v>21</v>
      </c>
      <c r="F7195">
        <v>146.4</v>
      </c>
      <c r="G7195" t="str">
        <f>VLOOKUP(Table1_2[[#This Row],[Categories]],Sheet3!$A$1:$B$27,2,FALSE)</f>
        <v>Fuel and light</v>
      </c>
    </row>
    <row r="7196" spans="1:7" x14ac:dyDescent="0.3">
      <c r="A7196" t="s">
        <v>30</v>
      </c>
      <c r="B7196">
        <v>2020</v>
      </c>
      <c r="C7196" t="s">
        <v>42</v>
      </c>
      <c r="D7196" s="2">
        <v>44075</v>
      </c>
      <c r="E7196" t="s">
        <v>22</v>
      </c>
      <c r="F7196">
        <v>151.6</v>
      </c>
      <c r="G7196" t="str">
        <f>VLOOKUP(Table1_2[[#This Row],[Categories]],Sheet3!$A$1:$B$27,2,FALSE)</f>
        <v>Household Items</v>
      </c>
    </row>
    <row r="7197" spans="1:7" x14ac:dyDescent="0.3">
      <c r="A7197" t="s">
        <v>30</v>
      </c>
      <c r="B7197">
        <v>2020</v>
      </c>
      <c r="C7197" t="s">
        <v>42</v>
      </c>
      <c r="D7197" s="2">
        <v>44075</v>
      </c>
      <c r="E7197" t="s">
        <v>23</v>
      </c>
      <c r="F7197">
        <v>159.1</v>
      </c>
      <c r="G7197" t="str">
        <f>VLOOKUP(Table1_2[[#This Row],[Categories]],Sheet3!$A$1:$B$27,2,FALSE)</f>
        <v>Health</v>
      </c>
    </row>
    <row r="7198" spans="1:7" x14ac:dyDescent="0.3">
      <c r="A7198" t="s">
        <v>30</v>
      </c>
      <c r="B7198">
        <v>2020</v>
      </c>
      <c r="C7198" t="s">
        <v>42</v>
      </c>
      <c r="D7198" s="2">
        <v>44075</v>
      </c>
      <c r="E7198" t="s">
        <v>24</v>
      </c>
      <c r="F7198">
        <v>144.6</v>
      </c>
      <c r="G7198" t="str">
        <f>VLOOKUP(Table1_2[[#This Row],[Categories]],Sheet3!$A$1:$B$27,2,FALSE)</f>
        <v>Transport and communication</v>
      </c>
    </row>
    <row r="7199" spans="1:7" x14ac:dyDescent="0.3">
      <c r="A7199" t="s">
        <v>30</v>
      </c>
      <c r="B7199">
        <v>2020</v>
      </c>
      <c r="C7199" t="s">
        <v>42</v>
      </c>
      <c r="D7199" s="2">
        <v>44075</v>
      </c>
      <c r="E7199" t="s">
        <v>25</v>
      </c>
      <c r="F7199">
        <v>152.80000000000001</v>
      </c>
      <c r="G7199" t="str">
        <f>VLOOKUP(Table1_2[[#This Row],[Categories]],Sheet3!$A$1:$B$27,2,FALSE)</f>
        <v>Recreation and amusement</v>
      </c>
    </row>
    <row r="7200" spans="1:7" x14ac:dyDescent="0.3">
      <c r="A7200" t="s">
        <v>30</v>
      </c>
      <c r="B7200">
        <v>2020</v>
      </c>
      <c r="C7200" t="s">
        <v>42</v>
      </c>
      <c r="D7200" s="2">
        <v>44075</v>
      </c>
      <c r="E7200" t="s">
        <v>26</v>
      </c>
      <c r="F7200">
        <v>161.1</v>
      </c>
      <c r="G7200" t="str">
        <f>VLOOKUP(Table1_2[[#This Row],[Categories]],Sheet3!$A$1:$B$27,2,FALSE)</f>
        <v>Education</v>
      </c>
    </row>
    <row r="7201" spans="1:7" x14ac:dyDescent="0.3">
      <c r="A7201" t="s">
        <v>30</v>
      </c>
      <c r="B7201">
        <v>2020</v>
      </c>
      <c r="C7201" t="s">
        <v>42</v>
      </c>
      <c r="D7201" s="2">
        <v>44075</v>
      </c>
      <c r="E7201" t="s">
        <v>27</v>
      </c>
      <c r="F7201">
        <v>157.4</v>
      </c>
      <c r="G7201" t="str">
        <f>VLOOKUP(Table1_2[[#This Row],[Categories]],Sheet3!$A$1:$B$27,2,FALSE)</f>
        <v>Household Items</v>
      </c>
    </row>
    <row r="7202" spans="1:7" x14ac:dyDescent="0.3">
      <c r="A7202" t="s">
        <v>30</v>
      </c>
      <c r="B7202">
        <v>2020</v>
      </c>
      <c r="C7202" t="s">
        <v>42</v>
      </c>
      <c r="D7202" s="2">
        <v>44075</v>
      </c>
      <c r="E7202" t="s">
        <v>28</v>
      </c>
      <c r="F7202">
        <v>153.69999999999999</v>
      </c>
      <c r="G7202" t="str">
        <f>VLOOKUP(Table1_2[[#This Row],[Categories]],Sheet3!$A$1:$B$27,2,FALSE)</f>
        <v>Miscellaneous</v>
      </c>
    </row>
    <row r="7203" spans="1:7" x14ac:dyDescent="0.3">
      <c r="A7203" t="s">
        <v>30</v>
      </c>
      <c r="B7203">
        <v>2020</v>
      </c>
      <c r="C7203" t="s">
        <v>42</v>
      </c>
      <c r="D7203" s="2">
        <v>44075</v>
      </c>
      <c r="E7203" t="s">
        <v>29</v>
      </c>
      <c r="F7203">
        <v>155.4</v>
      </c>
      <c r="G7203" t="str">
        <f>VLOOKUP(Table1_2[[#This Row],[Categories]],Sheet3!$A$1:$B$27,2,FALSE)</f>
        <v>General index</v>
      </c>
    </row>
    <row r="7204" spans="1:7" x14ac:dyDescent="0.3">
      <c r="A7204" t="s">
        <v>33</v>
      </c>
      <c r="B7204">
        <v>2020</v>
      </c>
      <c r="C7204" t="s">
        <v>42</v>
      </c>
      <c r="D7204" s="2">
        <v>44075</v>
      </c>
      <c r="E7204" t="s">
        <v>3</v>
      </c>
      <c r="F7204">
        <v>151.5</v>
      </c>
      <c r="G7204" t="str">
        <f>VLOOKUP(Table1_2[[#This Row],[Categories]],Sheet3!$A$1:$B$27,2,FALSE)</f>
        <v>Food &amp;Beverage</v>
      </c>
    </row>
    <row r="7205" spans="1:7" x14ac:dyDescent="0.3">
      <c r="A7205" t="s">
        <v>33</v>
      </c>
      <c r="B7205">
        <v>2020</v>
      </c>
      <c r="C7205" t="s">
        <v>42</v>
      </c>
      <c r="D7205" s="2">
        <v>44075</v>
      </c>
      <c r="E7205" t="s">
        <v>4</v>
      </c>
      <c r="F7205">
        <v>193.1</v>
      </c>
      <c r="G7205" t="str">
        <f>VLOOKUP(Table1_2[[#This Row],[Categories]],Sheet3!$A$1:$B$27,2,FALSE)</f>
        <v>Food &amp;Beverage</v>
      </c>
    </row>
    <row r="7206" spans="1:7" x14ac:dyDescent="0.3">
      <c r="A7206" t="s">
        <v>33</v>
      </c>
      <c r="B7206">
        <v>2020</v>
      </c>
      <c r="C7206" t="s">
        <v>42</v>
      </c>
      <c r="D7206" s="2">
        <v>44075</v>
      </c>
      <c r="E7206" t="s">
        <v>5</v>
      </c>
      <c r="F7206">
        <v>157.30000000000001</v>
      </c>
      <c r="G7206" t="str">
        <f>VLOOKUP(Table1_2[[#This Row],[Categories]],Sheet3!$A$1:$B$27,2,FALSE)</f>
        <v>Food &amp;Beverage</v>
      </c>
    </row>
    <row r="7207" spans="1:7" x14ac:dyDescent="0.3">
      <c r="A7207" t="s">
        <v>33</v>
      </c>
      <c r="B7207">
        <v>2020</v>
      </c>
      <c r="C7207" t="s">
        <v>42</v>
      </c>
      <c r="D7207" s="2">
        <v>44075</v>
      </c>
      <c r="E7207" t="s">
        <v>6</v>
      </c>
      <c r="F7207">
        <v>153.9</v>
      </c>
      <c r="G7207" t="str">
        <f>VLOOKUP(Table1_2[[#This Row],[Categories]],Sheet3!$A$1:$B$27,2,FALSE)</f>
        <v>Food &amp;Beverage</v>
      </c>
    </row>
    <row r="7208" spans="1:7" x14ac:dyDescent="0.3">
      <c r="A7208" t="s">
        <v>33</v>
      </c>
      <c r="B7208">
        <v>2020</v>
      </c>
      <c r="C7208" t="s">
        <v>42</v>
      </c>
      <c r="D7208" s="2">
        <v>44075</v>
      </c>
      <c r="E7208" t="s">
        <v>7</v>
      </c>
      <c r="F7208">
        <v>134.4</v>
      </c>
      <c r="G7208" t="str">
        <f>VLOOKUP(Table1_2[[#This Row],[Categories]],Sheet3!$A$1:$B$27,2,FALSE)</f>
        <v>Food &amp;Beverage</v>
      </c>
    </row>
    <row r="7209" spans="1:7" x14ac:dyDescent="0.3">
      <c r="A7209" t="s">
        <v>33</v>
      </c>
      <c r="B7209">
        <v>2020</v>
      </c>
      <c r="C7209" t="s">
        <v>42</v>
      </c>
      <c r="D7209" s="2">
        <v>44075</v>
      </c>
      <c r="E7209" t="s">
        <v>8</v>
      </c>
      <c r="F7209">
        <v>155.4</v>
      </c>
      <c r="G7209" t="str">
        <f>VLOOKUP(Table1_2[[#This Row],[Categories]],Sheet3!$A$1:$B$27,2,FALSE)</f>
        <v>Food &amp;Beverage</v>
      </c>
    </row>
    <row r="7210" spans="1:7" x14ac:dyDescent="0.3">
      <c r="A7210" t="s">
        <v>33</v>
      </c>
      <c r="B7210">
        <v>2020</v>
      </c>
      <c r="C7210" t="s">
        <v>42</v>
      </c>
      <c r="D7210" s="2">
        <v>44075</v>
      </c>
      <c r="E7210" t="s">
        <v>9</v>
      </c>
      <c r="F7210">
        <v>202</v>
      </c>
      <c r="G7210" t="str">
        <f>VLOOKUP(Table1_2[[#This Row],[Categories]],Sheet3!$A$1:$B$27,2,FALSE)</f>
        <v>Food &amp;Beverage</v>
      </c>
    </row>
    <row r="7211" spans="1:7" x14ac:dyDescent="0.3">
      <c r="A7211" t="s">
        <v>33</v>
      </c>
      <c r="B7211">
        <v>2020</v>
      </c>
      <c r="C7211" t="s">
        <v>42</v>
      </c>
      <c r="D7211" s="2">
        <v>44075</v>
      </c>
      <c r="E7211" t="s">
        <v>10</v>
      </c>
      <c r="F7211">
        <v>150.80000000000001</v>
      </c>
      <c r="G7211" t="str">
        <f>VLOOKUP(Table1_2[[#This Row],[Categories]],Sheet3!$A$1:$B$27,2,FALSE)</f>
        <v>Food &amp;Beverage</v>
      </c>
    </row>
    <row r="7212" spans="1:7" x14ac:dyDescent="0.3">
      <c r="A7212" t="s">
        <v>33</v>
      </c>
      <c r="B7212">
        <v>2020</v>
      </c>
      <c r="C7212" t="s">
        <v>42</v>
      </c>
      <c r="D7212" s="2">
        <v>44075</v>
      </c>
      <c r="E7212" t="s">
        <v>11</v>
      </c>
      <c r="F7212">
        <v>118.9</v>
      </c>
      <c r="G7212" t="str">
        <f>VLOOKUP(Table1_2[[#This Row],[Categories]],Sheet3!$A$1:$B$27,2,FALSE)</f>
        <v>Food &amp;Beverage</v>
      </c>
    </row>
    <row r="7213" spans="1:7" x14ac:dyDescent="0.3">
      <c r="A7213" t="s">
        <v>33</v>
      </c>
      <c r="B7213">
        <v>2020</v>
      </c>
      <c r="C7213" t="s">
        <v>42</v>
      </c>
      <c r="D7213" s="2">
        <v>44075</v>
      </c>
      <c r="E7213" t="s">
        <v>12</v>
      </c>
      <c r="F7213">
        <v>160.9</v>
      </c>
      <c r="G7213" t="str">
        <f>VLOOKUP(Table1_2[[#This Row],[Categories]],Sheet3!$A$1:$B$27,2,FALSE)</f>
        <v>Food &amp;Beverage</v>
      </c>
    </row>
    <row r="7214" spans="1:7" x14ac:dyDescent="0.3">
      <c r="A7214" t="s">
        <v>33</v>
      </c>
      <c r="B7214">
        <v>2020</v>
      </c>
      <c r="C7214" t="s">
        <v>42</v>
      </c>
      <c r="D7214" s="2">
        <v>44075</v>
      </c>
      <c r="E7214" t="s">
        <v>13</v>
      </c>
      <c r="F7214">
        <v>137.69999999999999</v>
      </c>
      <c r="G7214" t="str">
        <f>VLOOKUP(Table1_2[[#This Row],[Categories]],Sheet3!$A$1:$B$27,2,FALSE)</f>
        <v>Food &amp;Beverage</v>
      </c>
    </row>
    <row r="7215" spans="1:7" x14ac:dyDescent="0.3">
      <c r="A7215" t="s">
        <v>33</v>
      </c>
      <c r="B7215">
        <v>2020</v>
      </c>
      <c r="C7215" t="s">
        <v>42</v>
      </c>
      <c r="D7215" s="2">
        <v>44075</v>
      </c>
      <c r="E7215" t="s">
        <v>14</v>
      </c>
      <c r="F7215">
        <v>164.4</v>
      </c>
      <c r="G7215" t="str">
        <f>VLOOKUP(Table1_2[[#This Row],[Categories]],Sheet3!$A$1:$B$27,2,FALSE)</f>
        <v>Food &amp;Beverage</v>
      </c>
    </row>
    <row r="7216" spans="1:7" x14ac:dyDescent="0.3">
      <c r="A7216" t="s">
        <v>33</v>
      </c>
      <c r="B7216">
        <v>2020</v>
      </c>
      <c r="C7216" t="s">
        <v>42</v>
      </c>
      <c r="D7216" s="2">
        <v>44075</v>
      </c>
      <c r="E7216" t="s">
        <v>15</v>
      </c>
      <c r="F7216">
        <v>161.30000000000001</v>
      </c>
      <c r="G7216" t="str">
        <f>VLOOKUP(Table1_2[[#This Row],[Categories]],Sheet3!$A$1:$B$27,2,FALSE)</f>
        <v>Food &amp;Beverage</v>
      </c>
    </row>
    <row r="7217" spans="1:7" x14ac:dyDescent="0.3">
      <c r="A7217" t="s">
        <v>33</v>
      </c>
      <c r="B7217">
        <v>2020</v>
      </c>
      <c r="C7217" t="s">
        <v>42</v>
      </c>
      <c r="D7217" s="2">
        <v>44075</v>
      </c>
      <c r="E7217" t="s">
        <v>16</v>
      </c>
      <c r="F7217">
        <v>188.7</v>
      </c>
      <c r="G7217" t="str">
        <f>VLOOKUP(Table1_2[[#This Row],[Categories]],Sheet3!$A$1:$B$27,2,FALSE)</f>
        <v>Recreation and amusement</v>
      </c>
    </row>
    <row r="7218" spans="1:7" x14ac:dyDescent="0.3">
      <c r="A7218" t="s">
        <v>33</v>
      </c>
      <c r="B7218">
        <v>2020</v>
      </c>
      <c r="C7218" t="s">
        <v>42</v>
      </c>
      <c r="D7218" s="2">
        <v>44075</v>
      </c>
      <c r="E7218" t="s">
        <v>17</v>
      </c>
      <c r="F7218">
        <v>150.19999999999999</v>
      </c>
      <c r="G7218" t="str">
        <f>VLOOKUP(Table1_2[[#This Row],[Categories]],Sheet3!$A$1:$B$27,2,FALSE)</f>
        <v>Clothing and footwear</v>
      </c>
    </row>
    <row r="7219" spans="1:7" x14ac:dyDescent="0.3">
      <c r="A7219" t="s">
        <v>33</v>
      </c>
      <c r="B7219">
        <v>2020</v>
      </c>
      <c r="C7219" t="s">
        <v>42</v>
      </c>
      <c r="D7219" s="2">
        <v>44075</v>
      </c>
      <c r="E7219" t="s">
        <v>18</v>
      </c>
      <c r="F7219">
        <v>136.30000000000001</v>
      </c>
      <c r="G7219" t="str">
        <f>VLOOKUP(Table1_2[[#This Row],[Categories]],Sheet3!$A$1:$B$27,2,FALSE)</f>
        <v>Clothing and footwear</v>
      </c>
    </row>
    <row r="7220" spans="1:7" x14ac:dyDescent="0.3">
      <c r="A7220" t="s">
        <v>33</v>
      </c>
      <c r="B7220">
        <v>2020</v>
      </c>
      <c r="C7220" t="s">
        <v>42</v>
      </c>
      <c r="D7220" s="2">
        <v>44075</v>
      </c>
      <c r="E7220" t="s">
        <v>19</v>
      </c>
      <c r="F7220">
        <v>148.1</v>
      </c>
      <c r="G7220" t="str">
        <f>VLOOKUP(Table1_2[[#This Row],[Categories]],Sheet3!$A$1:$B$27,2,FALSE)</f>
        <v>Clothing and footwear</v>
      </c>
    </row>
    <row r="7221" spans="1:7" x14ac:dyDescent="0.3">
      <c r="A7221" t="s">
        <v>33</v>
      </c>
      <c r="B7221">
        <v>2020</v>
      </c>
      <c r="C7221" t="s">
        <v>42</v>
      </c>
      <c r="D7221" s="2">
        <v>44075</v>
      </c>
      <c r="E7221" t="s">
        <v>20</v>
      </c>
      <c r="F7221">
        <v>156.30000000000001</v>
      </c>
      <c r="G7221" t="str">
        <f>VLOOKUP(Table1_2[[#This Row],[Categories]],Sheet3!$A$1:$B$27,2,FALSE)</f>
        <v>Housing</v>
      </c>
    </row>
    <row r="7222" spans="1:7" x14ac:dyDescent="0.3">
      <c r="A7222" t="s">
        <v>33</v>
      </c>
      <c r="B7222">
        <v>2020</v>
      </c>
      <c r="C7222" t="s">
        <v>42</v>
      </c>
      <c r="D7222" s="2">
        <v>44075</v>
      </c>
      <c r="E7222" t="s">
        <v>21</v>
      </c>
      <c r="F7222">
        <v>137.19999999999999</v>
      </c>
      <c r="G7222" t="str">
        <f>VLOOKUP(Table1_2[[#This Row],[Categories]],Sheet3!$A$1:$B$27,2,FALSE)</f>
        <v>Fuel and light</v>
      </c>
    </row>
    <row r="7223" spans="1:7" x14ac:dyDescent="0.3">
      <c r="A7223" t="s">
        <v>33</v>
      </c>
      <c r="B7223">
        <v>2020</v>
      </c>
      <c r="C7223" t="s">
        <v>42</v>
      </c>
      <c r="D7223" s="2">
        <v>44075</v>
      </c>
      <c r="E7223" t="s">
        <v>22</v>
      </c>
      <c r="F7223">
        <v>145.4</v>
      </c>
      <c r="G7223" t="str">
        <f>VLOOKUP(Table1_2[[#This Row],[Categories]],Sheet3!$A$1:$B$27,2,FALSE)</f>
        <v>Household Items</v>
      </c>
    </row>
    <row r="7224" spans="1:7" x14ac:dyDescent="0.3">
      <c r="A7224" t="s">
        <v>33</v>
      </c>
      <c r="B7224">
        <v>2020</v>
      </c>
      <c r="C7224" t="s">
        <v>42</v>
      </c>
      <c r="D7224" s="2">
        <v>44075</v>
      </c>
      <c r="E7224" t="s">
        <v>23</v>
      </c>
      <c r="F7224">
        <v>150</v>
      </c>
      <c r="G7224" t="str">
        <f>VLOOKUP(Table1_2[[#This Row],[Categories]],Sheet3!$A$1:$B$27,2,FALSE)</f>
        <v>Health</v>
      </c>
    </row>
    <row r="7225" spans="1:7" x14ac:dyDescent="0.3">
      <c r="A7225" t="s">
        <v>33</v>
      </c>
      <c r="B7225">
        <v>2020</v>
      </c>
      <c r="C7225" t="s">
        <v>42</v>
      </c>
      <c r="D7225" s="2">
        <v>44075</v>
      </c>
      <c r="E7225" t="s">
        <v>24</v>
      </c>
      <c r="F7225">
        <v>135.1</v>
      </c>
      <c r="G7225" t="str">
        <f>VLOOKUP(Table1_2[[#This Row],[Categories]],Sheet3!$A$1:$B$27,2,FALSE)</f>
        <v>Transport and communication</v>
      </c>
    </row>
    <row r="7226" spans="1:7" x14ac:dyDescent="0.3">
      <c r="A7226" t="s">
        <v>33</v>
      </c>
      <c r="B7226">
        <v>2020</v>
      </c>
      <c r="C7226" t="s">
        <v>42</v>
      </c>
      <c r="D7226" s="2">
        <v>44075</v>
      </c>
      <c r="E7226" t="s">
        <v>25</v>
      </c>
      <c r="F7226">
        <v>141.80000000000001</v>
      </c>
      <c r="G7226" t="str">
        <f>VLOOKUP(Table1_2[[#This Row],[Categories]],Sheet3!$A$1:$B$27,2,FALSE)</f>
        <v>Recreation and amusement</v>
      </c>
    </row>
    <row r="7227" spans="1:7" x14ac:dyDescent="0.3">
      <c r="A7227" t="s">
        <v>33</v>
      </c>
      <c r="B7227">
        <v>2020</v>
      </c>
      <c r="C7227" t="s">
        <v>42</v>
      </c>
      <c r="D7227" s="2">
        <v>44075</v>
      </c>
      <c r="E7227" t="s">
        <v>26</v>
      </c>
      <c r="F7227">
        <v>154.9</v>
      </c>
      <c r="G7227" t="str">
        <f>VLOOKUP(Table1_2[[#This Row],[Categories]],Sheet3!$A$1:$B$27,2,FALSE)</f>
        <v>Education</v>
      </c>
    </row>
    <row r="7228" spans="1:7" x14ac:dyDescent="0.3">
      <c r="A7228" t="s">
        <v>33</v>
      </c>
      <c r="B7228">
        <v>2020</v>
      </c>
      <c r="C7228" t="s">
        <v>42</v>
      </c>
      <c r="D7228" s="2">
        <v>44075</v>
      </c>
      <c r="E7228" t="s">
        <v>27</v>
      </c>
      <c r="F7228">
        <v>159.80000000000001</v>
      </c>
      <c r="G7228" t="str">
        <f>VLOOKUP(Table1_2[[#This Row],[Categories]],Sheet3!$A$1:$B$27,2,FALSE)</f>
        <v>Household Items</v>
      </c>
    </row>
    <row r="7229" spans="1:7" x14ac:dyDescent="0.3">
      <c r="A7229" t="s">
        <v>33</v>
      </c>
      <c r="B7229">
        <v>2020</v>
      </c>
      <c r="C7229" t="s">
        <v>42</v>
      </c>
      <c r="D7229" s="2">
        <v>44075</v>
      </c>
      <c r="E7229" t="s">
        <v>28</v>
      </c>
      <c r="F7229">
        <v>146</v>
      </c>
      <c r="G7229" t="str">
        <f>VLOOKUP(Table1_2[[#This Row],[Categories]],Sheet3!$A$1:$B$27,2,FALSE)</f>
        <v>Miscellaneous</v>
      </c>
    </row>
    <row r="7230" spans="1:7" x14ac:dyDescent="0.3">
      <c r="A7230" t="s">
        <v>33</v>
      </c>
      <c r="B7230">
        <v>2020</v>
      </c>
      <c r="C7230" t="s">
        <v>42</v>
      </c>
      <c r="D7230" s="2">
        <v>44075</v>
      </c>
      <c r="E7230" t="s">
        <v>29</v>
      </c>
      <c r="F7230">
        <v>154</v>
      </c>
      <c r="G7230" t="str">
        <f>VLOOKUP(Table1_2[[#This Row],[Categories]],Sheet3!$A$1:$B$27,2,FALSE)</f>
        <v>General index</v>
      </c>
    </row>
    <row r="7231" spans="1:7" x14ac:dyDescent="0.3">
      <c r="A7231" t="s">
        <v>34</v>
      </c>
      <c r="B7231">
        <v>2020</v>
      </c>
      <c r="C7231" t="s">
        <v>42</v>
      </c>
      <c r="D7231" s="2">
        <v>44075</v>
      </c>
      <c r="E7231" t="s">
        <v>3</v>
      </c>
      <c r="F7231">
        <v>148.4</v>
      </c>
      <c r="G7231" t="str">
        <f>VLOOKUP(Table1_2[[#This Row],[Categories]],Sheet3!$A$1:$B$27,2,FALSE)</f>
        <v>Food &amp;Beverage</v>
      </c>
    </row>
    <row r="7232" spans="1:7" x14ac:dyDescent="0.3">
      <c r="A7232" t="s">
        <v>34</v>
      </c>
      <c r="B7232">
        <v>2020</v>
      </c>
      <c r="C7232" t="s">
        <v>42</v>
      </c>
      <c r="D7232" s="2">
        <v>44075</v>
      </c>
      <c r="E7232" t="s">
        <v>4</v>
      </c>
      <c r="F7232">
        <v>187.1</v>
      </c>
      <c r="G7232" t="str">
        <f>VLOOKUP(Table1_2[[#This Row],[Categories]],Sheet3!$A$1:$B$27,2,FALSE)</f>
        <v>Food &amp;Beverage</v>
      </c>
    </row>
    <row r="7233" spans="1:7" x14ac:dyDescent="0.3">
      <c r="A7233" t="s">
        <v>34</v>
      </c>
      <c r="B7233">
        <v>2020</v>
      </c>
      <c r="C7233" t="s">
        <v>42</v>
      </c>
      <c r="D7233" s="2">
        <v>44075</v>
      </c>
      <c r="E7233" t="s">
        <v>5</v>
      </c>
      <c r="F7233">
        <v>152.5</v>
      </c>
      <c r="G7233" t="str">
        <f>VLOOKUP(Table1_2[[#This Row],[Categories]],Sheet3!$A$1:$B$27,2,FALSE)</f>
        <v>Food &amp;Beverage</v>
      </c>
    </row>
    <row r="7234" spans="1:7" x14ac:dyDescent="0.3">
      <c r="A7234" t="s">
        <v>34</v>
      </c>
      <c r="B7234">
        <v>2020</v>
      </c>
      <c r="C7234" t="s">
        <v>42</v>
      </c>
      <c r="D7234" s="2">
        <v>44075</v>
      </c>
      <c r="E7234" t="s">
        <v>6</v>
      </c>
      <c r="F7234">
        <v>153.6</v>
      </c>
      <c r="G7234" t="str">
        <f>VLOOKUP(Table1_2[[#This Row],[Categories]],Sheet3!$A$1:$B$27,2,FALSE)</f>
        <v>Food &amp;Beverage</v>
      </c>
    </row>
    <row r="7235" spans="1:7" x14ac:dyDescent="0.3">
      <c r="A7235" t="s">
        <v>34</v>
      </c>
      <c r="B7235">
        <v>2020</v>
      </c>
      <c r="C7235" t="s">
        <v>42</v>
      </c>
      <c r="D7235" s="2">
        <v>44075</v>
      </c>
      <c r="E7235" t="s">
        <v>7</v>
      </c>
      <c r="F7235">
        <v>138.19999999999999</v>
      </c>
      <c r="G7235" t="str">
        <f>VLOOKUP(Table1_2[[#This Row],[Categories]],Sheet3!$A$1:$B$27,2,FALSE)</f>
        <v>Food &amp;Beverage</v>
      </c>
    </row>
    <row r="7236" spans="1:7" x14ac:dyDescent="0.3">
      <c r="A7236" t="s">
        <v>34</v>
      </c>
      <c r="B7236">
        <v>2020</v>
      </c>
      <c r="C7236" t="s">
        <v>42</v>
      </c>
      <c r="D7236" s="2">
        <v>44075</v>
      </c>
      <c r="E7236" t="s">
        <v>8</v>
      </c>
      <c r="F7236">
        <v>150.9</v>
      </c>
      <c r="G7236" t="str">
        <f>VLOOKUP(Table1_2[[#This Row],[Categories]],Sheet3!$A$1:$B$27,2,FALSE)</f>
        <v>Food &amp;Beverage</v>
      </c>
    </row>
    <row r="7237" spans="1:7" x14ac:dyDescent="0.3">
      <c r="A7237" t="s">
        <v>34</v>
      </c>
      <c r="B7237">
        <v>2020</v>
      </c>
      <c r="C7237" t="s">
        <v>42</v>
      </c>
      <c r="D7237" s="2">
        <v>44075</v>
      </c>
      <c r="E7237" t="s">
        <v>9</v>
      </c>
      <c r="F7237">
        <v>186.7</v>
      </c>
      <c r="G7237" t="str">
        <f>VLOOKUP(Table1_2[[#This Row],[Categories]],Sheet3!$A$1:$B$27,2,FALSE)</f>
        <v>Food &amp;Beverage</v>
      </c>
    </row>
    <row r="7238" spans="1:7" x14ac:dyDescent="0.3">
      <c r="A7238" t="s">
        <v>34</v>
      </c>
      <c r="B7238">
        <v>2020</v>
      </c>
      <c r="C7238" t="s">
        <v>42</v>
      </c>
      <c r="D7238" s="2">
        <v>44075</v>
      </c>
      <c r="E7238" t="s">
        <v>10</v>
      </c>
      <c r="F7238">
        <v>149.80000000000001</v>
      </c>
      <c r="G7238" t="str">
        <f>VLOOKUP(Table1_2[[#This Row],[Categories]],Sheet3!$A$1:$B$27,2,FALSE)</f>
        <v>Food &amp;Beverage</v>
      </c>
    </row>
    <row r="7239" spans="1:7" x14ac:dyDescent="0.3">
      <c r="A7239" t="s">
        <v>34</v>
      </c>
      <c r="B7239">
        <v>2020</v>
      </c>
      <c r="C7239" t="s">
        <v>42</v>
      </c>
      <c r="D7239" s="2">
        <v>44075</v>
      </c>
      <c r="E7239" t="s">
        <v>11</v>
      </c>
      <c r="F7239">
        <v>116.4</v>
      </c>
      <c r="G7239" t="str">
        <f>VLOOKUP(Table1_2[[#This Row],[Categories]],Sheet3!$A$1:$B$27,2,FALSE)</f>
        <v>Food &amp;Beverage</v>
      </c>
    </row>
    <row r="7240" spans="1:7" x14ac:dyDescent="0.3">
      <c r="A7240" t="s">
        <v>34</v>
      </c>
      <c r="B7240">
        <v>2020</v>
      </c>
      <c r="C7240" t="s">
        <v>42</v>
      </c>
      <c r="D7240" s="2">
        <v>44075</v>
      </c>
      <c r="E7240" t="s">
        <v>12</v>
      </c>
      <c r="F7240">
        <v>160.30000000000001</v>
      </c>
      <c r="G7240" t="str">
        <f>VLOOKUP(Table1_2[[#This Row],[Categories]],Sheet3!$A$1:$B$27,2,FALSE)</f>
        <v>Food &amp;Beverage</v>
      </c>
    </row>
    <row r="7241" spans="1:7" x14ac:dyDescent="0.3">
      <c r="A7241" t="s">
        <v>34</v>
      </c>
      <c r="B7241">
        <v>2020</v>
      </c>
      <c r="C7241" t="s">
        <v>42</v>
      </c>
      <c r="D7241" s="2">
        <v>44075</v>
      </c>
      <c r="E7241" t="s">
        <v>13</v>
      </c>
      <c r="F7241">
        <v>142.19999999999999</v>
      </c>
      <c r="G7241" t="str">
        <f>VLOOKUP(Table1_2[[#This Row],[Categories]],Sheet3!$A$1:$B$27,2,FALSE)</f>
        <v>Food &amp;Beverage</v>
      </c>
    </row>
    <row r="7242" spans="1:7" x14ac:dyDescent="0.3">
      <c r="A7242" t="s">
        <v>34</v>
      </c>
      <c r="B7242">
        <v>2020</v>
      </c>
      <c r="C7242" t="s">
        <v>42</v>
      </c>
      <c r="D7242" s="2">
        <v>44075</v>
      </c>
      <c r="E7242" t="s">
        <v>14</v>
      </c>
      <c r="F7242">
        <v>162.9</v>
      </c>
      <c r="G7242" t="str">
        <f>VLOOKUP(Table1_2[[#This Row],[Categories]],Sheet3!$A$1:$B$27,2,FALSE)</f>
        <v>Food &amp;Beverage</v>
      </c>
    </row>
    <row r="7243" spans="1:7" x14ac:dyDescent="0.3">
      <c r="A7243" t="s">
        <v>34</v>
      </c>
      <c r="B7243">
        <v>2020</v>
      </c>
      <c r="C7243" t="s">
        <v>42</v>
      </c>
      <c r="D7243" s="2">
        <v>44075</v>
      </c>
      <c r="E7243" t="s">
        <v>15</v>
      </c>
      <c r="F7243">
        <v>158</v>
      </c>
      <c r="G7243" t="str">
        <f>VLOOKUP(Table1_2[[#This Row],[Categories]],Sheet3!$A$1:$B$27,2,FALSE)</f>
        <v>Food &amp;Beverage</v>
      </c>
    </row>
    <row r="7244" spans="1:7" x14ac:dyDescent="0.3">
      <c r="A7244" t="s">
        <v>34</v>
      </c>
      <c r="B7244">
        <v>2020</v>
      </c>
      <c r="C7244" t="s">
        <v>42</v>
      </c>
      <c r="D7244" s="2">
        <v>44075</v>
      </c>
      <c r="E7244" t="s">
        <v>16</v>
      </c>
      <c r="F7244">
        <v>184.4</v>
      </c>
      <c r="G7244" t="str">
        <f>VLOOKUP(Table1_2[[#This Row],[Categories]],Sheet3!$A$1:$B$27,2,FALSE)</f>
        <v>Recreation and amusement</v>
      </c>
    </row>
    <row r="7245" spans="1:7" x14ac:dyDescent="0.3">
      <c r="A7245" t="s">
        <v>34</v>
      </c>
      <c r="B7245">
        <v>2020</v>
      </c>
      <c r="C7245" t="s">
        <v>42</v>
      </c>
      <c r="D7245" s="2">
        <v>44075</v>
      </c>
      <c r="E7245" t="s">
        <v>17</v>
      </c>
      <c r="F7245">
        <v>153.4</v>
      </c>
      <c r="G7245" t="str">
        <f>VLOOKUP(Table1_2[[#This Row],[Categories]],Sheet3!$A$1:$B$27,2,FALSE)</f>
        <v>Clothing and footwear</v>
      </c>
    </row>
    <row r="7246" spans="1:7" x14ac:dyDescent="0.3">
      <c r="A7246" t="s">
        <v>34</v>
      </c>
      <c r="B7246">
        <v>2020</v>
      </c>
      <c r="C7246" t="s">
        <v>42</v>
      </c>
      <c r="D7246" s="2">
        <v>44075</v>
      </c>
      <c r="E7246" t="s">
        <v>18</v>
      </c>
      <c r="F7246">
        <v>144.30000000000001</v>
      </c>
      <c r="G7246" t="str">
        <f>VLOOKUP(Table1_2[[#This Row],[Categories]],Sheet3!$A$1:$B$27,2,FALSE)</f>
        <v>Clothing and footwear</v>
      </c>
    </row>
    <row r="7247" spans="1:7" x14ac:dyDescent="0.3">
      <c r="A7247" t="s">
        <v>34</v>
      </c>
      <c r="B7247">
        <v>2020</v>
      </c>
      <c r="C7247" t="s">
        <v>42</v>
      </c>
      <c r="D7247" s="2">
        <v>44075</v>
      </c>
      <c r="E7247" t="s">
        <v>19</v>
      </c>
      <c r="F7247">
        <v>152</v>
      </c>
      <c r="G7247" t="str">
        <f>VLOOKUP(Table1_2[[#This Row],[Categories]],Sheet3!$A$1:$B$27,2,FALSE)</f>
        <v>Clothing and footwear</v>
      </c>
    </row>
    <row r="7248" spans="1:7" x14ac:dyDescent="0.3">
      <c r="A7248" t="s">
        <v>34</v>
      </c>
      <c r="B7248">
        <v>2020</v>
      </c>
      <c r="C7248" t="s">
        <v>42</v>
      </c>
      <c r="D7248" s="2">
        <v>44075</v>
      </c>
      <c r="E7248" t="s">
        <v>20</v>
      </c>
      <c r="F7248">
        <v>156.30000000000001</v>
      </c>
      <c r="G7248" t="str">
        <f>VLOOKUP(Table1_2[[#This Row],[Categories]],Sheet3!$A$1:$B$27,2,FALSE)</f>
        <v>Housing</v>
      </c>
    </row>
    <row r="7249" spans="1:7" x14ac:dyDescent="0.3">
      <c r="A7249" t="s">
        <v>34</v>
      </c>
      <c r="B7249">
        <v>2020</v>
      </c>
      <c r="C7249" t="s">
        <v>42</v>
      </c>
      <c r="D7249" s="2">
        <v>44075</v>
      </c>
      <c r="E7249" t="s">
        <v>21</v>
      </c>
      <c r="F7249">
        <v>142.9</v>
      </c>
      <c r="G7249" t="str">
        <f>VLOOKUP(Table1_2[[#This Row],[Categories]],Sheet3!$A$1:$B$27,2,FALSE)</f>
        <v>Fuel and light</v>
      </c>
    </row>
    <row r="7250" spans="1:7" x14ac:dyDescent="0.3">
      <c r="A7250" t="s">
        <v>34</v>
      </c>
      <c r="B7250">
        <v>2020</v>
      </c>
      <c r="C7250" t="s">
        <v>42</v>
      </c>
      <c r="D7250" s="2">
        <v>44075</v>
      </c>
      <c r="E7250" t="s">
        <v>22</v>
      </c>
      <c r="F7250">
        <v>148.69999999999999</v>
      </c>
      <c r="G7250" t="str">
        <f>VLOOKUP(Table1_2[[#This Row],[Categories]],Sheet3!$A$1:$B$27,2,FALSE)</f>
        <v>Household Items</v>
      </c>
    </row>
    <row r="7251" spans="1:7" x14ac:dyDescent="0.3">
      <c r="A7251" t="s">
        <v>34</v>
      </c>
      <c r="B7251">
        <v>2020</v>
      </c>
      <c r="C7251" t="s">
        <v>42</v>
      </c>
      <c r="D7251" s="2">
        <v>44075</v>
      </c>
      <c r="E7251" t="s">
        <v>23</v>
      </c>
      <c r="F7251">
        <v>155.6</v>
      </c>
      <c r="G7251" t="str">
        <f>VLOOKUP(Table1_2[[#This Row],[Categories]],Sheet3!$A$1:$B$27,2,FALSE)</f>
        <v>Health</v>
      </c>
    </row>
    <row r="7252" spans="1:7" x14ac:dyDescent="0.3">
      <c r="A7252" t="s">
        <v>34</v>
      </c>
      <c r="B7252">
        <v>2020</v>
      </c>
      <c r="C7252" t="s">
        <v>42</v>
      </c>
      <c r="D7252" s="2">
        <v>44075</v>
      </c>
      <c r="E7252" t="s">
        <v>24</v>
      </c>
      <c r="F7252">
        <v>139.6</v>
      </c>
      <c r="G7252" t="str">
        <f>VLOOKUP(Table1_2[[#This Row],[Categories]],Sheet3!$A$1:$B$27,2,FALSE)</f>
        <v>Transport and communication</v>
      </c>
    </row>
    <row r="7253" spans="1:7" x14ac:dyDescent="0.3">
      <c r="A7253" t="s">
        <v>34</v>
      </c>
      <c r="B7253">
        <v>2020</v>
      </c>
      <c r="C7253" t="s">
        <v>42</v>
      </c>
      <c r="D7253" s="2">
        <v>44075</v>
      </c>
      <c r="E7253" t="s">
        <v>25</v>
      </c>
      <c r="F7253">
        <v>146.6</v>
      </c>
      <c r="G7253" t="str">
        <f>VLOOKUP(Table1_2[[#This Row],[Categories]],Sheet3!$A$1:$B$27,2,FALSE)</f>
        <v>Recreation and amusement</v>
      </c>
    </row>
    <row r="7254" spans="1:7" x14ac:dyDescent="0.3">
      <c r="A7254" t="s">
        <v>34</v>
      </c>
      <c r="B7254">
        <v>2020</v>
      </c>
      <c r="C7254" t="s">
        <v>42</v>
      </c>
      <c r="D7254" s="2">
        <v>44075</v>
      </c>
      <c r="E7254" t="s">
        <v>26</v>
      </c>
      <c r="F7254">
        <v>157.5</v>
      </c>
      <c r="G7254" t="str">
        <f>VLOOKUP(Table1_2[[#This Row],[Categories]],Sheet3!$A$1:$B$27,2,FALSE)</f>
        <v>Education</v>
      </c>
    </row>
    <row r="7255" spans="1:7" x14ac:dyDescent="0.3">
      <c r="A7255" t="s">
        <v>34</v>
      </c>
      <c r="B7255">
        <v>2020</v>
      </c>
      <c r="C7255" t="s">
        <v>42</v>
      </c>
      <c r="D7255" s="2">
        <v>44075</v>
      </c>
      <c r="E7255" t="s">
        <v>27</v>
      </c>
      <c r="F7255">
        <v>158.4</v>
      </c>
      <c r="G7255" t="str">
        <f>VLOOKUP(Table1_2[[#This Row],[Categories]],Sheet3!$A$1:$B$27,2,FALSE)</f>
        <v>Household Items</v>
      </c>
    </row>
    <row r="7256" spans="1:7" x14ac:dyDescent="0.3">
      <c r="A7256" t="s">
        <v>34</v>
      </c>
      <c r="B7256">
        <v>2020</v>
      </c>
      <c r="C7256" t="s">
        <v>42</v>
      </c>
      <c r="D7256" s="2">
        <v>44075</v>
      </c>
      <c r="E7256" t="s">
        <v>28</v>
      </c>
      <c r="F7256">
        <v>150</v>
      </c>
      <c r="G7256" t="str">
        <f>VLOOKUP(Table1_2[[#This Row],[Categories]],Sheet3!$A$1:$B$27,2,FALSE)</f>
        <v>Miscellaneous</v>
      </c>
    </row>
    <row r="7257" spans="1:7" x14ac:dyDescent="0.3">
      <c r="A7257" t="s">
        <v>34</v>
      </c>
      <c r="B7257">
        <v>2020</v>
      </c>
      <c r="C7257" t="s">
        <v>42</v>
      </c>
      <c r="D7257" s="2">
        <v>44075</v>
      </c>
      <c r="E7257" t="s">
        <v>29</v>
      </c>
      <c r="F7257">
        <v>154.69999999999999</v>
      </c>
      <c r="G7257" t="str">
        <f>VLOOKUP(Table1_2[[#This Row],[Categories]],Sheet3!$A$1:$B$27,2,FALSE)</f>
        <v>General index</v>
      </c>
    </row>
    <row r="7258" spans="1:7" x14ac:dyDescent="0.3">
      <c r="A7258" t="s">
        <v>30</v>
      </c>
      <c r="B7258">
        <v>2020</v>
      </c>
      <c r="C7258" t="s">
        <v>43</v>
      </c>
      <c r="D7258" s="2">
        <v>44105</v>
      </c>
      <c r="E7258" t="s">
        <v>3</v>
      </c>
      <c r="F7258">
        <v>146</v>
      </c>
      <c r="G7258" t="str">
        <f>VLOOKUP(Table1_2[[#This Row],[Categories]],Sheet3!$A$1:$B$27,2,FALSE)</f>
        <v>Food &amp;Beverage</v>
      </c>
    </row>
    <row r="7259" spans="1:7" x14ac:dyDescent="0.3">
      <c r="A7259" t="s">
        <v>30</v>
      </c>
      <c r="B7259">
        <v>2020</v>
      </c>
      <c r="C7259" t="s">
        <v>43</v>
      </c>
      <c r="D7259" s="2">
        <v>44105</v>
      </c>
      <c r="E7259" t="s">
        <v>4</v>
      </c>
      <c r="F7259">
        <v>186.3</v>
      </c>
      <c r="G7259" t="str">
        <f>VLOOKUP(Table1_2[[#This Row],[Categories]],Sheet3!$A$1:$B$27,2,FALSE)</f>
        <v>Food &amp;Beverage</v>
      </c>
    </row>
    <row r="7260" spans="1:7" x14ac:dyDescent="0.3">
      <c r="A7260" t="s">
        <v>30</v>
      </c>
      <c r="B7260">
        <v>2020</v>
      </c>
      <c r="C7260" t="s">
        <v>43</v>
      </c>
      <c r="D7260" s="2">
        <v>44105</v>
      </c>
      <c r="E7260" t="s">
        <v>5</v>
      </c>
      <c r="F7260">
        <v>159.19999999999999</v>
      </c>
      <c r="G7260" t="str">
        <f>VLOOKUP(Table1_2[[#This Row],[Categories]],Sheet3!$A$1:$B$27,2,FALSE)</f>
        <v>Food &amp;Beverage</v>
      </c>
    </row>
    <row r="7261" spans="1:7" x14ac:dyDescent="0.3">
      <c r="A7261" t="s">
        <v>30</v>
      </c>
      <c r="B7261">
        <v>2020</v>
      </c>
      <c r="C7261" t="s">
        <v>43</v>
      </c>
      <c r="D7261" s="2">
        <v>44105</v>
      </c>
      <c r="E7261" t="s">
        <v>6</v>
      </c>
      <c r="F7261">
        <v>153.6</v>
      </c>
      <c r="G7261" t="str">
        <f>VLOOKUP(Table1_2[[#This Row],[Categories]],Sheet3!$A$1:$B$27,2,FALSE)</f>
        <v>Food &amp;Beverage</v>
      </c>
    </row>
    <row r="7262" spans="1:7" x14ac:dyDescent="0.3">
      <c r="A7262" t="s">
        <v>30</v>
      </c>
      <c r="B7262">
        <v>2020</v>
      </c>
      <c r="C7262" t="s">
        <v>43</v>
      </c>
      <c r="D7262" s="2">
        <v>44105</v>
      </c>
      <c r="E7262" t="s">
        <v>7</v>
      </c>
      <c r="F7262">
        <v>142.6</v>
      </c>
      <c r="G7262" t="str">
        <f>VLOOKUP(Table1_2[[#This Row],[Categories]],Sheet3!$A$1:$B$27,2,FALSE)</f>
        <v>Food &amp;Beverage</v>
      </c>
    </row>
    <row r="7263" spans="1:7" x14ac:dyDescent="0.3">
      <c r="A7263" t="s">
        <v>30</v>
      </c>
      <c r="B7263">
        <v>2020</v>
      </c>
      <c r="C7263" t="s">
        <v>43</v>
      </c>
      <c r="D7263" s="2">
        <v>44105</v>
      </c>
      <c r="E7263" t="s">
        <v>8</v>
      </c>
      <c r="F7263">
        <v>147.19999999999999</v>
      </c>
      <c r="G7263" t="str">
        <f>VLOOKUP(Table1_2[[#This Row],[Categories]],Sheet3!$A$1:$B$27,2,FALSE)</f>
        <v>Food &amp;Beverage</v>
      </c>
    </row>
    <row r="7264" spans="1:7" x14ac:dyDescent="0.3">
      <c r="A7264" t="s">
        <v>30</v>
      </c>
      <c r="B7264">
        <v>2020</v>
      </c>
      <c r="C7264" t="s">
        <v>43</v>
      </c>
      <c r="D7264" s="2">
        <v>44105</v>
      </c>
      <c r="E7264" t="s">
        <v>9</v>
      </c>
      <c r="F7264">
        <v>200.6</v>
      </c>
      <c r="G7264" t="str">
        <f>VLOOKUP(Table1_2[[#This Row],[Categories]],Sheet3!$A$1:$B$27,2,FALSE)</f>
        <v>Food &amp;Beverage</v>
      </c>
    </row>
    <row r="7265" spans="1:7" x14ac:dyDescent="0.3">
      <c r="A7265" t="s">
        <v>30</v>
      </c>
      <c r="B7265">
        <v>2020</v>
      </c>
      <c r="C7265" t="s">
        <v>43</v>
      </c>
      <c r="D7265" s="2">
        <v>44105</v>
      </c>
      <c r="E7265" t="s">
        <v>10</v>
      </c>
      <c r="F7265">
        <v>150.30000000000001</v>
      </c>
      <c r="G7265" t="str">
        <f>VLOOKUP(Table1_2[[#This Row],[Categories]],Sheet3!$A$1:$B$27,2,FALSE)</f>
        <v>Food &amp;Beverage</v>
      </c>
    </row>
    <row r="7266" spans="1:7" x14ac:dyDescent="0.3">
      <c r="A7266" t="s">
        <v>30</v>
      </c>
      <c r="B7266">
        <v>2020</v>
      </c>
      <c r="C7266" t="s">
        <v>43</v>
      </c>
      <c r="D7266" s="2">
        <v>44105</v>
      </c>
      <c r="E7266" t="s">
        <v>11</v>
      </c>
      <c r="F7266">
        <v>115.3</v>
      </c>
      <c r="G7266" t="str">
        <f>VLOOKUP(Table1_2[[#This Row],[Categories]],Sheet3!$A$1:$B$27,2,FALSE)</f>
        <v>Food &amp;Beverage</v>
      </c>
    </row>
    <row r="7267" spans="1:7" x14ac:dyDescent="0.3">
      <c r="A7267" t="s">
        <v>30</v>
      </c>
      <c r="B7267">
        <v>2020</v>
      </c>
      <c r="C7267" t="s">
        <v>43</v>
      </c>
      <c r="D7267" s="2">
        <v>44105</v>
      </c>
      <c r="E7267" t="s">
        <v>12</v>
      </c>
      <c r="F7267">
        <v>160.9</v>
      </c>
      <c r="G7267" t="str">
        <f>VLOOKUP(Table1_2[[#This Row],[Categories]],Sheet3!$A$1:$B$27,2,FALSE)</f>
        <v>Food &amp;Beverage</v>
      </c>
    </row>
    <row r="7268" spans="1:7" x14ac:dyDescent="0.3">
      <c r="A7268" t="s">
        <v>30</v>
      </c>
      <c r="B7268">
        <v>2020</v>
      </c>
      <c r="C7268" t="s">
        <v>43</v>
      </c>
      <c r="D7268" s="2">
        <v>44105</v>
      </c>
      <c r="E7268" t="s">
        <v>13</v>
      </c>
      <c r="F7268">
        <v>147.4</v>
      </c>
      <c r="G7268" t="str">
        <f>VLOOKUP(Table1_2[[#This Row],[Categories]],Sheet3!$A$1:$B$27,2,FALSE)</f>
        <v>Food &amp;Beverage</v>
      </c>
    </row>
    <row r="7269" spans="1:7" x14ac:dyDescent="0.3">
      <c r="A7269" t="s">
        <v>30</v>
      </c>
      <c r="B7269">
        <v>2020</v>
      </c>
      <c r="C7269" t="s">
        <v>43</v>
      </c>
      <c r="D7269" s="2">
        <v>44105</v>
      </c>
      <c r="E7269" t="s">
        <v>14</v>
      </c>
      <c r="F7269">
        <v>161.9</v>
      </c>
      <c r="G7269" t="str">
        <f>VLOOKUP(Table1_2[[#This Row],[Categories]],Sheet3!$A$1:$B$27,2,FALSE)</f>
        <v>Food &amp;Beverage</v>
      </c>
    </row>
    <row r="7270" spans="1:7" x14ac:dyDescent="0.3">
      <c r="A7270" t="s">
        <v>30</v>
      </c>
      <c r="B7270">
        <v>2020</v>
      </c>
      <c r="C7270" t="s">
        <v>43</v>
      </c>
      <c r="D7270" s="2">
        <v>44105</v>
      </c>
      <c r="E7270" t="s">
        <v>15</v>
      </c>
      <c r="F7270">
        <v>159.6</v>
      </c>
      <c r="G7270" t="str">
        <f>VLOOKUP(Table1_2[[#This Row],[Categories]],Sheet3!$A$1:$B$27,2,FALSE)</f>
        <v>Food &amp;Beverage</v>
      </c>
    </row>
    <row r="7271" spans="1:7" x14ac:dyDescent="0.3">
      <c r="A7271" t="s">
        <v>30</v>
      </c>
      <c r="B7271">
        <v>2020</v>
      </c>
      <c r="C7271" t="s">
        <v>43</v>
      </c>
      <c r="D7271" s="2">
        <v>44105</v>
      </c>
      <c r="E7271" t="s">
        <v>16</v>
      </c>
      <c r="F7271">
        <v>182.7</v>
      </c>
      <c r="G7271" t="str">
        <f>VLOOKUP(Table1_2[[#This Row],[Categories]],Sheet3!$A$1:$B$27,2,FALSE)</f>
        <v>Recreation and amusement</v>
      </c>
    </row>
    <row r="7272" spans="1:7" x14ac:dyDescent="0.3">
      <c r="A7272" t="s">
        <v>30</v>
      </c>
      <c r="B7272">
        <v>2020</v>
      </c>
      <c r="C7272" t="s">
        <v>43</v>
      </c>
      <c r="D7272" s="2">
        <v>44105</v>
      </c>
      <c r="E7272" t="s">
        <v>17</v>
      </c>
      <c r="F7272">
        <v>155.69999999999999</v>
      </c>
      <c r="G7272" t="str">
        <f>VLOOKUP(Table1_2[[#This Row],[Categories]],Sheet3!$A$1:$B$27,2,FALSE)</f>
        <v>Clothing and footwear</v>
      </c>
    </row>
    <row r="7273" spans="1:7" x14ac:dyDescent="0.3">
      <c r="A7273" t="s">
        <v>30</v>
      </c>
      <c r="B7273">
        <v>2020</v>
      </c>
      <c r="C7273" t="s">
        <v>43</v>
      </c>
      <c r="D7273" s="2">
        <v>44105</v>
      </c>
      <c r="E7273" t="s">
        <v>18</v>
      </c>
      <c r="F7273">
        <v>150.6</v>
      </c>
      <c r="G7273" t="str">
        <f>VLOOKUP(Table1_2[[#This Row],[Categories]],Sheet3!$A$1:$B$27,2,FALSE)</f>
        <v>Clothing and footwear</v>
      </c>
    </row>
    <row r="7274" spans="1:7" x14ac:dyDescent="0.3">
      <c r="A7274" t="s">
        <v>30</v>
      </c>
      <c r="B7274">
        <v>2020</v>
      </c>
      <c r="C7274" t="s">
        <v>43</v>
      </c>
      <c r="D7274" s="2">
        <v>44105</v>
      </c>
      <c r="E7274" t="s">
        <v>19</v>
      </c>
      <c r="F7274">
        <v>155</v>
      </c>
      <c r="G7274" t="str">
        <f>VLOOKUP(Table1_2[[#This Row],[Categories]],Sheet3!$A$1:$B$27,2,FALSE)</f>
        <v>Clothing and footwear</v>
      </c>
    </row>
    <row r="7275" spans="1:7" x14ac:dyDescent="0.3">
      <c r="A7275" t="s">
        <v>30</v>
      </c>
      <c r="B7275">
        <v>2020</v>
      </c>
      <c r="C7275" t="s">
        <v>43</v>
      </c>
      <c r="D7275" s="2">
        <v>44105</v>
      </c>
      <c r="E7275" t="s">
        <v>21</v>
      </c>
      <c r="F7275">
        <v>146.80000000000001</v>
      </c>
      <c r="G7275" t="str">
        <f>VLOOKUP(Table1_2[[#This Row],[Categories]],Sheet3!$A$1:$B$27,2,FALSE)</f>
        <v>Fuel and light</v>
      </c>
    </row>
    <row r="7276" spans="1:7" x14ac:dyDescent="0.3">
      <c r="A7276" t="s">
        <v>30</v>
      </c>
      <c r="B7276">
        <v>2020</v>
      </c>
      <c r="C7276" t="s">
        <v>43</v>
      </c>
      <c r="D7276" s="2">
        <v>44105</v>
      </c>
      <c r="E7276" t="s">
        <v>22</v>
      </c>
      <c r="F7276">
        <v>152</v>
      </c>
      <c r="G7276" t="str">
        <f>VLOOKUP(Table1_2[[#This Row],[Categories]],Sheet3!$A$1:$B$27,2,FALSE)</f>
        <v>Household Items</v>
      </c>
    </row>
    <row r="7277" spans="1:7" x14ac:dyDescent="0.3">
      <c r="A7277" t="s">
        <v>30</v>
      </c>
      <c r="B7277">
        <v>2020</v>
      </c>
      <c r="C7277" t="s">
        <v>43</v>
      </c>
      <c r="D7277" s="2">
        <v>44105</v>
      </c>
      <c r="E7277" t="s">
        <v>23</v>
      </c>
      <c r="F7277">
        <v>159.5</v>
      </c>
      <c r="G7277" t="str">
        <f>VLOOKUP(Table1_2[[#This Row],[Categories]],Sheet3!$A$1:$B$27,2,FALSE)</f>
        <v>Health</v>
      </c>
    </row>
    <row r="7278" spans="1:7" x14ac:dyDescent="0.3">
      <c r="A7278" t="s">
        <v>30</v>
      </c>
      <c r="B7278">
        <v>2020</v>
      </c>
      <c r="C7278" t="s">
        <v>43</v>
      </c>
      <c r="D7278" s="2">
        <v>44105</v>
      </c>
      <c r="E7278" t="s">
        <v>24</v>
      </c>
      <c r="F7278">
        <v>146.4</v>
      </c>
      <c r="G7278" t="str">
        <f>VLOOKUP(Table1_2[[#This Row],[Categories]],Sheet3!$A$1:$B$27,2,FALSE)</f>
        <v>Transport and communication</v>
      </c>
    </row>
    <row r="7279" spans="1:7" x14ac:dyDescent="0.3">
      <c r="A7279" t="s">
        <v>30</v>
      </c>
      <c r="B7279">
        <v>2020</v>
      </c>
      <c r="C7279" t="s">
        <v>43</v>
      </c>
      <c r="D7279" s="2">
        <v>44105</v>
      </c>
      <c r="E7279" t="s">
        <v>25</v>
      </c>
      <c r="F7279">
        <v>152.4</v>
      </c>
      <c r="G7279" t="str">
        <f>VLOOKUP(Table1_2[[#This Row],[Categories]],Sheet3!$A$1:$B$27,2,FALSE)</f>
        <v>Recreation and amusement</v>
      </c>
    </row>
    <row r="7280" spans="1:7" x14ac:dyDescent="0.3">
      <c r="A7280" t="s">
        <v>30</v>
      </c>
      <c r="B7280">
        <v>2020</v>
      </c>
      <c r="C7280" t="s">
        <v>43</v>
      </c>
      <c r="D7280" s="2">
        <v>44105</v>
      </c>
      <c r="E7280" t="s">
        <v>26</v>
      </c>
      <c r="F7280">
        <v>162.5</v>
      </c>
      <c r="G7280" t="str">
        <f>VLOOKUP(Table1_2[[#This Row],[Categories]],Sheet3!$A$1:$B$27,2,FALSE)</f>
        <v>Education</v>
      </c>
    </row>
    <row r="7281" spans="1:7" x14ac:dyDescent="0.3">
      <c r="A7281" t="s">
        <v>30</v>
      </c>
      <c r="B7281">
        <v>2020</v>
      </c>
      <c r="C7281" t="s">
        <v>43</v>
      </c>
      <c r="D7281" s="2">
        <v>44105</v>
      </c>
      <c r="E7281" t="s">
        <v>27</v>
      </c>
      <c r="F7281">
        <v>156.19999999999999</v>
      </c>
      <c r="G7281" t="str">
        <f>VLOOKUP(Table1_2[[#This Row],[Categories]],Sheet3!$A$1:$B$27,2,FALSE)</f>
        <v>Household Items</v>
      </c>
    </row>
    <row r="7282" spans="1:7" x14ac:dyDescent="0.3">
      <c r="A7282" t="s">
        <v>30</v>
      </c>
      <c r="B7282">
        <v>2020</v>
      </c>
      <c r="C7282" t="s">
        <v>43</v>
      </c>
      <c r="D7282" s="2">
        <v>44105</v>
      </c>
      <c r="E7282" t="s">
        <v>28</v>
      </c>
      <c r="F7282">
        <v>154.30000000000001</v>
      </c>
      <c r="G7282" t="str">
        <f>VLOOKUP(Table1_2[[#This Row],[Categories]],Sheet3!$A$1:$B$27,2,FALSE)</f>
        <v>Miscellaneous</v>
      </c>
    </row>
    <row r="7283" spans="1:7" x14ac:dyDescent="0.3">
      <c r="A7283" t="s">
        <v>30</v>
      </c>
      <c r="B7283">
        <v>2020</v>
      </c>
      <c r="C7283" t="s">
        <v>43</v>
      </c>
      <c r="D7283" s="2">
        <v>44105</v>
      </c>
      <c r="E7283" t="s">
        <v>29</v>
      </c>
      <c r="F7283">
        <v>157.5</v>
      </c>
      <c r="G7283" t="str">
        <f>VLOOKUP(Table1_2[[#This Row],[Categories]],Sheet3!$A$1:$B$27,2,FALSE)</f>
        <v>General index</v>
      </c>
    </row>
    <row r="7284" spans="1:7" x14ac:dyDescent="0.3">
      <c r="A7284" t="s">
        <v>33</v>
      </c>
      <c r="B7284">
        <v>2020</v>
      </c>
      <c r="C7284" t="s">
        <v>43</v>
      </c>
      <c r="D7284" s="2">
        <v>44105</v>
      </c>
      <c r="E7284" t="s">
        <v>3</v>
      </c>
      <c r="F7284">
        <v>150.6</v>
      </c>
      <c r="G7284" t="str">
        <f>VLOOKUP(Table1_2[[#This Row],[Categories]],Sheet3!$A$1:$B$27,2,FALSE)</f>
        <v>Food &amp;Beverage</v>
      </c>
    </row>
    <row r="7285" spans="1:7" x14ac:dyDescent="0.3">
      <c r="A7285" t="s">
        <v>33</v>
      </c>
      <c r="B7285">
        <v>2020</v>
      </c>
      <c r="C7285" t="s">
        <v>43</v>
      </c>
      <c r="D7285" s="2">
        <v>44105</v>
      </c>
      <c r="E7285" t="s">
        <v>4</v>
      </c>
      <c r="F7285">
        <v>193.7</v>
      </c>
      <c r="G7285" t="str">
        <f>VLOOKUP(Table1_2[[#This Row],[Categories]],Sheet3!$A$1:$B$27,2,FALSE)</f>
        <v>Food &amp;Beverage</v>
      </c>
    </row>
    <row r="7286" spans="1:7" x14ac:dyDescent="0.3">
      <c r="A7286" t="s">
        <v>33</v>
      </c>
      <c r="B7286">
        <v>2020</v>
      </c>
      <c r="C7286" t="s">
        <v>43</v>
      </c>
      <c r="D7286" s="2">
        <v>44105</v>
      </c>
      <c r="E7286" t="s">
        <v>5</v>
      </c>
      <c r="F7286">
        <v>164.8</v>
      </c>
      <c r="G7286" t="str">
        <f>VLOOKUP(Table1_2[[#This Row],[Categories]],Sheet3!$A$1:$B$27,2,FALSE)</f>
        <v>Food &amp;Beverage</v>
      </c>
    </row>
    <row r="7287" spans="1:7" x14ac:dyDescent="0.3">
      <c r="A7287" t="s">
        <v>33</v>
      </c>
      <c r="B7287">
        <v>2020</v>
      </c>
      <c r="C7287" t="s">
        <v>43</v>
      </c>
      <c r="D7287" s="2">
        <v>44105</v>
      </c>
      <c r="E7287" t="s">
        <v>6</v>
      </c>
      <c r="F7287">
        <v>153.69999999999999</v>
      </c>
      <c r="G7287" t="str">
        <f>VLOOKUP(Table1_2[[#This Row],[Categories]],Sheet3!$A$1:$B$27,2,FALSE)</f>
        <v>Food &amp;Beverage</v>
      </c>
    </row>
    <row r="7288" spans="1:7" x14ac:dyDescent="0.3">
      <c r="A7288" t="s">
        <v>33</v>
      </c>
      <c r="B7288">
        <v>2020</v>
      </c>
      <c r="C7288" t="s">
        <v>43</v>
      </c>
      <c r="D7288" s="2">
        <v>44105</v>
      </c>
      <c r="E7288" t="s">
        <v>7</v>
      </c>
      <c r="F7288">
        <v>135.69999999999999</v>
      </c>
      <c r="G7288" t="str">
        <f>VLOOKUP(Table1_2[[#This Row],[Categories]],Sheet3!$A$1:$B$27,2,FALSE)</f>
        <v>Food &amp;Beverage</v>
      </c>
    </row>
    <row r="7289" spans="1:7" x14ac:dyDescent="0.3">
      <c r="A7289" t="s">
        <v>33</v>
      </c>
      <c r="B7289">
        <v>2020</v>
      </c>
      <c r="C7289" t="s">
        <v>43</v>
      </c>
      <c r="D7289" s="2">
        <v>44105</v>
      </c>
      <c r="E7289" t="s">
        <v>8</v>
      </c>
      <c r="F7289">
        <v>155.69999999999999</v>
      </c>
      <c r="G7289" t="str">
        <f>VLOOKUP(Table1_2[[#This Row],[Categories]],Sheet3!$A$1:$B$27,2,FALSE)</f>
        <v>Food &amp;Beverage</v>
      </c>
    </row>
    <row r="7290" spans="1:7" x14ac:dyDescent="0.3">
      <c r="A7290" t="s">
        <v>33</v>
      </c>
      <c r="B7290">
        <v>2020</v>
      </c>
      <c r="C7290" t="s">
        <v>43</v>
      </c>
      <c r="D7290" s="2">
        <v>44105</v>
      </c>
      <c r="E7290" t="s">
        <v>9</v>
      </c>
      <c r="F7290">
        <v>226</v>
      </c>
      <c r="G7290" t="str">
        <f>VLOOKUP(Table1_2[[#This Row],[Categories]],Sheet3!$A$1:$B$27,2,FALSE)</f>
        <v>Food &amp;Beverage</v>
      </c>
    </row>
    <row r="7291" spans="1:7" x14ac:dyDescent="0.3">
      <c r="A7291" t="s">
        <v>33</v>
      </c>
      <c r="B7291">
        <v>2020</v>
      </c>
      <c r="C7291" t="s">
        <v>43</v>
      </c>
      <c r="D7291" s="2">
        <v>44105</v>
      </c>
      <c r="E7291" t="s">
        <v>10</v>
      </c>
      <c r="F7291">
        <v>152.19999999999999</v>
      </c>
      <c r="G7291" t="str">
        <f>VLOOKUP(Table1_2[[#This Row],[Categories]],Sheet3!$A$1:$B$27,2,FALSE)</f>
        <v>Food &amp;Beverage</v>
      </c>
    </row>
    <row r="7292" spans="1:7" x14ac:dyDescent="0.3">
      <c r="A7292" t="s">
        <v>33</v>
      </c>
      <c r="B7292">
        <v>2020</v>
      </c>
      <c r="C7292" t="s">
        <v>43</v>
      </c>
      <c r="D7292" s="2">
        <v>44105</v>
      </c>
      <c r="E7292" t="s">
        <v>11</v>
      </c>
      <c r="F7292">
        <v>118.1</v>
      </c>
      <c r="G7292" t="str">
        <f>VLOOKUP(Table1_2[[#This Row],[Categories]],Sheet3!$A$1:$B$27,2,FALSE)</f>
        <v>Food &amp;Beverage</v>
      </c>
    </row>
    <row r="7293" spans="1:7" x14ac:dyDescent="0.3">
      <c r="A7293" t="s">
        <v>33</v>
      </c>
      <c r="B7293">
        <v>2020</v>
      </c>
      <c r="C7293" t="s">
        <v>43</v>
      </c>
      <c r="D7293" s="2">
        <v>44105</v>
      </c>
      <c r="E7293" t="s">
        <v>12</v>
      </c>
      <c r="F7293">
        <v>161.30000000000001</v>
      </c>
      <c r="G7293" t="str">
        <f>VLOOKUP(Table1_2[[#This Row],[Categories]],Sheet3!$A$1:$B$27,2,FALSE)</f>
        <v>Food &amp;Beverage</v>
      </c>
    </row>
    <row r="7294" spans="1:7" x14ac:dyDescent="0.3">
      <c r="A7294" t="s">
        <v>33</v>
      </c>
      <c r="B7294">
        <v>2020</v>
      </c>
      <c r="C7294" t="s">
        <v>43</v>
      </c>
      <c r="D7294" s="2">
        <v>44105</v>
      </c>
      <c r="E7294" t="s">
        <v>13</v>
      </c>
      <c r="F7294">
        <v>139.19999999999999</v>
      </c>
      <c r="G7294" t="str">
        <f>VLOOKUP(Table1_2[[#This Row],[Categories]],Sheet3!$A$1:$B$27,2,FALSE)</f>
        <v>Food &amp;Beverage</v>
      </c>
    </row>
    <row r="7295" spans="1:7" x14ac:dyDescent="0.3">
      <c r="A7295" t="s">
        <v>33</v>
      </c>
      <c r="B7295">
        <v>2020</v>
      </c>
      <c r="C7295" t="s">
        <v>43</v>
      </c>
      <c r="D7295" s="2">
        <v>44105</v>
      </c>
      <c r="E7295" t="s">
        <v>14</v>
      </c>
      <c r="F7295">
        <v>164.8</v>
      </c>
      <c r="G7295" t="str">
        <f>VLOOKUP(Table1_2[[#This Row],[Categories]],Sheet3!$A$1:$B$27,2,FALSE)</f>
        <v>Food &amp;Beverage</v>
      </c>
    </row>
    <row r="7296" spans="1:7" x14ac:dyDescent="0.3">
      <c r="A7296" t="s">
        <v>33</v>
      </c>
      <c r="B7296">
        <v>2020</v>
      </c>
      <c r="C7296" t="s">
        <v>43</v>
      </c>
      <c r="D7296" s="2">
        <v>44105</v>
      </c>
      <c r="E7296" t="s">
        <v>15</v>
      </c>
      <c r="F7296">
        <v>164.4</v>
      </c>
      <c r="G7296" t="str">
        <f>VLOOKUP(Table1_2[[#This Row],[Categories]],Sheet3!$A$1:$B$27,2,FALSE)</f>
        <v>Food &amp;Beverage</v>
      </c>
    </row>
    <row r="7297" spans="1:7" x14ac:dyDescent="0.3">
      <c r="A7297" t="s">
        <v>33</v>
      </c>
      <c r="B7297">
        <v>2020</v>
      </c>
      <c r="C7297" t="s">
        <v>43</v>
      </c>
      <c r="D7297" s="2">
        <v>44105</v>
      </c>
      <c r="E7297" t="s">
        <v>16</v>
      </c>
      <c r="F7297">
        <v>188.7</v>
      </c>
      <c r="G7297" t="str">
        <f>VLOOKUP(Table1_2[[#This Row],[Categories]],Sheet3!$A$1:$B$27,2,FALSE)</f>
        <v>Recreation and amusement</v>
      </c>
    </row>
    <row r="7298" spans="1:7" x14ac:dyDescent="0.3">
      <c r="A7298" t="s">
        <v>33</v>
      </c>
      <c r="B7298">
        <v>2020</v>
      </c>
      <c r="C7298" t="s">
        <v>43</v>
      </c>
      <c r="D7298" s="2">
        <v>44105</v>
      </c>
      <c r="E7298" t="s">
        <v>17</v>
      </c>
      <c r="F7298">
        <v>150.5</v>
      </c>
      <c r="G7298" t="str">
        <f>VLOOKUP(Table1_2[[#This Row],[Categories]],Sheet3!$A$1:$B$27,2,FALSE)</f>
        <v>Clothing and footwear</v>
      </c>
    </row>
    <row r="7299" spans="1:7" x14ac:dyDescent="0.3">
      <c r="A7299" t="s">
        <v>33</v>
      </c>
      <c r="B7299">
        <v>2020</v>
      </c>
      <c r="C7299" t="s">
        <v>43</v>
      </c>
      <c r="D7299" s="2">
        <v>44105</v>
      </c>
      <c r="E7299" t="s">
        <v>18</v>
      </c>
      <c r="F7299">
        <v>136.1</v>
      </c>
      <c r="G7299" t="str">
        <f>VLOOKUP(Table1_2[[#This Row],[Categories]],Sheet3!$A$1:$B$27,2,FALSE)</f>
        <v>Clothing and footwear</v>
      </c>
    </row>
    <row r="7300" spans="1:7" x14ac:dyDescent="0.3">
      <c r="A7300" t="s">
        <v>33</v>
      </c>
      <c r="B7300">
        <v>2020</v>
      </c>
      <c r="C7300" t="s">
        <v>43</v>
      </c>
      <c r="D7300" s="2">
        <v>44105</v>
      </c>
      <c r="E7300" t="s">
        <v>19</v>
      </c>
      <c r="F7300">
        <v>148.30000000000001</v>
      </c>
      <c r="G7300" t="str">
        <f>VLOOKUP(Table1_2[[#This Row],[Categories]],Sheet3!$A$1:$B$27,2,FALSE)</f>
        <v>Clothing and footwear</v>
      </c>
    </row>
    <row r="7301" spans="1:7" x14ac:dyDescent="0.3">
      <c r="A7301" t="s">
        <v>33</v>
      </c>
      <c r="B7301">
        <v>2020</v>
      </c>
      <c r="C7301" t="s">
        <v>43</v>
      </c>
      <c r="D7301" s="2">
        <v>44105</v>
      </c>
      <c r="E7301" t="s">
        <v>20</v>
      </c>
      <c r="F7301">
        <v>156.5</v>
      </c>
      <c r="G7301" t="str">
        <f>VLOOKUP(Table1_2[[#This Row],[Categories]],Sheet3!$A$1:$B$27,2,FALSE)</f>
        <v>Housing</v>
      </c>
    </row>
    <row r="7302" spans="1:7" x14ac:dyDescent="0.3">
      <c r="A7302" t="s">
        <v>33</v>
      </c>
      <c r="B7302">
        <v>2020</v>
      </c>
      <c r="C7302" t="s">
        <v>43</v>
      </c>
      <c r="D7302" s="2">
        <v>44105</v>
      </c>
      <c r="E7302" t="s">
        <v>21</v>
      </c>
      <c r="F7302">
        <v>137.1</v>
      </c>
      <c r="G7302" t="str">
        <f>VLOOKUP(Table1_2[[#This Row],[Categories]],Sheet3!$A$1:$B$27,2,FALSE)</f>
        <v>Fuel and light</v>
      </c>
    </row>
    <row r="7303" spans="1:7" x14ac:dyDescent="0.3">
      <c r="A7303" t="s">
        <v>33</v>
      </c>
      <c r="B7303">
        <v>2020</v>
      </c>
      <c r="C7303" t="s">
        <v>43</v>
      </c>
      <c r="D7303" s="2">
        <v>44105</v>
      </c>
      <c r="E7303" t="s">
        <v>22</v>
      </c>
      <c r="F7303">
        <v>145.1</v>
      </c>
      <c r="G7303" t="str">
        <f>VLOOKUP(Table1_2[[#This Row],[Categories]],Sheet3!$A$1:$B$27,2,FALSE)</f>
        <v>Household Items</v>
      </c>
    </row>
    <row r="7304" spans="1:7" x14ac:dyDescent="0.3">
      <c r="A7304" t="s">
        <v>33</v>
      </c>
      <c r="B7304">
        <v>2020</v>
      </c>
      <c r="C7304" t="s">
        <v>43</v>
      </c>
      <c r="D7304" s="2">
        <v>44105</v>
      </c>
      <c r="E7304" t="s">
        <v>23</v>
      </c>
      <c r="F7304">
        <v>151</v>
      </c>
      <c r="G7304" t="str">
        <f>VLOOKUP(Table1_2[[#This Row],[Categories]],Sheet3!$A$1:$B$27,2,FALSE)</f>
        <v>Health</v>
      </c>
    </row>
    <row r="7305" spans="1:7" x14ac:dyDescent="0.3">
      <c r="A7305" t="s">
        <v>33</v>
      </c>
      <c r="B7305">
        <v>2020</v>
      </c>
      <c r="C7305" t="s">
        <v>43</v>
      </c>
      <c r="D7305" s="2">
        <v>44105</v>
      </c>
      <c r="E7305" t="s">
        <v>24</v>
      </c>
      <c r="F7305">
        <v>135.4</v>
      </c>
      <c r="G7305" t="str">
        <f>VLOOKUP(Table1_2[[#This Row],[Categories]],Sheet3!$A$1:$B$27,2,FALSE)</f>
        <v>Transport and communication</v>
      </c>
    </row>
    <row r="7306" spans="1:7" x14ac:dyDescent="0.3">
      <c r="A7306" t="s">
        <v>33</v>
      </c>
      <c r="B7306">
        <v>2020</v>
      </c>
      <c r="C7306" t="s">
        <v>43</v>
      </c>
      <c r="D7306" s="2">
        <v>44105</v>
      </c>
      <c r="E7306" t="s">
        <v>25</v>
      </c>
      <c r="F7306">
        <v>142</v>
      </c>
      <c r="G7306" t="str">
        <f>VLOOKUP(Table1_2[[#This Row],[Categories]],Sheet3!$A$1:$B$27,2,FALSE)</f>
        <v>Recreation and amusement</v>
      </c>
    </row>
    <row r="7307" spans="1:7" x14ac:dyDescent="0.3">
      <c r="A7307" t="s">
        <v>33</v>
      </c>
      <c r="B7307">
        <v>2020</v>
      </c>
      <c r="C7307" t="s">
        <v>43</v>
      </c>
      <c r="D7307" s="2">
        <v>44105</v>
      </c>
      <c r="E7307" t="s">
        <v>26</v>
      </c>
      <c r="F7307">
        <v>155.69999999999999</v>
      </c>
      <c r="G7307" t="str">
        <f>VLOOKUP(Table1_2[[#This Row],[Categories]],Sheet3!$A$1:$B$27,2,FALSE)</f>
        <v>Education</v>
      </c>
    </row>
    <row r="7308" spans="1:7" x14ac:dyDescent="0.3">
      <c r="A7308" t="s">
        <v>33</v>
      </c>
      <c r="B7308">
        <v>2020</v>
      </c>
      <c r="C7308" t="s">
        <v>43</v>
      </c>
      <c r="D7308" s="2">
        <v>44105</v>
      </c>
      <c r="E7308" t="s">
        <v>27</v>
      </c>
      <c r="F7308">
        <v>158.1</v>
      </c>
      <c r="G7308" t="str">
        <f>VLOOKUP(Table1_2[[#This Row],[Categories]],Sheet3!$A$1:$B$27,2,FALSE)</f>
        <v>Household Items</v>
      </c>
    </row>
    <row r="7309" spans="1:7" x14ac:dyDescent="0.3">
      <c r="A7309" t="s">
        <v>33</v>
      </c>
      <c r="B7309">
        <v>2020</v>
      </c>
      <c r="C7309" t="s">
        <v>43</v>
      </c>
      <c r="D7309" s="2">
        <v>44105</v>
      </c>
      <c r="E7309" t="s">
        <v>28</v>
      </c>
      <c r="F7309">
        <v>146.19999999999999</v>
      </c>
      <c r="G7309" t="str">
        <f>VLOOKUP(Table1_2[[#This Row],[Categories]],Sheet3!$A$1:$B$27,2,FALSE)</f>
        <v>Miscellaneous</v>
      </c>
    </row>
    <row r="7310" spans="1:7" x14ac:dyDescent="0.3">
      <c r="A7310" t="s">
        <v>33</v>
      </c>
      <c r="B7310">
        <v>2020</v>
      </c>
      <c r="C7310" t="s">
        <v>43</v>
      </c>
      <c r="D7310" s="2">
        <v>44105</v>
      </c>
      <c r="E7310" t="s">
        <v>29</v>
      </c>
      <c r="F7310">
        <v>155.19999999999999</v>
      </c>
      <c r="G7310" t="str">
        <f>VLOOKUP(Table1_2[[#This Row],[Categories]],Sheet3!$A$1:$B$27,2,FALSE)</f>
        <v>General index</v>
      </c>
    </row>
    <row r="7311" spans="1:7" x14ac:dyDescent="0.3">
      <c r="A7311" t="s">
        <v>34</v>
      </c>
      <c r="B7311">
        <v>2020</v>
      </c>
      <c r="C7311" t="s">
        <v>43</v>
      </c>
      <c r="D7311" s="2">
        <v>44105</v>
      </c>
      <c r="E7311" t="s">
        <v>3</v>
      </c>
      <c r="F7311">
        <v>147.5</v>
      </c>
      <c r="G7311" t="str">
        <f>VLOOKUP(Table1_2[[#This Row],[Categories]],Sheet3!$A$1:$B$27,2,FALSE)</f>
        <v>Food &amp;Beverage</v>
      </c>
    </row>
    <row r="7312" spans="1:7" x14ac:dyDescent="0.3">
      <c r="A7312" t="s">
        <v>34</v>
      </c>
      <c r="B7312">
        <v>2020</v>
      </c>
      <c r="C7312" t="s">
        <v>43</v>
      </c>
      <c r="D7312" s="2">
        <v>44105</v>
      </c>
      <c r="E7312" t="s">
        <v>4</v>
      </c>
      <c r="F7312">
        <v>188.9</v>
      </c>
      <c r="G7312" t="str">
        <f>VLOOKUP(Table1_2[[#This Row],[Categories]],Sheet3!$A$1:$B$27,2,FALSE)</f>
        <v>Food &amp;Beverage</v>
      </c>
    </row>
    <row r="7313" spans="1:7" x14ac:dyDescent="0.3">
      <c r="A7313" t="s">
        <v>34</v>
      </c>
      <c r="B7313">
        <v>2020</v>
      </c>
      <c r="C7313" t="s">
        <v>43</v>
      </c>
      <c r="D7313" s="2">
        <v>44105</v>
      </c>
      <c r="E7313" t="s">
        <v>5</v>
      </c>
      <c r="F7313">
        <v>161.4</v>
      </c>
      <c r="G7313" t="str">
        <f>VLOOKUP(Table1_2[[#This Row],[Categories]],Sheet3!$A$1:$B$27,2,FALSE)</f>
        <v>Food &amp;Beverage</v>
      </c>
    </row>
    <row r="7314" spans="1:7" x14ac:dyDescent="0.3">
      <c r="A7314" t="s">
        <v>34</v>
      </c>
      <c r="B7314">
        <v>2020</v>
      </c>
      <c r="C7314" t="s">
        <v>43</v>
      </c>
      <c r="D7314" s="2">
        <v>44105</v>
      </c>
      <c r="E7314" t="s">
        <v>6</v>
      </c>
      <c r="F7314">
        <v>153.6</v>
      </c>
      <c r="G7314" t="str">
        <f>VLOOKUP(Table1_2[[#This Row],[Categories]],Sheet3!$A$1:$B$27,2,FALSE)</f>
        <v>Food &amp;Beverage</v>
      </c>
    </row>
    <row r="7315" spans="1:7" x14ac:dyDescent="0.3">
      <c r="A7315" t="s">
        <v>34</v>
      </c>
      <c r="B7315">
        <v>2020</v>
      </c>
      <c r="C7315" t="s">
        <v>43</v>
      </c>
      <c r="D7315" s="2">
        <v>44105</v>
      </c>
      <c r="E7315" t="s">
        <v>7</v>
      </c>
      <c r="F7315">
        <v>140.1</v>
      </c>
      <c r="G7315" t="str">
        <f>VLOOKUP(Table1_2[[#This Row],[Categories]],Sheet3!$A$1:$B$27,2,FALSE)</f>
        <v>Food &amp;Beverage</v>
      </c>
    </row>
    <row r="7316" spans="1:7" x14ac:dyDescent="0.3">
      <c r="A7316" t="s">
        <v>34</v>
      </c>
      <c r="B7316">
        <v>2020</v>
      </c>
      <c r="C7316" t="s">
        <v>43</v>
      </c>
      <c r="D7316" s="2">
        <v>44105</v>
      </c>
      <c r="E7316" t="s">
        <v>8</v>
      </c>
      <c r="F7316">
        <v>151.19999999999999</v>
      </c>
      <c r="G7316" t="str">
        <f>VLOOKUP(Table1_2[[#This Row],[Categories]],Sheet3!$A$1:$B$27,2,FALSE)</f>
        <v>Food &amp;Beverage</v>
      </c>
    </row>
    <row r="7317" spans="1:7" x14ac:dyDescent="0.3">
      <c r="A7317" t="s">
        <v>34</v>
      </c>
      <c r="B7317">
        <v>2020</v>
      </c>
      <c r="C7317" t="s">
        <v>43</v>
      </c>
      <c r="D7317" s="2">
        <v>44105</v>
      </c>
      <c r="E7317" t="s">
        <v>9</v>
      </c>
      <c r="F7317">
        <v>209.2</v>
      </c>
      <c r="G7317" t="str">
        <f>VLOOKUP(Table1_2[[#This Row],[Categories]],Sheet3!$A$1:$B$27,2,FALSE)</f>
        <v>Food &amp;Beverage</v>
      </c>
    </row>
    <row r="7318" spans="1:7" x14ac:dyDescent="0.3">
      <c r="A7318" t="s">
        <v>34</v>
      </c>
      <c r="B7318">
        <v>2020</v>
      </c>
      <c r="C7318" t="s">
        <v>43</v>
      </c>
      <c r="D7318" s="2">
        <v>44105</v>
      </c>
      <c r="E7318" t="s">
        <v>10</v>
      </c>
      <c r="F7318">
        <v>150.9</v>
      </c>
      <c r="G7318" t="str">
        <f>VLOOKUP(Table1_2[[#This Row],[Categories]],Sheet3!$A$1:$B$27,2,FALSE)</f>
        <v>Food &amp;Beverage</v>
      </c>
    </row>
    <row r="7319" spans="1:7" x14ac:dyDescent="0.3">
      <c r="A7319" t="s">
        <v>34</v>
      </c>
      <c r="B7319">
        <v>2020</v>
      </c>
      <c r="C7319" t="s">
        <v>43</v>
      </c>
      <c r="D7319" s="2">
        <v>44105</v>
      </c>
      <c r="E7319" t="s">
        <v>11</v>
      </c>
      <c r="F7319">
        <v>116.2</v>
      </c>
      <c r="G7319" t="str">
        <f>VLOOKUP(Table1_2[[#This Row],[Categories]],Sheet3!$A$1:$B$27,2,FALSE)</f>
        <v>Food &amp;Beverage</v>
      </c>
    </row>
    <row r="7320" spans="1:7" x14ac:dyDescent="0.3">
      <c r="A7320" t="s">
        <v>34</v>
      </c>
      <c r="B7320">
        <v>2020</v>
      </c>
      <c r="C7320" t="s">
        <v>43</v>
      </c>
      <c r="D7320" s="2">
        <v>44105</v>
      </c>
      <c r="E7320" t="s">
        <v>12</v>
      </c>
      <c r="F7320">
        <v>161</v>
      </c>
      <c r="G7320" t="str">
        <f>VLOOKUP(Table1_2[[#This Row],[Categories]],Sheet3!$A$1:$B$27,2,FALSE)</f>
        <v>Food &amp;Beverage</v>
      </c>
    </row>
    <row r="7321" spans="1:7" x14ac:dyDescent="0.3">
      <c r="A7321" t="s">
        <v>34</v>
      </c>
      <c r="B7321">
        <v>2020</v>
      </c>
      <c r="C7321" t="s">
        <v>43</v>
      </c>
      <c r="D7321" s="2">
        <v>44105</v>
      </c>
      <c r="E7321" t="s">
        <v>13</v>
      </c>
      <c r="F7321">
        <v>144</v>
      </c>
      <c r="G7321" t="str">
        <f>VLOOKUP(Table1_2[[#This Row],[Categories]],Sheet3!$A$1:$B$27,2,FALSE)</f>
        <v>Food &amp;Beverage</v>
      </c>
    </row>
    <row r="7322" spans="1:7" x14ac:dyDescent="0.3">
      <c r="A7322" t="s">
        <v>34</v>
      </c>
      <c r="B7322">
        <v>2020</v>
      </c>
      <c r="C7322" t="s">
        <v>43</v>
      </c>
      <c r="D7322" s="2">
        <v>44105</v>
      </c>
      <c r="E7322" t="s">
        <v>14</v>
      </c>
      <c r="F7322">
        <v>163.19999999999999</v>
      </c>
      <c r="G7322" t="str">
        <f>VLOOKUP(Table1_2[[#This Row],[Categories]],Sheet3!$A$1:$B$27,2,FALSE)</f>
        <v>Food &amp;Beverage</v>
      </c>
    </row>
    <row r="7323" spans="1:7" x14ac:dyDescent="0.3">
      <c r="A7323" t="s">
        <v>34</v>
      </c>
      <c r="B7323">
        <v>2020</v>
      </c>
      <c r="C7323" t="s">
        <v>43</v>
      </c>
      <c r="D7323" s="2">
        <v>44105</v>
      </c>
      <c r="E7323" t="s">
        <v>15</v>
      </c>
      <c r="F7323">
        <v>161.4</v>
      </c>
      <c r="G7323" t="str">
        <f>VLOOKUP(Table1_2[[#This Row],[Categories]],Sheet3!$A$1:$B$27,2,FALSE)</f>
        <v>Food &amp;Beverage</v>
      </c>
    </row>
    <row r="7324" spans="1:7" x14ac:dyDescent="0.3">
      <c r="A7324" t="s">
        <v>34</v>
      </c>
      <c r="B7324">
        <v>2020</v>
      </c>
      <c r="C7324" t="s">
        <v>43</v>
      </c>
      <c r="D7324" s="2">
        <v>44105</v>
      </c>
      <c r="E7324" t="s">
        <v>16</v>
      </c>
      <c r="F7324">
        <v>184.3</v>
      </c>
      <c r="G7324" t="str">
        <f>VLOOKUP(Table1_2[[#This Row],[Categories]],Sheet3!$A$1:$B$27,2,FALSE)</f>
        <v>Recreation and amusement</v>
      </c>
    </row>
    <row r="7325" spans="1:7" x14ac:dyDescent="0.3">
      <c r="A7325" t="s">
        <v>34</v>
      </c>
      <c r="B7325">
        <v>2020</v>
      </c>
      <c r="C7325" t="s">
        <v>43</v>
      </c>
      <c r="D7325" s="2">
        <v>44105</v>
      </c>
      <c r="E7325" t="s">
        <v>17</v>
      </c>
      <c r="F7325">
        <v>153.69999999999999</v>
      </c>
      <c r="G7325" t="str">
        <f>VLOOKUP(Table1_2[[#This Row],[Categories]],Sheet3!$A$1:$B$27,2,FALSE)</f>
        <v>Clothing and footwear</v>
      </c>
    </row>
    <row r="7326" spans="1:7" x14ac:dyDescent="0.3">
      <c r="A7326" t="s">
        <v>34</v>
      </c>
      <c r="B7326">
        <v>2020</v>
      </c>
      <c r="C7326" t="s">
        <v>43</v>
      </c>
      <c r="D7326" s="2">
        <v>44105</v>
      </c>
      <c r="E7326" t="s">
        <v>18</v>
      </c>
      <c r="F7326">
        <v>144.6</v>
      </c>
      <c r="G7326" t="str">
        <f>VLOOKUP(Table1_2[[#This Row],[Categories]],Sheet3!$A$1:$B$27,2,FALSE)</f>
        <v>Clothing and footwear</v>
      </c>
    </row>
    <row r="7327" spans="1:7" x14ac:dyDescent="0.3">
      <c r="A7327" t="s">
        <v>34</v>
      </c>
      <c r="B7327">
        <v>2020</v>
      </c>
      <c r="C7327" t="s">
        <v>43</v>
      </c>
      <c r="D7327" s="2">
        <v>44105</v>
      </c>
      <c r="E7327" t="s">
        <v>19</v>
      </c>
      <c r="F7327">
        <v>152.30000000000001</v>
      </c>
      <c r="G7327" t="str">
        <f>VLOOKUP(Table1_2[[#This Row],[Categories]],Sheet3!$A$1:$B$27,2,FALSE)</f>
        <v>Clothing and footwear</v>
      </c>
    </row>
    <row r="7328" spans="1:7" x14ac:dyDescent="0.3">
      <c r="A7328" t="s">
        <v>34</v>
      </c>
      <c r="B7328">
        <v>2020</v>
      </c>
      <c r="C7328" t="s">
        <v>43</v>
      </c>
      <c r="D7328" s="2">
        <v>44105</v>
      </c>
      <c r="E7328" t="s">
        <v>20</v>
      </c>
      <c r="F7328">
        <v>156.5</v>
      </c>
      <c r="G7328" t="str">
        <f>VLOOKUP(Table1_2[[#This Row],[Categories]],Sheet3!$A$1:$B$27,2,FALSE)</f>
        <v>Housing</v>
      </c>
    </row>
    <row r="7329" spans="1:7" x14ac:dyDescent="0.3">
      <c r="A7329" t="s">
        <v>34</v>
      </c>
      <c r="B7329">
        <v>2020</v>
      </c>
      <c r="C7329" t="s">
        <v>43</v>
      </c>
      <c r="D7329" s="2">
        <v>44105</v>
      </c>
      <c r="E7329" t="s">
        <v>21</v>
      </c>
      <c r="F7329">
        <v>143.1</v>
      </c>
      <c r="G7329" t="str">
        <f>VLOOKUP(Table1_2[[#This Row],[Categories]],Sheet3!$A$1:$B$27,2,FALSE)</f>
        <v>Fuel and light</v>
      </c>
    </row>
    <row r="7330" spans="1:7" x14ac:dyDescent="0.3">
      <c r="A7330" t="s">
        <v>34</v>
      </c>
      <c r="B7330">
        <v>2020</v>
      </c>
      <c r="C7330" t="s">
        <v>43</v>
      </c>
      <c r="D7330" s="2">
        <v>44105</v>
      </c>
      <c r="E7330" t="s">
        <v>22</v>
      </c>
      <c r="F7330">
        <v>148.69999999999999</v>
      </c>
      <c r="G7330" t="str">
        <f>VLOOKUP(Table1_2[[#This Row],[Categories]],Sheet3!$A$1:$B$27,2,FALSE)</f>
        <v>Household Items</v>
      </c>
    </row>
    <row r="7331" spans="1:7" x14ac:dyDescent="0.3">
      <c r="A7331" t="s">
        <v>34</v>
      </c>
      <c r="B7331">
        <v>2020</v>
      </c>
      <c r="C7331" t="s">
        <v>43</v>
      </c>
      <c r="D7331" s="2">
        <v>44105</v>
      </c>
      <c r="E7331" t="s">
        <v>23</v>
      </c>
      <c r="F7331">
        <v>156.30000000000001</v>
      </c>
      <c r="G7331" t="str">
        <f>VLOOKUP(Table1_2[[#This Row],[Categories]],Sheet3!$A$1:$B$27,2,FALSE)</f>
        <v>Health</v>
      </c>
    </row>
    <row r="7332" spans="1:7" x14ac:dyDescent="0.3">
      <c r="A7332" t="s">
        <v>34</v>
      </c>
      <c r="B7332">
        <v>2020</v>
      </c>
      <c r="C7332" t="s">
        <v>43</v>
      </c>
      <c r="D7332" s="2">
        <v>44105</v>
      </c>
      <c r="E7332" t="s">
        <v>24</v>
      </c>
      <c r="F7332">
        <v>140.6</v>
      </c>
      <c r="G7332" t="str">
        <f>VLOOKUP(Table1_2[[#This Row],[Categories]],Sheet3!$A$1:$B$27,2,FALSE)</f>
        <v>Transport and communication</v>
      </c>
    </row>
    <row r="7333" spans="1:7" x14ac:dyDescent="0.3">
      <c r="A7333" t="s">
        <v>34</v>
      </c>
      <c r="B7333">
        <v>2020</v>
      </c>
      <c r="C7333" t="s">
        <v>43</v>
      </c>
      <c r="D7333" s="2">
        <v>44105</v>
      </c>
      <c r="E7333" t="s">
        <v>25</v>
      </c>
      <c r="F7333">
        <v>146.5</v>
      </c>
      <c r="G7333" t="str">
        <f>VLOOKUP(Table1_2[[#This Row],[Categories]],Sheet3!$A$1:$B$27,2,FALSE)</f>
        <v>Recreation and amusement</v>
      </c>
    </row>
    <row r="7334" spans="1:7" x14ac:dyDescent="0.3">
      <c r="A7334" t="s">
        <v>34</v>
      </c>
      <c r="B7334">
        <v>2020</v>
      </c>
      <c r="C7334" t="s">
        <v>43</v>
      </c>
      <c r="D7334" s="2">
        <v>44105</v>
      </c>
      <c r="E7334" t="s">
        <v>26</v>
      </c>
      <c r="F7334">
        <v>158.5</v>
      </c>
      <c r="G7334" t="str">
        <f>VLOOKUP(Table1_2[[#This Row],[Categories]],Sheet3!$A$1:$B$27,2,FALSE)</f>
        <v>Education</v>
      </c>
    </row>
    <row r="7335" spans="1:7" x14ac:dyDescent="0.3">
      <c r="A7335" t="s">
        <v>34</v>
      </c>
      <c r="B7335">
        <v>2020</v>
      </c>
      <c r="C7335" t="s">
        <v>43</v>
      </c>
      <c r="D7335" s="2">
        <v>44105</v>
      </c>
      <c r="E7335" t="s">
        <v>27</v>
      </c>
      <c r="F7335">
        <v>157</v>
      </c>
      <c r="G7335" t="str">
        <f>VLOOKUP(Table1_2[[#This Row],[Categories]],Sheet3!$A$1:$B$27,2,FALSE)</f>
        <v>Household Items</v>
      </c>
    </row>
    <row r="7336" spans="1:7" x14ac:dyDescent="0.3">
      <c r="A7336" t="s">
        <v>34</v>
      </c>
      <c r="B7336">
        <v>2020</v>
      </c>
      <c r="C7336" t="s">
        <v>43</v>
      </c>
      <c r="D7336" s="2">
        <v>44105</v>
      </c>
      <c r="E7336" t="s">
        <v>28</v>
      </c>
      <c r="F7336">
        <v>150.4</v>
      </c>
      <c r="G7336" t="str">
        <f>VLOOKUP(Table1_2[[#This Row],[Categories]],Sheet3!$A$1:$B$27,2,FALSE)</f>
        <v>Miscellaneous</v>
      </c>
    </row>
    <row r="7337" spans="1:7" x14ac:dyDescent="0.3">
      <c r="A7337" t="s">
        <v>34</v>
      </c>
      <c r="B7337">
        <v>2020</v>
      </c>
      <c r="C7337" t="s">
        <v>43</v>
      </c>
      <c r="D7337" s="2">
        <v>44105</v>
      </c>
      <c r="E7337" t="s">
        <v>29</v>
      </c>
      <c r="F7337">
        <v>156.4</v>
      </c>
      <c r="G7337" t="str">
        <f>VLOOKUP(Table1_2[[#This Row],[Categories]],Sheet3!$A$1:$B$27,2,FALSE)</f>
        <v>General index</v>
      </c>
    </row>
    <row r="7338" spans="1:7" x14ac:dyDescent="0.3">
      <c r="A7338" t="s">
        <v>30</v>
      </c>
      <c r="B7338">
        <v>2020</v>
      </c>
      <c r="C7338" t="s">
        <v>45</v>
      </c>
      <c r="D7338" s="2">
        <v>44136</v>
      </c>
      <c r="E7338" t="s">
        <v>3</v>
      </c>
      <c r="F7338">
        <v>145.4</v>
      </c>
      <c r="G7338" t="str">
        <f>VLOOKUP(Table1_2[[#This Row],[Categories]],Sheet3!$A$1:$B$27,2,FALSE)</f>
        <v>Food &amp;Beverage</v>
      </c>
    </row>
    <row r="7339" spans="1:7" x14ac:dyDescent="0.3">
      <c r="A7339" t="s">
        <v>30</v>
      </c>
      <c r="B7339">
        <v>2020</v>
      </c>
      <c r="C7339" t="s">
        <v>45</v>
      </c>
      <c r="D7339" s="2">
        <v>44136</v>
      </c>
      <c r="E7339" t="s">
        <v>4</v>
      </c>
      <c r="F7339">
        <v>188.6</v>
      </c>
      <c r="G7339" t="str">
        <f>VLOOKUP(Table1_2[[#This Row],[Categories]],Sheet3!$A$1:$B$27,2,FALSE)</f>
        <v>Food &amp;Beverage</v>
      </c>
    </row>
    <row r="7340" spans="1:7" x14ac:dyDescent="0.3">
      <c r="A7340" t="s">
        <v>30</v>
      </c>
      <c r="B7340">
        <v>2020</v>
      </c>
      <c r="C7340" t="s">
        <v>45</v>
      </c>
      <c r="D7340" s="2">
        <v>44136</v>
      </c>
      <c r="E7340" t="s">
        <v>5</v>
      </c>
      <c r="F7340">
        <v>171.6</v>
      </c>
      <c r="G7340" t="str">
        <f>VLOOKUP(Table1_2[[#This Row],[Categories]],Sheet3!$A$1:$B$27,2,FALSE)</f>
        <v>Food &amp;Beverage</v>
      </c>
    </row>
    <row r="7341" spans="1:7" x14ac:dyDescent="0.3">
      <c r="A7341" t="s">
        <v>30</v>
      </c>
      <c r="B7341">
        <v>2020</v>
      </c>
      <c r="C7341" t="s">
        <v>45</v>
      </c>
      <c r="D7341" s="2">
        <v>44136</v>
      </c>
      <c r="E7341" t="s">
        <v>6</v>
      </c>
      <c r="F7341">
        <v>153.80000000000001</v>
      </c>
      <c r="G7341" t="str">
        <f>VLOOKUP(Table1_2[[#This Row],[Categories]],Sheet3!$A$1:$B$27,2,FALSE)</f>
        <v>Food &amp;Beverage</v>
      </c>
    </row>
    <row r="7342" spans="1:7" x14ac:dyDescent="0.3">
      <c r="A7342" t="s">
        <v>30</v>
      </c>
      <c r="B7342">
        <v>2020</v>
      </c>
      <c r="C7342" t="s">
        <v>45</v>
      </c>
      <c r="D7342" s="2">
        <v>44136</v>
      </c>
      <c r="E7342" t="s">
        <v>7</v>
      </c>
      <c r="F7342">
        <v>145.4</v>
      </c>
      <c r="G7342" t="str">
        <f>VLOOKUP(Table1_2[[#This Row],[Categories]],Sheet3!$A$1:$B$27,2,FALSE)</f>
        <v>Food &amp;Beverage</v>
      </c>
    </row>
    <row r="7343" spans="1:7" x14ac:dyDescent="0.3">
      <c r="A7343" t="s">
        <v>30</v>
      </c>
      <c r="B7343">
        <v>2020</v>
      </c>
      <c r="C7343" t="s">
        <v>45</v>
      </c>
      <c r="D7343" s="2">
        <v>44136</v>
      </c>
      <c r="E7343" t="s">
        <v>8</v>
      </c>
      <c r="F7343">
        <v>146.5</v>
      </c>
      <c r="G7343" t="str">
        <f>VLOOKUP(Table1_2[[#This Row],[Categories]],Sheet3!$A$1:$B$27,2,FALSE)</f>
        <v>Food &amp;Beverage</v>
      </c>
    </row>
    <row r="7344" spans="1:7" x14ac:dyDescent="0.3">
      <c r="A7344" t="s">
        <v>30</v>
      </c>
      <c r="B7344">
        <v>2020</v>
      </c>
      <c r="C7344" t="s">
        <v>45</v>
      </c>
      <c r="D7344" s="2">
        <v>44136</v>
      </c>
      <c r="E7344" t="s">
        <v>9</v>
      </c>
      <c r="F7344">
        <v>222.2</v>
      </c>
      <c r="G7344" t="str">
        <f>VLOOKUP(Table1_2[[#This Row],[Categories]],Sheet3!$A$1:$B$27,2,FALSE)</f>
        <v>Food &amp;Beverage</v>
      </c>
    </row>
    <row r="7345" spans="1:7" x14ac:dyDescent="0.3">
      <c r="A7345" t="s">
        <v>30</v>
      </c>
      <c r="B7345">
        <v>2020</v>
      </c>
      <c r="C7345" t="s">
        <v>45</v>
      </c>
      <c r="D7345" s="2">
        <v>44136</v>
      </c>
      <c r="E7345" t="s">
        <v>10</v>
      </c>
      <c r="F7345">
        <v>155.9</v>
      </c>
      <c r="G7345" t="str">
        <f>VLOOKUP(Table1_2[[#This Row],[Categories]],Sheet3!$A$1:$B$27,2,FALSE)</f>
        <v>Food &amp;Beverage</v>
      </c>
    </row>
    <row r="7346" spans="1:7" x14ac:dyDescent="0.3">
      <c r="A7346" t="s">
        <v>30</v>
      </c>
      <c r="B7346">
        <v>2020</v>
      </c>
      <c r="C7346" t="s">
        <v>45</v>
      </c>
      <c r="D7346" s="2">
        <v>44136</v>
      </c>
      <c r="E7346" t="s">
        <v>11</v>
      </c>
      <c r="F7346">
        <v>114.9</v>
      </c>
      <c r="G7346" t="str">
        <f>VLOOKUP(Table1_2[[#This Row],[Categories]],Sheet3!$A$1:$B$27,2,FALSE)</f>
        <v>Food &amp;Beverage</v>
      </c>
    </row>
    <row r="7347" spans="1:7" x14ac:dyDescent="0.3">
      <c r="A7347" t="s">
        <v>30</v>
      </c>
      <c r="B7347">
        <v>2020</v>
      </c>
      <c r="C7347" t="s">
        <v>45</v>
      </c>
      <c r="D7347" s="2">
        <v>44136</v>
      </c>
      <c r="E7347" t="s">
        <v>12</v>
      </c>
      <c r="F7347">
        <v>162</v>
      </c>
      <c r="G7347" t="str">
        <f>VLOOKUP(Table1_2[[#This Row],[Categories]],Sheet3!$A$1:$B$27,2,FALSE)</f>
        <v>Food &amp;Beverage</v>
      </c>
    </row>
    <row r="7348" spans="1:7" x14ac:dyDescent="0.3">
      <c r="A7348" t="s">
        <v>30</v>
      </c>
      <c r="B7348">
        <v>2020</v>
      </c>
      <c r="C7348" t="s">
        <v>45</v>
      </c>
      <c r="D7348" s="2">
        <v>44136</v>
      </c>
      <c r="E7348" t="s">
        <v>13</v>
      </c>
      <c r="F7348">
        <v>150</v>
      </c>
      <c r="G7348" t="str">
        <f>VLOOKUP(Table1_2[[#This Row],[Categories]],Sheet3!$A$1:$B$27,2,FALSE)</f>
        <v>Food &amp;Beverage</v>
      </c>
    </row>
    <row r="7349" spans="1:7" x14ac:dyDescent="0.3">
      <c r="A7349" t="s">
        <v>30</v>
      </c>
      <c r="B7349">
        <v>2020</v>
      </c>
      <c r="C7349" t="s">
        <v>45</v>
      </c>
      <c r="D7349" s="2">
        <v>44136</v>
      </c>
      <c r="E7349" t="s">
        <v>14</v>
      </c>
      <c r="F7349">
        <v>162.69999999999999</v>
      </c>
      <c r="G7349" t="str">
        <f>VLOOKUP(Table1_2[[#This Row],[Categories]],Sheet3!$A$1:$B$27,2,FALSE)</f>
        <v>Food &amp;Beverage</v>
      </c>
    </row>
    <row r="7350" spans="1:7" x14ac:dyDescent="0.3">
      <c r="A7350" t="s">
        <v>30</v>
      </c>
      <c r="B7350">
        <v>2020</v>
      </c>
      <c r="C7350" t="s">
        <v>45</v>
      </c>
      <c r="D7350" s="2">
        <v>44136</v>
      </c>
      <c r="E7350" t="s">
        <v>15</v>
      </c>
      <c r="F7350">
        <v>163.4</v>
      </c>
      <c r="G7350" t="str">
        <f>VLOOKUP(Table1_2[[#This Row],[Categories]],Sheet3!$A$1:$B$27,2,FALSE)</f>
        <v>Food &amp;Beverage</v>
      </c>
    </row>
    <row r="7351" spans="1:7" x14ac:dyDescent="0.3">
      <c r="A7351" t="s">
        <v>30</v>
      </c>
      <c r="B7351">
        <v>2020</v>
      </c>
      <c r="C7351" t="s">
        <v>45</v>
      </c>
      <c r="D7351" s="2">
        <v>44136</v>
      </c>
      <c r="E7351" t="s">
        <v>16</v>
      </c>
      <c r="F7351">
        <v>183.4</v>
      </c>
      <c r="G7351" t="str">
        <f>VLOOKUP(Table1_2[[#This Row],[Categories]],Sheet3!$A$1:$B$27,2,FALSE)</f>
        <v>Recreation and amusement</v>
      </c>
    </row>
    <row r="7352" spans="1:7" x14ac:dyDescent="0.3">
      <c r="A7352" t="s">
        <v>30</v>
      </c>
      <c r="B7352">
        <v>2020</v>
      </c>
      <c r="C7352" t="s">
        <v>45</v>
      </c>
      <c r="D7352" s="2">
        <v>44136</v>
      </c>
      <c r="E7352" t="s">
        <v>17</v>
      </c>
      <c r="F7352">
        <v>156.30000000000001</v>
      </c>
      <c r="G7352" t="str">
        <f>VLOOKUP(Table1_2[[#This Row],[Categories]],Sheet3!$A$1:$B$27,2,FALSE)</f>
        <v>Clothing and footwear</v>
      </c>
    </row>
    <row r="7353" spans="1:7" x14ac:dyDescent="0.3">
      <c r="A7353" t="s">
        <v>30</v>
      </c>
      <c r="B7353">
        <v>2020</v>
      </c>
      <c r="C7353" t="s">
        <v>45</v>
      </c>
      <c r="D7353" s="2">
        <v>44136</v>
      </c>
      <c r="E7353" t="s">
        <v>18</v>
      </c>
      <c r="F7353">
        <v>151</v>
      </c>
      <c r="G7353" t="str">
        <f>VLOOKUP(Table1_2[[#This Row],[Categories]],Sheet3!$A$1:$B$27,2,FALSE)</f>
        <v>Clothing and footwear</v>
      </c>
    </row>
    <row r="7354" spans="1:7" x14ac:dyDescent="0.3">
      <c r="A7354" t="s">
        <v>30</v>
      </c>
      <c r="B7354">
        <v>2020</v>
      </c>
      <c r="C7354" t="s">
        <v>45</v>
      </c>
      <c r="D7354" s="2">
        <v>44136</v>
      </c>
      <c r="E7354" t="s">
        <v>19</v>
      </c>
      <c r="F7354">
        <v>155.5</v>
      </c>
      <c r="G7354" t="str">
        <f>VLOOKUP(Table1_2[[#This Row],[Categories]],Sheet3!$A$1:$B$27,2,FALSE)</f>
        <v>Clothing and footwear</v>
      </c>
    </row>
    <row r="7355" spans="1:7" x14ac:dyDescent="0.3">
      <c r="A7355" t="s">
        <v>30</v>
      </c>
      <c r="B7355">
        <v>2020</v>
      </c>
      <c r="C7355" t="s">
        <v>45</v>
      </c>
      <c r="D7355" s="2">
        <v>44136</v>
      </c>
      <c r="E7355" t="s">
        <v>21</v>
      </c>
      <c r="F7355">
        <v>147.5</v>
      </c>
      <c r="G7355" t="str">
        <f>VLOOKUP(Table1_2[[#This Row],[Categories]],Sheet3!$A$1:$B$27,2,FALSE)</f>
        <v>Fuel and light</v>
      </c>
    </row>
    <row r="7356" spans="1:7" x14ac:dyDescent="0.3">
      <c r="A7356" t="s">
        <v>30</v>
      </c>
      <c r="B7356">
        <v>2020</v>
      </c>
      <c r="C7356" t="s">
        <v>45</v>
      </c>
      <c r="D7356" s="2">
        <v>44136</v>
      </c>
      <c r="E7356" t="s">
        <v>22</v>
      </c>
      <c r="F7356">
        <v>152.80000000000001</v>
      </c>
      <c r="G7356" t="str">
        <f>VLOOKUP(Table1_2[[#This Row],[Categories]],Sheet3!$A$1:$B$27,2,FALSE)</f>
        <v>Household Items</v>
      </c>
    </row>
    <row r="7357" spans="1:7" x14ac:dyDescent="0.3">
      <c r="A7357" t="s">
        <v>30</v>
      </c>
      <c r="B7357">
        <v>2020</v>
      </c>
      <c r="C7357" t="s">
        <v>45</v>
      </c>
      <c r="D7357" s="2">
        <v>44136</v>
      </c>
      <c r="E7357" t="s">
        <v>23</v>
      </c>
      <c r="F7357">
        <v>160.4</v>
      </c>
      <c r="G7357" t="str">
        <f>VLOOKUP(Table1_2[[#This Row],[Categories]],Sheet3!$A$1:$B$27,2,FALSE)</f>
        <v>Health</v>
      </c>
    </row>
    <row r="7358" spans="1:7" x14ac:dyDescent="0.3">
      <c r="A7358" t="s">
        <v>30</v>
      </c>
      <c r="B7358">
        <v>2020</v>
      </c>
      <c r="C7358" t="s">
        <v>45</v>
      </c>
      <c r="D7358" s="2">
        <v>44136</v>
      </c>
      <c r="E7358" t="s">
        <v>24</v>
      </c>
      <c r="F7358">
        <v>146.1</v>
      </c>
      <c r="G7358" t="str">
        <f>VLOOKUP(Table1_2[[#This Row],[Categories]],Sheet3!$A$1:$B$27,2,FALSE)</f>
        <v>Transport and communication</v>
      </c>
    </row>
    <row r="7359" spans="1:7" x14ac:dyDescent="0.3">
      <c r="A7359" t="s">
        <v>30</v>
      </c>
      <c r="B7359">
        <v>2020</v>
      </c>
      <c r="C7359" t="s">
        <v>45</v>
      </c>
      <c r="D7359" s="2">
        <v>44136</v>
      </c>
      <c r="E7359" t="s">
        <v>25</v>
      </c>
      <c r="F7359">
        <v>153.6</v>
      </c>
      <c r="G7359" t="str">
        <f>VLOOKUP(Table1_2[[#This Row],[Categories]],Sheet3!$A$1:$B$27,2,FALSE)</f>
        <v>Recreation and amusement</v>
      </c>
    </row>
    <row r="7360" spans="1:7" x14ac:dyDescent="0.3">
      <c r="A7360" t="s">
        <v>30</v>
      </c>
      <c r="B7360">
        <v>2020</v>
      </c>
      <c r="C7360" t="s">
        <v>45</v>
      </c>
      <c r="D7360" s="2">
        <v>44136</v>
      </c>
      <c r="E7360" t="s">
        <v>26</v>
      </c>
      <c r="F7360">
        <v>161.6</v>
      </c>
      <c r="G7360" t="str">
        <f>VLOOKUP(Table1_2[[#This Row],[Categories]],Sheet3!$A$1:$B$27,2,FALSE)</f>
        <v>Education</v>
      </c>
    </row>
    <row r="7361" spans="1:7" x14ac:dyDescent="0.3">
      <c r="A7361" t="s">
        <v>30</v>
      </c>
      <c r="B7361">
        <v>2020</v>
      </c>
      <c r="C7361" t="s">
        <v>45</v>
      </c>
      <c r="D7361" s="2">
        <v>44136</v>
      </c>
      <c r="E7361" t="s">
        <v>27</v>
      </c>
      <c r="F7361">
        <v>156.19999999999999</v>
      </c>
      <c r="G7361" t="str">
        <f>VLOOKUP(Table1_2[[#This Row],[Categories]],Sheet3!$A$1:$B$27,2,FALSE)</f>
        <v>Household Items</v>
      </c>
    </row>
    <row r="7362" spans="1:7" x14ac:dyDescent="0.3">
      <c r="A7362" t="s">
        <v>30</v>
      </c>
      <c r="B7362">
        <v>2020</v>
      </c>
      <c r="C7362" t="s">
        <v>45</v>
      </c>
      <c r="D7362" s="2">
        <v>44136</v>
      </c>
      <c r="E7362" t="s">
        <v>28</v>
      </c>
      <c r="F7362">
        <v>154.5</v>
      </c>
      <c r="G7362" t="str">
        <f>VLOOKUP(Table1_2[[#This Row],[Categories]],Sheet3!$A$1:$B$27,2,FALSE)</f>
        <v>Miscellaneous</v>
      </c>
    </row>
    <row r="7363" spans="1:7" x14ac:dyDescent="0.3">
      <c r="A7363" t="s">
        <v>30</v>
      </c>
      <c r="B7363">
        <v>2020</v>
      </c>
      <c r="C7363" t="s">
        <v>45</v>
      </c>
      <c r="D7363" s="2">
        <v>44136</v>
      </c>
      <c r="E7363" t="s">
        <v>29</v>
      </c>
      <c r="F7363">
        <v>159.80000000000001</v>
      </c>
      <c r="G7363" t="str">
        <f>VLOOKUP(Table1_2[[#This Row],[Categories]],Sheet3!$A$1:$B$27,2,FALSE)</f>
        <v>General index</v>
      </c>
    </row>
    <row r="7364" spans="1:7" x14ac:dyDescent="0.3">
      <c r="A7364" t="s">
        <v>33</v>
      </c>
      <c r="B7364">
        <v>2020</v>
      </c>
      <c r="C7364" t="s">
        <v>45</v>
      </c>
      <c r="D7364" s="2">
        <v>44136</v>
      </c>
      <c r="E7364" t="s">
        <v>3</v>
      </c>
      <c r="F7364">
        <v>149.69999999999999</v>
      </c>
      <c r="G7364" t="str">
        <f>VLOOKUP(Table1_2[[#This Row],[Categories]],Sheet3!$A$1:$B$27,2,FALSE)</f>
        <v>Food &amp;Beverage</v>
      </c>
    </row>
    <row r="7365" spans="1:7" x14ac:dyDescent="0.3">
      <c r="A7365" t="s">
        <v>33</v>
      </c>
      <c r="B7365">
        <v>2020</v>
      </c>
      <c r="C7365" t="s">
        <v>45</v>
      </c>
      <c r="D7365" s="2">
        <v>44136</v>
      </c>
      <c r="E7365" t="s">
        <v>4</v>
      </c>
      <c r="F7365">
        <v>195.5</v>
      </c>
      <c r="G7365" t="str">
        <f>VLOOKUP(Table1_2[[#This Row],[Categories]],Sheet3!$A$1:$B$27,2,FALSE)</f>
        <v>Food &amp;Beverage</v>
      </c>
    </row>
    <row r="7366" spans="1:7" x14ac:dyDescent="0.3">
      <c r="A7366" t="s">
        <v>33</v>
      </c>
      <c r="B7366">
        <v>2020</v>
      </c>
      <c r="C7366" t="s">
        <v>45</v>
      </c>
      <c r="D7366" s="2">
        <v>44136</v>
      </c>
      <c r="E7366" t="s">
        <v>5</v>
      </c>
      <c r="F7366">
        <v>176.9</v>
      </c>
      <c r="G7366" t="str">
        <f>VLOOKUP(Table1_2[[#This Row],[Categories]],Sheet3!$A$1:$B$27,2,FALSE)</f>
        <v>Food &amp;Beverage</v>
      </c>
    </row>
    <row r="7367" spans="1:7" x14ac:dyDescent="0.3">
      <c r="A7367" t="s">
        <v>33</v>
      </c>
      <c r="B7367">
        <v>2020</v>
      </c>
      <c r="C7367" t="s">
        <v>45</v>
      </c>
      <c r="D7367" s="2">
        <v>44136</v>
      </c>
      <c r="E7367" t="s">
        <v>6</v>
      </c>
      <c r="F7367">
        <v>153.9</v>
      </c>
      <c r="G7367" t="str">
        <f>VLOOKUP(Table1_2[[#This Row],[Categories]],Sheet3!$A$1:$B$27,2,FALSE)</f>
        <v>Food &amp;Beverage</v>
      </c>
    </row>
    <row r="7368" spans="1:7" x14ac:dyDescent="0.3">
      <c r="A7368" t="s">
        <v>33</v>
      </c>
      <c r="B7368">
        <v>2020</v>
      </c>
      <c r="C7368" t="s">
        <v>45</v>
      </c>
      <c r="D7368" s="2">
        <v>44136</v>
      </c>
      <c r="E7368" t="s">
        <v>7</v>
      </c>
      <c r="F7368">
        <v>138</v>
      </c>
      <c r="G7368" t="str">
        <f>VLOOKUP(Table1_2[[#This Row],[Categories]],Sheet3!$A$1:$B$27,2,FALSE)</f>
        <v>Food &amp;Beverage</v>
      </c>
    </row>
    <row r="7369" spans="1:7" x14ac:dyDescent="0.3">
      <c r="A7369" t="s">
        <v>33</v>
      </c>
      <c r="B7369">
        <v>2020</v>
      </c>
      <c r="C7369" t="s">
        <v>45</v>
      </c>
      <c r="D7369" s="2">
        <v>44136</v>
      </c>
      <c r="E7369" t="s">
        <v>8</v>
      </c>
      <c r="F7369">
        <v>150.5</v>
      </c>
      <c r="G7369" t="str">
        <f>VLOOKUP(Table1_2[[#This Row],[Categories]],Sheet3!$A$1:$B$27,2,FALSE)</f>
        <v>Food &amp;Beverage</v>
      </c>
    </row>
    <row r="7370" spans="1:7" x14ac:dyDescent="0.3">
      <c r="A7370" t="s">
        <v>33</v>
      </c>
      <c r="B7370">
        <v>2020</v>
      </c>
      <c r="C7370" t="s">
        <v>45</v>
      </c>
      <c r="D7370" s="2">
        <v>44136</v>
      </c>
      <c r="E7370" t="s">
        <v>9</v>
      </c>
      <c r="F7370">
        <v>245.3</v>
      </c>
      <c r="G7370" t="str">
        <f>VLOOKUP(Table1_2[[#This Row],[Categories]],Sheet3!$A$1:$B$27,2,FALSE)</f>
        <v>Food &amp;Beverage</v>
      </c>
    </row>
    <row r="7371" spans="1:7" x14ac:dyDescent="0.3">
      <c r="A7371" t="s">
        <v>33</v>
      </c>
      <c r="B7371">
        <v>2020</v>
      </c>
      <c r="C7371" t="s">
        <v>45</v>
      </c>
      <c r="D7371" s="2">
        <v>44136</v>
      </c>
      <c r="E7371" t="s">
        <v>10</v>
      </c>
      <c r="F7371">
        <v>158.69999999999999</v>
      </c>
      <c r="G7371" t="str">
        <f>VLOOKUP(Table1_2[[#This Row],[Categories]],Sheet3!$A$1:$B$27,2,FALSE)</f>
        <v>Food &amp;Beverage</v>
      </c>
    </row>
    <row r="7372" spans="1:7" x14ac:dyDescent="0.3">
      <c r="A7372" t="s">
        <v>33</v>
      </c>
      <c r="B7372">
        <v>2020</v>
      </c>
      <c r="C7372" t="s">
        <v>45</v>
      </c>
      <c r="D7372" s="2">
        <v>44136</v>
      </c>
      <c r="E7372" t="s">
        <v>11</v>
      </c>
      <c r="F7372">
        <v>117.2</v>
      </c>
      <c r="G7372" t="str">
        <f>VLOOKUP(Table1_2[[#This Row],[Categories]],Sheet3!$A$1:$B$27,2,FALSE)</f>
        <v>Food &amp;Beverage</v>
      </c>
    </row>
    <row r="7373" spans="1:7" x14ac:dyDescent="0.3">
      <c r="A7373" t="s">
        <v>33</v>
      </c>
      <c r="B7373">
        <v>2020</v>
      </c>
      <c r="C7373" t="s">
        <v>45</v>
      </c>
      <c r="D7373" s="2">
        <v>44136</v>
      </c>
      <c r="E7373" t="s">
        <v>12</v>
      </c>
      <c r="F7373">
        <v>161.4</v>
      </c>
      <c r="G7373" t="str">
        <f>VLOOKUP(Table1_2[[#This Row],[Categories]],Sheet3!$A$1:$B$27,2,FALSE)</f>
        <v>Food &amp;Beverage</v>
      </c>
    </row>
    <row r="7374" spans="1:7" x14ac:dyDescent="0.3">
      <c r="A7374" t="s">
        <v>33</v>
      </c>
      <c r="B7374">
        <v>2020</v>
      </c>
      <c r="C7374" t="s">
        <v>45</v>
      </c>
      <c r="D7374" s="2">
        <v>44136</v>
      </c>
      <c r="E7374" t="s">
        <v>13</v>
      </c>
      <c r="F7374">
        <v>141.5</v>
      </c>
      <c r="G7374" t="str">
        <f>VLOOKUP(Table1_2[[#This Row],[Categories]],Sheet3!$A$1:$B$27,2,FALSE)</f>
        <v>Food &amp;Beverage</v>
      </c>
    </row>
    <row r="7375" spans="1:7" x14ac:dyDescent="0.3">
      <c r="A7375" t="s">
        <v>33</v>
      </c>
      <c r="B7375">
        <v>2020</v>
      </c>
      <c r="C7375" t="s">
        <v>45</v>
      </c>
      <c r="D7375" s="2">
        <v>44136</v>
      </c>
      <c r="E7375" t="s">
        <v>14</v>
      </c>
      <c r="F7375">
        <v>165.1</v>
      </c>
      <c r="G7375" t="str">
        <f>VLOOKUP(Table1_2[[#This Row],[Categories]],Sheet3!$A$1:$B$27,2,FALSE)</f>
        <v>Food &amp;Beverage</v>
      </c>
    </row>
    <row r="7376" spans="1:7" x14ac:dyDescent="0.3">
      <c r="A7376" t="s">
        <v>33</v>
      </c>
      <c r="B7376">
        <v>2020</v>
      </c>
      <c r="C7376" t="s">
        <v>45</v>
      </c>
      <c r="D7376" s="2">
        <v>44136</v>
      </c>
      <c r="E7376" t="s">
        <v>15</v>
      </c>
      <c r="F7376">
        <v>167</v>
      </c>
      <c r="G7376" t="str">
        <f>VLOOKUP(Table1_2[[#This Row],[Categories]],Sheet3!$A$1:$B$27,2,FALSE)</f>
        <v>Food &amp;Beverage</v>
      </c>
    </row>
    <row r="7377" spans="1:7" x14ac:dyDescent="0.3">
      <c r="A7377" t="s">
        <v>33</v>
      </c>
      <c r="B7377">
        <v>2020</v>
      </c>
      <c r="C7377" t="s">
        <v>45</v>
      </c>
      <c r="D7377" s="2">
        <v>44136</v>
      </c>
      <c r="E7377" t="s">
        <v>16</v>
      </c>
      <c r="F7377">
        <v>188.8</v>
      </c>
      <c r="G7377" t="str">
        <f>VLOOKUP(Table1_2[[#This Row],[Categories]],Sheet3!$A$1:$B$27,2,FALSE)</f>
        <v>Recreation and amusement</v>
      </c>
    </row>
    <row r="7378" spans="1:7" x14ac:dyDescent="0.3">
      <c r="A7378" t="s">
        <v>33</v>
      </c>
      <c r="B7378">
        <v>2020</v>
      </c>
      <c r="C7378" t="s">
        <v>45</v>
      </c>
      <c r="D7378" s="2">
        <v>44136</v>
      </c>
      <c r="E7378" t="s">
        <v>17</v>
      </c>
      <c r="F7378">
        <v>151.1</v>
      </c>
      <c r="G7378" t="str">
        <f>VLOOKUP(Table1_2[[#This Row],[Categories]],Sheet3!$A$1:$B$27,2,FALSE)</f>
        <v>Clothing and footwear</v>
      </c>
    </row>
    <row r="7379" spans="1:7" x14ac:dyDescent="0.3">
      <c r="A7379" t="s">
        <v>33</v>
      </c>
      <c r="B7379">
        <v>2020</v>
      </c>
      <c r="C7379" t="s">
        <v>45</v>
      </c>
      <c r="D7379" s="2">
        <v>44136</v>
      </c>
      <c r="E7379" t="s">
        <v>18</v>
      </c>
      <c r="F7379">
        <v>136.4</v>
      </c>
      <c r="G7379" t="str">
        <f>VLOOKUP(Table1_2[[#This Row],[Categories]],Sheet3!$A$1:$B$27,2,FALSE)</f>
        <v>Clothing and footwear</v>
      </c>
    </row>
    <row r="7380" spans="1:7" x14ac:dyDescent="0.3">
      <c r="A7380" t="s">
        <v>33</v>
      </c>
      <c r="B7380">
        <v>2020</v>
      </c>
      <c r="C7380" t="s">
        <v>45</v>
      </c>
      <c r="D7380" s="2">
        <v>44136</v>
      </c>
      <c r="E7380" t="s">
        <v>19</v>
      </c>
      <c r="F7380">
        <v>148.80000000000001</v>
      </c>
      <c r="G7380" t="str">
        <f>VLOOKUP(Table1_2[[#This Row],[Categories]],Sheet3!$A$1:$B$27,2,FALSE)</f>
        <v>Clothing and footwear</v>
      </c>
    </row>
    <row r="7381" spans="1:7" x14ac:dyDescent="0.3">
      <c r="A7381" t="s">
        <v>33</v>
      </c>
      <c r="B7381">
        <v>2020</v>
      </c>
      <c r="C7381" t="s">
        <v>45</v>
      </c>
      <c r="D7381" s="2">
        <v>44136</v>
      </c>
      <c r="E7381" t="s">
        <v>20</v>
      </c>
      <c r="F7381">
        <v>158</v>
      </c>
      <c r="G7381" t="str">
        <f>VLOOKUP(Table1_2[[#This Row],[Categories]],Sheet3!$A$1:$B$27,2,FALSE)</f>
        <v>Housing</v>
      </c>
    </row>
    <row r="7382" spans="1:7" x14ac:dyDescent="0.3">
      <c r="A7382" t="s">
        <v>33</v>
      </c>
      <c r="B7382">
        <v>2020</v>
      </c>
      <c r="C7382" t="s">
        <v>45</v>
      </c>
      <c r="D7382" s="2">
        <v>44136</v>
      </c>
      <c r="E7382" t="s">
        <v>21</v>
      </c>
      <c r="F7382">
        <v>137.30000000000001</v>
      </c>
      <c r="G7382" t="str">
        <f>VLOOKUP(Table1_2[[#This Row],[Categories]],Sheet3!$A$1:$B$27,2,FALSE)</f>
        <v>Fuel and light</v>
      </c>
    </row>
    <row r="7383" spans="1:7" x14ac:dyDescent="0.3">
      <c r="A7383" t="s">
        <v>33</v>
      </c>
      <c r="B7383">
        <v>2020</v>
      </c>
      <c r="C7383" t="s">
        <v>45</v>
      </c>
      <c r="D7383" s="2">
        <v>44136</v>
      </c>
      <c r="E7383" t="s">
        <v>22</v>
      </c>
      <c r="F7383">
        <v>145.1</v>
      </c>
      <c r="G7383" t="str">
        <f>VLOOKUP(Table1_2[[#This Row],[Categories]],Sheet3!$A$1:$B$27,2,FALSE)</f>
        <v>Household Items</v>
      </c>
    </row>
    <row r="7384" spans="1:7" x14ac:dyDescent="0.3">
      <c r="A7384" t="s">
        <v>33</v>
      </c>
      <c r="B7384">
        <v>2020</v>
      </c>
      <c r="C7384" t="s">
        <v>45</v>
      </c>
      <c r="D7384" s="2">
        <v>44136</v>
      </c>
      <c r="E7384" t="s">
        <v>23</v>
      </c>
      <c r="F7384">
        <v>152</v>
      </c>
      <c r="G7384" t="str">
        <f>VLOOKUP(Table1_2[[#This Row],[Categories]],Sheet3!$A$1:$B$27,2,FALSE)</f>
        <v>Health</v>
      </c>
    </row>
    <row r="7385" spans="1:7" x14ac:dyDescent="0.3">
      <c r="A7385" t="s">
        <v>33</v>
      </c>
      <c r="B7385">
        <v>2020</v>
      </c>
      <c r="C7385" t="s">
        <v>45</v>
      </c>
      <c r="D7385" s="2">
        <v>44136</v>
      </c>
      <c r="E7385" t="s">
        <v>24</v>
      </c>
      <c r="F7385">
        <v>135.19999999999999</v>
      </c>
      <c r="G7385" t="str">
        <f>VLOOKUP(Table1_2[[#This Row],[Categories]],Sheet3!$A$1:$B$27,2,FALSE)</f>
        <v>Transport and communication</v>
      </c>
    </row>
    <row r="7386" spans="1:7" x14ac:dyDescent="0.3">
      <c r="A7386" t="s">
        <v>33</v>
      </c>
      <c r="B7386">
        <v>2020</v>
      </c>
      <c r="C7386" t="s">
        <v>45</v>
      </c>
      <c r="D7386" s="2">
        <v>44136</v>
      </c>
      <c r="E7386" t="s">
        <v>25</v>
      </c>
      <c r="F7386">
        <v>144.4</v>
      </c>
      <c r="G7386" t="str">
        <f>VLOOKUP(Table1_2[[#This Row],[Categories]],Sheet3!$A$1:$B$27,2,FALSE)</f>
        <v>Recreation and amusement</v>
      </c>
    </row>
    <row r="7387" spans="1:7" x14ac:dyDescent="0.3">
      <c r="A7387" t="s">
        <v>33</v>
      </c>
      <c r="B7387">
        <v>2020</v>
      </c>
      <c r="C7387" t="s">
        <v>45</v>
      </c>
      <c r="D7387" s="2">
        <v>44136</v>
      </c>
      <c r="E7387" t="s">
        <v>26</v>
      </c>
      <c r="F7387">
        <v>156.4</v>
      </c>
      <c r="G7387" t="str">
        <f>VLOOKUP(Table1_2[[#This Row],[Categories]],Sheet3!$A$1:$B$27,2,FALSE)</f>
        <v>Education</v>
      </c>
    </row>
    <row r="7388" spans="1:7" x14ac:dyDescent="0.3">
      <c r="A7388" t="s">
        <v>33</v>
      </c>
      <c r="B7388">
        <v>2020</v>
      </c>
      <c r="C7388" t="s">
        <v>45</v>
      </c>
      <c r="D7388" s="2">
        <v>44136</v>
      </c>
      <c r="E7388" t="s">
        <v>27</v>
      </c>
      <c r="F7388">
        <v>157.9</v>
      </c>
      <c r="G7388" t="str">
        <f>VLOOKUP(Table1_2[[#This Row],[Categories]],Sheet3!$A$1:$B$27,2,FALSE)</f>
        <v>Household Items</v>
      </c>
    </row>
    <row r="7389" spans="1:7" x14ac:dyDescent="0.3">
      <c r="A7389" t="s">
        <v>33</v>
      </c>
      <c r="B7389">
        <v>2020</v>
      </c>
      <c r="C7389" t="s">
        <v>45</v>
      </c>
      <c r="D7389" s="2">
        <v>44136</v>
      </c>
      <c r="E7389" t="s">
        <v>28</v>
      </c>
      <c r="F7389">
        <v>146.6</v>
      </c>
      <c r="G7389" t="str">
        <f>VLOOKUP(Table1_2[[#This Row],[Categories]],Sheet3!$A$1:$B$27,2,FALSE)</f>
        <v>Miscellaneous</v>
      </c>
    </row>
    <row r="7390" spans="1:7" x14ac:dyDescent="0.3">
      <c r="A7390" t="s">
        <v>33</v>
      </c>
      <c r="B7390">
        <v>2020</v>
      </c>
      <c r="C7390" t="s">
        <v>45</v>
      </c>
      <c r="D7390" s="2">
        <v>44136</v>
      </c>
      <c r="E7390" t="s">
        <v>29</v>
      </c>
      <c r="F7390">
        <v>156.69999999999999</v>
      </c>
      <c r="G7390" t="str">
        <f>VLOOKUP(Table1_2[[#This Row],[Categories]],Sheet3!$A$1:$B$27,2,FALSE)</f>
        <v>General index</v>
      </c>
    </row>
    <row r="7391" spans="1:7" x14ac:dyDescent="0.3">
      <c r="A7391" t="s">
        <v>34</v>
      </c>
      <c r="B7391">
        <v>2020</v>
      </c>
      <c r="C7391" t="s">
        <v>45</v>
      </c>
      <c r="D7391" s="2">
        <v>44136</v>
      </c>
      <c r="E7391" t="s">
        <v>3</v>
      </c>
      <c r="F7391">
        <v>146.80000000000001</v>
      </c>
      <c r="G7391" t="str">
        <f>VLOOKUP(Table1_2[[#This Row],[Categories]],Sheet3!$A$1:$B$27,2,FALSE)</f>
        <v>Food &amp;Beverage</v>
      </c>
    </row>
    <row r="7392" spans="1:7" x14ac:dyDescent="0.3">
      <c r="A7392" t="s">
        <v>34</v>
      </c>
      <c r="B7392">
        <v>2020</v>
      </c>
      <c r="C7392" t="s">
        <v>45</v>
      </c>
      <c r="D7392" s="2">
        <v>44136</v>
      </c>
      <c r="E7392" t="s">
        <v>4</v>
      </c>
      <c r="F7392">
        <v>191</v>
      </c>
      <c r="G7392" t="str">
        <f>VLOOKUP(Table1_2[[#This Row],[Categories]],Sheet3!$A$1:$B$27,2,FALSE)</f>
        <v>Food &amp;Beverage</v>
      </c>
    </row>
    <row r="7393" spans="1:7" x14ac:dyDescent="0.3">
      <c r="A7393" t="s">
        <v>34</v>
      </c>
      <c r="B7393">
        <v>2020</v>
      </c>
      <c r="C7393" t="s">
        <v>45</v>
      </c>
      <c r="D7393" s="2">
        <v>44136</v>
      </c>
      <c r="E7393" t="s">
        <v>5</v>
      </c>
      <c r="F7393">
        <v>173.6</v>
      </c>
      <c r="G7393" t="str">
        <f>VLOOKUP(Table1_2[[#This Row],[Categories]],Sheet3!$A$1:$B$27,2,FALSE)</f>
        <v>Food &amp;Beverage</v>
      </c>
    </row>
    <row r="7394" spans="1:7" x14ac:dyDescent="0.3">
      <c r="A7394" t="s">
        <v>34</v>
      </c>
      <c r="B7394">
        <v>2020</v>
      </c>
      <c r="C7394" t="s">
        <v>45</v>
      </c>
      <c r="D7394" s="2">
        <v>44136</v>
      </c>
      <c r="E7394" t="s">
        <v>6</v>
      </c>
      <c r="F7394">
        <v>153.80000000000001</v>
      </c>
      <c r="G7394" t="str">
        <f>VLOOKUP(Table1_2[[#This Row],[Categories]],Sheet3!$A$1:$B$27,2,FALSE)</f>
        <v>Food &amp;Beverage</v>
      </c>
    </row>
    <row r="7395" spans="1:7" x14ac:dyDescent="0.3">
      <c r="A7395" t="s">
        <v>34</v>
      </c>
      <c r="B7395">
        <v>2020</v>
      </c>
      <c r="C7395" t="s">
        <v>45</v>
      </c>
      <c r="D7395" s="2">
        <v>44136</v>
      </c>
      <c r="E7395" t="s">
        <v>7</v>
      </c>
      <c r="F7395">
        <v>142.69999999999999</v>
      </c>
      <c r="G7395" t="str">
        <f>VLOOKUP(Table1_2[[#This Row],[Categories]],Sheet3!$A$1:$B$27,2,FALSE)</f>
        <v>Food &amp;Beverage</v>
      </c>
    </row>
    <row r="7396" spans="1:7" x14ac:dyDescent="0.3">
      <c r="A7396" t="s">
        <v>34</v>
      </c>
      <c r="B7396">
        <v>2020</v>
      </c>
      <c r="C7396" t="s">
        <v>45</v>
      </c>
      <c r="D7396" s="2">
        <v>44136</v>
      </c>
      <c r="E7396" t="s">
        <v>8</v>
      </c>
      <c r="F7396">
        <v>148.4</v>
      </c>
      <c r="G7396" t="str">
        <f>VLOOKUP(Table1_2[[#This Row],[Categories]],Sheet3!$A$1:$B$27,2,FALSE)</f>
        <v>Food &amp;Beverage</v>
      </c>
    </row>
    <row r="7397" spans="1:7" x14ac:dyDescent="0.3">
      <c r="A7397" t="s">
        <v>34</v>
      </c>
      <c r="B7397">
        <v>2020</v>
      </c>
      <c r="C7397" t="s">
        <v>45</v>
      </c>
      <c r="D7397" s="2">
        <v>44136</v>
      </c>
      <c r="E7397" t="s">
        <v>9</v>
      </c>
      <c r="F7397">
        <v>230</v>
      </c>
      <c r="G7397" t="str">
        <f>VLOOKUP(Table1_2[[#This Row],[Categories]],Sheet3!$A$1:$B$27,2,FALSE)</f>
        <v>Food &amp;Beverage</v>
      </c>
    </row>
    <row r="7398" spans="1:7" x14ac:dyDescent="0.3">
      <c r="A7398" t="s">
        <v>34</v>
      </c>
      <c r="B7398">
        <v>2020</v>
      </c>
      <c r="C7398" t="s">
        <v>45</v>
      </c>
      <c r="D7398" s="2">
        <v>44136</v>
      </c>
      <c r="E7398" t="s">
        <v>10</v>
      </c>
      <c r="F7398">
        <v>156.80000000000001</v>
      </c>
      <c r="G7398" t="str">
        <f>VLOOKUP(Table1_2[[#This Row],[Categories]],Sheet3!$A$1:$B$27,2,FALSE)</f>
        <v>Food &amp;Beverage</v>
      </c>
    </row>
    <row r="7399" spans="1:7" x14ac:dyDescent="0.3">
      <c r="A7399" t="s">
        <v>34</v>
      </c>
      <c r="B7399">
        <v>2020</v>
      </c>
      <c r="C7399" t="s">
        <v>45</v>
      </c>
      <c r="D7399" s="2">
        <v>44136</v>
      </c>
      <c r="E7399" t="s">
        <v>11</v>
      </c>
      <c r="F7399">
        <v>115.7</v>
      </c>
      <c r="G7399" t="str">
        <f>VLOOKUP(Table1_2[[#This Row],[Categories]],Sheet3!$A$1:$B$27,2,FALSE)</f>
        <v>Food &amp;Beverage</v>
      </c>
    </row>
    <row r="7400" spans="1:7" x14ac:dyDescent="0.3">
      <c r="A7400" t="s">
        <v>34</v>
      </c>
      <c r="B7400">
        <v>2020</v>
      </c>
      <c r="C7400" t="s">
        <v>45</v>
      </c>
      <c r="D7400" s="2">
        <v>44136</v>
      </c>
      <c r="E7400" t="s">
        <v>12</v>
      </c>
      <c r="F7400">
        <v>161.80000000000001</v>
      </c>
      <c r="G7400" t="str">
        <f>VLOOKUP(Table1_2[[#This Row],[Categories]],Sheet3!$A$1:$B$27,2,FALSE)</f>
        <v>Food &amp;Beverage</v>
      </c>
    </row>
    <row r="7401" spans="1:7" x14ac:dyDescent="0.3">
      <c r="A7401" t="s">
        <v>34</v>
      </c>
      <c r="B7401">
        <v>2020</v>
      </c>
      <c r="C7401" t="s">
        <v>45</v>
      </c>
      <c r="D7401" s="2">
        <v>44136</v>
      </c>
      <c r="E7401" t="s">
        <v>13</v>
      </c>
      <c r="F7401">
        <v>146.5</v>
      </c>
      <c r="G7401" t="str">
        <f>VLOOKUP(Table1_2[[#This Row],[Categories]],Sheet3!$A$1:$B$27,2,FALSE)</f>
        <v>Food &amp;Beverage</v>
      </c>
    </row>
    <row r="7402" spans="1:7" x14ac:dyDescent="0.3">
      <c r="A7402" t="s">
        <v>34</v>
      </c>
      <c r="B7402">
        <v>2020</v>
      </c>
      <c r="C7402" t="s">
        <v>45</v>
      </c>
      <c r="D7402" s="2">
        <v>44136</v>
      </c>
      <c r="E7402" t="s">
        <v>14</v>
      </c>
      <c r="F7402">
        <v>163.80000000000001</v>
      </c>
      <c r="G7402" t="str">
        <f>VLOOKUP(Table1_2[[#This Row],[Categories]],Sheet3!$A$1:$B$27,2,FALSE)</f>
        <v>Food &amp;Beverage</v>
      </c>
    </row>
    <row r="7403" spans="1:7" x14ac:dyDescent="0.3">
      <c r="A7403" t="s">
        <v>34</v>
      </c>
      <c r="B7403">
        <v>2020</v>
      </c>
      <c r="C7403" t="s">
        <v>45</v>
      </c>
      <c r="D7403" s="2">
        <v>44136</v>
      </c>
      <c r="E7403" t="s">
        <v>15</v>
      </c>
      <c r="F7403">
        <v>164.7</v>
      </c>
      <c r="G7403" t="str">
        <f>VLOOKUP(Table1_2[[#This Row],[Categories]],Sheet3!$A$1:$B$27,2,FALSE)</f>
        <v>Food &amp;Beverage</v>
      </c>
    </row>
    <row r="7404" spans="1:7" x14ac:dyDescent="0.3">
      <c r="A7404" t="s">
        <v>34</v>
      </c>
      <c r="B7404">
        <v>2020</v>
      </c>
      <c r="C7404" t="s">
        <v>45</v>
      </c>
      <c r="D7404" s="2">
        <v>44136</v>
      </c>
      <c r="E7404" t="s">
        <v>16</v>
      </c>
      <c r="F7404">
        <v>184.8</v>
      </c>
      <c r="G7404" t="str">
        <f>VLOOKUP(Table1_2[[#This Row],[Categories]],Sheet3!$A$1:$B$27,2,FALSE)</f>
        <v>Recreation and amusement</v>
      </c>
    </row>
    <row r="7405" spans="1:7" x14ac:dyDescent="0.3">
      <c r="A7405" t="s">
        <v>34</v>
      </c>
      <c r="B7405">
        <v>2020</v>
      </c>
      <c r="C7405" t="s">
        <v>45</v>
      </c>
      <c r="D7405" s="2">
        <v>44136</v>
      </c>
      <c r="E7405" t="s">
        <v>17</v>
      </c>
      <c r="F7405">
        <v>154.30000000000001</v>
      </c>
      <c r="G7405" t="str">
        <f>VLOOKUP(Table1_2[[#This Row],[Categories]],Sheet3!$A$1:$B$27,2,FALSE)</f>
        <v>Clothing and footwear</v>
      </c>
    </row>
    <row r="7406" spans="1:7" x14ac:dyDescent="0.3">
      <c r="A7406" t="s">
        <v>34</v>
      </c>
      <c r="B7406">
        <v>2020</v>
      </c>
      <c r="C7406" t="s">
        <v>45</v>
      </c>
      <c r="D7406" s="2">
        <v>44136</v>
      </c>
      <c r="E7406" t="s">
        <v>18</v>
      </c>
      <c r="F7406">
        <v>144.9</v>
      </c>
      <c r="G7406" t="str">
        <f>VLOOKUP(Table1_2[[#This Row],[Categories]],Sheet3!$A$1:$B$27,2,FALSE)</f>
        <v>Clothing and footwear</v>
      </c>
    </row>
    <row r="7407" spans="1:7" x14ac:dyDescent="0.3">
      <c r="A7407" t="s">
        <v>34</v>
      </c>
      <c r="B7407">
        <v>2020</v>
      </c>
      <c r="C7407" t="s">
        <v>45</v>
      </c>
      <c r="D7407" s="2">
        <v>44136</v>
      </c>
      <c r="E7407" t="s">
        <v>19</v>
      </c>
      <c r="F7407">
        <v>152.80000000000001</v>
      </c>
      <c r="G7407" t="str">
        <f>VLOOKUP(Table1_2[[#This Row],[Categories]],Sheet3!$A$1:$B$27,2,FALSE)</f>
        <v>Clothing and footwear</v>
      </c>
    </row>
    <row r="7408" spans="1:7" x14ac:dyDescent="0.3">
      <c r="A7408" t="s">
        <v>34</v>
      </c>
      <c r="B7408">
        <v>2020</v>
      </c>
      <c r="C7408" t="s">
        <v>45</v>
      </c>
      <c r="D7408" s="2">
        <v>44136</v>
      </c>
      <c r="E7408" t="s">
        <v>20</v>
      </c>
      <c r="F7408">
        <v>158</v>
      </c>
      <c r="G7408" t="str">
        <f>VLOOKUP(Table1_2[[#This Row],[Categories]],Sheet3!$A$1:$B$27,2,FALSE)</f>
        <v>Housing</v>
      </c>
    </row>
    <row r="7409" spans="1:7" x14ac:dyDescent="0.3">
      <c r="A7409" t="s">
        <v>34</v>
      </c>
      <c r="B7409">
        <v>2020</v>
      </c>
      <c r="C7409" t="s">
        <v>45</v>
      </c>
      <c r="D7409" s="2">
        <v>44136</v>
      </c>
      <c r="E7409" t="s">
        <v>21</v>
      </c>
      <c r="F7409">
        <v>143.6</v>
      </c>
      <c r="G7409" t="str">
        <f>VLOOKUP(Table1_2[[#This Row],[Categories]],Sheet3!$A$1:$B$27,2,FALSE)</f>
        <v>Fuel and light</v>
      </c>
    </row>
    <row r="7410" spans="1:7" x14ac:dyDescent="0.3">
      <c r="A7410" t="s">
        <v>34</v>
      </c>
      <c r="B7410">
        <v>2020</v>
      </c>
      <c r="C7410" t="s">
        <v>45</v>
      </c>
      <c r="D7410" s="2">
        <v>44136</v>
      </c>
      <c r="E7410" t="s">
        <v>22</v>
      </c>
      <c r="F7410">
        <v>149.19999999999999</v>
      </c>
      <c r="G7410" t="str">
        <f>VLOOKUP(Table1_2[[#This Row],[Categories]],Sheet3!$A$1:$B$27,2,FALSE)</f>
        <v>Household Items</v>
      </c>
    </row>
    <row r="7411" spans="1:7" x14ac:dyDescent="0.3">
      <c r="A7411" t="s">
        <v>34</v>
      </c>
      <c r="B7411">
        <v>2020</v>
      </c>
      <c r="C7411" t="s">
        <v>45</v>
      </c>
      <c r="D7411" s="2">
        <v>44136</v>
      </c>
      <c r="E7411" t="s">
        <v>23</v>
      </c>
      <c r="F7411">
        <v>157.19999999999999</v>
      </c>
      <c r="G7411" t="str">
        <f>VLOOKUP(Table1_2[[#This Row],[Categories]],Sheet3!$A$1:$B$27,2,FALSE)</f>
        <v>Health</v>
      </c>
    </row>
    <row r="7412" spans="1:7" x14ac:dyDescent="0.3">
      <c r="A7412" t="s">
        <v>34</v>
      </c>
      <c r="B7412">
        <v>2020</v>
      </c>
      <c r="C7412" t="s">
        <v>45</v>
      </c>
      <c r="D7412" s="2">
        <v>44136</v>
      </c>
      <c r="E7412" t="s">
        <v>24</v>
      </c>
      <c r="F7412">
        <v>140.4</v>
      </c>
      <c r="G7412" t="str">
        <f>VLOOKUP(Table1_2[[#This Row],[Categories]],Sheet3!$A$1:$B$27,2,FALSE)</f>
        <v>Transport and communication</v>
      </c>
    </row>
    <row r="7413" spans="1:7" x14ac:dyDescent="0.3">
      <c r="A7413" t="s">
        <v>34</v>
      </c>
      <c r="B7413">
        <v>2020</v>
      </c>
      <c r="C7413" t="s">
        <v>45</v>
      </c>
      <c r="D7413" s="2">
        <v>44136</v>
      </c>
      <c r="E7413" t="s">
        <v>25</v>
      </c>
      <c r="F7413">
        <v>148.4</v>
      </c>
      <c r="G7413" t="str">
        <f>VLOOKUP(Table1_2[[#This Row],[Categories]],Sheet3!$A$1:$B$27,2,FALSE)</f>
        <v>Recreation and amusement</v>
      </c>
    </row>
    <row r="7414" spans="1:7" x14ac:dyDescent="0.3">
      <c r="A7414" t="s">
        <v>34</v>
      </c>
      <c r="B7414">
        <v>2020</v>
      </c>
      <c r="C7414" t="s">
        <v>45</v>
      </c>
      <c r="D7414" s="2">
        <v>44136</v>
      </c>
      <c r="E7414" t="s">
        <v>26</v>
      </c>
      <c r="F7414">
        <v>158.6</v>
      </c>
      <c r="G7414" t="str">
        <f>VLOOKUP(Table1_2[[#This Row],[Categories]],Sheet3!$A$1:$B$27,2,FALSE)</f>
        <v>Education</v>
      </c>
    </row>
    <row r="7415" spans="1:7" x14ac:dyDescent="0.3">
      <c r="A7415" t="s">
        <v>34</v>
      </c>
      <c r="B7415">
        <v>2020</v>
      </c>
      <c r="C7415" t="s">
        <v>45</v>
      </c>
      <c r="D7415" s="2">
        <v>44136</v>
      </c>
      <c r="E7415" t="s">
        <v>27</v>
      </c>
      <c r="F7415">
        <v>156.9</v>
      </c>
      <c r="G7415" t="str">
        <f>VLOOKUP(Table1_2[[#This Row],[Categories]],Sheet3!$A$1:$B$27,2,FALSE)</f>
        <v>Household Items</v>
      </c>
    </row>
    <row r="7416" spans="1:7" x14ac:dyDescent="0.3">
      <c r="A7416" t="s">
        <v>34</v>
      </c>
      <c r="B7416">
        <v>2020</v>
      </c>
      <c r="C7416" t="s">
        <v>45</v>
      </c>
      <c r="D7416" s="2">
        <v>44136</v>
      </c>
      <c r="E7416" t="s">
        <v>28</v>
      </c>
      <c r="F7416">
        <v>150.69999999999999</v>
      </c>
      <c r="G7416" t="str">
        <f>VLOOKUP(Table1_2[[#This Row],[Categories]],Sheet3!$A$1:$B$27,2,FALSE)</f>
        <v>Miscellaneous</v>
      </c>
    </row>
    <row r="7417" spans="1:7" x14ac:dyDescent="0.3">
      <c r="A7417" t="s">
        <v>34</v>
      </c>
      <c r="B7417">
        <v>2020</v>
      </c>
      <c r="C7417" t="s">
        <v>45</v>
      </c>
      <c r="D7417" s="2">
        <v>44136</v>
      </c>
      <c r="E7417" t="s">
        <v>29</v>
      </c>
      <c r="F7417">
        <v>158.4</v>
      </c>
      <c r="G7417" t="str">
        <f>VLOOKUP(Table1_2[[#This Row],[Categories]],Sheet3!$A$1:$B$27,2,FALSE)</f>
        <v>General index</v>
      </c>
    </row>
    <row r="7418" spans="1:7" x14ac:dyDescent="0.3">
      <c r="A7418" t="s">
        <v>30</v>
      </c>
      <c r="B7418">
        <v>2020</v>
      </c>
      <c r="C7418" t="s">
        <v>46</v>
      </c>
      <c r="D7418" s="2">
        <v>44166</v>
      </c>
      <c r="E7418" t="s">
        <v>3</v>
      </c>
      <c r="F7418">
        <v>144.6</v>
      </c>
      <c r="G7418" t="str">
        <f>VLOOKUP(Table1_2[[#This Row],[Categories]],Sheet3!$A$1:$B$27,2,FALSE)</f>
        <v>Food &amp;Beverage</v>
      </c>
    </row>
    <row r="7419" spans="1:7" x14ac:dyDescent="0.3">
      <c r="A7419" t="s">
        <v>30</v>
      </c>
      <c r="B7419">
        <v>2020</v>
      </c>
      <c r="C7419" t="s">
        <v>46</v>
      </c>
      <c r="D7419" s="2">
        <v>44166</v>
      </c>
      <c r="E7419" t="s">
        <v>4</v>
      </c>
      <c r="F7419">
        <v>188.5</v>
      </c>
      <c r="G7419" t="str">
        <f>VLOOKUP(Table1_2[[#This Row],[Categories]],Sheet3!$A$1:$B$27,2,FALSE)</f>
        <v>Food &amp;Beverage</v>
      </c>
    </row>
    <row r="7420" spans="1:7" x14ac:dyDescent="0.3">
      <c r="A7420" t="s">
        <v>30</v>
      </c>
      <c r="B7420">
        <v>2020</v>
      </c>
      <c r="C7420" t="s">
        <v>46</v>
      </c>
      <c r="D7420" s="2">
        <v>44166</v>
      </c>
      <c r="E7420" t="s">
        <v>5</v>
      </c>
      <c r="F7420">
        <v>173.4</v>
      </c>
      <c r="G7420" t="str">
        <f>VLOOKUP(Table1_2[[#This Row],[Categories]],Sheet3!$A$1:$B$27,2,FALSE)</f>
        <v>Food &amp;Beverage</v>
      </c>
    </row>
    <row r="7421" spans="1:7" x14ac:dyDescent="0.3">
      <c r="A7421" t="s">
        <v>30</v>
      </c>
      <c r="B7421">
        <v>2020</v>
      </c>
      <c r="C7421" t="s">
        <v>46</v>
      </c>
      <c r="D7421" s="2">
        <v>44166</v>
      </c>
      <c r="E7421" t="s">
        <v>6</v>
      </c>
      <c r="F7421">
        <v>154</v>
      </c>
      <c r="G7421" t="str">
        <f>VLOOKUP(Table1_2[[#This Row],[Categories]],Sheet3!$A$1:$B$27,2,FALSE)</f>
        <v>Food &amp;Beverage</v>
      </c>
    </row>
    <row r="7422" spans="1:7" x14ac:dyDescent="0.3">
      <c r="A7422" t="s">
        <v>30</v>
      </c>
      <c r="B7422">
        <v>2020</v>
      </c>
      <c r="C7422" t="s">
        <v>46</v>
      </c>
      <c r="D7422" s="2">
        <v>44166</v>
      </c>
      <c r="E7422" t="s">
        <v>7</v>
      </c>
      <c r="F7422">
        <v>150</v>
      </c>
      <c r="G7422" t="str">
        <f>VLOOKUP(Table1_2[[#This Row],[Categories]],Sheet3!$A$1:$B$27,2,FALSE)</f>
        <v>Food &amp;Beverage</v>
      </c>
    </row>
    <row r="7423" spans="1:7" x14ac:dyDescent="0.3">
      <c r="A7423" t="s">
        <v>30</v>
      </c>
      <c r="B7423">
        <v>2020</v>
      </c>
      <c r="C7423" t="s">
        <v>46</v>
      </c>
      <c r="D7423" s="2">
        <v>44166</v>
      </c>
      <c r="E7423" t="s">
        <v>8</v>
      </c>
      <c r="F7423">
        <v>145.9</v>
      </c>
      <c r="G7423" t="str">
        <f>VLOOKUP(Table1_2[[#This Row],[Categories]],Sheet3!$A$1:$B$27,2,FALSE)</f>
        <v>Food &amp;Beverage</v>
      </c>
    </row>
    <row r="7424" spans="1:7" x14ac:dyDescent="0.3">
      <c r="A7424" t="s">
        <v>30</v>
      </c>
      <c r="B7424">
        <v>2020</v>
      </c>
      <c r="C7424" t="s">
        <v>46</v>
      </c>
      <c r="D7424" s="2">
        <v>44166</v>
      </c>
      <c r="E7424" t="s">
        <v>9</v>
      </c>
      <c r="F7424">
        <v>225.2</v>
      </c>
      <c r="G7424" t="str">
        <f>VLOOKUP(Table1_2[[#This Row],[Categories]],Sheet3!$A$1:$B$27,2,FALSE)</f>
        <v>Food &amp;Beverage</v>
      </c>
    </row>
    <row r="7425" spans="1:7" x14ac:dyDescent="0.3">
      <c r="A7425" t="s">
        <v>30</v>
      </c>
      <c r="B7425">
        <v>2020</v>
      </c>
      <c r="C7425" t="s">
        <v>46</v>
      </c>
      <c r="D7425" s="2">
        <v>44166</v>
      </c>
      <c r="E7425" t="s">
        <v>10</v>
      </c>
      <c r="F7425">
        <v>159.5</v>
      </c>
      <c r="G7425" t="str">
        <f>VLOOKUP(Table1_2[[#This Row],[Categories]],Sheet3!$A$1:$B$27,2,FALSE)</f>
        <v>Food &amp;Beverage</v>
      </c>
    </row>
    <row r="7426" spans="1:7" x14ac:dyDescent="0.3">
      <c r="A7426" t="s">
        <v>30</v>
      </c>
      <c r="B7426">
        <v>2020</v>
      </c>
      <c r="C7426" t="s">
        <v>46</v>
      </c>
      <c r="D7426" s="2">
        <v>44166</v>
      </c>
      <c r="E7426" t="s">
        <v>11</v>
      </c>
      <c r="F7426">
        <v>114.4</v>
      </c>
      <c r="G7426" t="str">
        <f>VLOOKUP(Table1_2[[#This Row],[Categories]],Sheet3!$A$1:$B$27,2,FALSE)</f>
        <v>Food &amp;Beverage</v>
      </c>
    </row>
    <row r="7427" spans="1:7" x14ac:dyDescent="0.3">
      <c r="A7427" t="s">
        <v>30</v>
      </c>
      <c r="B7427">
        <v>2020</v>
      </c>
      <c r="C7427" t="s">
        <v>46</v>
      </c>
      <c r="D7427" s="2">
        <v>44166</v>
      </c>
      <c r="E7427" t="s">
        <v>12</v>
      </c>
      <c r="F7427">
        <v>163.5</v>
      </c>
      <c r="G7427" t="str">
        <f>VLOOKUP(Table1_2[[#This Row],[Categories]],Sheet3!$A$1:$B$27,2,FALSE)</f>
        <v>Food &amp;Beverage</v>
      </c>
    </row>
    <row r="7428" spans="1:7" x14ac:dyDescent="0.3">
      <c r="A7428" t="s">
        <v>30</v>
      </c>
      <c r="B7428">
        <v>2020</v>
      </c>
      <c r="C7428" t="s">
        <v>46</v>
      </c>
      <c r="D7428" s="2">
        <v>44166</v>
      </c>
      <c r="E7428" t="s">
        <v>13</v>
      </c>
      <c r="F7428">
        <v>153.4</v>
      </c>
      <c r="G7428" t="str">
        <f>VLOOKUP(Table1_2[[#This Row],[Categories]],Sheet3!$A$1:$B$27,2,FALSE)</f>
        <v>Food &amp;Beverage</v>
      </c>
    </row>
    <row r="7429" spans="1:7" x14ac:dyDescent="0.3">
      <c r="A7429" t="s">
        <v>30</v>
      </c>
      <c r="B7429">
        <v>2020</v>
      </c>
      <c r="C7429" t="s">
        <v>46</v>
      </c>
      <c r="D7429" s="2">
        <v>44166</v>
      </c>
      <c r="E7429" t="s">
        <v>14</v>
      </c>
      <c r="F7429">
        <v>163.6</v>
      </c>
      <c r="G7429" t="str">
        <f>VLOOKUP(Table1_2[[#This Row],[Categories]],Sheet3!$A$1:$B$27,2,FALSE)</f>
        <v>Food &amp;Beverage</v>
      </c>
    </row>
    <row r="7430" spans="1:7" x14ac:dyDescent="0.3">
      <c r="A7430" t="s">
        <v>30</v>
      </c>
      <c r="B7430">
        <v>2020</v>
      </c>
      <c r="C7430" t="s">
        <v>46</v>
      </c>
      <c r="D7430" s="2">
        <v>44166</v>
      </c>
      <c r="E7430" t="s">
        <v>15</v>
      </c>
      <c r="F7430">
        <v>164.5</v>
      </c>
      <c r="G7430" t="str">
        <f>VLOOKUP(Table1_2[[#This Row],[Categories]],Sheet3!$A$1:$B$27,2,FALSE)</f>
        <v>Food &amp;Beverage</v>
      </c>
    </row>
    <row r="7431" spans="1:7" x14ac:dyDescent="0.3">
      <c r="A7431" t="s">
        <v>30</v>
      </c>
      <c r="B7431">
        <v>2020</v>
      </c>
      <c r="C7431" t="s">
        <v>46</v>
      </c>
      <c r="D7431" s="2">
        <v>44166</v>
      </c>
      <c r="E7431" t="s">
        <v>16</v>
      </c>
      <c r="F7431">
        <v>183.6</v>
      </c>
      <c r="G7431" t="str">
        <f>VLOOKUP(Table1_2[[#This Row],[Categories]],Sheet3!$A$1:$B$27,2,FALSE)</f>
        <v>Recreation and amusement</v>
      </c>
    </row>
    <row r="7432" spans="1:7" x14ac:dyDescent="0.3">
      <c r="A7432" t="s">
        <v>30</v>
      </c>
      <c r="B7432">
        <v>2020</v>
      </c>
      <c r="C7432" t="s">
        <v>46</v>
      </c>
      <c r="D7432" s="2">
        <v>44166</v>
      </c>
      <c r="E7432" t="s">
        <v>17</v>
      </c>
      <c r="F7432">
        <v>157</v>
      </c>
      <c r="G7432" t="str">
        <f>VLOOKUP(Table1_2[[#This Row],[Categories]],Sheet3!$A$1:$B$27,2,FALSE)</f>
        <v>Clothing and footwear</v>
      </c>
    </row>
    <row r="7433" spans="1:7" x14ac:dyDescent="0.3">
      <c r="A7433" t="s">
        <v>30</v>
      </c>
      <c r="B7433">
        <v>2020</v>
      </c>
      <c r="C7433" t="s">
        <v>46</v>
      </c>
      <c r="D7433" s="2">
        <v>44166</v>
      </c>
      <c r="E7433" t="s">
        <v>18</v>
      </c>
      <c r="F7433">
        <v>151.6</v>
      </c>
      <c r="G7433" t="str">
        <f>VLOOKUP(Table1_2[[#This Row],[Categories]],Sheet3!$A$1:$B$27,2,FALSE)</f>
        <v>Clothing and footwear</v>
      </c>
    </row>
    <row r="7434" spans="1:7" x14ac:dyDescent="0.3">
      <c r="A7434" t="s">
        <v>30</v>
      </c>
      <c r="B7434">
        <v>2020</v>
      </c>
      <c r="C7434" t="s">
        <v>46</v>
      </c>
      <c r="D7434" s="2">
        <v>44166</v>
      </c>
      <c r="E7434" t="s">
        <v>19</v>
      </c>
      <c r="F7434">
        <v>156.30000000000001</v>
      </c>
      <c r="G7434" t="str">
        <f>VLOOKUP(Table1_2[[#This Row],[Categories]],Sheet3!$A$1:$B$27,2,FALSE)</f>
        <v>Clothing and footwear</v>
      </c>
    </row>
    <row r="7435" spans="1:7" x14ac:dyDescent="0.3">
      <c r="A7435" t="s">
        <v>30</v>
      </c>
      <c r="B7435">
        <v>2020</v>
      </c>
      <c r="C7435" t="s">
        <v>46</v>
      </c>
      <c r="D7435" s="2">
        <v>44166</v>
      </c>
      <c r="E7435" t="s">
        <v>21</v>
      </c>
      <c r="F7435">
        <v>148.69999999999999</v>
      </c>
      <c r="G7435" t="str">
        <f>VLOOKUP(Table1_2[[#This Row],[Categories]],Sheet3!$A$1:$B$27,2,FALSE)</f>
        <v>Fuel and light</v>
      </c>
    </row>
    <row r="7436" spans="1:7" x14ac:dyDescent="0.3">
      <c r="A7436" t="s">
        <v>30</v>
      </c>
      <c r="B7436">
        <v>2020</v>
      </c>
      <c r="C7436" t="s">
        <v>46</v>
      </c>
      <c r="D7436" s="2">
        <v>44166</v>
      </c>
      <c r="E7436" t="s">
        <v>22</v>
      </c>
      <c r="F7436">
        <v>153.4</v>
      </c>
      <c r="G7436" t="str">
        <f>VLOOKUP(Table1_2[[#This Row],[Categories]],Sheet3!$A$1:$B$27,2,FALSE)</f>
        <v>Household Items</v>
      </c>
    </row>
    <row r="7437" spans="1:7" x14ac:dyDescent="0.3">
      <c r="A7437" t="s">
        <v>30</v>
      </c>
      <c r="B7437">
        <v>2020</v>
      </c>
      <c r="C7437" t="s">
        <v>46</v>
      </c>
      <c r="D7437" s="2">
        <v>44166</v>
      </c>
      <c r="E7437" t="s">
        <v>23</v>
      </c>
      <c r="F7437">
        <v>161.6</v>
      </c>
      <c r="G7437" t="str">
        <f>VLOOKUP(Table1_2[[#This Row],[Categories]],Sheet3!$A$1:$B$27,2,FALSE)</f>
        <v>Health</v>
      </c>
    </row>
    <row r="7438" spans="1:7" x14ac:dyDescent="0.3">
      <c r="A7438" t="s">
        <v>30</v>
      </c>
      <c r="B7438">
        <v>2020</v>
      </c>
      <c r="C7438" t="s">
        <v>46</v>
      </c>
      <c r="D7438" s="2">
        <v>44166</v>
      </c>
      <c r="E7438" t="s">
        <v>24</v>
      </c>
      <c r="F7438">
        <v>146.4</v>
      </c>
      <c r="G7438" t="str">
        <f>VLOOKUP(Table1_2[[#This Row],[Categories]],Sheet3!$A$1:$B$27,2,FALSE)</f>
        <v>Transport and communication</v>
      </c>
    </row>
    <row r="7439" spans="1:7" x14ac:dyDescent="0.3">
      <c r="A7439" t="s">
        <v>30</v>
      </c>
      <c r="B7439">
        <v>2020</v>
      </c>
      <c r="C7439" t="s">
        <v>46</v>
      </c>
      <c r="D7439" s="2">
        <v>44166</v>
      </c>
      <c r="E7439" t="s">
        <v>25</v>
      </c>
      <c r="F7439">
        <v>153.9</v>
      </c>
      <c r="G7439" t="str">
        <f>VLOOKUP(Table1_2[[#This Row],[Categories]],Sheet3!$A$1:$B$27,2,FALSE)</f>
        <v>Recreation and amusement</v>
      </c>
    </row>
    <row r="7440" spans="1:7" x14ac:dyDescent="0.3">
      <c r="A7440" t="s">
        <v>30</v>
      </c>
      <c r="B7440">
        <v>2020</v>
      </c>
      <c r="C7440" t="s">
        <v>46</v>
      </c>
      <c r="D7440" s="2">
        <v>44166</v>
      </c>
      <c r="E7440" t="s">
        <v>26</v>
      </c>
      <c r="F7440">
        <v>162.9</v>
      </c>
      <c r="G7440" t="str">
        <f>VLOOKUP(Table1_2[[#This Row],[Categories]],Sheet3!$A$1:$B$27,2,FALSE)</f>
        <v>Education</v>
      </c>
    </row>
    <row r="7441" spans="1:7" x14ac:dyDescent="0.3">
      <c r="A7441" t="s">
        <v>30</v>
      </c>
      <c r="B7441">
        <v>2020</v>
      </c>
      <c r="C7441" t="s">
        <v>46</v>
      </c>
      <c r="D7441" s="2">
        <v>44166</v>
      </c>
      <c r="E7441" t="s">
        <v>27</v>
      </c>
      <c r="F7441">
        <v>156.6</v>
      </c>
      <c r="G7441" t="str">
        <f>VLOOKUP(Table1_2[[#This Row],[Categories]],Sheet3!$A$1:$B$27,2,FALSE)</f>
        <v>Household Items</v>
      </c>
    </row>
    <row r="7442" spans="1:7" x14ac:dyDescent="0.3">
      <c r="A7442" t="s">
        <v>30</v>
      </c>
      <c r="B7442">
        <v>2020</v>
      </c>
      <c r="C7442" t="s">
        <v>46</v>
      </c>
      <c r="D7442" s="2">
        <v>44166</v>
      </c>
      <c r="E7442" t="s">
        <v>28</v>
      </c>
      <c r="F7442">
        <v>155.19999999999999</v>
      </c>
      <c r="G7442" t="str">
        <f>VLOOKUP(Table1_2[[#This Row],[Categories]],Sheet3!$A$1:$B$27,2,FALSE)</f>
        <v>Miscellaneous</v>
      </c>
    </row>
    <row r="7443" spans="1:7" x14ac:dyDescent="0.3">
      <c r="A7443" t="s">
        <v>30</v>
      </c>
      <c r="B7443">
        <v>2020</v>
      </c>
      <c r="C7443" t="s">
        <v>46</v>
      </c>
      <c r="D7443" s="2">
        <v>44166</v>
      </c>
      <c r="E7443" t="s">
        <v>29</v>
      </c>
      <c r="F7443">
        <v>160.69999999999999</v>
      </c>
      <c r="G7443" t="str">
        <f>VLOOKUP(Table1_2[[#This Row],[Categories]],Sheet3!$A$1:$B$27,2,FALSE)</f>
        <v>General index</v>
      </c>
    </row>
    <row r="7444" spans="1:7" x14ac:dyDescent="0.3">
      <c r="A7444" t="s">
        <v>33</v>
      </c>
      <c r="B7444">
        <v>2020</v>
      </c>
      <c r="C7444" t="s">
        <v>46</v>
      </c>
      <c r="D7444" s="2">
        <v>44166</v>
      </c>
      <c r="E7444" t="s">
        <v>3</v>
      </c>
      <c r="F7444">
        <v>149</v>
      </c>
      <c r="G7444" t="str">
        <f>VLOOKUP(Table1_2[[#This Row],[Categories]],Sheet3!$A$1:$B$27,2,FALSE)</f>
        <v>Food &amp;Beverage</v>
      </c>
    </row>
    <row r="7445" spans="1:7" x14ac:dyDescent="0.3">
      <c r="A7445" t="s">
        <v>33</v>
      </c>
      <c r="B7445">
        <v>2020</v>
      </c>
      <c r="C7445" t="s">
        <v>46</v>
      </c>
      <c r="D7445" s="2">
        <v>44166</v>
      </c>
      <c r="E7445" t="s">
        <v>4</v>
      </c>
      <c r="F7445">
        <v>195.7</v>
      </c>
      <c r="G7445" t="str">
        <f>VLOOKUP(Table1_2[[#This Row],[Categories]],Sheet3!$A$1:$B$27,2,FALSE)</f>
        <v>Food &amp;Beverage</v>
      </c>
    </row>
    <row r="7446" spans="1:7" x14ac:dyDescent="0.3">
      <c r="A7446" t="s">
        <v>33</v>
      </c>
      <c r="B7446">
        <v>2020</v>
      </c>
      <c r="C7446" t="s">
        <v>46</v>
      </c>
      <c r="D7446" s="2">
        <v>44166</v>
      </c>
      <c r="E7446" t="s">
        <v>5</v>
      </c>
      <c r="F7446">
        <v>178.3</v>
      </c>
      <c r="G7446" t="str">
        <f>VLOOKUP(Table1_2[[#This Row],[Categories]],Sheet3!$A$1:$B$27,2,FALSE)</f>
        <v>Food &amp;Beverage</v>
      </c>
    </row>
    <row r="7447" spans="1:7" x14ac:dyDescent="0.3">
      <c r="A7447" t="s">
        <v>33</v>
      </c>
      <c r="B7447">
        <v>2020</v>
      </c>
      <c r="C7447" t="s">
        <v>46</v>
      </c>
      <c r="D7447" s="2">
        <v>44166</v>
      </c>
      <c r="E7447" t="s">
        <v>6</v>
      </c>
      <c r="F7447">
        <v>154.19999999999999</v>
      </c>
      <c r="G7447" t="str">
        <f>VLOOKUP(Table1_2[[#This Row],[Categories]],Sheet3!$A$1:$B$27,2,FALSE)</f>
        <v>Food &amp;Beverage</v>
      </c>
    </row>
    <row r="7448" spans="1:7" x14ac:dyDescent="0.3">
      <c r="A7448" t="s">
        <v>33</v>
      </c>
      <c r="B7448">
        <v>2020</v>
      </c>
      <c r="C7448" t="s">
        <v>46</v>
      </c>
      <c r="D7448" s="2">
        <v>44166</v>
      </c>
      <c r="E7448" t="s">
        <v>7</v>
      </c>
      <c r="F7448">
        <v>140.69999999999999</v>
      </c>
      <c r="G7448" t="str">
        <f>VLOOKUP(Table1_2[[#This Row],[Categories]],Sheet3!$A$1:$B$27,2,FALSE)</f>
        <v>Food &amp;Beverage</v>
      </c>
    </row>
    <row r="7449" spans="1:7" x14ac:dyDescent="0.3">
      <c r="A7449" t="s">
        <v>33</v>
      </c>
      <c r="B7449">
        <v>2020</v>
      </c>
      <c r="C7449" t="s">
        <v>46</v>
      </c>
      <c r="D7449" s="2">
        <v>44166</v>
      </c>
      <c r="E7449" t="s">
        <v>8</v>
      </c>
      <c r="F7449">
        <v>149.69999999999999</v>
      </c>
      <c r="G7449" t="str">
        <f>VLOOKUP(Table1_2[[#This Row],[Categories]],Sheet3!$A$1:$B$27,2,FALSE)</f>
        <v>Food &amp;Beverage</v>
      </c>
    </row>
    <row r="7450" spans="1:7" x14ac:dyDescent="0.3">
      <c r="A7450" t="s">
        <v>33</v>
      </c>
      <c r="B7450">
        <v>2020</v>
      </c>
      <c r="C7450" t="s">
        <v>46</v>
      </c>
      <c r="D7450" s="2">
        <v>44166</v>
      </c>
      <c r="E7450" t="s">
        <v>9</v>
      </c>
      <c r="F7450">
        <v>240.9</v>
      </c>
      <c r="G7450" t="str">
        <f>VLOOKUP(Table1_2[[#This Row],[Categories]],Sheet3!$A$1:$B$27,2,FALSE)</f>
        <v>Food &amp;Beverage</v>
      </c>
    </row>
    <row r="7451" spans="1:7" x14ac:dyDescent="0.3">
      <c r="A7451" t="s">
        <v>33</v>
      </c>
      <c r="B7451">
        <v>2020</v>
      </c>
      <c r="C7451" t="s">
        <v>46</v>
      </c>
      <c r="D7451" s="2">
        <v>44166</v>
      </c>
      <c r="E7451" t="s">
        <v>10</v>
      </c>
      <c r="F7451">
        <v>161.5</v>
      </c>
      <c r="G7451" t="str">
        <f>VLOOKUP(Table1_2[[#This Row],[Categories]],Sheet3!$A$1:$B$27,2,FALSE)</f>
        <v>Food &amp;Beverage</v>
      </c>
    </row>
    <row r="7452" spans="1:7" x14ac:dyDescent="0.3">
      <c r="A7452" t="s">
        <v>33</v>
      </c>
      <c r="B7452">
        <v>2020</v>
      </c>
      <c r="C7452" t="s">
        <v>46</v>
      </c>
      <c r="D7452" s="2">
        <v>44166</v>
      </c>
      <c r="E7452" t="s">
        <v>11</v>
      </c>
      <c r="F7452">
        <v>117.1</v>
      </c>
      <c r="G7452" t="str">
        <f>VLOOKUP(Table1_2[[#This Row],[Categories]],Sheet3!$A$1:$B$27,2,FALSE)</f>
        <v>Food &amp;Beverage</v>
      </c>
    </row>
    <row r="7453" spans="1:7" x14ac:dyDescent="0.3">
      <c r="A7453" t="s">
        <v>33</v>
      </c>
      <c r="B7453">
        <v>2020</v>
      </c>
      <c r="C7453" t="s">
        <v>46</v>
      </c>
      <c r="D7453" s="2">
        <v>44166</v>
      </c>
      <c r="E7453" t="s">
        <v>12</v>
      </c>
      <c r="F7453">
        <v>161.9</v>
      </c>
      <c r="G7453" t="str">
        <f>VLOOKUP(Table1_2[[#This Row],[Categories]],Sheet3!$A$1:$B$27,2,FALSE)</f>
        <v>Food &amp;Beverage</v>
      </c>
    </row>
    <row r="7454" spans="1:7" x14ac:dyDescent="0.3">
      <c r="A7454" t="s">
        <v>33</v>
      </c>
      <c r="B7454">
        <v>2020</v>
      </c>
      <c r="C7454" t="s">
        <v>46</v>
      </c>
      <c r="D7454" s="2">
        <v>44166</v>
      </c>
      <c r="E7454" t="s">
        <v>13</v>
      </c>
      <c r="F7454">
        <v>143.30000000000001</v>
      </c>
      <c r="G7454" t="str">
        <f>VLOOKUP(Table1_2[[#This Row],[Categories]],Sheet3!$A$1:$B$27,2,FALSE)</f>
        <v>Food &amp;Beverage</v>
      </c>
    </row>
    <row r="7455" spans="1:7" x14ac:dyDescent="0.3">
      <c r="A7455" t="s">
        <v>33</v>
      </c>
      <c r="B7455">
        <v>2020</v>
      </c>
      <c r="C7455" t="s">
        <v>46</v>
      </c>
      <c r="D7455" s="2">
        <v>44166</v>
      </c>
      <c r="E7455" t="s">
        <v>14</v>
      </c>
      <c r="F7455">
        <v>166.1</v>
      </c>
      <c r="G7455" t="str">
        <f>VLOOKUP(Table1_2[[#This Row],[Categories]],Sheet3!$A$1:$B$27,2,FALSE)</f>
        <v>Food &amp;Beverage</v>
      </c>
    </row>
    <row r="7456" spans="1:7" x14ac:dyDescent="0.3">
      <c r="A7456" t="s">
        <v>33</v>
      </c>
      <c r="B7456">
        <v>2020</v>
      </c>
      <c r="C7456" t="s">
        <v>46</v>
      </c>
      <c r="D7456" s="2">
        <v>44166</v>
      </c>
      <c r="E7456" t="s">
        <v>15</v>
      </c>
      <c r="F7456">
        <v>167</v>
      </c>
      <c r="G7456" t="str">
        <f>VLOOKUP(Table1_2[[#This Row],[Categories]],Sheet3!$A$1:$B$27,2,FALSE)</f>
        <v>Food &amp;Beverage</v>
      </c>
    </row>
    <row r="7457" spans="1:7" x14ac:dyDescent="0.3">
      <c r="A7457" t="s">
        <v>33</v>
      </c>
      <c r="B7457">
        <v>2020</v>
      </c>
      <c r="C7457" t="s">
        <v>46</v>
      </c>
      <c r="D7457" s="2">
        <v>44166</v>
      </c>
      <c r="E7457" t="s">
        <v>16</v>
      </c>
      <c r="F7457">
        <v>190.2</v>
      </c>
      <c r="G7457" t="str">
        <f>VLOOKUP(Table1_2[[#This Row],[Categories]],Sheet3!$A$1:$B$27,2,FALSE)</f>
        <v>Recreation and amusement</v>
      </c>
    </row>
    <row r="7458" spans="1:7" x14ac:dyDescent="0.3">
      <c r="A7458" t="s">
        <v>33</v>
      </c>
      <c r="B7458">
        <v>2020</v>
      </c>
      <c r="C7458" t="s">
        <v>46</v>
      </c>
      <c r="D7458" s="2">
        <v>44166</v>
      </c>
      <c r="E7458" t="s">
        <v>17</v>
      </c>
      <c r="F7458">
        <v>151.9</v>
      </c>
      <c r="G7458" t="str">
        <f>VLOOKUP(Table1_2[[#This Row],[Categories]],Sheet3!$A$1:$B$27,2,FALSE)</f>
        <v>Clothing and footwear</v>
      </c>
    </row>
    <row r="7459" spans="1:7" x14ac:dyDescent="0.3">
      <c r="A7459" t="s">
        <v>33</v>
      </c>
      <c r="B7459">
        <v>2020</v>
      </c>
      <c r="C7459" t="s">
        <v>46</v>
      </c>
      <c r="D7459" s="2">
        <v>44166</v>
      </c>
      <c r="E7459" t="s">
        <v>18</v>
      </c>
      <c r="F7459">
        <v>136.69999999999999</v>
      </c>
      <c r="G7459" t="str">
        <f>VLOOKUP(Table1_2[[#This Row],[Categories]],Sheet3!$A$1:$B$27,2,FALSE)</f>
        <v>Clothing and footwear</v>
      </c>
    </row>
    <row r="7460" spans="1:7" x14ac:dyDescent="0.3">
      <c r="A7460" t="s">
        <v>33</v>
      </c>
      <c r="B7460">
        <v>2020</v>
      </c>
      <c r="C7460" t="s">
        <v>46</v>
      </c>
      <c r="D7460" s="2">
        <v>44166</v>
      </c>
      <c r="E7460" t="s">
        <v>19</v>
      </c>
      <c r="F7460">
        <v>149.6</v>
      </c>
      <c r="G7460" t="str">
        <f>VLOOKUP(Table1_2[[#This Row],[Categories]],Sheet3!$A$1:$B$27,2,FALSE)</f>
        <v>Clothing and footwear</v>
      </c>
    </row>
    <row r="7461" spans="1:7" x14ac:dyDescent="0.3">
      <c r="A7461" t="s">
        <v>33</v>
      </c>
      <c r="B7461">
        <v>2020</v>
      </c>
      <c r="C7461" t="s">
        <v>46</v>
      </c>
      <c r="D7461" s="2">
        <v>44166</v>
      </c>
      <c r="E7461" t="s">
        <v>20</v>
      </c>
      <c r="F7461">
        <v>158.4</v>
      </c>
      <c r="G7461" t="str">
        <f>VLOOKUP(Table1_2[[#This Row],[Categories]],Sheet3!$A$1:$B$27,2,FALSE)</f>
        <v>Housing</v>
      </c>
    </row>
    <row r="7462" spans="1:7" x14ac:dyDescent="0.3">
      <c r="A7462" t="s">
        <v>33</v>
      </c>
      <c r="B7462">
        <v>2020</v>
      </c>
      <c r="C7462" t="s">
        <v>46</v>
      </c>
      <c r="D7462" s="2">
        <v>44166</v>
      </c>
      <c r="E7462" t="s">
        <v>21</v>
      </c>
      <c r="F7462">
        <v>137.9</v>
      </c>
      <c r="G7462" t="str">
        <f>VLOOKUP(Table1_2[[#This Row],[Categories]],Sheet3!$A$1:$B$27,2,FALSE)</f>
        <v>Fuel and light</v>
      </c>
    </row>
    <row r="7463" spans="1:7" x14ac:dyDescent="0.3">
      <c r="A7463" t="s">
        <v>33</v>
      </c>
      <c r="B7463">
        <v>2020</v>
      </c>
      <c r="C7463" t="s">
        <v>46</v>
      </c>
      <c r="D7463" s="2">
        <v>44166</v>
      </c>
      <c r="E7463" t="s">
        <v>22</v>
      </c>
      <c r="F7463">
        <v>145.5</v>
      </c>
      <c r="G7463" t="str">
        <f>VLOOKUP(Table1_2[[#This Row],[Categories]],Sheet3!$A$1:$B$27,2,FALSE)</f>
        <v>Household Items</v>
      </c>
    </row>
    <row r="7464" spans="1:7" x14ac:dyDescent="0.3">
      <c r="A7464" t="s">
        <v>33</v>
      </c>
      <c r="B7464">
        <v>2020</v>
      </c>
      <c r="C7464" t="s">
        <v>46</v>
      </c>
      <c r="D7464" s="2">
        <v>44166</v>
      </c>
      <c r="E7464" t="s">
        <v>23</v>
      </c>
      <c r="F7464">
        <v>152.9</v>
      </c>
      <c r="G7464" t="str">
        <f>VLOOKUP(Table1_2[[#This Row],[Categories]],Sheet3!$A$1:$B$27,2,FALSE)</f>
        <v>Health</v>
      </c>
    </row>
    <row r="7465" spans="1:7" x14ac:dyDescent="0.3">
      <c r="A7465" t="s">
        <v>33</v>
      </c>
      <c r="B7465">
        <v>2020</v>
      </c>
      <c r="C7465" t="s">
        <v>46</v>
      </c>
      <c r="D7465" s="2">
        <v>44166</v>
      </c>
      <c r="E7465" t="s">
        <v>24</v>
      </c>
      <c r="F7465">
        <v>135.5</v>
      </c>
      <c r="G7465" t="str">
        <f>VLOOKUP(Table1_2[[#This Row],[Categories]],Sheet3!$A$1:$B$27,2,FALSE)</f>
        <v>Transport and communication</v>
      </c>
    </row>
    <row r="7466" spans="1:7" x14ac:dyDescent="0.3">
      <c r="A7466" t="s">
        <v>33</v>
      </c>
      <c r="B7466">
        <v>2020</v>
      </c>
      <c r="C7466" t="s">
        <v>46</v>
      </c>
      <c r="D7466" s="2">
        <v>44166</v>
      </c>
      <c r="E7466" t="s">
        <v>25</v>
      </c>
      <c r="F7466">
        <v>144.30000000000001</v>
      </c>
      <c r="G7466" t="str">
        <f>VLOOKUP(Table1_2[[#This Row],[Categories]],Sheet3!$A$1:$B$27,2,FALSE)</f>
        <v>Recreation and amusement</v>
      </c>
    </row>
    <row r="7467" spans="1:7" x14ac:dyDescent="0.3">
      <c r="A7467" t="s">
        <v>33</v>
      </c>
      <c r="B7467">
        <v>2020</v>
      </c>
      <c r="C7467" t="s">
        <v>46</v>
      </c>
      <c r="D7467" s="2">
        <v>44166</v>
      </c>
      <c r="E7467" t="s">
        <v>26</v>
      </c>
      <c r="F7467">
        <v>156.9</v>
      </c>
      <c r="G7467" t="str">
        <f>VLOOKUP(Table1_2[[#This Row],[Categories]],Sheet3!$A$1:$B$27,2,FALSE)</f>
        <v>Education</v>
      </c>
    </row>
    <row r="7468" spans="1:7" x14ac:dyDescent="0.3">
      <c r="A7468" t="s">
        <v>33</v>
      </c>
      <c r="B7468">
        <v>2020</v>
      </c>
      <c r="C7468" t="s">
        <v>46</v>
      </c>
      <c r="D7468" s="2">
        <v>44166</v>
      </c>
      <c r="E7468" t="s">
        <v>27</v>
      </c>
      <c r="F7468">
        <v>157.9</v>
      </c>
      <c r="G7468" t="str">
        <f>VLOOKUP(Table1_2[[#This Row],[Categories]],Sheet3!$A$1:$B$27,2,FALSE)</f>
        <v>Household Items</v>
      </c>
    </row>
    <row r="7469" spans="1:7" x14ac:dyDescent="0.3">
      <c r="A7469" t="s">
        <v>33</v>
      </c>
      <c r="B7469">
        <v>2020</v>
      </c>
      <c r="C7469" t="s">
        <v>46</v>
      </c>
      <c r="D7469" s="2">
        <v>44166</v>
      </c>
      <c r="E7469" t="s">
        <v>28</v>
      </c>
      <c r="F7469">
        <v>146.9</v>
      </c>
      <c r="G7469" t="str">
        <f>VLOOKUP(Table1_2[[#This Row],[Categories]],Sheet3!$A$1:$B$27,2,FALSE)</f>
        <v>Miscellaneous</v>
      </c>
    </row>
    <row r="7470" spans="1:7" x14ac:dyDescent="0.3">
      <c r="A7470" t="s">
        <v>33</v>
      </c>
      <c r="B7470">
        <v>2020</v>
      </c>
      <c r="C7470" t="s">
        <v>46</v>
      </c>
      <c r="D7470" s="2">
        <v>44166</v>
      </c>
      <c r="E7470" t="s">
        <v>29</v>
      </c>
      <c r="F7470">
        <v>156.9</v>
      </c>
      <c r="G7470" t="str">
        <f>VLOOKUP(Table1_2[[#This Row],[Categories]],Sheet3!$A$1:$B$27,2,FALSE)</f>
        <v>General index</v>
      </c>
    </row>
    <row r="7471" spans="1:7" x14ac:dyDescent="0.3">
      <c r="A7471" t="s">
        <v>34</v>
      </c>
      <c r="B7471">
        <v>2020</v>
      </c>
      <c r="C7471" t="s">
        <v>46</v>
      </c>
      <c r="D7471" s="2">
        <v>44166</v>
      </c>
      <c r="E7471" t="s">
        <v>3</v>
      </c>
      <c r="F7471">
        <v>146</v>
      </c>
      <c r="G7471" t="str">
        <f>VLOOKUP(Table1_2[[#This Row],[Categories]],Sheet3!$A$1:$B$27,2,FALSE)</f>
        <v>Food &amp;Beverage</v>
      </c>
    </row>
    <row r="7472" spans="1:7" x14ac:dyDescent="0.3">
      <c r="A7472" t="s">
        <v>34</v>
      </c>
      <c r="B7472">
        <v>2020</v>
      </c>
      <c r="C7472" t="s">
        <v>46</v>
      </c>
      <c r="D7472" s="2">
        <v>44166</v>
      </c>
      <c r="E7472" t="s">
        <v>4</v>
      </c>
      <c r="F7472">
        <v>191</v>
      </c>
      <c r="G7472" t="str">
        <f>VLOOKUP(Table1_2[[#This Row],[Categories]],Sheet3!$A$1:$B$27,2,FALSE)</f>
        <v>Food &amp;Beverage</v>
      </c>
    </row>
    <row r="7473" spans="1:7" x14ac:dyDescent="0.3">
      <c r="A7473" t="s">
        <v>34</v>
      </c>
      <c r="B7473">
        <v>2020</v>
      </c>
      <c r="C7473" t="s">
        <v>46</v>
      </c>
      <c r="D7473" s="2">
        <v>44166</v>
      </c>
      <c r="E7473" t="s">
        <v>5</v>
      </c>
      <c r="F7473">
        <v>175.3</v>
      </c>
      <c r="G7473" t="str">
        <f>VLOOKUP(Table1_2[[#This Row],[Categories]],Sheet3!$A$1:$B$27,2,FALSE)</f>
        <v>Food &amp;Beverage</v>
      </c>
    </row>
    <row r="7474" spans="1:7" x14ac:dyDescent="0.3">
      <c r="A7474" t="s">
        <v>34</v>
      </c>
      <c r="B7474">
        <v>2020</v>
      </c>
      <c r="C7474" t="s">
        <v>46</v>
      </c>
      <c r="D7474" s="2">
        <v>44166</v>
      </c>
      <c r="E7474" t="s">
        <v>6</v>
      </c>
      <c r="F7474">
        <v>154.1</v>
      </c>
      <c r="G7474" t="str">
        <f>VLOOKUP(Table1_2[[#This Row],[Categories]],Sheet3!$A$1:$B$27,2,FALSE)</f>
        <v>Food &amp;Beverage</v>
      </c>
    </row>
    <row r="7475" spans="1:7" x14ac:dyDescent="0.3">
      <c r="A7475" t="s">
        <v>34</v>
      </c>
      <c r="B7475">
        <v>2020</v>
      </c>
      <c r="C7475" t="s">
        <v>46</v>
      </c>
      <c r="D7475" s="2">
        <v>44166</v>
      </c>
      <c r="E7475" t="s">
        <v>7</v>
      </c>
      <c r="F7475">
        <v>146.6</v>
      </c>
      <c r="G7475" t="str">
        <f>VLOOKUP(Table1_2[[#This Row],[Categories]],Sheet3!$A$1:$B$27,2,FALSE)</f>
        <v>Food &amp;Beverage</v>
      </c>
    </row>
    <row r="7476" spans="1:7" x14ac:dyDescent="0.3">
      <c r="A7476" t="s">
        <v>34</v>
      </c>
      <c r="B7476">
        <v>2020</v>
      </c>
      <c r="C7476" t="s">
        <v>46</v>
      </c>
      <c r="D7476" s="2">
        <v>44166</v>
      </c>
      <c r="E7476" t="s">
        <v>8</v>
      </c>
      <c r="F7476">
        <v>147.69999999999999</v>
      </c>
      <c r="G7476" t="str">
        <f>VLOOKUP(Table1_2[[#This Row],[Categories]],Sheet3!$A$1:$B$27,2,FALSE)</f>
        <v>Food &amp;Beverage</v>
      </c>
    </row>
    <row r="7477" spans="1:7" x14ac:dyDescent="0.3">
      <c r="A7477" t="s">
        <v>34</v>
      </c>
      <c r="B7477">
        <v>2020</v>
      </c>
      <c r="C7477" t="s">
        <v>46</v>
      </c>
      <c r="D7477" s="2">
        <v>44166</v>
      </c>
      <c r="E7477" t="s">
        <v>9</v>
      </c>
      <c r="F7477">
        <v>230.5</v>
      </c>
      <c r="G7477" t="str">
        <f>VLOOKUP(Table1_2[[#This Row],[Categories]],Sheet3!$A$1:$B$27,2,FALSE)</f>
        <v>Food &amp;Beverage</v>
      </c>
    </row>
    <row r="7478" spans="1:7" x14ac:dyDescent="0.3">
      <c r="A7478" t="s">
        <v>34</v>
      </c>
      <c r="B7478">
        <v>2020</v>
      </c>
      <c r="C7478" t="s">
        <v>46</v>
      </c>
      <c r="D7478" s="2">
        <v>44166</v>
      </c>
      <c r="E7478" t="s">
        <v>10</v>
      </c>
      <c r="F7478">
        <v>160.19999999999999</v>
      </c>
      <c r="G7478" t="str">
        <f>VLOOKUP(Table1_2[[#This Row],[Categories]],Sheet3!$A$1:$B$27,2,FALSE)</f>
        <v>Food &amp;Beverage</v>
      </c>
    </row>
    <row r="7479" spans="1:7" x14ac:dyDescent="0.3">
      <c r="A7479" t="s">
        <v>34</v>
      </c>
      <c r="B7479">
        <v>2020</v>
      </c>
      <c r="C7479" t="s">
        <v>46</v>
      </c>
      <c r="D7479" s="2">
        <v>44166</v>
      </c>
      <c r="E7479" t="s">
        <v>11</v>
      </c>
      <c r="F7479">
        <v>115.3</v>
      </c>
      <c r="G7479" t="str">
        <f>VLOOKUP(Table1_2[[#This Row],[Categories]],Sheet3!$A$1:$B$27,2,FALSE)</f>
        <v>Food &amp;Beverage</v>
      </c>
    </row>
    <row r="7480" spans="1:7" x14ac:dyDescent="0.3">
      <c r="A7480" t="s">
        <v>34</v>
      </c>
      <c r="B7480">
        <v>2020</v>
      </c>
      <c r="C7480" t="s">
        <v>46</v>
      </c>
      <c r="D7480" s="2">
        <v>44166</v>
      </c>
      <c r="E7480" t="s">
        <v>12</v>
      </c>
      <c r="F7480">
        <v>163</v>
      </c>
      <c r="G7480" t="str">
        <f>VLOOKUP(Table1_2[[#This Row],[Categories]],Sheet3!$A$1:$B$27,2,FALSE)</f>
        <v>Food &amp;Beverage</v>
      </c>
    </row>
    <row r="7481" spans="1:7" x14ac:dyDescent="0.3">
      <c r="A7481" t="s">
        <v>34</v>
      </c>
      <c r="B7481">
        <v>2020</v>
      </c>
      <c r="C7481" t="s">
        <v>46</v>
      </c>
      <c r="D7481" s="2">
        <v>44166</v>
      </c>
      <c r="E7481" t="s">
        <v>13</v>
      </c>
      <c r="F7481">
        <v>149.19999999999999</v>
      </c>
      <c r="G7481" t="str">
        <f>VLOOKUP(Table1_2[[#This Row],[Categories]],Sheet3!$A$1:$B$27,2,FALSE)</f>
        <v>Food &amp;Beverage</v>
      </c>
    </row>
    <row r="7482" spans="1:7" x14ac:dyDescent="0.3">
      <c r="A7482" t="s">
        <v>34</v>
      </c>
      <c r="B7482">
        <v>2020</v>
      </c>
      <c r="C7482" t="s">
        <v>46</v>
      </c>
      <c r="D7482" s="2">
        <v>44166</v>
      </c>
      <c r="E7482" t="s">
        <v>14</v>
      </c>
      <c r="F7482">
        <v>164.8</v>
      </c>
      <c r="G7482" t="str">
        <f>VLOOKUP(Table1_2[[#This Row],[Categories]],Sheet3!$A$1:$B$27,2,FALSE)</f>
        <v>Food &amp;Beverage</v>
      </c>
    </row>
    <row r="7483" spans="1:7" x14ac:dyDescent="0.3">
      <c r="A7483" t="s">
        <v>34</v>
      </c>
      <c r="B7483">
        <v>2020</v>
      </c>
      <c r="C7483" t="s">
        <v>46</v>
      </c>
      <c r="D7483" s="2">
        <v>44166</v>
      </c>
      <c r="E7483" t="s">
        <v>15</v>
      </c>
      <c r="F7483">
        <v>165.4</v>
      </c>
      <c r="G7483" t="str">
        <f>VLOOKUP(Table1_2[[#This Row],[Categories]],Sheet3!$A$1:$B$27,2,FALSE)</f>
        <v>Food &amp;Beverage</v>
      </c>
    </row>
    <row r="7484" spans="1:7" x14ac:dyDescent="0.3">
      <c r="A7484" t="s">
        <v>34</v>
      </c>
      <c r="B7484">
        <v>2020</v>
      </c>
      <c r="C7484" t="s">
        <v>46</v>
      </c>
      <c r="D7484" s="2">
        <v>44166</v>
      </c>
      <c r="E7484" t="s">
        <v>16</v>
      </c>
      <c r="F7484">
        <v>185.4</v>
      </c>
      <c r="G7484" t="str">
        <f>VLOOKUP(Table1_2[[#This Row],[Categories]],Sheet3!$A$1:$B$27,2,FALSE)</f>
        <v>Recreation and amusement</v>
      </c>
    </row>
    <row r="7485" spans="1:7" x14ac:dyDescent="0.3">
      <c r="A7485" t="s">
        <v>34</v>
      </c>
      <c r="B7485">
        <v>2020</v>
      </c>
      <c r="C7485" t="s">
        <v>46</v>
      </c>
      <c r="D7485" s="2">
        <v>44166</v>
      </c>
      <c r="E7485" t="s">
        <v>17</v>
      </c>
      <c r="F7485">
        <v>155</v>
      </c>
      <c r="G7485" t="str">
        <f>VLOOKUP(Table1_2[[#This Row],[Categories]],Sheet3!$A$1:$B$27,2,FALSE)</f>
        <v>Clothing and footwear</v>
      </c>
    </row>
    <row r="7486" spans="1:7" x14ac:dyDescent="0.3">
      <c r="A7486" t="s">
        <v>34</v>
      </c>
      <c r="B7486">
        <v>2020</v>
      </c>
      <c r="C7486" t="s">
        <v>46</v>
      </c>
      <c r="D7486" s="2">
        <v>44166</v>
      </c>
      <c r="E7486" t="s">
        <v>18</v>
      </c>
      <c r="F7486">
        <v>145.4</v>
      </c>
      <c r="G7486" t="str">
        <f>VLOOKUP(Table1_2[[#This Row],[Categories]],Sheet3!$A$1:$B$27,2,FALSE)</f>
        <v>Clothing and footwear</v>
      </c>
    </row>
    <row r="7487" spans="1:7" x14ac:dyDescent="0.3">
      <c r="A7487" t="s">
        <v>34</v>
      </c>
      <c r="B7487">
        <v>2020</v>
      </c>
      <c r="C7487" t="s">
        <v>46</v>
      </c>
      <c r="D7487" s="2">
        <v>44166</v>
      </c>
      <c r="E7487" t="s">
        <v>19</v>
      </c>
      <c r="F7487">
        <v>153.6</v>
      </c>
      <c r="G7487" t="str">
        <f>VLOOKUP(Table1_2[[#This Row],[Categories]],Sheet3!$A$1:$B$27,2,FALSE)</f>
        <v>Clothing and footwear</v>
      </c>
    </row>
    <row r="7488" spans="1:7" x14ac:dyDescent="0.3">
      <c r="A7488" t="s">
        <v>34</v>
      </c>
      <c r="B7488">
        <v>2020</v>
      </c>
      <c r="C7488" t="s">
        <v>46</v>
      </c>
      <c r="D7488" s="2">
        <v>44166</v>
      </c>
      <c r="E7488" t="s">
        <v>20</v>
      </c>
      <c r="F7488">
        <v>158.4</v>
      </c>
      <c r="G7488" t="str">
        <f>VLOOKUP(Table1_2[[#This Row],[Categories]],Sheet3!$A$1:$B$27,2,FALSE)</f>
        <v>Housing</v>
      </c>
    </row>
    <row r="7489" spans="1:7" x14ac:dyDescent="0.3">
      <c r="A7489" t="s">
        <v>34</v>
      </c>
      <c r="B7489">
        <v>2020</v>
      </c>
      <c r="C7489" t="s">
        <v>46</v>
      </c>
      <c r="D7489" s="2">
        <v>44166</v>
      </c>
      <c r="E7489" t="s">
        <v>21</v>
      </c>
      <c r="F7489">
        <v>144.6</v>
      </c>
      <c r="G7489" t="str">
        <f>VLOOKUP(Table1_2[[#This Row],[Categories]],Sheet3!$A$1:$B$27,2,FALSE)</f>
        <v>Fuel and light</v>
      </c>
    </row>
    <row r="7490" spans="1:7" x14ac:dyDescent="0.3">
      <c r="A7490" t="s">
        <v>34</v>
      </c>
      <c r="B7490">
        <v>2020</v>
      </c>
      <c r="C7490" t="s">
        <v>46</v>
      </c>
      <c r="D7490" s="2">
        <v>44166</v>
      </c>
      <c r="E7490" t="s">
        <v>22</v>
      </c>
      <c r="F7490">
        <v>149.69999999999999</v>
      </c>
      <c r="G7490" t="str">
        <f>VLOOKUP(Table1_2[[#This Row],[Categories]],Sheet3!$A$1:$B$27,2,FALSE)</f>
        <v>Household Items</v>
      </c>
    </row>
    <row r="7491" spans="1:7" x14ac:dyDescent="0.3">
      <c r="A7491" t="s">
        <v>34</v>
      </c>
      <c r="B7491">
        <v>2020</v>
      </c>
      <c r="C7491" t="s">
        <v>46</v>
      </c>
      <c r="D7491" s="2">
        <v>44166</v>
      </c>
      <c r="E7491" t="s">
        <v>23</v>
      </c>
      <c r="F7491">
        <v>158.30000000000001</v>
      </c>
      <c r="G7491" t="str">
        <f>VLOOKUP(Table1_2[[#This Row],[Categories]],Sheet3!$A$1:$B$27,2,FALSE)</f>
        <v>Health</v>
      </c>
    </row>
    <row r="7492" spans="1:7" x14ac:dyDescent="0.3">
      <c r="A7492" t="s">
        <v>34</v>
      </c>
      <c r="B7492">
        <v>2020</v>
      </c>
      <c r="C7492" t="s">
        <v>46</v>
      </c>
      <c r="D7492" s="2">
        <v>44166</v>
      </c>
      <c r="E7492" t="s">
        <v>24</v>
      </c>
      <c r="F7492">
        <v>140.69999999999999</v>
      </c>
      <c r="G7492" t="str">
        <f>VLOOKUP(Table1_2[[#This Row],[Categories]],Sheet3!$A$1:$B$27,2,FALSE)</f>
        <v>Transport and communication</v>
      </c>
    </row>
    <row r="7493" spans="1:7" x14ac:dyDescent="0.3">
      <c r="A7493" t="s">
        <v>34</v>
      </c>
      <c r="B7493">
        <v>2020</v>
      </c>
      <c r="C7493" t="s">
        <v>46</v>
      </c>
      <c r="D7493" s="2">
        <v>44166</v>
      </c>
      <c r="E7493" t="s">
        <v>25</v>
      </c>
      <c r="F7493">
        <v>148.5</v>
      </c>
      <c r="G7493" t="str">
        <f>VLOOKUP(Table1_2[[#This Row],[Categories]],Sheet3!$A$1:$B$27,2,FALSE)</f>
        <v>Recreation and amusement</v>
      </c>
    </row>
    <row r="7494" spans="1:7" x14ac:dyDescent="0.3">
      <c r="A7494" t="s">
        <v>34</v>
      </c>
      <c r="B7494">
        <v>2020</v>
      </c>
      <c r="C7494" t="s">
        <v>46</v>
      </c>
      <c r="D7494" s="2">
        <v>44166</v>
      </c>
      <c r="E7494" t="s">
        <v>26</v>
      </c>
      <c r="F7494">
        <v>159.4</v>
      </c>
      <c r="G7494" t="str">
        <f>VLOOKUP(Table1_2[[#This Row],[Categories]],Sheet3!$A$1:$B$27,2,FALSE)</f>
        <v>Education</v>
      </c>
    </row>
    <row r="7495" spans="1:7" x14ac:dyDescent="0.3">
      <c r="A7495" t="s">
        <v>34</v>
      </c>
      <c r="B7495">
        <v>2020</v>
      </c>
      <c r="C7495" t="s">
        <v>46</v>
      </c>
      <c r="D7495" s="2">
        <v>44166</v>
      </c>
      <c r="E7495" t="s">
        <v>27</v>
      </c>
      <c r="F7495">
        <v>157.1</v>
      </c>
      <c r="G7495" t="str">
        <f>VLOOKUP(Table1_2[[#This Row],[Categories]],Sheet3!$A$1:$B$27,2,FALSE)</f>
        <v>Household Items</v>
      </c>
    </row>
    <row r="7496" spans="1:7" x14ac:dyDescent="0.3">
      <c r="A7496" t="s">
        <v>34</v>
      </c>
      <c r="B7496">
        <v>2020</v>
      </c>
      <c r="C7496" t="s">
        <v>46</v>
      </c>
      <c r="D7496" s="2">
        <v>44166</v>
      </c>
      <c r="E7496" t="s">
        <v>28</v>
      </c>
      <c r="F7496">
        <v>151.19999999999999</v>
      </c>
      <c r="G7496" t="str">
        <f>VLOOKUP(Table1_2[[#This Row],[Categories]],Sheet3!$A$1:$B$27,2,FALSE)</f>
        <v>Miscellaneous</v>
      </c>
    </row>
    <row r="7497" spans="1:7" x14ac:dyDescent="0.3">
      <c r="A7497" t="s">
        <v>34</v>
      </c>
      <c r="B7497">
        <v>2020</v>
      </c>
      <c r="C7497" t="s">
        <v>46</v>
      </c>
      <c r="D7497" s="2">
        <v>44166</v>
      </c>
      <c r="E7497" t="s">
        <v>29</v>
      </c>
      <c r="F7497">
        <v>158.9</v>
      </c>
      <c r="G7497" t="str">
        <f>VLOOKUP(Table1_2[[#This Row],[Categories]],Sheet3!$A$1:$B$27,2,FALSE)</f>
        <v>General index</v>
      </c>
    </row>
    <row r="7498" spans="1:7" x14ac:dyDescent="0.3">
      <c r="A7498" t="s">
        <v>30</v>
      </c>
      <c r="B7498">
        <v>2021</v>
      </c>
      <c r="C7498" t="s">
        <v>31</v>
      </c>
      <c r="D7498" s="2">
        <v>44197</v>
      </c>
      <c r="E7498" t="s">
        <v>3</v>
      </c>
      <c r="F7498">
        <v>143.4</v>
      </c>
      <c r="G7498" t="str">
        <f>VLOOKUP(Table1_2[[#This Row],[Categories]],Sheet3!$A$1:$B$27,2,FALSE)</f>
        <v>Food &amp;Beverage</v>
      </c>
    </row>
    <row r="7499" spans="1:7" x14ac:dyDescent="0.3">
      <c r="A7499" t="s">
        <v>30</v>
      </c>
      <c r="B7499">
        <v>2021</v>
      </c>
      <c r="C7499" t="s">
        <v>31</v>
      </c>
      <c r="D7499" s="2">
        <v>44197</v>
      </c>
      <c r="E7499" t="s">
        <v>4</v>
      </c>
      <c r="F7499">
        <v>187.5</v>
      </c>
      <c r="G7499" t="str">
        <f>VLOOKUP(Table1_2[[#This Row],[Categories]],Sheet3!$A$1:$B$27,2,FALSE)</f>
        <v>Food &amp;Beverage</v>
      </c>
    </row>
    <row r="7500" spans="1:7" x14ac:dyDescent="0.3">
      <c r="A7500" t="s">
        <v>30</v>
      </c>
      <c r="B7500">
        <v>2021</v>
      </c>
      <c r="C7500" t="s">
        <v>31</v>
      </c>
      <c r="D7500" s="2">
        <v>44197</v>
      </c>
      <c r="E7500" t="s">
        <v>5</v>
      </c>
      <c r="F7500">
        <v>173.4</v>
      </c>
      <c r="G7500" t="str">
        <f>VLOOKUP(Table1_2[[#This Row],[Categories]],Sheet3!$A$1:$B$27,2,FALSE)</f>
        <v>Food &amp;Beverage</v>
      </c>
    </row>
    <row r="7501" spans="1:7" x14ac:dyDescent="0.3">
      <c r="A7501" t="s">
        <v>30</v>
      </c>
      <c r="B7501">
        <v>2021</v>
      </c>
      <c r="C7501" t="s">
        <v>31</v>
      </c>
      <c r="D7501" s="2">
        <v>44197</v>
      </c>
      <c r="E7501" t="s">
        <v>6</v>
      </c>
      <c r="F7501">
        <v>154</v>
      </c>
      <c r="G7501" t="str">
        <f>VLOOKUP(Table1_2[[#This Row],[Categories]],Sheet3!$A$1:$B$27,2,FALSE)</f>
        <v>Food &amp;Beverage</v>
      </c>
    </row>
    <row r="7502" spans="1:7" x14ac:dyDescent="0.3">
      <c r="A7502" t="s">
        <v>30</v>
      </c>
      <c r="B7502">
        <v>2021</v>
      </c>
      <c r="C7502" t="s">
        <v>31</v>
      </c>
      <c r="D7502" s="2">
        <v>44197</v>
      </c>
      <c r="E7502" t="s">
        <v>7</v>
      </c>
      <c r="F7502">
        <v>154.80000000000001</v>
      </c>
      <c r="G7502" t="str">
        <f>VLOOKUP(Table1_2[[#This Row],[Categories]],Sheet3!$A$1:$B$27,2,FALSE)</f>
        <v>Food &amp;Beverage</v>
      </c>
    </row>
    <row r="7503" spans="1:7" x14ac:dyDescent="0.3">
      <c r="A7503" t="s">
        <v>30</v>
      </c>
      <c r="B7503">
        <v>2021</v>
      </c>
      <c r="C7503" t="s">
        <v>31</v>
      </c>
      <c r="D7503" s="2">
        <v>44197</v>
      </c>
      <c r="E7503" t="s">
        <v>8</v>
      </c>
      <c r="F7503">
        <v>147</v>
      </c>
      <c r="G7503" t="str">
        <f>VLOOKUP(Table1_2[[#This Row],[Categories]],Sheet3!$A$1:$B$27,2,FALSE)</f>
        <v>Food &amp;Beverage</v>
      </c>
    </row>
    <row r="7504" spans="1:7" x14ac:dyDescent="0.3">
      <c r="A7504" t="s">
        <v>30</v>
      </c>
      <c r="B7504">
        <v>2021</v>
      </c>
      <c r="C7504" t="s">
        <v>31</v>
      </c>
      <c r="D7504" s="2">
        <v>44197</v>
      </c>
      <c r="E7504" t="s">
        <v>9</v>
      </c>
      <c r="F7504">
        <v>187.8</v>
      </c>
      <c r="G7504" t="str">
        <f>VLOOKUP(Table1_2[[#This Row],[Categories]],Sheet3!$A$1:$B$27,2,FALSE)</f>
        <v>Food &amp;Beverage</v>
      </c>
    </row>
    <row r="7505" spans="1:7" x14ac:dyDescent="0.3">
      <c r="A7505" t="s">
        <v>30</v>
      </c>
      <c r="B7505">
        <v>2021</v>
      </c>
      <c r="C7505" t="s">
        <v>31</v>
      </c>
      <c r="D7505" s="2">
        <v>44197</v>
      </c>
      <c r="E7505" t="s">
        <v>10</v>
      </c>
      <c r="F7505">
        <v>159.5</v>
      </c>
      <c r="G7505" t="str">
        <f>VLOOKUP(Table1_2[[#This Row],[Categories]],Sheet3!$A$1:$B$27,2,FALSE)</f>
        <v>Food &amp;Beverage</v>
      </c>
    </row>
    <row r="7506" spans="1:7" x14ac:dyDescent="0.3">
      <c r="A7506" t="s">
        <v>30</v>
      </c>
      <c r="B7506">
        <v>2021</v>
      </c>
      <c r="C7506" t="s">
        <v>31</v>
      </c>
      <c r="D7506" s="2">
        <v>44197</v>
      </c>
      <c r="E7506" t="s">
        <v>11</v>
      </c>
      <c r="F7506">
        <v>113.8</v>
      </c>
      <c r="G7506" t="str">
        <f>VLOOKUP(Table1_2[[#This Row],[Categories]],Sheet3!$A$1:$B$27,2,FALSE)</f>
        <v>Food &amp;Beverage</v>
      </c>
    </row>
    <row r="7507" spans="1:7" x14ac:dyDescent="0.3">
      <c r="A7507" t="s">
        <v>30</v>
      </c>
      <c r="B7507">
        <v>2021</v>
      </c>
      <c r="C7507" t="s">
        <v>31</v>
      </c>
      <c r="D7507" s="2">
        <v>44197</v>
      </c>
      <c r="E7507" t="s">
        <v>12</v>
      </c>
      <c r="F7507">
        <v>164.5</v>
      </c>
      <c r="G7507" t="str">
        <f>VLOOKUP(Table1_2[[#This Row],[Categories]],Sheet3!$A$1:$B$27,2,FALSE)</f>
        <v>Food &amp;Beverage</v>
      </c>
    </row>
    <row r="7508" spans="1:7" x14ac:dyDescent="0.3">
      <c r="A7508" t="s">
        <v>30</v>
      </c>
      <c r="B7508">
        <v>2021</v>
      </c>
      <c r="C7508" t="s">
        <v>31</v>
      </c>
      <c r="D7508" s="2">
        <v>44197</v>
      </c>
      <c r="E7508" t="s">
        <v>13</v>
      </c>
      <c r="F7508">
        <v>156.1</v>
      </c>
      <c r="G7508" t="str">
        <f>VLOOKUP(Table1_2[[#This Row],[Categories]],Sheet3!$A$1:$B$27,2,FALSE)</f>
        <v>Food &amp;Beverage</v>
      </c>
    </row>
    <row r="7509" spans="1:7" x14ac:dyDescent="0.3">
      <c r="A7509" t="s">
        <v>30</v>
      </c>
      <c r="B7509">
        <v>2021</v>
      </c>
      <c r="C7509" t="s">
        <v>31</v>
      </c>
      <c r="D7509" s="2">
        <v>44197</v>
      </c>
      <c r="E7509" t="s">
        <v>14</v>
      </c>
      <c r="F7509">
        <v>164.3</v>
      </c>
      <c r="G7509" t="str">
        <f>VLOOKUP(Table1_2[[#This Row],[Categories]],Sheet3!$A$1:$B$27,2,FALSE)</f>
        <v>Food &amp;Beverage</v>
      </c>
    </row>
    <row r="7510" spans="1:7" x14ac:dyDescent="0.3">
      <c r="A7510" t="s">
        <v>30</v>
      </c>
      <c r="B7510">
        <v>2021</v>
      </c>
      <c r="C7510" t="s">
        <v>31</v>
      </c>
      <c r="D7510" s="2">
        <v>44197</v>
      </c>
      <c r="E7510" t="s">
        <v>15</v>
      </c>
      <c r="F7510">
        <v>159.6</v>
      </c>
      <c r="G7510" t="str">
        <f>VLOOKUP(Table1_2[[#This Row],[Categories]],Sheet3!$A$1:$B$27,2,FALSE)</f>
        <v>Food &amp;Beverage</v>
      </c>
    </row>
    <row r="7511" spans="1:7" x14ac:dyDescent="0.3">
      <c r="A7511" t="s">
        <v>30</v>
      </c>
      <c r="B7511">
        <v>2021</v>
      </c>
      <c r="C7511" t="s">
        <v>31</v>
      </c>
      <c r="D7511" s="2">
        <v>44197</v>
      </c>
      <c r="E7511" t="s">
        <v>16</v>
      </c>
      <c r="F7511">
        <v>184.6</v>
      </c>
      <c r="G7511" t="str">
        <f>VLOOKUP(Table1_2[[#This Row],[Categories]],Sheet3!$A$1:$B$27,2,FALSE)</f>
        <v>Recreation and amusement</v>
      </c>
    </row>
    <row r="7512" spans="1:7" x14ac:dyDescent="0.3">
      <c r="A7512" t="s">
        <v>30</v>
      </c>
      <c r="B7512">
        <v>2021</v>
      </c>
      <c r="C7512" t="s">
        <v>31</v>
      </c>
      <c r="D7512" s="2">
        <v>44197</v>
      </c>
      <c r="E7512" t="s">
        <v>17</v>
      </c>
      <c r="F7512">
        <v>157.5</v>
      </c>
      <c r="G7512" t="str">
        <f>VLOOKUP(Table1_2[[#This Row],[Categories]],Sheet3!$A$1:$B$27,2,FALSE)</f>
        <v>Clothing and footwear</v>
      </c>
    </row>
    <row r="7513" spans="1:7" x14ac:dyDescent="0.3">
      <c r="A7513" t="s">
        <v>30</v>
      </c>
      <c r="B7513">
        <v>2021</v>
      </c>
      <c r="C7513" t="s">
        <v>31</v>
      </c>
      <c r="D7513" s="2">
        <v>44197</v>
      </c>
      <c r="E7513" t="s">
        <v>18</v>
      </c>
      <c r="F7513">
        <v>152.4</v>
      </c>
      <c r="G7513" t="str">
        <f>VLOOKUP(Table1_2[[#This Row],[Categories]],Sheet3!$A$1:$B$27,2,FALSE)</f>
        <v>Clothing and footwear</v>
      </c>
    </row>
    <row r="7514" spans="1:7" x14ac:dyDescent="0.3">
      <c r="A7514" t="s">
        <v>30</v>
      </c>
      <c r="B7514">
        <v>2021</v>
      </c>
      <c r="C7514" t="s">
        <v>31</v>
      </c>
      <c r="D7514" s="2">
        <v>44197</v>
      </c>
      <c r="E7514" t="s">
        <v>19</v>
      </c>
      <c r="F7514">
        <v>156.80000000000001</v>
      </c>
      <c r="G7514" t="str">
        <f>VLOOKUP(Table1_2[[#This Row],[Categories]],Sheet3!$A$1:$B$27,2,FALSE)</f>
        <v>Clothing and footwear</v>
      </c>
    </row>
    <row r="7515" spans="1:7" x14ac:dyDescent="0.3">
      <c r="A7515" t="s">
        <v>30</v>
      </c>
      <c r="B7515">
        <v>2021</v>
      </c>
      <c r="C7515" t="s">
        <v>31</v>
      </c>
      <c r="D7515" s="2">
        <v>44197</v>
      </c>
      <c r="E7515" t="s">
        <v>21</v>
      </c>
      <c r="F7515">
        <v>150.9</v>
      </c>
      <c r="G7515" t="str">
        <f>VLOOKUP(Table1_2[[#This Row],[Categories]],Sheet3!$A$1:$B$27,2,FALSE)</f>
        <v>Fuel and light</v>
      </c>
    </row>
    <row r="7516" spans="1:7" x14ac:dyDescent="0.3">
      <c r="A7516" t="s">
        <v>30</v>
      </c>
      <c r="B7516">
        <v>2021</v>
      </c>
      <c r="C7516" t="s">
        <v>31</v>
      </c>
      <c r="D7516" s="2">
        <v>44197</v>
      </c>
      <c r="E7516" t="s">
        <v>22</v>
      </c>
      <c r="F7516">
        <v>153.9</v>
      </c>
      <c r="G7516" t="str">
        <f>VLOOKUP(Table1_2[[#This Row],[Categories]],Sheet3!$A$1:$B$27,2,FALSE)</f>
        <v>Household Items</v>
      </c>
    </row>
    <row r="7517" spans="1:7" x14ac:dyDescent="0.3">
      <c r="A7517" t="s">
        <v>30</v>
      </c>
      <c r="B7517">
        <v>2021</v>
      </c>
      <c r="C7517" t="s">
        <v>31</v>
      </c>
      <c r="D7517" s="2">
        <v>44197</v>
      </c>
      <c r="E7517" t="s">
        <v>23</v>
      </c>
      <c r="F7517">
        <v>162.5</v>
      </c>
      <c r="G7517" t="str">
        <f>VLOOKUP(Table1_2[[#This Row],[Categories]],Sheet3!$A$1:$B$27,2,FALSE)</f>
        <v>Health</v>
      </c>
    </row>
    <row r="7518" spans="1:7" x14ac:dyDescent="0.3">
      <c r="A7518" t="s">
        <v>30</v>
      </c>
      <c r="B7518">
        <v>2021</v>
      </c>
      <c r="C7518" t="s">
        <v>31</v>
      </c>
      <c r="D7518" s="2">
        <v>44197</v>
      </c>
      <c r="E7518" t="s">
        <v>24</v>
      </c>
      <c r="F7518">
        <v>147.5</v>
      </c>
      <c r="G7518" t="str">
        <f>VLOOKUP(Table1_2[[#This Row],[Categories]],Sheet3!$A$1:$B$27,2,FALSE)</f>
        <v>Transport and communication</v>
      </c>
    </row>
    <row r="7519" spans="1:7" x14ac:dyDescent="0.3">
      <c r="A7519" t="s">
        <v>30</v>
      </c>
      <c r="B7519">
        <v>2021</v>
      </c>
      <c r="C7519" t="s">
        <v>31</v>
      </c>
      <c r="D7519" s="2">
        <v>44197</v>
      </c>
      <c r="E7519" t="s">
        <v>25</v>
      </c>
      <c r="F7519">
        <v>155.1</v>
      </c>
      <c r="G7519" t="str">
        <f>VLOOKUP(Table1_2[[#This Row],[Categories]],Sheet3!$A$1:$B$27,2,FALSE)</f>
        <v>Recreation and amusement</v>
      </c>
    </row>
    <row r="7520" spans="1:7" x14ac:dyDescent="0.3">
      <c r="A7520" t="s">
        <v>30</v>
      </c>
      <c r="B7520">
        <v>2021</v>
      </c>
      <c r="C7520" t="s">
        <v>31</v>
      </c>
      <c r="D7520" s="2">
        <v>44197</v>
      </c>
      <c r="E7520" t="s">
        <v>26</v>
      </c>
      <c r="F7520">
        <v>163.5</v>
      </c>
      <c r="G7520" t="str">
        <f>VLOOKUP(Table1_2[[#This Row],[Categories]],Sheet3!$A$1:$B$27,2,FALSE)</f>
        <v>Education</v>
      </c>
    </row>
    <row r="7521" spans="1:7" x14ac:dyDescent="0.3">
      <c r="A7521" t="s">
        <v>30</v>
      </c>
      <c r="B7521">
        <v>2021</v>
      </c>
      <c r="C7521" t="s">
        <v>31</v>
      </c>
      <c r="D7521" s="2">
        <v>44197</v>
      </c>
      <c r="E7521" t="s">
        <v>27</v>
      </c>
      <c r="F7521">
        <v>156.19999999999999</v>
      </c>
      <c r="G7521" t="str">
        <f>VLOOKUP(Table1_2[[#This Row],[Categories]],Sheet3!$A$1:$B$27,2,FALSE)</f>
        <v>Household Items</v>
      </c>
    </row>
    <row r="7522" spans="1:7" x14ac:dyDescent="0.3">
      <c r="A7522" t="s">
        <v>30</v>
      </c>
      <c r="B7522">
        <v>2021</v>
      </c>
      <c r="C7522" t="s">
        <v>31</v>
      </c>
      <c r="D7522" s="2">
        <v>44197</v>
      </c>
      <c r="E7522" t="s">
        <v>28</v>
      </c>
      <c r="F7522">
        <v>155.9</v>
      </c>
      <c r="G7522" t="str">
        <f>VLOOKUP(Table1_2[[#This Row],[Categories]],Sheet3!$A$1:$B$27,2,FALSE)</f>
        <v>Miscellaneous</v>
      </c>
    </row>
    <row r="7523" spans="1:7" x14ac:dyDescent="0.3">
      <c r="A7523" t="s">
        <v>30</v>
      </c>
      <c r="B7523">
        <v>2021</v>
      </c>
      <c r="C7523" t="s">
        <v>31</v>
      </c>
      <c r="D7523" s="2">
        <v>44197</v>
      </c>
      <c r="E7523" t="s">
        <v>29</v>
      </c>
      <c r="F7523">
        <v>158.5</v>
      </c>
      <c r="G7523" t="str">
        <f>VLOOKUP(Table1_2[[#This Row],[Categories]],Sheet3!$A$1:$B$27,2,FALSE)</f>
        <v>General index</v>
      </c>
    </row>
    <row r="7524" spans="1:7" x14ac:dyDescent="0.3">
      <c r="A7524" t="s">
        <v>33</v>
      </c>
      <c r="B7524">
        <v>2021</v>
      </c>
      <c r="C7524" t="s">
        <v>31</v>
      </c>
      <c r="D7524" s="2">
        <v>44197</v>
      </c>
      <c r="E7524" t="s">
        <v>3</v>
      </c>
      <c r="F7524">
        <v>148</v>
      </c>
      <c r="G7524" t="str">
        <f>VLOOKUP(Table1_2[[#This Row],[Categories]],Sheet3!$A$1:$B$27,2,FALSE)</f>
        <v>Food &amp;Beverage</v>
      </c>
    </row>
    <row r="7525" spans="1:7" x14ac:dyDescent="0.3">
      <c r="A7525" t="s">
        <v>33</v>
      </c>
      <c r="B7525">
        <v>2021</v>
      </c>
      <c r="C7525" t="s">
        <v>31</v>
      </c>
      <c r="D7525" s="2">
        <v>44197</v>
      </c>
      <c r="E7525" t="s">
        <v>4</v>
      </c>
      <c r="F7525">
        <v>194.8</v>
      </c>
      <c r="G7525" t="str">
        <f>VLOOKUP(Table1_2[[#This Row],[Categories]],Sheet3!$A$1:$B$27,2,FALSE)</f>
        <v>Food &amp;Beverage</v>
      </c>
    </row>
    <row r="7526" spans="1:7" x14ac:dyDescent="0.3">
      <c r="A7526" t="s">
        <v>33</v>
      </c>
      <c r="B7526">
        <v>2021</v>
      </c>
      <c r="C7526" t="s">
        <v>31</v>
      </c>
      <c r="D7526" s="2">
        <v>44197</v>
      </c>
      <c r="E7526" t="s">
        <v>5</v>
      </c>
      <c r="F7526">
        <v>178.4</v>
      </c>
      <c r="G7526" t="str">
        <f>VLOOKUP(Table1_2[[#This Row],[Categories]],Sheet3!$A$1:$B$27,2,FALSE)</f>
        <v>Food &amp;Beverage</v>
      </c>
    </row>
    <row r="7527" spans="1:7" x14ac:dyDescent="0.3">
      <c r="A7527" t="s">
        <v>33</v>
      </c>
      <c r="B7527">
        <v>2021</v>
      </c>
      <c r="C7527" t="s">
        <v>31</v>
      </c>
      <c r="D7527" s="2">
        <v>44197</v>
      </c>
      <c r="E7527" t="s">
        <v>6</v>
      </c>
      <c r="F7527">
        <v>154.4</v>
      </c>
      <c r="G7527" t="str">
        <f>VLOOKUP(Table1_2[[#This Row],[Categories]],Sheet3!$A$1:$B$27,2,FALSE)</f>
        <v>Food &amp;Beverage</v>
      </c>
    </row>
    <row r="7528" spans="1:7" x14ac:dyDescent="0.3">
      <c r="A7528" t="s">
        <v>33</v>
      </c>
      <c r="B7528">
        <v>2021</v>
      </c>
      <c r="C7528" t="s">
        <v>31</v>
      </c>
      <c r="D7528" s="2">
        <v>44197</v>
      </c>
      <c r="E7528" t="s">
        <v>7</v>
      </c>
      <c r="F7528">
        <v>144.1</v>
      </c>
      <c r="G7528" t="str">
        <f>VLOOKUP(Table1_2[[#This Row],[Categories]],Sheet3!$A$1:$B$27,2,FALSE)</f>
        <v>Food &amp;Beverage</v>
      </c>
    </row>
    <row r="7529" spans="1:7" x14ac:dyDescent="0.3">
      <c r="A7529" t="s">
        <v>33</v>
      </c>
      <c r="B7529">
        <v>2021</v>
      </c>
      <c r="C7529" t="s">
        <v>31</v>
      </c>
      <c r="D7529" s="2">
        <v>44197</v>
      </c>
      <c r="E7529" t="s">
        <v>8</v>
      </c>
      <c r="F7529">
        <v>152.6</v>
      </c>
      <c r="G7529" t="str">
        <f>VLOOKUP(Table1_2[[#This Row],[Categories]],Sheet3!$A$1:$B$27,2,FALSE)</f>
        <v>Food &amp;Beverage</v>
      </c>
    </row>
    <row r="7530" spans="1:7" x14ac:dyDescent="0.3">
      <c r="A7530" t="s">
        <v>33</v>
      </c>
      <c r="B7530">
        <v>2021</v>
      </c>
      <c r="C7530" t="s">
        <v>31</v>
      </c>
      <c r="D7530" s="2">
        <v>44197</v>
      </c>
      <c r="E7530" t="s">
        <v>9</v>
      </c>
      <c r="F7530">
        <v>206.8</v>
      </c>
      <c r="G7530" t="str">
        <f>VLOOKUP(Table1_2[[#This Row],[Categories]],Sheet3!$A$1:$B$27,2,FALSE)</f>
        <v>Food &amp;Beverage</v>
      </c>
    </row>
    <row r="7531" spans="1:7" x14ac:dyDescent="0.3">
      <c r="A7531" t="s">
        <v>33</v>
      </c>
      <c r="B7531">
        <v>2021</v>
      </c>
      <c r="C7531" t="s">
        <v>31</v>
      </c>
      <c r="D7531" s="2">
        <v>44197</v>
      </c>
      <c r="E7531" t="s">
        <v>10</v>
      </c>
      <c r="F7531">
        <v>162.1</v>
      </c>
      <c r="G7531" t="str">
        <f>VLOOKUP(Table1_2[[#This Row],[Categories]],Sheet3!$A$1:$B$27,2,FALSE)</f>
        <v>Food &amp;Beverage</v>
      </c>
    </row>
    <row r="7532" spans="1:7" x14ac:dyDescent="0.3">
      <c r="A7532" t="s">
        <v>33</v>
      </c>
      <c r="B7532">
        <v>2021</v>
      </c>
      <c r="C7532" t="s">
        <v>31</v>
      </c>
      <c r="D7532" s="2">
        <v>44197</v>
      </c>
      <c r="E7532" t="s">
        <v>11</v>
      </c>
      <c r="F7532">
        <v>116.3</v>
      </c>
      <c r="G7532" t="str">
        <f>VLOOKUP(Table1_2[[#This Row],[Categories]],Sheet3!$A$1:$B$27,2,FALSE)</f>
        <v>Food &amp;Beverage</v>
      </c>
    </row>
    <row r="7533" spans="1:7" x14ac:dyDescent="0.3">
      <c r="A7533" t="s">
        <v>33</v>
      </c>
      <c r="B7533">
        <v>2021</v>
      </c>
      <c r="C7533" t="s">
        <v>31</v>
      </c>
      <c r="D7533" s="2">
        <v>44197</v>
      </c>
      <c r="E7533" t="s">
        <v>12</v>
      </c>
      <c r="F7533">
        <v>163</v>
      </c>
      <c r="G7533" t="str">
        <f>VLOOKUP(Table1_2[[#This Row],[Categories]],Sheet3!$A$1:$B$27,2,FALSE)</f>
        <v>Food &amp;Beverage</v>
      </c>
    </row>
    <row r="7534" spans="1:7" x14ac:dyDescent="0.3">
      <c r="A7534" t="s">
        <v>33</v>
      </c>
      <c r="B7534">
        <v>2021</v>
      </c>
      <c r="C7534" t="s">
        <v>31</v>
      </c>
      <c r="D7534" s="2">
        <v>44197</v>
      </c>
      <c r="E7534" t="s">
        <v>13</v>
      </c>
      <c r="F7534">
        <v>145.9</v>
      </c>
      <c r="G7534" t="str">
        <f>VLOOKUP(Table1_2[[#This Row],[Categories]],Sheet3!$A$1:$B$27,2,FALSE)</f>
        <v>Food &amp;Beverage</v>
      </c>
    </row>
    <row r="7535" spans="1:7" x14ac:dyDescent="0.3">
      <c r="A7535" t="s">
        <v>33</v>
      </c>
      <c r="B7535">
        <v>2021</v>
      </c>
      <c r="C7535" t="s">
        <v>31</v>
      </c>
      <c r="D7535" s="2">
        <v>44197</v>
      </c>
      <c r="E7535" t="s">
        <v>14</v>
      </c>
      <c r="F7535">
        <v>167.2</v>
      </c>
      <c r="G7535" t="str">
        <f>VLOOKUP(Table1_2[[#This Row],[Categories]],Sheet3!$A$1:$B$27,2,FALSE)</f>
        <v>Food &amp;Beverage</v>
      </c>
    </row>
    <row r="7536" spans="1:7" x14ac:dyDescent="0.3">
      <c r="A7536" t="s">
        <v>33</v>
      </c>
      <c r="B7536">
        <v>2021</v>
      </c>
      <c r="C7536" t="s">
        <v>31</v>
      </c>
      <c r="D7536" s="2">
        <v>44197</v>
      </c>
      <c r="E7536" t="s">
        <v>15</v>
      </c>
      <c r="F7536">
        <v>163.4</v>
      </c>
      <c r="G7536" t="str">
        <f>VLOOKUP(Table1_2[[#This Row],[Categories]],Sheet3!$A$1:$B$27,2,FALSE)</f>
        <v>Food &amp;Beverage</v>
      </c>
    </row>
    <row r="7537" spans="1:7" x14ac:dyDescent="0.3">
      <c r="A7537" t="s">
        <v>33</v>
      </c>
      <c r="B7537">
        <v>2021</v>
      </c>
      <c r="C7537" t="s">
        <v>31</v>
      </c>
      <c r="D7537" s="2">
        <v>44197</v>
      </c>
      <c r="E7537" t="s">
        <v>16</v>
      </c>
      <c r="F7537">
        <v>191.8</v>
      </c>
      <c r="G7537" t="str">
        <f>VLOOKUP(Table1_2[[#This Row],[Categories]],Sheet3!$A$1:$B$27,2,FALSE)</f>
        <v>Recreation and amusement</v>
      </c>
    </row>
    <row r="7538" spans="1:7" x14ac:dyDescent="0.3">
      <c r="A7538" t="s">
        <v>33</v>
      </c>
      <c r="B7538">
        <v>2021</v>
      </c>
      <c r="C7538" t="s">
        <v>31</v>
      </c>
      <c r="D7538" s="2">
        <v>44197</v>
      </c>
      <c r="E7538" t="s">
        <v>17</v>
      </c>
      <c r="F7538">
        <v>152.5</v>
      </c>
      <c r="G7538" t="str">
        <f>VLOOKUP(Table1_2[[#This Row],[Categories]],Sheet3!$A$1:$B$27,2,FALSE)</f>
        <v>Clothing and footwear</v>
      </c>
    </row>
    <row r="7539" spans="1:7" x14ac:dyDescent="0.3">
      <c r="A7539" t="s">
        <v>33</v>
      </c>
      <c r="B7539">
        <v>2021</v>
      </c>
      <c r="C7539" t="s">
        <v>31</v>
      </c>
      <c r="D7539" s="2">
        <v>44197</v>
      </c>
      <c r="E7539" t="s">
        <v>18</v>
      </c>
      <c r="F7539">
        <v>137.30000000000001</v>
      </c>
      <c r="G7539" t="str">
        <f>VLOOKUP(Table1_2[[#This Row],[Categories]],Sheet3!$A$1:$B$27,2,FALSE)</f>
        <v>Clothing and footwear</v>
      </c>
    </row>
    <row r="7540" spans="1:7" x14ac:dyDescent="0.3">
      <c r="A7540" t="s">
        <v>33</v>
      </c>
      <c r="B7540">
        <v>2021</v>
      </c>
      <c r="C7540" t="s">
        <v>31</v>
      </c>
      <c r="D7540" s="2">
        <v>44197</v>
      </c>
      <c r="E7540" t="s">
        <v>19</v>
      </c>
      <c r="F7540">
        <v>150.19999999999999</v>
      </c>
      <c r="G7540" t="str">
        <f>VLOOKUP(Table1_2[[#This Row],[Categories]],Sheet3!$A$1:$B$27,2,FALSE)</f>
        <v>Clothing and footwear</v>
      </c>
    </row>
    <row r="7541" spans="1:7" x14ac:dyDescent="0.3">
      <c r="A7541" t="s">
        <v>33</v>
      </c>
      <c r="B7541">
        <v>2021</v>
      </c>
      <c r="C7541" t="s">
        <v>31</v>
      </c>
      <c r="D7541" s="2">
        <v>44197</v>
      </c>
      <c r="E7541" t="s">
        <v>20</v>
      </c>
      <c r="F7541">
        <v>157.69999999999999</v>
      </c>
      <c r="G7541" t="str">
        <f>VLOOKUP(Table1_2[[#This Row],[Categories]],Sheet3!$A$1:$B$27,2,FALSE)</f>
        <v>Housing</v>
      </c>
    </row>
    <row r="7542" spans="1:7" x14ac:dyDescent="0.3">
      <c r="A7542" t="s">
        <v>33</v>
      </c>
      <c r="B7542">
        <v>2021</v>
      </c>
      <c r="C7542" t="s">
        <v>31</v>
      </c>
      <c r="D7542" s="2">
        <v>44197</v>
      </c>
      <c r="E7542" t="s">
        <v>21</v>
      </c>
      <c r="F7542">
        <v>142.9</v>
      </c>
      <c r="G7542" t="str">
        <f>VLOOKUP(Table1_2[[#This Row],[Categories]],Sheet3!$A$1:$B$27,2,FALSE)</f>
        <v>Fuel and light</v>
      </c>
    </row>
    <row r="7543" spans="1:7" x14ac:dyDescent="0.3">
      <c r="A7543" t="s">
        <v>33</v>
      </c>
      <c r="B7543">
        <v>2021</v>
      </c>
      <c r="C7543" t="s">
        <v>31</v>
      </c>
      <c r="D7543" s="2">
        <v>44197</v>
      </c>
      <c r="E7543" t="s">
        <v>22</v>
      </c>
      <c r="F7543">
        <v>145.69999999999999</v>
      </c>
      <c r="G7543" t="str">
        <f>VLOOKUP(Table1_2[[#This Row],[Categories]],Sheet3!$A$1:$B$27,2,FALSE)</f>
        <v>Household Items</v>
      </c>
    </row>
    <row r="7544" spans="1:7" x14ac:dyDescent="0.3">
      <c r="A7544" t="s">
        <v>33</v>
      </c>
      <c r="B7544">
        <v>2021</v>
      </c>
      <c r="C7544" t="s">
        <v>31</v>
      </c>
      <c r="D7544" s="2">
        <v>44197</v>
      </c>
      <c r="E7544" t="s">
        <v>23</v>
      </c>
      <c r="F7544">
        <v>154.1</v>
      </c>
      <c r="G7544" t="str">
        <f>VLOOKUP(Table1_2[[#This Row],[Categories]],Sheet3!$A$1:$B$27,2,FALSE)</f>
        <v>Health</v>
      </c>
    </row>
    <row r="7545" spans="1:7" x14ac:dyDescent="0.3">
      <c r="A7545" t="s">
        <v>33</v>
      </c>
      <c r="B7545">
        <v>2021</v>
      </c>
      <c r="C7545" t="s">
        <v>31</v>
      </c>
      <c r="D7545" s="2">
        <v>44197</v>
      </c>
      <c r="E7545" t="s">
        <v>24</v>
      </c>
      <c r="F7545">
        <v>136.9</v>
      </c>
      <c r="G7545" t="str">
        <f>VLOOKUP(Table1_2[[#This Row],[Categories]],Sheet3!$A$1:$B$27,2,FALSE)</f>
        <v>Transport and communication</v>
      </c>
    </row>
    <row r="7546" spans="1:7" x14ac:dyDescent="0.3">
      <c r="A7546" t="s">
        <v>33</v>
      </c>
      <c r="B7546">
        <v>2021</v>
      </c>
      <c r="C7546" t="s">
        <v>31</v>
      </c>
      <c r="D7546" s="2">
        <v>44197</v>
      </c>
      <c r="E7546" t="s">
        <v>25</v>
      </c>
      <c r="F7546">
        <v>145.4</v>
      </c>
      <c r="G7546" t="str">
        <f>VLOOKUP(Table1_2[[#This Row],[Categories]],Sheet3!$A$1:$B$27,2,FALSE)</f>
        <v>Recreation and amusement</v>
      </c>
    </row>
    <row r="7547" spans="1:7" x14ac:dyDescent="0.3">
      <c r="A7547" t="s">
        <v>33</v>
      </c>
      <c r="B7547">
        <v>2021</v>
      </c>
      <c r="C7547" t="s">
        <v>31</v>
      </c>
      <c r="D7547" s="2">
        <v>44197</v>
      </c>
      <c r="E7547" t="s">
        <v>26</v>
      </c>
      <c r="F7547">
        <v>156.1</v>
      </c>
      <c r="G7547" t="str">
        <f>VLOOKUP(Table1_2[[#This Row],[Categories]],Sheet3!$A$1:$B$27,2,FALSE)</f>
        <v>Education</v>
      </c>
    </row>
    <row r="7548" spans="1:7" x14ac:dyDescent="0.3">
      <c r="A7548" t="s">
        <v>33</v>
      </c>
      <c r="B7548">
        <v>2021</v>
      </c>
      <c r="C7548" t="s">
        <v>31</v>
      </c>
      <c r="D7548" s="2">
        <v>44197</v>
      </c>
      <c r="E7548" t="s">
        <v>27</v>
      </c>
      <c r="F7548">
        <v>157.69999999999999</v>
      </c>
      <c r="G7548" t="str">
        <f>VLOOKUP(Table1_2[[#This Row],[Categories]],Sheet3!$A$1:$B$27,2,FALSE)</f>
        <v>Household Items</v>
      </c>
    </row>
    <row r="7549" spans="1:7" x14ac:dyDescent="0.3">
      <c r="A7549" t="s">
        <v>33</v>
      </c>
      <c r="B7549">
        <v>2021</v>
      </c>
      <c r="C7549" t="s">
        <v>31</v>
      </c>
      <c r="D7549" s="2">
        <v>44197</v>
      </c>
      <c r="E7549" t="s">
        <v>28</v>
      </c>
      <c r="F7549">
        <v>147.6</v>
      </c>
      <c r="G7549" t="str">
        <f>VLOOKUP(Table1_2[[#This Row],[Categories]],Sheet3!$A$1:$B$27,2,FALSE)</f>
        <v>Miscellaneous</v>
      </c>
    </row>
    <row r="7550" spans="1:7" x14ac:dyDescent="0.3">
      <c r="A7550" t="s">
        <v>33</v>
      </c>
      <c r="B7550">
        <v>2021</v>
      </c>
      <c r="C7550" t="s">
        <v>31</v>
      </c>
      <c r="D7550" s="2">
        <v>44197</v>
      </c>
      <c r="E7550" t="s">
        <v>29</v>
      </c>
      <c r="F7550">
        <v>156</v>
      </c>
      <c r="G7550" t="str">
        <f>VLOOKUP(Table1_2[[#This Row],[Categories]],Sheet3!$A$1:$B$27,2,FALSE)</f>
        <v>General index</v>
      </c>
    </row>
    <row r="7551" spans="1:7" x14ac:dyDescent="0.3">
      <c r="A7551" t="s">
        <v>34</v>
      </c>
      <c r="B7551">
        <v>2021</v>
      </c>
      <c r="C7551" t="s">
        <v>31</v>
      </c>
      <c r="D7551" s="2">
        <v>44197</v>
      </c>
      <c r="E7551" t="s">
        <v>3</v>
      </c>
      <c r="F7551">
        <v>144.9</v>
      </c>
      <c r="G7551" t="str">
        <f>VLOOKUP(Table1_2[[#This Row],[Categories]],Sheet3!$A$1:$B$27,2,FALSE)</f>
        <v>Food &amp;Beverage</v>
      </c>
    </row>
    <row r="7552" spans="1:7" x14ac:dyDescent="0.3">
      <c r="A7552" t="s">
        <v>34</v>
      </c>
      <c r="B7552">
        <v>2021</v>
      </c>
      <c r="C7552" t="s">
        <v>31</v>
      </c>
      <c r="D7552" s="2">
        <v>44197</v>
      </c>
      <c r="E7552" t="s">
        <v>4</v>
      </c>
      <c r="F7552">
        <v>190.1</v>
      </c>
      <c r="G7552" t="str">
        <f>VLOOKUP(Table1_2[[#This Row],[Categories]],Sheet3!$A$1:$B$27,2,FALSE)</f>
        <v>Food &amp;Beverage</v>
      </c>
    </row>
    <row r="7553" spans="1:7" x14ac:dyDescent="0.3">
      <c r="A7553" t="s">
        <v>34</v>
      </c>
      <c r="B7553">
        <v>2021</v>
      </c>
      <c r="C7553" t="s">
        <v>31</v>
      </c>
      <c r="D7553" s="2">
        <v>44197</v>
      </c>
      <c r="E7553" t="s">
        <v>5</v>
      </c>
      <c r="F7553">
        <v>175.3</v>
      </c>
      <c r="G7553" t="str">
        <f>VLOOKUP(Table1_2[[#This Row],[Categories]],Sheet3!$A$1:$B$27,2,FALSE)</f>
        <v>Food &amp;Beverage</v>
      </c>
    </row>
    <row r="7554" spans="1:7" x14ac:dyDescent="0.3">
      <c r="A7554" t="s">
        <v>34</v>
      </c>
      <c r="B7554">
        <v>2021</v>
      </c>
      <c r="C7554" t="s">
        <v>31</v>
      </c>
      <c r="D7554" s="2">
        <v>44197</v>
      </c>
      <c r="E7554" t="s">
        <v>6</v>
      </c>
      <c r="F7554">
        <v>154.1</v>
      </c>
      <c r="G7554" t="str">
        <f>VLOOKUP(Table1_2[[#This Row],[Categories]],Sheet3!$A$1:$B$27,2,FALSE)</f>
        <v>Food &amp;Beverage</v>
      </c>
    </row>
    <row r="7555" spans="1:7" x14ac:dyDescent="0.3">
      <c r="A7555" t="s">
        <v>34</v>
      </c>
      <c r="B7555">
        <v>2021</v>
      </c>
      <c r="C7555" t="s">
        <v>31</v>
      </c>
      <c r="D7555" s="2">
        <v>44197</v>
      </c>
      <c r="E7555" t="s">
        <v>7</v>
      </c>
      <c r="F7555">
        <v>150.9</v>
      </c>
      <c r="G7555" t="str">
        <f>VLOOKUP(Table1_2[[#This Row],[Categories]],Sheet3!$A$1:$B$27,2,FALSE)</f>
        <v>Food &amp;Beverage</v>
      </c>
    </row>
    <row r="7556" spans="1:7" x14ac:dyDescent="0.3">
      <c r="A7556" t="s">
        <v>34</v>
      </c>
      <c r="B7556">
        <v>2021</v>
      </c>
      <c r="C7556" t="s">
        <v>31</v>
      </c>
      <c r="D7556" s="2">
        <v>44197</v>
      </c>
      <c r="E7556" t="s">
        <v>8</v>
      </c>
      <c r="F7556">
        <v>149.6</v>
      </c>
      <c r="G7556" t="str">
        <f>VLOOKUP(Table1_2[[#This Row],[Categories]],Sheet3!$A$1:$B$27,2,FALSE)</f>
        <v>Food &amp;Beverage</v>
      </c>
    </row>
    <row r="7557" spans="1:7" x14ac:dyDescent="0.3">
      <c r="A7557" t="s">
        <v>34</v>
      </c>
      <c r="B7557">
        <v>2021</v>
      </c>
      <c r="C7557" t="s">
        <v>31</v>
      </c>
      <c r="D7557" s="2">
        <v>44197</v>
      </c>
      <c r="E7557" t="s">
        <v>9</v>
      </c>
      <c r="F7557">
        <v>194.2</v>
      </c>
      <c r="G7557" t="str">
        <f>VLOOKUP(Table1_2[[#This Row],[Categories]],Sheet3!$A$1:$B$27,2,FALSE)</f>
        <v>Food &amp;Beverage</v>
      </c>
    </row>
    <row r="7558" spans="1:7" x14ac:dyDescent="0.3">
      <c r="A7558" t="s">
        <v>34</v>
      </c>
      <c r="B7558">
        <v>2021</v>
      </c>
      <c r="C7558" t="s">
        <v>31</v>
      </c>
      <c r="D7558" s="2">
        <v>44197</v>
      </c>
      <c r="E7558" t="s">
        <v>10</v>
      </c>
      <c r="F7558">
        <v>160.4</v>
      </c>
      <c r="G7558" t="str">
        <f>VLOOKUP(Table1_2[[#This Row],[Categories]],Sheet3!$A$1:$B$27,2,FALSE)</f>
        <v>Food &amp;Beverage</v>
      </c>
    </row>
    <row r="7559" spans="1:7" x14ac:dyDescent="0.3">
      <c r="A7559" t="s">
        <v>34</v>
      </c>
      <c r="B7559">
        <v>2021</v>
      </c>
      <c r="C7559" t="s">
        <v>31</v>
      </c>
      <c r="D7559" s="2">
        <v>44197</v>
      </c>
      <c r="E7559" t="s">
        <v>11</v>
      </c>
      <c r="F7559">
        <v>114.6</v>
      </c>
      <c r="G7559" t="str">
        <f>VLOOKUP(Table1_2[[#This Row],[Categories]],Sheet3!$A$1:$B$27,2,FALSE)</f>
        <v>Food &amp;Beverage</v>
      </c>
    </row>
    <row r="7560" spans="1:7" x14ac:dyDescent="0.3">
      <c r="A7560" t="s">
        <v>34</v>
      </c>
      <c r="B7560">
        <v>2021</v>
      </c>
      <c r="C7560" t="s">
        <v>31</v>
      </c>
      <c r="D7560" s="2">
        <v>44197</v>
      </c>
      <c r="E7560" t="s">
        <v>12</v>
      </c>
      <c r="F7560">
        <v>164</v>
      </c>
      <c r="G7560" t="str">
        <f>VLOOKUP(Table1_2[[#This Row],[Categories]],Sheet3!$A$1:$B$27,2,FALSE)</f>
        <v>Food &amp;Beverage</v>
      </c>
    </row>
    <row r="7561" spans="1:7" x14ac:dyDescent="0.3">
      <c r="A7561" t="s">
        <v>34</v>
      </c>
      <c r="B7561">
        <v>2021</v>
      </c>
      <c r="C7561" t="s">
        <v>31</v>
      </c>
      <c r="D7561" s="2">
        <v>44197</v>
      </c>
      <c r="E7561" t="s">
        <v>13</v>
      </c>
      <c r="F7561">
        <v>151.80000000000001</v>
      </c>
      <c r="G7561" t="str">
        <f>VLOOKUP(Table1_2[[#This Row],[Categories]],Sheet3!$A$1:$B$27,2,FALSE)</f>
        <v>Food &amp;Beverage</v>
      </c>
    </row>
    <row r="7562" spans="1:7" x14ac:dyDescent="0.3">
      <c r="A7562" t="s">
        <v>34</v>
      </c>
      <c r="B7562">
        <v>2021</v>
      </c>
      <c r="C7562" t="s">
        <v>31</v>
      </c>
      <c r="D7562" s="2">
        <v>44197</v>
      </c>
      <c r="E7562" t="s">
        <v>14</v>
      </c>
      <c r="F7562">
        <v>165.6</v>
      </c>
      <c r="G7562" t="str">
        <f>VLOOKUP(Table1_2[[#This Row],[Categories]],Sheet3!$A$1:$B$27,2,FALSE)</f>
        <v>Food &amp;Beverage</v>
      </c>
    </row>
    <row r="7563" spans="1:7" x14ac:dyDescent="0.3">
      <c r="A7563" t="s">
        <v>34</v>
      </c>
      <c r="B7563">
        <v>2021</v>
      </c>
      <c r="C7563" t="s">
        <v>31</v>
      </c>
      <c r="D7563" s="2">
        <v>44197</v>
      </c>
      <c r="E7563" t="s">
        <v>15</v>
      </c>
      <c r="F7563">
        <v>161</v>
      </c>
      <c r="G7563" t="str">
        <f>VLOOKUP(Table1_2[[#This Row],[Categories]],Sheet3!$A$1:$B$27,2,FALSE)</f>
        <v>Food &amp;Beverage</v>
      </c>
    </row>
    <row r="7564" spans="1:7" x14ac:dyDescent="0.3">
      <c r="A7564" t="s">
        <v>34</v>
      </c>
      <c r="B7564">
        <v>2021</v>
      </c>
      <c r="C7564" t="s">
        <v>31</v>
      </c>
      <c r="D7564" s="2">
        <v>44197</v>
      </c>
      <c r="E7564" t="s">
        <v>16</v>
      </c>
      <c r="F7564">
        <v>186.5</v>
      </c>
      <c r="G7564" t="str">
        <f>VLOOKUP(Table1_2[[#This Row],[Categories]],Sheet3!$A$1:$B$27,2,FALSE)</f>
        <v>Recreation and amusement</v>
      </c>
    </row>
    <row r="7565" spans="1:7" x14ac:dyDescent="0.3">
      <c r="A7565" t="s">
        <v>34</v>
      </c>
      <c r="B7565">
        <v>2021</v>
      </c>
      <c r="C7565" t="s">
        <v>31</v>
      </c>
      <c r="D7565" s="2">
        <v>44197</v>
      </c>
      <c r="E7565" t="s">
        <v>17</v>
      </c>
      <c r="F7565">
        <v>155.5</v>
      </c>
      <c r="G7565" t="str">
        <f>VLOOKUP(Table1_2[[#This Row],[Categories]],Sheet3!$A$1:$B$27,2,FALSE)</f>
        <v>Clothing and footwear</v>
      </c>
    </row>
    <row r="7566" spans="1:7" x14ac:dyDescent="0.3">
      <c r="A7566" t="s">
        <v>34</v>
      </c>
      <c r="B7566">
        <v>2021</v>
      </c>
      <c r="C7566" t="s">
        <v>31</v>
      </c>
      <c r="D7566" s="2">
        <v>44197</v>
      </c>
      <c r="E7566" t="s">
        <v>18</v>
      </c>
      <c r="F7566">
        <v>146.1</v>
      </c>
      <c r="G7566" t="str">
        <f>VLOOKUP(Table1_2[[#This Row],[Categories]],Sheet3!$A$1:$B$27,2,FALSE)</f>
        <v>Clothing and footwear</v>
      </c>
    </row>
    <row r="7567" spans="1:7" x14ac:dyDescent="0.3">
      <c r="A7567" t="s">
        <v>34</v>
      </c>
      <c r="B7567">
        <v>2021</v>
      </c>
      <c r="C7567" t="s">
        <v>31</v>
      </c>
      <c r="D7567" s="2">
        <v>44197</v>
      </c>
      <c r="E7567" t="s">
        <v>19</v>
      </c>
      <c r="F7567">
        <v>154.19999999999999</v>
      </c>
      <c r="G7567" t="str">
        <f>VLOOKUP(Table1_2[[#This Row],[Categories]],Sheet3!$A$1:$B$27,2,FALSE)</f>
        <v>Clothing and footwear</v>
      </c>
    </row>
    <row r="7568" spans="1:7" x14ac:dyDescent="0.3">
      <c r="A7568" t="s">
        <v>34</v>
      </c>
      <c r="B7568">
        <v>2021</v>
      </c>
      <c r="C7568" t="s">
        <v>31</v>
      </c>
      <c r="D7568" s="2">
        <v>44197</v>
      </c>
      <c r="E7568" t="s">
        <v>20</v>
      </c>
      <c r="F7568">
        <v>157.69999999999999</v>
      </c>
      <c r="G7568" t="str">
        <f>VLOOKUP(Table1_2[[#This Row],[Categories]],Sheet3!$A$1:$B$27,2,FALSE)</f>
        <v>Housing</v>
      </c>
    </row>
    <row r="7569" spans="1:7" x14ac:dyDescent="0.3">
      <c r="A7569" t="s">
        <v>34</v>
      </c>
      <c r="B7569">
        <v>2021</v>
      </c>
      <c r="C7569" t="s">
        <v>31</v>
      </c>
      <c r="D7569" s="2">
        <v>44197</v>
      </c>
      <c r="E7569" t="s">
        <v>21</v>
      </c>
      <c r="F7569">
        <v>147.9</v>
      </c>
      <c r="G7569" t="str">
        <f>VLOOKUP(Table1_2[[#This Row],[Categories]],Sheet3!$A$1:$B$27,2,FALSE)</f>
        <v>Fuel and light</v>
      </c>
    </row>
    <row r="7570" spans="1:7" x14ac:dyDescent="0.3">
      <c r="A7570" t="s">
        <v>34</v>
      </c>
      <c r="B7570">
        <v>2021</v>
      </c>
      <c r="C7570" t="s">
        <v>31</v>
      </c>
      <c r="D7570" s="2">
        <v>44197</v>
      </c>
      <c r="E7570" t="s">
        <v>22</v>
      </c>
      <c r="F7570">
        <v>150</v>
      </c>
      <c r="G7570" t="str">
        <f>VLOOKUP(Table1_2[[#This Row],[Categories]],Sheet3!$A$1:$B$27,2,FALSE)</f>
        <v>Household Items</v>
      </c>
    </row>
    <row r="7571" spans="1:7" x14ac:dyDescent="0.3">
      <c r="A7571" t="s">
        <v>34</v>
      </c>
      <c r="B7571">
        <v>2021</v>
      </c>
      <c r="C7571" t="s">
        <v>31</v>
      </c>
      <c r="D7571" s="2">
        <v>44197</v>
      </c>
      <c r="E7571" t="s">
        <v>23</v>
      </c>
      <c r="F7571">
        <v>159.30000000000001</v>
      </c>
      <c r="G7571" t="str">
        <f>VLOOKUP(Table1_2[[#This Row],[Categories]],Sheet3!$A$1:$B$27,2,FALSE)</f>
        <v>Health</v>
      </c>
    </row>
    <row r="7572" spans="1:7" x14ac:dyDescent="0.3">
      <c r="A7572" t="s">
        <v>34</v>
      </c>
      <c r="B7572">
        <v>2021</v>
      </c>
      <c r="C7572" t="s">
        <v>31</v>
      </c>
      <c r="D7572" s="2">
        <v>44197</v>
      </c>
      <c r="E7572" t="s">
        <v>24</v>
      </c>
      <c r="F7572">
        <v>141.9</v>
      </c>
      <c r="G7572" t="str">
        <f>VLOOKUP(Table1_2[[#This Row],[Categories]],Sheet3!$A$1:$B$27,2,FALSE)</f>
        <v>Transport and communication</v>
      </c>
    </row>
    <row r="7573" spans="1:7" x14ac:dyDescent="0.3">
      <c r="A7573" t="s">
        <v>34</v>
      </c>
      <c r="B7573">
        <v>2021</v>
      </c>
      <c r="C7573" t="s">
        <v>31</v>
      </c>
      <c r="D7573" s="2">
        <v>44197</v>
      </c>
      <c r="E7573" t="s">
        <v>25</v>
      </c>
      <c r="F7573">
        <v>149.6</v>
      </c>
      <c r="G7573" t="str">
        <f>VLOOKUP(Table1_2[[#This Row],[Categories]],Sheet3!$A$1:$B$27,2,FALSE)</f>
        <v>Recreation and amusement</v>
      </c>
    </row>
    <row r="7574" spans="1:7" x14ac:dyDescent="0.3">
      <c r="A7574" t="s">
        <v>34</v>
      </c>
      <c r="B7574">
        <v>2021</v>
      </c>
      <c r="C7574" t="s">
        <v>31</v>
      </c>
      <c r="D7574" s="2">
        <v>44197</v>
      </c>
      <c r="E7574" t="s">
        <v>26</v>
      </c>
      <c r="F7574">
        <v>159.19999999999999</v>
      </c>
      <c r="G7574" t="str">
        <f>VLOOKUP(Table1_2[[#This Row],[Categories]],Sheet3!$A$1:$B$27,2,FALSE)</f>
        <v>Education</v>
      </c>
    </row>
    <row r="7575" spans="1:7" x14ac:dyDescent="0.3">
      <c r="A7575" t="s">
        <v>34</v>
      </c>
      <c r="B7575">
        <v>2021</v>
      </c>
      <c r="C7575" t="s">
        <v>31</v>
      </c>
      <c r="D7575" s="2">
        <v>44197</v>
      </c>
      <c r="E7575" t="s">
        <v>27</v>
      </c>
      <c r="F7575">
        <v>156.80000000000001</v>
      </c>
      <c r="G7575" t="str">
        <f>VLOOKUP(Table1_2[[#This Row],[Categories]],Sheet3!$A$1:$B$27,2,FALSE)</f>
        <v>Household Items</v>
      </c>
    </row>
    <row r="7576" spans="1:7" x14ac:dyDescent="0.3">
      <c r="A7576" t="s">
        <v>34</v>
      </c>
      <c r="B7576">
        <v>2021</v>
      </c>
      <c r="C7576" t="s">
        <v>31</v>
      </c>
      <c r="D7576" s="2">
        <v>44197</v>
      </c>
      <c r="E7576" t="s">
        <v>28</v>
      </c>
      <c r="F7576">
        <v>151.9</v>
      </c>
      <c r="G7576" t="str">
        <f>VLOOKUP(Table1_2[[#This Row],[Categories]],Sheet3!$A$1:$B$27,2,FALSE)</f>
        <v>Miscellaneous</v>
      </c>
    </row>
    <row r="7577" spans="1:7" x14ac:dyDescent="0.3">
      <c r="A7577" t="s">
        <v>34</v>
      </c>
      <c r="B7577">
        <v>2021</v>
      </c>
      <c r="C7577" t="s">
        <v>31</v>
      </c>
      <c r="D7577" s="2">
        <v>44197</v>
      </c>
      <c r="E7577" t="s">
        <v>29</v>
      </c>
      <c r="F7577">
        <v>157.30000000000001</v>
      </c>
      <c r="G7577" t="str">
        <f>VLOOKUP(Table1_2[[#This Row],[Categories]],Sheet3!$A$1:$B$27,2,FALSE)</f>
        <v>General index</v>
      </c>
    </row>
    <row r="7578" spans="1:7" x14ac:dyDescent="0.3">
      <c r="A7578" t="s">
        <v>30</v>
      </c>
      <c r="B7578">
        <v>2021</v>
      </c>
      <c r="C7578" t="s">
        <v>35</v>
      </c>
      <c r="D7578" s="2">
        <v>44228</v>
      </c>
      <c r="E7578" t="s">
        <v>3</v>
      </c>
      <c r="F7578">
        <v>142.80000000000001</v>
      </c>
      <c r="G7578" t="str">
        <f>VLOOKUP(Table1_2[[#This Row],[Categories]],Sheet3!$A$1:$B$27,2,FALSE)</f>
        <v>Food &amp;Beverage</v>
      </c>
    </row>
    <row r="7579" spans="1:7" x14ac:dyDescent="0.3">
      <c r="A7579" t="s">
        <v>30</v>
      </c>
      <c r="B7579">
        <v>2021</v>
      </c>
      <c r="C7579" t="s">
        <v>35</v>
      </c>
      <c r="D7579" s="2">
        <v>44228</v>
      </c>
      <c r="E7579" t="s">
        <v>4</v>
      </c>
      <c r="F7579">
        <v>184</v>
      </c>
      <c r="G7579" t="str">
        <f>VLOOKUP(Table1_2[[#This Row],[Categories]],Sheet3!$A$1:$B$27,2,FALSE)</f>
        <v>Food &amp;Beverage</v>
      </c>
    </row>
    <row r="7580" spans="1:7" x14ac:dyDescent="0.3">
      <c r="A7580" t="s">
        <v>30</v>
      </c>
      <c r="B7580">
        <v>2021</v>
      </c>
      <c r="C7580" t="s">
        <v>35</v>
      </c>
      <c r="D7580" s="2">
        <v>44228</v>
      </c>
      <c r="E7580" t="s">
        <v>5</v>
      </c>
      <c r="F7580">
        <v>168</v>
      </c>
      <c r="G7580" t="str">
        <f>VLOOKUP(Table1_2[[#This Row],[Categories]],Sheet3!$A$1:$B$27,2,FALSE)</f>
        <v>Food &amp;Beverage</v>
      </c>
    </row>
    <row r="7581" spans="1:7" x14ac:dyDescent="0.3">
      <c r="A7581" t="s">
        <v>30</v>
      </c>
      <c r="B7581">
        <v>2021</v>
      </c>
      <c r="C7581" t="s">
        <v>35</v>
      </c>
      <c r="D7581" s="2">
        <v>44228</v>
      </c>
      <c r="E7581" t="s">
        <v>6</v>
      </c>
      <c r="F7581">
        <v>154.4</v>
      </c>
      <c r="G7581" t="str">
        <f>VLOOKUP(Table1_2[[#This Row],[Categories]],Sheet3!$A$1:$B$27,2,FALSE)</f>
        <v>Food &amp;Beverage</v>
      </c>
    </row>
    <row r="7582" spans="1:7" x14ac:dyDescent="0.3">
      <c r="A7582" t="s">
        <v>30</v>
      </c>
      <c r="B7582">
        <v>2021</v>
      </c>
      <c r="C7582" t="s">
        <v>35</v>
      </c>
      <c r="D7582" s="2">
        <v>44228</v>
      </c>
      <c r="E7582" t="s">
        <v>7</v>
      </c>
      <c r="F7582">
        <v>163</v>
      </c>
      <c r="G7582" t="str">
        <f>VLOOKUP(Table1_2[[#This Row],[Categories]],Sheet3!$A$1:$B$27,2,FALSE)</f>
        <v>Food &amp;Beverage</v>
      </c>
    </row>
    <row r="7583" spans="1:7" x14ac:dyDescent="0.3">
      <c r="A7583" t="s">
        <v>30</v>
      </c>
      <c r="B7583">
        <v>2021</v>
      </c>
      <c r="C7583" t="s">
        <v>35</v>
      </c>
      <c r="D7583" s="2">
        <v>44228</v>
      </c>
      <c r="E7583" t="s">
        <v>8</v>
      </c>
      <c r="F7583">
        <v>147.80000000000001</v>
      </c>
      <c r="G7583" t="str">
        <f>VLOOKUP(Table1_2[[#This Row],[Categories]],Sheet3!$A$1:$B$27,2,FALSE)</f>
        <v>Food &amp;Beverage</v>
      </c>
    </row>
    <row r="7584" spans="1:7" x14ac:dyDescent="0.3">
      <c r="A7584" t="s">
        <v>30</v>
      </c>
      <c r="B7584">
        <v>2021</v>
      </c>
      <c r="C7584" t="s">
        <v>35</v>
      </c>
      <c r="D7584" s="2">
        <v>44228</v>
      </c>
      <c r="E7584" t="s">
        <v>9</v>
      </c>
      <c r="F7584">
        <v>149.69999999999999</v>
      </c>
      <c r="G7584" t="str">
        <f>VLOOKUP(Table1_2[[#This Row],[Categories]],Sheet3!$A$1:$B$27,2,FALSE)</f>
        <v>Food &amp;Beverage</v>
      </c>
    </row>
    <row r="7585" spans="1:7" x14ac:dyDescent="0.3">
      <c r="A7585" t="s">
        <v>30</v>
      </c>
      <c r="B7585">
        <v>2021</v>
      </c>
      <c r="C7585" t="s">
        <v>35</v>
      </c>
      <c r="D7585" s="2">
        <v>44228</v>
      </c>
      <c r="E7585" t="s">
        <v>10</v>
      </c>
      <c r="F7585">
        <v>158.30000000000001</v>
      </c>
      <c r="G7585" t="str">
        <f>VLOOKUP(Table1_2[[#This Row],[Categories]],Sheet3!$A$1:$B$27,2,FALSE)</f>
        <v>Food &amp;Beverage</v>
      </c>
    </row>
    <row r="7586" spans="1:7" x14ac:dyDescent="0.3">
      <c r="A7586" t="s">
        <v>30</v>
      </c>
      <c r="B7586">
        <v>2021</v>
      </c>
      <c r="C7586" t="s">
        <v>35</v>
      </c>
      <c r="D7586" s="2">
        <v>44228</v>
      </c>
      <c r="E7586" t="s">
        <v>11</v>
      </c>
      <c r="F7586">
        <v>111.8</v>
      </c>
      <c r="G7586" t="str">
        <f>VLOOKUP(Table1_2[[#This Row],[Categories]],Sheet3!$A$1:$B$27,2,FALSE)</f>
        <v>Food &amp;Beverage</v>
      </c>
    </row>
    <row r="7587" spans="1:7" x14ac:dyDescent="0.3">
      <c r="A7587" t="s">
        <v>30</v>
      </c>
      <c r="B7587">
        <v>2021</v>
      </c>
      <c r="C7587" t="s">
        <v>35</v>
      </c>
      <c r="D7587" s="2">
        <v>44228</v>
      </c>
      <c r="E7587" t="s">
        <v>12</v>
      </c>
      <c r="F7587">
        <v>165</v>
      </c>
      <c r="G7587" t="str">
        <f>VLOOKUP(Table1_2[[#This Row],[Categories]],Sheet3!$A$1:$B$27,2,FALSE)</f>
        <v>Food &amp;Beverage</v>
      </c>
    </row>
    <row r="7588" spans="1:7" x14ac:dyDescent="0.3">
      <c r="A7588" t="s">
        <v>30</v>
      </c>
      <c r="B7588">
        <v>2021</v>
      </c>
      <c r="C7588" t="s">
        <v>35</v>
      </c>
      <c r="D7588" s="2">
        <v>44228</v>
      </c>
      <c r="E7588" t="s">
        <v>13</v>
      </c>
      <c r="F7588">
        <v>160</v>
      </c>
      <c r="G7588" t="str">
        <f>VLOOKUP(Table1_2[[#This Row],[Categories]],Sheet3!$A$1:$B$27,2,FALSE)</f>
        <v>Food &amp;Beverage</v>
      </c>
    </row>
    <row r="7589" spans="1:7" x14ac:dyDescent="0.3">
      <c r="A7589" t="s">
        <v>30</v>
      </c>
      <c r="B7589">
        <v>2021</v>
      </c>
      <c r="C7589" t="s">
        <v>35</v>
      </c>
      <c r="D7589" s="2">
        <v>44228</v>
      </c>
      <c r="E7589" t="s">
        <v>14</v>
      </c>
      <c r="F7589">
        <v>165.8</v>
      </c>
      <c r="G7589" t="str">
        <f>VLOOKUP(Table1_2[[#This Row],[Categories]],Sheet3!$A$1:$B$27,2,FALSE)</f>
        <v>Food &amp;Beverage</v>
      </c>
    </row>
    <row r="7590" spans="1:7" x14ac:dyDescent="0.3">
      <c r="A7590" t="s">
        <v>30</v>
      </c>
      <c r="B7590">
        <v>2021</v>
      </c>
      <c r="C7590" t="s">
        <v>35</v>
      </c>
      <c r="D7590" s="2">
        <v>44228</v>
      </c>
      <c r="E7590" t="s">
        <v>15</v>
      </c>
      <c r="F7590">
        <v>154.69999999999999</v>
      </c>
      <c r="G7590" t="str">
        <f>VLOOKUP(Table1_2[[#This Row],[Categories]],Sheet3!$A$1:$B$27,2,FALSE)</f>
        <v>Food &amp;Beverage</v>
      </c>
    </row>
    <row r="7591" spans="1:7" x14ac:dyDescent="0.3">
      <c r="A7591" t="s">
        <v>30</v>
      </c>
      <c r="B7591">
        <v>2021</v>
      </c>
      <c r="C7591" t="s">
        <v>35</v>
      </c>
      <c r="D7591" s="2">
        <v>44228</v>
      </c>
      <c r="E7591" t="s">
        <v>16</v>
      </c>
      <c r="F7591">
        <v>186.5</v>
      </c>
      <c r="G7591" t="str">
        <f>VLOOKUP(Table1_2[[#This Row],[Categories]],Sheet3!$A$1:$B$27,2,FALSE)</f>
        <v>Recreation and amusement</v>
      </c>
    </row>
    <row r="7592" spans="1:7" x14ac:dyDescent="0.3">
      <c r="A7592" t="s">
        <v>30</v>
      </c>
      <c r="B7592">
        <v>2021</v>
      </c>
      <c r="C7592" t="s">
        <v>35</v>
      </c>
      <c r="D7592" s="2">
        <v>44228</v>
      </c>
      <c r="E7592" t="s">
        <v>17</v>
      </c>
      <c r="F7592">
        <v>159.1</v>
      </c>
      <c r="G7592" t="str">
        <f>VLOOKUP(Table1_2[[#This Row],[Categories]],Sheet3!$A$1:$B$27,2,FALSE)</f>
        <v>Clothing and footwear</v>
      </c>
    </row>
    <row r="7593" spans="1:7" x14ac:dyDescent="0.3">
      <c r="A7593" t="s">
        <v>30</v>
      </c>
      <c r="B7593">
        <v>2021</v>
      </c>
      <c r="C7593" t="s">
        <v>35</v>
      </c>
      <c r="D7593" s="2">
        <v>44228</v>
      </c>
      <c r="E7593" t="s">
        <v>18</v>
      </c>
      <c r="F7593">
        <v>153.9</v>
      </c>
      <c r="G7593" t="str">
        <f>VLOOKUP(Table1_2[[#This Row],[Categories]],Sheet3!$A$1:$B$27,2,FALSE)</f>
        <v>Clothing and footwear</v>
      </c>
    </row>
    <row r="7594" spans="1:7" x14ac:dyDescent="0.3">
      <c r="A7594" t="s">
        <v>30</v>
      </c>
      <c r="B7594">
        <v>2021</v>
      </c>
      <c r="C7594" t="s">
        <v>35</v>
      </c>
      <c r="D7594" s="2">
        <v>44228</v>
      </c>
      <c r="E7594" t="s">
        <v>19</v>
      </c>
      <c r="F7594">
        <v>158.4</v>
      </c>
      <c r="G7594" t="str">
        <f>VLOOKUP(Table1_2[[#This Row],[Categories]],Sheet3!$A$1:$B$27,2,FALSE)</f>
        <v>Clothing and footwear</v>
      </c>
    </row>
    <row r="7595" spans="1:7" x14ac:dyDescent="0.3">
      <c r="A7595" t="s">
        <v>30</v>
      </c>
      <c r="B7595">
        <v>2021</v>
      </c>
      <c r="C7595" t="s">
        <v>35</v>
      </c>
      <c r="D7595" s="2">
        <v>44228</v>
      </c>
      <c r="E7595" t="s">
        <v>21</v>
      </c>
      <c r="F7595">
        <v>154.4</v>
      </c>
      <c r="G7595" t="str">
        <f>VLOOKUP(Table1_2[[#This Row],[Categories]],Sheet3!$A$1:$B$27,2,FALSE)</f>
        <v>Fuel and light</v>
      </c>
    </row>
    <row r="7596" spans="1:7" x14ac:dyDescent="0.3">
      <c r="A7596" t="s">
        <v>30</v>
      </c>
      <c r="B7596">
        <v>2021</v>
      </c>
      <c r="C7596" t="s">
        <v>35</v>
      </c>
      <c r="D7596" s="2">
        <v>44228</v>
      </c>
      <c r="E7596" t="s">
        <v>22</v>
      </c>
      <c r="F7596">
        <v>154.80000000000001</v>
      </c>
      <c r="G7596" t="str">
        <f>VLOOKUP(Table1_2[[#This Row],[Categories]],Sheet3!$A$1:$B$27,2,FALSE)</f>
        <v>Household Items</v>
      </c>
    </row>
    <row r="7597" spans="1:7" x14ac:dyDescent="0.3">
      <c r="A7597" t="s">
        <v>30</v>
      </c>
      <c r="B7597">
        <v>2021</v>
      </c>
      <c r="C7597" t="s">
        <v>35</v>
      </c>
      <c r="D7597" s="2">
        <v>44228</v>
      </c>
      <c r="E7597" t="s">
        <v>23</v>
      </c>
      <c r="F7597">
        <v>164.3</v>
      </c>
      <c r="G7597" t="str">
        <f>VLOOKUP(Table1_2[[#This Row],[Categories]],Sheet3!$A$1:$B$27,2,FALSE)</f>
        <v>Health</v>
      </c>
    </row>
    <row r="7598" spans="1:7" x14ac:dyDescent="0.3">
      <c r="A7598" t="s">
        <v>30</v>
      </c>
      <c r="B7598">
        <v>2021</v>
      </c>
      <c r="C7598" t="s">
        <v>35</v>
      </c>
      <c r="D7598" s="2">
        <v>44228</v>
      </c>
      <c r="E7598" t="s">
        <v>24</v>
      </c>
      <c r="F7598">
        <v>150.19999999999999</v>
      </c>
      <c r="G7598" t="str">
        <f>VLOOKUP(Table1_2[[#This Row],[Categories]],Sheet3!$A$1:$B$27,2,FALSE)</f>
        <v>Transport and communication</v>
      </c>
    </row>
    <row r="7599" spans="1:7" x14ac:dyDescent="0.3">
      <c r="A7599" t="s">
        <v>30</v>
      </c>
      <c r="B7599">
        <v>2021</v>
      </c>
      <c r="C7599" t="s">
        <v>35</v>
      </c>
      <c r="D7599" s="2">
        <v>44228</v>
      </c>
      <c r="E7599" t="s">
        <v>25</v>
      </c>
      <c r="F7599">
        <v>157</v>
      </c>
      <c r="G7599" t="str">
        <f>VLOOKUP(Table1_2[[#This Row],[Categories]],Sheet3!$A$1:$B$27,2,FALSE)</f>
        <v>Recreation and amusement</v>
      </c>
    </row>
    <row r="7600" spans="1:7" x14ac:dyDescent="0.3">
      <c r="A7600" t="s">
        <v>30</v>
      </c>
      <c r="B7600">
        <v>2021</v>
      </c>
      <c r="C7600" t="s">
        <v>35</v>
      </c>
      <c r="D7600" s="2">
        <v>44228</v>
      </c>
      <c r="E7600" t="s">
        <v>26</v>
      </c>
      <c r="F7600">
        <v>163.6</v>
      </c>
      <c r="G7600" t="str">
        <f>VLOOKUP(Table1_2[[#This Row],[Categories]],Sheet3!$A$1:$B$27,2,FALSE)</f>
        <v>Education</v>
      </c>
    </row>
    <row r="7601" spans="1:7" x14ac:dyDescent="0.3">
      <c r="A7601" t="s">
        <v>30</v>
      </c>
      <c r="B7601">
        <v>2021</v>
      </c>
      <c r="C7601" t="s">
        <v>35</v>
      </c>
      <c r="D7601" s="2">
        <v>44228</v>
      </c>
      <c r="E7601" t="s">
        <v>27</v>
      </c>
      <c r="F7601">
        <v>155.19999999999999</v>
      </c>
      <c r="G7601" t="str">
        <f>VLOOKUP(Table1_2[[#This Row],[Categories]],Sheet3!$A$1:$B$27,2,FALSE)</f>
        <v>Household Items</v>
      </c>
    </row>
    <row r="7602" spans="1:7" x14ac:dyDescent="0.3">
      <c r="A7602" t="s">
        <v>30</v>
      </c>
      <c r="B7602">
        <v>2021</v>
      </c>
      <c r="C7602" t="s">
        <v>35</v>
      </c>
      <c r="D7602" s="2">
        <v>44228</v>
      </c>
      <c r="E7602" t="s">
        <v>28</v>
      </c>
      <c r="F7602">
        <v>157.19999999999999</v>
      </c>
      <c r="G7602" t="str">
        <f>VLOOKUP(Table1_2[[#This Row],[Categories]],Sheet3!$A$1:$B$27,2,FALSE)</f>
        <v>Miscellaneous</v>
      </c>
    </row>
    <row r="7603" spans="1:7" x14ac:dyDescent="0.3">
      <c r="A7603" t="s">
        <v>30</v>
      </c>
      <c r="B7603">
        <v>2021</v>
      </c>
      <c r="C7603" t="s">
        <v>35</v>
      </c>
      <c r="D7603" s="2">
        <v>44228</v>
      </c>
      <c r="E7603" t="s">
        <v>29</v>
      </c>
      <c r="F7603">
        <v>156.69999999999999</v>
      </c>
      <c r="G7603" t="str">
        <f>VLOOKUP(Table1_2[[#This Row],[Categories]],Sheet3!$A$1:$B$27,2,FALSE)</f>
        <v>General index</v>
      </c>
    </row>
    <row r="7604" spans="1:7" x14ac:dyDescent="0.3">
      <c r="A7604" t="s">
        <v>33</v>
      </c>
      <c r="B7604">
        <v>2021</v>
      </c>
      <c r="C7604" t="s">
        <v>35</v>
      </c>
      <c r="D7604" s="2">
        <v>44228</v>
      </c>
      <c r="E7604" t="s">
        <v>3</v>
      </c>
      <c r="F7604">
        <v>147.6</v>
      </c>
      <c r="G7604" t="str">
        <f>VLOOKUP(Table1_2[[#This Row],[Categories]],Sheet3!$A$1:$B$27,2,FALSE)</f>
        <v>Food &amp;Beverage</v>
      </c>
    </row>
    <row r="7605" spans="1:7" x14ac:dyDescent="0.3">
      <c r="A7605" t="s">
        <v>33</v>
      </c>
      <c r="B7605">
        <v>2021</v>
      </c>
      <c r="C7605" t="s">
        <v>35</v>
      </c>
      <c r="D7605" s="2">
        <v>44228</v>
      </c>
      <c r="E7605" t="s">
        <v>4</v>
      </c>
      <c r="F7605">
        <v>191.2</v>
      </c>
      <c r="G7605" t="str">
        <f>VLOOKUP(Table1_2[[#This Row],[Categories]],Sheet3!$A$1:$B$27,2,FALSE)</f>
        <v>Food &amp;Beverage</v>
      </c>
    </row>
    <row r="7606" spans="1:7" x14ac:dyDescent="0.3">
      <c r="A7606" t="s">
        <v>33</v>
      </c>
      <c r="B7606">
        <v>2021</v>
      </c>
      <c r="C7606" t="s">
        <v>35</v>
      </c>
      <c r="D7606" s="2">
        <v>44228</v>
      </c>
      <c r="E7606" t="s">
        <v>5</v>
      </c>
      <c r="F7606">
        <v>169.9</v>
      </c>
      <c r="G7606" t="str">
        <f>VLOOKUP(Table1_2[[#This Row],[Categories]],Sheet3!$A$1:$B$27,2,FALSE)</f>
        <v>Food &amp;Beverage</v>
      </c>
    </row>
    <row r="7607" spans="1:7" x14ac:dyDescent="0.3">
      <c r="A7607" t="s">
        <v>33</v>
      </c>
      <c r="B7607">
        <v>2021</v>
      </c>
      <c r="C7607" t="s">
        <v>35</v>
      </c>
      <c r="D7607" s="2">
        <v>44228</v>
      </c>
      <c r="E7607" t="s">
        <v>6</v>
      </c>
      <c r="F7607">
        <v>155.1</v>
      </c>
      <c r="G7607" t="str">
        <f>VLOOKUP(Table1_2[[#This Row],[Categories]],Sheet3!$A$1:$B$27,2,FALSE)</f>
        <v>Food &amp;Beverage</v>
      </c>
    </row>
    <row r="7608" spans="1:7" x14ac:dyDescent="0.3">
      <c r="A7608" t="s">
        <v>33</v>
      </c>
      <c r="B7608">
        <v>2021</v>
      </c>
      <c r="C7608" t="s">
        <v>35</v>
      </c>
      <c r="D7608" s="2">
        <v>44228</v>
      </c>
      <c r="E7608" t="s">
        <v>7</v>
      </c>
      <c r="F7608">
        <v>151.4</v>
      </c>
      <c r="G7608" t="str">
        <f>VLOOKUP(Table1_2[[#This Row],[Categories]],Sheet3!$A$1:$B$27,2,FALSE)</f>
        <v>Food &amp;Beverage</v>
      </c>
    </row>
    <row r="7609" spans="1:7" x14ac:dyDescent="0.3">
      <c r="A7609" t="s">
        <v>33</v>
      </c>
      <c r="B7609">
        <v>2021</v>
      </c>
      <c r="C7609" t="s">
        <v>35</v>
      </c>
      <c r="D7609" s="2">
        <v>44228</v>
      </c>
      <c r="E7609" t="s">
        <v>8</v>
      </c>
      <c r="F7609">
        <v>154</v>
      </c>
      <c r="G7609" t="str">
        <f>VLOOKUP(Table1_2[[#This Row],[Categories]],Sheet3!$A$1:$B$27,2,FALSE)</f>
        <v>Food &amp;Beverage</v>
      </c>
    </row>
    <row r="7610" spans="1:7" x14ac:dyDescent="0.3">
      <c r="A7610" t="s">
        <v>33</v>
      </c>
      <c r="B7610">
        <v>2021</v>
      </c>
      <c r="C7610" t="s">
        <v>35</v>
      </c>
      <c r="D7610" s="2">
        <v>44228</v>
      </c>
      <c r="E7610" t="s">
        <v>9</v>
      </c>
      <c r="F7610">
        <v>180.2</v>
      </c>
      <c r="G7610" t="str">
        <f>VLOOKUP(Table1_2[[#This Row],[Categories]],Sheet3!$A$1:$B$27,2,FALSE)</f>
        <v>Food &amp;Beverage</v>
      </c>
    </row>
    <row r="7611" spans="1:7" x14ac:dyDescent="0.3">
      <c r="A7611" t="s">
        <v>33</v>
      </c>
      <c r="B7611">
        <v>2021</v>
      </c>
      <c r="C7611" t="s">
        <v>35</v>
      </c>
      <c r="D7611" s="2">
        <v>44228</v>
      </c>
      <c r="E7611" t="s">
        <v>10</v>
      </c>
      <c r="F7611">
        <v>159.80000000000001</v>
      </c>
      <c r="G7611" t="str">
        <f>VLOOKUP(Table1_2[[#This Row],[Categories]],Sheet3!$A$1:$B$27,2,FALSE)</f>
        <v>Food &amp;Beverage</v>
      </c>
    </row>
    <row r="7612" spans="1:7" x14ac:dyDescent="0.3">
      <c r="A7612" t="s">
        <v>33</v>
      </c>
      <c r="B7612">
        <v>2021</v>
      </c>
      <c r="C7612" t="s">
        <v>35</v>
      </c>
      <c r="D7612" s="2">
        <v>44228</v>
      </c>
      <c r="E7612" t="s">
        <v>11</v>
      </c>
      <c r="F7612">
        <v>114.9</v>
      </c>
      <c r="G7612" t="str">
        <f>VLOOKUP(Table1_2[[#This Row],[Categories]],Sheet3!$A$1:$B$27,2,FALSE)</f>
        <v>Food &amp;Beverage</v>
      </c>
    </row>
    <row r="7613" spans="1:7" x14ac:dyDescent="0.3">
      <c r="A7613" t="s">
        <v>33</v>
      </c>
      <c r="B7613">
        <v>2021</v>
      </c>
      <c r="C7613" t="s">
        <v>35</v>
      </c>
      <c r="D7613" s="2">
        <v>44228</v>
      </c>
      <c r="E7613" t="s">
        <v>12</v>
      </c>
      <c r="F7613">
        <v>162.5</v>
      </c>
      <c r="G7613" t="str">
        <f>VLOOKUP(Table1_2[[#This Row],[Categories]],Sheet3!$A$1:$B$27,2,FALSE)</f>
        <v>Food &amp;Beverage</v>
      </c>
    </row>
    <row r="7614" spans="1:7" x14ac:dyDescent="0.3">
      <c r="A7614" t="s">
        <v>33</v>
      </c>
      <c r="B7614">
        <v>2021</v>
      </c>
      <c r="C7614" t="s">
        <v>35</v>
      </c>
      <c r="D7614" s="2">
        <v>44228</v>
      </c>
      <c r="E7614" t="s">
        <v>13</v>
      </c>
      <c r="F7614">
        <v>149.19999999999999</v>
      </c>
      <c r="G7614" t="str">
        <f>VLOOKUP(Table1_2[[#This Row],[Categories]],Sheet3!$A$1:$B$27,2,FALSE)</f>
        <v>Food &amp;Beverage</v>
      </c>
    </row>
    <row r="7615" spans="1:7" x14ac:dyDescent="0.3">
      <c r="A7615" t="s">
        <v>33</v>
      </c>
      <c r="B7615">
        <v>2021</v>
      </c>
      <c r="C7615" t="s">
        <v>35</v>
      </c>
      <c r="D7615" s="2">
        <v>44228</v>
      </c>
      <c r="E7615" t="s">
        <v>14</v>
      </c>
      <c r="F7615">
        <v>169.4</v>
      </c>
      <c r="G7615" t="str">
        <f>VLOOKUP(Table1_2[[#This Row],[Categories]],Sheet3!$A$1:$B$27,2,FALSE)</f>
        <v>Food &amp;Beverage</v>
      </c>
    </row>
    <row r="7616" spans="1:7" x14ac:dyDescent="0.3">
      <c r="A7616" t="s">
        <v>33</v>
      </c>
      <c r="B7616">
        <v>2021</v>
      </c>
      <c r="C7616" t="s">
        <v>35</v>
      </c>
      <c r="D7616" s="2">
        <v>44228</v>
      </c>
      <c r="E7616" t="s">
        <v>15</v>
      </c>
      <c r="F7616">
        <v>160.80000000000001</v>
      </c>
      <c r="G7616" t="str">
        <f>VLOOKUP(Table1_2[[#This Row],[Categories]],Sheet3!$A$1:$B$27,2,FALSE)</f>
        <v>Food &amp;Beverage</v>
      </c>
    </row>
    <row r="7617" spans="1:7" x14ac:dyDescent="0.3">
      <c r="A7617" t="s">
        <v>33</v>
      </c>
      <c r="B7617">
        <v>2021</v>
      </c>
      <c r="C7617" t="s">
        <v>35</v>
      </c>
      <c r="D7617" s="2">
        <v>44228</v>
      </c>
      <c r="E7617" t="s">
        <v>16</v>
      </c>
      <c r="F7617">
        <v>193.3</v>
      </c>
      <c r="G7617" t="str">
        <f>VLOOKUP(Table1_2[[#This Row],[Categories]],Sheet3!$A$1:$B$27,2,FALSE)</f>
        <v>Recreation and amusement</v>
      </c>
    </row>
    <row r="7618" spans="1:7" x14ac:dyDescent="0.3">
      <c r="A7618" t="s">
        <v>33</v>
      </c>
      <c r="B7618">
        <v>2021</v>
      </c>
      <c r="C7618" t="s">
        <v>35</v>
      </c>
      <c r="D7618" s="2">
        <v>44228</v>
      </c>
      <c r="E7618" t="s">
        <v>17</v>
      </c>
      <c r="F7618">
        <v>154.19999999999999</v>
      </c>
      <c r="G7618" t="str">
        <f>VLOOKUP(Table1_2[[#This Row],[Categories]],Sheet3!$A$1:$B$27,2,FALSE)</f>
        <v>Clothing and footwear</v>
      </c>
    </row>
    <row r="7619" spans="1:7" x14ac:dyDescent="0.3">
      <c r="A7619" t="s">
        <v>33</v>
      </c>
      <c r="B7619">
        <v>2021</v>
      </c>
      <c r="C7619" t="s">
        <v>35</v>
      </c>
      <c r="D7619" s="2">
        <v>44228</v>
      </c>
      <c r="E7619" t="s">
        <v>18</v>
      </c>
      <c r="F7619">
        <v>138.19999999999999</v>
      </c>
      <c r="G7619" t="str">
        <f>VLOOKUP(Table1_2[[#This Row],[Categories]],Sheet3!$A$1:$B$27,2,FALSE)</f>
        <v>Clothing and footwear</v>
      </c>
    </row>
    <row r="7620" spans="1:7" x14ac:dyDescent="0.3">
      <c r="A7620" t="s">
        <v>33</v>
      </c>
      <c r="B7620">
        <v>2021</v>
      </c>
      <c r="C7620" t="s">
        <v>35</v>
      </c>
      <c r="D7620" s="2">
        <v>44228</v>
      </c>
      <c r="E7620" t="s">
        <v>19</v>
      </c>
      <c r="F7620">
        <v>151.80000000000001</v>
      </c>
      <c r="G7620" t="str">
        <f>VLOOKUP(Table1_2[[#This Row],[Categories]],Sheet3!$A$1:$B$27,2,FALSE)</f>
        <v>Clothing and footwear</v>
      </c>
    </row>
    <row r="7621" spans="1:7" x14ac:dyDescent="0.3">
      <c r="A7621" t="s">
        <v>33</v>
      </c>
      <c r="B7621">
        <v>2021</v>
      </c>
      <c r="C7621" t="s">
        <v>35</v>
      </c>
      <c r="D7621" s="2">
        <v>44228</v>
      </c>
      <c r="E7621" t="s">
        <v>20</v>
      </c>
      <c r="F7621">
        <v>159.80000000000001</v>
      </c>
      <c r="G7621" t="str">
        <f>VLOOKUP(Table1_2[[#This Row],[Categories]],Sheet3!$A$1:$B$27,2,FALSE)</f>
        <v>Housing</v>
      </c>
    </row>
    <row r="7622" spans="1:7" x14ac:dyDescent="0.3">
      <c r="A7622" t="s">
        <v>33</v>
      </c>
      <c r="B7622">
        <v>2021</v>
      </c>
      <c r="C7622" t="s">
        <v>35</v>
      </c>
      <c r="D7622" s="2">
        <v>44228</v>
      </c>
      <c r="E7622" t="s">
        <v>21</v>
      </c>
      <c r="F7622">
        <v>149.1</v>
      </c>
      <c r="G7622" t="str">
        <f>VLOOKUP(Table1_2[[#This Row],[Categories]],Sheet3!$A$1:$B$27,2,FALSE)</f>
        <v>Fuel and light</v>
      </c>
    </row>
    <row r="7623" spans="1:7" x14ac:dyDescent="0.3">
      <c r="A7623" t="s">
        <v>33</v>
      </c>
      <c r="B7623">
        <v>2021</v>
      </c>
      <c r="C7623" t="s">
        <v>35</v>
      </c>
      <c r="D7623" s="2">
        <v>44228</v>
      </c>
      <c r="E7623" t="s">
        <v>22</v>
      </c>
      <c r="F7623">
        <v>146.5</v>
      </c>
      <c r="G7623" t="str">
        <f>VLOOKUP(Table1_2[[#This Row],[Categories]],Sheet3!$A$1:$B$27,2,FALSE)</f>
        <v>Household Items</v>
      </c>
    </row>
    <row r="7624" spans="1:7" x14ac:dyDescent="0.3">
      <c r="A7624" t="s">
        <v>33</v>
      </c>
      <c r="B7624">
        <v>2021</v>
      </c>
      <c r="C7624" t="s">
        <v>35</v>
      </c>
      <c r="D7624" s="2">
        <v>44228</v>
      </c>
      <c r="E7624" t="s">
        <v>23</v>
      </c>
      <c r="F7624">
        <v>156.30000000000001</v>
      </c>
      <c r="G7624" t="str">
        <f>VLOOKUP(Table1_2[[#This Row],[Categories]],Sheet3!$A$1:$B$27,2,FALSE)</f>
        <v>Health</v>
      </c>
    </row>
    <row r="7625" spans="1:7" x14ac:dyDescent="0.3">
      <c r="A7625" t="s">
        <v>33</v>
      </c>
      <c r="B7625">
        <v>2021</v>
      </c>
      <c r="C7625" t="s">
        <v>35</v>
      </c>
      <c r="D7625" s="2">
        <v>44228</v>
      </c>
      <c r="E7625" t="s">
        <v>24</v>
      </c>
      <c r="F7625">
        <v>140.5</v>
      </c>
      <c r="G7625" t="str">
        <f>VLOOKUP(Table1_2[[#This Row],[Categories]],Sheet3!$A$1:$B$27,2,FALSE)</f>
        <v>Transport and communication</v>
      </c>
    </row>
    <row r="7626" spans="1:7" x14ac:dyDescent="0.3">
      <c r="A7626" t="s">
        <v>33</v>
      </c>
      <c r="B7626">
        <v>2021</v>
      </c>
      <c r="C7626" t="s">
        <v>35</v>
      </c>
      <c r="D7626" s="2">
        <v>44228</v>
      </c>
      <c r="E7626" t="s">
        <v>25</v>
      </c>
      <c r="F7626">
        <v>147.30000000000001</v>
      </c>
      <c r="G7626" t="str">
        <f>VLOOKUP(Table1_2[[#This Row],[Categories]],Sheet3!$A$1:$B$27,2,FALSE)</f>
        <v>Recreation and amusement</v>
      </c>
    </row>
    <row r="7627" spans="1:7" x14ac:dyDescent="0.3">
      <c r="A7627" t="s">
        <v>33</v>
      </c>
      <c r="B7627">
        <v>2021</v>
      </c>
      <c r="C7627" t="s">
        <v>35</v>
      </c>
      <c r="D7627" s="2">
        <v>44228</v>
      </c>
      <c r="E7627" t="s">
        <v>26</v>
      </c>
      <c r="F7627">
        <v>156.6</v>
      </c>
      <c r="G7627" t="str">
        <f>VLOOKUP(Table1_2[[#This Row],[Categories]],Sheet3!$A$1:$B$27,2,FALSE)</f>
        <v>Education</v>
      </c>
    </row>
    <row r="7628" spans="1:7" x14ac:dyDescent="0.3">
      <c r="A7628" t="s">
        <v>33</v>
      </c>
      <c r="B7628">
        <v>2021</v>
      </c>
      <c r="C7628" t="s">
        <v>35</v>
      </c>
      <c r="D7628" s="2">
        <v>44228</v>
      </c>
      <c r="E7628" t="s">
        <v>27</v>
      </c>
      <c r="F7628">
        <v>156.69999999999999</v>
      </c>
      <c r="G7628" t="str">
        <f>VLOOKUP(Table1_2[[#This Row],[Categories]],Sheet3!$A$1:$B$27,2,FALSE)</f>
        <v>Household Items</v>
      </c>
    </row>
    <row r="7629" spans="1:7" x14ac:dyDescent="0.3">
      <c r="A7629" t="s">
        <v>33</v>
      </c>
      <c r="B7629">
        <v>2021</v>
      </c>
      <c r="C7629" t="s">
        <v>35</v>
      </c>
      <c r="D7629" s="2">
        <v>44228</v>
      </c>
      <c r="E7629" t="s">
        <v>28</v>
      </c>
      <c r="F7629">
        <v>149.30000000000001</v>
      </c>
      <c r="G7629" t="str">
        <f>VLOOKUP(Table1_2[[#This Row],[Categories]],Sheet3!$A$1:$B$27,2,FALSE)</f>
        <v>Miscellaneous</v>
      </c>
    </row>
    <row r="7630" spans="1:7" x14ac:dyDescent="0.3">
      <c r="A7630" t="s">
        <v>33</v>
      </c>
      <c r="B7630">
        <v>2021</v>
      </c>
      <c r="C7630" t="s">
        <v>35</v>
      </c>
      <c r="D7630" s="2">
        <v>44228</v>
      </c>
      <c r="E7630" t="s">
        <v>29</v>
      </c>
      <c r="F7630">
        <v>156.5</v>
      </c>
      <c r="G7630" t="str">
        <f>VLOOKUP(Table1_2[[#This Row],[Categories]],Sheet3!$A$1:$B$27,2,FALSE)</f>
        <v>General index</v>
      </c>
    </row>
    <row r="7631" spans="1:7" x14ac:dyDescent="0.3">
      <c r="A7631" t="s">
        <v>34</v>
      </c>
      <c r="B7631">
        <v>2021</v>
      </c>
      <c r="C7631" t="s">
        <v>35</v>
      </c>
      <c r="D7631" s="2">
        <v>44228</v>
      </c>
      <c r="E7631" t="s">
        <v>3</v>
      </c>
      <c r="F7631">
        <v>144.30000000000001</v>
      </c>
      <c r="G7631" t="str">
        <f>VLOOKUP(Table1_2[[#This Row],[Categories]],Sheet3!$A$1:$B$27,2,FALSE)</f>
        <v>Food &amp;Beverage</v>
      </c>
    </row>
    <row r="7632" spans="1:7" x14ac:dyDescent="0.3">
      <c r="A7632" t="s">
        <v>34</v>
      </c>
      <c r="B7632">
        <v>2021</v>
      </c>
      <c r="C7632" t="s">
        <v>35</v>
      </c>
      <c r="D7632" s="2">
        <v>44228</v>
      </c>
      <c r="E7632" t="s">
        <v>4</v>
      </c>
      <c r="F7632">
        <v>186.5</v>
      </c>
      <c r="G7632" t="str">
        <f>VLOOKUP(Table1_2[[#This Row],[Categories]],Sheet3!$A$1:$B$27,2,FALSE)</f>
        <v>Food &amp;Beverage</v>
      </c>
    </row>
    <row r="7633" spans="1:7" x14ac:dyDescent="0.3">
      <c r="A7633" t="s">
        <v>34</v>
      </c>
      <c r="B7633">
        <v>2021</v>
      </c>
      <c r="C7633" t="s">
        <v>35</v>
      </c>
      <c r="D7633" s="2">
        <v>44228</v>
      </c>
      <c r="E7633" t="s">
        <v>5</v>
      </c>
      <c r="F7633">
        <v>168.7</v>
      </c>
      <c r="G7633" t="str">
        <f>VLOOKUP(Table1_2[[#This Row],[Categories]],Sheet3!$A$1:$B$27,2,FALSE)</f>
        <v>Food &amp;Beverage</v>
      </c>
    </row>
    <row r="7634" spans="1:7" x14ac:dyDescent="0.3">
      <c r="A7634" t="s">
        <v>34</v>
      </c>
      <c r="B7634">
        <v>2021</v>
      </c>
      <c r="C7634" t="s">
        <v>35</v>
      </c>
      <c r="D7634" s="2">
        <v>44228</v>
      </c>
      <c r="E7634" t="s">
        <v>6</v>
      </c>
      <c r="F7634">
        <v>154.69999999999999</v>
      </c>
      <c r="G7634" t="str">
        <f>VLOOKUP(Table1_2[[#This Row],[Categories]],Sheet3!$A$1:$B$27,2,FALSE)</f>
        <v>Food &amp;Beverage</v>
      </c>
    </row>
    <row r="7635" spans="1:7" x14ac:dyDescent="0.3">
      <c r="A7635" t="s">
        <v>34</v>
      </c>
      <c r="B7635">
        <v>2021</v>
      </c>
      <c r="C7635" t="s">
        <v>35</v>
      </c>
      <c r="D7635" s="2">
        <v>44228</v>
      </c>
      <c r="E7635" t="s">
        <v>7</v>
      </c>
      <c r="F7635">
        <v>158.69999999999999</v>
      </c>
      <c r="G7635" t="str">
        <f>VLOOKUP(Table1_2[[#This Row],[Categories]],Sheet3!$A$1:$B$27,2,FALSE)</f>
        <v>Food &amp;Beverage</v>
      </c>
    </row>
    <row r="7636" spans="1:7" x14ac:dyDescent="0.3">
      <c r="A7636" t="s">
        <v>34</v>
      </c>
      <c r="B7636">
        <v>2021</v>
      </c>
      <c r="C7636" t="s">
        <v>35</v>
      </c>
      <c r="D7636" s="2">
        <v>44228</v>
      </c>
      <c r="E7636" t="s">
        <v>8</v>
      </c>
      <c r="F7636">
        <v>150.69999999999999</v>
      </c>
      <c r="G7636" t="str">
        <f>VLOOKUP(Table1_2[[#This Row],[Categories]],Sheet3!$A$1:$B$27,2,FALSE)</f>
        <v>Food &amp;Beverage</v>
      </c>
    </row>
    <row r="7637" spans="1:7" x14ac:dyDescent="0.3">
      <c r="A7637" t="s">
        <v>34</v>
      </c>
      <c r="B7637">
        <v>2021</v>
      </c>
      <c r="C7637" t="s">
        <v>35</v>
      </c>
      <c r="D7637" s="2">
        <v>44228</v>
      </c>
      <c r="E7637" t="s">
        <v>9</v>
      </c>
      <c r="F7637">
        <v>160</v>
      </c>
      <c r="G7637" t="str">
        <f>VLOOKUP(Table1_2[[#This Row],[Categories]],Sheet3!$A$1:$B$27,2,FALSE)</f>
        <v>Food &amp;Beverage</v>
      </c>
    </row>
    <row r="7638" spans="1:7" x14ac:dyDescent="0.3">
      <c r="A7638" t="s">
        <v>34</v>
      </c>
      <c r="B7638">
        <v>2021</v>
      </c>
      <c r="C7638" t="s">
        <v>35</v>
      </c>
      <c r="D7638" s="2">
        <v>44228</v>
      </c>
      <c r="E7638" t="s">
        <v>10</v>
      </c>
      <c r="F7638">
        <v>158.80000000000001</v>
      </c>
      <c r="G7638" t="str">
        <f>VLOOKUP(Table1_2[[#This Row],[Categories]],Sheet3!$A$1:$B$27,2,FALSE)</f>
        <v>Food &amp;Beverage</v>
      </c>
    </row>
    <row r="7639" spans="1:7" x14ac:dyDescent="0.3">
      <c r="A7639" t="s">
        <v>34</v>
      </c>
      <c r="B7639">
        <v>2021</v>
      </c>
      <c r="C7639" t="s">
        <v>35</v>
      </c>
      <c r="D7639" s="2">
        <v>44228</v>
      </c>
      <c r="E7639" t="s">
        <v>11</v>
      </c>
      <c r="F7639">
        <v>112.8</v>
      </c>
      <c r="G7639" t="str">
        <f>VLOOKUP(Table1_2[[#This Row],[Categories]],Sheet3!$A$1:$B$27,2,FALSE)</f>
        <v>Food &amp;Beverage</v>
      </c>
    </row>
    <row r="7640" spans="1:7" x14ac:dyDescent="0.3">
      <c r="A7640" t="s">
        <v>34</v>
      </c>
      <c r="B7640">
        <v>2021</v>
      </c>
      <c r="C7640" t="s">
        <v>35</v>
      </c>
      <c r="D7640" s="2">
        <v>44228</v>
      </c>
      <c r="E7640" t="s">
        <v>12</v>
      </c>
      <c r="F7640">
        <v>164.2</v>
      </c>
      <c r="G7640" t="str">
        <f>VLOOKUP(Table1_2[[#This Row],[Categories]],Sheet3!$A$1:$B$27,2,FALSE)</f>
        <v>Food &amp;Beverage</v>
      </c>
    </row>
    <row r="7641" spans="1:7" x14ac:dyDescent="0.3">
      <c r="A7641" t="s">
        <v>34</v>
      </c>
      <c r="B7641">
        <v>2021</v>
      </c>
      <c r="C7641" t="s">
        <v>35</v>
      </c>
      <c r="D7641" s="2">
        <v>44228</v>
      </c>
      <c r="E7641" t="s">
        <v>13</v>
      </c>
      <c r="F7641">
        <v>155.5</v>
      </c>
      <c r="G7641" t="str">
        <f>VLOOKUP(Table1_2[[#This Row],[Categories]],Sheet3!$A$1:$B$27,2,FALSE)</f>
        <v>Food &amp;Beverage</v>
      </c>
    </row>
    <row r="7642" spans="1:7" x14ac:dyDescent="0.3">
      <c r="A7642" t="s">
        <v>34</v>
      </c>
      <c r="B7642">
        <v>2021</v>
      </c>
      <c r="C7642" t="s">
        <v>35</v>
      </c>
      <c r="D7642" s="2">
        <v>44228</v>
      </c>
      <c r="E7642" t="s">
        <v>14</v>
      </c>
      <c r="F7642">
        <v>167.5</v>
      </c>
      <c r="G7642" t="str">
        <f>VLOOKUP(Table1_2[[#This Row],[Categories]],Sheet3!$A$1:$B$27,2,FALSE)</f>
        <v>Food &amp;Beverage</v>
      </c>
    </row>
    <row r="7643" spans="1:7" x14ac:dyDescent="0.3">
      <c r="A7643" t="s">
        <v>34</v>
      </c>
      <c r="B7643">
        <v>2021</v>
      </c>
      <c r="C7643" t="s">
        <v>35</v>
      </c>
      <c r="D7643" s="2">
        <v>44228</v>
      </c>
      <c r="E7643" t="s">
        <v>15</v>
      </c>
      <c r="F7643">
        <v>156.9</v>
      </c>
      <c r="G7643" t="str">
        <f>VLOOKUP(Table1_2[[#This Row],[Categories]],Sheet3!$A$1:$B$27,2,FALSE)</f>
        <v>Food &amp;Beverage</v>
      </c>
    </row>
    <row r="7644" spans="1:7" x14ac:dyDescent="0.3">
      <c r="A7644" t="s">
        <v>34</v>
      </c>
      <c r="B7644">
        <v>2021</v>
      </c>
      <c r="C7644" t="s">
        <v>35</v>
      </c>
      <c r="D7644" s="2">
        <v>44228</v>
      </c>
      <c r="E7644" t="s">
        <v>16</v>
      </c>
      <c r="F7644">
        <v>188.3</v>
      </c>
      <c r="G7644" t="str">
        <f>VLOOKUP(Table1_2[[#This Row],[Categories]],Sheet3!$A$1:$B$27,2,FALSE)</f>
        <v>Recreation and amusement</v>
      </c>
    </row>
    <row r="7645" spans="1:7" x14ac:dyDescent="0.3">
      <c r="A7645" t="s">
        <v>34</v>
      </c>
      <c r="B7645">
        <v>2021</v>
      </c>
      <c r="C7645" t="s">
        <v>35</v>
      </c>
      <c r="D7645" s="2">
        <v>44228</v>
      </c>
      <c r="E7645" t="s">
        <v>17</v>
      </c>
      <c r="F7645">
        <v>157.19999999999999</v>
      </c>
      <c r="G7645" t="str">
        <f>VLOOKUP(Table1_2[[#This Row],[Categories]],Sheet3!$A$1:$B$27,2,FALSE)</f>
        <v>Clothing and footwear</v>
      </c>
    </row>
    <row r="7646" spans="1:7" x14ac:dyDescent="0.3">
      <c r="A7646" t="s">
        <v>34</v>
      </c>
      <c r="B7646">
        <v>2021</v>
      </c>
      <c r="C7646" t="s">
        <v>35</v>
      </c>
      <c r="D7646" s="2">
        <v>44228</v>
      </c>
      <c r="E7646" t="s">
        <v>18</v>
      </c>
      <c r="F7646">
        <v>147.4</v>
      </c>
      <c r="G7646" t="str">
        <f>VLOOKUP(Table1_2[[#This Row],[Categories]],Sheet3!$A$1:$B$27,2,FALSE)</f>
        <v>Clothing and footwear</v>
      </c>
    </row>
    <row r="7647" spans="1:7" x14ac:dyDescent="0.3">
      <c r="A7647" t="s">
        <v>34</v>
      </c>
      <c r="B7647">
        <v>2021</v>
      </c>
      <c r="C7647" t="s">
        <v>35</v>
      </c>
      <c r="D7647" s="2">
        <v>44228</v>
      </c>
      <c r="E7647" t="s">
        <v>19</v>
      </c>
      <c r="F7647">
        <v>155.80000000000001</v>
      </c>
      <c r="G7647" t="str">
        <f>VLOOKUP(Table1_2[[#This Row],[Categories]],Sheet3!$A$1:$B$27,2,FALSE)</f>
        <v>Clothing and footwear</v>
      </c>
    </row>
    <row r="7648" spans="1:7" x14ac:dyDescent="0.3">
      <c r="A7648" t="s">
        <v>34</v>
      </c>
      <c r="B7648">
        <v>2021</v>
      </c>
      <c r="C7648" t="s">
        <v>35</v>
      </c>
      <c r="D7648" s="2">
        <v>44228</v>
      </c>
      <c r="E7648" t="s">
        <v>20</v>
      </c>
      <c r="F7648">
        <v>159.80000000000001</v>
      </c>
      <c r="G7648" t="str">
        <f>VLOOKUP(Table1_2[[#This Row],[Categories]],Sheet3!$A$1:$B$27,2,FALSE)</f>
        <v>Housing</v>
      </c>
    </row>
    <row r="7649" spans="1:7" x14ac:dyDescent="0.3">
      <c r="A7649" t="s">
        <v>34</v>
      </c>
      <c r="B7649">
        <v>2021</v>
      </c>
      <c r="C7649" t="s">
        <v>35</v>
      </c>
      <c r="D7649" s="2">
        <v>44228</v>
      </c>
      <c r="E7649" t="s">
        <v>21</v>
      </c>
      <c r="F7649">
        <v>152.4</v>
      </c>
      <c r="G7649" t="str">
        <f>VLOOKUP(Table1_2[[#This Row],[Categories]],Sheet3!$A$1:$B$27,2,FALSE)</f>
        <v>Fuel and light</v>
      </c>
    </row>
    <row r="7650" spans="1:7" x14ac:dyDescent="0.3">
      <c r="A7650" t="s">
        <v>34</v>
      </c>
      <c r="B7650">
        <v>2021</v>
      </c>
      <c r="C7650" t="s">
        <v>35</v>
      </c>
      <c r="D7650" s="2">
        <v>44228</v>
      </c>
      <c r="E7650" t="s">
        <v>22</v>
      </c>
      <c r="F7650">
        <v>150.9</v>
      </c>
      <c r="G7650" t="str">
        <f>VLOOKUP(Table1_2[[#This Row],[Categories]],Sheet3!$A$1:$B$27,2,FALSE)</f>
        <v>Household Items</v>
      </c>
    </row>
    <row r="7651" spans="1:7" x14ac:dyDescent="0.3">
      <c r="A7651" t="s">
        <v>34</v>
      </c>
      <c r="B7651">
        <v>2021</v>
      </c>
      <c r="C7651" t="s">
        <v>35</v>
      </c>
      <c r="D7651" s="2">
        <v>44228</v>
      </c>
      <c r="E7651" t="s">
        <v>23</v>
      </c>
      <c r="F7651">
        <v>161.30000000000001</v>
      </c>
      <c r="G7651" t="str">
        <f>VLOOKUP(Table1_2[[#This Row],[Categories]],Sheet3!$A$1:$B$27,2,FALSE)</f>
        <v>Health</v>
      </c>
    </row>
    <row r="7652" spans="1:7" x14ac:dyDescent="0.3">
      <c r="A7652" t="s">
        <v>34</v>
      </c>
      <c r="B7652">
        <v>2021</v>
      </c>
      <c r="C7652" t="s">
        <v>35</v>
      </c>
      <c r="D7652" s="2">
        <v>44228</v>
      </c>
      <c r="E7652" t="s">
        <v>24</v>
      </c>
      <c r="F7652">
        <v>145.1</v>
      </c>
      <c r="G7652" t="str">
        <f>VLOOKUP(Table1_2[[#This Row],[Categories]],Sheet3!$A$1:$B$27,2,FALSE)</f>
        <v>Transport and communication</v>
      </c>
    </row>
    <row r="7653" spans="1:7" x14ac:dyDescent="0.3">
      <c r="A7653" t="s">
        <v>34</v>
      </c>
      <c r="B7653">
        <v>2021</v>
      </c>
      <c r="C7653" t="s">
        <v>35</v>
      </c>
      <c r="D7653" s="2">
        <v>44228</v>
      </c>
      <c r="E7653" t="s">
        <v>25</v>
      </c>
      <c r="F7653">
        <v>151.5</v>
      </c>
      <c r="G7653" t="str">
        <f>VLOOKUP(Table1_2[[#This Row],[Categories]],Sheet3!$A$1:$B$27,2,FALSE)</f>
        <v>Recreation and amusement</v>
      </c>
    </row>
    <row r="7654" spans="1:7" x14ac:dyDescent="0.3">
      <c r="A7654" t="s">
        <v>34</v>
      </c>
      <c r="B7654">
        <v>2021</v>
      </c>
      <c r="C7654" t="s">
        <v>35</v>
      </c>
      <c r="D7654" s="2">
        <v>44228</v>
      </c>
      <c r="E7654" t="s">
        <v>26</v>
      </c>
      <c r="F7654">
        <v>159.5</v>
      </c>
      <c r="G7654" t="str">
        <f>VLOOKUP(Table1_2[[#This Row],[Categories]],Sheet3!$A$1:$B$27,2,FALSE)</f>
        <v>Education</v>
      </c>
    </row>
    <row r="7655" spans="1:7" x14ac:dyDescent="0.3">
      <c r="A7655" t="s">
        <v>34</v>
      </c>
      <c r="B7655">
        <v>2021</v>
      </c>
      <c r="C7655" t="s">
        <v>35</v>
      </c>
      <c r="D7655" s="2">
        <v>44228</v>
      </c>
      <c r="E7655" t="s">
        <v>27</v>
      </c>
      <c r="F7655">
        <v>155.80000000000001</v>
      </c>
      <c r="G7655" t="str">
        <f>VLOOKUP(Table1_2[[#This Row],[Categories]],Sheet3!$A$1:$B$27,2,FALSE)</f>
        <v>Household Items</v>
      </c>
    </row>
    <row r="7656" spans="1:7" x14ac:dyDescent="0.3">
      <c r="A7656" t="s">
        <v>34</v>
      </c>
      <c r="B7656">
        <v>2021</v>
      </c>
      <c r="C7656" t="s">
        <v>35</v>
      </c>
      <c r="D7656" s="2">
        <v>44228</v>
      </c>
      <c r="E7656" t="s">
        <v>28</v>
      </c>
      <c r="F7656">
        <v>153.4</v>
      </c>
      <c r="G7656" t="str">
        <f>VLOOKUP(Table1_2[[#This Row],[Categories]],Sheet3!$A$1:$B$27,2,FALSE)</f>
        <v>Miscellaneous</v>
      </c>
    </row>
    <row r="7657" spans="1:7" x14ac:dyDescent="0.3">
      <c r="A7657" t="s">
        <v>34</v>
      </c>
      <c r="B7657">
        <v>2021</v>
      </c>
      <c r="C7657" t="s">
        <v>35</v>
      </c>
      <c r="D7657" s="2">
        <v>44228</v>
      </c>
      <c r="E7657" t="s">
        <v>29</v>
      </c>
      <c r="F7657">
        <v>156.6</v>
      </c>
      <c r="G7657" t="str">
        <f>VLOOKUP(Table1_2[[#This Row],[Categories]],Sheet3!$A$1:$B$27,2,FALSE)</f>
        <v>General index</v>
      </c>
    </row>
    <row r="7658" spans="1:7" x14ac:dyDescent="0.3">
      <c r="A7658" t="s">
        <v>30</v>
      </c>
      <c r="B7658">
        <v>2021</v>
      </c>
      <c r="C7658" t="s">
        <v>36</v>
      </c>
      <c r="D7658" s="2">
        <v>44256</v>
      </c>
      <c r="E7658" t="s">
        <v>3</v>
      </c>
      <c r="F7658">
        <v>142.5</v>
      </c>
      <c r="G7658" t="str">
        <f>VLOOKUP(Table1_2[[#This Row],[Categories]],Sheet3!$A$1:$B$27,2,FALSE)</f>
        <v>Food &amp;Beverage</v>
      </c>
    </row>
    <row r="7659" spans="1:7" x14ac:dyDescent="0.3">
      <c r="A7659" t="s">
        <v>30</v>
      </c>
      <c r="B7659">
        <v>2021</v>
      </c>
      <c r="C7659" t="s">
        <v>36</v>
      </c>
      <c r="D7659" s="2">
        <v>44256</v>
      </c>
      <c r="E7659" t="s">
        <v>4</v>
      </c>
      <c r="F7659">
        <v>189.4</v>
      </c>
      <c r="G7659" t="str">
        <f>VLOOKUP(Table1_2[[#This Row],[Categories]],Sheet3!$A$1:$B$27,2,FALSE)</f>
        <v>Food &amp;Beverage</v>
      </c>
    </row>
    <row r="7660" spans="1:7" x14ac:dyDescent="0.3">
      <c r="A7660" t="s">
        <v>30</v>
      </c>
      <c r="B7660">
        <v>2021</v>
      </c>
      <c r="C7660" t="s">
        <v>36</v>
      </c>
      <c r="D7660" s="2">
        <v>44256</v>
      </c>
      <c r="E7660" t="s">
        <v>5</v>
      </c>
      <c r="F7660">
        <v>163.19999999999999</v>
      </c>
      <c r="G7660" t="str">
        <f>VLOOKUP(Table1_2[[#This Row],[Categories]],Sheet3!$A$1:$B$27,2,FALSE)</f>
        <v>Food &amp;Beverage</v>
      </c>
    </row>
    <row r="7661" spans="1:7" x14ac:dyDescent="0.3">
      <c r="A7661" t="s">
        <v>30</v>
      </c>
      <c r="B7661">
        <v>2021</v>
      </c>
      <c r="C7661" t="s">
        <v>36</v>
      </c>
      <c r="D7661" s="2">
        <v>44256</v>
      </c>
      <c r="E7661" t="s">
        <v>6</v>
      </c>
      <c r="F7661">
        <v>154.5</v>
      </c>
      <c r="G7661" t="str">
        <f>VLOOKUP(Table1_2[[#This Row],[Categories]],Sheet3!$A$1:$B$27,2,FALSE)</f>
        <v>Food &amp;Beverage</v>
      </c>
    </row>
    <row r="7662" spans="1:7" x14ac:dyDescent="0.3">
      <c r="A7662" t="s">
        <v>30</v>
      </c>
      <c r="B7662">
        <v>2021</v>
      </c>
      <c r="C7662" t="s">
        <v>36</v>
      </c>
      <c r="D7662" s="2">
        <v>44256</v>
      </c>
      <c r="E7662" t="s">
        <v>7</v>
      </c>
      <c r="F7662">
        <v>168.2</v>
      </c>
      <c r="G7662" t="str">
        <f>VLOOKUP(Table1_2[[#This Row],[Categories]],Sheet3!$A$1:$B$27,2,FALSE)</f>
        <v>Food &amp;Beverage</v>
      </c>
    </row>
    <row r="7663" spans="1:7" x14ac:dyDescent="0.3">
      <c r="A7663" t="s">
        <v>30</v>
      </c>
      <c r="B7663">
        <v>2021</v>
      </c>
      <c r="C7663" t="s">
        <v>36</v>
      </c>
      <c r="D7663" s="2">
        <v>44256</v>
      </c>
      <c r="E7663" t="s">
        <v>8</v>
      </c>
      <c r="F7663">
        <v>150.5</v>
      </c>
      <c r="G7663" t="str">
        <f>VLOOKUP(Table1_2[[#This Row],[Categories]],Sheet3!$A$1:$B$27,2,FALSE)</f>
        <v>Food &amp;Beverage</v>
      </c>
    </row>
    <row r="7664" spans="1:7" x14ac:dyDescent="0.3">
      <c r="A7664" t="s">
        <v>30</v>
      </c>
      <c r="B7664">
        <v>2021</v>
      </c>
      <c r="C7664" t="s">
        <v>36</v>
      </c>
      <c r="D7664" s="2">
        <v>44256</v>
      </c>
      <c r="E7664" t="s">
        <v>9</v>
      </c>
      <c r="F7664">
        <v>141</v>
      </c>
      <c r="G7664" t="str">
        <f>VLOOKUP(Table1_2[[#This Row],[Categories]],Sheet3!$A$1:$B$27,2,FALSE)</f>
        <v>Food &amp;Beverage</v>
      </c>
    </row>
    <row r="7665" spans="1:7" x14ac:dyDescent="0.3">
      <c r="A7665" t="s">
        <v>30</v>
      </c>
      <c r="B7665">
        <v>2021</v>
      </c>
      <c r="C7665" t="s">
        <v>36</v>
      </c>
      <c r="D7665" s="2">
        <v>44256</v>
      </c>
      <c r="E7665" t="s">
        <v>10</v>
      </c>
      <c r="F7665">
        <v>159.19999999999999</v>
      </c>
      <c r="G7665" t="str">
        <f>VLOOKUP(Table1_2[[#This Row],[Categories]],Sheet3!$A$1:$B$27,2,FALSE)</f>
        <v>Food &amp;Beverage</v>
      </c>
    </row>
    <row r="7666" spans="1:7" x14ac:dyDescent="0.3">
      <c r="A7666" t="s">
        <v>30</v>
      </c>
      <c r="B7666">
        <v>2021</v>
      </c>
      <c r="C7666" t="s">
        <v>36</v>
      </c>
      <c r="D7666" s="2">
        <v>44256</v>
      </c>
      <c r="E7666" t="s">
        <v>11</v>
      </c>
      <c r="F7666">
        <v>111.7</v>
      </c>
      <c r="G7666" t="str">
        <f>VLOOKUP(Table1_2[[#This Row],[Categories]],Sheet3!$A$1:$B$27,2,FALSE)</f>
        <v>Food &amp;Beverage</v>
      </c>
    </row>
    <row r="7667" spans="1:7" x14ac:dyDescent="0.3">
      <c r="A7667" t="s">
        <v>30</v>
      </c>
      <c r="B7667">
        <v>2021</v>
      </c>
      <c r="C7667" t="s">
        <v>36</v>
      </c>
      <c r="D7667" s="2">
        <v>44256</v>
      </c>
      <c r="E7667" t="s">
        <v>12</v>
      </c>
      <c r="F7667">
        <v>164</v>
      </c>
      <c r="G7667" t="str">
        <f>VLOOKUP(Table1_2[[#This Row],[Categories]],Sheet3!$A$1:$B$27,2,FALSE)</f>
        <v>Food &amp;Beverage</v>
      </c>
    </row>
    <row r="7668" spans="1:7" x14ac:dyDescent="0.3">
      <c r="A7668" t="s">
        <v>30</v>
      </c>
      <c r="B7668">
        <v>2021</v>
      </c>
      <c r="C7668" t="s">
        <v>36</v>
      </c>
      <c r="D7668" s="2">
        <v>44256</v>
      </c>
      <c r="E7668" t="s">
        <v>13</v>
      </c>
      <c r="F7668">
        <v>160.6</v>
      </c>
      <c r="G7668" t="str">
        <f>VLOOKUP(Table1_2[[#This Row],[Categories]],Sheet3!$A$1:$B$27,2,FALSE)</f>
        <v>Food &amp;Beverage</v>
      </c>
    </row>
    <row r="7669" spans="1:7" x14ac:dyDescent="0.3">
      <c r="A7669" t="s">
        <v>30</v>
      </c>
      <c r="B7669">
        <v>2021</v>
      </c>
      <c r="C7669" t="s">
        <v>36</v>
      </c>
      <c r="D7669" s="2">
        <v>44256</v>
      </c>
      <c r="E7669" t="s">
        <v>14</v>
      </c>
      <c r="F7669">
        <v>166.4</v>
      </c>
      <c r="G7669" t="str">
        <f>VLOOKUP(Table1_2[[#This Row],[Categories]],Sheet3!$A$1:$B$27,2,FALSE)</f>
        <v>Food &amp;Beverage</v>
      </c>
    </row>
    <row r="7670" spans="1:7" x14ac:dyDescent="0.3">
      <c r="A7670" t="s">
        <v>30</v>
      </c>
      <c r="B7670">
        <v>2021</v>
      </c>
      <c r="C7670" t="s">
        <v>36</v>
      </c>
      <c r="D7670" s="2">
        <v>44256</v>
      </c>
      <c r="E7670" t="s">
        <v>15</v>
      </c>
      <c r="F7670">
        <v>154.5</v>
      </c>
      <c r="G7670" t="str">
        <f>VLOOKUP(Table1_2[[#This Row],[Categories]],Sheet3!$A$1:$B$27,2,FALSE)</f>
        <v>Food &amp;Beverage</v>
      </c>
    </row>
    <row r="7671" spans="1:7" x14ac:dyDescent="0.3">
      <c r="A7671" t="s">
        <v>30</v>
      </c>
      <c r="B7671">
        <v>2021</v>
      </c>
      <c r="C7671" t="s">
        <v>36</v>
      </c>
      <c r="D7671" s="2">
        <v>44256</v>
      </c>
      <c r="E7671" t="s">
        <v>16</v>
      </c>
      <c r="F7671">
        <v>186.1</v>
      </c>
      <c r="G7671" t="str">
        <f>VLOOKUP(Table1_2[[#This Row],[Categories]],Sheet3!$A$1:$B$27,2,FALSE)</f>
        <v>Recreation and amusement</v>
      </c>
    </row>
    <row r="7672" spans="1:7" x14ac:dyDescent="0.3">
      <c r="A7672" t="s">
        <v>30</v>
      </c>
      <c r="B7672">
        <v>2021</v>
      </c>
      <c r="C7672" t="s">
        <v>36</v>
      </c>
      <c r="D7672" s="2">
        <v>44256</v>
      </c>
      <c r="E7672" t="s">
        <v>17</v>
      </c>
      <c r="F7672">
        <v>159.6</v>
      </c>
      <c r="G7672" t="str">
        <f>VLOOKUP(Table1_2[[#This Row],[Categories]],Sheet3!$A$1:$B$27,2,FALSE)</f>
        <v>Clothing and footwear</v>
      </c>
    </row>
    <row r="7673" spans="1:7" x14ac:dyDescent="0.3">
      <c r="A7673" t="s">
        <v>30</v>
      </c>
      <c r="B7673">
        <v>2021</v>
      </c>
      <c r="C7673" t="s">
        <v>36</v>
      </c>
      <c r="D7673" s="2">
        <v>44256</v>
      </c>
      <c r="E7673" t="s">
        <v>18</v>
      </c>
      <c r="F7673">
        <v>154.4</v>
      </c>
      <c r="G7673" t="str">
        <f>VLOOKUP(Table1_2[[#This Row],[Categories]],Sheet3!$A$1:$B$27,2,FALSE)</f>
        <v>Clothing and footwear</v>
      </c>
    </row>
    <row r="7674" spans="1:7" x14ac:dyDescent="0.3">
      <c r="A7674" t="s">
        <v>30</v>
      </c>
      <c r="B7674">
        <v>2021</v>
      </c>
      <c r="C7674" t="s">
        <v>36</v>
      </c>
      <c r="D7674" s="2">
        <v>44256</v>
      </c>
      <c r="E7674" t="s">
        <v>19</v>
      </c>
      <c r="F7674">
        <v>158.9</v>
      </c>
      <c r="G7674" t="str">
        <f>VLOOKUP(Table1_2[[#This Row],[Categories]],Sheet3!$A$1:$B$27,2,FALSE)</f>
        <v>Clothing and footwear</v>
      </c>
    </row>
    <row r="7675" spans="1:7" x14ac:dyDescent="0.3">
      <c r="A7675" t="s">
        <v>30</v>
      </c>
      <c r="B7675">
        <v>2021</v>
      </c>
      <c r="C7675" t="s">
        <v>36</v>
      </c>
      <c r="D7675" s="2">
        <v>44256</v>
      </c>
      <c r="E7675" t="s">
        <v>21</v>
      </c>
      <c r="F7675">
        <v>156</v>
      </c>
      <c r="G7675" t="str">
        <f>VLOOKUP(Table1_2[[#This Row],[Categories]],Sheet3!$A$1:$B$27,2,FALSE)</f>
        <v>Fuel and light</v>
      </c>
    </row>
    <row r="7676" spans="1:7" x14ac:dyDescent="0.3">
      <c r="A7676" t="s">
        <v>30</v>
      </c>
      <c r="B7676">
        <v>2021</v>
      </c>
      <c r="C7676" t="s">
        <v>36</v>
      </c>
      <c r="D7676" s="2">
        <v>44256</v>
      </c>
      <c r="E7676" t="s">
        <v>22</v>
      </c>
      <c r="F7676">
        <v>154.80000000000001</v>
      </c>
      <c r="G7676" t="str">
        <f>VLOOKUP(Table1_2[[#This Row],[Categories]],Sheet3!$A$1:$B$27,2,FALSE)</f>
        <v>Household Items</v>
      </c>
    </row>
    <row r="7677" spans="1:7" x14ac:dyDescent="0.3">
      <c r="A7677" t="s">
        <v>30</v>
      </c>
      <c r="B7677">
        <v>2021</v>
      </c>
      <c r="C7677" t="s">
        <v>36</v>
      </c>
      <c r="D7677" s="2">
        <v>44256</v>
      </c>
      <c r="E7677" t="s">
        <v>23</v>
      </c>
      <c r="F7677">
        <v>164.6</v>
      </c>
      <c r="G7677" t="str">
        <f>VLOOKUP(Table1_2[[#This Row],[Categories]],Sheet3!$A$1:$B$27,2,FALSE)</f>
        <v>Health</v>
      </c>
    </row>
    <row r="7678" spans="1:7" x14ac:dyDescent="0.3">
      <c r="A7678" t="s">
        <v>30</v>
      </c>
      <c r="B7678">
        <v>2021</v>
      </c>
      <c r="C7678" t="s">
        <v>36</v>
      </c>
      <c r="D7678" s="2">
        <v>44256</v>
      </c>
      <c r="E7678" t="s">
        <v>24</v>
      </c>
      <c r="F7678">
        <v>151.30000000000001</v>
      </c>
      <c r="G7678" t="str">
        <f>VLOOKUP(Table1_2[[#This Row],[Categories]],Sheet3!$A$1:$B$27,2,FALSE)</f>
        <v>Transport and communication</v>
      </c>
    </row>
    <row r="7679" spans="1:7" x14ac:dyDescent="0.3">
      <c r="A7679" t="s">
        <v>30</v>
      </c>
      <c r="B7679">
        <v>2021</v>
      </c>
      <c r="C7679" t="s">
        <v>36</v>
      </c>
      <c r="D7679" s="2">
        <v>44256</v>
      </c>
      <c r="E7679" t="s">
        <v>25</v>
      </c>
      <c r="F7679">
        <v>157.80000000000001</v>
      </c>
      <c r="G7679" t="str">
        <f>VLOOKUP(Table1_2[[#This Row],[Categories]],Sheet3!$A$1:$B$27,2,FALSE)</f>
        <v>Recreation and amusement</v>
      </c>
    </row>
    <row r="7680" spans="1:7" x14ac:dyDescent="0.3">
      <c r="A7680" t="s">
        <v>30</v>
      </c>
      <c r="B7680">
        <v>2021</v>
      </c>
      <c r="C7680" t="s">
        <v>36</v>
      </c>
      <c r="D7680" s="2">
        <v>44256</v>
      </c>
      <c r="E7680" t="s">
        <v>26</v>
      </c>
      <c r="F7680">
        <v>163.80000000000001</v>
      </c>
      <c r="G7680" t="str">
        <f>VLOOKUP(Table1_2[[#This Row],[Categories]],Sheet3!$A$1:$B$27,2,FALSE)</f>
        <v>Education</v>
      </c>
    </row>
    <row r="7681" spans="1:7" x14ac:dyDescent="0.3">
      <c r="A7681" t="s">
        <v>30</v>
      </c>
      <c r="B7681">
        <v>2021</v>
      </c>
      <c r="C7681" t="s">
        <v>36</v>
      </c>
      <c r="D7681" s="2">
        <v>44256</v>
      </c>
      <c r="E7681" t="s">
        <v>27</v>
      </c>
      <c r="F7681">
        <v>153.1</v>
      </c>
      <c r="G7681" t="str">
        <f>VLOOKUP(Table1_2[[#This Row],[Categories]],Sheet3!$A$1:$B$27,2,FALSE)</f>
        <v>Household Items</v>
      </c>
    </row>
    <row r="7682" spans="1:7" x14ac:dyDescent="0.3">
      <c r="A7682" t="s">
        <v>30</v>
      </c>
      <c r="B7682">
        <v>2021</v>
      </c>
      <c r="C7682" t="s">
        <v>36</v>
      </c>
      <c r="D7682" s="2">
        <v>44256</v>
      </c>
      <c r="E7682" t="s">
        <v>28</v>
      </c>
      <c r="F7682">
        <v>157.30000000000001</v>
      </c>
      <c r="G7682" t="str">
        <f>VLOOKUP(Table1_2[[#This Row],[Categories]],Sheet3!$A$1:$B$27,2,FALSE)</f>
        <v>Miscellaneous</v>
      </c>
    </row>
    <row r="7683" spans="1:7" x14ac:dyDescent="0.3">
      <c r="A7683" t="s">
        <v>30</v>
      </c>
      <c r="B7683">
        <v>2021</v>
      </c>
      <c r="C7683" t="s">
        <v>36</v>
      </c>
      <c r="D7683" s="2">
        <v>44256</v>
      </c>
      <c r="E7683" t="s">
        <v>29</v>
      </c>
      <c r="F7683">
        <v>156.69999999999999</v>
      </c>
      <c r="G7683" t="str">
        <f>VLOOKUP(Table1_2[[#This Row],[Categories]],Sheet3!$A$1:$B$27,2,FALSE)</f>
        <v>General index</v>
      </c>
    </row>
    <row r="7684" spans="1:7" x14ac:dyDescent="0.3">
      <c r="A7684" t="s">
        <v>33</v>
      </c>
      <c r="B7684">
        <v>2021</v>
      </c>
      <c r="C7684" t="s">
        <v>36</v>
      </c>
      <c r="D7684" s="2">
        <v>44256</v>
      </c>
      <c r="E7684" t="s">
        <v>3</v>
      </c>
      <c r="F7684">
        <v>147.5</v>
      </c>
      <c r="G7684" t="str">
        <f>VLOOKUP(Table1_2[[#This Row],[Categories]],Sheet3!$A$1:$B$27,2,FALSE)</f>
        <v>Food &amp;Beverage</v>
      </c>
    </row>
    <row r="7685" spans="1:7" x14ac:dyDescent="0.3">
      <c r="A7685" t="s">
        <v>33</v>
      </c>
      <c r="B7685">
        <v>2021</v>
      </c>
      <c r="C7685" t="s">
        <v>36</v>
      </c>
      <c r="D7685" s="2">
        <v>44256</v>
      </c>
      <c r="E7685" t="s">
        <v>4</v>
      </c>
      <c r="F7685">
        <v>197.5</v>
      </c>
      <c r="G7685" t="str">
        <f>VLOOKUP(Table1_2[[#This Row],[Categories]],Sheet3!$A$1:$B$27,2,FALSE)</f>
        <v>Food &amp;Beverage</v>
      </c>
    </row>
    <row r="7686" spans="1:7" x14ac:dyDescent="0.3">
      <c r="A7686" t="s">
        <v>33</v>
      </c>
      <c r="B7686">
        <v>2021</v>
      </c>
      <c r="C7686" t="s">
        <v>36</v>
      </c>
      <c r="D7686" s="2">
        <v>44256</v>
      </c>
      <c r="E7686" t="s">
        <v>5</v>
      </c>
      <c r="F7686">
        <v>164.7</v>
      </c>
      <c r="G7686" t="str">
        <f>VLOOKUP(Table1_2[[#This Row],[Categories]],Sheet3!$A$1:$B$27,2,FALSE)</f>
        <v>Food &amp;Beverage</v>
      </c>
    </row>
    <row r="7687" spans="1:7" x14ac:dyDescent="0.3">
      <c r="A7687" t="s">
        <v>33</v>
      </c>
      <c r="B7687">
        <v>2021</v>
      </c>
      <c r="C7687" t="s">
        <v>36</v>
      </c>
      <c r="D7687" s="2">
        <v>44256</v>
      </c>
      <c r="E7687" t="s">
        <v>6</v>
      </c>
      <c r="F7687">
        <v>155.6</v>
      </c>
      <c r="G7687" t="str">
        <f>VLOOKUP(Table1_2[[#This Row],[Categories]],Sheet3!$A$1:$B$27,2,FALSE)</f>
        <v>Food &amp;Beverage</v>
      </c>
    </row>
    <row r="7688" spans="1:7" x14ac:dyDescent="0.3">
      <c r="A7688" t="s">
        <v>33</v>
      </c>
      <c r="B7688">
        <v>2021</v>
      </c>
      <c r="C7688" t="s">
        <v>36</v>
      </c>
      <c r="D7688" s="2">
        <v>44256</v>
      </c>
      <c r="E7688" t="s">
        <v>7</v>
      </c>
      <c r="F7688">
        <v>156.4</v>
      </c>
      <c r="G7688" t="str">
        <f>VLOOKUP(Table1_2[[#This Row],[Categories]],Sheet3!$A$1:$B$27,2,FALSE)</f>
        <v>Food &amp;Beverage</v>
      </c>
    </row>
    <row r="7689" spans="1:7" x14ac:dyDescent="0.3">
      <c r="A7689" t="s">
        <v>33</v>
      </c>
      <c r="B7689">
        <v>2021</v>
      </c>
      <c r="C7689" t="s">
        <v>36</v>
      </c>
      <c r="D7689" s="2">
        <v>44256</v>
      </c>
      <c r="E7689" t="s">
        <v>8</v>
      </c>
      <c r="F7689">
        <v>157.30000000000001</v>
      </c>
      <c r="G7689" t="str">
        <f>VLOOKUP(Table1_2[[#This Row],[Categories]],Sheet3!$A$1:$B$27,2,FALSE)</f>
        <v>Food &amp;Beverage</v>
      </c>
    </row>
    <row r="7690" spans="1:7" x14ac:dyDescent="0.3">
      <c r="A7690" t="s">
        <v>33</v>
      </c>
      <c r="B7690">
        <v>2021</v>
      </c>
      <c r="C7690" t="s">
        <v>36</v>
      </c>
      <c r="D7690" s="2">
        <v>44256</v>
      </c>
      <c r="E7690" t="s">
        <v>9</v>
      </c>
      <c r="F7690">
        <v>166.1</v>
      </c>
      <c r="G7690" t="str">
        <f>VLOOKUP(Table1_2[[#This Row],[Categories]],Sheet3!$A$1:$B$27,2,FALSE)</f>
        <v>Food &amp;Beverage</v>
      </c>
    </row>
    <row r="7691" spans="1:7" x14ac:dyDescent="0.3">
      <c r="A7691" t="s">
        <v>33</v>
      </c>
      <c r="B7691">
        <v>2021</v>
      </c>
      <c r="C7691" t="s">
        <v>36</v>
      </c>
      <c r="D7691" s="2">
        <v>44256</v>
      </c>
      <c r="E7691" t="s">
        <v>10</v>
      </c>
      <c r="F7691">
        <v>161.1</v>
      </c>
      <c r="G7691" t="str">
        <f>VLOOKUP(Table1_2[[#This Row],[Categories]],Sheet3!$A$1:$B$27,2,FALSE)</f>
        <v>Food &amp;Beverage</v>
      </c>
    </row>
    <row r="7692" spans="1:7" x14ac:dyDescent="0.3">
      <c r="A7692" t="s">
        <v>33</v>
      </c>
      <c r="B7692">
        <v>2021</v>
      </c>
      <c r="C7692" t="s">
        <v>36</v>
      </c>
      <c r="D7692" s="2">
        <v>44256</v>
      </c>
      <c r="E7692" t="s">
        <v>11</v>
      </c>
      <c r="F7692">
        <v>114.3</v>
      </c>
      <c r="G7692" t="str">
        <f>VLOOKUP(Table1_2[[#This Row],[Categories]],Sheet3!$A$1:$B$27,2,FALSE)</f>
        <v>Food &amp;Beverage</v>
      </c>
    </row>
    <row r="7693" spans="1:7" x14ac:dyDescent="0.3">
      <c r="A7693" t="s">
        <v>33</v>
      </c>
      <c r="B7693">
        <v>2021</v>
      </c>
      <c r="C7693" t="s">
        <v>36</v>
      </c>
      <c r="D7693" s="2">
        <v>44256</v>
      </c>
      <c r="E7693" t="s">
        <v>12</v>
      </c>
      <c r="F7693">
        <v>162.6</v>
      </c>
      <c r="G7693" t="str">
        <f>VLOOKUP(Table1_2[[#This Row],[Categories]],Sheet3!$A$1:$B$27,2,FALSE)</f>
        <v>Food &amp;Beverage</v>
      </c>
    </row>
    <row r="7694" spans="1:7" x14ac:dyDescent="0.3">
      <c r="A7694" t="s">
        <v>33</v>
      </c>
      <c r="B7694">
        <v>2021</v>
      </c>
      <c r="C7694" t="s">
        <v>36</v>
      </c>
      <c r="D7694" s="2">
        <v>44256</v>
      </c>
      <c r="E7694" t="s">
        <v>13</v>
      </c>
      <c r="F7694">
        <v>150.69999999999999</v>
      </c>
      <c r="G7694" t="str">
        <f>VLOOKUP(Table1_2[[#This Row],[Categories]],Sheet3!$A$1:$B$27,2,FALSE)</f>
        <v>Food &amp;Beverage</v>
      </c>
    </row>
    <row r="7695" spans="1:7" x14ac:dyDescent="0.3">
      <c r="A7695" t="s">
        <v>33</v>
      </c>
      <c r="B7695">
        <v>2021</v>
      </c>
      <c r="C7695" t="s">
        <v>36</v>
      </c>
      <c r="D7695" s="2">
        <v>44256</v>
      </c>
      <c r="E7695" t="s">
        <v>14</v>
      </c>
      <c r="F7695">
        <v>170.3</v>
      </c>
      <c r="G7695" t="str">
        <f>VLOOKUP(Table1_2[[#This Row],[Categories]],Sheet3!$A$1:$B$27,2,FALSE)</f>
        <v>Food &amp;Beverage</v>
      </c>
    </row>
    <row r="7696" spans="1:7" x14ac:dyDescent="0.3">
      <c r="A7696" t="s">
        <v>33</v>
      </c>
      <c r="B7696">
        <v>2021</v>
      </c>
      <c r="C7696" t="s">
        <v>36</v>
      </c>
      <c r="D7696" s="2">
        <v>44256</v>
      </c>
      <c r="E7696" t="s">
        <v>15</v>
      </c>
      <c r="F7696">
        <v>160.4</v>
      </c>
      <c r="G7696" t="str">
        <f>VLOOKUP(Table1_2[[#This Row],[Categories]],Sheet3!$A$1:$B$27,2,FALSE)</f>
        <v>Food &amp;Beverage</v>
      </c>
    </row>
    <row r="7697" spans="1:7" x14ac:dyDescent="0.3">
      <c r="A7697" t="s">
        <v>33</v>
      </c>
      <c r="B7697">
        <v>2021</v>
      </c>
      <c r="C7697" t="s">
        <v>36</v>
      </c>
      <c r="D7697" s="2">
        <v>44256</v>
      </c>
      <c r="E7697" t="s">
        <v>16</v>
      </c>
      <c r="F7697">
        <v>193.5</v>
      </c>
      <c r="G7697" t="str">
        <f>VLOOKUP(Table1_2[[#This Row],[Categories]],Sheet3!$A$1:$B$27,2,FALSE)</f>
        <v>Recreation and amusement</v>
      </c>
    </row>
    <row r="7698" spans="1:7" x14ac:dyDescent="0.3">
      <c r="A7698" t="s">
        <v>33</v>
      </c>
      <c r="B7698">
        <v>2021</v>
      </c>
      <c r="C7698" t="s">
        <v>36</v>
      </c>
      <c r="D7698" s="2">
        <v>44256</v>
      </c>
      <c r="E7698" t="s">
        <v>17</v>
      </c>
      <c r="F7698">
        <v>155.1</v>
      </c>
      <c r="G7698" t="str">
        <f>VLOOKUP(Table1_2[[#This Row],[Categories]],Sheet3!$A$1:$B$27,2,FALSE)</f>
        <v>Clothing and footwear</v>
      </c>
    </row>
    <row r="7699" spans="1:7" x14ac:dyDescent="0.3">
      <c r="A7699" t="s">
        <v>33</v>
      </c>
      <c r="B7699">
        <v>2021</v>
      </c>
      <c r="C7699" t="s">
        <v>36</v>
      </c>
      <c r="D7699" s="2">
        <v>44256</v>
      </c>
      <c r="E7699" t="s">
        <v>18</v>
      </c>
      <c r="F7699">
        <v>138.69999999999999</v>
      </c>
      <c r="G7699" t="str">
        <f>VLOOKUP(Table1_2[[#This Row],[Categories]],Sheet3!$A$1:$B$27,2,FALSE)</f>
        <v>Clothing and footwear</v>
      </c>
    </row>
    <row r="7700" spans="1:7" x14ac:dyDescent="0.3">
      <c r="A7700" t="s">
        <v>33</v>
      </c>
      <c r="B7700">
        <v>2021</v>
      </c>
      <c r="C7700" t="s">
        <v>36</v>
      </c>
      <c r="D7700" s="2">
        <v>44256</v>
      </c>
      <c r="E7700" t="s">
        <v>19</v>
      </c>
      <c r="F7700">
        <v>152.6</v>
      </c>
      <c r="G7700" t="str">
        <f>VLOOKUP(Table1_2[[#This Row],[Categories]],Sheet3!$A$1:$B$27,2,FALSE)</f>
        <v>Clothing and footwear</v>
      </c>
    </row>
    <row r="7701" spans="1:7" x14ac:dyDescent="0.3">
      <c r="A7701" t="s">
        <v>33</v>
      </c>
      <c r="B7701">
        <v>2021</v>
      </c>
      <c r="C7701" t="s">
        <v>36</v>
      </c>
      <c r="D7701" s="2">
        <v>44256</v>
      </c>
      <c r="E7701" t="s">
        <v>20</v>
      </c>
      <c r="F7701">
        <v>159.9</v>
      </c>
      <c r="G7701" t="str">
        <f>VLOOKUP(Table1_2[[#This Row],[Categories]],Sheet3!$A$1:$B$27,2,FALSE)</f>
        <v>Housing</v>
      </c>
    </row>
    <row r="7702" spans="1:7" x14ac:dyDescent="0.3">
      <c r="A7702" t="s">
        <v>33</v>
      </c>
      <c r="B7702">
        <v>2021</v>
      </c>
      <c r="C7702" t="s">
        <v>36</v>
      </c>
      <c r="D7702" s="2">
        <v>44256</v>
      </c>
      <c r="E7702" t="s">
        <v>21</v>
      </c>
      <c r="F7702">
        <v>154.80000000000001</v>
      </c>
      <c r="G7702" t="str">
        <f>VLOOKUP(Table1_2[[#This Row],[Categories]],Sheet3!$A$1:$B$27,2,FALSE)</f>
        <v>Fuel and light</v>
      </c>
    </row>
    <row r="7703" spans="1:7" x14ac:dyDescent="0.3">
      <c r="A7703" t="s">
        <v>33</v>
      </c>
      <c r="B7703">
        <v>2021</v>
      </c>
      <c r="C7703" t="s">
        <v>36</v>
      </c>
      <c r="D7703" s="2">
        <v>44256</v>
      </c>
      <c r="E7703" t="s">
        <v>22</v>
      </c>
      <c r="F7703">
        <v>147.19999999999999</v>
      </c>
      <c r="G7703" t="str">
        <f>VLOOKUP(Table1_2[[#This Row],[Categories]],Sheet3!$A$1:$B$27,2,FALSE)</f>
        <v>Household Items</v>
      </c>
    </row>
    <row r="7704" spans="1:7" x14ac:dyDescent="0.3">
      <c r="A7704" t="s">
        <v>33</v>
      </c>
      <c r="B7704">
        <v>2021</v>
      </c>
      <c r="C7704" t="s">
        <v>36</v>
      </c>
      <c r="D7704" s="2">
        <v>44256</v>
      </c>
      <c r="E7704" t="s">
        <v>23</v>
      </c>
      <c r="F7704">
        <v>156.9</v>
      </c>
      <c r="G7704" t="str">
        <f>VLOOKUP(Table1_2[[#This Row],[Categories]],Sheet3!$A$1:$B$27,2,FALSE)</f>
        <v>Health</v>
      </c>
    </row>
    <row r="7705" spans="1:7" x14ac:dyDescent="0.3">
      <c r="A7705" t="s">
        <v>33</v>
      </c>
      <c r="B7705">
        <v>2021</v>
      </c>
      <c r="C7705" t="s">
        <v>36</v>
      </c>
      <c r="D7705" s="2">
        <v>44256</v>
      </c>
      <c r="E7705" t="s">
        <v>24</v>
      </c>
      <c r="F7705">
        <v>141.69999999999999</v>
      </c>
      <c r="G7705" t="str">
        <f>VLOOKUP(Table1_2[[#This Row],[Categories]],Sheet3!$A$1:$B$27,2,FALSE)</f>
        <v>Transport and communication</v>
      </c>
    </row>
    <row r="7706" spans="1:7" x14ac:dyDescent="0.3">
      <c r="A7706" t="s">
        <v>33</v>
      </c>
      <c r="B7706">
        <v>2021</v>
      </c>
      <c r="C7706" t="s">
        <v>36</v>
      </c>
      <c r="D7706" s="2">
        <v>44256</v>
      </c>
      <c r="E7706" t="s">
        <v>25</v>
      </c>
      <c r="F7706">
        <v>148.6</v>
      </c>
      <c r="G7706" t="str">
        <f>VLOOKUP(Table1_2[[#This Row],[Categories]],Sheet3!$A$1:$B$27,2,FALSE)</f>
        <v>Recreation and amusement</v>
      </c>
    </row>
    <row r="7707" spans="1:7" x14ac:dyDescent="0.3">
      <c r="A7707" t="s">
        <v>33</v>
      </c>
      <c r="B7707">
        <v>2021</v>
      </c>
      <c r="C7707" t="s">
        <v>36</v>
      </c>
      <c r="D7707" s="2">
        <v>44256</v>
      </c>
      <c r="E7707" t="s">
        <v>26</v>
      </c>
      <c r="F7707">
        <v>157.6</v>
      </c>
      <c r="G7707" t="str">
        <f>VLOOKUP(Table1_2[[#This Row],[Categories]],Sheet3!$A$1:$B$27,2,FALSE)</f>
        <v>Education</v>
      </c>
    </row>
    <row r="7708" spans="1:7" x14ac:dyDescent="0.3">
      <c r="A7708" t="s">
        <v>33</v>
      </c>
      <c r="B7708">
        <v>2021</v>
      </c>
      <c r="C7708" t="s">
        <v>36</v>
      </c>
      <c r="D7708" s="2">
        <v>44256</v>
      </c>
      <c r="E7708" t="s">
        <v>27</v>
      </c>
      <c r="F7708">
        <v>154.9</v>
      </c>
      <c r="G7708" t="str">
        <f>VLOOKUP(Table1_2[[#This Row],[Categories]],Sheet3!$A$1:$B$27,2,FALSE)</f>
        <v>Household Items</v>
      </c>
    </row>
    <row r="7709" spans="1:7" x14ac:dyDescent="0.3">
      <c r="A7709" t="s">
        <v>33</v>
      </c>
      <c r="B7709">
        <v>2021</v>
      </c>
      <c r="C7709" t="s">
        <v>36</v>
      </c>
      <c r="D7709" s="2">
        <v>44256</v>
      </c>
      <c r="E7709" t="s">
        <v>28</v>
      </c>
      <c r="F7709">
        <v>150</v>
      </c>
      <c r="G7709" t="str">
        <f>VLOOKUP(Table1_2[[#This Row],[Categories]],Sheet3!$A$1:$B$27,2,FALSE)</f>
        <v>Miscellaneous</v>
      </c>
    </row>
    <row r="7710" spans="1:7" x14ac:dyDescent="0.3">
      <c r="A7710" t="s">
        <v>33</v>
      </c>
      <c r="B7710">
        <v>2021</v>
      </c>
      <c r="C7710" t="s">
        <v>36</v>
      </c>
      <c r="D7710" s="2">
        <v>44256</v>
      </c>
      <c r="E7710" t="s">
        <v>29</v>
      </c>
      <c r="F7710">
        <v>156.9</v>
      </c>
      <c r="G7710" t="str">
        <f>VLOOKUP(Table1_2[[#This Row],[Categories]],Sheet3!$A$1:$B$27,2,FALSE)</f>
        <v>General index</v>
      </c>
    </row>
    <row r="7711" spans="1:7" x14ac:dyDescent="0.3">
      <c r="A7711" t="s">
        <v>34</v>
      </c>
      <c r="B7711">
        <v>2021</v>
      </c>
      <c r="C7711" t="s">
        <v>36</v>
      </c>
      <c r="D7711" s="2">
        <v>44256</v>
      </c>
      <c r="E7711" t="s">
        <v>3</v>
      </c>
      <c r="F7711">
        <v>144.1</v>
      </c>
      <c r="G7711" t="str">
        <f>VLOOKUP(Table1_2[[#This Row],[Categories]],Sheet3!$A$1:$B$27,2,FALSE)</f>
        <v>Food &amp;Beverage</v>
      </c>
    </row>
    <row r="7712" spans="1:7" x14ac:dyDescent="0.3">
      <c r="A7712" t="s">
        <v>34</v>
      </c>
      <c r="B7712">
        <v>2021</v>
      </c>
      <c r="C7712" t="s">
        <v>36</v>
      </c>
      <c r="D7712" s="2">
        <v>44256</v>
      </c>
      <c r="E7712" t="s">
        <v>4</v>
      </c>
      <c r="F7712">
        <v>192.2</v>
      </c>
      <c r="G7712" t="str">
        <f>VLOOKUP(Table1_2[[#This Row],[Categories]],Sheet3!$A$1:$B$27,2,FALSE)</f>
        <v>Food &amp;Beverage</v>
      </c>
    </row>
    <row r="7713" spans="1:7" x14ac:dyDescent="0.3">
      <c r="A7713" t="s">
        <v>34</v>
      </c>
      <c r="B7713">
        <v>2021</v>
      </c>
      <c r="C7713" t="s">
        <v>36</v>
      </c>
      <c r="D7713" s="2">
        <v>44256</v>
      </c>
      <c r="E7713" t="s">
        <v>5</v>
      </c>
      <c r="F7713">
        <v>163.80000000000001</v>
      </c>
      <c r="G7713" t="str">
        <f>VLOOKUP(Table1_2[[#This Row],[Categories]],Sheet3!$A$1:$B$27,2,FALSE)</f>
        <v>Food &amp;Beverage</v>
      </c>
    </row>
    <row r="7714" spans="1:7" x14ac:dyDescent="0.3">
      <c r="A7714" t="s">
        <v>34</v>
      </c>
      <c r="B7714">
        <v>2021</v>
      </c>
      <c r="C7714" t="s">
        <v>36</v>
      </c>
      <c r="D7714" s="2">
        <v>44256</v>
      </c>
      <c r="E7714" t="s">
        <v>6</v>
      </c>
      <c r="F7714">
        <v>154.9</v>
      </c>
      <c r="G7714" t="str">
        <f>VLOOKUP(Table1_2[[#This Row],[Categories]],Sheet3!$A$1:$B$27,2,FALSE)</f>
        <v>Food &amp;Beverage</v>
      </c>
    </row>
    <row r="7715" spans="1:7" x14ac:dyDescent="0.3">
      <c r="A7715" t="s">
        <v>34</v>
      </c>
      <c r="B7715">
        <v>2021</v>
      </c>
      <c r="C7715" t="s">
        <v>36</v>
      </c>
      <c r="D7715" s="2">
        <v>44256</v>
      </c>
      <c r="E7715" t="s">
        <v>7</v>
      </c>
      <c r="F7715">
        <v>163.9</v>
      </c>
      <c r="G7715" t="str">
        <f>VLOOKUP(Table1_2[[#This Row],[Categories]],Sheet3!$A$1:$B$27,2,FALSE)</f>
        <v>Food &amp;Beverage</v>
      </c>
    </row>
    <row r="7716" spans="1:7" x14ac:dyDescent="0.3">
      <c r="A7716" t="s">
        <v>34</v>
      </c>
      <c r="B7716">
        <v>2021</v>
      </c>
      <c r="C7716" t="s">
        <v>36</v>
      </c>
      <c r="D7716" s="2">
        <v>44256</v>
      </c>
      <c r="E7716" t="s">
        <v>8</v>
      </c>
      <c r="F7716">
        <v>153.69999999999999</v>
      </c>
      <c r="G7716" t="str">
        <f>VLOOKUP(Table1_2[[#This Row],[Categories]],Sheet3!$A$1:$B$27,2,FALSE)</f>
        <v>Food &amp;Beverage</v>
      </c>
    </row>
    <row r="7717" spans="1:7" x14ac:dyDescent="0.3">
      <c r="A7717" t="s">
        <v>34</v>
      </c>
      <c r="B7717">
        <v>2021</v>
      </c>
      <c r="C7717" t="s">
        <v>36</v>
      </c>
      <c r="D7717" s="2">
        <v>44256</v>
      </c>
      <c r="E7717" t="s">
        <v>9</v>
      </c>
      <c r="F7717">
        <v>149.5</v>
      </c>
      <c r="G7717" t="str">
        <f>VLOOKUP(Table1_2[[#This Row],[Categories]],Sheet3!$A$1:$B$27,2,FALSE)</f>
        <v>Food &amp;Beverage</v>
      </c>
    </row>
    <row r="7718" spans="1:7" x14ac:dyDescent="0.3">
      <c r="A7718" t="s">
        <v>34</v>
      </c>
      <c r="B7718">
        <v>2021</v>
      </c>
      <c r="C7718" t="s">
        <v>36</v>
      </c>
      <c r="D7718" s="2">
        <v>44256</v>
      </c>
      <c r="E7718" t="s">
        <v>10</v>
      </c>
      <c r="F7718">
        <v>159.80000000000001</v>
      </c>
      <c r="G7718" t="str">
        <f>VLOOKUP(Table1_2[[#This Row],[Categories]],Sheet3!$A$1:$B$27,2,FALSE)</f>
        <v>Food &amp;Beverage</v>
      </c>
    </row>
    <row r="7719" spans="1:7" x14ac:dyDescent="0.3">
      <c r="A7719" t="s">
        <v>34</v>
      </c>
      <c r="B7719">
        <v>2021</v>
      </c>
      <c r="C7719" t="s">
        <v>36</v>
      </c>
      <c r="D7719" s="2">
        <v>44256</v>
      </c>
      <c r="E7719" t="s">
        <v>11</v>
      </c>
      <c r="F7719">
        <v>112.6</v>
      </c>
      <c r="G7719" t="str">
        <f>VLOOKUP(Table1_2[[#This Row],[Categories]],Sheet3!$A$1:$B$27,2,FALSE)</f>
        <v>Food &amp;Beverage</v>
      </c>
    </row>
    <row r="7720" spans="1:7" x14ac:dyDescent="0.3">
      <c r="A7720" t="s">
        <v>34</v>
      </c>
      <c r="B7720">
        <v>2021</v>
      </c>
      <c r="C7720" t="s">
        <v>36</v>
      </c>
      <c r="D7720" s="2">
        <v>44256</v>
      </c>
      <c r="E7720" t="s">
        <v>12</v>
      </c>
      <c r="F7720">
        <v>163.5</v>
      </c>
      <c r="G7720" t="str">
        <f>VLOOKUP(Table1_2[[#This Row],[Categories]],Sheet3!$A$1:$B$27,2,FALSE)</f>
        <v>Food &amp;Beverage</v>
      </c>
    </row>
    <row r="7721" spans="1:7" x14ac:dyDescent="0.3">
      <c r="A7721" t="s">
        <v>34</v>
      </c>
      <c r="B7721">
        <v>2021</v>
      </c>
      <c r="C7721" t="s">
        <v>36</v>
      </c>
      <c r="D7721" s="2">
        <v>44256</v>
      </c>
      <c r="E7721" t="s">
        <v>13</v>
      </c>
      <c r="F7721">
        <v>156.5</v>
      </c>
      <c r="G7721" t="str">
        <f>VLOOKUP(Table1_2[[#This Row],[Categories]],Sheet3!$A$1:$B$27,2,FALSE)</f>
        <v>Food &amp;Beverage</v>
      </c>
    </row>
    <row r="7722" spans="1:7" x14ac:dyDescent="0.3">
      <c r="A7722" t="s">
        <v>34</v>
      </c>
      <c r="B7722">
        <v>2021</v>
      </c>
      <c r="C7722" t="s">
        <v>36</v>
      </c>
      <c r="D7722" s="2">
        <v>44256</v>
      </c>
      <c r="E7722" t="s">
        <v>14</v>
      </c>
      <c r="F7722">
        <v>168.2</v>
      </c>
      <c r="G7722" t="str">
        <f>VLOOKUP(Table1_2[[#This Row],[Categories]],Sheet3!$A$1:$B$27,2,FALSE)</f>
        <v>Food &amp;Beverage</v>
      </c>
    </row>
    <row r="7723" spans="1:7" x14ac:dyDescent="0.3">
      <c r="A7723" t="s">
        <v>34</v>
      </c>
      <c r="B7723">
        <v>2021</v>
      </c>
      <c r="C7723" t="s">
        <v>36</v>
      </c>
      <c r="D7723" s="2">
        <v>44256</v>
      </c>
      <c r="E7723" t="s">
        <v>15</v>
      </c>
      <c r="F7723">
        <v>156.69999999999999</v>
      </c>
      <c r="G7723" t="str">
        <f>VLOOKUP(Table1_2[[#This Row],[Categories]],Sheet3!$A$1:$B$27,2,FALSE)</f>
        <v>Food &amp;Beverage</v>
      </c>
    </row>
    <row r="7724" spans="1:7" x14ac:dyDescent="0.3">
      <c r="A7724" t="s">
        <v>34</v>
      </c>
      <c r="B7724">
        <v>2021</v>
      </c>
      <c r="C7724" t="s">
        <v>36</v>
      </c>
      <c r="D7724" s="2">
        <v>44256</v>
      </c>
      <c r="E7724" t="s">
        <v>16</v>
      </c>
      <c r="F7724">
        <v>188.1</v>
      </c>
      <c r="G7724" t="str">
        <f>VLOOKUP(Table1_2[[#This Row],[Categories]],Sheet3!$A$1:$B$27,2,FALSE)</f>
        <v>Recreation and amusement</v>
      </c>
    </row>
    <row r="7725" spans="1:7" x14ac:dyDescent="0.3">
      <c r="A7725" t="s">
        <v>34</v>
      </c>
      <c r="B7725">
        <v>2021</v>
      </c>
      <c r="C7725" t="s">
        <v>36</v>
      </c>
      <c r="D7725" s="2">
        <v>44256</v>
      </c>
      <c r="E7725" t="s">
        <v>17</v>
      </c>
      <c r="F7725">
        <v>157.80000000000001</v>
      </c>
      <c r="G7725" t="str">
        <f>VLOOKUP(Table1_2[[#This Row],[Categories]],Sheet3!$A$1:$B$27,2,FALSE)</f>
        <v>Clothing and footwear</v>
      </c>
    </row>
    <row r="7726" spans="1:7" x14ac:dyDescent="0.3">
      <c r="A7726" t="s">
        <v>34</v>
      </c>
      <c r="B7726">
        <v>2021</v>
      </c>
      <c r="C7726" t="s">
        <v>36</v>
      </c>
      <c r="D7726" s="2">
        <v>44256</v>
      </c>
      <c r="E7726" t="s">
        <v>18</v>
      </c>
      <c r="F7726">
        <v>147.9</v>
      </c>
      <c r="G7726" t="str">
        <f>VLOOKUP(Table1_2[[#This Row],[Categories]],Sheet3!$A$1:$B$27,2,FALSE)</f>
        <v>Clothing and footwear</v>
      </c>
    </row>
    <row r="7727" spans="1:7" x14ac:dyDescent="0.3">
      <c r="A7727" t="s">
        <v>34</v>
      </c>
      <c r="B7727">
        <v>2021</v>
      </c>
      <c r="C7727" t="s">
        <v>36</v>
      </c>
      <c r="D7727" s="2">
        <v>44256</v>
      </c>
      <c r="E7727" t="s">
        <v>19</v>
      </c>
      <c r="F7727">
        <v>156.4</v>
      </c>
      <c r="G7727" t="str">
        <f>VLOOKUP(Table1_2[[#This Row],[Categories]],Sheet3!$A$1:$B$27,2,FALSE)</f>
        <v>Clothing and footwear</v>
      </c>
    </row>
    <row r="7728" spans="1:7" x14ac:dyDescent="0.3">
      <c r="A7728" t="s">
        <v>34</v>
      </c>
      <c r="B7728">
        <v>2021</v>
      </c>
      <c r="C7728" t="s">
        <v>36</v>
      </c>
      <c r="D7728" s="2">
        <v>44256</v>
      </c>
      <c r="E7728" t="s">
        <v>20</v>
      </c>
      <c r="F7728">
        <v>159.9</v>
      </c>
      <c r="G7728" t="str">
        <f>VLOOKUP(Table1_2[[#This Row],[Categories]],Sheet3!$A$1:$B$27,2,FALSE)</f>
        <v>Housing</v>
      </c>
    </row>
    <row r="7729" spans="1:7" x14ac:dyDescent="0.3">
      <c r="A7729" t="s">
        <v>34</v>
      </c>
      <c r="B7729">
        <v>2021</v>
      </c>
      <c r="C7729" t="s">
        <v>36</v>
      </c>
      <c r="D7729" s="2">
        <v>44256</v>
      </c>
      <c r="E7729" t="s">
        <v>21</v>
      </c>
      <c r="F7729">
        <v>155.5</v>
      </c>
      <c r="G7729" t="str">
        <f>VLOOKUP(Table1_2[[#This Row],[Categories]],Sheet3!$A$1:$B$27,2,FALSE)</f>
        <v>Fuel and light</v>
      </c>
    </row>
    <row r="7730" spans="1:7" x14ac:dyDescent="0.3">
      <c r="A7730" t="s">
        <v>34</v>
      </c>
      <c r="B7730">
        <v>2021</v>
      </c>
      <c r="C7730" t="s">
        <v>36</v>
      </c>
      <c r="D7730" s="2">
        <v>44256</v>
      </c>
      <c r="E7730" t="s">
        <v>22</v>
      </c>
      <c r="F7730">
        <v>151.19999999999999</v>
      </c>
      <c r="G7730" t="str">
        <f>VLOOKUP(Table1_2[[#This Row],[Categories]],Sheet3!$A$1:$B$27,2,FALSE)</f>
        <v>Household Items</v>
      </c>
    </row>
    <row r="7731" spans="1:7" x14ac:dyDescent="0.3">
      <c r="A7731" t="s">
        <v>34</v>
      </c>
      <c r="B7731">
        <v>2021</v>
      </c>
      <c r="C7731" t="s">
        <v>36</v>
      </c>
      <c r="D7731" s="2">
        <v>44256</v>
      </c>
      <c r="E7731" t="s">
        <v>23</v>
      </c>
      <c r="F7731">
        <v>161.69999999999999</v>
      </c>
      <c r="G7731" t="str">
        <f>VLOOKUP(Table1_2[[#This Row],[Categories]],Sheet3!$A$1:$B$27,2,FALSE)</f>
        <v>Health</v>
      </c>
    </row>
    <row r="7732" spans="1:7" x14ac:dyDescent="0.3">
      <c r="A7732" t="s">
        <v>34</v>
      </c>
      <c r="B7732">
        <v>2021</v>
      </c>
      <c r="C7732" t="s">
        <v>36</v>
      </c>
      <c r="D7732" s="2">
        <v>44256</v>
      </c>
      <c r="E7732" t="s">
        <v>24</v>
      </c>
      <c r="F7732">
        <v>146.19999999999999</v>
      </c>
      <c r="G7732" t="str">
        <f>VLOOKUP(Table1_2[[#This Row],[Categories]],Sheet3!$A$1:$B$27,2,FALSE)</f>
        <v>Transport and communication</v>
      </c>
    </row>
    <row r="7733" spans="1:7" x14ac:dyDescent="0.3">
      <c r="A7733" t="s">
        <v>34</v>
      </c>
      <c r="B7733">
        <v>2021</v>
      </c>
      <c r="C7733" t="s">
        <v>36</v>
      </c>
      <c r="D7733" s="2">
        <v>44256</v>
      </c>
      <c r="E7733" t="s">
        <v>25</v>
      </c>
      <c r="F7733">
        <v>152.6</v>
      </c>
      <c r="G7733" t="str">
        <f>VLOOKUP(Table1_2[[#This Row],[Categories]],Sheet3!$A$1:$B$27,2,FALSE)</f>
        <v>Recreation and amusement</v>
      </c>
    </row>
    <row r="7734" spans="1:7" x14ac:dyDescent="0.3">
      <c r="A7734" t="s">
        <v>34</v>
      </c>
      <c r="B7734">
        <v>2021</v>
      </c>
      <c r="C7734" t="s">
        <v>36</v>
      </c>
      <c r="D7734" s="2">
        <v>44256</v>
      </c>
      <c r="E7734" t="s">
        <v>26</v>
      </c>
      <c r="F7734">
        <v>160.19999999999999</v>
      </c>
      <c r="G7734" t="str">
        <f>VLOOKUP(Table1_2[[#This Row],[Categories]],Sheet3!$A$1:$B$27,2,FALSE)</f>
        <v>Education</v>
      </c>
    </row>
    <row r="7735" spans="1:7" x14ac:dyDescent="0.3">
      <c r="A7735" t="s">
        <v>34</v>
      </c>
      <c r="B7735">
        <v>2021</v>
      </c>
      <c r="C7735" t="s">
        <v>36</v>
      </c>
      <c r="D7735" s="2">
        <v>44256</v>
      </c>
      <c r="E7735" t="s">
        <v>27</v>
      </c>
      <c r="F7735">
        <v>153.80000000000001</v>
      </c>
      <c r="G7735" t="str">
        <f>VLOOKUP(Table1_2[[#This Row],[Categories]],Sheet3!$A$1:$B$27,2,FALSE)</f>
        <v>Household Items</v>
      </c>
    </row>
    <row r="7736" spans="1:7" x14ac:dyDescent="0.3">
      <c r="A7736" t="s">
        <v>34</v>
      </c>
      <c r="B7736">
        <v>2021</v>
      </c>
      <c r="C7736" t="s">
        <v>36</v>
      </c>
      <c r="D7736" s="2">
        <v>44256</v>
      </c>
      <c r="E7736" t="s">
        <v>28</v>
      </c>
      <c r="F7736">
        <v>153.80000000000001</v>
      </c>
      <c r="G7736" t="str">
        <f>VLOOKUP(Table1_2[[#This Row],[Categories]],Sheet3!$A$1:$B$27,2,FALSE)</f>
        <v>Miscellaneous</v>
      </c>
    </row>
    <row r="7737" spans="1:7" x14ac:dyDescent="0.3">
      <c r="A7737" t="s">
        <v>34</v>
      </c>
      <c r="B7737">
        <v>2021</v>
      </c>
      <c r="C7737" t="s">
        <v>36</v>
      </c>
      <c r="D7737" s="2">
        <v>44256</v>
      </c>
      <c r="E7737" t="s">
        <v>29</v>
      </c>
      <c r="F7737">
        <v>156.80000000000001</v>
      </c>
      <c r="G7737" t="str">
        <f>VLOOKUP(Table1_2[[#This Row],[Categories]],Sheet3!$A$1:$B$27,2,FALSE)</f>
        <v>General index</v>
      </c>
    </row>
    <row r="7738" spans="1:7" x14ac:dyDescent="0.3">
      <c r="A7738" t="s">
        <v>30</v>
      </c>
      <c r="B7738">
        <v>2021</v>
      </c>
      <c r="C7738" t="s">
        <v>37</v>
      </c>
      <c r="D7738" s="2">
        <v>44287</v>
      </c>
      <c r="E7738" t="s">
        <v>3</v>
      </c>
      <c r="F7738">
        <v>142.69999999999999</v>
      </c>
      <c r="G7738" t="str">
        <f>VLOOKUP(Table1_2[[#This Row],[Categories]],Sheet3!$A$1:$B$27,2,FALSE)</f>
        <v>Food &amp;Beverage</v>
      </c>
    </row>
    <row r="7739" spans="1:7" x14ac:dyDescent="0.3">
      <c r="A7739" t="s">
        <v>30</v>
      </c>
      <c r="B7739">
        <v>2021</v>
      </c>
      <c r="C7739" t="s">
        <v>37</v>
      </c>
      <c r="D7739" s="2">
        <v>44287</v>
      </c>
      <c r="E7739" t="s">
        <v>4</v>
      </c>
      <c r="F7739">
        <v>195.5</v>
      </c>
      <c r="G7739" t="str">
        <f>VLOOKUP(Table1_2[[#This Row],[Categories]],Sheet3!$A$1:$B$27,2,FALSE)</f>
        <v>Food &amp;Beverage</v>
      </c>
    </row>
    <row r="7740" spans="1:7" x14ac:dyDescent="0.3">
      <c r="A7740" t="s">
        <v>30</v>
      </c>
      <c r="B7740">
        <v>2021</v>
      </c>
      <c r="C7740" t="s">
        <v>37</v>
      </c>
      <c r="D7740" s="2">
        <v>44287</v>
      </c>
      <c r="E7740" t="s">
        <v>5</v>
      </c>
      <c r="F7740">
        <v>163.4</v>
      </c>
      <c r="G7740" t="str">
        <f>VLOOKUP(Table1_2[[#This Row],[Categories]],Sheet3!$A$1:$B$27,2,FALSE)</f>
        <v>Food &amp;Beverage</v>
      </c>
    </row>
    <row r="7741" spans="1:7" x14ac:dyDescent="0.3">
      <c r="A7741" t="s">
        <v>30</v>
      </c>
      <c r="B7741">
        <v>2021</v>
      </c>
      <c r="C7741" t="s">
        <v>37</v>
      </c>
      <c r="D7741" s="2">
        <v>44287</v>
      </c>
      <c r="E7741" t="s">
        <v>6</v>
      </c>
      <c r="F7741">
        <v>155</v>
      </c>
      <c r="G7741" t="str">
        <f>VLOOKUP(Table1_2[[#This Row],[Categories]],Sheet3!$A$1:$B$27,2,FALSE)</f>
        <v>Food &amp;Beverage</v>
      </c>
    </row>
    <row r="7742" spans="1:7" x14ac:dyDescent="0.3">
      <c r="A7742" t="s">
        <v>30</v>
      </c>
      <c r="B7742">
        <v>2021</v>
      </c>
      <c r="C7742" t="s">
        <v>37</v>
      </c>
      <c r="D7742" s="2">
        <v>44287</v>
      </c>
      <c r="E7742" t="s">
        <v>7</v>
      </c>
      <c r="F7742">
        <v>175.2</v>
      </c>
      <c r="G7742" t="str">
        <f>VLOOKUP(Table1_2[[#This Row],[Categories]],Sheet3!$A$1:$B$27,2,FALSE)</f>
        <v>Food &amp;Beverage</v>
      </c>
    </row>
    <row r="7743" spans="1:7" x14ac:dyDescent="0.3">
      <c r="A7743" t="s">
        <v>30</v>
      </c>
      <c r="B7743">
        <v>2021</v>
      </c>
      <c r="C7743" t="s">
        <v>37</v>
      </c>
      <c r="D7743" s="2">
        <v>44287</v>
      </c>
      <c r="E7743" t="s">
        <v>8</v>
      </c>
      <c r="F7743">
        <v>160.6</v>
      </c>
      <c r="G7743" t="str">
        <f>VLOOKUP(Table1_2[[#This Row],[Categories]],Sheet3!$A$1:$B$27,2,FALSE)</f>
        <v>Food &amp;Beverage</v>
      </c>
    </row>
    <row r="7744" spans="1:7" x14ac:dyDescent="0.3">
      <c r="A7744" t="s">
        <v>30</v>
      </c>
      <c r="B7744">
        <v>2021</v>
      </c>
      <c r="C7744" t="s">
        <v>37</v>
      </c>
      <c r="D7744" s="2">
        <v>44287</v>
      </c>
      <c r="E7744" t="s">
        <v>9</v>
      </c>
      <c r="F7744">
        <v>135.1</v>
      </c>
      <c r="G7744" t="str">
        <f>VLOOKUP(Table1_2[[#This Row],[Categories]],Sheet3!$A$1:$B$27,2,FALSE)</f>
        <v>Food &amp;Beverage</v>
      </c>
    </row>
    <row r="7745" spans="1:7" x14ac:dyDescent="0.3">
      <c r="A7745" t="s">
        <v>30</v>
      </c>
      <c r="B7745">
        <v>2021</v>
      </c>
      <c r="C7745" t="s">
        <v>37</v>
      </c>
      <c r="D7745" s="2">
        <v>44287</v>
      </c>
      <c r="E7745" t="s">
        <v>10</v>
      </c>
      <c r="F7745">
        <v>161.1</v>
      </c>
      <c r="G7745" t="str">
        <f>VLOOKUP(Table1_2[[#This Row],[Categories]],Sheet3!$A$1:$B$27,2,FALSE)</f>
        <v>Food &amp;Beverage</v>
      </c>
    </row>
    <row r="7746" spans="1:7" x14ac:dyDescent="0.3">
      <c r="A7746" t="s">
        <v>30</v>
      </c>
      <c r="B7746">
        <v>2021</v>
      </c>
      <c r="C7746" t="s">
        <v>37</v>
      </c>
      <c r="D7746" s="2">
        <v>44287</v>
      </c>
      <c r="E7746" t="s">
        <v>11</v>
      </c>
      <c r="F7746">
        <v>112.2</v>
      </c>
      <c r="G7746" t="str">
        <f>VLOOKUP(Table1_2[[#This Row],[Categories]],Sheet3!$A$1:$B$27,2,FALSE)</f>
        <v>Food &amp;Beverage</v>
      </c>
    </row>
    <row r="7747" spans="1:7" x14ac:dyDescent="0.3">
      <c r="A7747" t="s">
        <v>30</v>
      </c>
      <c r="B7747">
        <v>2021</v>
      </c>
      <c r="C7747" t="s">
        <v>37</v>
      </c>
      <c r="D7747" s="2">
        <v>44287</v>
      </c>
      <c r="E7747" t="s">
        <v>12</v>
      </c>
      <c r="F7747">
        <v>164.4</v>
      </c>
      <c r="G7747" t="str">
        <f>VLOOKUP(Table1_2[[#This Row],[Categories]],Sheet3!$A$1:$B$27,2,FALSE)</f>
        <v>Food &amp;Beverage</v>
      </c>
    </row>
    <row r="7748" spans="1:7" x14ac:dyDescent="0.3">
      <c r="A7748" t="s">
        <v>30</v>
      </c>
      <c r="B7748">
        <v>2021</v>
      </c>
      <c r="C7748" t="s">
        <v>37</v>
      </c>
      <c r="D7748" s="2">
        <v>44287</v>
      </c>
      <c r="E7748" t="s">
        <v>13</v>
      </c>
      <c r="F7748">
        <v>161.9</v>
      </c>
      <c r="G7748" t="str">
        <f>VLOOKUP(Table1_2[[#This Row],[Categories]],Sheet3!$A$1:$B$27,2,FALSE)</f>
        <v>Food &amp;Beverage</v>
      </c>
    </row>
    <row r="7749" spans="1:7" x14ac:dyDescent="0.3">
      <c r="A7749" t="s">
        <v>30</v>
      </c>
      <c r="B7749">
        <v>2021</v>
      </c>
      <c r="C7749" t="s">
        <v>37</v>
      </c>
      <c r="D7749" s="2">
        <v>44287</v>
      </c>
      <c r="E7749" t="s">
        <v>14</v>
      </c>
      <c r="F7749">
        <v>166.8</v>
      </c>
      <c r="G7749" t="str">
        <f>VLOOKUP(Table1_2[[#This Row],[Categories]],Sheet3!$A$1:$B$27,2,FALSE)</f>
        <v>Food &amp;Beverage</v>
      </c>
    </row>
    <row r="7750" spans="1:7" x14ac:dyDescent="0.3">
      <c r="A7750" t="s">
        <v>30</v>
      </c>
      <c r="B7750">
        <v>2021</v>
      </c>
      <c r="C7750" t="s">
        <v>37</v>
      </c>
      <c r="D7750" s="2">
        <v>44287</v>
      </c>
      <c r="E7750" t="s">
        <v>15</v>
      </c>
      <c r="F7750">
        <v>155.6</v>
      </c>
      <c r="G7750" t="str">
        <f>VLOOKUP(Table1_2[[#This Row],[Categories]],Sheet3!$A$1:$B$27,2,FALSE)</f>
        <v>Food &amp;Beverage</v>
      </c>
    </row>
    <row r="7751" spans="1:7" x14ac:dyDescent="0.3">
      <c r="A7751" t="s">
        <v>30</v>
      </c>
      <c r="B7751">
        <v>2021</v>
      </c>
      <c r="C7751" t="s">
        <v>37</v>
      </c>
      <c r="D7751" s="2">
        <v>44287</v>
      </c>
      <c r="E7751" t="s">
        <v>16</v>
      </c>
      <c r="F7751">
        <v>186.8</v>
      </c>
      <c r="G7751" t="str">
        <f>VLOOKUP(Table1_2[[#This Row],[Categories]],Sheet3!$A$1:$B$27,2,FALSE)</f>
        <v>Recreation and amusement</v>
      </c>
    </row>
    <row r="7752" spans="1:7" x14ac:dyDescent="0.3">
      <c r="A7752" t="s">
        <v>30</v>
      </c>
      <c r="B7752">
        <v>2021</v>
      </c>
      <c r="C7752" t="s">
        <v>37</v>
      </c>
      <c r="D7752" s="2">
        <v>44287</v>
      </c>
      <c r="E7752" t="s">
        <v>17</v>
      </c>
      <c r="F7752">
        <v>160.69999999999999</v>
      </c>
      <c r="G7752" t="str">
        <f>VLOOKUP(Table1_2[[#This Row],[Categories]],Sheet3!$A$1:$B$27,2,FALSE)</f>
        <v>Clothing and footwear</v>
      </c>
    </row>
    <row r="7753" spans="1:7" x14ac:dyDescent="0.3">
      <c r="A7753" t="s">
        <v>30</v>
      </c>
      <c r="B7753">
        <v>2021</v>
      </c>
      <c r="C7753" t="s">
        <v>37</v>
      </c>
      <c r="D7753" s="2">
        <v>44287</v>
      </c>
      <c r="E7753" t="s">
        <v>18</v>
      </c>
      <c r="F7753">
        <v>155.1</v>
      </c>
      <c r="G7753" t="str">
        <f>VLOOKUP(Table1_2[[#This Row],[Categories]],Sheet3!$A$1:$B$27,2,FALSE)</f>
        <v>Clothing and footwear</v>
      </c>
    </row>
    <row r="7754" spans="1:7" x14ac:dyDescent="0.3">
      <c r="A7754" t="s">
        <v>30</v>
      </c>
      <c r="B7754">
        <v>2021</v>
      </c>
      <c r="C7754" t="s">
        <v>37</v>
      </c>
      <c r="D7754" s="2">
        <v>44287</v>
      </c>
      <c r="E7754" t="s">
        <v>19</v>
      </c>
      <c r="F7754">
        <v>159.9</v>
      </c>
      <c r="G7754" t="str">
        <f>VLOOKUP(Table1_2[[#This Row],[Categories]],Sheet3!$A$1:$B$27,2,FALSE)</f>
        <v>Clothing and footwear</v>
      </c>
    </row>
    <row r="7755" spans="1:7" x14ac:dyDescent="0.3">
      <c r="A7755" t="s">
        <v>30</v>
      </c>
      <c r="B7755">
        <v>2021</v>
      </c>
      <c r="C7755" t="s">
        <v>37</v>
      </c>
      <c r="D7755" s="2">
        <v>44287</v>
      </c>
      <c r="E7755" t="s">
        <v>21</v>
      </c>
      <c r="F7755">
        <v>156</v>
      </c>
      <c r="G7755" t="str">
        <f>VLOOKUP(Table1_2[[#This Row],[Categories]],Sheet3!$A$1:$B$27,2,FALSE)</f>
        <v>Fuel and light</v>
      </c>
    </row>
    <row r="7756" spans="1:7" x14ac:dyDescent="0.3">
      <c r="A7756" t="s">
        <v>30</v>
      </c>
      <c r="B7756">
        <v>2021</v>
      </c>
      <c r="C7756" t="s">
        <v>37</v>
      </c>
      <c r="D7756" s="2">
        <v>44287</v>
      </c>
      <c r="E7756" t="s">
        <v>22</v>
      </c>
      <c r="F7756">
        <v>155.5</v>
      </c>
      <c r="G7756" t="str">
        <f>VLOOKUP(Table1_2[[#This Row],[Categories]],Sheet3!$A$1:$B$27,2,FALSE)</f>
        <v>Household Items</v>
      </c>
    </row>
    <row r="7757" spans="1:7" x14ac:dyDescent="0.3">
      <c r="A7757" t="s">
        <v>30</v>
      </c>
      <c r="B7757">
        <v>2021</v>
      </c>
      <c r="C7757" t="s">
        <v>37</v>
      </c>
      <c r="D7757" s="2">
        <v>44287</v>
      </c>
      <c r="E7757" t="s">
        <v>23</v>
      </c>
      <c r="F7757">
        <v>165.3</v>
      </c>
      <c r="G7757" t="str">
        <f>VLOOKUP(Table1_2[[#This Row],[Categories]],Sheet3!$A$1:$B$27,2,FALSE)</f>
        <v>Health</v>
      </c>
    </row>
    <row r="7758" spans="1:7" x14ac:dyDescent="0.3">
      <c r="A7758" t="s">
        <v>30</v>
      </c>
      <c r="B7758">
        <v>2021</v>
      </c>
      <c r="C7758" t="s">
        <v>37</v>
      </c>
      <c r="D7758" s="2">
        <v>44287</v>
      </c>
      <c r="E7758" t="s">
        <v>24</v>
      </c>
      <c r="F7758">
        <v>151.69999999999999</v>
      </c>
      <c r="G7758" t="str">
        <f>VLOOKUP(Table1_2[[#This Row],[Categories]],Sheet3!$A$1:$B$27,2,FALSE)</f>
        <v>Transport and communication</v>
      </c>
    </row>
    <row r="7759" spans="1:7" x14ac:dyDescent="0.3">
      <c r="A7759" t="s">
        <v>30</v>
      </c>
      <c r="B7759">
        <v>2021</v>
      </c>
      <c r="C7759" t="s">
        <v>37</v>
      </c>
      <c r="D7759" s="2">
        <v>44287</v>
      </c>
      <c r="E7759" t="s">
        <v>25</v>
      </c>
      <c r="F7759">
        <v>158.6</v>
      </c>
      <c r="G7759" t="str">
        <f>VLOOKUP(Table1_2[[#This Row],[Categories]],Sheet3!$A$1:$B$27,2,FALSE)</f>
        <v>Recreation and amusement</v>
      </c>
    </row>
    <row r="7760" spans="1:7" x14ac:dyDescent="0.3">
      <c r="A7760" t="s">
        <v>30</v>
      </c>
      <c r="B7760">
        <v>2021</v>
      </c>
      <c r="C7760" t="s">
        <v>37</v>
      </c>
      <c r="D7760" s="2">
        <v>44287</v>
      </c>
      <c r="E7760" t="s">
        <v>26</v>
      </c>
      <c r="F7760">
        <v>164.1</v>
      </c>
      <c r="G7760" t="str">
        <f>VLOOKUP(Table1_2[[#This Row],[Categories]],Sheet3!$A$1:$B$27,2,FALSE)</f>
        <v>Education</v>
      </c>
    </row>
    <row r="7761" spans="1:7" x14ac:dyDescent="0.3">
      <c r="A7761" t="s">
        <v>30</v>
      </c>
      <c r="B7761">
        <v>2021</v>
      </c>
      <c r="C7761" t="s">
        <v>37</v>
      </c>
      <c r="D7761" s="2">
        <v>44287</v>
      </c>
      <c r="E7761" t="s">
        <v>27</v>
      </c>
      <c r="F7761">
        <v>154.6</v>
      </c>
      <c r="G7761" t="str">
        <f>VLOOKUP(Table1_2[[#This Row],[Categories]],Sheet3!$A$1:$B$27,2,FALSE)</f>
        <v>Household Items</v>
      </c>
    </row>
    <row r="7762" spans="1:7" x14ac:dyDescent="0.3">
      <c r="A7762" t="s">
        <v>30</v>
      </c>
      <c r="B7762">
        <v>2021</v>
      </c>
      <c r="C7762" t="s">
        <v>37</v>
      </c>
      <c r="D7762" s="2">
        <v>44287</v>
      </c>
      <c r="E7762" t="s">
        <v>28</v>
      </c>
      <c r="F7762">
        <v>158</v>
      </c>
      <c r="G7762" t="str">
        <f>VLOOKUP(Table1_2[[#This Row],[Categories]],Sheet3!$A$1:$B$27,2,FALSE)</f>
        <v>Miscellaneous</v>
      </c>
    </row>
    <row r="7763" spans="1:7" x14ac:dyDescent="0.3">
      <c r="A7763" t="s">
        <v>30</v>
      </c>
      <c r="B7763">
        <v>2021</v>
      </c>
      <c r="C7763" t="s">
        <v>37</v>
      </c>
      <c r="D7763" s="2">
        <v>44287</v>
      </c>
      <c r="E7763" t="s">
        <v>29</v>
      </c>
      <c r="F7763">
        <v>157.6</v>
      </c>
      <c r="G7763" t="str">
        <f>VLOOKUP(Table1_2[[#This Row],[Categories]],Sheet3!$A$1:$B$27,2,FALSE)</f>
        <v>General index</v>
      </c>
    </row>
    <row r="7764" spans="1:7" x14ac:dyDescent="0.3">
      <c r="A7764" t="s">
        <v>33</v>
      </c>
      <c r="B7764">
        <v>2021</v>
      </c>
      <c r="C7764" t="s">
        <v>37</v>
      </c>
      <c r="D7764" s="2">
        <v>44287</v>
      </c>
      <c r="E7764" t="s">
        <v>3</v>
      </c>
      <c r="F7764">
        <v>147.6</v>
      </c>
      <c r="G7764" t="str">
        <f>VLOOKUP(Table1_2[[#This Row],[Categories]],Sheet3!$A$1:$B$27,2,FALSE)</f>
        <v>Food &amp;Beverage</v>
      </c>
    </row>
    <row r="7765" spans="1:7" x14ac:dyDescent="0.3">
      <c r="A7765" t="s">
        <v>33</v>
      </c>
      <c r="B7765">
        <v>2021</v>
      </c>
      <c r="C7765" t="s">
        <v>37</v>
      </c>
      <c r="D7765" s="2">
        <v>44287</v>
      </c>
      <c r="E7765" t="s">
        <v>4</v>
      </c>
      <c r="F7765">
        <v>202.5</v>
      </c>
      <c r="G7765" t="str">
        <f>VLOOKUP(Table1_2[[#This Row],[Categories]],Sheet3!$A$1:$B$27,2,FALSE)</f>
        <v>Food &amp;Beverage</v>
      </c>
    </row>
    <row r="7766" spans="1:7" x14ac:dyDescent="0.3">
      <c r="A7766" t="s">
        <v>33</v>
      </c>
      <c r="B7766">
        <v>2021</v>
      </c>
      <c r="C7766" t="s">
        <v>37</v>
      </c>
      <c r="D7766" s="2">
        <v>44287</v>
      </c>
      <c r="E7766" t="s">
        <v>5</v>
      </c>
      <c r="F7766">
        <v>166.4</v>
      </c>
      <c r="G7766" t="str">
        <f>VLOOKUP(Table1_2[[#This Row],[Categories]],Sheet3!$A$1:$B$27,2,FALSE)</f>
        <v>Food &amp;Beverage</v>
      </c>
    </row>
    <row r="7767" spans="1:7" x14ac:dyDescent="0.3">
      <c r="A7767" t="s">
        <v>33</v>
      </c>
      <c r="B7767">
        <v>2021</v>
      </c>
      <c r="C7767" t="s">
        <v>37</v>
      </c>
      <c r="D7767" s="2">
        <v>44287</v>
      </c>
      <c r="E7767" t="s">
        <v>6</v>
      </c>
      <c r="F7767">
        <v>156</v>
      </c>
      <c r="G7767" t="str">
        <f>VLOOKUP(Table1_2[[#This Row],[Categories]],Sheet3!$A$1:$B$27,2,FALSE)</f>
        <v>Food &amp;Beverage</v>
      </c>
    </row>
    <row r="7768" spans="1:7" x14ac:dyDescent="0.3">
      <c r="A7768" t="s">
        <v>33</v>
      </c>
      <c r="B7768">
        <v>2021</v>
      </c>
      <c r="C7768" t="s">
        <v>37</v>
      </c>
      <c r="D7768" s="2">
        <v>44287</v>
      </c>
      <c r="E7768" t="s">
        <v>7</v>
      </c>
      <c r="F7768">
        <v>161.4</v>
      </c>
      <c r="G7768" t="str">
        <f>VLOOKUP(Table1_2[[#This Row],[Categories]],Sheet3!$A$1:$B$27,2,FALSE)</f>
        <v>Food &amp;Beverage</v>
      </c>
    </row>
    <row r="7769" spans="1:7" x14ac:dyDescent="0.3">
      <c r="A7769" t="s">
        <v>33</v>
      </c>
      <c r="B7769">
        <v>2021</v>
      </c>
      <c r="C7769" t="s">
        <v>37</v>
      </c>
      <c r="D7769" s="2">
        <v>44287</v>
      </c>
      <c r="E7769" t="s">
        <v>8</v>
      </c>
      <c r="F7769">
        <v>168.8</v>
      </c>
      <c r="G7769" t="str">
        <f>VLOOKUP(Table1_2[[#This Row],[Categories]],Sheet3!$A$1:$B$27,2,FALSE)</f>
        <v>Food &amp;Beverage</v>
      </c>
    </row>
    <row r="7770" spans="1:7" x14ac:dyDescent="0.3">
      <c r="A7770" t="s">
        <v>33</v>
      </c>
      <c r="B7770">
        <v>2021</v>
      </c>
      <c r="C7770" t="s">
        <v>37</v>
      </c>
      <c r="D7770" s="2">
        <v>44287</v>
      </c>
      <c r="E7770" t="s">
        <v>9</v>
      </c>
      <c r="F7770">
        <v>161.6</v>
      </c>
      <c r="G7770" t="str">
        <f>VLOOKUP(Table1_2[[#This Row],[Categories]],Sheet3!$A$1:$B$27,2,FALSE)</f>
        <v>Food &amp;Beverage</v>
      </c>
    </row>
    <row r="7771" spans="1:7" x14ac:dyDescent="0.3">
      <c r="A7771" t="s">
        <v>33</v>
      </c>
      <c r="B7771">
        <v>2021</v>
      </c>
      <c r="C7771" t="s">
        <v>37</v>
      </c>
      <c r="D7771" s="2">
        <v>44287</v>
      </c>
      <c r="E7771" t="s">
        <v>10</v>
      </c>
      <c r="F7771">
        <v>162.80000000000001</v>
      </c>
      <c r="G7771" t="str">
        <f>VLOOKUP(Table1_2[[#This Row],[Categories]],Sheet3!$A$1:$B$27,2,FALSE)</f>
        <v>Food &amp;Beverage</v>
      </c>
    </row>
    <row r="7772" spans="1:7" x14ac:dyDescent="0.3">
      <c r="A7772" t="s">
        <v>33</v>
      </c>
      <c r="B7772">
        <v>2021</v>
      </c>
      <c r="C7772" t="s">
        <v>37</v>
      </c>
      <c r="D7772" s="2">
        <v>44287</v>
      </c>
      <c r="E7772" t="s">
        <v>11</v>
      </c>
      <c r="F7772">
        <v>114.8</v>
      </c>
      <c r="G7772" t="str">
        <f>VLOOKUP(Table1_2[[#This Row],[Categories]],Sheet3!$A$1:$B$27,2,FALSE)</f>
        <v>Food &amp;Beverage</v>
      </c>
    </row>
    <row r="7773" spans="1:7" x14ac:dyDescent="0.3">
      <c r="A7773" t="s">
        <v>33</v>
      </c>
      <c r="B7773">
        <v>2021</v>
      </c>
      <c r="C7773" t="s">
        <v>37</v>
      </c>
      <c r="D7773" s="2">
        <v>44287</v>
      </c>
      <c r="E7773" t="s">
        <v>12</v>
      </c>
      <c r="F7773">
        <v>162.80000000000001</v>
      </c>
      <c r="G7773" t="str">
        <f>VLOOKUP(Table1_2[[#This Row],[Categories]],Sheet3!$A$1:$B$27,2,FALSE)</f>
        <v>Food &amp;Beverage</v>
      </c>
    </row>
    <row r="7774" spans="1:7" x14ac:dyDescent="0.3">
      <c r="A7774" t="s">
        <v>33</v>
      </c>
      <c r="B7774">
        <v>2021</v>
      </c>
      <c r="C7774" t="s">
        <v>37</v>
      </c>
      <c r="D7774" s="2">
        <v>44287</v>
      </c>
      <c r="E7774" t="s">
        <v>13</v>
      </c>
      <c r="F7774">
        <v>151.5</v>
      </c>
      <c r="G7774" t="str">
        <f>VLOOKUP(Table1_2[[#This Row],[Categories]],Sheet3!$A$1:$B$27,2,FALSE)</f>
        <v>Food &amp;Beverage</v>
      </c>
    </row>
    <row r="7775" spans="1:7" x14ac:dyDescent="0.3">
      <c r="A7775" t="s">
        <v>33</v>
      </c>
      <c r="B7775">
        <v>2021</v>
      </c>
      <c r="C7775" t="s">
        <v>37</v>
      </c>
      <c r="D7775" s="2">
        <v>44287</v>
      </c>
      <c r="E7775" t="s">
        <v>14</v>
      </c>
      <c r="F7775">
        <v>171.4</v>
      </c>
      <c r="G7775" t="str">
        <f>VLOOKUP(Table1_2[[#This Row],[Categories]],Sheet3!$A$1:$B$27,2,FALSE)</f>
        <v>Food &amp;Beverage</v>
      </c>
    </row>
    <row r="7776" spans="1:7" x14ac:dyDescent="0.3">
      <c r="A7776" t="s">
        <v>33</v>
      </c>
      <c r="B7776">
        <v>2021</v>
      </c>
      <c r="C7776" t="s">
        <v>37</v>
      </c>
      <c r="D7776" s="2">
        <v>44287</v>
      </c>
      <c r="E7776" t="s">
        <v>15</v>
      </c>
      <c r="F7776">
        <v>162</v>
      </c>
      <c r="G7776" t="str">
        <f>VLOOKUP(Table1_2[[#This Row],[Categories]],Sheet3!$A$1:$B$27,2,FALSE)</f>
        <v>Food &amp;Beverage</v>
      </c>
    </row>
    <row r="7777" spans="1:7" x14ac:dyDescent="0.3">
      <c r="A7777" t="s">
        <v>33</v>
      </c>
      <c r="B7777">
        <v>2021</v>
      </c>
      <c r="C7777" t="s">
        <v>37</v>
      </c>
      <c r="D7777" s="2">
        <v>44287</v>
      </c>
      <c r="E7777" t="s">
        <v>16</v>
      </c>
      <c r="F7777">
        <v>194.4</v>
      </c>
      <c r="G7777" t="str">
        <f>VLOOKUP(Table1_2[[#This Row],[Categories]],Sheet3!$A$1:$B$27,2,FALSE)</f>
        <v>Recreation and amusement</v>
      </c>
    </row>
    <row r="7778" spans="1:7" x14ac:dyDescent="0.3">
      <c r="A7778" t="s">
        <v>33</v>
      </c>
      <c r="B7778">
        <v>2021</v>
      </c>
      <c r="C7778" t="s">
        <v>37</v>
      </c>
      <c r="D7778" s="2">
        <v>44287</v>
      </c>
      <c r="E7778" t="s">
        <v>17</v>
      </c>
      <c r="F7778">
        <v>155.9</v>
      </c>
      <c r="G7778" t="str">
        <f>VLOOKUP(Table1_2[[#This Row],[Categories]],Sheet3!$A$1:$B$27,2,FALSE)</f>
        <v>Clothing and footwear</v>
      </c>
    </row>
    <row r="7779" spans="1:7" x14ac:dyDescent="0.3">
      <c r="A7779" t="s">
        <v>33</v>
      </c>
      <c r="B7779">
        <v>2021</v>
      </c>
      <c r="C7779" t="s">
        <v>37</v>
      </c>
      <c r="D7779" s="2">
        <v>44287</v>
      </c>
      <c r="E7779" t="s">
        <v>18</v>
      </c>
      <c r="F7779">
        <v>139.30000000000001</v>
      </c>
      <c r="G7779" t="str">
        <f>VLOOKUP(Table1_2[[#This Row],[Categories]],Sheet3!$A$1:$B$27,2,FALSE)</f>
        <v>Clothing and footwear</v>
      </c>
    </row>
    <row r="7780" spans="1:7" x14ac:dyDescent="0.3">
      <c r="A7780" t="s">
        <v>33</v>
      </c>
      <c r="B7780">
        <v>2021</v>
      </c>
      <c r="C7780" t="s">
        <v>37</v>
      </c>
      <c r="D7780" s="2">
        <v>44287</v>
      </c>
      <c r="E7780" t="s">
        <v>19</v>
      </c>
      <c r="F7780">
        <v>153.4</v>
      </c>
      <c r="G7780" t="str">
        <f>VLOOKUP(Table1_2[[#This Row],[Categories]],Sheet3!$A$1:$B$27,2,FALSE)</f>
        <v>Clothing and footwear</v>
      </c>
    </row>
    <row r="7781" spans="1:7" x14ac:dyDescent="0.3">
      <c r="A7781" t="s">
        <v>33</v>
      </c>
      <c r="B7781">
        <v>2021</v>
      </c>
      <c r="C7781" t="s">
        <v>37</v>
      </c>
      <c r="D7781" s="2">
        <v>44287</v>
      </c>
      <c r="E7781" t="s">
        <v>20</v>
      </c>
      <c r="F7781">
        <v>161.4</v>
      </c>
      <c r="G7781" t="str">
        <f>VLOOKUP(Table1_2[[#This Row],[Categories]],Sheet3!$A$1:$B$27,2,FALSE)</f>
        <v>Housing</v>
      </c>
    </row>
    <row r="7782" spans="1:7" x14ac:dyDescent="0.3">
      <c r="A7782" t="s">
        <v>33</v>
      </c>
      <c r="B7782">
        <v>2021</v>
      </c>
      <c r="C7782" t="s">
        <v>37</v>
      </c>
      <c r="D7782" s="2">
        <v>44287</v>
      </c>
      <c r="E7782" t="s">
        <v>21</v>
      </c>
      <c r="F7782">
        <v>154.9</v>
      </c>
      <c r="G7782" t="str">
        <f>VLOOKUP(Table1_2[[#This Row],[Categories]],Sheet3!$A$1:$B$27,2,FALSE)</f>
        <v>Fuel and light</v>
      </c>
    </row>
    <row r="7783" spans="1:7" x14ac:dyDescent="0.3">
      <c r="A7783" t="s">
        <v>33</v>
      </c>
      <c r="B7783">
        <v>2021</v>
      </c>
      <c r="C7783" t="s">
        <v>37</v>
      </c>
      <c r="D7783" s="2">
        <v>44287</v>
      </c>
      <c r="E7783" t="s">
        <v>22</v>
      </c>
      <c r="F7783">
        <v>147.6</v>
      </c>
      <c r="G7783" t="str">
        <f>VLOOKUP(Table1_2[[#This Row],[Categories]],Sheet3!$A$1:$B$27,2,FALSE)</f>
        <v>Household Items</v>
      </c>
    </row>
    <row r="7784" spans="1:7" x14ac:dyDescent="0.3">
      <c r="A7784" t="s">
        <v>33</v>
      </c>
      <c r="B7784">
        <v>2021</v>
      </c>
      <c r="C7784" t="s">
        <v>37</v>
      </c>
      <c r="D7784" s="2">
        <v>44287</v>
      </c>
      <c r="E7784" t="s">
        <v>23</v>
      </c>
      <c r="F7784">
        <v>157.5</v>
      </c>
      <c r="G7784" t="str">
        <f>VLOOKUP(Table1_2[[#This Row],[Categories]],Sheet3!$A$1:$B$27,2,FALSE)</f>
        <v>Health</v>
      </c>
    </row>
    <row r="7785" spans="1:7" x14ac:dyDescent="0.3">
      <c r="A7785" t="s">
        <v>33</v>
      </c>
      <c r="B7785">
        <v>2021</v>
      </c>
      <c r="C7785" t="s">
        <v>37</v>
      </c>
      <c r="D7785" s="2">
        <v>44287</v>
      </c>
      <c r="E7785" t="s">
        <v>24</v>
      </c>
      <c r="F7785">
        <v>142.1</v>
      </c>
      <c r="G7785" t="str">
        <f>VLOOKUP(Table1_2[[#This Row],[Categories]],Sheet3!$A$1:$B$27,2,FALSE)</f>
        <v>Transport and communication</v>
      </c>
    </row>
    <row r="7786" spans="1:7" x14ac:dyDescent="0.3">
      <c r="A7786" t="s">
        <v>33</v>
      </c>
      <c r="B7786">
        <v>2021</v>
      </c>
      <c r="C7786" t="s">
        <v>37</v>
      </c>
      <c r="D7786" s="2">
        <v>44287</v>
      </c>
      <c r="E7786" t="s">
        <v>25</v>
      </c>
      <c r="F7786">
        <v>149.1</v>
      </c>
      <c r="G7786" t="str">
        <f>VLOOKUP(Table1_2[[#This Row],[Categories]],Sheet3!$A$1:$B$27,2,FALSE)</f>
        <v>Recreation and amusement</v>
      </c>
    </row>
    <row r="7787" spans="1:7" x14ac:dyDescent="0.3">
      <c r="A7787" t="s">
        <v>33</v>
      </c>
      <c r="B7787">
        <v>2021</v>
      </c>
      <c r="C7787" t="s">
        <v>37</v>
      </c>
      <c r="D7787" s="2">
        <v>44287</v>
      </c>
      <c r="E7787" t="s">
        <v>26</v>
      </c>
      <c r="F7787">
        <v>157.6</v>
      </c>
      <c r="G7787" t="str">
        <f>VLOOKUP(Table1_2[[#This Row],[Categories]],Sheet3!$A$1:$B$27,2,FALSE)</f>
        <v>Education</v>
      </c>
    </row>
    <row r="7788" spans="1:7" x14ac:dyDescent="0.3">
      <c r="A7788" t="s">
        <v>33</v>
      </c>
      <c r="B7788">
        <v>2021</v>
      </c>
      <c r="C7788" t="s">
        <v>37</v>
      </c>
      <c r="D7788" s="2">
        <v>44287</v>
      </c>
      <c r="E7788" t="s">
        <v>27</v>
      </c>
      <c r="F7788">
        <v>156.6</v>
      </c>
      <c r="G7788" t="str">
        <f>VLOOKUP(Table1_2[[#This Row],[Categories]],Sheet3!$A$1:$B$27,2,FALSE)</f>
        <v>Household Items</v>
      </c>
    </row>
    <row r="7789" spans="1:7" x14ac:dyDescent="0.3">
      <c r="A7789" t="s">
        <v>33</v>
      </c>
      <c r="B7789">
        <v>2021</v>
      </c>
      <c r="C7789" t="s">
        <v>37</v>
      </c>
      <c r="D7789" s="2">
        <v>44287</v>
      </c>
      <c r="E7789" t="s">
        <v>28</v>
      </c>
      <c r="F7789">
        <v>150.5</v>
      </c>
      <c r="G7789" t="str">
        <f>VLOOKUP(Table1_2[[#This Row],[Categories]],Sheet3!$A$1:$B$27,2,FALSE)</f>
        <v>Miscellaneous</v>
      </c>
    </row>
    <row r="7790" spans="1:7" x14ac:dyDescent="0.3">
      <c r="A7790" t="s">
        <v>33</v>
      </c>
      <c r="B7790">
        <v>2021</v>
      </c>
      <c r="C7790" t="s">
        <v>37</v>
      </c>
      <c r="D7790" s="2">
        <v>44287</v>
      </c>
      <c r="E7790" t="s">
        <v>29</v>
      </c>
      <c r="F7790">
        <v>158</v>
      </c>
      <c r="G7790" t="str">
        <f>VLOOKUP(Table1_2[[#This Row],[Categories]],Sheet3!$A$1:$B$27,2,FALSE)</f>
        <v>General index</v>
      </c>
    </row>
    <row r="7791" spans="1:7" x14ac:dyDescent="0.3">
      <c r="A7791" t="s">
        <v>34</v>
      </c>
      <c r="B7791">
        <v>2021</v>
      </c>
      <c r="C7791" t="s">
        <v>37</v>
      </c>
      <c r="D7791" s="2">
        <v>44287</v>
      </c>
      <c r="E7791" t="s">
        <v>3</v>
      </c>
      <c r="F7791">
        <v>144.30000000000001</v>
      </c>
      <c r="G7791" t="str">
        <f>VLOOKUP(Table1_2[[#This Row],[Categories]],Sheet3!$A$1:$B$27,2,FALSE)</f>
        <v>Food &amp;Beverage</v>
      </c>
    </row>
    <row r="7792" spans="1:7" x14ac:dyDescent="0.3">
      <c r="A7792" t="s">
        <v>34</v>
      </c>
      <c r="B7792">
        <v>2021</v>
      </c>
      <c r="C7792" t="s">
        <v>37</v>
      </c>
      <c r="D7792" s="2">
        <v>44287</v>
      </c>
      <c r="E7792" t="s">
        <v>4</v>
      </c>
      <c r="F7792">
        <v>198</v>
      </c>
      <c r="G7792" t="str">
        <f>VLOOKUP(Table1_2[[#This Row],[Categories]],Sheet3!$A$1:$B$27,2,FALSE)</f>
        <v>Food &amp;Beverage</v>
      </c>
    </row>
    <row r="7793" spans="1:7" x14ac:dyDescent="0.3">
      <c r="A7793" t="s">
        <v>34</v>
      </c>
      <c r="B7793">
        <v>2021</v>
      </c>
      <c r="C7793" t="s">
        <v>37</v>
      </c>
      <c r="D7793" s="2">
        <v>44287</v>
      </c>
      <c r="E7793" t="s">
        <v>5</v>
      </c>
      <c r="F7793">
        <v>164.6</v>
      </c>
      <c r="G7793" t="str">
        <f>VLOOKUP(Table1_2[[#This Row],[Categories]],Sheet3!$A$1:$B$27,2,FALSE)</f>
        <v>Food &amp;Beverage</v>
      </c>
    </row>
    <row r="7794" spans="1:7" x14ac:dyDescent="0.3">
      <c r="A7794" t="s">
        <v>34</v>
      </c>
      <c r="B7794">
        <v>2021</v>
      </c>
      <c r="C7794" t="s">
        <v>37</v>
      </c>
      <c r="D7794" s="2">
        <v>44287</v>
      </c>
      <c r="E7794" t="s">
        <v>6</v>
      </c>
      <c r="F7794">
        <v>155.4</v>
      </c>
      <c r="G7794" t="str">
        <f>VLOOKUP(Table1_2[[#This Row],[Categories]],Sheet3!$A$1:$B$27,2,FALSE)</f>
        <v>Food &amp;Beverage</v>
      </c>
    </row>
    <row r="7795" spans="1:7" x14ac:dyDescent="0.3">
      <c r="A7795" t="s">
        <v>34</v>
      </c>
      <c r="B7795">
        <v>2021</v>
      </c>
      <c r="C7795" t="s">
        <v>37</v>
      </c>
      <c r="D7795" s="2">
        <v>44287</v>
      </c>
      <c r="E7795" t="s">
        <v>7</v>
      </c>
      <c r="F7795">
        <v>170.1</v>
      </c>
      <c r="G7795" t="str">
        <f>VLOOKUP(Table1_2[[#This Row],[Categories]],Sheet3!$A$1:$B$27,2,FALSE)</f>
        <v>Food &amp;Beverage</v>
      </c>
    </row>
    <row r="7796" spans="1:7" x14ac:dyDescent="0.3">
      <c r="A7796" t="s">
        <v>34</v>
      </c>
      <c r="B7796">
        <v>2021</v>
      </c>
      <c r="C7796" t="s">
        <v>37</v>
      </c>
      <c r="D7796" s="2">
        <v>44287</v>
      </c>
      <c r="E7796" t="s">
        <v>8</v>
      </c>
      <c r="F7796">
        <v>164.4</v>
      </c>
      <c r="G7796" t="str">
        <f>VLOOKUP(Table1_2[[#This Row],[Categories]],Sheet3!$A$1:$B$27,2,FALSE)</f>
        <v>Food &amp;Beverage</v>
      </c>
    </row>
    <row r="7797" spans="1:7" x14ac:dyDescent="0.3">
      <c r="A7797" t="s">
        <v>34</v>
      </c>
      <c r="B7797">
        <v>2021</v>
      </c>
      <c r="C7797" t="s">
        <v>37</v>
      </c>
      <c r="D7797" s="2">
        <v>44287</v>
      </c>
      <c r="E7797" t="s">
        <v>9</v>
      </c>
      <c r="F7797">
        <v>144.1</v>
      </c>
      <c r="G7797" t="str">
        <f>VLOOKUP(Table1_2[[#This Row],[Categories]],Sheet3!$A$1:$B$27,2,FALSE)</f>
        <v>Food &amp;Beverage</v>
      </c>
    </row>
    <row r="7798" spans="1:7" x14ac:dyDescent="0.3">
      <c r="A7798" t="s">
        <v>34</v>
      </c>
      <c r="B7798">
        <v>2021</v>
      </c>
      <c r="C7798" t="s">
        <v>37</v>
      </c>
      <c r="D7798" s="2">
        <v>44287</v>
      </c>
      <c r="E7798" t="s">
        <v>10</v>
      </c>
      <c r="F7798">
        <v>161.69999999999999</v>
      </c>
      <c r="G7798" t="str">
        <f>VLOOKUP(Table1_2[[#This Row],[Categories]],Sheet3!$A$1:$B$27,2,FALSE)</f>
        <v>Food &amp;Beverage</v>
      </c>
    </row>
    <row r="7799" spans="1:7" x14ac:dyDescent="0.3">
      <c r="A7799" t="s">
        <v>34</v>
      </c>
      <c r="B7799">
        <v>2021</v>
      </c>
      <c r="C7799" t="s">
        <v>37</v>
      </c>
      <c r="D7799" s="2">
        <v>44287</v>
      </c>
      <c r="E7799" t="s">
        <v>11</v>
      </c>
      <c r="F7799">
        <v>113.1</v>
      </c>
      <c r="G7799" t="str">
        <f>VLOOKUP(Table1_2[[#This Row],[Categories]],Sheet3!$A$1:$B$27,2,FALSE)</f>
        <v>Food &amp;Beverage</v>
      </c>
    </row>
    <row r="7800" spans="1:7" x14ac:dyDescent="0.3">
      <c r="A7800" t="s">
        <v>34</v>
      </c>
      <c r="B7800">
        <v>2021</v>
      </c>
      <c r="C7800" t="s">
        <v>37</v>
      </c>
      <c r="D7800" s="2">
        <v>44287</v>
      </c>
      <c r="E7800" t="s">
        <v>12</v>
      </c>
      <c r="F7800">
        <v>163.9</v>
      </c>
      <c r="G7800" t="str">
        <f>VLOOKUP(Table1_2[[#This Row],[Categories]],Sheet3!$A$1:$B$27,2,FALSE)</f>
        <v>Food &amp;Beverage</v>
      </c>
    </row>
    <row r="7801" spans="1:7" x14ac:dyDescent="0.3">
      <c r="A7801" t="s">
        <v>34</v>
      </c>
      <c r="B7801">
        <v>2021</v>
      </c>
      <c r="C7801" t="s">
        <v>37</v>
      </c>
      <c r="D7801" s="2">
        <v>44287</v>
      </c>
      <c r="E7801" t="s">
        <v>13</v>
      </c>
      <c r="F7801">
        <v>157.6</v>
      </c>
      <c r="G7801" t="str">
        <f>VLOOKUP(Table1_2[[#This Row],[Categories]],Sheet3!$A$1:$B$27,2,FALSE)</f>
        <v>Food &amp;Beverage</v>
      </c>
    </row>
    <row r="7802" spans="1:7" x14ac:dyDescent="0.3">
      <c r="A7802" t="s">
        <v>34</v>
      </c>
      <c r="B7802">
        <v>2021</v>
      </c>
      <c r="C7802" t="s">
        <v>37</v>
      </c>
      <c r="D7802" s="2">
        <v>44287</v>
      </c>
      <c r="E7802" t="s">
        <v>14</v>
      </c>
      <c r="F7802">
        <v>168.9</v>
      </c>
      <c r="G7802" t="str">
        <f>VLOOKUP(Table1_2[[#This Row],[Categories]],Sheet3!$A$1:$B$27,2,FALSE)</f>
        <v>Food &amp;Beverage</v>
      </c>
    </row>
    <row r="7803" spans="1:7" x14ac:dyDescent="0.3">
      <c r="A7803" t="s">
        <v>34</v>
      </c>
      <c r="B7803">
        <v>2021</v>
      </c>
      <c r="C7803" t="s">
        <v>37</v>
      </c>
      <c r="D7803" s="2">
        <v>44287</v>
      </c>
      <c r="E7803" t="s">
        <v>15</v>
      </c>
      <c r="F7803">
        <v>158</v>
      </c>
      <c r="G7803" t="str">
        <f>VLOOKUP(Table1_2[[#This Row],[Categories]],Sheet3!$A$1:$B$27,2,FALSE)</f>
        <v>Food &amp;Beverage</v>
      </c>
    </row>
    <row r="7804" spans="1:7" x14ac:dyDescent="0.3">
      <c r="A7804" t="s">
        <v>34</v>
      </c>
      <c r="B7804">
        <v>2021</v>
      </c>
      <c r="C7804" t="s">
        <v>37</v>
      </c>
      <c r="D7804" s="2">
        <v>44287</v>
      </c>
      <c r="E7804" t="s">
        <v>16</v>
      </c>
      <c r="F7804">
        <v>188.8</v>
      </c>
      <c r="G7804" t="str">
        <f>VLOOKUP(Table1_2[[#This Row],[Categories]],Sheet3!$A$1:$B$27,2,FALSE)</f>
        <v>Recreation and amusement</v>
      </c>
    </row>
    <row r="7805" spans="1:7" x14ac:dyDescent="0.3">
      <c r="A7805" t="s">
        <v>34</v>
      </c>
      <c r="B7805">
        <v>2021</v>
      </c>
      <c r="C7805" t="s">
        <v>37</v>
      </c>
      <c r="D7805" s="2">
        <v>44287</v>
      </c>
      <c r="E7805" t="s">
        <v>17</v>
      </c>
      <c r="F7805">
        <v>158.80000000000001</v>
      </c>
      <c r="G7805" t="str">
        <f>VLOOKUP(Table1_2[[#This Row],[Categories]],Sheet3!$A$1:$B$27,2,FALSE)</f>
        <v>Clothing and footwear</v>
      </c>
    </row>
    <row r="7806" spans="1:7" x14ac:dyDescent="0.3">
      <c r="A7806" t="s">
        <v>34</v>
      </c>
      <c r="B7806">
        <v>2021</v>
      </c>
      <c r="C7806" t="s">
        <v>37</v>
      </c>
      <c r="D7806" s="2">
        <v>44287</v>
      </c>
      <c r="E7806" t="s">
        <v>18</v>
      </c>
      <c r="F7806">
        <v>148.5</v>
      </c>
      <c r="G7806" t="str">
        <f>VLOOKUP(Table1_2[[#This Row],[Categories]],Sheet3!$A$1:$B$27,2,FALSE)</f>
        <v>Clothing and footwear</v>
      </c>
    </row>
    <row r="7807" spans="1:7" x14ac:dyDescent="0.3">
      <c r="A7807" t="s">
        <v>34</v>
      </c>
      <c r="B7807">
        <v>2021</v>
      </c>
      <c r="C7807" t="s">
        <v>37</v>
      </c>
      <c r="D7807" s="2">
        <v>44287</v>
      </c>
      <c r="E7807" t="s">
        <v>19</v>
      </c>
      <c r="F7807">
        <v>157.30000000000001</v>
      </c>
      <c r="G7807" t="str">
        <f>VLOOKUP(Table1_2[[#This Row],[Categories]],Sheet3!$A$1:$B$27,2,FALSE)</f>
        <v>Clothing and footwear</v>
      </c>
    </row>
    <row r="7808" spans="1:7" x14ac:dyDescent="0.3">
      <c r="A7808" t="s">
        <v>34</v>
      </c>
      <c r="B7808">
        <v>2021</v>
      </c>
      <c r="C7808" t="s">
        <v>37</v>
      </c>
      <c r="D7808" s="2">
        <v>44287</v>
      </c>
      <c r="E7808" t="s">
        <v>20</v>
      </c>
      <c r="F7808">
        <v>161.4</v>
      </c>
      <c r="G7808" t="str">
        <f>VLOOKUP(Table1_2[[#This Row],[Categories]],Sheet3!$A$1:$B$27,2,FALSE)</f>
        <v>Housing</v>
      </c>
    </row>
    <row r="7809" spans="1:7" x14ac:dyDescent="0.3">
      <c r="A7809" t="s">
        <v>34</v>
      </c>
      <c r="B7809">
        <v>2021</v>
      </c>
      <c r="C7809" t="s">
        <v>37</v>
      </c>
      <c r="D7809" s="2">
        <v>44287</v>
      </c>
      <c r="E7809" t="s">
        <v>21</v>
      </c>
      <c r="F7809">
        <v>155.6</v>
      </c>
      <c r="G7809" t="str">
        <f>VLOOKUP(Table1_2[[#This Row],[Categories]],Sheet3!$A$1:$B$27,2,FALSE)</f>
        <v>Fuel and light</v>
      </c>
    </row>
    <row r="7810" spans="1:7" x14ac:dyDescent="0.3">
      <c r="A7810" t="s">
        <v>34</v>
      </c>
      <c r="B7810">
        <v>2021</v>
      </c>
      <c r="C7810" t="s">
        <v>37</v>
      </c>
      <c r="D7810" s="2">
        <v>44287</v>
      </c>
      <c r="E7810" t="s">
        <v>22</v>
      </c>
      <c r="F7810">
        <v>151.80000000000001</v>
      </c>
      <c r="G7810" t="str">
        <f>VLOOKUP(Table1_2[[#This Row],[Categories]],Sheet3!$A$1:$B$27,2,FALSE)</f>
        <v>Household Items</v>
      </c>
    </row>
    <row r="7811" spans="1:7" x14ac:dyDescent="0.3">
      <c r="A7811" t="s">
        <v>34</v>
      </c>
      <c r="B7811">
        <v>2021</v>
      </c>
      <c r="C7811" t="s">
        <v>37</v>
      </c>
      <c r="D7811" s="2">
        <v>44287</v>
      </c>
      <c r="E7811" t="s">
        <v>23</v>
      </c>
      <c r="F7811">
        <v>162.30000000000001</v>
      </c>
      <c r="G7811" t="str">
        <f>VLOOKUP(Table1_2[[#This Row],[Categories]],Sheet3!$A$1:$B$27,2,FALSE)</f>
        <v>Health</v>
      </c>
    </row>
    <row r="7812" spans="1:7" x14ac:dyDescent="0.3">
      <c r="A7812" t="s">
        <v>34</v>
      </c>
      <c r="B7812">
        <v>2021</v>
      </c>
      <c r="C7812" t="s">
        <v>37</v>
      </c>
      <c r="D7812" s="2">
        <v>44287</v>
      </c>
      <c r="E7812" t="s">
        <v>24</v>
      </c>
      <c r="F7812">
        <v>146.6</v>
      </c>
      <c r="G7812" t="str">
        <f>VLOOKUP(Table1_2[[#This Row],[Categories]],Sheet3!$A$1:$B$27,2,FALSE)</f>
        <v>Transport and communication</v>
      </c>
    </row>
    <row r="7813" spans="1:7" x14ac:dyDescent="0.3">
      <c r="A7813" t="s">
        <v>34</v>
      </c>
      <c r="B7813">
        <v>2021</v>
      </c>
      <c r="C7813" t="s">
        <v>37</v>
      </c>
      <c r="D7813" s="2">
        <v>44287</v>
      </c>
      <c r="E7813" t="s">
        <v>25</v>
      </c>
      <c r="F7813">
        <v>153.19999999999999</v>
      </c>
      <c r="G7813" t="str">
        <f>VLOOKUP(Table1_2[[#This Row],[Categories]],Sheet3!$A$1:$B$27,2,FALSE)</f>
        <v>Recreation and amusement</v>
      </c>
    </row>
    <row r="7814" spans="1:7" x14ac:dyDescent="0.3">
      <c r="A7814" t="s">
        <v>34</v>
      </c>
      <c r="B7814">
        <v>2021</v>
      </c>
      <c r="C7814" t="s">
        <v>37</v>
      </c>
      <c r="D7814" s="2">
        <v>44287</v>
      </c>
      <c r="E7814" t="s">
        <v>26</v>
      </c>
      <c r="F7814">
        <v>160.30000000000001</v>
      </c>
      <c r="G7814" t="str">
        <f>VLOOKUP(Table1_2[[#This Row],[Categories]],Sheet3!$A$1:$B$27,2,FALSE)</f>
        <v>Education</v>
      </c>
    </row>
    <row r="7815" spans="1:7" x14ac:dyDescent="0.3">
      <c r="A7815" t="s">
        <v>34</v>
      </c>
      <c r="B7815">
        <v>2021</v>
      </c>
      <c r="C7815" t="s">
        <v>37</v>
      </c>
      <c r="D7815" s="2">
        <v>44287</v>
      </c>
      <c r="E7815" t="s">
        <v>27</v>
      </c>
      <c r="F7815">
        <v>155.4</v>
      </c>
      <c r="G7815" t="str">
        <f>VLOOKUP(Table1_2[[#This Row],[Categories]],Sheet3!$A$1:$B$27,2,FALSE)</f>
        <v>Household Items</v>
      </c>
    </row>
    <row r="7816" spans="1:7" x14ac:dyDescent="0.3">
      <c r="A7816" t="s">
        <v>34</v>
      </c>
      <c r="B7816">
        <v>2021</v>
      </c>
      <c r="C7816" t="s">
        <v>37</v>
      </c>
      <c r="D7816" s="2">
        <v>44287</v>
      </c>
      <c r="E7816" t="s">
        <v>28</v>
      </c>
      <c r="F7816">
        <v>154.4</v>
      </c>
      <c r="G7816" t="str">
        <f>VLOOKUP(Table1_2[[#This Row],[Categories]],Sheet3!$A$1:$B$27,2,FALSE)</f>
        <v>Miscellaneous</v>
      </c>
    </row>
    <row r="7817" spans="1:7" x14ac:dyDescent="0.3">
      <c r="A7817" t="s">
        <v>34</v>
      </c>
      <c r="B7817">
        <v>2021</v>
      </c>
      <c r="C7817" t="s">
        <v>37</v>
      </c>
      <c r="D7817" s="2">
        <v>44287</v>
      </c>
      <c r="E7817" t="s">
        <v>29</v>
      </c>
      <c r="F7817">
        <v>157.80000000000001</v>
      </c>
      <c r="G7817" t="str">
        <f>VLOOKUP(Table1_2[[#This Row],[Categories]],Sheet3!$A$1:$B$27,2,FALSE)</f>
        <v>General index</v>
      </c>
    </row>
    <row r="7818" spans="1:7" x14ac:dyDescent="0.3">
      <c r="A7818" t="s">
        <v>30</v>
      </c>
      <c r="B7818">
        <v>2021</v>
      </c>
      <c r="C7818" t="s">
        <v>38</v>
      </c>
      <c r="D7818" s="2">
        <v>44317</v>
      </c>
      <c r="E7818" t="s">
        <v>3</v>
      </c>
      <c r="F7818">
        <v>145.1</v>
      </c>
      <c r="G7818" t="str">
        <f>VLOOKUP(Table1_2[[#This Row],[Categories]],Sheet3!$A$1:$B$27,2,FALSE)</f>
        <v>Food &amp;Beverage</v>
      </c>
    </row>
    <row r="7819" spans="1:7" x14ac:dyDescent="0.3">
      <c r="A7819" t="s">
        <v>30</v>
      </c>
      <c r="B7819">
        <v>2021</v>
      </c>
      <c r="C7819" t="s">
        <v>38</v>
      </c>
      <c r="D7819" s="2">
        <v>44317</v>
      </c>
      <c r="E7819" t="s">
        <v>4</v>
      </c>
      <c r="F7819">
        <v>198.5</v>
      </c>
      <c r="G7819" t="str">
        <f>VLOOKUP(Table1_2[[#This Row],[Categories]],Sheet3!$A$1:$B$27,2,FALSE)</f>
        <v>Food &amp;Beverage</v>
      </c>
    </row>
    <row r="7820" spans="1:7" x14ac:dyDescent="0.3">
      <c r="A7820" t="s">
        <v>30</v>
      </c>
      <c r="B7820">
        <v>2021</v>
      </c>
      <c r="C7820" t="s">
        <v>38</v>
      </c>
      <c r="D7820" s="2">
        <v>44317</v>
      </c>
      <c r="E7820" t="s">
        <v>5</v>
      </c>
      <c r="F7820">
        <v>168.6</v>
      </c>
      <c r="G7820" t="str">
        <f>VLOOKUP(Table1_2[[#This Row],[Categories]],Sheet3!$A$1:$B$27,2,FALSE)</f>
        <v>Food &amp;Beverage</v>
      </c>
    </row>
    <row r="7821" spans="1:7" x14ac:dyDescent="0.3">
      <c r="A7821" t="s">
        <v>30</v>
      </c>
      <c r="B7821">
        <v>2021</v>
      </c>
      <c r="C7821" t="s">
        <v>38</v>
      </c>
      <c r="D7821" s="2">
        <v>44317</v>
      </c>
      <c r="E7821" t="s">
        <v>6</v>
      </c>
      <c r="F7821">
        <v>155.80000000000001</v>
      </c>
      <c r="G7821" t="str">
        <f>VLOOKUP(Table1_2[[#This Row],[Categories]],Sheet3!$A$1:$B$27,2,FALSE)</f>
        <v>Food &amp;Beverage</v>
      </c>
    </row>
    <row r="7822" spans="1:7" x14ac:dyDescent="0.3">
      <c r="A7822" t="s">
        <v>30</v>
      </c>
      <c r="B7822">
        <v>2021</v>
      </c>
      <c r="C7822" t="s">
        <v>38</v>
      </c>
      <c r="D7822" s="2">
        <v>44317</v>
      </c>
      <c r="E7822" t="s">
        <v>7</v>
      </c>
      <c r="F7822">
        <v>184.4</v>
      </c>
      <c r="G7822" t="str">
        <f>VLOOKUP(Table1_2[[#This Row],[Categories]],Sheet3!$A$1:$B$27,2,FALSE)</f>
        <v>Food &amp;Beverage</v>
      </c>
    </row>
    <row r="7823" spans="1:7" x14ac:dyDescent="0.3">
      <c r="A7823" t="s">
        <v>30</v>
      </c>
      <c r="B7823">
        <v>2021</v>
      </c>
      <c r="C7823" t="s">
        <v>38</v>
      </c>
      <c r="D7823" s="2">
        <v>44317</v>
      </c>
      <c r="E7823" t="s">
        <v>8</v>
      </c>
      <c r="F7823">
        <v>162.30000000000001</v>
      </c>
      <c r="G7823" t="str">
        <f>VLOOKUP(Table1_2[[#This Row],[Categories]],Sheet3!$A$1:$B$27,2,FALSE)</f>
        <v>Food &amp;Beverage</v>
      </c>
    </row>
    <row r="7824" spans="1:7" x14ac:dyDescent="0.3">
      <c r="A7824" t="s">
        <v>30</v>
      </c>
      <c r="B7824">
        <v>2021</v>
      </c>
      <c r="C7824" t="s">
        <v>38</v>
      </c>
      <c r="D7824" s="2">
        <v>44317</v>
      </c>
      <c r="E7824" t="s">
        <v>9</v>
      </c>
      <c r="F7824">
        <v>138.4</v>
      </c>
      <c r="G7824" t="str">
        <f>VLOOKUP(Table1_2[[#This Row],[Categories]],Sheet3!$A$1:$B$27,2,FALSE)</f>
        <v>Food &amp;Beverage</v>
      </c>
    </row>
    <row r="7825" spans="1:7" x14ac:dyDescent="0.3">
      <c r="A7825" t="s">
        <v>30</v>
      </c>
      <c r="B7825">
        <v>2021</v>
      </c>
      <c r="C7825" t="s">
        <v>38</v>
      </c>
      <c r="D7825" s="2">
        <v>44317</v>
      </c>
      <c r="E7825" t="s">
        <v>10</v>
      </c>
      <c r="F7825">
        <v>165.1</v>
      </c>
      <c r="G7825" t="str">
        <f>VLOOKUP(Table1_2[[#This Row],[Categories]],Sheet3!$A$1:$B$27,2,FALSE)</f>
        <v>Food &amp;Beverage</v>
      </c>
    </row>
    <row r="7826" spans="1:7" x14ac:dyDescent="0.3">
      <c r="A7826" t="s">
        <v>30</v>
      </c>
      <c r="B7826">
        <v>2021</v>
      </c>
      <c r="C7826" t="s">
        <v>38</v>
      </c>
      <c r="D7826" s="2">
        <v>44317</v>
      </c>
      <c r="E7826" t="s">
        <v>11</v>
      </c>
      <c r="F7826">
        <v>114.3</v>
      </c>
      <c r="G7826" t="str">
        <f>VLOOKUP(Table1_2[[#This Row],[Categories]],Sheet3!$A$1:$B$27,2,FALSE)</f>
        <v>Food &amp;Beverage</v>
      </c>
    </row>
    <row r="7827" spans="1:7" x14ac:dyDescent="0.3">
      <c r="A7827" t="s">
        <v>30</v>
      </c>
      <c r="B7827">
        <v>2021</v>
      </c>
      <c r="C7827" t="s">
        <v>38</v>
      </c>
      <c r="D7827" s="2">
        <v>44317</v>
      </c>
      <c r="E7827" t="s">
        <v>12</v>
      </c>
      <c r="F7827">
        <v>169.7</v>
      </c>
      <c r="G7827" t="str">
        <f>VLOOKUP(Table1_2[[#This Row],[Categories]],Sheet3!$A$1:$B$27,2,FALSE)</f>
        <v>Food &amp;Beverage</v>
      </c>
    </row>
    <row r="7828" spans="1:7" x14ac:dyDescent="0.3">
      <c r="A7828" t="s">
        <v>30</v>
      </c>
      <c r="B7828">
        <v>2021</v>
      </c>
      <c r="C7828" t="s">
        <v>38</v>
      </c>
      <c r="D7828" s="2">
        <v>44317</v>
      </c>
      <c r="E7828" t="s">
        <v>13</v>
      </c>
      <c r="F7828">
        <v>164.6</v>
      </c>
      <c r="G7828" t="str">
        <f>VLOOKUP(Table1_2[[#This Row],[Categories]],Sheet3!$A$1:$B$27,2,FALSE)</f>
        <v>Food &amp;Beverage</v>
      </c>
    </row>
    <row r="7829" spans="1:7" x14ac:dyDescent="0.3">
      <c r="A7829" t="s">
        <v>30</v>
      </c>
      <c r="B7829">
        <v>2021</v>
      </c>
      <c r="C7829" t="s">
        <v>38</v>
      </c>
      <c r="D7829" s="2">
        <v>44317</v>
      </c>
      <c r="E7829" t="s">
        <v>14</v>
      </c>
      <c r="F7829">
        <v>169.8</v>
      </c>
      <c r="G7829" t="str">
        <f>VLOOKUP(Table1_2[[#This Row],[Categories]],Sheet3!$A$1:$B$27,2,FALSE)</f>
        <v>Food &amp;Beverage</v>
      </c>
    </row>
    <row r="7830" spans="1:7" x14ac:dyDescent="0.3">
      <c r="A7830" t="s">
        <v>30</v>
      </c>
      <c r="B7830">
        <v>2021</v>
      </c>
      <c r="C7830" t="s">
        <v>38</v>
      </c>
      <c r="D7830" s="2">
        <v>44317</v>
      </c>
      <c r="E7830" t="s">
        <v>15</v>
      </c>
      <c r="F7830">
        <v>158.69999999999999</v>
      </c>
      <c r="G7830" t="str">
        <f>VLOOKUP(Table1_2[[#This Row],[Categories]],Sheet3!$A$1:$B$27,2,FALSE)</f>
        <v>Food &amp;Beverage</v>
      </c>
    </row>
    <row r="7831" spans="1:7" x14ac:dyDescent="0.3">
      <c r="A7831" t="s">
        <v>30</v>
      </c>
      <c r="B7831">
        <v>2021</v>
      </c>
      <c r="C7831" t="s">
        <v>38</v>
      </c>
      <c r="D7831" s="2">
        <v>44317</v>
      </c>
      <c r="E7831" t="s">
        <v>16</v>
      </c>
      <c r="F7831">
        <v>189.6</v>
      </c>
      <c r="G7831" t="str">
        <f>VLOOKUP(Table1_2[[#This Row],[Categories]],Sheet3!$A$1:$B$27,2,FALSE)</f>
        <v>Recreation and amusement</v>
      </c>
    </row>
    <row r="7832" spans="1:7" x14ac:dyDescent="0.3">
      <c r="A7832" t="s">
        <v>30</v>
      </c>
      <c r="B7832">
        <v>2021</v>
      </c>
      <c r="C7832" t="s">
        <v>38</v>
      </c>
      <c r="D7832" s="2">
        <v>44317</v>
      </c>
      <c r="E7832" t="s">
        <v>17</v>
      </c>
      <c r="F7832">
        <v>165.3</v>
      </c>
      <c r="G7832" t="str">
        <f>VLOOKUP(Table1_2[[#This Row],[Categories]],Sheet3!$A$1:$B$27,2,FALSE)</f>
        <v>Clothing and footwear</v>
      </c>
    </row>
    <row r="7833" spans="1:7" x14ac:dyDescent="0.3">
      <c r="A7833" t="s">
        <v>30</v>
      </c>
      <c r="B7833">
        <v>2021</v>
      </c>
      <c r="C7833" t="s">
        <v>38</v>
      </c>
      <c r="D7833" s="2">
        <v>44317</v>
      </c>
      <c r="E7833" t="s">
        <v>18</v>
      </c>
      <c r="F7833">
        <v>160.6</v>
      </c>
      <c r="G7833" t="str">
        <f>VLOOKUP(Table1_2[[#This Row],[Categories]],Sheet3!$A$1:$B$27,2,FALSE)</f>
        <v>Clothing and footwear</v>
      </c>
    </row>
    <row r="7834" spans="1:7" x14ac:dyDescent="0.3">
      <c r="A7834" t="s">
        <v>30</v>
      </c>
      <c r="B7834">
        <v>2021</v>
      </c>
      <c r="C7834" t="s">
        <v>38</v>
      </c>
      <c r="D7834" s="2">
        <v>44317</v>
      </c>
      <c r="E7834" t="s">
        <v>19</v>
      </c>
      <c r="F7834">
        <v>164.5</v>
      </c>
      <c r="G7834" t="str">
        <f>VLOOKUP(Table1_2[[#This Row],[Categories]],Sheet3!$A$1:$B$27,2,FALSE)</f>
        <v>Clothing and footwear</v>
      </c>
    </row>
    <row r="7835" spans="1:7" x14ac:dyDescent="0.3">
      <c r="A7835" t="s">
        <v>30</v>
      </c>
      <c r="B7835">
        <v>2021</v>
      </c>
      <c r="C7835" t="s">
        <v>38</v>
      </c>
      <c r="D7835" s="2">
        <v>44317</v>
      </c>
      <c r="E7835" t="s">
        <v>21</v>
      </c>
      <c r="F7835">
        <v>161.69999999999999</v>
      </c>
      <c r="G7835" t="str">
        <f>VLOOKUP(Table1_2[[#This Row],[Categories]],Sheet3!$A$1:$B$27,2,FALSE)</f>
        <v>Fuel and light</v>
      </c>
    </row>
    <row r="7836" spans="1:7" x14ac:dyDescent="0.3">
      <c r="A7836" t="s">
        <v>30</v>
      </c>
      <c r="B7836">
        <v>2021</v>
      </c>
      <c r="C7836" t="s">
        <v>38</v>
      </c>
      <c r="D7836" s="2">
        <v>44317</v>
      </c>
      <c r="E7836" t="s">
        <v>22</v>
      </c>
      <c r="F7836">
        <v>158.80000000000001</v>
      </c>
      <c r="G7836" t="str">
        <f>VLOOKUP(Table1_2[[#This Row],[Categories]],Sheet3!$A$1:$B$27,2,FALSE)</f>
        <v>Household Items</v>
      </c>
    </row>
    <row r="7837" spans="1:7" x14ac:dyDescent="0.3">
      <c r="A7837" t="s">
        <v>30</v>
      </c>
      <c r="B7837">
        <v>2021</v>
      </c>
      <c r="C7837" t="s">
        <v>38</v>
      </c>
      <c r="D7837" s="2">
        <v>44317</v>
      </c>
      <c r="E7837" t="s">
        <v>23</v>
      </c>
      <c r="F7837">
        <v>169.1</v>
      </c>
      <c r="G7837" t="str">
        <f>VLOOKUP(Table1_2[[#This Row],[Categories]],Sheet3!$A$1:$B$27,2,FALSE)</f>
        <v>Health</v>
      </c>
    </row>
    <row r="7838" spans="1:7" x14ac:dyDescent="0.3">
      <c r="A7838" t="s">
        <v>30</v>
      </c>
      <c r="B7838">
        <v>2021</v>
      </c>
      <c r="C7838" t="s">
        <v>38</v>
      </c>
      <c r="D7838" s="2">
        <v>44317</v>
      </c>
      <c r="E7838" t="s">
        <v>24</v>
      </c>
      <c r="F7838">
        <v>153.19999999999999</v>
      </c>
      <c r="G7838" t="str">
        <f>VLOOKUP(Table1_2[[#This Row],[Categories]],Sheet3!$A$1:$B$27,2,FALSE)</f>
        <v>Transport and communication</v>
      </c>
    </row>
    <row r="7839" spans="1:7" x14ac:dyDescent="0.3">
      <c r="A7839" t="s">
        <v>30</v>
      </c>
      <c r="B7839">
        <v>2021</v>
      </c>
      <c r="C7839" t="s">
        <v>38</v>
      </c>
      <c r="D7839" s="2">
        <v>44317</v>
      </c>
      <c r="E7839" t="s">
        <v>25</v>
      </c>
      <c r="F7839">
        <v>160</v>
      </c>
      <c r="G7839" t="str">
        <f>VLOOKUP(Table1_2[[#This Row],[Categories]],Sheet3!$A$1:$B$27,2,FALSE)</f>
        <v>Recreation and amusement</v>
      </c>
    </row>
    <row r="7840" spans="1:7" x14ac:dyDescent="0.3">
      <c r="A7840" t="s">
        <v>30</v>
      </c>
      <c r="B7840">
        <v>2021</v>
      </c>
      <c r="C7840" t="s">
        <v>38</v>
      </c>
      <c r="D7840" s="2">
        <v>44317</v>
      </c>
      <c r="E7840" t="s">
        <v>26</v>
      </c>
      <c r="F7840">
        <v>167.6</v>
      </c>
      <c r="G7840" t="str">
        <f>VLOOKUP(Table1_2[[#This Row],[Categories]],Sheet3!$A$1:$B$27,2,FALSE)</f>
        <v>Education</v>
      </c>
    </row>
    <row r="7841" spans="1:7" x14ac:dyDescent="0.3">
      <c r="A7841" t="s">
        <v>30</v>
      </c>
      <c r="B7841">
        <v>2021</v>
      </c>
      <c r="C7841" t="s">
        <v>38</v>
      </c>
      <c r="D7841" s="2">
        <v>44317</v>
      </c>
      <c r="E7841" t="s">
        <v>27</v>
      </c>
      <c r="F7841">
        <v>159.30000000000001</v>
      </c>
      <c r="G7841" t="str">
        <f>VLOOKUP(Table1_2[[#This Row],[Categories]],Sheet3!$A$1:$B$27,2,FALSE)</f>
        <v>Household Items</v>
      </c>
    </row>
    <row r="7842" spans="1:7" x14ac:dyDescent="0.3">
      <c r="A7842" t="s">
        <v>30</v>
      </c>
      <c r="B7842">
        <v>2021</v>
      </c>
      <c r="C7842" t="s">
        <v>38</v>
      </c>
      <c r="D7842" s="2">
        <v>44317</v>
      </c>
      <c r="E7842" t="s">
        <v>28</v>
      </c>
      <c r="F7842">
        <v>161.1</v>
      </c>
      <c r="G7842" t="str">
        <f>VLOOKUP(Table1_2[[#This Row],[Categories]],Sheet3!$A$1:$B$27,2,FALSE)</f>
        <v>Miscellaneous</v>
      </c>
    </row>
    <row r="7843" spans="1:7" x14ac:dyDescent="0.3">
      <c r="A7843" t="s">
        <v>30</v>
      </c>
      <c r="B7843">
        <v>2021</v>
      </c>
      <c r="C7843" t="s">
        <v>38</v>
      </c>
      <c r="D7843" s="2">
        <v>44317</v>
      </c>
      <c r="E7843" t="s">
        <v>29</v>
      </c>
      <c r="F7843">
        <v>161.1</v>
      </c>
      <c r="G7843" t="str">
        <f>VLOOKUP(Table1_2[[#This Row],[Categories]],Sheet3!$A$1:$B$27,2,FALSE)</f>
        <v>General index</v>
      </c>
    </row>
    <row r="7844" spans="1:7" x14ac:dyDescent="0.3">
      <c r="A7844" t="s">
        <v>33</v>
      </c>
      <c r="B7844">
        <v>2021</v>
      </c>
      <c r="C7844" t="s">
        <v>38</v>
      </c>
      <c r="D7844" s="2">
        <v>44317</v>
      </c>
      <c r="E7844" t="s">
        <v>3</v>
      </c>
      <c r="F7844">
        <v>148.80000000000001</v>
      </c>
      <c r="G7844" t="str">
        <f>VLOOKUP(Table1_2[[#This Row],[Categories]],Sheet3!$A$1:$B$27,2,FALSE)</f>
        <v>Food &amp;Beverage</v>
      </c>
    </row>
    <row r="7845" spans="1:7" x14ac:dyDescent="0.3">
      <c r="A7845" t="s">
        <v>33</v>
      </c>
      <c r="B7845">
        <v>2021</v>
      </c>
      <c r="C7845" t="s">
        <v>38</v>
      </c>
      <c r="D7845" s="2">
        <v>44317</v>
      </c>
      <c r="E7845" t="s">
        <v>4</v>
      </c>
      <c r="F7845">
        <v>204.3</v>
      </c>
      <c r="G7845" t="str">
        <f>VLOOKUP(Table1_2[[#This Row],[Categories]],Sheet3!$A$1:$B$27,2,FALSE)</f>
        <v>Food &amp;Beverage</v>
      </c>
    </row>
    <row r="7846" spans="1:7" x14ac:dyDescent="0.3">
      <c r="A7846" t="s">
        <v>33</v>
      </c>
      <c r="B7846">
        <v>2021</v>
      </c>
      <c r="C7846" t="s">
        <v>38</v>
      </c>
      <c r="D7846" s="2">
        <v>44317</v>
      </c>
      <c r="E7846" t="s">
        <v>5</v>
      </c>
      <c r="F7846">
        <v>173</v>
      </c>
      <c r="G7846" t="str">
        <f>VLOOKUP(Table1_2[[#This Row],[Categories]],Sheet3!$A$1:$B$27,2,FALSE)</f>
        <v>Food &amp;Beverage</v>
      </c>
    </row>
    <row r="7847" spans="1:7" x14ac:dyDescent="0.3">
      <c r="A7847" t="s">
        <v>33</v>
      </c>
      <c r="B7847">
        <v>2021</v>
      </c>
      <c r="C7847" t="s">
        <v>38</v>
      </c>
      <c r="D7847" s="2">
        <v>44317</v>
      </c>
      <c r="E7847" t="s">
        <v>6</v>
      </c>
      <c r="F7847">
        <v>156.5</v>
      </c>
      <c r="G7847" t="str">
        <f>VLOOKUP(Table1_2[[#This Row],[Categories]],Sheet3!$A$1:$B$27,2,FALSE)</f>
        <v>Food &amp;Beverage</v>
      </c>
    </row>
    <row r="7848" spans="1:7" x14ac:dyDescent="0.3">
      <c r="A7848" t="s">
        <v>33</v>
      </c>
      <c r="B7848">
        <v>2021</v>
      </c>
      <c r="C7848" t="s">
        <v>38</v>
      </c>
      <c r="D7848" s="2">
        <v>44317</v>
      </c>
      <c r="E7848" t="s">
        <v>7</v>
      </c>
      <c r="F7848">
        <v>168.8</v>
      </c>
      <c r="G7848" t="str">
        <f>VLOOKUP(Table1_2[[#This Row],[Categories]],Sheet3!$A$1:$B$27,2,FALSE)</f>
        <v>Food &amp;Beverage</v>
      </c>
    </row>
    <row r="7849" spans="1:7" x14ac:dyDescent="0.3">
      <c r="A7849" t="s">
        <v>33</v>
      </c>
      <c r="B7849">
        <v>2021</v>
      </c>
      <c r="C7849" t="s">
        <v>38</v>
      </c>
      <c r="D7849" s="2">
        <v>44317</v>
      </c>
      <c r="E7849" t="s">
        <v>8</v>
      </c>
      <c r="F7849">
        <v>172.5</v>
      </c>
      <c r="G7849" t="str">
        <f>VLOOKUP(Table1_2[[#This Row],[Categories]],Sheet3!$A$1:$B$27,2,FALSE)</f>
        <v>Food &amp;Beverage</v>
      </c>
    </row>
    <row r="7850" spans="1:7" x14ac:dyDescent="0.3">
      <c r="A7850" t="s">
        <v>33</v>
      </c>
      <c r="B7850">
        <v>2021</v>
      </c>
      <c r="C7850" t="s">
        <v>38</v>
      </c>
      <c r="D7850" s="2">
        <v>44317</v>
      </c>
      <c r="E7850" t="s">
        <v>9</v>
      </c>
      <c r="F7850">
        <v>166.5</v>
      </c>
      <c r="G7850" t="str">
        <f>VLOOKUP(Table1_2[[#This Row],[Categories]],Sheet3!$A$1:$B$27,2,FALSE)</f>
        <v>Food &amp;Beverage</v>
      </c>
    </row>
    <row r="7851" spans="1:7" x14ac:dyDescent="0.3">
      <c r="A7851" t="s">
        <v>33</v>
      </c>
      <c r="B7851">
        <v>2021</v>
      </c>
      <c r="C7851" t="s">
        <v>38</v>
      </c>
      <c r="D7851" s="2">
        <v>44317</v>
      </c>
      <c r="E7851" t="s">
        <v>10</v>
      </c>
      <c r="F7851">
        <v>165.9</v>
      </c>
      <c r="G7851" t="str">
        <f>VLOOKUP(Table1_2[[#This Row],[Categories]],Sheet3!$A$1:$B$27,2,FALSE)</f>
        <v>Food &amp;Beverage</v>
      </c>
    </row>
    <row r="7852" spans="1:7" x14ac:dyDescent="0.3">
      <c r="A7852" t="s">
        <v>33</v>
      </c>
      <c r="B7852">
        <v>2021</v>
      </c>
      <c r="C7852" t="s">
        <v>38</v>
      </c>
      <c r="D7852" s="2">
        <v>44317</v>
      </c>
      <c r="E7852" t="s">
        <v>11</v>
      </c>
      <c r="F7852">
        <v>115.9</v>
      </c>
      <c r="G7852" t="str">
        <f>VLOOKUP(Table1_2[[#This Row],[Categories]],Sheet3!$A$1:$B$27,2,FALSE)</f>
        <v>Food &amp;Beverage</v>
      </c>
    </row>
    <row r="7853" spans="1:7" x14ac:dyDescent="0.3">
      <c r="A7853" t="s">
        <v>33</v>
      </c>
      <c r="B7853">
        <v>2021</v>
      </c>
      <c r="C7853" t="s">
        <v>38</v>
      </c>
      <c r="D7853" s="2">
        <v>44317</v>
      </c>
      <c r="E7853" t="s">
        <v>12</v>
      </c>
      <c r="F7853">
        <v>165.2</v>
      </c>
      <c r="G7853" t="str">
        <f>VLOOKUP(Table1_2[[#This Row],[Categories]],Sheet3!$A$1:$B$27,2,FALSE)</f>
        <v>Food &amp;Beverage</v>
      </c>
    </row>
    <row r="7854" spans="1:7" x14ac:dyDescent="0.3">
      <c r="A7854" t="s">
        <v>33</v>
      </c>
      <c r="B7854">
        <v>2021</v>
      </c>
      <c r="C7854" t="s">
        <v>38</v>
      </c>
      <c r="D7854" s="2">
        <v>44317</v>
      </c>
      <c r="E7854" t="s">
        <v>13</v>
      </c>
      <c r="F7854">
        <v>152</v>
      </c>
      <c r="G7854" t="str">
        <f>VLOOKUP(Table1_2[[#This Row],[Categories]],Sheet3!$A$1:$B$27,2,FALSE)</f>
        <v>Food &amp;Beverage</v>
      </c>
    </row>
    <row r="7855" spans="1:7" x14ac:dyDescent="0.3">
      <c r="A7855" t="s">
        <v>33</v>
      </c>
      <c r="B7855">
        <v>2021</v>
      </c>
      <c r="C7855" t="s">
        <v>38</v>
      </c>
      <c r="D7855" s="2">
        <v>44317</v>
      </c>
      <c r="E7855" t="s">
        <v>14</v>
      </c>
      <c r="F7855">
        <v>171.1</v>
      </c>
      <c r="G7855" t="str">
        <f>VLOOKUP(Table1_2[[#This Row],[Categories]],Sheet3!$A$1:$B$27,2,FALSE)</f>
        <v>Food &amp;Beverage</v>
      </c>
    </row>
    <row r="7856" spans="1:7" x14ac:dyDescent="0.3">
      <c r="A7856" t="s">
        <v>33</v>
      </c>
      <c r="B7856">
        <v>2021</v>
      </c>
      <c r="C7856" t="s">
        <v>38</v>
      </c>
      <c r="D7856" s="2">
        <v>44317</v>
      </c>
      <c r="E7856" t="s">
        <v>15</v>
      </c>
      <c r="F7856">
        <v>164.2</v>
      </c>
      <c r="G7856" t="str">
        <f>VLOOKUP(Table1_2[[#This Row],[Categories]],Sheet3!$A$1:$B$27,2,FALSE)</f>
        <v>Food &amp;Beverage</v>
      </c>
    </row>
    <row r="7857" spans="1:7" x14ac:dyDescent="0.3">
      <c r="A7857" t="s">
        <v>33</v>
      </c>
      <c r="B7857">
        <v>2021</v>
      </c>
      <c r="C7857" t="s">
        <v>38</v>
      </c>
      <c r="D7857" s="2">
        <v>44317</v>
      </c>
      <c r="E7857" t="s">
        <v>16</v>
      </c>
      <c r="F7857">
        <v>198.2</v>
      </c>
      <c r="G7857" t="str">
        <f>VLOOKUP(Table1_2[[#This Row],[Categories]],Sheet3!$A$1:$B$27,2,FALSE)</f>
        <v>Recreation and amusement</v>
      </c>
    </row>
    <row r="7858" spans="1:7" x14ac:dyDescent="0.3">
      <c r="A7858" t="s">
        <v>33</v>
      </c>
      <c r="B7858">
        <v>2021</v>
      </c>
      <c r="C7858" t="s">
        <v>38</v>
      </c>
      <c r="D7858" s="2">
        <v>44317</v>
      </c>
      <c r="E7858" t="s">
        <v>17</v>
      </c>
      <c r="F7858">
        <v>156.5</v>
      </c>
      <c r="G7858" t="str">
        <f>VLOOKUP(Table1_2[[#This Row],[Categories]],Sheet3!$A$1:$B$27,2,FALSE)</f>
        <v>Clothing and footwear</v>
      </c>
    </row>
    <row r="7859" spans="1:7" x14ac:dyDescent="0.3">
      <c r="A7859" t="s">
        <v>33</v>
      </c>
      <c r="B7859">
        <v>2021</v>
      </c>
      <c r="C7859" t="s">
        <v>38</v>
      </c>
      <c r="D7859" s="2">
        <v>44317</v>
      </c>
      <c r="E7859" t="s">
        <v>18</v>
      </c>
      <c r="F7859">
        <v>140.19999999999999</v>
      </c>
      <c r="G7859" t="str">
        <f>VLOOKUP(Table1_2[[#This Row],[Categories]],Sheet3!$A$1:$B$27,2,FALSE)</f>
        <v>Clothing and footwear</v>
      </c>
    </row>
    <row r="7860" spans="1:7" x14ac:dyDescent="0.3">
      <c r="A7860" t="s">
        <v>33</v>
      </c>
      <c r="B7860">
        <v>2021</v>
      </c>
      <c r="C7860" t="s">
        <v>38</v>
      </c>
      <c r="D7860" s="2">
        <v>44317</v>
      </c>
      <c r="E7860" t="s">
        <v>19</v>
      </c>
      <c r="F7860">
        <v>154.1</v>
      </c>
      <c r="G7860" t="str">
        <f>VLOOKUP(Table1_2[[#This Row],[Categories]],Sheet3!$A$1:$B$27,2,FALSE)</f>
        <v>Clothing and footwear</v>
      </c>
    </row>
    <row r="7861" spans="1:7" x14ac:dyDescent="0.3">
      <c r="A7861" t="s">
        <v>33</v>
      </c>
      <c r="B7861">
        <v>2021</v>
      </c>
      <c r="C7861" t="s">
        <v>38</v>
      </c>
      <c r="D7861" s="2">
        <v>44317</v>
      </c>
      <c r="E7861" t="s">
        <v>20</v>
      </c>
      <c r="F7861">
        <v>161.6</v>
      </c>
      <c r="G7861" t="str">
        <f>VLOOKUP(Table1_2[[#This Row],[Categories]],Sheet3!$A$1:$B$27,2,FALSE)</f>
        <v>Housing</v>
      </c>
    </row>
    <row r="7862" spans="1:7" x14ac:dyDescent="0.3">
      <c r="A7862" t="s">
        <v>33</v>
      </c>
      <c r="B7862">
        <v>2021</v>
      </c>
      <c r="C7862" t="s">
        <v>38</v>
      </c>
      <c r="D7862" s="2">
        <v>44317</v>
      </c>
      <c r="E7862" t="s">
        <v>21</v>
      </c>
      <c r="F7862">
        <v>155.5</v>
      </c>
      <c r="G7862" t="str">
        <f>VLOOKUP(Table1_2[[#This Row],[Categories]],Sheet3!$A$1:$B$27,2,FALSE)</f>
        <v>Fuel and light</v>
      </c>
    </row>
    <row r="7863" spans="1:7" x14ac:dyDescent="0.3">
      <c r="A7863" t="s">
        <v>33</v>
      </c>
      <c r="B7863">
        <v>2021</v>
      </c>
      <c r="C7863" t="s">
        <v>38</v>
      </c>
      <c r="D7863" s="2">
        <v>44317</v>
      </c>
      <c r="E7863" t="s">
        <v>22</v>
      </c>
      <c r="F7863">
        <v>150.1</v>
      </c>
      <c r="G7863" t="str">
        <f>VLOOKUP(Table1_2[[#This Row],[Categories]],Sheet3!$A$1:$B$27,2,FALSE)</f>
        <v>Household Items</v>
      </c>
    </row>
    <row r="7864" spans="1:7" x14ac:dyDescent="0.3">
      <c r="A7864" t="s">
        <v>33</v>
      </c>
      <c r="B7864">
        <v>2021</v>
      </c>
      <c r="C7864" t="s">
        <v>38</v>
      </c>
      <c r="D7864" s="2">
        <v>44317</v>
      </c>
      <c r="E7864" t="s">
        <v>23</v>
      </c>
      <c r="F7864">
        <v>160.4</v>
      </c>
      <c r="G7864" t="str">
        <f>VLOOKUP(Table1_2[[#This Row],[Categories]],Sheet3!$A$1:$B$27,2,FALSE)</f>
        <v>Health</v>
      </c>
    </row>
    <row r="7865" spans="1:7" x14ac:dyDescent="0.3">
      <c r="A7865" t="s">
        <v>33</v>
      </c>
      <c r="B7865">
        <v>2021</v>
      </c>
      <c r="C7865" t="s">
        <v>38</v>
      </c>
      <c r="D7865" s="2">
        <v>44317</v>
      </c>
      <c r="E7865" t="s">
        <v>24</v>
      </c>
      <c r="F7865">
        <v>145</v>
      </c>
      <c r="G7865" t="str">
        <f>VLOOKUP(Table1_2[[#This Row],[Categories]],Sheet3!$A$1:$B$27,2,FALSE)</f>
        <v>Transport and communication</v>
      </c>
    </row>
    <row r="7866" spans="1:7" x14ac:dyDescent="0.3">
      <c r="A7866" t="s">
        <v>33</v>
      </c>
      <c r="B7866">
        <v>2021</v>
      </c>
      <c r="C7866" t="s">
        <v>38</v>
      </c>
      <c r="D7866" s="2">
        <v>44317</v>
      </c>
      <c r="E7866" t="s">
        <v>25</v>
      </c>
      <c r="F7866">
        <v>152.6</v>
      </c>
      <c r="G7866" t="str">
        <f>VLOOKUP(Table1_2[[#This Row],[Categories]],Sheet3!$A$1:$B$27,2,FALSE)</f>
        <v>Recreation and amusement</v>
      </c>
    </row>
    <row r="7867" spans="1:7" x14ac:dyDescent="0.3">
      <c r="A7867" t="s">
        <v>33</v>
      </c>
      <c r="B7867">
        <v>2021</v>
      </c>
      <c r="C7867" t="s">
        <v>38</v>
      </c>
      <c r="D7867" s="2">
        <v>44317</v>
      </c>
      <c r="E7867" t="s">
        <v>26</v>
      </c>
      <c r="F7867">
        <v>156.6</v>
      </c>
      <c r="G7867" t="str">
        <f>VLOOKUP(Table1_2[[#This Row],[Categories]],Sheet3!$A$1:$B$27,2,FALSE)</f>
        <v>Education</v>
      </c>
    </row>
    <row r="7868" spans="1:7" x14ac:dyDescent="0.3">
      <c r="A7868" t="s">
        <v>33</v>
      </c>
      <c r="B7868">
        <v>2021</v>
      </c>
      <c r="C7868" t="s">
        <v>38</v>
      </c>
      <c r="D7868" s="2">
        <v>44317</v>
      </c>
      <c r="E7868" t="s">
        <v>27</v>
      </c>
      <c r="F7868">
        <v>157.5</v>
      </c>
      <c r="G7868" t="str">
        <f>VLOOKUP(Table1_2[[#This Row],[Categories]],Sheet3!$A$1:$B$27,2,FALSE)</f>
        <v>Household Items</v>
      </c>
    </row>
    <row r="7869" spans="1:7" x14ac:dyDescent="0.3">
      <c r="A7869" t="s">
        <v>33</v>
      </c>
      <c r="B7869">
        <v>2021</v>
      </c>
      <c r="C7869" t="s">
        <v>38</v>
      </c>
      <c r="D7869" s="2">
        <v>44317</v>
      </c>
      <c r="E7869" t="s">
        <v>28</v>
      </c>
      <c r="F7869">
        <v>152.30000000000001</v>
      </c>
      <c r="G7869" t="str">
        <f>VLOOKUP(Table1_2[[#This Row],[Categories]],Sheet3!$A$1:$B$27,2,FALSE)</f>
        <v>Miscellaneous</v>
      </c>
    </row>
    <row r="7870" spans="1:7" x14ac:dyDescent="0.3">
      <c r="A7870" t="s">
        <v>33</v>
      </c>
      <c r="B7870">
        <v>2021</v>
      </c>
      <c r="C7870" t="s">
        <v>38</v>
      </c>
      <c r="D7870" s="2">
        <v>44317</v>
      </c>
      <c r="E7870" t="s">
        <v>29</v>
      </c>
      <c r="F7870">
        <v>159.5</v>
      </c>
      <c r="G7870" t="str">
        <f>VLOOKUP(Table1_2[[#This Row],[Categories]],Sheet3!$A$1:$B$27,2,FALSE)</f>
        <v>General index</v>
      </c>
    </row>
    <row r="7871" spans="1:7" x14ac:dyDescent="0.3">
      <c r="A7871" t="s">
        <v>34</v>
      </c>
      <c r="B7871">
        <v>2021</v>
      </c>
      <c r="C7871" t="s">
        <v>38</v>
      </c>
      <c r="D7871" s="2">
        <v>44317</v>
      </c>
      <c r="E7871" t="s">
        <v>3</v>
      </c>
      <c r="F7871">
        <v>146.30000000000001</v>
      </c>
      <c r="G7871" t="str">
        <f>VLOOKUP(Table1_2[[#This Row],[Categories]],Sheet3!$A$1:$B$27,2,FALSE)</f>
        <v>Food &amp;Beverage</v>
      </c>
    </row>
    <row r="7872" spans="1:7" x14ac:dyDescent="0.3">
      <c r="A7872" t="s">
        <v>34</v>
      </c>
      <c r="B7872">
        <v>2021</v>
      </c>
      <c r="C7872" t="s">
        <v>38</v>
      </c>
      <c r="D7872" s="2">
        <v>44317</v>
      </c>
      <c r="E7872" t="s">
        <v>4</v>
      </c>
      <c r="F7872">
        <v>200.5</v>
      </c>
      <c r="G7872" t="str">
        <f>VLOOKUP(Table1_2[[#This Row],[Categories]],Sheet3!$A$1:$B$27,2,FALSE)</f>
        <v>Food &amp;Beverage</v>
      </c>
    </row>
    <row r="7873" spans="1:7" x14ac:dyDescent="0.3">
      <c r="A7873" t="s">
        <v>34</v>
      </c>
      <c r="B7873">
        <v>2021</v>
      </c>
      <c r="C7873" t="s">
        <v>38</v>
      </c>
      <c r="D7873" s="2">
        <v>44317</v>
      </c>
      <c r="E7873" t="s">
        <v>5</v>
      </c>
      <c r="F7873">
        <v>170.3</v>
      </c>
      <c r="G7873" t="str">
        <f>VLOOKUP(Table1_2[[#This Row],[Categories]],Sheet3!$A$1:$B$27,2,FALSE)</f>
        <v>Food &amp;Beverage</v>
      </c>
    </row>
    <row r="7874" spans="1:7" x14ac:dyDescent="0.3">
      <c r="A7874" t="s">
        <v>34</v>
      </c>
      <c r="B7874">
        <v>2021</v>
      </c>
      <c r="C7874" t="s">
        <v>38</v>
      </c>
      <c r="D7874" s="2">
        <v>44317</v>
      </c>
      <c r="E7874" t="s">
        <v>6</v>
      </c>
      <c r="F7874">
        <v>156.1</v>
      </c>
      <c r="G7874" t="str">
        <f>VLOOKUP(Table1_2[[#This Row],[Categories]],Sheet3!$A$1:$B$27,2,FALSE)</f>
        <v>Food &amp;Beverage</v>
      </c>
    </row>
    <row r="7875" spans="1:7" x14ac:dyDescent="0.3">
      <c r="A7875" t="s">
        <v>34</v>
      </c>
      <c r="B7875">
        <v>2021</v>
      </c>
      <c r="C7875" t="s">
        <v>38</v>
      </c>
      <c r="D7875" s="2">
        <v>44317</v>
      </c>
      <c r="E7875" t="s">
        <v>7</v>
      </c>
      <c r="F7875">
        <v>178.7</v>
      </c>
      <c r="G7875" t="str">
        <f>VLOOKUP(Table1_2[[#This Row],[Categories]],Sheet3!$A$1:$B$27,2,FALSE)</f>
        <v>Food &amp;Beverage</v>
      </c>
    </row>
    <row r="7876" spans="1:7" x14ac:dyDescent="0.3">
      <c r="A7876" t="s">
        <v>34</v>
      </c>
      <c r="B7876">
        <v>2021</v>
      </c>
      <c r="C7876" t="s">
        <v>38</v>
      </c>
      <c r="D7876" s="2">
        <v>44317</v>
      </c>
      <c r="E7876" t="s">
        <v>8</v>
      </c>
      <c r="F7876">
        <v>167.1</v>
      </c>
      <c r="G7876" t="str">
        <f>VLOOKUP(Table1_2[[#This Row],[Categories]],Sheet3!$A$1:$B$27,2,FALSE)</f>
        <v>Food &amp;Beverage</v>
      </c>
    </row>
    <row r="7877" spans="1:7" x14ac:dyDescent="0.3">
      <c r="A7877" t="s">
        <v>34</v>
      </c>
      <c r="B7877">
        <v>2021</v>
      </c>
      <c r="C7877" t="s">
        <v>38</v>
      </c>
      <c r="D7877" s="2">
        <v>44317</v>
      </c>
      <c r="E7877" t="s">
        <v>9</v>
      </c>
      <c r="F7877">
        <v>147.9</v>
      </c>
      <c r="G7877" t="str">
        <f>VLOOKUP(Table1_2[[#This Row],[Categories]],Sheet3!$A$1:$B$27,2,FALSE)</f>
        <v>Food &amp;Beverage</v>
      </c>
    </row>
    <row r="7878" spans="1:7" x14ac:dyDescent="0.3">
      <c r="A7878" t="s">
        <v>34</v>
      </c>
      <c r="B7878">
        <v>2021</v>
      </c>
      <c r="C7878" t="s">
        <v>38</v>
      </c>
      <c r="D7878" s="2">
        <v>44317</v>
      </c>
      <c r="E7878" t="s">
        <v>10</v>
      </c>
      <c r="F7878">
        <v>165.4</v>
      </c>
      <c r="G7878" t="str">
        <f>VLOOKUP(Table1_2[[#This Row],[Categories]],Sheet3!$A$1:$B$27,2,FALSE)</f>
        <v>Food &amp;Beverage</v>
      </c>
    </row>
    <row r="7879" spans="1:7" x14ac:dyDescent="0.3">
      <c r="A7879" t="s">
        <v>34</v>
      </c>
      <c r="B7879">
        <v>2021</v>
      </c>
      <c r="C7879" t="s">
        <v>38</v>
      </c>
      <c r="D7879" s="2">
        <v>44317</v>
      </c>
      <c r="E7879" t="s">
        <v>11</v>
      </c>
      <c r="F7879">
        <v>114.8</v>
      </c>
      <c r="G7879" t="str">
        <f>VLOOKUP(Table1_2[[#This Row],[Categories]],Sheet3!$A$1:$B$27,2,FALSE)</f>
        <v>Food &amp;Beverage</v>
      </c>
    </row>
    <row r="7880" spans="1:7" x14ac:dyDescent="0.3">
      <c r="A7880" t="s">
        <v>34</v>
      </c>
      <c r="B7880">
        <v>2021</v>
      </c>
      <c r="C7880" t="s">
        <v>38</v>
      </c>
      <c r="D7880" s="2">
        <v>44317</v>
      </c>
      <c r="E7880" t="s">
        <v>12</v>
      </c>
      <c r="F7880">
        <v>168.2</v>
      </c>
      <c r="G7880" t="str">
        <f>VLOOKUP(Table1_2[[#This Row],[Categories]],Sheet3!$A$1:$B$27,2,FALSE)</f>
        <v>Food &amp;Beverage</v>
      </c>
    </row>
    <row r="7881" spans="1:7" x14ac:dyDescent="0.3">
      <c r="A7881" t="s">
        <v>34</v>
      </c>
      <c r="B7881">
        <v>2021</v>
      </c>
      <c r="C7881" t="s">
        <v>38</v>
      </c>
      <c r="D7881" s="2">
        <v>44317</v>
      </c>
      <c r="E7881" t="s">
        <v>13</v>
      </c>
      <c r="F7881">
        <v>159.30000000000001</v>
      </c>
      <c r="G7881" t="str">
        <f>VLOOKUP(Table1_2[[#This Row],[Categories]],Sheet3!$A$1:$B$27,2,FALSE)</f>
        <v>Food &amp;Beverage</v>
      </c>
    </row>
    <row r="7882" spans="1:7" x14ac:dyDescent="0.3">
      <c r="A7882" t="s">
        <v>34</v>
      </c>
      <c r="B7882">
        <v>2021</v>
      </c>
      <c r="C7882" t="s">
        <v>38</v>
      </c>
      <c r="D7882" s="2">
        <v>44317</v>
      </c>
      <c r="E7882" t="s">
        <v>14</v>
      </c>
      <c r="F7882">
        <v>170.4</v>
      </c>
      <c r="G7882" t="str">
        <f>VLOOKUP(Table1_2[[#This Row],[Categories]],Sheet3!$A$1:$B$27,2,FALSE)</f>
        <v>Food &amp;Beverage</v>
      </c>
    </row>
    <row r="7883" spans="1:7" x14ac:dyDescent="0.3">
      <c r="A7883" t="s">
        <v>34</v>
      </c>
      <c r="B7883">
        <v>2021</v>
      </c>
      <c r="C7883" t="s">
        <v>38</v>
      </c>
      <c r="D7883" s="2">
        <v>44317</v>
      </c>
      <c r="E7883" t="s">
        <v>15</v>
      </c>
      <c r="F7883">
        <v>160.69999999999999</v>
      </c>
      <c r="G7883" t="str">
        <f>VLOOKUP(Table1_2[[#This Row],[Categories]],Sheet3!$A$1:$B$27,2,FALSE)</f>
        <v>Food &amp;Beverage</v>
      </c>
    </row>
    <row r="7884" spans="1:7" x14ac:dyDescent="0.3">
      <c r="A7884" t="s">
        <v>34</v>
      </c>
      <c r="B7884">
        <v>2021</v>
      </c>
      <c r="C7884" t="s">
        <v>38</v>
      </c>
      <c r="D7884" s="2">
        <v>44317</v>
      </c>
      <c r="E7884" t="s">
        <v>16</v>
      </c>
      <c r="F7884">
        <v>191.9</v>
      </c>
      <c r="G7884" t="str">
        <f>VLOOKUP(Table1_2[[#This Row],[Categories]],Sheet3!$A$1:$B$27,2,FALSE)</f>
        <v>Recreation and amusement</v>
      </c>
    </row>
    <row r="7885" spans="1:7" x14ac:dyDescent="0.3">
      <c r="A7885" t="s">
        <v>34</v>
      </c>
      <c r="B7885">
        <v>2021</v>
      </c>
      <c r="C7885" t="s">
        <v>38</v>
      </c>
      <c r="D7885" s="2">
        <v>44317</v>
      </c>
      <c r="E7885" t="s">
        <v>17</v>
      </c>
      <c r="F7885">
        <v>161.80000000000001</v>
      </c>
      <c r="G7885" t="str">
        <f>VLOOKUP(Table1_2[[#This Row],[Categories]],Sheet3!$A$1:$B$27,2,FALSE)</f>
        <v>Clothing and footwear</v>
      </c>
    </row>
    <row r="7886" spans="1:7" x14ac:dyDescent="0.3">
      <c r="A7886" t="s">
        <v>34</v>
      </c>
      <c r="B7886">
        <v>2021</v>
      </c>
      <c r="C7886" t="s">
        <v>38</v>
      </c>
      <c r="D7886" s="2">
        <v>44317</v>
      </c>
      <c r="E7886" t="s">
        <v>18</v>
      </c>
      <c r="F7886">
        <v>152.1</v>
      </c>
      <c r="G7886" t="str">
        <f>VLOOKUP(Table1_2[[#This Row],[Categories]],Sheet3!$A$1:$B$27,2,FALSE)</f>
        <v>Clothing and footwear</v>
      </c>
    </row>
    <row r="7887" spans="1:7" x14ac:dyDescent="0.3">
      <c r="A7887" t="s">
        <v>34</v>
      </c>
      <c r="B7887">
        <v>2021</v>
      </c>
      <c r="C7887" t="s">
        <v>38</v>
      </c>
      <c r="D7887" s="2">
        <v>44317</v>
      </c>
      <c r="E7887" t="s">
        <v>19</v>
      </c>
      <c r="F7887">
        <v>160.4</v>
      </c>
      <c r="G7887" t="str">
        <f>VLOOKUP(Table1_2[[#This Row],[Categories]],Sheet3!$A$1:$B$27,2,FALSE)</f>
        <v>Clothing and footwear</v>
      </c>
    </row>
    <row r="7888" spans="1:7" x14ac:dyDescent="0.3">
      <c r="A7888" t="s">
        <v>34</v>
      </c>
      <c r="B7888">
        <v>2021</v>
      </c>
      <c r="C7888" t="s">
        <v>38</v>
      </c>
      <c r="D7888" s="2">
        <v>44317</v>
      </c>
      <c r="E7888" t="s">
        <v>20</v>
      </c>
      <c r="F7888">
        <v>161.6</v>
      </c>
      <c r="G7888" t="str">
        <f>VLOOKUP(Table1_2[[#This Row],[Categories]],Sheet3!$A$1:$B$27,2,FALSE)</f>
        <v>Housing</v>
      </c>
    </row>
    <row r="7889" spans="1:7" x14ac:dyDescent="0.3">
      <c r="A7889" t="s">
        <v>34</v>
      </c>
      <c r="B7889">
        <v>2021</v>
      </c>
      <c r="C7889" t="s">
        <v>38</v>
      </c>
      <c r="D7889" s="2">
        <v>44317</v>
      </c>
      <c r="E7889" t="s">
        <v>21</v>
      </c>
      <c r="F7889">
        <v>159.4</v>
      </c>
      <c r="G7889" t="str">
        <f>VLOOKUP(Table1_2[[#This Row],[Categories]],Sheet3!$A$1:$B$27,2,FALSE)</f>
        <v>Fuel and light</v>
      </c>
    </row>
    <row r="7890" spans="1:7" x14ac:dyDescent="0.3">
      <c r="A7890" t="s">
        <v>34</v>
      </c>
      <c r="B7890">
        <v>2021</v>
      </c>
      <c r="C7890" t="s">
        <v>38</v>
      </c>
      <c r="D7890" s="2">
        <v>44317</v>
      </c>
      <c r="E7890" t="s">
        <v>22</v>
      </c>
      <c r="F7890">
        <v>154.69999999999999</v>
      </c>
      <c r="G7890" t="str">
        <f>VLOOKUP(Table1_2[[#This Row],[Categories]],Sheet3!$A$1:$B$27,2,FALSE)</f>
        <v>Household Items</v>
      </c>
    </row>
    <row r="7891" spans="1:7" x14ac:dyDescent="0.3">
      <c r="A7891" t="s">
        <v>34</v>
      </c>
      <c r="B7891">
        <v>2021</v>
      </c>
      <c r="C7891" t="s">
        <v>38</v>
      </c>
      <c r="D7891" s="2">
        <v>44317</v>
      </c>
      <c r="E7891" t="s">
        <v>23</v>
      </c>
      <c r="F7891">
        <v>165.8</v>
      </c>
      <c r="G7891" t="str">
        <f>VLOOKUP(Table1_2[[#This Row],[Categories]],Sheet3!$A$1:$B$27,2,FALSE)</f>
        <v>Health</v>
      </c>
    </row>
    <row r="7892" spans="1:7" x14ac:dyDescent="0.3">
      <c r="A7892" t="s">
        <v>34</v>
      </c>
      <c r="B7892">
        <v>2021</v>
      </c>
      <c r="C7892" t="s">
        <v>38</v>
      </c>
      <c r="D7892" s="2">
        <v>44317</v>
      </c>
      <c r="E7892" t="s">
        <v>24</v>
      </c>
      <c r="F7892">
        <v>148.9</v>
      </c>
      <c r="G7892" t="str">
        <f>VLOOKUP(Table1_2[[#This Row],[Categories]],Sheet3!$A$1:$B$27,2,FALSE)</f>
        <v>Transport and communication</v>
      </c>
    </row>
    <row r="7893" spans="1:7" x14ac:dyDescent="0.3">
      <c r="A7893" t="s">
        <v>34</v>
      </c>
      <c r="B7893">
        <v>2021</v>
      </c>
      <c r="C7893" t="s">
        <v>38</v>
      </c>
      <c r="D7893" s="2">
        <v>44317</v>
      </c>
      <c r="E7893" t="s">
        <v>25</v>
      </c>
      <c r="F7893">
        <v>155.80000000000001</v>
      </c>
      <c r="G7893" t="str">
        <f>VLOOKUP(Table1_2[[#This Row],[Categories]],Sheet3!$A$1:$B$27,2,FALSE)</f>
        <v>Recreation and amusement</v>
      </c>
    </row>
    <row r="7894" spans="1:7" x14ac:dyDescent="0.3">
      <c r="A7894" t="s">
        <v>34</v>
      </c>
      <c r="B7894">
        <v>2021</v>
      </c>
      <c r="C7894" t="s">
        <v>38</v>
      </c>
      <c r="D7894" s="2">
        <v>44317</v>
      </c>
      <c r="E7894" t="s">
        <v>26</v>
      </c>
      <c r="F7894">
        <v>161.19999999999999</v>
      </c>
      <c r="G7894" t="str">
        <f>VLOOKUP(Table1_2[[#This Row],[Categories]],Sheet3!$A$1:$B$27,2,FALSE)</f>
        <v>Education</v>
      </c>
    </row>
    <row r="7895" spans="1:7" x14ac:dyDescent="0.3">
      <c r="A7895" t="s">
        <v>34</v>
      </c>
      <c r="B7895">
        <v>2021</v>
      </c>
      <c r="C7895" t="s">
        <v>38</v>
      </c>
      <c r="D7895" s="2">
        <v>44317</v>
      </c>
      <c r="E7895" t="s">
        <v>27</v>
      </c>
      <c r="F7895">
        <v>158.6</v>
      </c>
      <c r="G7895" t="str">
        <f>VLOOKUP(Table1_2[[#This Row],[Categories]],Sheet3!$A$1:$B$27,2,FALSE)</f>
        <v>Household Items</v>
      </c>
    </row>
    <row r="7896" spans="1:7" x14ac:dyDescent="0.3">
      <c r="A7896" t="s">
        <v>34</v>
      </c>
      <c r="B7896">
        <v>2021</v>
      </c>
      <c r="C7896" t="s">
        <v>38</v>
      </c>
      <c r="D7896" s="2">
        <v>44317</v>
      </c>
      <c r="E7896" t="s">
        <v>28</v>
      </c>
      <c r="F7896">
        <v>156.80000000000001</v>
      </c>
      <c r="G7896" t="str">
        <f>VLOOKUP(Table1_2[[#This Row],[Categories]],Sheet3!$A$1:$B$27,2,FALSE)</f>
        <v>Miscellaneous</v>
      </c>
    </row>
    <row r="7897" spans="1:7" x14ac:dyDescent="0.3">
      <c r="A7897" t="s">
        <v>34</v>
      </c>
      <c r="B7897">
        <v>2021</v>
      </c>
      <c r="C7897" t="s">
        <v>38</v>
      </c>
      <c r="D7897" s="2">
        <v>44317</v>
      </c>
      <c r="E7897" t="s">
        <v>29</v>
      </c>
      <c r="F7897">
        <v>160.4</v>
      </c>
      <c r="G7897" t="str">
        <f>VLOOKUP(Table1_2[[#This Row],[Categories]],Sheet3!$A$1:$B$27,2,FALSE)</f>
        <v>General index</v>
      </c>
    </row>
    <row r="7898" spans="1:7" x14ac:dyDescent="0.3">
      <c r="A7898" t="s">
        <v>30</v>
      </c>
      <c r="B7898">
        <v>2021</v>
      </c>
      <c r="C7898" t="s">
        <v>39</v>
      </c>
      <c r="D7898" s="2">
        <v>44348</v>
      </c>
      <c r="E7898" t="s">
        <v>3</v>
      </c>
      <c r="F7898">
        <v>145.6</v>
      </c>
      <c r="G7898" t="str">
        <f>VLOOKUP(Table1_2[[#This Row],[Categories]],Sheet3!$A$1:$B$27,2,FALSE)</f>
        <v>Food &amp;Beverage</v>
      </c>
    </row>
    <row r="7899" spans="1:7" x14ac:dyDescent="0.3">
      <c r="A7899" t="s">
        <v>30</v>
      </c>
      <c r="B7899">
        <v>2021</v>
      </c>
      <c r="C7899" t="s">
        <v>39</v>
      </c>
      <c r="D7899" s="2">
        <v>44348</v>
      </c>
      <c r="E7899" t="s">
        <v>4</v>
      </c>
      <c r="F7899">
        <v>200.1</v>
      </c>
      <c r="G7899" t="str">
        <f>VLOOKUP(Table1_2[[#This Row],[Categories]],Sheet3!$A$1:$B$27,2,FALSE)</f>
        <v>Food &amp;Beverage</v>
      </c>
    </row>
    <row r="7900" spans="1:7" x14ac:dyDescent="0.3">
      <c r="A7900" t="s">
        <v>30</v>
      </c>
      <c r="B7900">
        <v>2021</v>
      </c>
      <c r="C7900" t="s">
        <v>39</v>
      </c>
      <c r="D7900" s="2">
        <v>44348</v>
      </c>
      <c r="E7900" t="s">
        <v>5</v>
      </c>
      <c r="F7900">
        <v>179.3</v>
      </c>
      <c r="G7900" t="str">
        <f>VLOOKUP(Table1_2[[#This Row],[Categories]],Sheet3!$A$1:$B$27,2,FALSE)</f>
        <v>Food &amp;Beverage</v>
      </c>
    </row>
    <row r="7901" spans="1:7" x14ac:dyDescent="0.3">
      <c r="A7901" t="s">
        <v>30</v>
      </c>
      <c r="B7901">
        <v>2021</v>
      </c>
      <c r="C7901" t="s">
        <v>39</v>
      </c>
      <c r="D7901" s="2">
        <v>44348</v>
      </c>
      <c r="E7901" t="s">
        <v>6</v>
      </c>
      <c r="F7901">
        <v>156.1</v>
      </c>
      <c r="G7901" t="str">
        <f>VLOOKUP(Table1_2[[#This Row],[Categories]],Sheet3!$A$1:$B$27,2,FALSE)</f>
        <v>Food &amp;Beverage</v>
      </c>
    </row>
    <row r="7902" spans="1:7" x14ac:dyDescent="0.3">
      <c r="A7902" t="s">
        <v>30</v>
      </c>
      <c r="B7902">
        <v>2021</v>
      </c>
      <c r="C7902" t="s">
        <v>39</v>
      </c>
      <c r="D7902" s="2">
        <v>44348</v>
      </c>
      <c r="E7902" t="s">
        <v>7</v>
      </c>
      <c r="F7902">
        <v>190.4</v>
      </c>
      <c r="G7902" t="str">
        <f>VLOOKUP(Table1_2[[#This Row],[Categories]],Sheet3!$A$1:$B$27,2,FALSE)</f>
        <v>Food &amp;Beverage</v>
      </c>
    </row>
    <row r="7903" spans="1:7" x14ac:dyDescent="0.3">
      <c r="A7903" t="s">
        <v>30</v>
      </c>
      <c r="B7903">
        <v>2021</v>
      </c>
      <c r="C7903" t="s">
        <v>39</v>
      </c>
      <c r="D7903" s="2">
        <v>44348</v>
      </c>
      <c r="E7903" t="s">
        <v>8</v>
      </c>
      <c r="F7903">
        <v>158.6</v>
      </c>
      <c r="G7903" t="str">
        <f>VLOOKUP(Table1_2[[#This Row],[Categories]],Sheet3!$A$1:$B$27,2,FALSE)</f>
        <v>Food &amp;Beverage</v>
      </c>
    </row>
    <row r="7904" spans="1:7" x14ac:dyDescent="0.3">
      <c r="A7904" t="s">
        <v>30</v>
      </c>
      <c r="B7904">
        <v>2021</v>
      </c>
      <c r="C7904" t="s">
        <v>39</v>
      </c>
      <c r="D7904" s="2">
        <v>44348</v>
      </c>
      <c r="E7904" t="s">
        <v>9</v>
      </c>
      <c r="F7904">
        <v>144.69999999999999</v>
      </c>
      <c r="G7904" t="str">
        <f>VLOOKUP(Table1_2[[#This Row],[Categories]],Sheet3!$A$1:$B$27,2,FALSE)</f>
        <v>Food &amp;Beverage</v>
      </c>
    </row>
    <row r="7905" spans="1:7" x14ac:dyDescent="0.3">
      <c r="A7905" t="s">
        <v>30</v>
      </c>
      <c r="B7905">
        <v>2021</v>
      </c>
      <c r="C7905" t="s">
        <v>39</v>
      </c>
      <c r="D7905" s="2">
        <v>44348</v>
      </c>
      <c r="E7905" t="s">
        <v>10</v>
      </c>
      <c r="F7905">
        <v>165.5</v>
      </c>
      <c r="G7905" t="str">
        <f>VLOOKUP(Table1_2[[#This Row],[Categories]],Sheet3!$A$1:$B$27,2,FALSE)</f>
        <v>Food &amp;Beverage</v>
      </c>
    </row>
    <row r="7906" spans="1:7" x14ac:dyDescent="0.3">
      <c r="A7906" t="s">
        <v>30</v>
      </c>
      <c r="B7906">
        <v>2021</v>
      </c>
      <c r="C7906" t="s">
        <v>39</v>
      </c>
      <c r="D7906" s="2">
        <v>44348</v>
      </c>
      <c r="E7906" t="s">
        <v>11</v>
      </c>
      <c r="F7906">
        <v>114.6</v>
      </c>
      <c r="G7906" t="str">
        <f>VLOOKUP(Table1_2[[#This Row],[Categories]],Sheet3!$A$1:$B$27,2,FALSE)</f>
        <v>Food &amp;Beverage</v>
      </c>
    </row>
    <row r="7907" spans="1:7" x14ac:dyDescent="0.3">
      <c r="A7907" t="s">
        <v>30</v>
      </c>
      <c r="B7907">
        <v>2021</v>
      </c>
      <c r="C7907" t="s">
        <v>39</v>
      </c>
      <c r="D7907" s="2">
        <v>44348</v>
      </c>
      <c r="E7907" t="s">
        <v>12</v>
      </c>
      <c r="F7907">
        <v>170</v>
      </c>
      <c r="G7907" t="str">
        <f>VLOOKUP(Table1_2[[#This Row],[Categories]],Sheet3!$A$1:$B$27,2,FALSE)</f>
        <v>Food &amp;Beverage</v>
      </c>
    </row>
    <row r="7908" spans="1:7" x14ac:dyDescent="0.3">
      <c r="A7908" t="s">
        <v>30</v>
      </c>
      <c r="B7908">
        <v>2021</v>
      </c>
      <c r="C7908" t="s">
        <v>39</v>
      </c>
      <c r="D7908" s="2">
        <v>44348</v>
      </c>
      <c r="E7908" t="s">
        <v>13</v>
      </c>
      <c r="F7908">
        <v>165.5</v>
      </c>
      <c r="G7908" t="str">
        <f>VLOOKUP(Table1_2[[#This Row],[Categories]],Sheet3!$A$1:$B$27,2,FALSE)</f>
        <v>Food &amp;Beverage</v>
      </c>
    </row>
    <row r="7909" spans="1:7" x14ac:dyDescent="0.3">
      <c r="A7909" t="s">
        <v>30</v>
      </c>
      <c r="B7909">
        <v>2021</v>
      </c>
      <c r="C7909" t="s">
        <v>39</v>
      </c>
      <c r="D7909" s="2">
        <v>44348</v>
      </c>
      <c r="E7909" t="s">
        <v>14</v>
      </c>
      <c r="F7909">
        <v>171.7</v>
      </c>
      <c r="G7909" t="str">
        <f>VLOOKUP(Table1_2[[#This Row],[Categories]],Sheet3!$A$1:$B$27,2,FALSE)</f>
        <v>Food &amp;Beverage</v>
      </c>
    </row>
    <row r="7910" spans="1:7" x14ac:dyDescent="0.3">
      <c r="A7910" t="s">
        <v>30</v>
      </c>
      <c r="B7910">
        <v>2021</v>
      </c>
      <c r="C7910" t="s">
        <v>39</v>
      </c>
      <c r="D7910" s="2">
        <v>44348</v>
      </c>
      <c r="E7910" t="s">
        <v>15</v>
      </c>
      <c r="F7910">
        <v>160.5</v>
      </c>
      <c r="G7910" t="str">
        <f>VLOOKUP(Table1_2[[#This Row],[Categories]],Sheet3!$A$1:$B$27,2,FALSE)</f>
        <v>Food &amp;Beverage</v>
      </c>
    </row>
    <row r="7911" spans="1:7" x14ac:dyDescent="0.3">
      <c r="A7911" t="s">
        <v>30</v>
      </c>
      <c r="B7911">
        <v>2021</v>
      </c>
      <c r="C7911" t="s">
        <v>39</v>
      </c>
      <c r="D7911" s="2">
        <v>44348</v>
      </c>
      <c r="E7911" t="s">
        <v>16</v>
      </c>
      <c r="F7911">
        <v>189.1</v>
      </c>
      <c r="G7911" t="str">
        <f>VLOOKUP(Table1_2[[#This Row],[Categories]],Sheet3!$A$1:$B$27,2,FALSE)</f>
        <v>Recreation and amusement</v>
      </c>
    </row>
    <row r="7912" spans="1:7" x14ac:dyDescent="0.3">
      <c r="A7912" t="s">
        <v>30</v>
      </c>
      <c r="B7912">
        <v>2021</v>
      </c>
      <c r="C7912" t="s">
        <v>39</v>
      </c>
      <c r="D7912" s="2">
        <v>44348</v>
      </c>
      <c r="E7912" t="s">
        <v>17</v>
      </c>
      <c r="F7912">
        <v>165.3</v>
      </c>
      <c r="G7912" t="str">
        <f>VLOOKUP(Table1_2[[#This Row],[Categories]],Sheet3!$A$1:$B$27,2,FALSE)</f>
        <v>Clothing and footwear</v>
      </c>
    </row>
    <row r="7913" spans="1:7" x14ac:dyDescent="0.3">
      <c r="A7913" t="s">
        <v>30</v>
      </c>
      <c r="B7913">
        <v>2021</v>
      </c>
      <c r="C7913" t="s">
        <v>39</v>
      </c>
      <c r="D7913" s="2">
        <v>44348</v>
      </c>
      <c r="E7913" t="s">
        <v>18</v>
      </c>
      <c r="F7913">
        <v>159.9</v>
      </c>
      <c r="G7913" t="str">
        <f>VLOOKUP(Table1_2[[#This Row],[Categories]],Sheet3!$A$1:$B$27,2,FALSE)</f>
        <v>Clothing and footwear</v>
      </c>
    </row>
    <row r="7914" spans="1:7" x14ac:dyDescent="0.3">
      <c r="A7914" t="s">
        <v>30</v>
      </c>
      <c r="B7914">
        <v>2021</v>
      </c>
      <c r="C7914" t="s">
        <v>39</v>
      </c>
      <c r="D7914" s="2">
        <v>44348</v>
      </c>
      <c r="E7914" t="s">
        <v>19</v>
      </c>
      <c r="F7914">
        <v>164.6</v>
      </c>
      <c r="G7914" t="str">
        <f>VLOOKUP(Table1_2[[#This Row],[Categories]],Sheet3!$A$1:$B$27,2,FALSE)</f>
        <v>Clothing and footwear</v>
      </c>
    </row>
    <row r="7915" spans="1:7" x14ac:dyDescent="0.3">
      <c r="A7915" t="s">
        <v>30</v>
      </c>
      <c r="B7915">
        <v>2021</v>
      </c>
      <c r="C7915" t="s">
        <v>39</v>
      </c>
      <c r="D7915" s="2">
        <v>44348</v>
      </c>
      <c r="E7915" t="s">
        <v>21</v>
      </c>
      <c r="F7915">
        <v>162.1</v>
      </c>
      <c r="G7915" t="str">
        <f>VLOOKUP(Table1_2[[#This Row],[Categories]],Sheet3!$A$1:$B$27,2,FALSE)</f>
        <v>Fuel and light</v>
      </c>
    </row>
    <row r="7916" spans="1:7" x14ac:dyDescent="0.3">
      <c r="A7916" t="s">
        <v>30</v>
      </c>
      <c r="B7916">
        <v>2021</v>
      </c>
      <c r="C7916" t="s">
        <v>39</v>
      </c>
      <c r="D7916" s="2">
        <v>44348</v>
      </c>
      <c r="E7916" t="s">
        <v>22</v>
      </c>
      <c r="F7916">
        <v>159.19999999999999</v>
      </c>
      <c r="G7916" t="str">
        <f>VLOOKUP(Table1_2[[#This Row],[Categories]],Sheet3!$A$1:$B$27,2,FALSE)</f>
        <v>Household Items</v>
      </c>
    </row>
    <row r="7917" spans="1:7" x14ac:dyDescent="0.3">
      <c r="A7917" t="s">
        <v>30</v>
      </c>
      <c r="B7917">
        <v>2021</v>
      </c>
      <c r="C7917" t="s">
        <v>39</v>
      </c>
      <c r="D7917" s="2">
        <v>44348</v>
      </c>
      <c r="E7917" t="s">
        <v>23</v>
      </c>
      <c r="F7917">
        <v>169.7</v>
      </c>
      <c r="G7917" t="str">
        <f>VLOOKUP(Table1_2[[#This Row],[Categories]],Sheet3!$A$1:$B$27,2,FALSE)</f>
        <v>Health</v>
      </c>
    </row>
    <row r="7918" spans="1:7" x14ac:dyDescent="0.3">
      <c r="A7918" t="s">
        <v>30</v>
      </c>
      <c r="B7918">
        <v>2021</v>
      </c>
      <c r="C7918" t="s">
        <v>39</v>
      </c>
      <c r="D7918" s="2">
        <v>44348</v>
      </c>
      <c r="E7918" t="s">
        <v>24</v>
      </c>
      <c r="F7918">
        <v>154.19999999999999</v>
      </c>
      <c r="G7918" t="str">
        <f>VLOOKUP(Table1_2[[#This Row],[Categories]],Sheet3!$A$1:$B$27,2,FALSE)</f>
        <v>Transport and communication</v>
      </c>
    </row>
    <row r="7919" spans="1:7" x14ac:dyDescent="0.3">
      <c r="A7919" t="s">
        <v>30</v>
      </c>
      <c r="B7919">
        <v>2021</v>
      </c>
      <c r="C7919" t="s">
        <v>39</v>
      </c>
      <c r="D7919" s="2">
        <v>44348</v>
      </c>
      <c r="E7919" t="s">
        <v>25</v>
      </c>
      <c r="F7919">
        <v>160.4</v>
      </c>
      <c r="G7919" t="str">
        <f>VLOOKUP(Table1_2[[#This Row],[Categories]],Sheet3!$A$1:$B$27,2,FALSE)</f>
        <v>Recreation and amusement</v>
      </c>
    </row>
    <row r="7920" spans="1:7" x14ac:dyDescent="0.3">
      <c r="A7920" t="s">
        <v>30</v>
      </c>
      <c r="B7920">
        <v>2021</v>
      </c>
      <c r="C7920" t="s">
        <v>39</v>
      </c>
      <c r="D7920" s="2">
        <v>44348</v>
      </c>
      <c r="E7920" t="s">
        <v>26</v>
      </c>
      <c r="F7920">
        <v>166.8</v>
      </c>
      <c r="G7920" t="str">
        <f>VLOOKUP(Table1_2[[#This Row],[Categories]],Sheet3!$A$1:$B$27,2,FALSE)</f>
        <v>Education</v>
      </c>
    </row>
    <row r="7921" spans="1:7" x14ac:dyDescent="0.3">
      <c r="A7921" t="s">
        <v>30</v>
      </c>
      <c r="B7921">
        <v>2021</v>
      </c>
      <c r="C7921" t="s">
        <v>39</v>
      </c>
      <c r="D7921" s="2">
        <v>44348</v>
      </c>
      <c r="E7921" t="s">
        <v>27</v>
      </c>
      <c r="F7921">
        <v>159.4</v>
      </c>
      <c r="G7921" t="str">
        <f>VLOOKUP(Table1_2[[#This Row],[Categories]],Sheet3!$A$1:$B$27,2,FALSE)</f>
        <v>Household Items</v>
      </c>
    </row>
    <row r="7922" spans="1:7" x14ac:dyDescent="0.3">
      <c r="A7922" t="s">
        <v>30</v>
      </c>
      <c r="B7922">
        <v>2021</v>
      </c>
      <c r="C7922" t="s">
        <v>39</v>
      </c>
      <c r="D7922" s="2">
        <v>44348</v>
      </c>
      <c r="E7922" t="s">
        <v>28</v>
      </c>
      <c r="F7922">
        <v>161.5</v>
      </c>
      <c r="G7922" t="str">
        <f>VLOOKUP(Table1_2[[#This Row],[Categories]],Sheet3!$A$1:$B$27,2,FALSE)</f>
        <v>Miscellaneous</v>
      </c>
    </row>
    <row r="7923" spans="1:7" x14ac:dyDescent="0.3">
      <c r="A7923" t="s">
        <v>30</v>
      </c>
      <c r="B7923">
        <v>2021</v>
      </c>
      <c r="C7923" t="s">
        <v>39</v>
      </c>
      <c r="D7923" s="2">
        <v>44348</v>
      </c>
      <c r="E7923" t="s">
        <v>29</v>
      </c>
      <c r="F7923">
        <v>162.1</v>
      </c>
      <c r="G7923" t="str">
        <f>VLOOKUP(Table1_2[[#This Row],[Categories]],Sheet3!$A$1:$B$27,2,FALSE)</f>
        <v>General index</v>
      </c>
    </row>
    <row r="7924" spans="1:7" x14ac:dyDescent="0.3">
      <c r="A7924" t="s">
        <v>33</v>
      </c>
      <c r="B7924">
        <v>2021</v>
      </c>
      <c r="C7924" t="s">
        <v>39</v>
      </c>
      <c r="D7924" s="2">
        <v>44348</v>
      </c>
      <c r="E7924" t="s">
        <v>3</v>
      </c>
      <c r="F7924">
        <v>149.19999999999999</v>
      </c>
      <c r="G7924" t="str">
        <f>VLOOKUP(Table1_2[[#This Row],[Categories]],Sheet3!$A$1:$B$27,2,FALSE)</f>
        <v>Food &amp;Beverage</v>
      </c>
    </row>
    <row r="7925" spans="1:7" x14ac:dyDescent="0.3">
      <c r="A7925" t="s">
        <v>33</v>
      </c>
      <c r="B7925">
        <v>2021</v>
      </c>
      <c r="C7925" t="s">
        <v>39</v>
      </c>
      <c r="D7925" s="2">
        <v>44348</v>
      </c>
      <c r="E7925" t="s">
        <v>4</v>
      </c>
      <c r="F7925">
        <v>205.5</v>
      </c>
      <c r="G7925" t="str">
        <f>VLOOKUP(Table1_2[[#This Row],[Categories]],Sheet3!$A$1:$B$27,2,FALSE)</f>
        <v>Food &amp;Beverage</v>
      </c>
    </row>
    <row r="7926" spans="1:7" x14ac:dyDescent="0.3">
      <c r="A7926" t="s">
        <v>33</v>
      </c>
      <c r="B7926">
        <v>2021</v>
      </c>
      <c r="C7926" t="s">
        <v>39</v>
      </c>
      <c r="D7926" s="2">
        <v>44348</v>
      </c>
      <c r="E7926" t="s">
        <v>5</v>
      </c>
      <c r="F7926">
        <v>182.8</v>
      </c>
      <c r="G7926" t="str">
        <f>VLOOKUP(Table1_2[[#This Row],[Categories]],Sheet3!$A$1:$B$27,2,FALSE)</f>
        <v>Food &amp;Beverage</v>
      </c>
    </row>
    <row r="7927" spans="1:7" x14ac:dyDescent="0.3">
      <c r="A7927" t="s">
        <v>33</v>
      </c>
      <c r="B7927">
        <v>2021</v>
      </c>
      <c r="C7927" t="s">
        <v>39</v>
      </c>
      <c r="D7927" s="2">
        <v>44348</v>
      </c>
      <c r="E7927" t="s">
        <v>6</v>
      </c>
      <c r="F7927">
        <v>156.5</v>
      </c>
      <c r="G7927" t="str">
        <f>VLOOKUP(Table1_2[[#This Row],[Categories]],Sheet3!$A$1:$B$27,2,FALSE)</f>
        <v>Food &amp;Beverage</v>
      </c>
    </row>
    <row r="7928" spans="1:7" x14ac:dyDescent="0.3">
      <c r="A7928" t="s">
        <v>33</v>
      </c>
      <c r="B7928">
        <v>2021</v>
      </c>
      <c r="C7928" t="s">
        <v>39</v>
      </c>
      <c r="D7928" s="2">
        <v>44348</v>
      </c>
      <c r="E7928" t="s">
        <v>7</v>
      </c>
      <c r="F7928">
        <v>172.2</v>
      </c>
      <c r="G7928" t="str">
        <f>VLOOKUP(Table1_2[[#This Row],[Categories]],Sheet3!$A$1:$B$27,2,FALSE)</f>
        <v>Food &amp;Beverage</v>
      </c>
    </row>
    <row r="7929" spans="1:7" x14ac:dyDescent="0.3">
      <c r="A7929" t="s">
        <v>33</v>
      </c>
      <c r="B7929">
        <v>2021</v>
      </c>
      <c r="C7929" t="s">
        <v>39</v>
      </c>
      <c r="D7929" s="2">
        <v>44348</v>
      </c>
      <c r="E7929" t="s">
        <v>8</v>
      </c>
      <c r="F7929">
        <v>171.5</v>
      </c>
      <c r="G7929" t="str">
        <f>VLOOKUP(Table1_2[[#This Row],[Categories]],Sheet3!$A$1:$B$27,2,FALSE)</f>
        <v>Food &amp;Beverage</v>
      </c>
    </row>
    <row r="7930" spans="1:7" x14ac:dyDescent="0.3">
      <c r="A7930" t="s">
        <v>33</v>
      </c>
      <c r="B7930">
        <v>2021</v>
      </c>
      <c r="C7930" t="s">
        <v>39</v>
      </c>
      <c r="D7930" s="2">
        <v>44348</v>
      </c>
      <c r="E7930" t="s">
        <v>9</v>
      </c>
      <c r="F7930">
        <v>176.2</v>
      </c>
      <c r="G7930" t="str">
        <f>VLOOKUP(Table1_2[[#This Row],[Categories]],Sheet3!$A$1:$B$27,2,FALSE)</f>
        <v>Food &amp;Beverage</v>
      </c>
    </row>
    <row r="7931" spans="1:7" x14ac:dyDescent="0.3">
      <c r="A7931" t="s">
        <v>33</v>
      </c>
      <c r="B7931">
        <v>2021</v>
      </c>
      <c r="C7931" t="s">
        <v>39</v>
      </c>
      <c r="D7931" s="2">
        <v>44348</v>
      </c>
      <c r="E7931" t="s">
        <v>10</v>
      </c>
      <c r="F7931">
        <v>166.9</v>
      </c>
      <c r="G7931" t="str">
        <f>VLOOKUP(Table1_2[[#This Row],[Categories]],Sheet3!$A$1:$B$27,2,FALSE)</f>
        <v>Food &amp;Beverage</v>
      </c>
    </row>
    <row r="7932" spans="1:7" x14ac:dyDescent="0.3">
      <c r="A7932" t="s">
        <v>33</v>
      </c>
      <c r="B7932">
        <v>2021</v>
      </c>
      <c r="C7932" t="s">
        <v>39</v>
      </c>
      <c r="D7932" s="2">
        <v>44348</v>
      </c>
      <c r="E7932" t="s">
        <v>11</v>
      </c>
      <c r="F7932">
        <v>116.1</v>
      </c>
      <c r="G7932" t="str">
        <f>VLOOKUP(Table1_2[[#This Row],[Categories]],Sheet3!$A$1:$B$27,2,FALSE)</f>
        <v>Food &amp;Beverage</v>
      </c>
    </row>
    <row r="7933" spans="1:7" x14ac:dyDescent="0.3">
      <c r="A7933" t="s">
        <v>33</v>
      </c>
      <c r="B7933">
        <v>2021</v>
      </c>
      <c r="C7933" t="s">
        <v>39</v>
      </c>
      <c r="D7933" s="2">
        <v>44348</v>
      </c>
      <c r="E7933" t="s">
        <v>12</v>
      </c>
      <c r="F7933">
        <v>165.5</v>
      </c>
      <c r="G7933" t="str">
        <f>VLOOKUP(Table1_2[[#This Row],[Categories]],Sheet3!$A$1:$B$27,2,FALSE)</f>
        <v>Food &amp;Beverage</v>
      </c>
    </row>
    <row r="7934" spans="1:7" x14ac:dyDescent="0.3">
      <c r="A7934" t="s">
        <v>33</v>
      </c>
      <c r="B7934">
        <v>2021</v>
      </c>
      <c r="C7934" t="s">
        <v>39</v>
      </c>
      <c r="D7934" s="2">
        <v>44348</v>
      </c>
      <c r="E7934" t="s">
        <v>13</v>
      </c>
      <c r="F7934">
        <v>152.30000000000001</v>
      </c>
      <c r="G7934" t="str">
        <f>VLOOKUP(Table1_2[[#This Row],[Categories]],Sheet3!$A$1:$B$27,2,FALSE)</f>
        <v>Food &amp;Beverage</v>
      </c>
    </row>
    <row r="7935" spans="1:7" x14ac:dyDescent="0.3">
      <c r="A7935" t="s">
        <v>33</v>
      </c>
      <c r="B7935">
        <v>2021</v>
      </c>
      <c r="C7935" t="s">
        <v>39</v>
      </c>
      <c r="D7935" s="2">
        <v>44348</v>
      </c>
      <c r="E7935" t="s">
        <v>14</v>
      </c>
      <c r="F7935">
        <v>173.3</v>
      </c>
      <c r="G7935" t="str">
        <f>VLOOKUP(Table1_2[[#This Row],[Categories]],Sheet3!$A$1:$B$27,2,FALSE)</f>
        <v>Food &amp;Beverage</v>
      </c>
    </row>
    <row r="7936" spans="1:7" x14ac:dyDescent="0.3">
      <c r="A7936" t="s">
        <v>33</v>
      </c>
      <c r="B7936">
        <v>2021</v>
      </c>
      <c r="C7936" t="s">
        <v>39</v>
      </c>
      <c r="D7936" s="2">
        <v>44348</v>
      </c>
      <c r="E7936" t="s">
        <v>15</v>
      </c>
      <c r="F7936">
        <v>166.2</v>
      </c>
      <c r="G7936" t="str">
        <f>VLOOKUP(Table1_2[[#This Row],[Categories]],Sheet3!$A$1:$B$27,2,FALSE)</f>
        <v>Food &amp;Beverage</v>
      </c>
    </row>
    <row r="7937" spans="1:7" x14ac:dyDescent="0.3">
      <c r="A7937" t="s">
        <v>33</v>
      </c>
      <c r="B7937">
        <v>2021</v>
      </c>
      <c r="C7937" t="s">
        <v>39</v>
      </c>
      <c r="D7937" s="2">
        <v>44348</v>
      </c>
      <c r="E7937" t="s">
        <v>16</v>
      </c>
      <c r="F7937">
        <v>195.6</v>
      </c>
      <c r="G7937" t="str">
        <f>VLOOKUP(Table1_2[[#This Row],[Categories]],Sheet3!$A$1:$B$27,2,FALSE)</f>
        <v>Recreation and amusement</v>
      </c>
    </row>
    <row r="7938" spans="1:7" x14ac:dyDescent="0.3">
      <c r="A7938" t="s">
        <v>33</v>
      </c>
      <c r="B7938">
        <v>2021</v>
      </c>
      <c r="C7938" t="s">
        <v>39</v>
      </c>
      <c r="D7938" s="2">
        <v>44348</v>
      </c>
      <c r="E7938" t="s">
        <v>17</v>
      </c>
      <c r="F7938">
        <v>157.30000000000001</v>
      </c>
      <c r="G7938" t="str">
        <f>VLOOKUP(Table1_2[[#This Row],[Categories]],Sheet3!$A$1:$B$27,2,FALSE)</f>
        <v>Clothing and footwear</v>
      </c>
    </row>
    <row r="7939" spans="1:7" x14ac:dyDescent="0.3">
      <c r="A7939" t="s">
        <v>33</v>
      </c>
      <c r="B7939">
        <v>2021</v>
      </c>
      <c r="C7939" t="s">
        <v>39</v>
      </c>
      <c r="D7939" s="2">
        <v>44348</v>
      </c>
      <c r="E7939" t="s">
        <v>18</v>
      </c>
      <c r="F7939">
        <v>140.5</v>
      </c>
      <c r="G7939" t="str">
        <f>VLOOKUP(Table1_2[[#This Row],[Categories]],Sheet3!$A$1:$B$27,2,FALSE)</f>
        <v>Clothing and footwear</v>
      </c>
    </row>
    <row r="7940" spans="1:7" x14ac:dyDescent="0.3">
      <c r="A7940" t="s">
        <v>33</v>
      </c>
      <c r="B7940">
        <v>2021</v>
      </c>
      <c r="C7940" t="s">
        <v>39</v>
      </c>
      <c r="D7940" s="2">
        <v>44348</v>
      </c>
      <c r="E7940" t="s">
        <v>19</v>
      </c>
      <c r="F7940">
        <v>154.80000000000001</v>
      </c>
      <c r="G7940" t="str">
        <f>VLOOKUP(Table1_2[[#This Row],[Categories]],Sheet3!$A$1:$B$27,2,FALSE)</f>
        <v>Clothing and footwear</v>
      </c>
    </row>
    <row r="7941" spans="1:7" x14ac:dyDescent="0.3">
      <c r="A7941" t="s">
        <v>33</v>
      </c>
      <c r="B7941">
        <v>2021</v>
      </c>
      <c r="C7941" t="s">
        <v>39</v>
      </c>
      <c r="D7941" s="2">
        <v>44348</v>
      </c>
      <c r="E7941" t="s">
        <v>20</v>
      </c>
      <c r="F7941">
        <v>160.5</v>
      </c>
      <c r="G7941" t="str">
        <f>VLOOKUP(Table1_2[[#This Row],[Categories]],Sheet3!$A$1:$B$27,2,FALSE)</f>
        <v>Housing</v>
      </c>
    </row>
    <row r="7942" spans="1:7" x14ac:dyDescent="0.3">
      <c r="A7942" t="s">
        <v>33</v>
      </c>
      <c r="B7942">
        <v>2021</v>
      </c>
      <c r="C7942" t="s">
        <v>39</v>
      </c>
      <c r="D7942" s="2">
        <v>44348</v>
      </c>
      <c r="E7942" t="s">
        <v>21</v>
      </c>
      <c r="F7942">
        <v>156.1</v>
      </c>
      <c r="G7942" t="str">
        <f>VLOOKUP(Table1_2[[#This Row],[Categories]],Sheet3!$A$1:$B$27,2,FALSE)</f>
        <v>Fuel and light</v>
      </c>
    </row>
    <row r="7943" spans="1:7" x14ac:dyDescent="0.3">
      <c r="A7943" t="s">
        <v>33</v>
      </c>
      <c r="B7943">
        <v>2021</v>
      </c>
      <c r="C7943" t="s">
        <v>39</v>
      </c>
      <c r="D7943" s="2">
        <v>44348</v>
      </c>
      <c r="E7943" t="s">
        <v>22</v>
      </c>
      <c r="F7943">
        <v>149.80000000000001</v>
      </c>
      <c r="G7943" t="str">
        <f>VLOOKUP(Table1_2[[#This Row],[Categories]],Sheet3!$A$1:$B$27,2,FALSE)</f>
        <v>Household Items</v>
      </c>
    </row>
    <row r="7944" spans="1:7" x14ac:dyDescent="0.3">
      <c r="A7944" t="s">
        <v>33</v>
      </c>
      <c r="B7944">
        <v>2021</v>
      </c>
      <c r="C7944" t="s">
        <v>39</v>
      </c>
      <c r="D7944" s="2">
        <v>44348</v>
      </c>
      <c r="E7944" t="s">
        <v>23</v>
      </c>
      <c r="F7944">
        <v>160.80000000000001</v>
      </c>
      <c r="G7944" t="str">
        <f>VLOOKUP(Table1_2[[#This Row],[Categories]],Sheet3!$A$1:$B$27,2,FALSE)</f>
        <v>Health</v>
      </c>
    </row>
    <row r="7945" spans="1:7" x14ac:dyDescent="0.3">
      <c r="A7945" t="s">
        <v>33</v>
      </c>
      <c r="B7945">
        <v>2021</v>
      </c>
      <c r="C7945" t="s">
        <v>39</v>
      </c>
      <c r="D7945" s="2">
        <v>44348</v>
      </c>
      <c r="E7945" t="s">
        <v>24</v>
      </c>
      <c r="F7945">
        <v>147.5</v>
      </c>
      <c r="G7945" t="str">
        <f>VLOOKUP(Table1_2[[#This Row],[Categories]],Sheet3!$A$1:$B$27,2,FALSE)</f>
        <v>Transport and communication</v>
      </c>
    </row>
    <row r="7946" spans="1:7" x14ac:dyDescent="0.3">
      <c r="A7946" t="s">
        <v>33</v>
      </c>
      <c r="B7946">
        <v>2021</v>
      </c>
      <c r="C7946" t="s">
        <v>39</v>
      </c>
      <c r="D7946" s="2">
        <v>44348</v>
      </c>
      <c r="E7946" t="s">
        <v>25</v>
      </c>
      <c r="F7946">
        <v>150.69999999999999</v>
      </c>
      <c r="G7946" t="str">
        <f>VLOOKUP(Table1_2[[#This Row],[Categories]],Sheet3!$A$1:$B$27,2,FALSE)</f>
        <v>Recreation and amusement</v>
      </c>
    </row>
    <row r="7947" spans="1:7" x14ac:dyDescent="0.3">
      <c r="A7947" t="s">
        <v>33</v>
      </c>
      <c r="B7947">
        <v>2021</v>
      </c>
      <c r="C7947" t="s">
        <v>39</v>
      </c>
      <c r="D7947" s="2">
        <v>44348</v>
      </c>
      <c r="E7947" t="s">
        <v>26</v>
      </c>
      <c r="F7947">
        <v>158.1</v>
      </c>
      <c r="G7947" t="str">
        <f>VLOOKUP(Table1_2[[#This Row],[Categories]],Sheet3!$A$1:$B$27,2,FALSE)</f>
        <v>Education</v>
      </c>
    </row>
    <row r="7948" spans="1:7" x14ac:dyDescent="0.3">
      <c r="A7948" t="s">
        <v>33</v>
      </c>
      <c r="B7948">
        <v>2021</v>
      </c>
      <c r="C7948" t="s">
        <v>39</v>
      </c>
      <c r="D7948" s="2">
        <v>44348</v>
      </c>
      <c r="E7948" t="s">
        <v>27</v>
      </c>
      <c r="F7948">
        <v>158</v>
      </c>
      <c r="G7948" t="str">
        <f>VLOOKUP(Table1_2[[#This Row],[Categories]],Sheet3!$A$1:$B$27,2,FALSE)</f>
        <v>Household Items</v>
      </c>
    </row>
    <row r="7949" spans="1:7" x14ac:dyDescent="0.3">
      <c r="A7949" t="s">
        <v>33</v>
      </c>
      <c r="B7949">
        <v>2021</v>
      </c>
      <c r="C7949" t="s">
        <v>39</v>
      </c>
      <c r="D7949" s="2">
        <v>44348</v>
      </c>
      <c r="E7949" t="s">
        <v>28</v>
      </c>
      <c r="F7949">
        <v>153.4</v>
      </c>
      <c r="G7949" t="str">
        <f>VLOOKUP(Table1_2[[#This Row],[Categories]],Sheet3!$A$1:$B$27,2,FALSE)</f>
        <v>Miscellaneous</v>
      </c>
    </row>
    <row r="7950" spans="1:7" x14ac:dyDescent="0.3">
      <c r="A7950" t="s">
        <v>33</v>
      </c>
      <c r="B7950">
        <v>2021</v>
      </c>
      <c r="C7950" t="s">
        <v>39</v>
      </c>
      <c r="D7950" s="2">
        <v>44348</v>
      </c>
      <c r="E7950" t="s">
        <v>29</v>
      </c>
      <c r="F7950">
        <v>160.4</v>
      </c>
      <c r="G7950" t="str">
        <f>VLOOKUP(Table1_2[[#This Row],[Categories]],Sheet3!$A$1:$B$27,2,FALSE)</f>
        <v>General index</v>
      </c>
    </row>
    <row r="7951" spans="1:7" x14ac:dyDescent="0.3">
      <c r="A7951" t="s">
        <v>34</v>
      </c>
      <c r="B7951">
        <v>2021</v>
      </c>
      <c r="C7951" t="s">
        <v>39</v>
      </c>
      <c r="D7951" s="2">
        <v>44348</v>
      </c>
      <c r="E7951" t="s">
        <v>3</v>
      </c>
      <c r="F7951">
        <v>146.69999999999999</v>
      </c>
      <c r="G7951" t="str">
        <f>VLOOKUP(Table1_2[[#This Row],[Categories]],Sheet3!$A$1:$B$27,2,FALSE)</f>
        <v>Food &amp;Beverage</v>
      </c>
    </row>
    <row r="7952" spans="1:7" x14ac:dyDescent="0.3">
      <c r="A7952" t="s">
        <v>34</v>
      </c>
      <c r="B7952">
        <v>2021</v>
      </c>
      <c r="C7952" t="s">
        <v>39</v>
      </c>
      <c r="D7952" s="2">
        <v>44348</v>
      </c>
      <c r="E7952" t="s">
        <v>4</v>
      </c>
      <c r="F7952">
        <v>202</v>
      </c>
      <c r="G7952" t="str">
        <f>VLOOKUP(Table1_2[[#This Row],[Categories]],Sheet3!$A$1:$B$27,2,FALSE)</f>
        <v>Food &amp;Beverage</v>
      </c>
    </row>
    <row r="7953" spans="1:7" x14ac:dyDescent="0.3">
      <c r="A7953" t="s">
        <v>34</v>
      </c>
      <c r="B7953">
        <v>2021</v>
      </c>
      <c r="C7953" t="s">
        <v>39</v>
      </c>
      <c r="D7953" s="2">
        <v>44348</v>
      </c>
      <c r="E7953" t="s">
        <v>5</v>
      </c>
      <c r="F7953">
        <v>180.7</v>
      </c>
      <c r="G7953" t="str">
        <f>VLOOKUP(Table1_2[[#This Row],[Categories]],Sheet3!$A$1:$B$27,2,FALSE)</f>
        <v>Food &amp;Beverage</v>
      </c>
    </row>
    <row r="7954" spans="1:7" x14ac:dyDescent="0.3">
      <c r="A7954" t="s">
        <v>34</v>
      </c>
      <c r="B7954">
        <v>2021</v>
      </c>
      <c r="C7954" t="s">
        <v>39</v>
      </c>
      <c r="D7954" s="2">
        <v>44348</v>
      </c>
      <c r="E7954" t="s">
        <v>6</v>
      </c>
      <c r="F7954">
        <v>156.19999999999999</v>
      </c>
      <c r="G7954" t="str">
        <f>VLOOKUP(Table1_2[[#This Row],[Categories]],Sheet3!$A$1:$B$27,2,FALSE)</f>
        <v>Food &amp;Beverage</v>
      </c>
    </row>
    <row r="7955" spans="1:7" x14ac:dyDescent="0.3">
      <c r="A7955" t="s">
        <v>34</v>
      </c>
      <c r="B7955">
        <v>2021</v>
      </c>
      <c r="C7955" t="s">
        <v>39</v>
      </c>
      <c r="D7955" s="2">
        <v>44348</v>
      </c>
      <c r="E7955" t="s">
        <v>7</v>
      </c>
      <c r="F7955">
        <v>183.7</v>
      </c>
      <c r="G7955" t="str">
        <f>VLOOKUP(Table1_2[[#This Row],[Categories]],Sheet3!$A$1:$B$27,2,FALSE)</f>
        <v>Food &amp;Beverage</v>
      </c>
    </row>
    <row r="7956" spans="1:7" x14ac:dyDescent="0.3">
      <c r="A7956" t="s">
        <v>34</v>
      </c>
      <c r="B7956">
        <v>2021</v>
      </c>
      <c r="C7956" t="s">
        <v>39</v>
      </c>
      <c r="D7956" s="2">
        <v>44348</v>
      </c>
      <c r="E7956" t="s">
        <v>8</v>
      </c>
      <c r="F7956">
        <v>164.6</v>
      </c>
      <c r="G7956" t="str">
        <f>VLOOKUP(Table1_2[[#This Row],[Categories]],Sheet3!$A$1:$B$27,2,FALSE)</f>
        <v>Food &amp;Beverage</v>
      </c>
    </row>
    <row r="7957" spans="1:7" x14ac:dyDescent="0.3">
      <c r="A7957" t="s">
        <v>34</v>
      </c>
      <c r="B7957">
        <v>2021</v>
      </c>
      <c r="C7957" t="s">
        <v>39</v>
      </c>
      <c r="D7957" s="2">
        <v>44348</v>
      </c>
      <c r="E7957" t="s">
        <v>9</v>
      </c>
      <c r="F7957">
        <v>155.4</v>
      </c>
      <c r="G7957" t="str">
        <f>VLOOKUP(Table1_2[[#This Row],[Categories]],Sheet3!$A$1:$B$27,2,FALSE)</f>
        <v>Food &amp;Beverage</v>
      </c>
    </row>
    <row r="7958" spans="1:7" x14ac:dyDescent="0.3">
      <c r="A7958" t="s">
        <v>34</v>
      </c>
      <c r="B7958">
        <v>2021</v>
      </c>
      <c r="C7958" t="s">
        <v>39</v>
      </c>
      <c r="D7958" s="2">
        <v>44348</v>
      </c>
      <c r="E7958" t="s">
        <v>10</v>
      </c>
      <c r="F7958">
        <v>166</v>
      </c>
      <c r="G7958" t="str">
        <f>VLOOKUP(Table1_2[[#This Row],[Categories]],Sheet3!$A$1:$B$27,2,FALSE)</f>
        <v>Food &amp;Beverage</v>
      </c>
    </row>
    <row r="7959" spans="1:7" x14ac:dyDescent="0.3">
      <c r="A7959" t="s">
        <v>34</v>
      </c>
      <c r="B7959">
        <v>2021</v>
      </c>
      <c r="C7959" t="s">
        <v>39</v>
      </c>
      <c r="D7959" s="2">
        <v>44348</v>
      </c>
      <c r="E7959" t="s">
        <v>11</v>
      </c>
      <c r="F7959">
        <v>115.1</v>
      </c>
      <c r="G7959" t="str">
        <f>VLOOKUP(Table1_2[[#This Row],[Categories]],Sheet3!$A$1:$B$27,2,FALSE)</f>
        <v>Food &amp;Beverage</v>
      </c>
    </row>
    <row r="7960" spans="1:7" x14ac:dyDescent="0.3">
      <c r="A7960" t="s">
        <v>34</v>
      </c>
      <c r="B7960">
        <v>2021</v>
      </c>
      <c r="C7960" t="s">
        <v>39</v>
      </c>
      <c r="D7960" s="2">
        <v>44348</v>
      </c>
      <c r="E7960" t="s">
        <v>12</v>
      </c>
      <c r="F7960">
        <v>168.5</v>
      </c>
      <c r="G7960" t="str">
        <f>VLOOKUP(Table1_2[[#This Row],[Categories]],Sheet3!$A$1:$B$27,2,FALSE)</f>
        <v>Food &amp;Beverage</v>
      </c>
    </row>
    <row r="7961" spans="1:7" x14ac:dyDescent="0.3">
      <c r="A7961" t="s">
        <v>34</v>
      </c>
      <c r="B7961">
        <v>2021</v>
      </c>
      <c r="C7961" t="s">
        <v>39</v>
      </c>
      <c r="D7961" s="2">
        <v>44348</v>
      </c>
      <c r="E7961" t="s">
        <v>13</v>
      </c>
      <c r="F7961">
        <v>160</v>
      </c>
      <c r="G7961" t="str">
        <f>VLOOKUP(Table1_2[[#This Row],[Categories]],Sheet3!$A$1:$B$27,2,FALSE)</f>
        <v>Food &amp;Beverage</v>
      </c>
    </row>
    <row r="7962" spans="1:7" x14ac:dyDescent="0.3">
      <c r="A7962" t="s">
        <v>34</v>
      </c>
      <c r="B7962">
        <v>2021</v>
      </c>
      <c r="C7962" t="s">
        <v>39</v>
      </c>
      <c r="D7962" s="2">
        <v>44348</v>
      </c>
      <c r="E7962" t="s">
        <v>14</v>
      </c>
      <c r="F7962">
        <v>172.4</v>
      </c>
      <c r="G7962" t="str">
        <f>VLOOKUP(Table1_2[[#This Row],[Categories]],Sheet3!$A$1:$B$27,2,FALSE)</f>
        <v>Food &amp;Beverage</v>
      </c>
    </row>
    <row r="7963" spans="1:7" x14ac:dyDescent="0.3">
      <c r="A7963" t="s">
        <v>34</v>
      </c>
      <c r="B7963">
        <v>2021</v>
      </c>
      <c r="C7963" t="s">
        <v>39</v>
      </c>
      <c r="D7963" s="2">
        <v>44348</v>
      </c>
      <c r="E7963" t="s">
        <v>15</v>
      </c>
      <c r="F7963">
        <v>162.6</v>
      </c>
      <c r="G7963" t="str">
        <f>VLOOKUP(Table1_2[[#This Row],[Categories]],Sheet3!$A$1:$B$27,2,FALSE)</f>
        <v>Food &amp;Beverage</v>
      </c>
    </row>
    <row r="7964" spans="1:7" x14ac:dyDescent="0.3">
      <c r="A7964" t="s">
        <v>34</v>
      </c>
      <c r="B7964">
        <v>2021</v>
      </c>
      <c r="C7964" t="s">
        <v>39</v>
      </c>
      <c r="D7964" s="2">
        <v>44348</v>
      </c>
      <c r="E7964" t="s">
        <v>16</v>
      </c>
      <c r="F7964">
        <v>190.8</v>
      </c>
      <c r="G7964" t="str">
        <f>VLOOKUP(Table1_2[[#This Row],[Categories]],Sheet3!$A$1:$B$27,2,FALSE)</f>
        <v>Recreation and amusement</v>
      </c>
    </row>
    <row r="7965" spans="1:7" x14ac:dyDescent="0.3">
      <c r="A7965" t="s">
        <v>34</v>
      </c>
      <c r="B7965">
        <v>2021</v>
      </c>
      <c r="C7965" t="s">
        <v>39</v>
      </c>
      <c r="D7965" s="2">
        <v>44348</v>
      </c>
      <c r="E7965" t="s">
        <v>17</v>
      </c>
      <c r="F7965">
        <v>162.19999999999999</v>
      </c>
      <c r="G7965" t="str">
        <f>VLOOKUP(Table1_2[[#This Row],[Categories]],Sheet3!$A$1:$B$27,2,FALSE)</f>
        <v>Clothing and footwear</v>
      </c>
    </row>
    <row r="7966" spans="1:7" x14ac:dyDescent="0.3">
      <c r="A7966" t="s">
        <v>34</v>
      </c>
      <c r="B7966">
        <v>2021</v>
      </c>
      <c r="C7966" t="s">
        <v>39</v>
      </c>
      <c r="D7966" s="2">
        <v>44348</v>
      </c>
      <c r="E7966" t="s">
        <v>18</v>
      </c>
      <c r="F7966">
        <v>151.80000000000001</v>
      </c>
      <c r="G7966" t="str">
        <f>VLOOKUP(Table1_2[[#This Row],[Categories]],Sheet3!$A$1:$B$27,2,FALSE)</f>
        <v>Clothing and footwear</v>
      </c>
    </row>
    <row r="7967" spans="1:7" x14ac:dyDescent="0.3">
      <c r="A7967" t="s">
        <v>34</v>
      </c>
      <c r="B7967">
        <v>2021</v>
      </c>
      <c r="C7967" t="s">
        <v>39</v>
      </c>
      <c r="D7967" s="2">
        <v>44348</v>
      </c>
      <c r="E7967" t="s">
        <v>19</v>
      </c>
      <c r="F7967">
        <v>160.69999999999999</v>
      </c>
      <c r="G7967" t="str">
        <f>VLOOKUP(Table1_2[[#This Row],[Categories]],Sheet3!$A$1:$B$27,2,FALSE)</f>
        <v>Clothing and footwear</v>
      </c>
    </row>
    <row r="7968" spans="1:7" x14ac:dyDescent="0.3">
      <c r="A7968" t="s">
        <v>34</v>
      </c>
      <c r="B7968">
        <v>2021</v>
      </c>
      <c r="C7968" t="s">
        <v>39</v>
      </c>
      <c r="D7968" s="2">
        <v>44348</v>
      </c>
      <c r="E7968" t="s">
        <v>20</v>
      </c>
      <c r="F7968">
        <v>160.5</v>
      </c>
      <c r="G7968" t="str">
        <f>VLOOKUP(Table1_2[[#This Row],[Categories]],Sheet3!$A$1:$B$27,2,FALSE)</f>
        <v>Housing</v>
      </c>
    </row>
    <row r="7969" spans="1:7" x14ac:dyDescent="0.3">
      <c r="A7969" t="s">
        <v>34</v>
      </c>
      <c r="B7969">
        <v>2021</v>
      </c>
      <c r="C7969" t="s">
        <v>39</v>
      </c>
      <c r="D7969" s="2">
        <v>44348</v>
      </c>
      <c r="E7969" t="s">
        <v>21</v>
      </c>
      <c r="F7969">
        <v>159.80000000000001</v>
      </c>
      <c r="G7969" t="str">
        <f>VLOOKUP(Table1_2[[#This Row],[Categories]],Sheet3!$A$1:$B$27,2,FALSE)</f>
        <v>Fuel and light</v>
      </c>
    </row>
    <row r="7970" spans="1:7" x14ac:dyDescent="0.3">
      <c r="A7970" t="s">
        <v>34</v>
      </c>
      <c r="B7970">
        <v>2021</v>
      </c>
      <c r="C7970" t="s">
        <v>39</v>
      </c>
      <c r="D7970" s="2">
        <v>44348</v>
      </c>
      <c r="E7970" t="s">
        <v>22</v>
      </c>
      <c r="F7970">
        <v>154.80000000000001</v>
      </c>
      <c r="G7970" t="str">
        <f>VLOOKUP(Table1_2[[#This Row],[Categories]],Sheet3!$A$1:$B$27,2,FALSE)</f>
        <v>Household Items</v>
      </c>
    </row>
    <row r="7971" spans="1:7" x14ac:dyDescent="0.3">
      <c r="A7971" t="s">
        <v>34</v>
      </c>
      <c r="B7971">
        <v>2021</v>
      </c>
      <c r="C7971" t="s">
        <v>39</v>
      </c>
      <c r="D7971" s="2">
        <v>44348</v>
      </c>
      <c r="E7971" t="s">
        <v>23</v>
      </c>
      <c r="F7971">
        <v>166.3</v>
      </c>
      <c r="G7971" t="str">
        <f>VLOOKUP(Table1_2[[#This Row],[Categories]],Sheet3!$A$1:$B$27,2,FALSE)</f>
        <v>Health</v>
      </c>
    </row>
    <row r="7972" spans="1:7" x14ac:dyDescent="0.3">
      <c r="A7972" t="s">
        <v>34</v>
      </c>
      <c r="B7972">
        <v>2021</v>
      </c>
      <c r="C7972" t="s">
        <v>39</v>
      </c>
      <c r="D7972" s="2">
        <v>44348</v>
      </c>
      <c r="E7972" t="s">
        <v>24</v>
      </c>
      <c r="F7972">
        <v>150.69999999999999</v>
      </c>
      <c r="G7972" t="str">
        <f>VLOOKUP(Table1_2[[#This Row],[Categories]],Sheet3!$A$1:$B$27,2,FALSE)</f>
        <v>Transport and communication</v>
      </c>
    </row>
    <row r="7973" spans="1:7" x14ac:dyDescent="0.3">
      <c r="A7973" t="s">
        <v>34</v>
      </c>
      <c r="B7973">
        <v>2021</v>
      </c>
      <c r="C7973" t="s">
        <v>39</v>
      </c>
      <c r="D7973" s="2">
        <v>44348</v>
      </c>
      <c r="E7973" t="s">
        <v>25</v>
      </c>
      <c r="F7973">
        <v>154.9</v>
      </c>
      <c r="G7973" t="str">
        <f>VLOOKUP(Table1_2[[#This Row],[Categories]],Sheet3!$A$1:$B$27,2,FALSE)</f>
        <v>Recreation and amusement</v>
      </c>
    </row>
    <row r="7974" spans="1:7" x14ac:dyDescent="0.3">
      <c r="A7974" t="s">
        <v>34</v>
      </c>
      <c r="B7974">
        <v>2021</v>
      </c>
      <c r="C7974" t="s">
        <v>39</v>
      </c>
      <c r="D7974" s="2">
        <v>44348</v>
      </c>
      <c r="E7974" t="s">
        <v>26</v>
      </c>
      <c r="F7974">
        <v>161.69999999999999</v>
      </c>
      <c r="G7974" t="str">
        <f>VLOOKUP(Table1_2[[#This Row],[Categories]],Sheet3!$A$1:$B$27,2,FALSE)</f>
        <v>Education</v>
      </c>
    </row>
    <row r="7975" spans="1:7" x14ac:dyDescent="0.3">
      <c r="A7975" t="s">
        <v>34</v>
      </c>
      <c r="B7975">
        <v>2021</v>
      </c>
      <c r="C7975" t="s">
        <v>39</v>
      </c>
      <c r="D7975" s="2">
        <v>44348</v>
      </c>
      <c r="E7975" t="s">
        <v>27</v>
      </c>
      <c r="F7975">
        <v>158.80000000000001</v>
      </c>
      <c r="G7975" t="str">
        <f>VLOOKUP(Table1_2[[#This Row],[Categories]],Sheet3!$A$1:$B$27,2,FALSE)</f>
        <v>Household Items</v>
      </c>
    </row>
    <row r="7976" spans="1:7" x14ac:dyDescent="0.3">
      <c r="A7976" t="s">
        <v>34</v>
      </c>
      <c r="B7976">
        <v>2021</v>
      </c>
      <c r="C7976" t="s">
        <v>39</v>
      </c>
      <c r="D7976" s="2">
        <v>44348</v>
      </c>
      <c r="E7976" t="s">
        <v>28</v>
      </c>
      <c r="F7976">
        <v>157.6</v>
      </c>
      <c r="G7976" t="str">
        <f>VLOOKUP(Table1_2[[#This Row],[Categories]],Sheet3!$A$1:$B$27,2,FALSE)</f>
        <v>Miscellaneous</v>
      </c>
    </row>
    <row r="7977" spans="1:7" x14ac:dyDescent="0.3">
      <c r="A7977" t="s">
        <v>34</v>
      </c>
      <c r="B7977">
        <v>2021</v>
      </c>
      <c r="C7977" t="s">
        <v>39</v>
      </c>
      <c r="D7977" s="2">
        <v>44348</v>
      </c>
      <c r="E7977" t="s">
        <v>29</v>
      </c>
      <c r="F7977">
        <v>161.30000000000001</v>
      </c>
      <c r="G7977" t="str">
        <f>VLOOKUP(Table1_2[[#This Row],[Categories]],Sheet3!$A$1:$B$27,2,FALSE)</f>
        <v>General index</v>
      </c>
    </row>
    <row r="7978" spans="1:7" x14ac:dyDescent="0.3">
      <c r="A7978" t="s">
        <v>30</v>
      </c>
      <c r="B7978">
        <v>2021</v>
      </c>
      <c r="C7978" t="s">
        <v>40</v>
      </c>
      <c r="D7978" s="2">
        <v>44378</v>
      </c>
      <c r="E7978" t="s">
        <v>3</v>
      </c>
      <c r="F7978">
        <v>145.1</v>
      </c>
      <c r="G7978" t="str">
        <f>VLOOKUP(Table1_2[[#This Row],[Categories]],Sheet3!$A$1:$B$27,2,FALSE)</f>
        <v>Food &amp;Beverage</v>
      </c>
    </row>
    <row r="7979" spans="1:7" x14ac:dyDescent="0.3">
      <c r="A7979" t="s">
        <v>30</v>
      </c>
      <c r="B7979">
        <v>2021</v>
      </c>
      <c r="C7979" t="s">
        <v>40</v>
      </c>
      <c r="D7979" s="2">
        <v>44378</v>
      </c>
      <c r="E7979" t="s">
        <v>4</v>
      </c>
      <c r="F7979">
        <v>204.5</v>
      </c>
      <c r="G7979" t="str">
        <f>VLOOKUP(Table1_2[[#This Row],[Categories]],Sheet3!$A$1:$B$27,2,FALSE)</f>
        <v>Food &amp;Beverage</v>
      </c>
    </row>
    <row r="7980" spans="1:7" x14ac:dyDescent="0.3">
      <c r="A7980" t="s">
        <v>30</v>
      </c>
      <c r="B7980">
        <v>2021</v>
      </c>
      <c r="C7980" t="s">
        <v>40</v>
      </c>
      <c r="D7980" s="2">
        <v>44378</v>
      </c>
      <c r="E7980" t="s">
        <v>5</v>
      </c>
      <c r="F7980">
        <v>180.4</v>
      </c>
      <c r="G7980" t="str">
        <f>VLOOKUP(Table1_2[[#This Row],[Categories]],Sheet3!$A$1:$B$27,2,FALSE)</f>
        <v>Food &amp;Beverage</v>
      </c>
    </row>
    <row r="7981" spans="1:7" x14ac:dyDescent="0.3">
      <c r="A7981" t="s">
        <v>30</v>
      </c>
      <c r="B7981">
        <v>2021</v>
      </c>
      <c r="C7981" t="s">
        <v>40</v>
      </c>
      <c r="D7981" s="2">
        <v>44378</v>
      </c>
      <c r="E7981" t="s">
        <v>6</v>
      </c>
      <c r="F7981">
        <v>157.1</v>
      </c>
      <c r="G7981" t="str">
        <f>VLOOKUP(Table1_2[[#This Row],[Categories]],Sheet3!$A$1:$B$27,2,FALSE)</f>
        <v>Food &amp;Beverage</v>
      </c>
    </row>
    <row r="7982" spans="1:7" x14ac:dyDescent="0.3">
      <c r="A7982" t="s">
        <v>30</v>
      </c>
      <c r="B7982">
        <v>2021</v>
      </c>
      <c r="C7982" t="s">
        <v>40</v>
      </c>
      <c r="D7982" s="2">
        <v>44378</v>
      </c>
      <c r="E7982" t="s">
        <v>7</v>
      </c>
      <c r="F7982">
        <v>188.7</v>
      </c>
      <c r="G7982" t="str">
        <f>VLOOKUP(Table1_2[[#This Row],[Categories]],Sheet3!$A$1:$B$27,2,FALSE)</f>
        <v>Food &amp;Beverage</v>
      </c>
    </row>
    <row r="7983" spans="1:7" x14ac:dyDescent="0.3">
      <c r="A7983" t="s">
        <v>30</v>
      </c>
      <c r="B7983">
        <v>2021</v>
      </c>
      <c r="C7983" t="s">
        <v>40</v>
      </c>
      <c r="D7983" s="2">
        <v>44378</v>
      </c>
      <c r="E7983" t="s">
        <v>8</v>
      </c>
      <c r="F7983">
        <v>157.69999999999999</v>
      </c>
      <c r="G7983" t="str">
        <f>VLOOKUP(Table1_2[[#This Row],[Categories]],Sheet3!$A$1:$B$27,2,FALSE)</f>
        <v>Food &amp;Beverage</v>
      </c>
    </row>
    <row r="7984" spans="1:7" x14ac:dyDescent="0.3">
      <c r="A7984" t="s">
        <v>30</v>
      </c>
      <c r="B7984">
        <v>2021</v>
      </c>
      <c r="C7984" t="s">
        <v>40</v>
      </c>
      <c r="D7984" s="2">
        <v>44378</v>
      </c>
      <c r="E7984" t="s">
        <v>9</v>
      </c>
      <c r="F7984">
        <v>152.80000000000001</v>
      </c>
      <c r="G7984" t="str">
        <f>VLOOKUP(Table1_2[[#This Row],[Categories]],Sheet3!$A$1:$B$27,2,FALSE)</f>
        <v>Food &amp;Beverage</v>
      </c>
    </row>
    <row r="7985" spans="1:7" x14ac:dyDescent="0.3">
      <c r="A7985" t="s">
        <v>30</v>
      </c>
      <c r="B7985">
        <v>2021</v>
      </c>
      <c r="C7985" t="s">
        <v>40</v>
      </c>
      <c r="D7985" s="2">
        <v>44378</v>
      </c>
      <c r="E7985" t="s">
        <v>10</v>
      </c>
      <c r="F7985">
        <v>163.6</v>
      </c>
      <c r="G7985" t="str">
        <f>VLOOKUP(Table1_2[[#This Row],[Categories]],Sheet3!$A$1:$B$27,2,FALSE)</f>
        <v>Food &amp;Beverage</v>
      </c>
    </row>
    <row r="7986" spans="1:7" x14ac:dyDescent="0.3">
      <c r="A7986" t="s">
        <v>30</v>
      </c>
      <c r="B7986">
        <v>2021</v>
      </c>
      <c r="C7986" t="s">
        <v>40</v>
      </c>
      <c r="D7986" s="2">
        <v>44378</v>
      </c>
      <c r="E7986" t="s">
        <v>11</v>
      </c>
      <c r="F7986">
        <v>113.9</v>
      </c>
      <c r="G7986" t="str">
        <f>VLOOKUP(Table1_2[[#This Row],[Categories]],Sheet3!$A$1:$B$27,2,FALSE)</f>
        <v>Food &amp;Beverage</v>
      </c>
    </row>
    <row r="7987" spans="1:7" x14ac:dyDescent="0.3">
      <c r="A7987" t="s">
        <v>30</v>
      </c>
      <c r="B7987">
        <v>2021</v>
      </c>
      <c r="C7987" t="s">
        <v>40</v>
      </c>
      <c r="D7987" s="2">
        <v>44378</v>
      </c>
      <c r="E7987" t="s">
        <v>12</v>
      </c>
      <c r="F7987">
        <v>169.7</v>
      </c>
      <c r="G7987" t="str">
        <f>VLOOKUP(Table1_2[[#This Row],[Categories]],Sheet3!$A$1:$B$27,2,FALSE)</f>
        <v>Food &amp;Beverage</v>
      </c>
    </row>
    <row r="7988" spans="1:7" x14ac:dyDescent="0.3">
      <c r="A7988" t="s">
        <v>30</v>
      </c>
      <c r="B7988">
        <v>2021</v>
      </c>
      <c r="C7988" t="s">
        <v>40</v>
      </c>
      <c r="D7988" s="2">
        <v>44378</v>
      </c>
      <c r="E7988" t="s">
        <v>13</v>
      </c>
      <c r="F7988">
        <v>166.2</v>
      </c>
      <c r="G7988" t="str">
        <f>VLOOKUP(Table1_2[[#This Row],[Categories]],Sheet3!$A$1:$B$27,2,FALSE)</f>
        <v>Food &amp;Beverage</v>
      </c>
    </row>
    <row r="7989" spans="1:7" x14ac:dyDescent="0.3">
      <c r="A7989" t="s">
        <v>30</v>
      </c>
      <c r="B7989">
        <v>2021</v>
      </c>
      <c r="C7989" t="s">
        <v>40</v>
      </c>
      <c r="D7989" s="2">
        <v>44378</v>
      </c>
      <c r="E7989" t="s">
        <v>14</v>
      </c>
      <c r="F7989">
        <v>171</v>
      </c>
      <c r="G7989" t="str">
        <f>VLOOKUP(Table1_2[[#This Row],[Categories]],Sheet3!$A$1:$B$27,2,FALSE)</f>
        <v>Food &amp;Beverage</v>
      </c>
    </row>
    <row r="7990" spans="1:7" x14ac:dyDescent="0.3">
      <c r="A7990" t="s">
        <v>30</v>
      </c>
      <c r="B7990">
        <v>2021</v>
      </c>
      <c r="C7990" t="s">
        <v>40</v>
      </c>
      <c r="D7990" s="2">
        <v>44378</v>
      </c>
      <c r="E7990" t="s">
        <v>15</v>
      </c>
      <c r="F7990">
        <v>161.69999999999999</v>
      </c>
      <c r="G7990" t="str">
        <f>VLOOKUP(Table1_2[[#This Row],[Categories]],Sheet3!$A$1:$B$27,2,FALSE)</f>
        <v>Food &amp;Beverage</v>
      </c>
    </row>
    <row r="7991" spans="1:7" x14ac:dyDescent="0.3">
      <c r="A7991" t="s">
        <v>30</v>
      </c>
      <c r="B7991">
        <v>2021</v>
      </c>
      <c r="C7991" t="s">
        <v>40</v>
      </c>
      <c r="D7991" s="2">
        <v>44378</v>
      </c>
      <c r="E7991" t="s">
        <v>16</v>
      </c>
      <c r="F7991">
        <v>189.7</v>
      </c>
      <c r="G7991" t="str">
        <f>VLOOKUP(Table1_2[[#This Row],[Categories]],Sheet3!$A$1:$B$27,2,FALSE)</f>
        <v>Recreation and amusement</v>
      </c>
    </row>
    <row r="7992" spans="1:7" x14ac:dyDescent="0.3">
      <c r="A7992" t="s">
        <v>30</v>
      </c>
      <c r="B7992">
        <v>2021</v>
      </c>
      <c r="C7992" t="s">
        <v>40</v>
      </c>
      <c r="D7992" s="2">
        <v>44378</v>
      </c>
      <c r="E7992" t="s">
        <v>17</v>
      </c>
      <c r="F7992">
        <v>166</v>
      </c>
      <c r="G7992" t="str">
        <f>VLOOKUP(Table1_2[[#This Row],[Categories]],Sheet3!$A$1:$B$27,2,FALSE)</f>
        <v>Clothing and footwear</v>
      </c>
    </row>
    <row r="7993" spans="1:7" x14ac:dyDescent="0.3">
      <c r="A7993" t="s">
        <v>30</v>
      </c>
      <c r="B7993">
        <v>2021</v>
      </c>
      <c r="C7993" t="s">
        <v>40</v>
      </c>
      <c r="D7993" s="2">
        <v>44378</v>
      </c>
      <c r="E7993" t="s">
        <v>18</v>
      </c>
      <c r="F7993">
        <v>161.1</v>
      </c>
      <c r="G7993" t="str">
        <f>VLOOKUP(Table1_2[[#This Row],[Categories]],Sheet3!$A$1:$B$27,2,FALSE)</f>
        <v>Clothing and footwear</v>
      </c>
    </row>
    <row r="7994" spans="1:7" x14ac:dyDescent="0.3">
      <c r="A7994" t="s">
        <v>30</v>
      </c>
      <c r="B7994">
        <v>2021</v>
      </c>
      <c r="C7994" t="s">
        <v>40</v>
      </c>
      <c r="D7994" s="2">
        <v>44378</v>
      </c>
      <c r="E7994" t="s">
        <v>19</v>
      </c>
      <c r="F7994">
        <v>165.3</v>
      </c>
      <c r="G7994" t="str">
        <f>VLOOKUP(Table1_2[[#This Row],[Categories]],Sheet3!$A$1:$B$27,2,FALSE)</f>
        <v>Clothing and footwear</v>
      </c>
    </row>
    <row r="7995" spans="1:7" x14ac:dyDescent="0.3">
      <c r="A7995" t="s">
        <v>30</v>
      </c>
      <c r="B7995">
        <v>2021</v>
      </c>
      <c r="C7995" t="s">
        <v>40</v>
      </c>
      <c r="D7995" s="2">
        <v>44378</v>
      </c>
      <c r="E7995" t="s">
        <v>21</v>
      </c>
      <c r="F7995">
        <v>162.5</v>
      </c>
      <c r="G7995" t="str">
        <f>VLOOKUP(Table1_2[[#This Row],[Categories]],Sheet3!$A$1:$B$27,2,FALSE)</f>
        <v>Fuel and light</v>
      </c>
    </row>
    <row r="7996" spans="1:7" x14ac:dyDescent="0.3">
      <c r="A7996" t="s">
        <v>30</v>
      </c>
      <c r="B7996">
        <v>2021</v>
      </c>
      <c r="C7996" t="s">
        <v>40</v>
      </c>
      <c r="D7996" s="2">
        <v>44378</v>
      </c>
      <c r="E7996" t="s">
        <v>22</v>
      </c>
      <c r="F7996">
        <v>160.30000000000001</v>
      </c>
      <c r="G7996" t="str">
        <f>VLOOKUP(Table1_2[[#This Row],[Categories]],Sheet3!$A$1:$B$27,2,FALSE)</f>
        <v>Household Items</v>
      </c>
    </row>
    <row r="7997" spans="1:7" x14ac:dyDescent="0.3">
      <c r="A7997" t="s">
        <v>30</v>
      </c>
      <c r="B7997">
        <v>2021</v>
      </c>
      <c r="C7997" t="s">
        <v>40</v>
      </c>
      <c r="D7997" s="2">
        <v>44378</v>
      </c>
      <c r="E7997" t="s">
        <v>23</v>
      </c>
      <c r="F7997">
        <v>170.4</v>
      </c>
      <c r="G7997" t="str">
        <f>VLOOKUP(Table1_2[[#This Row],[Categories]],Sheet3!$A$1:$B$27,2,FALSE)</f>
        <v>Health</v>
      </c>
    </row>
    <row r="7998" spans="1:7" x14ac:dyDescent="0.3">
      <c r="A7998" t="s">
        <v>30</v>
      </c>
      <c r="B7998">
        <v>2021</v>
      </c>
      <c r="C7998" t="s">
        <v>40</v>
      </c>
      <c r="D7998" s="2">
        <v>44378</v>
      </c>
      <c r="E7998" t="s">
        <v>24</v>
      </c>
      <c r="F7998">
        <v>157.1</v>
      </c>
      <c r="G7998" t="str">
        <f>VLOOKUP(Table1_2[[#This Row],[Categories]],Sheet3!$A$1:$B$27,2,FALSE)</f>
        <v>Transport and communication</v>
      </c>
    </row>
    <row r="7999" spans="1:7" x14ac:dyDescent="0.3">
      <c r="A7999" t="s">
        <v>30</v>
      </c>
      <c r="B7999">
        <v>2021</v>
      </c>
      <c r="C7999" t="s">
        <v>40</v>
      </c>
      <c r="D7999" s="2">
        <v>44378</v>
      </c>
      <c r="E7999" t="s">
        <v>25</v>
      </c>
      <c r="F7999">
        <v>160.69999999999999</v>
      </c>
      <c r="G7999" t="str">
        <f>VLOOKUP(Table1_2[[#This Row],[Categories]],Sheet3!$A$1:$B$27,2,FALSE)</f>
        <v>Recreation and amusement</v>
      </c>
    </row>
    <row r="8000" spans="1:7" x14ac:dyDescent="0.3">
      <c r="A8000" t="s">
        <v>30</v>
      </c>
      <c r="B8000">
        <v>2021</v>
      </c>
      <c r="C8000" t="s">
        <v>40</v>
      </c>
      <c r="D8000" s="2">
        <v>44378</v>
      </c>
      <c r="E8000" t="s">
        <v>26</v>
      </c>
      <c r="F8000">
        <v>167.2</v>
      </c>
      <c r="G8000" t="str">
        <f>VLOOKUP(Table1_2[[#This Row],[Categories]],Sheet3!$A$1:$B$27,2,FALSE)</f>
        <v>Education</v>
      </c>
    </row>
    <row r="8001" spans="1:7" x14ac:dyDescent="0.3">
      <c r="A8001" t="s">
        <v>30</v>
      </c>
      <c r="B8001">
        <v>2021</v>
      </c>
      <c r="C8001" t="s">
        <v>40</v>
      </c>
      <c r="D8001" s="2">
        <v>44378</v>
      </c>
      <c r="E8001" t="s">
        <v>27</v>
      </c>
      <c r="F8001">
        <v>160.4</v>
      </c>
      <c r="G8001" t="str">
        <f>VLOOKUP(Table1_2[[#This Row],[Categories]],Sheet3!$A$1:$B$27,2,FALSE)</f>
        <v>Household Items</v>
      </c>
    </row>
    <row r="8002" spans="1:7" x14ac:dyDescent="0.3">
      <c r="A8002" t="s">
        <v>30</v>
      </c>
      <c r="B8002">
        <v>2021</v>
      </c>
      <c r="C8002" t="s">
        <v>40</v>
      </c>
      <c r="D8002" s="2">
        <v>44378</v>
      </c>
      <c r="E8002" t="s">
        <v>28</v>
      </c>
      <c r="F8002">
        <v>162.80000000000001</v>
      </c>
      <c r="G8002" t="str">
        <f>VLOOKUP(Table1_2[[#This Row],[Categories]],Sheet3!$A$1:$B$27,2,FALSE)</f>
        <v>Miscellaneous</v>
      </c>
    </row>
    <row r="8003" spans="1:7" x14ac:dyDescent="0.3">
      <c r="A8003" t="s">
        <v>30</v>
      </c>
      <c r="B8003">
        <v>2021</v>
      </c>
      <c r="C8003" t="s">
        <v>40</v>
      </c>
      <c r="D8003" s="2">
        <v>44378</v>
      </c>
      <c r="E8003" t="s">
        <v>29</v>
      </c>
      <c r="F8003">
        <v>163.19999999999999</v>
      </c>
      <c r="G8003" t="str">
        <f>VLOOKUP(Table1_2[[#This Row],[Categories]],Sheet3!$A$1:$B$27,2,FALSE)</f>
        <v>General index</v>
      </c>
    </row>
    <row r="8004" spans="1:7" x14ac:dyDescent="0.3">
      <c r="A8004" t="s">
        <v>33</v>
      </c>
      <c r="B8004">
        <v>2021</v>
      </c>
      <c r="C8004" t="s">
        <v>40</v>
      </c>
      <c r="D8004" s="2">
        <v>44378</v>
      </c>
      <c r="E8004" t="s">
        <v>3</v>
      </c>
      <c r="F8004">
        <v>149.1</v>
      </c>
      <c r="G8004" t="str">
        <f>VLOOKUP(Table1_2[[#This Row],[Categories]],Sheet3!$A$1:$B$27,2,FALSE)</f>
        <v>Food &amp;Beverage</v>
      </c>
    </row>
    <row r="8005" spans="1:7" x14ac:dyDescent="0.3">
      <c r="A8005" t="s">
        <v>33</v>
      </c>
      <c r="B8005">
        <v>2021</v>
      </c>
      <c r="C8005" t="s">
        <v>40</v>
      </c>
      <c r="D8005" s="2">
        <v>44378</v>
      </c>
      <c r="E8005" t="s">
        <v>4</v>
      </c>
      <c r="F8005">
        <v>210.9</v>
      </c>
      <c r="G8005" t="str">
        <f>VLOOKUP(Table1_2[[#This Row],[Categories]],Sheet3!$A$1:$B$27,2,FALSE)</f>
        <v>Food &amp;Beverage</v>
      </c>
    </row>
    <row r="8006" spans="1:7" x14ac:dyDescent="0.3">
      <c r="A8006" t="s">
        <v>33</v>
      </c>
      <c r="B8006">
        <v>2021</v>
      </c>
      <c r="C8006" t="s">
        <v>40</v>
      </c>
      <c r="D8006" s="2">
        <v>44378</v>
      </c>
      <c r="E8006" t="s">
        <v>5</v>
      </c>
      <c r="F8006">
        <v>185</v>
      </c>
      <c r="G8006" t="str">
        <f>VLOOKUP(Table1_2[[#This Row],[Categories]],Sheet3!$A$1:$B$27,2,FALSE)</f>
        <v>Food &amp;Beverage</v>
      </c>
    </row>
    <row r="8007" spans="1:7" x14ac:dyDescent="0.3">
      <c r="A8007" t="s">
        <v>33</v>
      </c>
      <c r="B8007">
        <v>2021</v>
      </c>
      <c r="C8007" t="s">
        <v>40</v>
      </c>
      <c r="D8007" s="2">
        <v>44378</v>
      </c>
      <c r="E8007" t="s">
        <v>6</v>
      </c>
      <c r="F8007">
        <v>158.19999999999999</v>
      </c>
      <c r="G8007" t="str">
        <f>VLOOKUP(Table1_2[[#This Row],[Categories]],Sheet3!$A$1:$B$27,2,FALSE)</f>
        <v>Food &amp;Beverage</v>
      </c>
    </row>
    <row r="8008" spans="1:7" x14ac:dyDescent="0.3">
      <c r="A8008" t="s">
        <v>33</v>
      </c>
      <c r="B8008">
        <v>2021</v>
      </c>
      <c r="C8008" t="s">
        <v>40</v>
      </c>
      <c r="D8008" s="2">
        <v>44378</v>
      </c>
      <c r="E8008" t="s">
        <v>7</v>
      </c>
      <c r="F8008">
        <v>170.6</v>
      </c>
      <c r="G8008" t="str">
        <f>VLOOKUP(Table1_2[[#This Row],[Categories]],Sheet3!$A$1:$B$27,2,FALSE)</f>
        <v>Food &amp;Beverage</v>
      </c>
    </row>
    <row r="8009" spans="1:7" x14ac:dyDescent="0.3">
      <c r="A8009" t="s">
        <v>33</v>
      </c>
      <c r="B8009">
        <v>2021</v>
      </c>
      <c r="C8009" t="s">
        <v>40</v>
      </c>
      <c r="D8009" s="2">
        <v>44378</v>
      </c>
      <c r="E8009" t="s">
        <v>8</v>
      </c>
      <c r="F8009">
        <v>170.9</v>
      </c>
      <c r="G8009" t="str">
        <f>VLOOKUP(Table1_2[[#This Row],[Categories]],Sheet3!$A$1:$B$27,2,FALSE)</f>
        <v>Food &amp;Beverage</v>
      </c>
    </row>
    <row r="8010" spans="1:7" x14ac:dyDescent="0.3">
      <c r="A8010" t="s">
        <v>33</v>
      </c>
      <c r="B8010">
        <v>2021</v>
      </c>
      <c r="C8010" t="s">
        <v>40</v>
      </c>
      <c r="D8010" s="2">
        <v>44378</v>
      </c>
      <c r="E8010" t="s">
        <v>9</v>
      </c>
      <c r="F8010">
        <v>186.4</v>
      </c>
      <c r="G8010" t="str">
        <f>VLOOKUP(Table1_2[[#This Row],[Categories]],Sheet3!$A$1:$B$27,2,FALSE)</f>
        <v>Food &amp;Beverage</v>
      </c>
    </row>
    <row r="8011" spans="1:7" x14ac:dyDescent="0.3">
      <c r="A8011" t="s">
        <v>33</v>
      </c>
      <c r="B8011">
        <v>2021</v>
      </c>
      <c r="C8011" t="s">
        <v>40</v>
      </c>
      <c r="D8011" s="2">
        <v>44378</v>
      </c>
      <c r="E8011" t="s">
        <v>10</v>
      </c>
      <c r="F8011">
        <v>164.7</v>
      </c>
      <c r="G8011" t="str">
        <f>VLOOKUP(Table1_2[[#This Row],[Categories]],Sheet3!$A$1:$B$27,2,FALSE)</f>
        <v>Food &amp;Beverage</v>
      </c>
    </row>
    <row r="8012" spans="1:7" x14ac:dyDescent="0.3">
      <c r="A8012" t="s">
        <v>33</v>
      </c>
      <c r="B8012">
        <v>2021</v>
      </c>
      <c r="C8012" t="s">
        <v>40</v>
      </c>
      <c r="D8012" s="2">
        <v>44378</v>
      </c>
      <c r="E8012" t="s">
        <v>11</v>
      </c>
      <c r="F8012">
        <v>115.7</v>
      </c>
      <c r="G8012" t="str">
        <f>VLOOKUP(Table1_2[[#This Row],[Categories]],Sheet3!$A$1:$B$27,2,FALSE)</f>
        <v>Food &amp;Beverage</v>
      </c>
    </row>
    <row r="8013" spans="1:7" x14ac:dyDescent="0.3">
      <c r="A8013" t="s">
        <v>33</v>
      </c>
      <c r="B8013">
        <v>2021</v>
      </c>
      <c r="C8013" t="s">
        <v>40</v>
      </c>
      <c r="D8013" s="2">
        <v>44378</v>
      </c>
      <c r="E8013" t="s">
        <v>12</v>
      </c>
      <c r="F8013">
        <v>165.5</v>
      </c>
      <c r="G8013" t="str">
        <f>VLOOKUP(Table1_2[[#This Row],[Categories]],Sheet3!$A$1:$B$27,2,FALSE)</f>
        <v>Food &amp;Beverage</v>
      </c>
    </row>
    <row r="8014" spans="1:7" x14ac:dyDescent="0.3">
      <c r="A8014" t="s">
        <v>33</v>
      </c>
      <c r="B8014">
        <v>2021</v>
      </c>
      <c r="C8014" t="s">
        <v>40</v>
      </c>
      <c r="D8014" s="2">
        <v>44378</v>
      </c>
      <c r="E8014" t="s">
        <v>13</v>
      </c>
      <c r="F8014">
        <v>153.4</v>
      </c>
      <c r="G8014" t="str">
        <f>VLOOKUP(Table1_2[[#This Row],[Categories]],Sheet3!$A$1:$B$27,2,FALSE)</f>
        <v>Food &amp;Beverage</v>
      </c>
    </row>
    <row r="8015" spans="1:7" x14ac:dyDescent="0.3">
      <c r="A8015" t="s">
        <v>33</v>
      </c>
      <c r="B8015">
        <v>2021</v>
      </c>
      <c r="C8015" t="s">
        <v>40</v>
      </c>
      <c r="D8015" s="2">
        <v>44378</v>
      </c>
      <c r="E8015" t="s">
        <v>14</v>
      </c>
      <c r="F8015">
        <v>173.5</v>
      </c>
      <c r="G8015" t="str">
        <f>VLOOKUP(Table1_2[[#This Row],[Categories]],Sheet3!$A$1:$B$27,2,FALSE)</f>
        <v>Food &amp;Beverage</v>
      </c>
    </row>
    <row r="8016" spans="1:7" x14ac:dyDescent="0.3">
      <c r="A8016" t="s">
        <v>33</v>
      </c>
      <c r="B8016">
        <v>2021</v>
      </c>
      <c r="C8016" t="s">
        <v>40</v>
      </c>
      <c r="D8016" s="2">
        <v>44378</v>
      </c>
      <c r="E8016" t="s">
        <v>15</v>
      </c>
      <c r="F8016">
        <v>167.9</v>
      </c>
      <c r="G8016" t="str">
        <f>VLOOKUP(Table1_2[[#This Row],[Categories]],Sheet3!$A$1:$B$27,2,FALSE)</f>
        <v>Food &amp;Beverage</v>
      </c>
    </row>
    <row r="8017" spans="1:7" x14ac:dyDescent="0.3">
      <c r="A8017" t="s">
        <v>33</v>
      </c>
      <c r="B8017">
        <v>2021</v>
      </c>
      <c r="C8017" t="s">
        <v>40</v>
      </c>
      <c r="D8017" s="2">
        <v>44378</v>
      </c>
      <c r="E8017" t="s">
        <v>16</v>
      </c>
      <c r="F8017">
        <v>195.5</v>
      </c>
      <c r="G8017" t="str">
        <f>VLOOKUP(Table1_2[[#This Row],[Categories]],Sheet3!$A$1:$B$27,2,FALSE)</f>
        <v>Recreation and amusement</v>
      </c>
    </row>
    <row r="8018" spans="1:7" x14ac:dyDescent="0.3">
      <c r="A8018" t="s">
        <v>33</v>
      </c>
      <c r="B8018">
        <v>2021</v>
      </c>
      <c r="C8018" t="s">
        <v>40</v>
      </c>
      <c r="D8018" s="2">
        <v>44378</v>
      </c>
      <c r="E8018" t="s">
        <v>17</v>
      </c>
      <c r="F8018">
        <v>157.9</v>
      </c>
      <c r="G8018" t="str">
        <f>VLOOKUP(Table1_2[[#This Row],[Categories]],Sheet3!$A$1:$B$27,2,FALSE)</f>
        <v>Clothing and footwear</v>
      </c>
    </row>
    <row r="8019" spans="1:7" x14ac:dyDescent="0.3">
      <c r="A8019" t="s">
        <v>33</v>
      </c>
      <c r="B8019">
        <v>2021</v>
      </c>
      <c r="C8019" t="s">
        <v>40</v>
      </c>
      <c r="D8019" s="2">
        <v>44378</v>
      </c>
      <c r="E8019" t="s">
        <v>18</v>
      </c>
      <c r="F8019">
        <v>141.9</v>
      </c>
      <c r="G8019" t="str">
        <f>VLOOKUP(Table1_2[[#This Row],[Categories]],Sheet3!$A$1:$B$27,2,FALSE)</f>
        <v>Clothing and footwear</v>
      </c>
    </row>
    <row r="8020" spans="1:7" x14ac:dyDescent="0.3">
      <c r="A8020" t="s">
        <v>33</v>
      </c>
      <c r="B8020">
        <v>2021</v>
      </c>
      <c r="C8020" t="s">
        <v>40</v>
      </c>
      <c r="D8020" s="2">
        <v>44378</v>
      </c>
      <c r="E8020" t="s">
        <v>19</v>
      </c>
      <c r="F8020">
        <v>155.5</v>
      </c>
      <c r="G8020" t="str">
        <f>VLOOKUP(Table1_2[[#This Row],[Categories]],Sheet3!$A$1:$B$27,2,FALSE)</f>
        <v>Clothing and footwear</v>
      </c>
    </row>
    <row r="8021" spans="1:7" x14ac:dyDescent="0.3">
      <c r="A8021" t="s">
        <v>33</v>
      </c>
      <c r="B8021">
        <v>2021</v>
      </c>
      <c r="C8021" t="s">
        <v>40</v>
      </c>
      <c r="D8021" s="2">
        <v>44378</v>
      </c>
      <c r="E8021" t="s">
        <v>20</v>
      </c>
      <c r="F8021">
        <v>161.5</v>
      </c>
      <c r="G8021" t="str">
        <f>VLOOKUP(Table1_2[[#This Row],[Categories]],Sheet3!$A$1:$B$27,2,FALSE)</f>
        <v>Housing</v>
      </c>
    </row>
    <row r="8022" spans="1:7" x14ac:dyDescent="0.3">
      <c r="A8022" t="s">
        <v>33</v>
      </c>
      <c r="B8022">
        <v>2021</v>
      </c>
      <c r="C8022" t="s">
        <v>40</v>
      </c>
      <c r="D8022" s="2">
        <v>44378</v>
      </c>
      <c r="E8022" t="s">
        <v>21</v>
      </c>
      <c r="F8022">
        <v>157.69999999999999</v>
      </c>
      <c r="G8022" t="str">
        <f>VLOOKUP(Table1_2[[#This Row],[Categories]],Sheet3!$A$1:$B$27,2,FALSE)</f>
        <v>Fuel and light</v>
      </c>
    </row>
    <row r="8023" spans="1:7" x14ac:dyDescent="0.3">
      <c r="A8023" t="s">
        <v>33</v>
      </c>
      <c r="B8023">
        <v>2021</v>
      </c>
      <c r="C8023" t="s">
        <v>40</v>
      </c>
      <c r="D8023" s="2">
        <v>44378</v>
      </c>
      <c r="E8023" t="s">
        <v>22</v>
      </c>
      <c r="F8023">
        <v>150.69999999999999</v>
      </c>
      <c r="G8023" t="str">
        <f>VLOOKUP(Table1_2[[#This Row],[Categories]],Sheet3!$A$1:$B$27,2,FALSE)</f>
        <v>Household Items</v>
      </c>
    </row>
    <row r="8024" spans="1:7" x14ac:dyDescent="0.3">
      <c r="A8024" t="s">
        <v>33</v>
      </c>
      <c r="B8024">
        <v>2021</v>
      </c>
      <c r="C8024" t="s">
        <v>40</v>
      </c>
      <c r="D8024" s="2">
        <v>44378</v>
      </c>
      <c r="E8024" t="s">
        <v>23</v>
      </c>
      <c r="F8024">
        <v>161.5</v>
      </c>
      <c r="G8024" t="str">
        <f>VLOOKUP(Table1_2[[#This Row],[Categories]],Sheet3!$A$1:$B$27,2,FALSE)</f>
        <v>Health</v>
      </c>
    </row>
    <row r="8025" spans="1:7" x14ac:dyDescent="0.3">
      <c r="A8025" t="s">
        <v>33</v>
      </c>
      <c r="B8025">
        <v>2021</v>
      </c>
      <c r="C8025" t="s">
        <v>40</v>
      </c>
      <c r="D8025" s="2">
        <v>44378</v>
      </c>
      <c r="E8025" t="s">
        <v>24</v>
      </c>
      <c r="F8025">
        <v>149.5</v>
      </c>
      <c r="G8025" t="str">
        <f>VLOOKUP(Table1_2[[#This Row],[Categories]],Sheet3!$A$1:$B$27,2,FALSE)</f>
        <v>Transport and communication</v>
      </c>
    </row>
    <row r="8026" spans="1:7" x14ac:dyDescent="0.3">
      <c r="A8026" t="s">
        <v>33</v>
      </c>
      <c r="B8026">
        <v>2021</v>
      </c>
      <c r="C8026" t="s">
        <v>40</v>
      </c>
      <c r="D8026" s="2">
        <v>44378</v>
      </c>
      <c r="E8026" t="s">
        <v>25</v>
      </c>
      <c r="F8026">
        <v>151.19999999999999</v>
      </c>
      <c r="G8026" t="str">
        <f>VLOOKUP(Table1_2[[#This Row],[Categories]],Sheet3!$A$1:$B$27,2,FALSE)</f>
        <v>Recreation and amusement</v>
      </c>
    </row>
    <row r="8027" spans="1:7" x14ac:dyDescent="0.3">
      <c r="A8027" t="s">
        <v>33</v>
      </c>
      <c r="B8027">
        <v>2021</v>
      </c>
      <c r="C8027" t="s">
        <v>40</v>
      </c>
      <c r="D8027" s="2">
        <v>44378</v>
      </c>
      <c r="E8027" t="s">
        <v>26</v>
      </c>
      <c r="F8027">
        <v>160.30000000000001</v>
      </c>
      <c r="G8027" t="str">
        <f>VLOOKUP(Table1_2[[#This Row],[Categories]],Sheet3!$A$1:$B$27,2,FALSE)</f>
        <v>Education</v>
      </c>
    </row>
    <row r="8028" spans="1:7" x14ac:dyDescent="0.3">
      <c r="A8028" t="s">
        <v>33</v>
      </c>
      <c r="B8028">
        <v>2021</v>
      </c>
      <c r="C8028" t="s">
        <v>40</v>
      </c>
      <c r="D8028" s="2">
        <v>44378</v>
      </c>
      <c r="E8028" t="s">
        <v>27</v>
      </c>
      <c r="F8028">
        <v>159.6</v>
      </c>
      <c r="G8028" t="str">
        <f>VLOOKUP(Table1_2[[#This Row],[Categories]],Sheet3!$A$1:$B$27,2,FALSE)</f>
        <v>Household Items</v>
      </c>
    </row>
    <row r="8029" spans="1:7" x14ac:dyDescent="0.3">
      <c r="A8029" t="s">
        <v>33</v>
      </c>
      <c r="B8029">
        <v>2021</v>
      </c>
      <c r="C8029" t="s">
        <v>40</v>
      </c>
      <c r="D8029" s="2">
        <v>44378</v>
      </c>
      <c r="E8029" t="s">
        <v>28</v>
      </c>
      <c r="F8029">
        <v>155</v>
      </c>
      <c r="G8029" t="str">
        <f>VLOOKUP(Table1_2[[#This Row],[Categories]],Sheet3!$A$1:$B$27,2,FALSE)</f>
        <v>Miscellaneous</v>
      </c>
    </row>
    <row r="8030" spans="1:7" x14ac:dyDescent="0.3">
      <c r="A8030" t="s">
        <v>33</v>
      </c>
      <c r="B8030">
        <v>2021</v>
      </c>
      <c r="C8030" t="s">
        <v>40</v>
      </c>
      <c r="D8030" s="2">
        <v>44378</v>
      </c>
      <c r="E8030" t="s">
        <v>29</v>
      </c>
      <c r="F8030">
        <v>161.80000000000001</v>
      </c>
      <c r="G8030" t="str">
        <f>VLOOKUP(Table1_2[[#This Row],[Categories]],Sheet3!$A$1:$B$27,2,FALSE)</f>
        <v>General index</v>
      </c>
    </row>
    <row r="8031" spans="1:7" x14ac:dyDescent="0.3">
      <c r="A8031" t="s">
        <v>34</v>
      </c>
      <c r="B8031">
        <v>2021</v>
      </c>
      <c r="C8031" t="s">
        <v>40</v>
      </c>
      <c r="D8031" s="2">
        <v>44378</v>
      </c>
      <c r="E8031" t="s">
        <v>3</v>
      </c>
      <c r="F8031">
        <v>146.4</v>
      </c>
      <c r="G8031" t="str">
        <f>VLOOKUP(Table1_2[[#This Row],[Categories]],Sheet3!$A$1:$B$27,2,FALSE)</f>
        <v>Food &amp;Beverage</v>
      </c>
    </row>
    <row r="8032" spans="1:7" x14ac:dyDescent="0.3">
      <c r="A8032" t="s">
        <v>34</v>
      </c>
      <c r="B8032">
        <v>2021</v>
      </c>
      <c r="C8032" t="s">
        <v>40</v>
      </c>
      <c r="D8032" s="2">
        <v>44378</v>
      </c>
      <c r="E8032" t="s">
        <v>4</v>
      </c>
      <c r="F8032">
        <v>206.8</v>
      </c>
      <c r="G8032" t="str">
        <f>VLOOKUP(Table1_2[[#This Row],[Categories]],Sheet3!$A$1:$B$27,2,FALSE)</f>
        <v>Food &amp;Beverage</v>
      </c>
    </row>
    <row r="8033" spans="1:7" x14ac:dyDescent="0.3">
      <c r="A8033" t="s">
        <v>34</v>
      </c>
      <c r="B8033">
        <v>2021</v>
      </c>
      <c r="C8033" t="s">
        <v>40</v>
      </c>
      <c r="D8033" s="2">
        <v>44378</v>
      </c>
      <c r="E8033" t="s">
        <v>5</v>
      </c>
      <c r="F8033">
        <v>182.2</v>
      </c>
      <c r="G8033" t="str">
        <f>VLOOKUP(Table1_2[[#This Row],[Categories]],Sheet3!$A$1:$B$27,2,FALSE)</f>
        <v>Food &amp;Beverage</v>
      </c>
    </row>
    <row r="8034" spans="1:7" x14ac:dyDescent="0.3">
      <c r="A8034" t="s">
        <v>34</v>
      </c>
      <c r="B8034">
        <v>2021</v>
      </c>
      <c r="C8034" t="s">
        <v>40</v>
      </c>
      <c r="D8034" s="2">
        <v>44378</v>
      </c>
      <c r="E8034" t="s">
        <v>6</v>
      </c>
      <c r="F8034">
        <v>157.5</v>
      </c>
      <c r="G8034" t="str">
        <f>VLOOKUP(Table1_2[[#This Row],[Categories]],Sheet3!$A$1:$B$27,2,FALSE)</f>
        <v>Food &amp;Beverage</v>
      </c>
    </row>
    <row r="8035" spans="1:7" x14ac:dyDescent="0.3">
      <c r="A8035" t="s">
        <v>34</v>
      </c>
      <c r="B8035">
        <v>2021</v>
      </c>
      <c r="C8035" t="s">
        <v>40</v>
      </c>
      <c r="D8035" s="2">
        <v>44378</v>
      </c>
      <c r="E8035" t="s">
        <v>7</v>
      </c>
      <c r="F8035">
        <v>182.1</v>
      </c>
      <c r="G8035" t="str">
        <f>VLOOKUP(Table1_2[[#This Row],[Categories]],Sheet3!$A$1:$B$27,2,FALSE)</f>
        <v>Food &amp;Beverage</v>
      </c>
    </row>
    <row r="8036" spans="1:7" x14ac:dyDescent="0.3">
      <c r="A8036" t="s">
        <v>34</v>
      </c>
      <c r="B8036">
        <v>2021</v>
      </c>
      <c r="C8036" t="s">
        <v>40</v>
      </c>
      <c r="D8036" s="2">
        <v>44378</v>
      </c>
      <c r="E8036" t="s">
        <v>8</v>
      </c>
      <c r="F8036">
        <v>163.9</v>
      </c>
      <c r="G8036" t="str">
        <f>VLOOKUP(Table1_2[[#This Row],[Categories]],Sheet3!$A$1:$B$27,2,FALSE)</f>
        <v>Food &amp;Beverage</v>
      </c>
    </row>
    <row r="8037" spans="1:7" x14ac:dyDescent="0.3">
      <c r="A8037" t="s">
        <v>34</v>
      </c>
      <c r="B8037">
        <v>2021</v>
      </c>
      <c r="C8037" t="s">
        <v>40</v>
      </c>
      <c r="D8037" s="2">
        <v>44378</v>
      </c>
      <c r="E8037" t="s">
        <v>9</v>
      </c>
      <c r="F8037">
        <v>164.2</v>
      </c>
      <c r="G8037" t="str">
        <f>VLOOKUP(Table1_2[[#This Row],[Categories]],Sheet3!$A$1:$B$27,2,FALSE)</f>
        <v>Food &amp;Beverage</v>
      </c>
    </row>
    <row r="8038" spans="1:7" x14ac:dyDescent="0.3">
      <c r="A8038" t="s">
        <v>34</v>
      </c>
      <c r="B8038">
        <v>2021</v>
      </c>
      <c r="C8038" t="s">
        <v>40</v>
      </c>
      <c r="D8038" s="2">
        <v>44378</v>
      </c>
      <c r="E8038" t="s">
        <v>10</v>
      </c>
      <c r="F8038">
        <v>164</v>
      </c>
      <c r="G8038" t="str">
        <f>VLOOKUP(Table1_2[[#This Row],[Categories]],Sheet3!$A$1:$B$27,2,FALSE)</f>
        <v>Food &amp;Beverage</v>
      </c>
    </row>
    <row r="8039" spans="1:7" x14ac:dyDescent="0.3">
      <c r="A8039" t="s">
        <v>34</v>
      </c>
      <c r="B8039">
        <v>2021</v>
      </c>
      <c r="C8039" t="s">
        <v>40</v>
      </c>
      <c r="D8039" s="2">
        <v>44378</v>
      </c>
      <c r="E8039" t="s">
        <v>11</v>
      </c>
      <c r="F8039">
        <v>114.5</v>
      </c>
      <c r="G8039" t="str">
        <f>VLOOKUP(Table1_2[[#This Row],[Categories]],Sheet3!$A$1:$B$27,2,FALSE)</f>
        <v>Food &amp;Beverage</v>
      </c>
    </row>
    <row r="8040" spans="1:7" x14ac:dyDescent="0.3">
      <c r="A8040" t="s">
        <v>34</v>
      </c>
      <c r="B8040">
        <v>2021</v>
      </c>
      <c r="C8040" t="s">
        <v>40</v>
      </c>
      <c r="D8040" s="2">
        <v>44378</v>
      </c>
      <c r="E8040" t="s">
        <v>12</v>
      </c>
      <c r="F8040">
        <v>168.3</v>
      </c>
      <c r="G8040" t="str">
        <f>VLOOKUP(Table1_2[[#This Row],[Categories]],Sheet3!$A$1:$B$27,2,FALSE)</f>
        <v>Food &amp;Beverage</v>
      </c>
    </row>
    <row r="8041" spans="1:7" x14ac:dyDescent="0.3">
      <c r="A8041" t="s">
        <v>34</v>
      </c>
      <c r="B8041">
        <v>2021</v>
      </c>
      <c r="C8041" t="s">
        <v>40</v>
      </c>
      <c r="D8041" s="2">
        <v>44378</v>
      </c>
      <c r="E8041" t="s">
        <v>13</v>
      </c>
      <c r="F8041">
        <v>160.9</v>
      </c>
      <c r="G8041" t="str">
        <f>VLOOKUP(Table1_2[[#This Row],[Categories]],Sheet3!$A$1:$B$27,2,FALSE)</f>
        <v>Food &amp;Beverage</v>
      </c>
    </row>
    <row r="8042" spans="1:7" x14ac:dyDescent="0.3">
      <c r="A8042" t="s">
        <v>34</v>
      </c>
      <c r="B8042">
        <v>2021</v>
      </c>
      <c r="C8042" t="s">
        <v>40</v>
      </c>
      <c r="D8042" s="2">
        <v>44378</v>
      </c>
      <c r="E8042" t="s">
        <v>14</v>
      </c>
      <c r="F8042">
        <v>172.2</v>
      </c>
      <c r="G8042" t="str">
        <f>VLOOKUP(Table1_2[[#This Row],[Categories]],Sheet3!$A$1:$B$27,2,FALSE)</f>
        <v>Food &amp;Beverage</v>
      </c>
    </row>
    <row r="8043" spans="1:7" x14ac:dyDescent="0.3">
      <c r="A8043" t="s">
        <v>34</v>
      </c>
      <c r="B8043">
        <v>2021</v>
      </c>
      <c r="C8043" t="s">
        <v>40</v>
      </c>
      <c r="D8043" s="2">
        <v>44378</v>
      </c>
      <c r="E8043" t="s">
        <v>15</v>
      </c>
      <c r="F8043">
        <v>164</v>
      </c>
      <c r="G8043" t="str">
        <f>VLOOKUP(Table1_2[[#This Row],[Categories]],Sheet3!$A$1:$B$27,2,FALSE)</f>
        <v>Food &amp;Beverage</v>
      </c>
    </row>
    <row r="8044" spans="1:7" x14ac:dyDescent="0.3">
      <c r="A8044" t="s">
        <v>34</v>
      </c>
      <c r="B8044">
        <v>2021</v>
      </c>
      <c r="C8044" t="s">
        <v>40</v>
      </c>
      <c r="D8044" s="2">
        <v>44378</v>
      </c>
      <c r="E8044" t="s">
        <v>16</v>
      </c>
      <c r="F8044">
        <v>191.2</v>
      </c>
      <c r="G8044" t="str">
        <f>VLOOKUP(Table1_2[[#This Row],[Categories]],Sheet3!$A$1:$B$27,2,FALSE)</f>
        <v>Recreation and amusement</v>
      </c>
    </row>
    <row r="8045" spans="1:7" x14ac:dyDescent="0.3">
      <c r="A8045" t="s">
        <v>34</v>
      </c>
      <c r="B8045">
        <v>2021</v>
      </c>
      <c r="C8045" t="s">
        <v>40</v>
      </c>
      <c r="D8045" s="2">
        <v>44378</v>
      </c>
      <c r="E8045" t="s">
        <v>17</v>
      </c>
      <c r="F8045">
        <v>162.80000000000001</v>
      </c>
      <c r="G8045" t="str">
        <f>VLOOKUP(Table1_2[[#This Row],[Categories]],Sheet3!$A$1:$B$27,2,FALSE)</f>
        <v>Clothing and footwear</v>
      </c>
    </row>
    <row r="8046" spans="1:7" x14ac:dyDescent="0.3">
      <c r="A8046" t="s">
        <v>34</v>
      </c>
      <c r="B8046">
        <v>2021</v>
      </c>
      <c r="C8046" t="s">
        <v>40</v>
      </c>
      <c r="D8046" s="2">
        <v>44378</v>
      </c>
      <c r="E8046" t="s">
        <v>18</v>
      </c>
      <c r="F8046">
        <v>153.1</v>
      </c>
      <c r="G8046" t="str">
        <f>VLOOKUP(Table1_2[[#This Row],[Categories]],Sheet3!$A$1:$B$27,2,FALSE)</f>
        <v>Clothing and footwear</v>
      </c>
    </row>
    <row r="8047" spans="1:7" x14ac:dyDescent="0.3">
      <c r="A8047" t="s">
        <v>34</v>
      </c>
      <c r="B8047">
        <v>2021</v>
      </c>
      <c r="C8047" t="s">
        <v>40</v>
      </c>
      <c r="D8047" s="2">
        <v>44378</v>
      </c>
      <c r="E8047" t="s">
        <v>19</v>
      </c>
      <c r="F8047">
        <v>161.4</v>
      </c>
      <c r="G8047" t="str">
        <f>VLOOKUP(Table1_2[[#This Row],[Categories]],Sheet3!$A$1:$B$27,2,FALSE)</f>
        <v>Clothing and footwear</v>
      </c>
    </row>
    <row r="8048" spans="1:7" x14ac:dyDescent="0.3">
      <c r="A8048" t="s">
        <v>34</v>
      </c>
      <c r="B8048">
        <v>2021</v>
      </c>
      <c r="C8048" t="s">
        <v>40</v>
      </c>
      <c r="D8048" s="2">
        <v>44378</v>
      </c>
      <c r="E8048" t="s">
        <v>20</v>
      </c>
      <c r="F8048">
        <v>161.5</v>
      </c>
      <c r="G8048" t="str">
        <f>VLOOKUP(Table1_2[[#This Row],[Categories]],Sheet3!$A$1:$B$27,2,FALSE)</f>
        <v>Housing</v>
      </c>
    </row>
    <row r="8049" spans="1:7" x14ac:dyDescent="0.3">
      <c r="A8049" t="s">
        <v>34</v>
      </c>
      <c r="B8049">
        <v>2021</v>
      </c>
      <c r="C8049" t="s">
        <v>40</v>
      </c>
      <c r="D8049" s="2">
        <v>44378</v>
      </c>
      <c r="E8049" t="s">
        <v>21</v>
      </c>
      <c r="F8049">
        <v>160.69999999999999</v>
      </c>
      <c r="G8049" t="str">
        <f>VLOOKUP(Table1_2[[#This Row],[Categories]],Sheet3!$A$1:$B$27,2,FALSE)</f>
        <v>Fuel and light</v>
      </c>
    </row>
    <row r="8050" spans="1:7" x14ac:dyDescent="0.3">
      <c r="A8050" t="s">
        <v>34</v>
      </c>
      <c r="B8050">
        <v>2021</v>
      </c>
      <c r="C8050" t="s">
        <v>40</v>
      </c>
      <c r="D8050" s="2">
        <v>44378</v>
      </c>
      <c r="E8050" t="s">
        <v>22</v>
      </c>
      <c r="F8050">
        <v>155.80000000000001</v>
      </c>
      <c r="G8050" t="str">
        <f>VLOOKUP(Table1_2[[#This Row],[Categories]],Sheet3!$A$1:$B$27,2,FALSE)</f>
        <v>Household Items</v>
      </c>
    </row>
    <row r="8051" spans="1:7" x14ac:dyDescent="0.3">
      <c r="A8051" t="s">
        <v>34</v>
      </c>
      <c r="B8051">
        <v>2021</v>
      </c>
      <c r="C8051" t="s">
        <v>40</v>
      </c>
      <c r="D8051" s="2">
        <v>44378</v>
      </c>
      <c r="E8051" t="s">
        <v>23</v>
      </c>
      <c r="F8051">
        <v>167</v>
      </c>
      <c r="G8051" t="str">
        <f>VLOOKUP(Table1_2[[#This Row],[Categories]],Sheet3!$A$1:$B$27,2,FALSE)</f>
        <v>Health</v>
      </c>
    </row>
    <row r="8052" spans="1:7" x14ac:dyDescent="0.3">
      <c r="A8052" t="s">
        <v>34</v>
      </c>
      <c r="B8052">
        <v>2021</v>
      </c>
      <c r="C8052" t="s">
        <v>40</v>
      </c>
      <c r="D8052" s="2">
        <v>44378</v>
      </c>
      <c r="E8052" t="s">
        <v>24</v>
      </c>
      <c r="F8052">
        <v>153.1</v>
      </c>
      <c r="G8052" t="str">
        <f>VLOOKUP(Table1_2[[#This Row],[Categories]],Sheet3!$A$1:$B$27,2,FALSE)</f>
        <v>Transport and communication</v>
      </c>
    </row>
    <row r="8053" spans="1:7" x14ac:dyDescent="0.3">
      <c r="A8053" t="s">
        <v>34</v>
      </c>
      <c r="B8053">
        <v>2021</v>
      </c>
      <c r="C8053" t="s">
        <v>40</v>
      </c>
      <c r="D8053" s="2">
        <v>44378</v>
      </c>
      <c r="E8053" t="s">
        <v>25</v>
      </c>
      <c r="F8053">
        <v>155.30000000000001</v>
      </c>
      <c r="G8053" t="str">
        <f>VLOOKUP(Table1_2[[#This Row],[Categories]],Sheet3!$A$1:$B$27,2,FALSE)</f>
        <v>Recreation and amusement</v>
      </c>
    </row>
    <row r="8054" spans="1:7" x14ac:dyDescent="0.3">
      <c r="A8054" t="s">
        <v>34</v>
      </c>
      <c r="B8054">
        <v>2021</v>
      </c>
      <c r="C8054" t="s">
        <v>40</v>
      </c>
      <c r="D8054" s="2">
        <v>44378</v>
      </c>
      <c r="E8054" t="s">
        <v>26</v>
      </c>
      <c r="F8054">
        <v>163.19999999999999</v>
      </c>
      <c r="G8054" t="str">
        <f>VLOOKUP(Table1_2[[#This Row],[Categories]],Sheet3!$A$1:$B$27,2,FALSE)</f>
        <v>Education</v>
      </c>
    </row>
    <row r="8055" spans="1:7" x14ac:dyDescent="0.3">
      <c r="A8055" t="s">
        <v>34</v>
      </c>
      <c r="B8055">
        <v>2021</v>
      </c>
      <c r="C8055" t="s">
        <v>40</v>
      </c>
      <c r="D8055" s="2">
        <v>44378</v>
      </c>
      <c r="E8055" t="s">
        <v>27</v>
      </c>
      <c r="F8055">
        <v>160.1</v>
      </c>
      <c r="G8055" t="str">
        <f>VLOOKUP(Table1_2[[#This Row],[Categories]],Sheet3!$A$1:$B$27,2,FALSE)</f>
        <v>Household Items</v>
      </c>
    </row>
    <row r="8056" spans="1:7" x14ac:dyDescent="0.3">
      <c r="A8056" t="s">
        <v>34</v>
      </c>
      <c r="B8056">
        <v>2021</v>
      </c>
      <c r="C8056" t="s">
        <v>40</v>
      </c>
      <c r="D8056" s="2">
        <v>44378</v>
      </c>
      <c r="E8056" t="s">
        <v>28</v>
      </c>
      <c r="F8056">
        <v>159</v>
      </c>
      <c r="G8056" t="str">
        <f>VLOOKUP(Table1_2[[#This Row],[Categories]],Sheet3!$A$1:$B$27,2,FALSE)</f>
        <v>Miscellaneous</v>
      </c>
    </row>
    <row r="8057" spans="1:7" x14ac:dyDescent="0.3">
      <c r="A8057" t="s">
        <v>34</v>
      </c>
      <c r="B8057">
        <v>2021</v>
      </c>
      <c r="C8057" t="s">
        <v>40</v>
      </c>
      <c r="D8057" s="2">
        <v>44378</v>
      </c>
      <c r="E8057" t="s">
        <v>29</v>
      </c>
      <c r="F8057">
        <v>162.5</v>
      </c>
      <c r="G8057" t="str">
        <f>VLOOKUP(Table1_2[[#This Row],[Categories]],Sheet3!$A$1:$B$27,2,FALSE)</f>
        <v>General index</v>
      </c>
    </row>
    <row r="8058" spans="1:7" x14ac:dyDescent="0.3">
      <c r="A8058" t="s">
        <v>30</v>
      </c>
      <c r="B8058">
        <v>2021</v>
      </c>
      <c r="C8058" t="s">
        <v>41</v>
      </c>
      <c r="D8058" s="2">
        <v>44409</v>
      </c>
      <c r="E8058" t="s">
        <v>3</v>
      </c>
      <c r="F8058">
        <v>144.9</v>
      </c>
      <c r="G8058" t="str">
        <f>VLOOKUP(Table1_2[[#This Row],[Categories]],Sheet3!$A$1:$B$27,2,FALSE)</f>
        <v>Food &amp;Beverage</v>
      </c>
    </row>
    <row r="8059" spans="1:7" x14ac:dyDescent="0.3">
      <c r="A8059" t="s">
        <v>30</v>
      </c>
      <c r="B8059">
        <v>2021</v>
      </c>
      <c r="C8059" t="s">
        <v>41</v>
      </c>
      <c r="D8059" s="2">
        <v>44409</v>
      </c>
      <c r="E8059" t="s">
        <v>4</v>
      </c>
      <c r="F8059">
        <v>202.3</v>
      </c>
      <c r="G8059" t="str">
        <f>VLOOKUP(Table1_2[[#This Row],[Categories]],Sheet3!$A$1:$B$27,2,FALSE)</f>
        <v>Food &amp;Beverage</v>
      </c>
    </row>
    <row r="8060" spans="1:7" x14ac:dyDescent="0.3">
      <c r="A8060" t="s">
        <v>30</v>
      </c>
      <c r="B8060">
        <v>2021</v>
      </c>
      <c r="C8060" t="s">
        <v>41</v>
      </c>
      <c r="D8060" s="2">
        <v>44409</v>
      </c>
      <c r="E8060" t="s">
        <v>5</v>
      </c>
      <c r="F8060">
        <v>176.5</v>
      </c>
      <c r="G8060" t="str">
        <f>VLOOKUP(Table1_2[[#This Row],[Categories]],Sheet3!$A$1:$B$27,2,FALSE)</f>
        <v>Food &amp;Beverage</v>
      </c>
    </row>
    <row r="8061" spans="1:7" x14ac:dyDescent="0.3">
      <c r="A8061" t="s">
        <v>30</v>
      </c>
      <c r="B8061">
        <v>2021</v>
      </c>
      <c r="C8061" t="s">
        <v>41</v>
      </c>
      <c r="D8061" s="2">
        <v>44409</v>
      </c>
      <c r="E8061" t="s">
        <v>6</v>
      </c>
      <c r="F8061">
        <v>157.5</v>
      </c>
      <c r="G8061" t="str">
        <f>VLOOKUP(Table1_2[[#This Row],[Categories]],Sheet3!$A$1:$B$27,2,FALSE)</f>
        <v>Food &amp;Beverage</v>
      </c>
    </row>
    <row r="8062" spans="1:7" x14ac:dyDescent="0.3">
      <c r="A8062" t="s">
        <v>30</v>
      </c>
      <c r="B8062">
        <v>2021</v>
      </c>
      <c r="C8062" t="s">
        <v>41</v>
      </c>
      <c r="D8062" s="2">
        <v>44409</v>
      </c>
      <c r="E8062" t="s">
        <v>7</v>
      </c>
      <c r="F8062">
        <v>190.9</v>
      </c>
      <c r="G8062" t="str">
        <f>VLOOKUP(Table1_2[[#This Row],[Categories]],Sheet3!$A$1:$B$27,2,FALSE)</f>
        <v>Food &amp;Beverage</v>
      </c>
    </row>
    <row r="8063" spans="1:7" x14ac:dyDescent="0.3">
      <c r="A8063" t="s">
        <v>30</v>
      </c>
      <c r="B8063">
        <v>2021</v>
      </c>
      <c r="C8063" t="s">
        <v>41</v>
      </c>
      <c r="D8063" s="2">
        <v>44409</v>
      </c>
      <c r="E8063" t="s">
        <v>8</v>
      </c>
      <c r="F8063">
        <v>155.69999999999999</v>
      </c>
      <c r="G8063" t="str">
        <f>VLOOKUP(Table1_2[[#This Row],[Categories]],Sheet3!$A$1:$B$27,2,FALSE)</f>
        <v>Food &amp;Beverage</v>
      </c>
    </row>
    <row r="8064" spans="1:7" x14ac:dyDescent="0.3">
      <c r="A8064" t="s">
        <v>30</v>
      </c>
      <c r="B8064">
        <v>2021</v>
      </c>
      <c r="C8064" t="s">
        <v>41</v>
      </c>
      <c r="D8064" s="2">
        <v>44409</v>
      </c>
      <c r="E8064" t="s">
        <v>9</v>
      </c>
      <c r="F8064">
        <v>153.9</v>
      </c>
      <c r="G8064" t="str">
        <f>VLOOKUP(Table1_2[[#This Row],[Categories]],Sheet3!$A$1:$B$27,2,FALSE)</f>
        <v>Food &amp;Beverage</v>
      </c>
    </row>
    <row r="8065" spans="1:7" x14ac:dyDescent="0.3">
      <c r="A8065" t="s">
        <v>30</v>
      </c>
      <c r="B8065">
        <v>2021</v>
      </c>
      <c r="C8065" t="s">
        <v>41</v>
      </c>
      <c r="D8065" s="2">
        <v>44409</v>
      </c>
      <c r="E8065" t="s">
        <v>10</v>
      </c>
      <c r="F8065">
        <v>162.80000000000001</v>
      </c>
      <c r="G8065" t="str">
        <f>VLOOKUP(Table1_2[[#This Row],[Categories]],Sheet3!$A$1:$B$27,2,FALSE)</f>
        <v>Food &amp;Beverage</v>
      </c>
    </row>
    <row r="8066" spans="1:7" x14ac:dyDescent="0.3">
      <c r="A8066" t="s">
        <v>30</v>
      </c>
      <c r="B8066">
        <v>2021</v>
      </c>
      <c r="C8066" t="s">
        <v>41</v>
      </c>
      <c r="D8066" s="2">
        <v>44409</v>
      </c>
      <c r="E8066" t="s">
        <v>11</v>
      </c>
      <c r="F8066">
        <v>115.2</v>
      </c>
      <c r="G8066" t="str">
        <f>VLOOKUP(Table1_2[[#This Row],[Categories]],Sheet3!$A$1:$B$27,2,FALSE)</f>
        <v>Food &amp;Beverage</v>
      </c>
    </row>
    <row r="8067" spans="1:7" x14ac:dyDescent="0.3">
      <c r="A8067" t="s">
        <v>30</v>
      </c>
      <c r="B8067">
        <v>2021</v>
      </c>
      <c r="C8067" t="s">
        <v>41</v>
      </c>
      <c r="D8067" s="2">
        <v>44409</v>
      </c>
      <c r="E8067" t="s">
        <v>12</v>
      </c>
      <c r="F8067">
        <v>169.8</v>
      </c>
      <c r="G8067" t="str">
        <f>VLOOKUP(Table1_2[[#This Row],[Categories]],Sheet3!$A$1:$B$27,2,FALSE)</f>
        <v>Food &amp;Beverage</v>
      </c>
    </row>
    <row r="8068" spans="1:7" x14ac:dyDescent="0.3">
      <c r="A8068" t="s">
        <v>30</v>
      </c>
      <c r="B8068">
        <v>2021</v>
      </c>
      <c r="C8068" t="s">
        <v>41</v>
      </c>
      <c r="D8068" s="2">
        <v>44409</v>
      </c>
      <c r="E8068" t="s">
        <v>13</v>
      </c>
      <c r="F8068">
        <v>167.6</v>
      </c>
      <c r="G8068" t="str">
        <f>VLOOKUP(Table1_2[[#This Row],[Categories]],Sheet3!$A$1:$B$27,2,FALSE)</f>
        <v>Food &amp;Beverage</v>
      </c>
    </row>
    <row r="8069" spans="1:7" x14ac:dyDescent="0.3">
      <c r="A8069" t="s">
        <v>30</v>
      </c>
      <c r="B8069">
        <v>2021</v>
      </c>
      <c r="C8069" t="s">
        <v>41</v>
      </c>
      <c r="D8069" s="2">
        <v>44409</v>
      </c>
      <c r="E8069" t="s">
        <v>14</v>
      </c>
      <c r="F8069">
        <v>171.9</v>
      </c>
      <c r="G8069" t="str">
        <f>VLOOKUP(Table1_2[[#This Row],[Categories]],Sheet3!$A$1:$B$27,2,FALSE)</f>
        <v>Food &amp;Beverage</v>
      </c>
    </row>
    <row r="8070" spans="1:7" x14ac:dyDescent="0.3">
      <c r="A8070" t="s">
        <v>30</v>
      </c>
      <c r="B8070">
        <v>2021</v>
      </c>
      <c r="C8070" t="s">
        <v>41</v>
      </c>
      <c r="D8070" s="2">
        <v>44409</v>
      </c>
      <c r="E8070" t="s">
        <v>15</v>
      </c>
      <c r="F8070">
        <v>161.80000000000001</v>
      </c>
      <c r="G8070" t="str">
        <f>VLOOKUP(Table1_2[[#This Row],[Categories]],Sheet3!$A$1:$B$27,2,FALSE)</f>
        <v>Food &amp;Beverage</v>
      </c>
    </row>
    <row r="8071" spans="1:7" x14ac:dyDescent="0.3">
      <c r="A8071" t="s">
        <v>30</v>
      </c>
      <c r="B8071">
        <v>2021</v>
      </c>
      <c r="C8071" t="s">
        <v>41</v>
      </c>
      <c r="D8071" s="2">
        <v>44409</v>
      </c>
      <c r="E8071" t="s">
        <v>16</v>
      </c>
      <c r="F8071">
        <v>190.2</v>
      </c>
      <c r="G8071" t="str">
        <f>VLOOKUP(Table1_2[[#This Row],[Categories]],Sheet3!$A$1:$B$27,2,FALSE)</f>
        <v>Recreation and amusement</v>
      </c>
    </row>
    <row r="8072" spans="1:7" x14ac:dyDescent="0.3">
      <c r="A8072" t="s">
        <v>30</v>
      </c>
      <c r="B8072">
        <v>2021</v>
      </c>
      <c r="C8072" t="s">
        <v>41</v>
      </c>
      <c r="D8072" s="2">
        <v>44409</v>
      </c>
      <c r="E8072" t="s">
        <v>17</v>
      </c>
      <c r="F8072">
        <v>167</v>
      </c>
      <c r="G8072" t="str">
        <f>VLOOKUP(Table1_2[[#This Row],[Categories]],Sheet3!$A$1:$B$27,2,FALSE)</f>
        <v>Clothing and footwear</v>
      </c>
    </row>
    <row r="8073" spans="1:7" x14ac:dyDescent="0.3">
      <c r="A8073" t="s">
        <v>30</v>
      </c>
      <c r="B8073">
        <v>2021</v>
      </c>
      <c r="C8073" t="s">
        <v>41</v>
      </c>
      <c r="D8073" s="2">
        <v>44409</v>
      </c>
      <c r="E8073" t="s">
        <v>18</v>
      </c>
      <c r="F8073">
        <v>162.6</v>
      </c>
      <c r="G8073" t="str">
        <f>VLOOKUP(Table1_2[[#This Row],[Categories]],Sheet3!$A$1:$B$27,2,FALSE)</f>
        <v>Clothing and footwear</v>
      </c>
    </row>
    <row r="8074" spans="1:7" x14ac:dyDescent="0.3">
      <c r="A8074" t="s">
        <v>30</v>
      </c>
      <c r="B8074">
        <v>2021</v>
      </c>
      <c r="C8074" t="s">
        <v>41</v>
      </c>
      <c r="D8074" s="2">
        <v>44409</v>
      </c>
      <c r="E8074" t="s">
        <v>19</v>
      </c>
      <c r="F8074">
        <v>166.3</v>
      </c>
      <c r="G8074" t="str">
        <f>VLOOKUP(Table1_2[[#This Row],[Categories]],Sheet3!$A$1:$B$27,2,FALSE)</f>
        <v>Clothing and footwear</v>
      </c>
    </row>
    <row r="8075" spans="1:7" x14ac:dyDescent="0.3">
      <c r="A8075" t="s">
        <v>30</v>
      </c>
      <c r="B8075">
        <v>2021</v>
      </c>
      <c r="C8075" t="s">
        <v>41</v>
      </c>
      <c r="D8075" s="2">
        <v>44409</v>
      </c>
      <c r="E8075" t="s">
        <v>21</v>
      </c>
      <c r="F8075">
        <v>163.1</v>
      </c>
      <c r="G8075" t="str">
        <f>VLOOKUP(Table1_2[[#This Row],[Categories]],Sheet3!$A$1:$B$27,2,FALSE)</f>
        <v>Fuel and light</v>
      </c>
    </row>
    <row r="8076" spans="1:7" x14ac:dyDescent="0.3">
      <c r="A8076" t="s">
        <v>30</v>
      </c>
      <c r="B8076">
        <v>2021</v>
      </c>
      <c r="C8076" t="s">
        <v>41</v>
      </c>
      <c r="D8076" s="2">
        <v>44409</v>
      </c>
      <c r="E8076" t="s">
        <v>22</v>
      </c>
      <c r="F8076">
        <v>160.9</v>
      </c>
      <c r="G8076" t="str">
        <f>VLOOKUP(Table1_2[[#This Row],[Categories]],Sheet3!$A$1:$B$27,2,FALSE)</f>
        <v>Household Items</v>
      </c>
    </row>
    <row r="8077" spans="1:7" x14ac:dyDescent="0.3">
      <c r="A8077" t="s">
        <v>30</v>
      </c>
      <c r="B8077">
        <v>2021</v>
      </c>
      <c r="C8077" t="s">
        <v>41</v>
      </c>
      <c r="D8077" s="2">
        <v>44409</v>
      </c>
      <c r="E8077" t="s">
        <v>23</v>
      </c>
      <c r="F8077">
        <v>171.1</v>
      </c>
      <c r="G8077" t="str">
        <f>VLOOKUP(Table1_2[[#This Row],[Categories]],Sheet3!$A$1:$B$27,2,FALSE)</f>
        <v>Health</v>
      </c>
    </row>
    <row r="8078" spans="1:7" x14ac:dyDescent="0.3">
      <c r="A8078" t="s">
        <v>30</v>
      </c>
      <c r="B8078">
        <v>2021</v>
      </c>
      <c r="C8078" t="s">
        <v>41</v>
      </c>
      <c r="D8078" s="2">
        <v>44409</v>
      </c>
      <c r="E8078" t="s">
        <v>24</v>
      </c>
      <c r="F8078">
        <v>157.69999999999999</v>
      </c>
      <c r="G8078" t="str">
        <f>VLOOKUP(Table1_2[[#This Row],[Categories]],Sheet3!$A$1:$B$27,2,FALSE)</f>
        <v>Transport and communication</v>
      </c>
    </row>
    <row r="8079" spans="1:7" x14ac:dyDescent="0.3">
      <c r="A8079" t="s">
        <v>30</v>
      </c>
      <c r="B8079">
        <v>2021</v>
      </c>
      <c r="C8079" t="s">
        <v>41</v>
      </c>
      <c r="D8079" s="2">
        <v>44409</v>
      </c>
      <c r="E8079" t="s">
        <v>25</v>
      </c>
      <c r="F8079">
        <v>161.1</v>
      </c>
      <c r="G8079" t="str">
        <f>VLOOKUP(Table1_2[[#This Row],[Categories]],Sheet3!$A$1:$B$27,2,FALSE)</f>
        <v>Recreation and amusement</v>
      </c>
    </row>
    <row r="8080" spans="1:7" x14ac:dyDescent="0.3">
      <c r="A8080" t="s">
        <v>30</v>
      </c>
      <c r="B8080">
        <v>2021</v>
      </c>
      <c r="C8080" t="s">
        <v>41</v>
      </c>
      <c r="D8080" s="2">
        <v>44409</v>
      </c>
      <c r="E8080" t="s">
        <v>26</v>
      </c>
      <c r="F8080">
        <v>167.5</v>
      </c>
      <c r="G8080" t="str">
        <f>VLOOKUP(Table1_2[[#This Row],[Categories]],Sheet3!$A$1:$B$27,2,FALSE)</f>
        <v>Education</v>
      </c>
    </row>
    <row r="8081" spans="1:7" x14ac:dyDescent="0.3">
      <c r="A8081" t="s">
        <v>30</v>
      </c>
      <c r="B8081">
        <v>2021</v>
      </c>
      <c r="C8081" t="s">
        <v>41</v>
      </c>
      <c r="D8081" s="2">
        <v>44409</v>
      </c>
      <c r="E8081" t="s">
        <v>27</v>
      </c>
      <c r="F8081">
        <v>160.30000000000001</v>
      </c>
      <c r="G8081" t="str">
        <f>VLOOKUP(Table1_2[[#This Row],[Categories]],Sheet3!$A$1:$B$27,2,FALSE)</f>
        <v>Household Items</v>
      </c>
    </row>
    <row r="8082" spans="1:7" x14ac:dyDescent="0.3">
      <c r="A8082" t="s">
        <v>30</v>
      </c>
      <c r="B8082">
        <v>2021</v>
      </c>
      <c r="C8082" t="s">
        <v>41</v>
      </c>
      <c r="D8082" s="2">
        <v>44409</v>
      </c>
      <c r="E8082" t="s">
        <v>28</v>
      </c>
      <c r="F8082">
        <v>163.30000000000001</v>
      </c>
      <c r="G8082" t="str">
        <f>VLOOKUP(Table1_2[[#This Row],[Categories]],Sheet3!$A$1:$B$27,2,FALSE)</f>
        <v>Miscellaneous</v>
      </c>
    </row>
    <row r="8083" spans="1:7" x14ac:dyDescent="0.3">
      <c r="A8083" t="s">
        <v>30</v>
      </c>
      <c r="B8083">
        <v>2021</v>
      </c>
      <c r="C8083" t="s">
        <v>41</v>
      </c>
      <c r="D8083" s="2">
        <v>44409</v>
      </c>
      <c r="E8083" t="s">
        <v>29</v>
      </c>
      <c r="F8083">
        <v>163.6</v>
      </c>
      <c r="G8083" t="str">
        <f>VLOOKUP(Table1_2[[#This Row],[Categories]],Sheet3!$A$1:$B$27,2,FALSE)</f>
        <v>General index</v>
      </c>
    </row>
    <row r="8084" spans="1:7" x14ac:dyDescent="0.3">
      <c r="A8084" t="s">
        <v>33</v>
      </c>
      <c r="B8084">
        <v>2021</v>
      </c>
      <c r="C8084" t="s">
        <v>41</v>
      </c>
      <c r="D8084" s="2">
        <v>44409</v>
      </c>
      <c r="E8084" t="s">
        <v>3</v>
      </c>
      <c r="F8084">
        <v>149.30000000000001</v>
      </c>
      <c r="G8084" t="str">
        <f>VLOOKUP(Table1_2[[#This Row],[Categories]],Sheet3!$A$1:$B$27,2,FALSE)</f>
        <v>Food &amp;Beverage</v>
      </c>
    </row>
    <row r="8085" spans="1:7" x14ac:dyDescent="0.3">
      <c r="A8085" t="s">
        <v>33</v>
      </c>
      <c r="B8085">
        <v>2021</v>
      </c>
      <c r="C8085" t="s">
        <v>41</v>
      </c>
      <c r="D8085" s="2">
        <v>44409</v>
      </c>
      <c r="E8085" t="s">
        <v>4</v>
      </c>
      <c r="F8085">
        <v>207.4</v>
      </c>
      <c r="G8085" t="str">
        <f>VLOOKUP(Table1_2[[#This Row],[Categories]],Sheet3!$A$1:$B$27,2,FALSE)</f>
        <v>Food &amp;Beverage</v>
      </c>
    </row>
    <row r="8086" spans="1:7" x14ac:dyDescent="0.3">
      <c r="A8086" t="s">
        <v>33</v>
      </c>
      <c r="B8086">
        <v>2021</v>
      </c>
      <c r="C8086" t="s">
        <v>41</v>
      </c>
      <c r="D8086" s="2">
        <v>44409</v>
      </c>
      <c r="E8086" t="s">
        <v>5</v>
      </c>
      <c r="F8086">
        <v>174.1</v>
      </c>
      <c r="G8086" t="str">
        <f>VLOOKUP(Table1_2[[#This Row],[Categories]],Sheet3!$A$1:$B$27,2,FALSE)</f>
        <v>Food &amp;Beverage</v>
      </c>
    </row>
    <row r="8087" spans="1:7" x14ac:dyDescent="0.3">
      <c r="A8087" t="s">
        <v>33</v>
      </c>
      <c r="B8087">
        <v>2021</v>
      </c>
      <c r="C8087" t="s">
        <v>41</v>
      </c>
      <c r="D8087" s="2">
        <v>44409</v>
      </c>
      <c r="E8087" t="s">
        <v>6</v>
      </c>
      <c r="F8087">
        <v>159.19999999999999</v>
      </c>
      <c r="G8087" t="str">
        <f>VLOOKUP(Table1_2[[#This Row],[Categories]],Sheet3!$A$1:$B$27,2,FALSE)</f>
        <v>Food &amp;Beverage</v>
      </c>
    </row>
    <row r="8088" spans="1:7" x14ac:dyDescent="0.3">
      <c r="A8088" t="s">
        <v>33</v>
      </c>
      <c r="B8088">
        <v>2021</v>
      </c>
      <c r="C8088" t="s">
        <v>41</v>
      </c>
      <c r="D8088" s="2">
        <v>44409</v>
      </c>
      <c r="E8088" t="s">
        <v>7</v>
      </c>
      <c r="F8088">
        <v>175</v>
      </c>
      <c r="G8088" t="str">
        <f>VLOOKUP(Table1_2[[#This Row],[Categories]],Sheet3!$A$1:$B$27,2,FALSE)</f>
        <v>Food &amp;Beverage</v>
      </c>
    </row>
    <row r="8089" spans="1:7" x14ac:dyDescent="0.3">
      <c r="A8089" t="s">
        <v>33</v>
      </c>
      <c r="B8089">
        <v>2021</v>
      </c>
      <c r="C8089" t="s">
        <v>41</v>
      </c>
      <c r="D8089" s="2">
        <v>44409</v>
      </c>
      <c r="E8089" t="s">
        <v>8</v>
      </c>
      <c r="F8089">
        <v>161.30000000000001</v>
      </c>
      <c r="G8089" t="str">
        <f>VLOOKUP(Table1_2[[#This Row],[Categories]],Sheet3!$A$1:$B$27,2,FALSE)</f>
        <v>Food &amp;Beverage</v>
      </c>
    </row>
    <row r="8090" spans="1:7" x14ac:dyDescent="0.3">
      <c r="A8090" t="s">
        <v>33</v>
      </c>
      <c r="B8090">
        <v>2021</v>
      </c>
      <c r="C8090" t="s">
        <v>41</v>
      </c>
      <c r="D8090" s="2">
        <v>44409</v>
      </c>
      <c r="E8090" t="s">
        <v>9</v>
      </c>
      <c r="F8090">
        <v>183.3</v>
      </c>
      <c r="G8090" t="str">
        <f>VLOOKUP(Table1_2[[#This Row],[Categories]],Sheet3!$A$1:$B$27,2,FALSE)</f>
        <v>Food &amp;Beverage</v>
      </c>
    </row>
    <row r="8091" spans="1:7" x14ac:dyDescent="0.3">
      <c r="A8091" t="s">
        <v>33</v>
      </c>
      <c r="B8091">
        <v>2021</v>
      </c>
      <c r="C8091" t="s">
        <v>41</v>
      </c>
      <c r="D8091" s="2">
        <v>44409</v>
      </c>
      <c r="E8091" t="s">
        <v>10</v>
      </c>
      <c r="F8091">
        <v>164.5</v>
      </c>
      <c r="G8091" t="str">
        <f>VLOOKUP(Table1_2[[#This Row],[Categories]],Sheet3!$A$1:$B$27,2,FALSE)</f>
        <v>Food &amp;Beverage</v>
      </c>
    </row>
    <row r="8092" spans="1:7" x14ac:dyDescent="0.3">
      <c r="A8092" t="s">
        <v>33</v>
      </c>
      <c r="B8092">
        <v>2021</v>
      </c>
      <c r="C8092" t="s">
        <v>41</v>
      </c>
      <c r="D8092" s="2">
        <v>44409</v>
      </c>
      <c r="E8092" t="s">
        <v>11</v>
      </c>
      <c r="F8092">
        <v>120.4</v>
      </c>
      <c r="G8092" t="str">
        <f>VLOOKUP(Table1_2[[#This Row],[Categories]],Sheet3!$A$1:$B$27,2,FALSE)</f>
        <v>Food &amp;Beverage</v>
      </c>
    </row>
    <row r="8093" spans="1:7" x14ac:dyDescent="0.3">
      <c r="A8093" t="s">
        <v>33</v>
      </c>
      <c r="B8093">
        <v>2021</v>
      </c>
      <c r="C8093" t="s">
        <v>41</v>
      </c>
      <c r="D8093" s="2">
        <v>44409</v>
      </c>
      <c r="E8093" t="s">
        <v>12</v>
      </c>
      <c r="F8093">
        <v>166.2</v>
      </c>
      <c r="G8093" t="str">
        <f>VLOOKUP(Table1_2[[#This Row],[Categories]],Sheet3!$A$1:$B$27,2,FALSE)</f>
        <v>Food &amp;Beverage</v>
      </c>
    </row>
    <row r="8094" spans="1:7" x14ac:dyDescent="0.3">
      <c r="A8094" t="s">
        <v>33</v>
      </c>
      <c r="B8094">
        <v>2021</v>
      </c>
      <c r="C8094" t="s">
        <v>41</v>
      </c>
      <c r="D8094" s="2">
        <v>44409</v>
      </c>
      <c r="E8094" t="s">
        <v>13</v>
      </c>
      <c r="F8094">
        <v>154.80000000000001</v>
      </c>
      <c r="G8094" t="str">
        <f>VLOOKUP(Table1_2[[#This Row],[Categories]],Sheet3!$A$1:$B$27,2,FALSE)</f>
        <v>Food &amp;Beverage</v>
      </c>
    </row>
    <row r="8095" spans="1:7" x14ac:dyDescent="0.3">
      <c r="A8095" t="s">
        <v>33</v>
      </c>
      <c r="B8095">
        <v>2021</v>
      </c>
      <c r="C8095" t="s">
        <v>41</v>
      </c>
      <c r="D8095" s="2">
        <v>44409</v>
      </c>
      <c r="E8095" t="s">
        <v>14</v>
      </c>
      <c r="F8095">
        <v>175.1</v>
      </c>
      <c r="G8095" t="str">
        <f>VLOOKUP(Table1_2[[#This Row],[Categories]],Sheet3!$A$1:$B$27,2,FALSE)</f>
        <v>Food &amp;Beverage</v>
      </c>
    </row>
    <row r="8096" spans="1:7" x14ac:dyDescent="0.3">
      <c r="A8096" t="s">
        <v>33</v>
      </c>
      <c r="B8096">
        <v>2021</v>
      </c>
      <c r="C8096" t="s">
        <v>41</v>
      </c>
      <c r="D8096" s="2">
        <v>44409</v>
      </c>
      <c r="E8096" t="s">
        <v>15</v>
      </c>
      <c r="F8096">
        <v>167.3</v>
      </c>
      <c r="G8096" t="str">
        <f>VLOOKUP(Table1_2[[#This Row],[Categories]],Sheet3!$A$1:$B$27,2,FALSE)</f>
        <v>Food &amp;Beverage</v>
      </c>
    </row>
    <row r="8097" spans="1:7" x14ac:dyDescent="0.3">
      <c r="A8097" t="s">
        <v>33</v>
      </c>
      <c r="B8097">
        <v>2021</v>
      </c>
      <c r="C8097" t="s">
        <v>41</v>
      </c>
      <c r="D8097" s="2">
        <v>44409</v>
      </c>
      <c r="E8097" t="s">
        <v>16</v>
      </c>
      <c r="F8097">
        <v>196.5</v>
      </c>
      <c r="G8097" t="str">
        <f>VLOOKUP(Table1_2[[#This Row],[Categories]],Sheet3!$A$1:$B$27,2,FALSE)</f>
        <v>Recreation and amusement</v>
      </c>
    </row>
    <row r="8098" spans="1:7" x14ac:dyDescent="0.3">
      <c r="A8098" t="s">
        <v>33</v>
      </c>
      <c r="B8098">
        <v>2021</v>
      </c>
      <c r="C8098" t="s">
        <v>41</v>
      </c>
      <c r="D8098" s="2">
        <v>44409</v>
      </c>
      <c r="E8098" t="s">
        <v>17</v>
      </c>
      <c r="F8098">
        <v>159.80000000000001</v>
      </c>
      <c r="G8098" t="str">
        <f>VLOOKUP(Table1_2[[#This Row],[Categories]],Sheet3!$A$1:$B$27,2,FALSE)</f>
        <v>Clothing and footwear</v>
      </c>
    </row>
    <row r="8099" spans="1:7" x14ac:dyDescent="0.3">
      <c r="A8099" t="s">
        <v>33</v>
      </c>
      <c r="B8099">
        <v>2021</v>
      </c>
      <c r="C8099" t="s">
        <v>41</v>
      </c>
      <c r="D8099" s="2">
        <v>44409</v>
      </c>
      <c r="E8099" t="s">
        <v>18</v>
      </c>
      <c r="F8099">
        <v>143.6</v>
      </c>
      <c r="G8099" t="str">
        <f>VLOOKUP(Table1_2[[#This Row],[Categories]],Sheet3!$A$1:$B$27,2,FALSE)</f>
        <v>Clothing and footwear</v>
      </c>
    </row>
    <row r="8100" spans="1:7" x14ac:dyDescent="0.3">
      <c r="A8100" t="s">
        <v>33</v>
      </c>
      <c r="B8100">
        <v>2021</v>
      </c>
      <c r="C8100" t="s">
        <v>41</v>
      </c>
      <c r="D8100" s="2">
        <v>44409</v>
      </c>
      <c r="E8100" t="s">
        <v>19</v>
      </c>
      <c r="F8100">
        <v>157.30000000000001</v>
      </c>
      <c r="G8100" t="str">
        <f>VLOOKUP(Table1_2[[#This Row],[Categories]],Sheet3!$A$1:$B$27,2,FALSE)</f>
        <v>Clothing and footwear</v>
      </c>
    </row>
    <row r="8101" spans="1:7" x14ac:dyDescent="0.3">
      <c r="A8101" t="s">
        <v>33</v>
      </c>
      <c r="B8101">
        <v>2021</v>
      </c>
      <c r="C8101" t="s">
        <v>41</v>
      </c>
      <c r="D8101" s="2">
        <v>44409</v>
      </c>
      <c r="E8101" t="s">
        <v>20</v>
      </c>
      <c r="F8101">
        <v>162.1</v>
      </c>
      <c r="G8101" t="str">
        <f>VLOOKUP(Table1_2[[#This Row],[Categories]],Sheet3!$A$1:$B$27,2,FALSE)</f>
        <v>Housing</v>
      </c>
    </row>
    <row r="8102" spans="1:7" x14ac:dyDescent="0.3">
      <c r="A8102" t="s">
        <v>33</v>
      </c>
      <c r="B8102">
        <v>2021</v>
      </c>
      <c r="C8102" t="s">
        <v>41</v>
      </c>
      <c r="D8102" s="2">
        <v>44409</v>
      </c>
      <c r="E8102" t="s">
        <v>21</v>
      </c>
      <c r="F8102">
        <v>160.69999999999999</v>
      </c>
      <c r="G8102" t="str">
        <f>VLOOKUP(Table1_2[[#This Row],[Categories]],Sheet3!$A$1:$B$27,2,FALSE)</f>
        <v>Fuel and light</v>
      </c>
    </row>
    <row r="8103" spans="1:7" x14ac:dyDescent="0.3">
      <c r="A8103" t="s">
        <v>33</v>
      </c>
      <c r="B8103">
        <v>2021</v>
      </c>
      <c r="C8103" t="s">
        <v>41</v>
      </c>
      <c r="D8103" s="2">
        <v>44409</v>
      </c>
      <c r="E8103" t="s">
        <v>22</v>
      </c>
      <c r="F8103">
        <v>153.19999999999999</v>
      </c>
      <c r="G8103" t="str">
        <f>VLOOKUP(Table1_2[[#This Row],[Categories]],Sheet3!$A$1:$B$27,2,FALSE)</f>
        <v>Household Items</v>
      </c>
    </row>
    <row r="8104" spans="1:7" x14ac:dyDescent="0.3">
      <c r="A8104" t="s">
        <v>33</v>
      </c>
      <c r="B8104">
        <v>2021</v>
      </c>
      <c r="C8104" t="s">
        <v>41</v>
      </c>
      <c r="D8104" s="2">
        <v>44409</v>
      </c>
      <c r="E8104" t="s">
        <v>23</v>
      </c>
      <c r="F8104">
        <v>162.80000000000001</v>
      </c>
      <c r="G8104" t="str">
        <f>VLOOKUP(Table1_2[[#This Row],[Categories]],Sheet3!$A$1:$B$27,2,FALSE)</f>
        <v>Health</v>
      </c>
    </row>
    <row r="8105" spans="1:7" x14ac:dyDescent="0.3">
      <c r="A8105" t="s">
        <v>33</v>
      </c>
      <c r="B8105">
        <v>2021</v>
      </c>
      <c r="C8105" t="s">
        <v>41</v>
      </c>
      <c r="D8105" s="2">
        <v>44409</v>
      </c>
      <c r="E8105" t="s">
        <v>24</v>
      </c>
      <c r="F8105">
        <v>150.4</v>
      </c>
      <c r="G8105" t="str">
        <f>VLOOKUP(Table1_2[[#This Row],[Categories]],Sheet3!$A$1:$B$27,2,FALSE)</f>
        <v>Transport and communication</v>
      </c>
    </row>
    <row r="8106" spans="1:7" x14ac:dyDescent="0.3">
      <c r="A8106" t="s">
        <v>33</v>
      </c>
      <c r="B8106">
        <v>2021</v>
      </c>
      <c r="C8106" t="s">
        <v>41</v>
      </c>
      <c r="D8106" s="2">
        <v>44409</v>
      </c>
      <c r="E8106" t="s">
        <v>25</v>
      </c>
      <c r="F8106">
        <v>153.69999999999999</v>
      </c>
      <c r="G8106" t="str">
        <f>VLOOKUP(Table1_2[[#This Row],[Categories]],Sheet3!$A$1:$B$27,2,FALSE)</f>
        <v>Recreation and amusement</v>
      </c>
    </row>
    <row r="8107" spans="1:7" x14ac:dyDescent="0.3">
      <c r="A8107" t="s">
        <v>33</v>
      </c>
      <c r="B8107">
        <v>2021</v>
      </c>
      <c r="C8107" t="s">
        <v>41</v>
      </c>
      <c r="D8107" s="2">
        <v>44409</v>
      </c>
      <c r="E8107" t="s">
        <v>26</v>
      </c>
      <c r="F8107">
        <v>160.4</v>
      </c>
      <c r="G8107" t="str">
        <f>VLOOKUP(Table1_2[[#This Row],[Categories]],Sheet3!$A$1:$B$27,2,FALSE)</f>
        <v>Education</v>
      </c>
    </row>
    <row r="8108" spans="1:7" x14ac:dyDescent="0.3">
      <c r="A8108" t="s">
        <v>33</v>
      </c>
      <c r="B8108">
        <v>2021</v>
      </c>
      <c r="C8108" t="s">
        <v>41</v>
      </c>
      <c r="D8108" s="2">
        <v>44409</v>
      </c>
      <c r="E8108" t="s">
        <v>27</v>
      </c>
      <c r="F8108">
        <v>159.6</v>
      </c>
      <c r="G8108" t="str">
        <f>VLOOKUP(Table1_2[[#This Row],[Categories]],Sheet3!$A$1:$B$27,2,FALSE)</f>
        <v>Household Items</v>
      </c>
    </row>
    <row r="8109" spans="1:7" x14ac:dyDescent="0.3">
      <c r="A8109" t="s">
        <v>33</v>
      </c>
      <c r="B8109">
        <v>2021</v>
      </c>
      <c r="C8109" t="s">
        <v>41</v>
      </c>
      <c r="D8109" s="2">
        <v>44409</v>
      </c>
      <c r="E8109" t="s">
        <v>28</v>
      </c>
      <c r="F8109">
        <v>156</v>
      </c>
      <c r="G8109" t="str">
        <f>VLOOKUP(Table1_2[[#This Row],[Categories]],Sheet3!$A$1:$B$27,2,FALSE)</f>
        <v>Miscellaneous</v>
      </c>
    </row>
    <row r="8110" spans="1:7" x14ac:dyDescent="0.3">
      <c r="A8110" t="s">
        <v>33</v>
      </c>
      <c r="B8110">
        <v>2021</v>
      </c>
      <c r="C8110" t="s">
        <v>41</v>
      </c>
      <c r="D8110" s="2">
        <v>44409</v>
      </c>
      <c r="E8110" t="s">
        <v>29</v>
      </c>
      <c r="F8110">
        <v>162.30000000000001</v>
      </c>
      <c r="G8110" t="str">
        <f>VLOOKUP(Table1_2[[#This Row],[Categories]],Sheet3!$A$1:$B$27,2,FALSE)</f>
        <v>General index</v>
      </c>
    </row>
    <row r="8111" spans="1:7" x14ac:dyDescent="0.3">
      <c r="A8111" t="s">
        <v>34</v>
      </c>
      <c r="B8111">
        <v>2021</v>
      </c>
      <c r="C8111" t="s">
        <v>41</v>
      </c>
      <c r="D8111" s="2">
        <v>44409</v>
      </c>
      <c r="E8111" t="s">
        <v>3</v>
      </c>
      <c r="F8111">
        <v>146.6</v>
      </c>
      <c r="G8111" t="str">
        <f>VLOOKUP(Table1_2[[#This Row],[Categories]],Sheet3!$A$1:$B$27,2,FALSE)</f>
        <v>Food &amp;Beverage</v>
      </c>
    </row>
    <row r="8112" spans="1:7" x14ac:dyDescent="0.3">
      <c r="A8112" t="s">
        <v>34</v>
      </c>
      <c r="B8112">
        <v>2021</v>
      </c>
      <c r="C8112" t="s">
        <v>41</v>
      </c>
      <c r="D8112" s="2">
        <v>44409</v>
      </c>
      <c r="E8112" t="s">
        <v>4</v>
      </c>
      <c r="F8112">
        <v>204</v>
      </c>
      <c r="G8112" t="str">
        <f>VLOOKUP(Table1_2[[#This Row],[Categories]],Sheet3!$A$1:$B$27,2,FALSE)</f>
        <v>Food &amp;Beverage</v>
      </c>
    </row>
    <row r="8113" spans="1:7" x14ac:dyDescent="0.3">
      <c r="A8113" t="s">
        <v>34</v>
      </c>
      <c r="B8113">
        <v>2021</v>
      </c>
      <c r="C8113" t="s">
        <v>41</v>
      </c>
      <c r="D8113" s="2">
        <v>44409</v>
      </c>
      <c r="E8113" t="s">
        <v>5</v>
      </c>
      <c r="F8113">
        <v>172.8</v>
      </c>
      <c r="G8113" t="str">
        <f>VLOOKUP(Table1_2[[#This Row],[Categories]],Sheet3!$A$1:$B$27,2,FALSE)</f>
        <v>Food &amp;Beverage</v>
      </c>
    </row>
    <row r="8114" spans="1:7" x14ac:dyDescent="0.3">
      <c r="A8114" t="s">
        <v>34</v>
      </c>
      <c r="B8114">
        <v>2021</v>
      </c>
      <c r="C8114" t="s">
        <v>41</v>
      </c>
      <c r="D8114" s="2">
        <v>44409</v>
      </c>
      <c r="E8114" t="s">
        <v>6</v>
      </c>
      <c r="F8114">
        <v>158.4</v>
      </c>
      <c r="G8114" t="str">
        <f>VLOOKUP(Table1_2[[#This Row],[Categories]],Sheet3!$A$1:$B$27,2,FALSE)</f>
        <v>Food &amp;Beverage</v>
      </c>
    </row>
    <row r="8115" spans="1:7" x14ac:dyDescent="0.3">
      <c r="A8115" t="s">
        <v>34</v>
      </c>
      <c r="B8115">
        <v>2021</v>
      </c>
      <c r="C8115" t="s">
        <v>41</v>
      </c>
      <c r="D8115" s="2">
        <v>44409</v>
      </c>
      <c r="E8115" t="s">
        <v>7</v>
      </c>
      <c r="F8115">
        <v>188</v>
      </c>
      <c r="G8115" t="str">
        <f>VLOOKUP(Table1_2[[#This Row],[Categories]],Sheet3!$A$1:$B$27,2,FALSE)</f>
        <v>Food &amp;Beverage</v>
      </c>
    </row>
    <row r="8116" spans="1:7" x14ac:dyDescent="0.3">
      <c r="A8116" t="s">
        <v>34</v>
      </c>
      <c r="B8116">
        <v>2021</v>
      </c>
      <c r="C8116" t="s">
        <v>41</v>
      </c>
      <c r="D8116" s="2">
        <v>44409</v>
      </c>
      <c r="E8116" t="s">
        <v>8</v>
      </c>
      <c r="F8116">
        <v>156.80000000000001</v>
      </c>
      <c r="G8116" t="str">
        <f>VLOOKUP(Table1_2[[#This Row],[Categories]],Sheet3!$A$1:$B$27,2,FALSE)</f>
        <v>Food &amp;Beverage</v>
      </c>
    </row>
    <row r="8117" spans="1:7" x14ac:dyDescent="0.3">
      <c r="A8117" t="s">
        <v>34</v>
      </c>
      <c r="B8117">
        <v>2021</v>
      </c>
      <c r="C8117" t="s">
        <v>41</v>
      </c>
      <c r="D8117" s="2">
        <v>44409</v>
      </c>
      <c r="E8117" t="s">
        <v>9</v>
      </c>
      <c r="F8117">
        <v>162.19999999999999</v>
      </c>
      <c r="G8117" t="str">
        <f>VLOOKUP(Table1_2[[#This Row],[Categories]],Sheet3!$A$1:$B$27,2,FALSE)</f>
        <v>Food &amp;Beverage</v>
      </c>
    </row>
    <row r="8118" spans="1:7" x14ac:dyDescent="0.3">
      <c r="A8118" t="s">
        <v>34</v>
      </c>
      <c r="B8118">
        <v>2021</v>
      </c>
      <c r="C8118" t="s">
        <v>41</v>
      </c>
      <c r="D8118" s="2">
        <v>44409</v>
      </c>
      <c r="E8118" t="s">
        <v>10</v>
      </c>
      <c r="F8118">
        <v>164.1</v>
      </c>
      <c r="G8118" t="str">
        <f>VLOOKUP(Table1_2[[#This Row],[Categories]],Sheet3!$A$1:$B$27,2,FALSE)</f>
        <v>Food &amp;Beverage</v>
      </c>
    </row>
    <row r="8119" spans="1:7" x14ac:dyDescent="0.3">
      <c r="A8119" t="s">
        <v>34</v>
      </c>
      <c r="B8119">
        <v>2021</v>
      </c>
      <c r="C8119" t="s">
        <v>41</v>
      </c>
      <c r="D8119" s="2">
        <v>44409</v>
      </c>
      <c r="E8119" t="s">
        <v>11</v>
      </c>
      <c r="F8119">
        <v>119.7</v>
      </c>
      <c r="G8119" t="str">
        <f>VLOOKUP(Table1_2[[#This Row],[Categories]],Sheet3!$A$1:$B$27,2,FALSE)</f>
        <v>Food &amp;Beverage</v>
      </c>
    </row>
    <row r="8120" spans="1:7" x14ac:dyDescent="0.3">
      <c r="A8120" t="s">
        <v>34</v>
      </c>
      <c r="B8120">
        <v>2021</v>
      </c>
      <c r="C8120" t="s">
        <v>41</v>
      </c>
      <c r="D8120" s="2">
        <v>44409</v>
      </c>
      <c r="E8120" t="s">
        <v>12</v>
      </c>
      <c r="F8120">
        <v>168.8</v>
      </c>
      <c r="G8120" t="str">
        <f>VLOOKUP(Table1_2[[#This Row],[Categories]],Sheet3!$A$1:$B$27,2,FALSE)</f>
        <v>Food &amp;Beverage</v>
      </c>
    </row>
    <row r="8121" spans="1:7" x14ac:dyDescent="0.3">
      <c r="A8121" t="s">
        <v>34</v>
      </c>
      <c r="B8121">
        <v>2021</v>
      </c>
      <c r="C8121" t="s">
        <v>41</v>
      </c>
      <c r="D8121" s="2">
        <v>44409</v>
      </c>
      <c r="E8121" t="s">
        <v>13</v>
      </c>
      <c r="F8121">
        <v>162.69999999999999</v>
      </c>
      <c r="G8121" t="str">
        <f>VLOOKUP(Table1_2[[#This Row],[Categories]],Sheet3!$A$1:$B$27,2,FALSE)</f>
        <v>Food &amp;Beverage</v>
      </c>
    </row>
    <row r="8122" spans="1:7" x14ac:dyDescent="0.3">
      <c r="A8122" t="s">
        <v>34</v>
      </c>
      <c r="B8122">
        <v>2021</v>
      </c>
      <c r="C8122" t="s">
        <v>41</v>
      </c>
      <c r="D8122" s="2">
        <v>44409</v>
      </c>
      <c r="E8122" t="s">
        <v>14</v>
      </c>
      <c r="F8122">
        <v>173.9</v>
      </c>
      <c r="G8122" t="str">
        <f>VLOOKUP(Table1_2[[#This Row],[Categories]],Sheet3!$A$1:$B$27,2,FALSE)</f>
        <v>Food &amp;Beverage</v>
      </c>
    </row>
    <row r="8123" spans="1:7" x14ac:dyDescent="0.3">
      <c r="A8123" t="s">
        <v>34</v>
      </c>
      <c r="B8123">
        <v>2021</v>
      </c>
      <c r="C8123" t="s">
        <v>41</v>
      </c>
      <c r="D8123" s="2">
        <v>44409</v>
      </c>
      <c r="E8123" t="s">
        <v>15</v>
      </c>
      <c r="F8123">
        <v>164</v>
      </c>
      <c r="G8123" t="str">
        <f>VLOOKUP(Table1_2[[#This Row],[Categories]],Sheet3!$A$1:$B$27,2,FALSE)</f>
        <v>Food &amp;Beverage</v>
      </c>
    </row>
    <row r="8124" spans="1:7" x14ac:dyDescent="0.3">
      <c r="A8124" t="s">
        <v>34</v>
      </c>
      <c r="B8124">
        <v>2021</v>
      </c>
      <c r="C8124" t="s">
        <v>41</v>
      </c>
      <c r="D8124" s="2">
        <v>44409</v>
      </c>
      <c r="E8124" t="s">
        <v>16</v>
      </c>
      <c r="F8124">
        <v>192.1</v>
      </c>
      <c r="G8124" t="str">
        <f>VLOOKUP(Table1_2[[#This Row],[Categories]],Sheet3!$A$1:$B$27,2,FALSE)</f>
        <v>Recreation and amusement</v>
      </c>
    </row>
    <row r="8125" spans="1:7" x14ac:dyDescent="0.3">
      <c r="A8125" t="s">
        <v>34</v>
      </c>
      <c r="B8125">
        <v>2021</v>
      </c>
      <c r="C8125" t="s">
        <v>41</v>
      </c>
      <c r="D8125" s="2">
        <v>44409</v>
      </c>
      <c r="E8125" t="s">
        <v>17</v>
      </c>
      <c r="F8125">
        <v>164.5</v>
      </c>
      <c r="G8125" t="str">
        <f>VLOOKUP(Table1_2[[#This Row],[Categories]],Sheet3!$A$1:$B$27,2,FALSE)</f>
        <v>Clothing and footwear</v>
      </c>
    </row>
    <row r="8126" spans="1:7" x14ac:dyDescent="0.3">
      <c r="A8126" t="s">
        <v>34</v>
      </c>
      <c r="B8126">
        <v>2021</v>
      </c>
      <c r="C8126" t="s">
        <v>41</v>
      </c>
      <c r="D8126" s="2">
        <v>44409</v>
      </c>
      <c r="E8126" t="s">
        <v>18</v>
      </c>
      <c r="F8126">
        <v>155.30000000000001</v>
      </c>
      <c r="G8126" t="str">
        <f>VLOOKUP(Table1_2[[#This Row],[Categories]],Sheet3!$A$1:$B$27,2,FALSE)</f>
        <v>Clothing and footwear</v>
      </c>
    </row>
    <row r="8127" spans="1:7" x14ac:dyDescent="0.3">
      <c r="A8127" t="s">
        <v>34</v>
      </c>
      <c r="B8127">
        <v>2021</v>
      </c>
      <c r="C8127" t="s">
        <v>41</v>
      </c>
      <c r="D8127" s="2">
        <v>44409</v>
      </c>
      <c r="E8127" t="s">
        <v>19</v>
      </c>
      <c r="F8127">
        <v>163.19999999999999</v>
      </c>
      <c r="G8127" t="str">
        <f>VLOOKUP(Table1_2[[#This Row],[Categories]],Sheet3!$A$1:$B$27,2,FALSE)</f>
        <v>Clothing and footwear</v>
      </c>
    </row>
    <row r="8128" spans="1:7" x14ac:dyDescent="0.3">
      <c r="A8128" t="s">
        <v>34</v>
      </c>
      <c r="B8128">
        <v>2021</v>
      </c>
      <c r="C8128" t="s">
        <v>41</v>
      </c>
      <c r="D8128" s="2">
        <v>44409</v>
      </c>
      <c r="E8128" t="s">
        <v>20</v>
      </c>
      <c r="F8128">
        <v>162.1</v>
      </c>
      <c r="G8128" t="str">
        <f>VLOOKUP(Table1_2[[#This Row],[Categories]],Sheet3!$A$1:$B$27,2,FALSE)</f>
        <v>Housing</v>
      </c>
    </row>
    <row r="8129" spans="1:7" x14ac:dyDescent="0.3">
      <c r="A8129" t="s">
        <v>34</v>
      </c>
      <c r="B8129">
        <v>2021</v>
      </c>
      <c r="C8129" t="s">
        <v>41</v>
      </c>
      <c r="D8129" s="2">
        <v>44409</v>
      </c>
      <c r="E8129" t="s">
        <v>21</v>
      </c>
      <c r="F8129">
        <v>162.6</v>
      </c>
      <c r="G8129" t="str">
        <f>VLOOKUP(Table1_2[[#This Row],[Categories]],Sheet3!$A$1:$B$27,2,FALSE)</f>
        <v>Fuel and light</v>
      </c>
    </row>
    <row r="8130" spans="1:7" x14ac:dyDescent="0.3">
      <c r="A8130" t="s">
        <v>34</v>
      </c>
      <c r="B8130">
        <v>2021</v>
      </c>
      <c r="C8130" t="s">
        <v>41</v>
      </c>
      <c r="D8130" s="2">
        <v>44409</v>
      </c>
      <c r="E8130" t="s">
        <v>22</v>
      </c>
      <c r="F8130">
        <v>157.5</v>
      </c>
      <c r="G8130" t="str">
        <f>VLOOKUP(Table1_2[[#This Row],[Categories]],Sheet3!$A$1:$B$27,2,FALSE)</f>
        <v>Household Items</v>
      </c>
    </row>
    <row r="8131" spans="1:7" x14ac:dyDescent="0.3">
      <c r="A8131" t="s">
        <v>34</v>
      </c>
      <c r="B8131">
        <v>2021</v>
      </c>
      <c r="C8131" t="s">
        <v>41</v>
      </c>
      <c r="D8131" s="2">
        <v>44409</v>
      </c>
      <c r="E8131" t="s">
        <v>23</v>
      </c>
      <c r="F8131">
        <v>168.4</v>
      </c>
      <c r="G8131" t="str">
        <f>VLOOKUP(Table1_2[[#This Row],[Categories]],Sheet3!$A$1:$B$27,2,FALSE)</f>
        <v>Health</v>
      </c>
    </row>
    <row r="8132" spans="1:7" x14ac:dyDescent="0.3">
      <c r="A8132" t="s">
        <v>34</v>
      </c>
      <c r="B8132">
        <v>2021</v>
      </c>
      <c r="C8132" t="s">
        <v>41</v>
      </c>
      <c r="D8132" s="2">
        <v>44409</v>
      </c>
      <c r="E8132" t="s">
        <v>24</v>
      </c>
      <c r="F8132">
        <v>154</v>
      </c>
      <c r="G8132" t="str">
        <f>VLOOKUP(Table1_2[[#This Row],[Categories]],Sheet3!$A$1:$B$27,2,FALSE)</f>
        <v>Transport and communication</v>
      </c>
    </row>
    <row r="8133" spans="1:7" x14ac:dyDescent="0.3">
      <c r="A8133" t="s">
        <v>34</v>
      </c>
      <c r="B8133">
        <v>2021</v>
      </c>
      <c r="C8133" t="s">
        <v>41</v>
      </c>
      <c r="D8133" s="2">
        <v>44409</v>
      </c>
      <c r="E8133" t="s">
        <v>25</v>
      </c>
      <c r="F8133">
        <v>157.6</v>
      </c>
      <c r="G8133" t="str">
        <f>VLOOKUP(Table1_2[[#This Row],[Categories]],Sheet3!$A$1:$B$27,2,FALSE)</f>
        <v>Recreation and amusement</v>
      </c>
    </row>
    <row r="8134" spans="1:7" x14ac:dyDescent="0.3">
      <c r="A8134" t="s">
        <v>34</v>
      </c>
      <c r="B8134">
        <v>2021</v>
      </c>
      <c r="C8134" t="s">
        <v>41</v>
      </c>
      <c r="D8134" s="2">
        <v>44409</v>
      </c>
      <c r="E8134" t="s">
        <v>26</v>
      </c>
      <c r="F8134">
        <v>163.80000000000001</v>
      </c>
      <c r="G8134" t="str">
        <f>VLOOKUP(Table1_2[[#This Row],[Categories]],Sheet3!$A$1:$B$27,2,FALSE)</f>
        <v>Education</v>
      </c>
    </row>
    <row r="8135" spans="1:7" x14ac:dyDescent="0.3">
      <c r="A8135" t="s">
        <v>34</v>
      </c>
      <c r="B8135">
        <v>2021</v>
      </c>
      <c r="C8135" t="s">
        <v>41</v>
      </c>
      <c r="D8135" s="2">
        <v>44409</v>
      </c>
      <c r="E8135" t="s">
        <v>27</v>
      </c>
      <c r="F8135">
        <v>160</v>
      </c>
      <c r="G8135" t="str">
        <f>VLOOKUP(Table1_2[[#This Row],[Categories]],Sheet3!$A$1:$B$27,2,FALSE)</f>
        <v>Household Items</v>
      </c>
    </row>
    <row r="8136" spans="1:7" x14ac:dyDescent="0.3">
      <c r="A8136" t="s">
        <v>34</v>
      </c>
      <c r="B8136">
        <v>2021</v>
      </c>
      <c r="C8136" t="s">
        <v>41</v>
      </c>
      <c r="D8136" s="2">
        <v>44409</v>
      </c>
      <c r="E8136" t="s">
        <v>28</v>
      </c>
      <c r="F8136">
        <v>160</v>
      </c>
      <c r="G8136" t="str">
        <f>VLOOKUP(Table1_2[[#This Row],[Categories]],Sheet3!$A$1:$B$27,2,FALSE)</f>
        <v>Miscellaneous</v>
      </c>
    </row>
    <row r="8137" spans="1:7" x14ac:dyDescent="0.3">
      <c r="A8137" t="s">
        <v>34</v>
      </c>
      <c r="B8137">
        <v>2021</v>
      </c>
      <c r="C8137" t="s">
        <v>41</v>
      </c>
      <c r="D8137" s="2">
        <v>44409</v>
      </c>
      <c r="E8137" t="s">
        <v>29</v>
      </c>
      <c r="F8137">
        <v>163.19999999999999</v>
      </c>
      <c r="G8137" t="str">
        <f>VLOOKUP(Table1_2[[#This Row],[Categories]],Sheet3!$A$1:$B$27,2,FALSE)</f>
        <v>General index</v>
      </c>
    </row>
    <row r="8138" spans="1:7" x14ac:dyDescent="0.3">
      <c r="A8138" t="s">
        <v>30</v>
      </c>
      <c r="B8138">
        <v>2021</v>
      </c>
      <c r="C8138" t="s">
        <v>42</v>
      </c>
      <c r="D8138" s="2">
        <v>44440</v>
      </c>
      <c r="E8138" t="s">
        <v>3</v>
      </c>
      <c r="F8138">
        <v>145.4</v>
      </c>
      <c r="G8138" t="str">
        <f>VLOOKUP(Table1_2[[#This Row],[Categories]],Sheet3!$A$1:$B$27,2,FALSE)</f>
        <v>Food &amp;Beverage</v>
      </c>
    </row>
    <row r="8139" spans="1:7" x14ac:dyDescent="0.3">
      <c r="A8139" t="s">
        <v>30</v>
      </c>
      <c r="B8139">
        <v>2021</v>
      </c>
      <c r="C8139" t="s">
        <v>42</v>
      </c>
      <c r="D8139" s="2">
        <v>44440</v>
      </c>
      <c r="E8139" t="s">
        <v>4</v>
      </c>
      <c r="F8139">
        <v>202.1</v>
      </c>
      <c r="G8139" t="str">
        <f>VLOOKUP(Table1_2[[#This Row],[Categories]],Sheet3!$A$1:$B$27,2,FALSE)</f>
        <v>Food &amp;Beverage</v>
      </c>
    </row>
    <row r="8140" spans="1:7" x14ac:dyDescent="0.3">
      <c r="A8140" t="s">
        <v>30</v>
      </c>
      <c r="B8140">
        <v>2021</v>
      </c>
      <c r="C8140" t="s">
        <v>42</v>
      </c>
      <c r="D8140" s="2">
        <v>44440</v>
      </c>
      <c r="E8140" t="s">
        <v>5</v>
      </c>
      <c r="F8140">
        <v>172</v>
      </c>
      <c r="G8140" t="str">
        <f>VLOOKUP(Table1_2[[#This Row],[Categories]],Sheet3!$A$1:$B$27,2,FALSE)</f>
        <v>Food &amp;Beverage</v>
      </c>
    </row>
    <row r="8141" spans="1:7" x14ac:dyDescent="0.3">
      <c r="A8141" t="s">
        <v>30</v>
      </c>
      <c r="B8141">
        <v>2021</v>
      </c>
      <c r="C8141" t="s">
        <v>42</v>
      </c>
      <c r="D8141" s="2">
        <v>44440</v>
      </c>
      <c r="E8141" t="s">
        <v>6</v>
      </c>
      <c r="F8141">
        <v>158</v>
      </c>
      <c r="G8141" t="str">
        <f>VLOOKUP(Table1_2[[#This Row],[Categories]],Sheet3!$A$1:$B$27,2,FALSE)</f>
        <v>Food &amp;Beverage</v>
      </c>
    </row>
    <row r="8142" spans="1:7" x14ac:dyDescent="0.3">
      <c r="A8142" t="s">
        <v>30</v>
      </c>
      <c r="B8142">
        <v>2021</v>
      </c>
      <c r="C8142" t="s">
        <v>42</v>
      </c>
      <c r="D8142" s="2">
        <v>44440</v>
      </c>
      <c r="E8142" t="s">
        <v>7</v>
      </c>
      <c r="F8142">
        <v>195.5</v>
      </c>
      <c r="G8142" t="str">
        <f>VLOOKUP(Table1_2[[#This Row],[Categories]],Sheet3!$A$1:$B$27,2,FALSE)</f>
        <v>Food &amp;Beverage</v>
      </c>
    </row>
    <row r="8143" spans="1:7" x14ac:dyDescent="0.3">
      <c r="A8143" t="s">
        <v>30</v>
      </c>
      <c r="B8143">
        <v>2021</v>
      </c>
      <c r="C8143" t="s">
        <v>42</v>
      </c>
      <c r="D8143" s="2">
        <v>44440</v>
      </c>
      <c r="E8143" t="s">
        <v>8</v>
      </c>
      <c r="F8143">
        <v>152.69999999999999</v>
      </c>
      <c r="G8143" t="str">
        <f>VLOOKUP(Table1_2[[#This Row],[Categories]],Sheet3!$A$1:$B$27,2,FALSE)</f>
        <v>Food &amp;Beverage</v>
      </c>
    </row>
    <row r="8144" spans="1:7" x14ac:dyDescent="0.3">
      <c r="A8144" t="s">
        <v>30</v>
      </c>
      <c r="B8144">
        <v>2021</v>
      </c>
      <c r="C8144" t="s">
        <v>42</v>
      </c>
      <c r="D8144" s="2">
        <v>44440</v>
      </c>
      <c r="E8144" t="s">
        <v>9</v>
      </c>
      <c r="F8144">
        <v>151.4</v>
      </c>
      <c r="G8144" t="str">
        <f>VLOOKUP(Table1_2[[#This Row],[Categories]],Sheet3!$A$1:$B$27,2,FALSE)</f>
        <v>Food &amp;Beverage</v>
      </c>
    </row>
    <row r="8145" spans="1:7" x14ac:dyDescent="0.3">
      <c r="A8145" t="s">
        <v>30</v>
      </c>
      <c r="B8145">
        <v>2021</v>
      </c>
      <c r="C8145" t="s">
        <v>42</v>
      </c>
      <c r="D8145" s="2">
        <v>44440</v>
      </c>
      <c r="E8145" t="s">
        <v>10</v>
      </c>
      <c r="F8145">
        <v>163.9</v>
      </c>
      <c r="G8145" t="str">
        <f>VLOOKUP(Table1_2[[#This Row],[Categories]],Sheet3!$A$1:$B$27,2,FALSE)</f>
        <v>Food &amp;Beverage</v>
      </c>
    </row>
    <row r="8146" spans="1:7" x14ac:dyDescent="0.3">
      <c r="A8146" t="s">
        <v>30</v>
      </c>
      <c r="B8146">
        <v>2021</v>
      </c>
      <c r="C8146" t="s">
        <v>42</v>
      </c>
      <c r="D8146" s="2">
        <v>44440</v>
      </c>
      <c r="E8146" t="s">
        <v>11</v>
      </c>
      <c r="F8146">
        <v>119.3</v>
      </c>
      <c r="G8146" t="str">
        <f>VLOOKUP(Table1_2[[#This Row],[Categories]],Sheet3!$A$1:$B$27,2,FALSE)</f>
        <v>Food &amp;Beverage</v>
      </c>
    </row>
    <row r="8147" spans="1:7" x14ac:dyDescent="0.3">
      <c r="A8147" t="s">
        <v>30</v>
      </c>
      <c r="B8147">
        <v>2021</v>
      </c>
      <c r="C8147" t="s">
        <v>42</v>
      </c>
      <c r="D8147" s="2">
        <v>44440</v>
      </c>
      <c r="E8147" t="s">
        <v>12</v>
      </c>
      <c r="F8147">
        <v>170.1</v>
      </c>
      <c r="G8147" t="str">
        <f>VLOOKUP(Table1_2[[#This Row],[Categories]],Sheet3!$A$1:$B$27,2,FALSE)</f>
        <v>Food &amp;Beverage</v>
      </c>
    </row>
    <row r="8148" spans="1:7" x14ac:dyDescent="0.3">
      <c r="A8148" t="s">
        <v>30</v>
      </c>
      <c r="B8148">
        <v>2021</v>
      </c>
      <c r="C8148" t="s">
        <v>42</v>
      </c>
      <c r="D8148" s="2">
        <v>44440</v>
      </c>
      <c r="E8148" t="s">
        <v>13</v>
      </c>
      <c r="F8148">
        <v>168.3</v>
      </c>
      <c r="G8148" t="str">
        <f>VLOOKUP(Table1_2[[#This Row],[Categories]],Sheet3!$A$1:$B$27,2,FALSE)</f>
        <v>Food &amp;Beverage</v>
      </c>
    </row>
    <row r="8149" spans="1:7" x14ac:dyDescent="0.3">
      <c r="A8149" t="s">
        <v>30</v>
      </c>
      <c r="B8149">
        <v>2021</v>
      </c>
      <c r="C8149" t="s">
        <v>42</v>
      </c>
      <c r="D8149" s="2">
        <v>44440</v>
      </c>
      <c r="E8149" t="s">
        <v>14</v>
      </c>
      <c r="F8149">
        <v>172.8</v>
      </c>
      <c r="G8149" t="str">
        <f>VLOOKUP(Table1_2[[#This Row],[Categories]],Sheet3!$A$1:$B$27,2,FALSE)</f>
        <v>Food &amp;Beverage</v>
      </c>
    </row>
    <row r="8150" spans="1:7" x14ac:dyDescent="0.3">
      <c r="A8150" t="s">
        <v>30</v>
      </c>
      <c r="B8150">
        <v>2021</v>
      </c>
      <c r="C8150" t="s">
        <v>42</v>
      </c>
      <c r="D8150" s="2">
        <v>44440</v>
      </c>
      <c r="E8150" t="s">
        <v>15</v>
      </c>
      <c r="F8150">
        <v>162.1</v>
      </c>
      <c r="G8150" t="str">
        <f>VLOOKUP(Table1_2[[#This Row],[Categories]],Sheet3!$A$1:$B$27,2,FALSE)</f>
        <v>Food &amp;Beverage</v>
      </c>
    </row>
    <row r="8151" spans="1:7" x14ac:dyDescent="0.3">
      <c r="A8151" t="s">
        <v>30</v>
      </c>
      <c r="B8151">
        <v>2021</v>
      </c>
      <c r="C8151" t="s">
        <v>42</v>
      </c>
      <c r="D8151" s="2">
        <v>44440</v>
      </c>
      <c r="E8151" t="s">
        <v>16</v>
      </c>
      <c r="F8151">
        <v>190.5</v>
      </c>
      <c r="G8151" t="str">
        <f>VLOOKUP(Table1_2[[#This Row],[Categories]],Sheet3!$A$1:$B$27,2,FALSE)</f>
        <v>Recreation and amusement</v>
      </c>
    </row>
    <row r="8152" spans="1:7" x14ac:dyDescent="0.3">
      <c r="A8152" t="s">
        <v>30</v>
      </c>
      <c r="B8152">
        <v>2021</v>
      </c>
      <c r="C8152" t="s">
        <v>42</v>
      </c>
      <c r="D8152" s="2">
        <v>44440</v>
      </c>
      <c r="E8152" t="s">
        <v>17</v>
      </c>
      <c r="F8152">
        <v>167.7</v>
      </c>
      <c r="G8152" t="str">
        <f>VLOOKUP(Table1_2[[#This Row],[Categories]],Sheet3!$A$1:$B$27,2,FALSE)</f>
        <v>Clothing and footwear</v>
      </c>
    </row>
    <row r="8153" spans="1:7" x14ac:dyDescent="0.3">
      <c r="A8153" t="s">
        <v>30</v>
      </c>
      <c r="B8153">
        <v>2021</v>
      </c>
      <c r="C8153" t="s">
        <v>42</v>
      </c>
      <c r="D8153" s="2">
        <v>44440</v>
      </c>
      <c r="E8153" t="s">
        <v>18</v>
      </c>
      <c r="F8153">
        <v>163.6</v>
      </c>
      <c r="G8153" t="str">
        <f>VLOOKUP(Table1_2[[#This Row],[Categories]],Sheet3!$A$1:$B$27,2,FALSE)</f>
        <v>Clothing and footwear</v>
      </c>
    </row>
    <row r="8154" spans="1:7" x14ac:dyDescent="0.3">
      <c r="A8154" t="s">
        <v>30</v>
      </c>
      <c r="B8154">
        <v>2021</v>
      </c>
      <c r="C8154" t="s">
        <v>42</v>
      </c>
      <c r="D8154" s="2">
        <v>44440</v>
      </c>
      <c r="E8154" t="s">
        <v>19</v>
      </c>
      <c r="F8154">
        <v>167.1</v>
      </c>
      <c r="G8154" t="str">
        <f>VLOOKUP(Table1_2[[#This Row],[Categories]],Sheet3!$A$1:$B$27,2,FALSE)</f>
        <v>Clothing and footwear</v>
      </c>
    </row>
    <row r="8155" spans="1:7" x14ac:dyDescent="0.3">
      <c r="A8155" t="s">
        <v>30</v>
      </c>
      <c r="B8155">
        <v>2021</v>
      </c>
      <c r="C8155" t="s">
        <v>42</v>
      </c>
      <c r="D8155" s="2">
        <v>44440</v>
      </c>
      <c r="E8155" t="s">
        <v>21</v>
      </c>
      <c r="F8155">
        <v>163.69999999999999</v>
      </c>
      <c r="G8155" t="str">
        <f>VLOOKUP(Table1_2[[#This Row],[Categories]],Sheet3!$A$1:$B$27,2,FALSE)</f>
        <v>Fuel and light</v>
      </c>
    </row>
    <row r="8156" spans="1:7" x14ac:dyDescent="0.3">
      <c r="A8156" t="s">
        <v>30</v>
      </c>
      <c r="B8156">
        <v>2021</v>
      </c>
      <c r="C8156" t="s">
        <v>42</v>
      </c>
      <c r="D8156" s="2">
        <v>44440</v>
      </c>
      <c r="E8156" t="s">
        <v>22</v>
      </c>
      <c r="F8156">
        <v>161.30000000000001</v>
      </c>
      <c r="G8156" t="str">
        <f>VLOOKUP(Table1_2[[#This Row],[Categories]],Sheet3!$A$1:$B$27,2,FALSE)</f>
        <v>Household Items</v>
      </c>
    </row>
    <row r="8157" spans="1:7" x14ac:dyDescent="0.3">
      <c r="A8157" t="s">
        <v>30</v>
      </c>
      <c r="B8157">
        <v>2021</v>
      </c>
      <c r="C8157" t="s">
        <v>42</v>
      </c>
      <c r="D8157" s="2">
        <v>44440</v>
      </c>
      <c r="E8157" t="s">
        <v>23</v>
      </c>
      <c r="F8157">
        <v>171.9</v>
      </c>
      <c r="G8157" t="str">
        <f>VLOOKUP(Table1_2[[#This Row],[Categories]],Sheet3!$A$1:$B$27,2,FALSE)</f>
        <v>Health</v>
      </c>
    </row>
    <row r="8158" spans="1:7" x14ac:dyDescent="0.3">
      <c r="A8158" t="s">
        <v>30</v>
      </c>
      <c r="B8158">
        <v>2021</v>
      </c>
      <c r="C8158" t="s">
        <v>42</v>
      </c>
      <c r="D8158" s="2">
        <v>44440</v>
      </c>
      <c r="E8158" t="s">
        <v>24</v>
      </c>
      <c r="F8158">
        <v>157.80000000000001</v>
      </c>
      <c r="G8158" t="str">
        <f>VLOOKUP(Table1_2[[#This Row],[Categories]],Sheet3!$A$1:$B$27,2,FALSE)</f>
        <v>Transport and communication</v>
      </c>
    </row>
    <row r="8159" spans="1:7" x14ac:dyDescent="0.3">
      <c r="A8159" t="s">
        <v>30</v>
      </c>
      <c r="B8159">
        <v>2021</v>
      </c>
      <c r="C8159" t="s">
        <v>42</v>
      </c>
      <c r="D8159" s="2">
        <v>44440</v>
      </c>
      <c r="E8159" t="s">
        <v>25</v>
      </c>
      <c r="F8159">
        <v>162.69999999999999</v>
      </c>
      <c r="G8159" t="str">
        <f>VLOOKUP(Table1_2[[#This Row],[Categories]],Sheet3!$A$1:$B$27,2,FALSE)</f>
        <v>Recreation and amusement</v>
      </c>
    </row>
    <row r="8160" spans="1:7" x14ac:dyDescent="0.3">
      <c r="A8160" t="s">
        <v>30</v>
      </c>
      <c r="B8160">
        <v>2021</v>
      </c>
      <c r="C8160" t="s">
        <v>42</v>
      </c>
      <c r="D8160" s="2">
        <v>44440</v>
      </c>
      <c r="E8160" t="s">
        <v>26</v>
      </c>
      <c r="F8160">
        <v>168.5</v>
      </c>
      <c r="G8160" t="str">
        <f>VLOOKUP(Table1_2[[#This Row],[Categories]],Sheet3!$A$1:$B$27,2,FALSE)</f>
        <v>Education</v>
      </c>
    </row>
    <row r="8161" spans="1:7" x14ac:dyDescent="0.3">
      <c r="A8161" t="s">
        <v>30</v>
      </c>
      <c r="B8161">
        <v>2021</v>
      </c>
      <c r="C8161" t="s">
        <v>42</v>
      </c>
      <c r="D8161" s="2">
        <v>44440</v>
      </c>
      <c r="E8161" t="s">
        <v>27</v>
      </c>
      <c r="F8161">
        <v>160.19999999999999</v>
      </c>
      <c r="G8161" t="str">
        <f>VLOOKUP(Table1_2[[#This Row],[Categories]],Sheet3!$A$1:$B$27,2,FALSE)</f>
        <v>Household Items</v>
      </c>
    </row>
    <row r="8162" spans="1:7" x14ac:dyDescent="0.3">
      <c r="A8162" t="s">
        <v>30</v>
      </c>
      <c r="B8162">
        <v>2021</v>
      </c>
      <c r="C8162" t="s">
        <v>42</v>
      </c>
      <c r="D8162" s="2">
        <v>44440</v>
      </c>
      <c r="E8162" t="s">
        <v>28</v>
      </c>
      <c r="F8162">
        <v>163.80000000000001</v>
      </c>
      <c r="G8162" t="str">
        <f>VLOOKUP(Table1_2[[#This Row],[Categories]],Sheet3!$A$1:$B$27,2,FALSE)</f>
        <v>Miscellaneous</v>
      </c>
    </row>
    <row r="8163" spans="1:7" x14ac:dyDescent="0.3">
      <c r="A8163" t="s">
        <v>30</v>
      </c>
      <c r="B8163">
        <v>2021</v>
      </c>
      <c r="C8163" t="s">
        <v>42</v>
      </c>
      <c r="D8163" s="2">
        <v>44440</v>
      </c>
      <c r="E8163" t="s">
        <v>29</v>
      </c>
      <c r="F8163">
        <v>164</v>
      </c>
      <c r="G8163" t="str">
        <f>VLOOKUP(Table1_2[[#This Row],[Categories]],Sheet3!$A$1:$B$27,2,FALSE)</f>
        <v>General index</v>
      </c>
    </row>
    <row r="8164" spans="1:7" x14ac:dyDescent="0.3">
      <c r="A8164" t="s">
        <v>33</v>
      </c>
      <c r="B8164">
        <v>2021</v>
      </c>
      <c r="C8164" t="s">
        <v>42</v>
      </c>
      <c r="D8164" s="2">
        <v>44440</v>
      </c>
      <c r="E8164" t="s">
        <v>3</v>
      </c>
      <c r="F8164">
        <v>149.30000000000001</v>
      </c>
      <c r="G8164" t="str">
        <f>VLOOKUP(Table1_2[[#This Row],[Categories]],Sheet3!$A$1:$B$27,2,FALSE)</f>
        <v>Food &amp;Beverage</v>
      </c>
    </row>
    <row r="8165" spans="1:7" x14ac:dyDescent="0.3">
      <c r="A8165" t="s">
        <v>33</v>
      </c>
      <c r="B8165">
        <v>2021</v>
      </c>
      <c r="C8165" t="s">
        <v>42</v>
      </c>
      <c r="D8165" s="2">
        <v>44440</v>
      </c>
      <c r="E8165" t="s">
        <v>4</v>
      </c>
      <c r="F8165">
        <v>207.4</v>
      </c>
      <c r="G8165" t="str">
        <f>VLOOKUP(Table1_2[[#This Row],[Categories]],Sheet3!$A$1:$B$27,2,FALSE)</f>
        <v>Food &amp;Beverage</v>
      </c>
    </row>
    <row r="8166" spans="1:7" x14ac:dyDescent="0.3">
      <c r="A8166" t="s">
        <v>33</v>
      </c>
      <c r="B8166">
        <v>2021</v>
      </c>
      <c r="C8166" t="s">
        <v>42</v>
      </c>
      <c r="D8166" s="2">
        <v>44440</v>
      </c>
      <c r="E8166" t="s">
        <v>5</v>
      </c>
      <c r="F8166">
        <v>174.1</v>
      </c>
      <c r="G8166" t="str">
        <f>VLOOKUP(Table1_2[[#This Row],[Categories]],Sheet3!$A$1:$B$27,2,FALSE)</f>
        <v>Food &amp;Beverage</v>
      </c>
    </row>
    <row r="8167" spans="1:7" x14ac:dyDescent="0.3">
      <c r="A8167" t="s">
        <v>33</v>
      </c>
      <c r="B8167">
        <v>2021</v>
      </c>
      <c r="C8167" t="s">
        <v>42</v>
      </c>
      <c r="D8167" s="2">
        <v>44440</v>
      </c>
      <c r="E8167" t="s">
        <v>6</v>
      </c>
      <c r="F8167">
        <v>159.1</v>
      </c>
      <c r="G8167" t="str">
        <f>VLOOKUP(Table1_2[[#This Row],[Categories]],Sheet3!$A$1:$B$27,2,FALSE)</f>
        <v>Food &amp;Beverage</v>
      </c>
    </row>
    <row r="8168" spans="1:7" x14ac:dyDescent="0.3">
      <c r="A8168" t="s">
        <v>33</v>
      </c>
      <c r="B8168">
        <v>2021</v>
      </c>
      <c r="C8168" t="s">
        <v>42</v>
      </c>
      <c r="D8168" s="2">
        <v>44440</v>
      </c>
      <c r="E8168" t="s">
        <v>7</v>
      </c>
      <c r="F8168">
        <v>175</v>
      </c>
      <c r="G8168" t="str">
        <f>VLOOKUP(Table1_2[[#This Row],[Categories]],Sheet3!$A$1:$B$27,2,FALSE)</f>
        <v>Food &amp;Beverage</v>
      </c>
    </row>
    <row r="8169" spans="1:7" x14ac:dyDescent="0.3">
      <c r="A8169" t="s">
        <v>33</v>
      </c>
      <c r="B8169">
        <v>2021</v>
      </c>
      <c r="C8169" t="s">
        <v>42</v>
      </c>
      <c r="D8169" s="2">
        <v>44440</v>
      </c>
      <c r="E8169" t="s">
        <v>8</v>
      </c>
      <c r="F8169">
        <v>161.19999999999999</v>
      </c>
      <c r="G8169" t="str">
        <f>VLOOKUP(Table1_2[[#This Row],[Categories]],Sheet3!$A$1:$B$27,2,FALSE)</f>
        <v>Food &amp;Beverage</v>
      </c>
    </row>
    <row r="8170" spans="1:7" x14ac:dyDescent="0.3">
      <c r="A8170" t="s">
        <v>33</v>
      </c>
      <c r="B8170">
        <v>2021</v>
      </c>
      <c r="C8170" t="s">
        <v>42</v>
      </c>
      <c r="D8170" s="2">
        <v>44440</v>
      </c>
      <c r="E8170" t="s">
        <v>9</v>
      </c>
      <c r="F8170">
        <v>183.5</v>
      </c>
      <c r="G8170" t="str">
        <f>VLOOKUP(Table1_2[[#This Row],[Categories]],Sheet3!$A$1:$B$27,2,FALSE)</f>
        <v>Food &amp;Beverage</v>
      </c>
    </row>
    <row r="8171" spans="1:7" x14ac:dyDescent="0.3">
      <c r="A8171" t="s">
        <v>33</v>
      </c>
      <c r="B8171">
        <v>2021</v>
      </c>
      <c r="C8171" t="s">
        <v>42</v>
      </c>
      <c r="D8171" s="2">
        <v>44440</v>
      </c>
      <c r="E8171" t="s">
        <v>10</v>
      </c>
      <c r="F8171">
        <v>164.5</v>
      </c>
      <c r="G8171" t="str">
        <f>VLOOKUP(Table1_2[[#This Row],[Categories]],Sheet3!$A$1:$B$27,2,FALSE)</f>
        <v>Food &amp;Beverage</v>
      </c>
    </row>
    <row r="8172" spans="1:7" x14ac:dyDescent="0.3">
      <c r="A8172" t="s">
        <v>33</v>
      </c>
      <c r="B8172">
        <v>2021</v>
      </c>
      <c r="C8172" t="s">
        <v>42</v>
      </c>
      <c r="D8172" s="2">
        <v>44440</v>
      </c>
      <c r="E8172" t="s">
        <v>11</v>
      </c>
      <c r="F8172">
        <v>120.4</v>
      </c>
      <c r="G8172" t="str">
        <f>VLOOKUP(Table1_2[[#This Row],[Categories]],Sheet3!$A$1:$B$27,2,FALSE)</f>
        <v>Food &amp;Beverage</v>
      </c>
    </row>
    <row r="8173" spans="1:7" x14ac:dyDescent="0.3">
      <c r="A8173" t="s">
        <v>33</v>
      </c>
      <c r="B8173">
        <v>2021</v>
      </c>
      <c r="C8173" t="s">
        <v>42</v>
      </c>
      <c r="D8173" s="2">
        <v>44440</v>
      </c>
      <c r="E8173" t="s">
        <v>12</v>
      </c>
      <c r="F8173">
        <v>166.2</v>
      </c>
      <c r="G8173" t="str">
        <f>VLOOKUP(Table1_2[[#This Row],[Categories]],Sheet3!$A$1:$B$27,2,FALSE)</f>
        <v>Food &amp;Beverage</v>
      </c>
    </row>
    <row r="8174" spans="1:7" x14ac:dyDescent="0.3">
      <c r="A8174" t="s">
        <v>33</v>
      </c>
      <c r="B8174">
        <v>2021</v>
      </c>
      <c r="C8174" t="s">
        <v>42</v>
      </c>
      <c r="D8174" s="2">
        <v>44440</v>
      </c>
      <c r="E8174" t="s">
        <v>13</v>
      </c>
      <c r="F8174">
        <v>154.80000000000001</v>
      </c>
      <c r="G8174" t="str">
        <f>VLOOKUP(Table1_2[[#This Row],[Categories]],Sheet3!$A$1:$B$27,2,FALSE)</f>
        <v>Food &amp;Beverage</v>
      </c>
    </row>
    <row r="8175" spans="1:7" x14ac:dyDescent="0.3">
      <c r="A8175" t="s">
        <v>33</v>
      </c>
      <c r="B8175">
        <v>2021</v>
      </c>
      <c r="C8175" t="s">
        <v>42</v>
      </c>
      <c r="D8175" s="2">
        <v>44440</v>
      </c>
      <c r="E8175" t="s">
        <v>14</v>
      </c>
      <c r="F8175">
        <v>175.1</v>
      </c>
      <c r="G8175" t="str">
        <f>VLOOKUP(Table1_2[[#This Row],[Categories]],Sheet3!$A$1:$B$27,2,FALSE)</f>
        <v>Food &amp;Beverage</v>
      </c>
    </row>
    <row r="8176" spans="1:7" x14ac:dyDescent="0.3">
      <c r="A8176" t="s">
        <v>33</v>
      </c>
      <c r="B8176">
        <v>2021</v>
      </c>
      <c r="C8176" t="s">
        <v>42</v>
      </c>
      <c r="D8176" s="2">
        <v>44440</v>
      </c>
      <c r="E8176" t="s">
        <v>15</v>
      </c>
      <c r="F8176">
        <v>167.3</v>
      </c>
      <c r="G8176" t="str">
        <f>VLOOKUP(Table1_2[[#This Row],[Categories]],Sheet3!$A$1:$B$27,2,FALSE)</f>
        <v>Food &amp;Beverage</v>
      </c>
    </row>
    <row r="8177" spans="1:7" x14ac:dyDescent="0.3">
      <c r="A8177" t="s">
        <v>33</v>
      </c>
      <c r="B8177">
        <v>2021</v>
      </c>
      <c r="C8177" t="s">
        <v>42</v>
      </c>
      <c r="D8177" s="2">
        <v>44440</v>
      </c>
      <c r="E8177" t="s">
        <v>16</v>
      </c>
      <c r="F8177">
        <v>196.5</v>
      </c>
      <c r="G8177" t="str">
        <f>VLOOKUP(Table1_2[[#This Row],[Categories]],Sheet3!$A$1:$B$27,2,FALSE)</f>
        <v>Recreation and amusement</v>
      </c>
    </row>
    <row r="8178" spans="1:7" x14ac:dyDescent="0.3">
      <c r="A8178" t="s">
        <v>33</v>
      </c>
      <c r="B8178">
        <v>2021</v>
      </c>
      <c r="C8178" t="s">
        <v>42</v>
      </c>
      <c r="D8178" s="2">
        <v>44440</v>
      </c>
      <c r="E8178" t="s">
        <v>17</v>
      </c>
      <c r="F8178">
        <v>159.80000000000001</v>
      </c>
      <c r="G8178" t="str">
        <f>VLOOKUP(Table1_2[[#This Row],[Categories]],Sheet3!$A$1:$B$27,2,FALSE)</f>
        <v>Clothing and footwear</v>
      </c>
    </row>
    <row r="8179" spans="1:7" x14ac:dyDescent="0.3">
      <c r="A8179" t="s">
        <v>33</v>
      </c>
      <c r="B8179">
        <v>2021</v>
      </c>
      <c r="C8179" t="s">
        <v>42</v>
      </c>
      <c r="D8179" s="2">
        <v>44440</v>
      </c>
      <c r="E8179" t="s">
        <v>18</v>
      </c>
      <c r="F8179">
        <v>143.6</v>
      </c>
      <c r="G8179" t="str">
        <f>VLOOKUP(Table1_2[[#This Row],[Categories]],Sheet3!$A$1:$B$27,2,FALSE)</f>
        <v>Clothing and footwear</v>
      </c>
    </row>
    <row r="8180" spans="1:7" x14ac:dyDescent="0.3">
      <c r="A8180" t="s">
        <v>33</v>
      </c>
      <c r="B8180">
        <v>2021</v>
      </c>
      <c r="C8180" t="s">
        <v>42</v>
      </c>
      <c r="D8180" s="2">
        <v>44440</v>
      </c>
      <c r="E8180" t="s">
        <v>19</v>
      </c>
      <c r="F8180">
        <v>157.4</v>
      </c>
      <c r="G8180" t="str">
        <f>VLOOKUP(Table1_2[[#This Row],[Categories]],Sheet3!$A$1:$B$27,2,FALSE)</f>
        <v>Clothing and footwear</v>
      </c>
    </row>
    <row r="8181" spans="1:7" x14ac:dyDescent="0.3">
      <c r="A8181" t="s">
        <v>33</v>
      </c>
      <c r="B8181">
        <v>2021</v>
      </c>
      <c r="C8181" t="s">
        <v>42</v>
      </c>
      <c r="D8181" s="2">
        <v>44440</v>
      </c>
      <c r="E8181" t="s">
        <v>20</v>
      </c>
      <c r="F8181">
        <v>162.1</v>
      </c>
      <c r="G8181" t="str">
        <f>VLOOKUP(Table1_2[[#This Row],[Categories]],Sheet3!$A$1:$B$27,2,FALSE)</f>
        <v>Housing</v>
      </c>
    </row>
    <row r="8182" spans="1:7" x14ac:dyDescent="0.3">
      <c r="A8182" t="s">
        <v>33</v>
      </c>
      <c r="B8182">
        <v>2021</v>
      </c>
      <c r="C8182" t="s">
        <v>42</v>
      </c>
      <c r="D8182" s="2">
        <v>44440</v>
      </c>
      <c r="E8182" t="s">
        <v>21</v>
      </c>
      <c r="F8182">
        <v>160.80000000000001</v>
      </c>
      <c r="G8182" t="str">
        <f>VLOOKUP(Table1_2[[#This Row],[Categories]],Sheet3!$A$1:$B$27,2,FALSE)</f>
        <v>Fuel and light</v>
      </c>
    </row>
    <row r="8183" spans="1:7" x14ac:dyDescent="0.3">
      <c r="A8183" t="s">
        <v>33</v>
      </c>
      <c r="B8183">
        <v>2021</v>
      </c>
      <c r="C8183" t="s">
        <v>42</v>
      </c>
      <c r="D8183" s="2">
        <v>44440</v>
      </c>
      <c r="E8183" t="s">
        <v>22</v>
      </c>
      <c r="F8183">
        <v>153.30000000000001</v>
      </c>
      <c r="G8183" t="str">
        <f>VLOOKUP(Table1_2[[#This Row],[Categories]],Sheet3!$A$1:$B$27,2,FALSE)</f>
        <v>Household Items</v>
      </c>
    </row>
    <row r="8184" spans="1:7" x14ac:dyDescent="0.3">
      <c r="A8184" t="s">
        <v>33</v>
      </c>
      <c r="B8184">
        <v>2021</v>
      </c>
      <c r="C8184" t="s">
        <v>42</v>
      </c>
      <c r="D8184" s="2">
        <v>44440</v>
      </c>
      <c r="E8184" t="s">
        <v>23</v>
      </c>
      <c r="F8184">
        <v>162.80000000000001</v>
      </c>
      <c r="G8184" t="str">
        <f>VLOOKUP(Table1_2[[#This Row],[Categories]],Sheet3!$A$1:$B$27,2,FALSE)</f>
        <v>Health</v>
      </c>
    </row>
    <row r="8185" spans="1:7" x14ac:dyDescent="0.3">
      <c r="A8185" t="s">
        <v>33</v>
      </c>
      <c r="B8185">
        <v>2021</v>
      </c>
      <c r="C8185" t="s">
        <v>42</v>
      </c>
      <c r="D8185" s="2">
        <v>44440</v>
      </c>
      <c r="E8185" t="s">
        <v>24</v>
      </c>
      <c r="F8185">
        <v>150.5</v>
      </c>
      <c r="G8185" t="str">
        <f>VLOOKUP(Table1_2[[#This Row],[Categories]],Sheet3!$A$1:$B$27,2,FALSE)</f>
        <v>Transport and communication</v>
      </c>
    </row>
    <row r="8186" spans="1:7" x14ac:dyDescent="0.3">
      <c r="A8186" t="s">
        <v>33</v>
      </c>
      <c r="B8186">
        <v>2021</v>
      </c>
      <c r="C8186" t="s">
        <v>42</v>
      </c>
      <c r="D8186" s="2">
        <v>44440</v>
      </c>
      <c r="E8186" t="s">
        <v>25</v>
      </c>
      <c r="F8186">
        <v>153.9</v>
      </c>
      <c r="G8186" t="str">
        <f>VLOOKUP(Table1_2[[#This Row],[Categories]],Sheet3!$A$1:$B$27,2,FALSE)</f>
        <v>Recreation and amusement</v>
      </c>
    </row>
    <row r="8187" spans="1:7" x14ac:dyDescent="0.3">
      <c r="A8187" t="s">
        <v>33</v>
      </c>
      <c r="B8187">
        <v>2021</v>
      </c>
      <c r="C8187" t="s">
        <v>42</v>
      </c>
      <c r="D8187" s="2">
        <v>44440</v>
      </c>
      <c r="E8187" t="s">
        <v>26</v>
      </c>
      <c r="F8187">
        <v>160.30000000000001</v>
      </c>
      <c r="G8187" t="str">
        <f>VLOOKUP(Table1_2[[#This Row],[Categories]],Sheet3!$A$1:$B$27,2,FALSE)</f>
        <v>Education</v>
      </c>
    </row>
    <row r="8188" spans="1:7" x14ac:dyDescent="0.3">
      <c r="A8188" t="s">
        <v>33</v>
      </c>
      <c r="B8188">
        <v>2021</v>
      </c>
      <c r="C8188" t="s">
        <v>42</v>
      </c>
      <c r="D8188" s="2">
        <v>44440</v>
      </c>
      <c r="E8188" t="s">
        <v>27</v>
      </c>
      <c r="F8188">
        <v>159.6</v>
      </c>
      <c r="G8188" t="str">
        <f>VLOOKUP(Table1_2[[#This Row],[Categories]],Sheet3!$A$1:$B$27,2,FALSE)</f>
        <v>Household Items</v>
      </c>
    </row>
    <row r="8189" spans="1:7" x14ac:dyDescent="0.3">
      <c r="A8189" t="s">
        <v>33</v>
      </c>
      <c r="B8189">
        <v>2021</v>
      </c>
      <c r="C8189" t="s">
        <v>42</v>
      </c>
      <c r="D8189" s="2">
        <v>44440</v>
      </c>
      <c r="E8189" t="s">
        <v>28</v>
      </c>
      <c r="F8189">
        <v>156</v>
      </c>
      <c r="G8189" t="str">
        <f>VLOOKUP(Table1_2[[#This Row],[Categories]],Sheet3!$A$1:$B$27,2,FALSE)</f>
        <v>Miscellaneous</v>
      </c>
    </row>
    <row r="8190" spans="1:7" x14ac:dyDescent="0.3">
      <c r="A8190" t="s">
        <v>33</v>
      </c>
      <c r="B8190">
        <v>2021</v>
      </c>
      <c r="C8190" t="s">
        <v>42</v>
      </c>
      <c r="D8190" s="2">
        <v>44440</v>
      </c>
      <c r="E8190" t="s">
        <v>29</v>
      </c>
      <c r="F8190">
        <v>162.30000000000001</v>
      </c>
      <c r="G8190" t="str">
        <f>VLOOKUP(Table1_2[[#This Row],[Categories]],Sheet3!$A$1:$B$27,2,FALSE)</f>
        <v>General index</v>
      </c>
    </row>
    <row r="8191" spans="1:7" x14ac:dyDescent="0.3">
      <c r="A8191" t="s">
        <v>34</v>
      </c>
      <c r="B8191">
        <v>2021</v>
      </c>
      <c r="C8191" t="s">
        <v>42</v>
      </c>
      <c r="D8191" s="2">
        <v>44440</v>
      </c>
      <c r="E8191" t="s">
        <v>3</v>
      </c>
      <c r="F8191">
        <v>146.6</v>
      </c>
      <c r="G8191" t="str">
        <f>VLOOKUP(Table1_2[[#This Row],[Categories]],Sheet3!$A$1:$B$27,2,FALSE)</f>
        <v>Food &amp;Beverage</v>
      </c>
    </row>
    <row r="8192" spans="1:7" x14ac:dyDescent="0.3">
      <c r="A8192" t="s">
        <v>34</v>
      </c>
      <c r="B8192">
        <v>2021</v>
      </c>
      <c r="C8192" t="s">
        <v>42</v>
      </c>
      <c r="D8192" s="2">
        <v>44440</v>
      </c>
      <c r="E8192" t="s">
        <v>4</v>
      </c>
      <c r="F8192">
        <v>204</v>
      </c>
      <c r="G8192" t="str">
        <f>VLOOKUP(Table1_2[[#This Row],[Categories]],Sheet3!$A$1:$B$27,2,FALSE)</f>
        <v>Food &amp;Beverage</v>
      </c>
    </row>
    <row r="8193" spans="1:7" x14ac:dyDescent="0.3">
      <c r="A8193" t="s">
        <v>34</v>
      </c>
      <c r="B8193">
        <v>2021</v>
      </c>
      <c r="C8193" t="s">
        <v>42</v>
      </c>
      <c r="D8193" s="2">
        <v>44440</v>
      </c>
      <c r="E8193" t="s">
        <v>5</v>
      </c>
      <c r="F8193">
        <v>172.8</v>
      </c>
      <c r="G8193" t="str">
        <f>VLOOKUP(Table1_2[[#This Row],[Categories]],Sheet3!$A$1:$B$27,2,FALSE)</f>
        <v>Food &amp;Beverage</v>
      </c>
    </row>
    <row r="8194" spans="1:7" x14ac:dyDescent="0.3">
      <c r="A8194" t="s">
        <v>34</v>
      </c>
      <c r="B8194">
        <v>2021</v>
      </c>
      <c r="C8194" t="s">
        <v>42</v>
      </c>
      <c r="D8194" s="2">
        <v>44440</v>
      </c>
      <c r="E8194" t="s">
        <v>6</v>
      </c>
      <c r="F8194">
        <v>158.4</v>
      </c>
      <c r="G8194" t="str">
        <f>VLOOKUP(Table1_2[[#This Row],[Categories]],Sheet3!$A$1:$B$27,2,FALSE)</f>
        <v>Food &amp;Beverage</v>
      </c>
    </row>
    <row r="8195" spans="1:7" x14ac:dyDescent="0.3">
      <c r="A8195" t="s">
        <v>34</v>
      </c>
      <c r="B8195">
        <v>2021</v>
      </c>
      <c r="C8195" t="s">
        <v>42</v>
      </c>
      <c r="D8195" s="2">
        <v>44440</v>
      </c>
      <c r="E8195" t="s">
        <v>7</v>
      </c>
      <c r="F8195">
        <v>188</v>
      </c>
      <c r="G8195" t="str">
        <f>VLOOKUP(Table1_2[[#This Row],[Categories]],Sheet3!$A$1:$B$27,2,FALSE)</f>
        <v>Food &amp;Beverage</v>
      </c>
    </row>
    <row r="8196" spans="1:7" x14ac:dyDescent="0.3">
      <c r="A8196" t="s">
        <v>34</v>
      </c>
      <c r="B8196">
        <v>2021</v>
      </c>
      <c r="C8196" t="s">
        <v>42</v>
      </c>
      <c r="D8196" s="2">
        <v>44440</v>
      </c>
      <c r="E8196" t="s">
        <v>8</v>
      </c>
      <c r="F8196">
        <v>156.69999999999999</v>
      </c>
      <c r="G8196" t="str">
        <f>VLOOKUP(Table1_2[[#This Row],[Categories]],Sheet3!$A$1:$B$27,2,FALSE)</f>
        <v>Food &amp;Beverage</v>
      </c>
    </row>
    <row r="8197" spans="1:7" x14ac:dyDescent="0.3">
      <c r="A8197" t="s">
        <v>34</v>
      </c>
      <c r="B8197">
        <v>2021</v>
      </c>
      <c r="C8197" t="s">
        <v>42</v>
      </c>
      <c r="D8197" s="2">
        <v>44440</v>
      </c>
      <c r="E8197" t="s">
        <v>9</v>
      </c>
      <c r="F8197">
        <v>162.30000000000001</v>
      </c>
      <c r="G8197" t="str">
        <f>VLOOKUP(Table1_2[[#This Row],[Categories]],Sheet3!$A$1:$B$27,2,FALSE)</f>
        <v>Food &amp;Beverage</v>
      </c>
    </row>
    <row r="8198" spans="1:7" x14ac:dyDescent="0.3">
      <c r="A8198" t="s">
        <v>34</v>
      </c>
      <c r="B8198">
        <v>2021</v>
      </c>
      <c r="C8198" t="s">
        <v>42</v>
      </c>
      <c r="D8198" s="2">
        <v>44440</v>
      </c>
      <c r="E8198" t="s">
        <v>10</v>
      </c>
      <c r="F8198">
        <v>164.1</v>
      </c>
      <c r="G8198" t="str">
        <f>VLOOKUP(Table1_2[[#This Row],[Categories]],Sheet3!$A$1:$B$27,2,FALSE)</f>
        <v>Food &amp;Beverage</v>
      </c>
    </row>
    <row r="8199" spans="1:7" x14ac:dyDescent="0.3">
      <c r="A8199" t="s">
        <v>34</v>
      </c>
      <c r="B8199">
        <v>2021</v>
      </c>
      <c r="C8199" t="s">
        <v>42</v>
      </c>
      <c r="D8199" s="2">
        <v>44440</v>
      </c>
      <c r="E8199" t="s">
        <v>11</v>
      </c>
      <c r="F8199">
        <v>119.7</v>
      </c>
      <c r="G8199" t="str">
        <f>VLOOKUP(Table1_2[[#This Row],[Categories]],Sheet3!$A$1:$B$27,2,FALSE)</f>
        <v>Food &amp;Beverage</v>
      </c>
    </row>
    <row r="8200" spans="1:7" x14ac:dyDescent="0.3">
      <c r="A8200" t="s">
        <v>34</v>
      </c>
      <c r="B8200">
        <v>2021</v>
      </c>
      <c r="C8200" t="s">
        <v>42</v>
      </c>
      <c r="D8200" s="2">
        <v>44440</v>
      </c>
      <c r="E8200" t="s">
        <v>12</v>
      </c>
      <c r="F8200">
        <v>168.8</v>
      </c>
      <c r="G8200" t="str">
        <f>VLOOKUP(Table1_2[[#This Row],[Categories]],Sheet3!$A$1:$B$27,2,FALSE)</f>
        <v>Food &amp;Beverage</v>
      </c>
    </row>
    <row r="8201" spans="1:7" x14ac:dyDescent="0.3">
      <c r="A8201" t="s">
        <v>34</v>
      </c>
      <c r="B8201">
        <v>2021</v>
      </c>
      <c r="C8201" t="s">
        <v>42</v>
      </c>
      <c r="D8201" s="2">
        <v>44440</v>
      </c>
      <c r="E8201" t="s">
        <v>13</v>
      </c>
      <c r="F8201">
        <v>162.69999999999999</v>
      </c>
      <c r="G8201" t="str">
        <f>VLOOKUP(Table1_2[[#This Row],[Categories]],Sheet3!$A$1:$B$27,2,FALSE)</f>
        <v>Food &amp;Beverage</v>
      </c>
    </row>
    <row r="8202" spans="1:7" x14ac:dyDescent="0.3">
      <c r="A8202" t="s">
        <v>34</v>
      </c>
      <c r="B8202">
        <v>2021</v>
      </c>
      <c r="C8202" t="s">
        <v>42</v>
      </c>
      <c r="D8202" s="2">
        <v>44440</v>
      </c>
      <c r="E8202" t="s">
        <v>14</v>
      </c>
      <c r="F8202">
        <v>173.9</v>
      </c>
      <c r="G8202" t="str">
        <f>VLOOKUP(Table1_2[[#This Row],[Categories]],Sheet3!$A$1:$B$27,2,FALSE)</f>
        <v>Food &amp;Beverage</v>
      </c>
    </row>
    <row r="8203" spans="1:7" x14ac:dyDescent="0.3">
      <c r="A8203" t="s">
        <v>34</v>
      </c>
      <c r="B8203">
        <v>2021</v>
      </c>
      <c r="C8203" t="s">
        <v>42</v>
      </c>
      <c r="D8203" s="2">
        <v>44440</v>
      </c>
      <c r="E8203" t="s">
        <v>15</v>
      </c>
      <c r="F8203">
        <v>164</v>
      </c>
      <c r="G8203" t="str">
        <f>VLOOKUP(Table1_2[[#This Row],[Categories]],Sheet3!$A$1:$B$27,2,FALSE)</f>
        <v>Food &amp;Beverage</v>
      </c>
    </row>
    <row r="8204" spans="1:7" x14ac:dyDescent="0.3">
      <c r="A8204" t="s">
        <v>34</v>
      </c>
      <c r="B8204">
        <v>2021</v>
      </c>
      <c r="C8204" t="s">
        <v>42</v>
      </c>
      <c r="D8204" s="2">
        <v>44440</v>
      </c>
      <c r="E8204" t="s">
        <v>16</v>
      </c>
      <c r="F8204">
        <v>192.1</v>
      </c>
      <c r="G8204" t="str">
        <f>VLOOKUP(Table1_2[[#This Row],[Categories]],Sheet3!$A$1:$B$27,2,FALSE)</f>
        <v>Recreation and amusement</v>
      </c>
    </row>
    <row r="8205" spans="1:7" x14ac:dyDescent="0.3">
      <c r="A8205" t="s">
        <v>34</v>
      </c>
      <c r="B8205">
        <v>2021</v>
      </c>
      <c r="C8205" t="s">
        <v>42</v>
      </c>
      <c r="D8205" s="2">
        <v>44440</v>
      </c>
      <c r="E8205" t="s">
        <v>17</v>
      </c>
      <c r="F8205">
        <v>164.6</v>
      </c>
      <c r="G8205" t="str">
        <f>VLOOKUP(Table1_2[[#This Row],[Categories]],Sheet3!$A$1:$B$27,2,FALSE)</f>
        <v>Clothing and footwear</v>
      </c>
    </row>
    <row r="8206" spans="1:7" x14ac:dyDescent="0.3">
      <c r="A8206" t="s">
        <v>34</v>
      </c>
      <c r="B8206">
        <v>2021</v>
      </c>
      <c r="C8206" t="s">
        <v>42</v>
      </c>
      <c r="D8206" s="2">
        <v>44440</v>
      </c>
      <c r="E8206" t="s">
        <v>18</v>
      </c>
      <c r="F8206">
        <v>155.30000000000001</v>
      </c>
      <c r="G8206" t="str">
        <f>VLOOKUP(Table1_2[[#This Row],[Categories]],Sheet3!$A$1:$B$27,2,FALSE)</f>
        <v>Clothing and footwear</v>
      </c>
    </row>
    <row r="8207" spans="1:7" x14ac:dyDescent="0.3">
      <c r="A8207" t="s">
        <v>34</v>
      </c>
      <c r="B8207">
        <v>2021</v>
      </c>
      <c r="C8207" t="s">
        <v>42</v>
      </c>
      <c r="D8207" s="2">
        <v>44440</v>
      </c>
      <c r="E8207" t="s">
        <v>19</v>
      </c>
      <c r="F8207">
        <v>163.30000000000001</v>
      </c>
      <c r="G8207" t="str">
        <f>VLOOKUP(Table1_2[[#This Row],[Categories]],Sheet3!$A$1:$B$27,2,FALSE)</f>
        <v>Clothing and footwear</v>
      </c>
    </row>
    <row r="8208" spans="1:7" x14ac:dyDescent="0.3">
      <c r="A8208" t="s">
        <v>34</v>
      </c>
      <c r="B8208">
        <v>2021</v>
      </c>
      <c r="C8208" t="s">
        <v>42</v>
      </c>
      <c r="D8208" s="2">
        <v>44440</v>
      </c>
      <c r="E8208" t="s">
        <v>20</v>
      </c>
      <c r="F8208">
        <v>162.1</v>
      </c>
      <c r="G8208" t="str">
        <f>VLOOKUP(Table1_2[[#This Row],[Categories]],Sheet3!$A$1:$B$27,2,FALSE)</f>
        <v>Housing</v>
      </c>
    </row>
    <row r="8209" spans="1:7" x14ac:dyDescent="0.3">
      <c r="A8209" t="s">
        <v>34</v>
      </c>
      <c r="B8209">
        <v>2021</v>
      </c>
      <c r="C8209" t="s">
        <v>42</v>
      </c>
      <c r="D8209" s="2">
        <v>44440</v>
      </c>
      <c r="E8209" t="s">
        <v>21</v>
      </c>
      <c r="F8209">
        <v>162.6</v>
      </c>
      <c r="G8209" t="str">
        <f>VLOOKUP(Table1_2[[#This Row],[Categories]],Sheet3!$A$1:$B$27,2,FALSE)</f>
        <v>Fuel and light</v>
      </c>
    </row>
    <row r="8210" spans="1:7" x14ac:dyDescent="0.3">
      <c r="A8210" t="s">
        <v>34</v>
      </c>
      <c r="B8210">
        <v>2021</v>
      </c>
      <c r="C8210" t="s">
        <v>42</v>
      </c>
      <c r="D8210" s="2">
        <v>44440</v>
      </c>
      <c r="E8210" t="s">
        <v>22</v>
      </c>
      <c r="F8210">
        <v>157.5</v>
      </c>
      <c r="G8210" t="str">
        <f>VLOOKUP(Table1_2[[#This Row],[Categories]],Sheet3!$A$1:$B$27,2,FALSE)</f>
        <v>Household Items</v>
      </c>
    </row>
    <row r="8211" spans="1:7" x14ac:dyDescent="0.3">
      <c r="A8211" t="s">
        <v>34</v>
      </c>
      <c r="B8211">
        <v>2021</v>
      </c>
      <c r="C8211" t="s">
        <v>42</v>
      </c>
      <c r="D8211" s="2">
        <v>44440</v>
      </c>
      <c r="E8211" t="s">
        <v>23</v>
      </c>
      <c r="F8211">
        <v>168.4</v>
      </c>
      <c r="G8211" t="str">
        <f>VLOOKUP(Table1_2[[#This Row],[Categories]],Sheet3!$A$1:$B$27,2,FALSE)</f>
        <v>Health</v>
      </c>
    </row>
    <row r="8212" spans="1:7" x14ac:dyDescent="0.3">
      <c r="A8212" t="s">
        <v>34</v>
      </c>
      <c r="B8212">
        <v>2021</v>
      </c>
      <c r="C8212" t="s">
        <v>42</v>
      </c>
      <c r="D8212" s="2">
        <v>44440</v>
      </c>
      <c r="E8212" t="s">
        <v>24</v>
      </c>
      <c r="F8212">
        <v>154</v>
      </c>
      <c r="G8212" t="str">
        <f>VLOOKUP(Table1_2[[#This Row],[Categories]],Sheet3!$A$1:$B$27,2,FALSE)</f>
        <v>Transport and communication</v>
      </c>
    </row>
    <row r="8213" spans="1:7" x14ac:dyDescent="0.3">
      <c r="A8213" t="s">
        <v>34</v>
      </c>
      <c r="B8213">
        <v>2021</v>
      </c>
      <c r="C8213" t="s">
        <v>42</v>
      </c>
      <c r="D8213" s="2">
        <v>44440</v>
      </c>
      <c r="E8213" t="s">
        <v>25</v>
      </c>
      <c r="F8213">
        <v>157.69999999999999</v>
      </c>
      <c r="G8213" t="str">
        <f>VLOOKUP(Table1_2[[#This Row],[Categories]],Sheet3!$A$1:$B$27,2,FALSE)</f>
        <v>Recreation and amusement</v>
      </c>
    </row>
    <row r="8214" spans="1:7" x14ac:dyDescent="0.3">
      <c r="A8214" t="s">
        <v>34</v>
      </c>
      <c r="B8214">
        <v>2021</v>
      </c>
      <c r="C8214" t="s">
        <v>42</v>
      </c>
      <c r="D8214" s="2">
        <v>44440</v>
      </c>
      <c r="E8214" t="s">
        <v>26</v>
      </c>
      <c r="F8214">
        <v>163.69999999999999</v>
      </c>
      <c r="G8214" t="str">
        <f>VLOOKUP(Table1_2[[#This Row],[Categories]],Sheet3!$A$1:$B$27,2,FALSE)</f>
        <v>Education</v>
      </c>
    </row>
    <row r="8215" spans="1:7" x14ac:dyDescent="0.3">
      <c r="A8215" t="s">
        <v>34</v>
      </c>
      <c r="B8215">
        <v>2021</v>
      </c>
      <c r="C8215" t="s">
        <v>42</v>
      </c>
      <c r="D8215" s="2">
        <v>44440</v>
      </c>
      <c r="E8215" t="s">
        <v>27</v>
      </c>
      <c r="F8215">
        <v>160</v>
      </c>
      <c r="G8215" t="str">
        <f>VLOOKUP(Table1_2[[#This Row],[Categories]],Sheet3!$A$1:$B$27,2,FALSE)</f>
        <v>Household Items</v>
      </c>
    </row>
    <row r="8216" spans="1:7" x14ac:dyDescent="0.3">
      <c r="A8216" t="s">
        <v>34</v>
      </c>
      <c r="B8216">
        <v>2021</v>
      </c>
      <c r="C8216" t="s">
        <v>42</v>
      </c>
      <c r="D8216" s="2">
        <v>44440</v>
      </c>
      <c r="E8216" t="s">
        <v>28</v>
      </c>
      <c r="F8216">
        <v>160</v>
      </c>
      <c r="G8216" t="str">
        <f>VLOOKUP(Table1_2[[#This Row],[Categories]],Sheet3!$A$1:$B$27,2,FALSE)</f>
        <v>Miscellaneous</v>
      </c>
    </row>
    <row r="8217" spans="1:7" x14ac:dyDescent="0.3">
      <c r="A8217" t="s">
        <v>34</v>
      </c>
      <c r="B8217">
        <v>2021</v>
      </c>
      <c r="C8217" t="s">
        <v>42</v>
      </c>
      <c r="D8217" s="2">
        <v>44440</v>
      </c>
      <c r="E8217" t="s">
        <v>29</v>
      </c>
      <c r="F8217">
        <v>163.19999999999999</v>
      </c>
      <c r="G8217" t="str">
        <f>VLOOKUP(Table1_2[[#This Row],[Categories]],Sheet3!$A$1:$B$27,2,FALSE)</f>
        <v>General index</v>
      </c>
    </row>
    <row r="8218" spans="1:7" x14ac:dyDescent="0.3">
      <c r="A8218" t="s">
        <v>30</v>
      </c>
      <c r="B8218">
        <v>2021</v>
      </c>
      <c r="C8218" t="s">
        <v>43</v>
      </c>
      <c r="D8218" s="2">
        <v>44470</v>
      </c>
      <c r="E8218" t="s">
        <v>3</v>
      </c>
      <c r="F8218">
        <v>146.1</v>
      </c>
      <c r="G8218" t="str">
        <f>VLOOKUP(Table1_2[[#This Row],[Categories]],Sheet3!$A$1:$B$27,2,FALSE)</f>
        <v>Food &amp;Beverage</v>
      </c>
    </row>
    <row r="8219" spans="1:7" x14ac:dyDescent="0.3">
      <c r="A8219" t="s">
        <v>30</v>
      </c>
      <c r="B8219">
        <v>2021</v>
      </c>
      <c r="C8219" t="s">
        <v>43</v>
      </c>
      <c r="D8219" s="2">
        <v>44470</v>
      </c>
      <c r="E8219" t="s">
        <v>4</v>
      </c>
      <c r="F8219">
        <v>202.5</v>
      </c>
      <c r="G8219" t="str">
        <f>VLOOKUP(Table1_2[[#This Row],[Categories]],Sheet3!$A$1:$B$27,2,FALSE)</f>
        <v>Food &amp;Beverage</v>
      </c>
    </row>
    <row r="8220" spans="1:7" x14ac:dyDescent="0.3">
      <c r="A8220" t="s">
        <v>30</v>
      </c>
      <c r="B8220">
        <v>2021</v>
      </c>
      <c r="C8220" t="s">
        <v>43</v>
      </c>
      <c r="D8220" s="2">
        <v>44470</v>
      </c>
      <c r="E8220" t="s">
        <v>5</v>
      </c>
      <c r="F8220">
        <v>170.1</v>
      </c>
      <c r="G8220" t="str">
        <f>VLOOKUP(Table1_2[[#This Row],[Categories]],Sheet3!$A$1:$B$27,2,FALSE)</f>
        <v>Food &amp;Beverage</v>
      </c>
    </row>
    <row r="8221" spans="1:7" x14ac:dyDescent="0.3">
      <c r="A8221" t="s">
        <v>30</v>
      </c>
      <c r="B8221">
        <v>2021</v>
      </c>
      <c r="C8221" t="s">
        <v>43</v>
      </c>
      <c r="D8221" s="2">
        <v>44470</v>
      </c>
      <c r="E8221" t="s">
        <v>6</v>
      </c>
      <c r="F8221">
        <v>158.4</v>
      </c>
      <c r="G8221" t="str">
        <f>VLOOKUP(Table1_2[[#This Row],[Categories]],Sheet3!$A$1:$B$27,2,FALSE)</f>
        <v>Food &amp;Beverage</v>
      </c>
    </row>
    <row r="8222" spans="1:7" x14ac:dyDescent="0.3">
      <c r="A8222" t="s">
        <v>30</v>
      </c>
      <c r="B8222">
        <v>2021</v>
      </c>
      <c r="C8222" t="s">
        <v>43</v>
      </c>
      <c r="D8222" s="2">
        <v>44470</v>
      </c>
      <c r="E8222" t="s">
        <v>7</v>
      </c>
      <c r="F8222">
        <v>198.8</v>
      </c>
      <c r="G8222" t="str">
        <f>VLOOKUP(Table1_2[[#This Row],[Categories]],Sheet3!$A$1:$B$27,2,FALSE)</f>
        <v>Food &amp;Beverage</v>
      </c>
    </row>
    <row r="8223" spans="1:7" x14ac:dyDescent="0.3">
      <c r="A8223" t="s">
        <v>30</v>
      </c>
      <c r="B8223">
        <v>2021</v>
      </c>
      <c r="C8223" t="s">
        <v>43</v>
      </c>
      <c r="D8223" s="2">
        <v>44470</v>
      </c>
      <c r="E8223" t="s">
        <v>8</v>
      </c>
      <c r="F8223">
        <v>152.6</v>
      </c>
      <c r="G8223" t="str">
        <f>VLOOKUP(Table1_2[[#This Row],[Categories]],Sheet3!$A$1:$B$27,2,FALSE)</f>
        <v>Food &amp;Beverage</v>
      </c>
    </row>
    <row r="8224" spans="1:7" x14ac:dyDescent="0.3">
      <c r="A8224" t="s">
        <v>30</v>
      </c>
      <c r="B8224">
        <v>2021</v>
      </c>
      <c r="C8224" t="s">
        <v>43</v>
      </c>
      <c r="D8224" s="2">
        <v>44470</v>
      </c>
      <c r="E8224" t="s">
        <v>9</v>
      </c>
      <c r="F8224">
        <v>170.4</v>
      </c>
      <c r="G8224" t="str">
        <f>VLOOKUP(Table1_2[[#This Row],[Categories]],Sheet3!$A$1:$B$27,2,FALSE)</f>
        <v>Food &amp;Beverage</v>
      </c>
    </row>
    <row r="8225" spans="1:7" x14ac:dyDescent="0.3">
      <c r="A8225" t="s">
        <v>30</v>
      </c>
      <c r="B8225">
        <v>2021</v>
      </c>
      <c r="C8225" t="s">
        <v>43</v>
      </c>
      <c r="D8225" s="2">
        <v>44470</v>
      </c>
      <c r="E8225" t="s">
        <v>10</v>
      </c>
      <c r="F8225">
        <v>165.2</v>
      </c>
      <c r="G8225" t="str">
        <f>VLOOKUP(Table1_2[[#This Row],[Categories]],Sheet3!$A$1:$B$27,2,FALSE)</f>
        <v>Food &amp;Beverage</v>
      </c>
    </row>
    <row r="8226" spans="1:7" x14ac:dyDescent="0.3">
      <c r="A8226" t="s">
        <v>30</v>
      </c>
      <c r="B8226">
        <v>2021</v>
      </c>
      <c r="C8226" t="s">
        <v>43</v>
      </c>
      <c r="D8226" s="2">
        <v>44470</v>
      </c>
      <c r="E8226" t="s">
        <v>11</v>
      </c>
      <c r="F8226">
        <v>121.6</v>
      </c>
      <c r="G8226" t="str">
        <f>VLOOKUP(Table1_2[[#This Row],[Categories]],Sheet3!$A$1:$B$27,2,FALSE)</f>
        <v>Food &amp;Beverage</v>
      </c>
    </row>
    <row r="8227" spans="1:7" x14ac:dyDescent="0.3">
      <c r="A8227" t="s">
        <v>30</v>
      </c>
      <c r="B8227">
        <v>2021</v>
      </c>
      <c r="C8227" t="s">
        <v>43</v>
      </c>
      <c r="D8227" s="2">
        <v>44470</v>
      </c>
      <c r="E8227" t="s">
        <v>12</v>
      </c>
      <c r="F8227">
        <v>170.6</v>
      </c>
      <c r="G8227" t="str">
        <f>VLOOKUP(Table1_2[[#This Row],[Categories]],Sheet3!$A$1:$B$27,2,FALSE)</f>
        <v>Food &amp;Beverage</v>
      </c>
    </row>
    <row r="8228" spans="1:7" x14ac:dyDescent="0.3">
      <c r="A8228" t="s">
        <v>30</v>
      </c>
      <c r="B8228">
        <v>2021</v>
      </c>
      <c r="C8228" t="s">
        <v>43</v>
      </c>
      <c r="D8228" s="2">
        <v>44470</v>
      </c>
      <c r="E8228" t="s">
        <v>13</v>
      </c>
      <c r="F8228">
        <v>168.8</v>
      </c>
      <c r="G8228" t="str">
        <f>VLOOKUP(Table1_2[[#This Row],[Categories]],Sheet3!$A$1:$B$27,2,FALSE)</f>
        <v>Food &amp;Beverage</v>
      </c>
    </row>
    <row r="8229" spans="1:7" x14ac:dyDescent="0.3">
      <c r="A8229" t="s">
        <v>30</v>
      </c>
      <c r="B8229">
        <v>2021</v>
      </c>
      <c r="C8229" t="s">
        <v>43</v>
      </c>
      <c r="D8229" s="2">
        <v>44470</v>
      </c>
      <c r="E8229" t="s">
        <v>14</v>
      </c>
      <c r="F8229">
        <v>173.6</v>
      </c>
      <c r="G8229" t="str">
        <f>VLOOKUP(Table1_2[[#This Row],[Categories]],Sheet3!$A$1:$B$27,2,FALSE)</f>
        <v>Food &amp;Beverage</v>
      </c>
    </row>
    <row r="8230" spans="1:7" x14ac:dyDescent="0.3">
      <c r="A8230" t="s">
        <v>30</v>
      </c>
      <c r="B8230">
        <v>2021</v>
      </c>
      <c r="C8230" t="s">
        <v>43</v>
      </c>
      <c r="D8230" s="2">
        <v>44470</v>
      </c>
      <c r="E8230" t="s">
        <v>15</v>
      </c>
      <c r="F8230">
        <v>165.5</v>
      </c>
      <c r="G8230" t="str">
        <f>VLOOKUP(Table1_2[[#This Row],[Categories]],Sheet3!$A$1:$B$27,2,FALSE)</f>
        <v>Food &amp;Beverage</v>
      </c>
    </row>
    <row r="8231" spans="1:7" x14ac:dyDescent="0.3">
      <c r="A8231" t="s">
        <v>30</v>
      </c>
      <c r="B8231">
        <v>2021</v>
      </c>
      <c r="C8231" t="s">
        <v>43</v>
      </c>
      <c r="D8231" s="2">
        <v>44470</v>
      </c>
      <c r="E8231" t="s">
        <v>16</v>
      </c>
      <c r="F8231">
        <v>191.2</v>
      </c>
      <c r="G8231" t="str">
        <f>VLOOKUP(Table1_2[[#This Row],[Categories]],Sheet3!$A$1:$B$27,2,FALSE)</f>
        <v>Recreation and amusement</v>
      </c>
    </row>
    <row r="8232" spans="1:7" x14ac:dyDescent="0.3">
      <c r="A8232" t="s">
        <v>30</v>
      </c>
      <c r="B8232">
        <v>2021</v>
      </c>
      <c r="C8232" t="s">
        <v>43</v>
      </c>
      <c r="D8232" s="2">
        <v>44470</v>
      </c>
      <c r="E8232" t="s">
        <v>17</v>
      </c>
      <c r="F8232">
        <v>168.9</v>
      </c>
      <c r="G8232" t="str">
        <f>VLOOKUP(Table1_2[[#This Row],[Categories]],Sheet3!$A$1:$B$27,2,FALSE)</f>
        <v>Clothing and footwear</v>
      </c>
    </row>
    <row r="8233" spans="1:7" x14ac:dyDescent="0.3">
      <c r="A8233" t="s">
        <v>30</v>
      </c>
      <c r="B8233">
        <v>2021</v>
      </c>
      <c r="C8233" t="s">
        <v>43</v>
      </c>
      <c r="D8233" s="2">
        <v>44470</v>
      </c>
      <c r="E8233" t="s">
        <v>18</v>
      </c>
      <c r="F8233">
        <v>164.8</v>
      </c>
      <c r="G8233" t="str">
        <f>VLOOKUP(Table1_2[[#This Row],[Categories]],Sheet3!$A$1:$B$27,2,FALSE)</f>
        <v>Clothing and footwear</v>
      </c>
    </row>
    <row r="8234" spans="1:7" x14ac:dyDescent="0.3">
      <c r="A8234" t="s">
        <v>30</v>
      </c>
      <c r="B8234">
        <v>2021</v>
      </c>
      <c r="C8234" t="s">
        <v>43</v>
      </c>
      <c r="D8234" s="2">
        <v>44470</v>
      </c>
      <c r="E8234" t="s">
        <v>19</v>
      </c>
      <c r="F8234">
        <v>168.3</v>
      </c>
      <c r="G8234" t="str">
        <f>VLOOKUP(Table1_2[[#This Row],[Categories]],Sheet3!$A$1:$B$27,2,FALSE)</f>
        <v>Clothing and footwear</v>
      </c>
    </row>
    <row r="8235" spans="1:7" x14ac:dyDescent="0.3">
      <c r="A8235" t="s">
        <v>30</v>
      </c>
      <c r="B8235">
        <v>2021</v>
      </c>
      <c r="C8235" t="s">
        <v>43</v>
      </c>
      <c r="D8235" s="2">
        <v>44470</v>
      </c>
      <c r="E8235" t="s">
        <v>21</v>
      </c>
      <c r="F8235">
        <v>165.5</v>
      </c>
      <c r="G8235" t="str">
        <f>VLOOKUP(Table1_2[[#This Row],[Categories]],Sheet3!$A$1:$B$27,2,FALSE)</f>
        <v>Fuel and light</v>
      </c>
    </row>
    <row r="8236" spans="1:7" x14ac:dyDescent="0.3">
      <c r="A8236" t="s">
        <v>30</v>
      </c>
      <c r="B8236">
        <v>2021</v>
      </c>
      <c r="C8236" t="s">
        <v>43</v>
      </c>
      <c r="D8236" s="2">
        <v>44470</v>
      </c>
      <c r="E8236" t="s">
        <v>22</v>
      </c>
      <c r="F8236">
        <v>162</v>
      </c>
      <c r="G8236" t="str">
        <f>VLOOKUP(Table1_2[[#This Row],[Categories]],Sheet3!$A$1:$B$27,2,FALSE)</f>
        <v>Household Items</v>
      </c>
    </row>
    <row r="8237" spans="1:7" x14ac:dyDescent="0.3">
      <c r="A8237" t="s">
        <v>30</v>
      </c>
      <c r="B8237">
        <v>2021</v>
      </c>
      <c r="C8237" t="s">
        <v>43</v>
      </c>
      <c r="D8237" s="2">
        <v>44470</v>
      </c>
      <c r="E8237" t="s">
        <v>23</v>
      </c>
      <c r="F8237">
        <v>172.5</v>
      </c>
      <c r="G8237" t="str">
        <f>VLOOKUP(Table1_2[[#This Row],[Categories]],Sheet3!$A$1:$B$27,2,FALSE)</f>
        <v>Health</v>
      </c>
    </row>
    <row r="8238" spans="1:7" x14ac:dyDescent="0.3">
      <c r="A8238" t="s">
        <v>30</v>
      </c>
      <c r="B8238">
        <v>2021</v>
      </c>
      <c r="C8238" t="s">
        <v>43</v>
      </c>
      <c r="D8238" s="2">
        <v>44470</v>
      </c>
      <c r="E8238" t="s">
        <v>24</v>
      </c>
      <c r="F8238">
        <v>159.5</v>
      </c>
      <c r="G8238" t="str">
        <f>VLOOKUP(Table1_2[[#This Row],[Categories]],Sheet3!$A$1:$B$27,2,FALSE)</f>
        <v>Transport and communication</v>
      </c>
    </row>
    <row r="8239" spans="1:7" x14ac:dyDescent="0.3">
      <c r="A8239" t="s">
        <v>30</v>
      </c>
      <c r="B8239">
        <v>2021</v>
      </c>
      <c r="C8239" t="s">
        <v>43</v>
      </c>
      <c r="D8239" s="2">
        <v>44470</v>
      </c>
      <c r="E8239" t="s">
        <v>25</v>
      </c>
      <c r="F8239">
        <v>163.19999999999999</v>
      </c>
      <c r="G8239" t="str">
        <f>VLOOKUP(Table1_2[[#This Row],[Categories]],Sheet3!$A$1:$B$27,2,FALSE)</f>
        <v>Recreation and amusement</v>
      </c>
    </row>
    <row r="8240" spans="1:7" x14ac:dyDescent="0.3">
      <c r="A8240" t="s">
        <v>30</v>
      </c>
      <c r="B8240">
        <v>2021</v>
      </c>
      <c r="C8240" t="s">
        <v>43</v>
      </c>
      <c r="D8240" s="2">
        <v>44470</v>
      </c>
      <c r="E8240" t="s">
        <v>26</v>
      </c>
      <c r="F8240">
        <v>169</v>
      </c>
      <c r="G8240" t="str">
        <f>VLOOKUP(Table1_2[[#This Row],[Categories]],Sheet3!$A$1:$B$27,2,FALSE)</f>
        <v>Education</v>
      </c>
    </row>
    <row r="8241" spans="1:7" x14ac:dyDescent="0.3">
      <c r="A8241" t="s">
        <v>30</v>
      </c>
      <c r="B8241">
        <v>2021</v>
      </c>
      <c r="C8241" t="s">
        <v>43</v>
      </c>
      <c r="D8241" s="2">
        <v>44470</v>
      </c>
      <c r="E8241" t="s">
        <v>27</v>
      </c>
      <c r="F8241">
        <v>161.1</v>
      </c>
      <c r="G8241" t="str">
        <f>VLOOKUP(Table1_2[[#This Row],[Categories]],Sheet3!$A$1:$B$27,2,FALSE)</f>
        <v>Household Items</v>
      </c>
    </row>
    <row r="8242" spans="1:7" x14ac:dyDescent="0.3">
      <c r="A8242" t="s">
        <v>30</v>
      </c>
      <c r="B8242">
        <v>2021</v>
      </c>
      <c r="C8242" t="s">
        <v>43</v>
      </c>
      <c r="D8242" s="2">
        <v>44470</v>
      </c>
      <c r="E8242" t="s">
        <v>28</v>
      </c>
      <c r="F8242">
        <v>164.7</v>
      </c>
      <c r="G8242" t="str">
        <f>VLOOKUP(Table1_2[[#This Row],[Categories]],Sheet3!$A$1:$B$27,2,FALSE)</f>
        <v>Miscellaneous</v>
      </c>
    </row>
    <row r="8243" spans="1:7" x14ac:dyDescent="0.3">
      <c r="A8243" t="s">
        <v>30</v>
      </c>
      <c r="B8243">
        <v>2021</v>
      </c>
      <c r="C8243" t="s">
        <v>43</v>
      </c>
      <c r="D8243" s="2">
        <v>44470</v>
      </c>
      <c r="E8243" t="s">
        <v>29</v>
      </c>
      <c r="F8243">
        <v>166.3</v>
      </c>
      <c r="G8243" t="str">
        <f>VLOOKUP(Table1_2[[#This Row],[Categories]],Sheet3!$A$1:$B$27,2,FALSE)</f>
        <v>General index</v>
      </c>
    </row>
    <row r="8244" spans="1:7" x14ac:dyDescent="0.3">
      <c r="A8244" t="s">
        <v>33</v>
      </c>
      <c r="B8244">
        <v>2021</v>
      </c>
      <c r="C8244" t="s">
        <v>43</v>
      </c>
      <c r="D8244" s="2">
        <v>44470</v>
      </c>
      <c r="E8244" t="s">
        <v>3</v>
      </c>
      <c r="F8244">
        <v>150.1</v>
      </c>
      <c r="G8244" t="str">
        <f>VLOOKUP(Table1_2[[#This Row],[Categories]],Sheet3!$A$1:$B$27,2,FALSE)</f>
        <v>Food &amp;Beverage</v>
      </c>
    </row>
    <row r="8245" spans="1:7" x14ac:dyDescent="0.3">
      <c r="A8245" t="s">
        <v>33</v>
      </c>
      <c r="B8245">
        <v>2021</v>
      </c>
      <c r="C8245" t="s">
        <v>43</v>
      </c>
      <c r="D8245" s="2">
        <v>44470</v>
      </c>
      <c r="E8245" t="s">
        <v>4</v>
      </c>
      <c r="F8245">
        <v>208.4</v>
      </c>
      <c r="G8245" t="str">
        <f>VLOOKUP(Table1_2[[#This Row],[Categories]],Sheet3!$A$1:$B$27,2,FALSE)</f>
        <v>Food &amp;Beverage</v>
      </c>
    </row>
    <row r="8246" spans="1:7" x14ac:dyDescent="0.3">
      <c r="A8246" t="s">
        <v>33</v>
      </c>
      <c r="B8246">
        <v>2021</v>
      </c>
      <c r="C8246" t="s">
        <v>43</v>
      </c>
      <c r="D8246" s="2">
        <v>44470</v>
      </c>
      <c r="E8246" t="s">
        <v>5</v>
      </c>
      <c r="F8246">
        <v>173</v>
      </c>
      <c r="G8246" t="str">
        <f>VLOOKUP(Table1_2[[#This Row],[Categories]],Sheet3!$A$1:$B$27,2,FALSE)</f>
        <v>Food &amp;Beverage</v>
      </c>
    </row>
    <row r="8247" spans="1:7" x14ac:dyDescent="0.3">
      <c r="A8247" t="s">
        <v>33</v>
      </c>
      <c r="B8247">
        <v>2021</v>
      </c>
      <c r="C8247" t="s">
        <v>43</v>
      </c>
      <c r="D8247" s="2">
        <v>44470</v>
      </c>
      <c r="E8247" t="s">
        <v>6</v>
      </c>
      <c r="F8247">
        <v>159.19999999999999</v>
      </c>
      <c r="G8247" t="str">
        <f>VLOOKUP(Table1_2[[#This Row],[Categories]],Sheet3!$A$1:$B$27,2,FALSE)</f>
        <v>Food &amp;Beverage</v>
      </c>
    </row>
    <row r="8248" spans="1:7" x14ac:dyDescent="0.3">
      <c r="A8248" t="s">
        <v>33</v>
      </c>
      <c r="B8248">
        <v>2021</v>
      </c>
      <c r="C8248" t="s">
        <v>43</v>
      </c>
      <c r="D8248" s="2">
        <v>44470</v>
      </c>
      <c r="E8248" t="s">
        <v>7</v>
      </c>
      <c r="F8248">
        <v>176.6</v>
      </c>
      <c r="G8248" t="str">
        <f>VLOOKUP(Table1_2[[#This Row],[Categories]],Sheet3!$A$1:$B$27,2,FALSE)</f>
        <v>Food &amp;Beverage</v>
      </c>
    </row>
    <row r="8249" spans="1:7" x14ac:dyDescent="0.3">
      <c r="A8249" t="s">
        <v>33</v>
      </c>
      <c r="B8249">
        <v>2021</v>
      </c>
      <c r="C8249" t="s">
        <v>43</v>
      </c>
      <c r="D8249" s="2">
        <v>44470</v>
      </c>
      <c r="E8249" t="s">
        <v>8</v>
      </c>
      <c r="F8249">
        <v>159.30000000000001</v>
      </c>
      <c r="G8249" t="str">
        <f>VLOOKUP(Table1_2[[#This Row],[Categories]],Sheet3!$A$1:$B$27,2,FALSE)</f>
        <v>Food &amp;Beverage</v>
      </c>
    </row>
    <row r="8250" spans="1:7" x14ac:dyDescent="0.3">
      <c r="A8250" t="s">
        <v>33</v>
      </c>
      <c r="B8250">
        <v>2021</v>
      </c>
      <c r="C8250" t="s">
        <v>43</v>
      </c>
      <c r="D8250" s="2">
        <v>44470</v>
      </c>
      <c r="E8250" t="s">
        <v>9</v>
      </c>
      <c r="F8250">
        <v>214.4</v>
      </c>
      <c r="G8250" t="str">
        <f>VLOOKUP(Table1_2[[#This Row],[Categories]],Sheet3!$A$1:$B$27,2,FALSE)</f>
        <v>Food &amp;Beverage</v>
      </c>
    </row>
    <row r="8251" spans="1:7" x14ac:dyDescent="0.3">
      <c r="A8251" t="s">
        <v>33</v>
      </c>
      <c r="B8251">
        <v>2021</v>
      </c>
      <c r="C8251" t="s">
        <v>43</v>
      </c>
      <c r="D8251" s="2">
        <v>44470</v>
      </c>
      <c r="E8251" t="s">
        <v>10</v>
      </c>
      <c r="F8251">
        <v>165.3</v>
      </c>
      <c r="G8251" t="str">
        <f>VLOOKUP(Table1_2[[#This Row],[Categories]],Sheet3!$A$1:$B$27,2,FALSE)</f>
        <v>Food &amp;Beverage</v>
      </c>
    </row>
    <row r="8252" spans="1:7" x14ac:dyDescent="0.3">
      <c r="A8252" t="s">
        <v>33</v>
      </c>
      <c r="B8252">
        <v>2021</v>
      </c>
      <c r="C8252" t="s">
        <v>43</v>
      </c>
      <c r="D8252" s="2">
        <v>44470</v>
      </c>
      <c r="E8252" t="s">
        <v>11</v>
      </c>
      <c r="F8252">
        <v>122.5</v>
      </c>
      <c r="G8252" t="str">
        <f>VLOOKUP(Table1_2[[#This Row],[Categories]],Sheet3!$A$1:$B$27,2,FALSE)</f>
        <v>Food &amp;Beverage</v>
      </c>
    </row>
    <row r="8253" spans="1:7" x14ac:dyDescent="0.3">
      <c r="A8253" t="s">
        <v>33</v>
      </c>
      <c r="B8253">
        <v>2021</v>
      </c>
      <c r="C8253" t="s">
        <v>43</v>
      </c>
      <c r="D8253" s="2">
        <v>44470</v>
      </c>
      <c r="E8253" t="s">
        <v>12</v>
      </c>
      <c r="F8253">
        <v>166.8</v>
      </c>
      <c r="G8253" t="str">
        <f>VLOOKUP(Table1_2[[#This Row],[Categories]],Sheet3!$A$1:$B$27,2,FALSE)</f>
        <v>Food &amp;Beverage</v>
      </c>
    </row>
    <row r="8254" spans="1:7" x14ac:dyDescent="0.3">
      <c r="A8254" t="s">
        <v>33</v>
      </c>
      <c r="B8254">
        <v>2021</v>
      </c>
      <c r="C8254" t="s">
        <v>43</v>
      </c>
      <c r="D8254" s="2">
        <v>44470</v>
      </c>
      <c r="E8254" t="s">
        <v>13</v>
      </c>
      <c r="F8254">
        <v>155.4</v>
      </c>
      <c r="G8254" t="str">
        <f>VLOOKUP(Table1_2[[#This Row],[Categories]],Sheet3!$A$1:$B$27,2,FALSE)</f>
        <v>Food &amp;Beverage</v>
      </c>
    </row>
    <row r="8255" spans="1:7" x14ac:dyDescent="0.3">
      <c r="A8255" t="s">
        <v>33</v>
      </c>
      <c r="B8255">
        <v>2021</v>
      </c>
      <c r="C8255" t="s">
        <v>43</v>
      </c>
      <c r="D8255" s="2">
        <v>44470</v>
      </c>
      <c r="E8255" t="s">
        <v>14</v>
      </c>
      <c r="F8255">
        <v>175.9</v>
      </c>
      <c r="G8255" t="str">
        <f>VLOOKUP(Table1_2[[#This Row],[Categories]],Sheet3!$A$1:$B$27,2,FALSE)</f>
        <v>Food &amp;Beverage</v>
      </c>
    </row>
    <row r="8256" spans="1:7" x14ac:dyDescent="0.3">
      <c r="A8256" t="s">
        <v>33</v>
      </c>
      <c r="B8256">
        <v>2021</v>
      </c>
      <c r="C8256" t="s">
        <v>43</v>
      </c>
      <c r="D8256" s="2">
        <v>44470</v>
      </c>
      <c r="E8256" t="s">
        <v>15</v>
      </c>
      <c r="F8256">
        <v>171.5</v>
      </c>
      <c r="G8256" t="str">
        <f>VLOOKUP(Table1_2[[#This Row],[Categories]],Sheet3!$A$1:$B$27,2,FALSE)</f>
        <v>Food &amp;Beverage</v>
      </c>
    </row>
    <row r="8257" spans="1:7" x14ac:dyDescent="0.3">
      <c r="A8257" t="s">
        <v>33</v>
      </c>
      <c r="B8257">
        <v>2021</v>
      </c>
      <c r="C8257" t="s">
        <v>43</v>
      </c>
      <c r="D8257" s="2">
        <v>44470</v>
      </c>
      <c r="E8257" t="s">
        <v>16</v>
      </c>
      <c r="F8257">
        <v>197</v>
      </c>
      <c r="G8257" t="str">
        <f>VLOOKUP(Table1_2[[#This Row],[Categories]],Sheet3!$A$1:$B$27,2,FALSE)</f>
        <v>Recreation and amusement</v>
      </c>
    </row>
    <row r="8258" spans="1:7" x14ac:dyDescent="0.3">
      <c r="A8258" t="s">
        <v>33</v>
      </c>
      <c r="B8258">
        <v>2021</v>
      </c>
      <c r="C8258" t="s">
        <v>43</v>
      </c>
      <c r="D8258" s="2">
        <v>44470</v>
      </c>
      <c r="E8258" t="s">
        <v>17</v>
      </c>
      <c r="F8258">
        <v>160.80000000000001</v>
      </c>
      <c r="G8258" t="str">
        <f>VLOOKUP(Table1_2[[#This Row],[Categories]],Sheet3!$A$1:$B$27,2,FALSE)</f>
        <v>Clothing and footwear</v>
      </c>
    </row>
    <row r="8259" spans="1:7" x14ac:dyDescent="0.3">
      <c r="A8259" t="s">
        <v>33</v>
      </c>
      <c r="B8259">
        <v>2021</v>
      </c>
      <c r="C8259" t="s">
        <v>43</v>
      </c>
      <c r="D8259" s="2">
        <v>44470</v>
      </c>
      <c r="E8259" t="s">
        <v>18</v>
      </c>
      <c r="F8259">
        <v>144.4</v>
      </c>
      <c r="G8259" t="str">
        <f>VLOOKUP(Table1_2[[#This Row],[Categories]],Sheet3!$A$1:$B$27,2,FALSE)</f>
        <v>Clothing and footwear</v>
      </c>
    </row>
    <row r="8260" spans="1:7" x14ac:dyDescent="0.3">
      <c r="A8260" t="s">
        <v>33</v>
      </c>
      <c r="B8260">
        <v>2021</v>
      </c>
      <c r="C8260" t="s">
        <v>43</v>
      </c>
      <c r="D8260" s="2">
        <v>44470</v>
      </c>
      <c r="E8260" t="s">
        <v>19</v>
      </c>
      <c r="F8260">
        <v>158.30000000000001</v>
      </c>
      <c r="G8260" t="str">
        <f>VLOOKUP(Table1_2[[#This Row],[Categories]],Sheet3!$A$1:$B$27,2,FALSE)</f>
        <v>Clothing and footwear</v>
      </c>
    </row>
    <row r="8261" spans="1:7" x14ac:dyDescent="0.3">
      <c r="A8261" t="s">
        <v>33</v>
      </c>
      <c r="B8261">
        <v>2021</v>
      </c>
      <c r="C8261" t="s">
        <v>43</v>
      </c>
      <c r="D8261" s="2">
        <v>44470</v>
      </c>
      <c r="E8261" t="s">
        <v>20</v>
      </c>
      <c r="F8261">
        <v>163.6</v>
      </c>
      <c r="G8261" t="str">
        <f>VLOOKUP(Table1_2[[#This Row],[Categories]],Sheet3!$A$1:$B$27,2,FALSE)</f>
        <v>Housing</v>
      </c>
    </row>
    <row r="8262" spans="1:7" x14ac:dyDescent="0.3">
      <c r="A8262" t="s">
        <v>33</v>
      </c>
      <c r="B8262">
        <v>2021</v>
      </c>
      <c r="C8262" t="s">
        <v>43</v>
      </c>
      <c r="D8262" s="2">
        <v>44470</v>
      </c>
      <c r="E8262" t="s">
        <v>21</v>
      </c>
      <c r="F8262">
        <v>162.19999999999999</v>
      </c>
      <c r="G8262" t="str">
        <f>VLOOKUP(Table1_2[[#This Row],[Categories]],Sheet3!$A$1:$B$27,2,FALSE)</f>
        <v>Fuel and light</v>
      </c>
    </row>
    <row r="8263" spans="1:7" x14ac:dyDescent="0.3">
      <c r="A8263" t="s">
        <v>33</v>
      </c>
      <c r="B8263">
        <v>2021</v>
      </c>
      <c r="C8263" t="s">
        <v>43</v>
      </c>
      <c r="D8263" s="2">
        <v>44470</v>
      </c>
      <c r="E8263" t="s">
        <v>22</v>
      </c>
      <c r="F8263">
        <v>154.30000000000001</v>
      </c>
      <c r="G8263" t="str">
        <f>VLOOKUP(Table1_2[[#This Row],[Categories]],Sheet3!$A$1:$B$27,2,FALSE)</f>
        <v>Household Items</v>
      </c>
    </row>
    <row r="8264" spans="1:7" x14ac:dyDescent="0.3">
      <c r="A8264" t="s">
        <v>33</v>
      </c>
      <c r="B8264">
        <v>2021</v>
      </c>
      <c r="C8264" t="s">
        <v>43</v>
      </c>
      <c r="D8264" s="2">
        <v>44470</v>
      </c>
      <c r="E8264" t="s">
        <v>23</v>
      </c>
      <c r="F8264">
        <v>163.5</v>
      </c>
      <c r="G8264" t="str">
        <f>VLOOKUP(Table1_2[[#This Row],[Categories]],Sheet3!$A$1:$B$27,2,FALSE)</f>
        <v>Health</v>
      </c>
    </row>
    <row r="8265" spans="1:7" x14ac:dyDescent="0.3">
      <c r="A8265" t="s">
        <v>33</v>
      </c>
      <c r="B8265">
        <v>2021</v>
      </c>
      <c r="C8265" t="s">
        <v>43</v>
      </c>
      <c r="D8265" s="2">
        <v>44470</v>
      </c>
      <c r="E8265" t="s">
        <v>24</v>
      </c>
      <c r="F8265">
        <v>152.19999999999999</v>
      </c>
      <c r="G8265" t="str">
        <f>VLOOKUP(Table1_2[[#This Row],[Categories]],Sheet3!$A$1:$B$27,2,FALSE)</f>
        <v>Transport and communication</v>
      </c>
    </row>
    <row r="8266" spans="1:7" x14ac:dyDescent="0.3">
      <c r="A8266" t="s">
        <v>33</v>
      </c>
      <c r="B8266">
        <v>2021</v>
      </c>
      <c r="C8266" t="s">
        <v>43</v>
      </c>
      <c r="D8266" s="2">
        <v>44470</v>
      </c>
      <c r="E8266" t="s">
        <v>25</v>
      </c>
      <c r="F8266">
        <v>155.1</v>
      </c>
      <c r="G8266" t="str">
        <f>VLOOKUP(Table1_2[[#This Row],[Categories]],Sheet3!$A$1:$B$27,2,FALSE)</f>
        <v>Recreation and amusement</v>
      </c>
    </row>
    <row r="8267" spans="1:7" x14ac:dyDescent="0.3">
      <c r="A8267" t="s">
        <v>33</v>
      </c>
      <c r="B8267">
        <v>2021</v>
      </c>
      <c r="C8267" t="s">
        <v>43</v>
      </c>
      <c r="D8267" s="2">
        <v>44470</v>
      </c>
      <c r="E8267" t="s">
        <v>26</v>
      </c>
      <c r="F8267">
        <v>160.30000000000001</v>
      </c>
      <c r="G8267" t="str">
        <f>VLOOKUP(Table1_2[[#This Row],[Categories]],Sheet3!$A$1:$B$27,2,FALSE)</f>
        <v>Education</v>
      </c>
    </row>
    <row r="8268" spans="1:7" x14ac:dyDescent="0.3">
      <c r="A8268" t="s">
        <v>33</v>
      </c>
      <c r="B8268">
        <v>2021</v>
      </c>
      <c r="C8268" t="s">
        <v>43</v>
      </c>
      <c r="D8268" s="2">
        <v>44470</v>
      </c>
      <c r="E8268" t="s">
        <v>27</v>
      </c>
      <c r="F8268">
        <v>160.30000000000001</v>
      </c>
      <c r="G8268" t="str">
        <f>VLOOKUP(Table1_2[[#This Row],[Categories]],Sheet3!$A$1:$B$27,2,FALSE)</f>
        <v>Household Items</v>
      </c>
    </row>
    <row r="8269" spans="1:7" x14ac:dyDescent="0.3">
      <c r="A8269" t="s">
        <v>33</v>
      </c>
      <c r="B8269">
        <v>2021</v>
      </c>
      <c r="C8269" t="s">
        <v>43</v>
      </c>
      <c r="D8269" s="2">
        <v>44470</v>
      </c>
      <c r="E8269" t="s">
        <v>28</v>
      </c>
      <c r="F8269">
        <v>157</v>
      </c>
      <c r="G8269" t="str">
        <f>VLOOKUP(Table1_2[[#This Row],[Categories]],Sheet3!$A$1:$B$27,2,FALSE)</f>
        <v>Miscellaneous</v>
      </c>
    </row>
    <row r="8270" spans="1:7" x14ac:dyDescent="0.3">
      <c r="A8270" t="s">
        <v>33</v>
      </c>
      <c r="B8270">
        <v>2021</v>
      </c>
      <c r="C8270" t="s">
        <v>43</v>
      </c>
      <c r="D8270" s="2">
        <v>44470</v>
      </c>
      <c r="E8270" t="s">
        <v>29</v>
      </c>
      <c r="F8270">
        <v>164.6</v>
      </c>
      <c r="G8270" t="str">
        <f>VLOOKUP(Table1_2[[#This Row],[Categories]],Sheet3!$A$1:$B$27,2,FALSE)</f>
        <v>General index</v>
      </c>
    </row>
    <row r="8271" spans="1:7" x14ac:dyDescent="0.3">
      <c r="A8271" t="s">
        <v>34</v>
      </c>
      <c r="B8271">
        <v>2021</v>
      </c>
      <c r="C8271" t="s">
        <v>43</v>
      </c>
      <c r="D8271" s="2">
        <v>44470</v>
      </c>
      <c r="E8271" t="s">
        <v>3</v>
      </c>
      <c r="F8271">
        <v>147.4</v>
      </c>
      <c r="G8271" t="str">
        <f>VLOOKUP(Table1_2[[#This Row],[Categories]],Sheet3!$A$1:$B$27,2,FALSE)</f>
        <v>Food &amp;Beverage</v>
      </c>
    </row>
    <row r="8272" spans="1:7" x14ac:dyDescent="0.3">
      <c r="A8272" t="s">
        <v>34</v>
      </c>
      <c r="B8272">
        <v>2021</v>
      </c>
      <c r="C8272" t="s">
        <v>43</v>
      </c>
      <c r="D8272" s="2">
        <v>44470</v>
      </c>
      <c r="E8272" t="s">
        <v>4</v>
      </c>
      <c r="F8272">
        <v>204.6</v>
      </c>
      <c r="G8272" t="str">
        <f>VLOOKUP(Table1_2[[#This Row],[Categories]],Sheet3!$A$1:$B$27,2,FALSE)</f>
        <v>Food &amp;Beverage</v>
      </c>
    </row>
    <row r="8273" spans="1:7" x14ac:dyDescent="0.3">
      <c r="A8273" t="s">
        <v>34</v>
      </c>
      <c r="B8273">
        <v>2021</v>
      </c>
      <c r="C8273" t="s">
        <v>43</v>
      </c>
      <c r="D8273" s="2">
        <v>44470</v>
      </c>
      <c r="E8273" t="s">
        <v>5</v>
      </c>
      <c r="F8273">
        <v>171.2</v>
      </c>
      <c r="G8273" t="str">
        <f>VLOOKUP(Table1_2[[#This Row],[Categories]],Sheet3!$A$1:$B$27,2,FALSE)</f>
        <v>Food &amp;Beverage</v>
      </c>
    </row>
    <row r="8274" spans="1:7" x14ac:dyDescent="0.3">
      <c r="A8274" t="s">
        <v>34</v>
      </c>
      <c r="B8274">
        <v>2021</v>
      </c>
      <c r="C8274" t="s">
        <v>43</v>
      </c>
      <c r="D8274" s="2">
        <v>44470</v>
      </c>
      <c r="E8274" t="s">
        <v>6</v>
      </c>
      <c r="F8274">
        <v>158.69999999999999</v>
      </c>
      <c r="G8274" t="str">
        <f>VLOOKUP(Table1_2[[#This Row],[Categories]],Sheet3!$A$1:$B$27,2,FALSE)</f>
        <v>Food &amp;Beverage</v>
      </c>
    </row>
    <row r="8275" spans="1:7" x14ac:dyDescent="0.3">
      <c r="A8275" t="s">
        <v>34</v>
      </c>
      <c r="B8275">
        <v>2021</v>
      </c>
      <c r="C8275" t="s">
        <v>43</v>
      </c>
      <c r="D8275" s="2">
        <v>44470</v>
      </c>
      <c r="E8275" t="s">
        <v>7</v>
      </c>
      <c r="F8275">
        <v>190.6</v>
      </c>
      <c r="G8275" t="str">
        <f>VLOOKUP(Table1_2[[#This Row],[Categories]],Sheet3!$A$1:$B$27,2,FALSE)</f>
        <v>Food &amp;Beverage</v>
      </c>
    </row>
    <row r="8276" spans="1:7" x14ac:dyDescent="0.3">
      <c r="A8276" t="s">
        <v>34</v>
      </c>
      <c r="B8276">
        <v>2021</v>
      </c>
      <c r="C8276" t="s">
        <v>43</v>
      </c>
      <c r="D8276" s="2">
        <v>44470</v>
      </c>
      <c r="E8276" t="s">
        <v>8</v>
      </c>
      <c r="F8276">
        <v>155.69999999999999</v>
      </c>
      <c r="G8276" t="str">
        <f>VLOOKUP(Table1_2[[#This Row],[Categories]],Sheet3!$A$1:$B$27,2,FALSE)</f>
        <v>Food &amp;Beverage</v>
      </c>
    </row>
    <row r="8277" spans="1:7" x14ac:dyDescent="0.3">
      <c r="A8277" t="s">
        <v>34</v>
      </c>
      <c r="B8277">
        <v>2021</v>
      </c>
      <c r="C8277" t="s">
        <v>43</v>
      </c>
      <c r="D8277" s="2">
        <v>44470</v>
      </c>
      <c r="E8277" t="s">
        <v>9</v>
      </c>
      <c r="F8277">
        <v>185.3</v>
      </c>
      <c r="G8277" t="str">
        <f>VLOOKUP(Table1_2[[#This Row],[Categories]],Sheet3!$A$1:$B$27,2,FALSE)</f>
        <v>Food &amp;Beverage</v>
      </c>
    </row>
    <row r="8278" spans="1:7" x14ac:dyDescent="0.3">
      <c r="A8278" t="s">
        <v>34</v>
      </c>
      <c r="B8278">
        <v>2021</v>
      </c>
      <c r="C8278" t="s">
        <v>43</v>
      </c>
      <c r="D8278" s="2">
        <v>44470</v>
      </c>
      <c r="E8278" t="s">
        <v>10</v>
      </c>
      <c r="F8278">
        <v>165.2</v>
      </c>
      <c r="G8278" t="str">
        <f>VLOOKUP(Table1_2[[#This Row],[Categories]],Sheet3!$A$1:$B$27,2,FALSE)</f>
        <v>Food &amp;Beverage</v>
      </c>
    </row>
    <row r="8279" spans="1:7" x14ac:dyDescent="0.3">
      <c r="A8279" t="s">
        <v>34</v>
      </c>
      <c r="B8279">
        <v>2021</v>
      </c>
      <c r="C8279" t="s">
        <v>43</v>
      </c>
      <c r="D8279" s="2">
        <v>44470</v>
      </c>
      <c r="E8279" t="s">
        <v>11</v>
      </c>
      <c r="F8279">
        <v>121.9</v>
      </c>
      <c r="G8279" t="str">
        <f>VLOOKUP(Table1_2[[#This Row],[Categories]],Sheet3!$A$1:$B$27,2,FALSE)</f>
        <v>Food &amp;Beverage</v>
      </c>
    </row>
    <row r="8280" spans="1:7" x14ac:dyDescent="0.3">
      <c r="A8280" t="s">
        <v>34</v>
      </c>
      <c r="B8280">
        <v>2021</v>
      </c>
      <c r="C8280" t="s">
        <v>43</v>
      </c>
      <c r="D8280" s="2">
        <v>44470</v>
      </c>
      <c r="E8280" t="s">
        <v>12</v>
      </c>
      <c r="F8280">
        <v>169.3</v>
      </c>
      <c r="G8280" t="str">
        <f>VLOOKUP(Table1_2[[#This Row],[Categories]],Sheet3!$A$1:$B$27,2,FALSE)</f>
        <v>Food &amp;Beverage</v>
      </c>
    </row>
    <row r="8281" spans="1:7" x14ac:dyDescent="0.3">
      <c r="A8281" t="s">
        <v>34</v>
      </c>
      <c r="B8281">
        <v>2021</v>
      </c>
      <c r="C8281" t="s">
        <v>43</v>
      </c>
      <c r="D8281" s="2">
        <v>44470</v>
      </c>
      <c r="E8281" t="s">
        <v>13</v>
      </c>
      <c r="F8281">
        <v>163.19999999999999</v>
      </c>
      <c r="G8281" t="str">
        <f>VLOOKUP(Table1_2[[#This Row],[Categories]],Sheet3!$A$1:$B$27,2,FALSE)</f>
        <v>Food &amp;Beverage</v>
      </c>
    </row>
    <row r="8282" spans="1:7" x14ac:dyDescent="0.3">
      <c r="A8282" t="s">
        <v>34</v>
      </c>
      <c r="B8282">
        <v>2021</v>
      </c>
      <c r="C8282" t="s">
        <v>43</v>
      </c>
      <c r="D8282" s="2">
        <v>44470</v>
      </c>
      <c r="E8282" t="s">
        <v>14</v>
      </c>
      <c r="F8282">
        <v>174.7</v>
      </c>
      <c r="G8282" t="str">
        <f>VLOOKUP(Table1_2[[#This Row],[Categories]],Sheet3!$A$1:$B$27,2,FALSE)</f>
        <v>Food &amp;Beverage</v>
      </c>
    </row>
    <row r="8283" spans="1:7" x14ac:dyDescent="0.3">
      <c r="A8283" t="s">
        <v>34</v>
      </c>
      <c r="B8283">
        <v>2021</v>
      </c>
      <c r="C8283" t="s">
        <v>43</v>
      </c>
      <c r="D8283" s="2">
        <v>44470</v>
      </c>
      <c r="E8283" t="s">
        <v>15</v>
      </c>
      <c r="F8283">
        <v>167.7</v>
      </c>
      <c r="G8283" t="str">
        <f>VLOOKUP(Table1_2[[#This Row],[Categories]],Sheet3!$A$1:$B$27,2,FALSE)</f>
        <v>Food &amp;Beverage</v>
      </c>
    </row>
    <row r="8284" spans="1:7" x14ac:dyDescent="0.3">
      <c r="A8284" t="s">
        <v>34</v>
      </c>
      <c r="B8284">
        <v>2021</v>
      </c>
      <c r="C8284" t="s">
        <v>43</v>
      </c>
      <c r="D8284" s="2">
        <v>44470</v>
      </c>
      <c r="E8284" t="s">
        <v>16</v>
      </c>
      <c r="F8284">
        <v>192.7</v>
      </c>
      <c r="G8284" t="str">
        <f>VLOOKUP(Table1_2[[#This Row],[Categories]],Sheet3!$A$1:$B$27,2,FALSE)</f>
        <v>Recreation and amusement</v>
      </c>
    </row>
    <row r="8285" spans="1:7" x14ac:dyDescent="0.3">
      <c r="A8285" t="s">
        <v>34</v>
      </c>
      <c r="B8285">
        <v>2021</v>
      </c>
      <c r="C8285" t="s">
        <v>43</v>
      </c>
      <c r="D8285" s="2">
        <v>44470</v>
      </c>
      <c r="E8285" t="s">
        <v>17</v>
      </c>
      <c r="F8285">
        <v>165.7</v>
      </c>
      <c r="G8285" t="str">
        <f>VLOOKUP(Table1_2[[#This Row],[Categories]],Sheet3!$A$1:$B$27,2,FALSE)</f>
        <v>Clothing and footwear</v>
      </c>
    </row>
    <row r="8286" spans="1:7" x14ac:dyDescent="0.3">
      <c r="A8286" t="s">
        <v>34</v>
      </c>
      <c r="B8286">
        <v>2021</v>
      </c>
      <c r="C8286" t="s">
        <v>43</v>
      </c>
      <c r="D8286" s="2">
        <v>44470</v>
      </c>
      <c r="E8286" t="s">
        <v>18</v>
      </c>
      <c r="F8286">
        <v>156.30000000000001</v>
      </c>
      <c r="G8286" t="str">
        <f>VLOOKUP(Table1_2[[#This Row],[Categories]],Sheet3!$A$1:$B$27,2,FALSE)</f>
        <v>Clothing and footwear</v>
      </c>
    </row>
    <row r="8287" spans="1:7" x14ac:dyDescent="0.3">
      <c r="A8287" t="s">
        <v>34</v>
      </c>
      <c r="B8287">
        <v>2021</v>
      </c>
      <c r="C8287" t="s">
        <v>43</v>
      </c>
      <c r="D8287" s="2">
        <v>44470</v>
      </c>
      <c r="E8287" t="s">
        <v>19</v>
      </c>
      <c r="F8287">
        <v>164.3</v>
      </c>
      <c r="G8287" t="str">
        <f>VLOOKUP(Table1_2[[#This Row],[Categories]],Sheet3!$A$1:$B$27,2,FALSE)</f>
        <v>Clothing and footwear</v>
      </c>
    </row>
    <row r="8288" spans="1:7" x14ac:dyDescent="0.3">
      <c r="A8288" t="s">
        <v>34</v>
      </c>
      <c r="B8288">
        <v>2021</v>
      </c>
      <c r="C8288" t="s">
        <v>43</v>
      </c>
      <c r="D8288" s="2">
        <v>44470</v>
      </c>
      <c r="E8288" t="s">
        <v>20</v>
      </c>
      <c r="F8288">
        <v>163.6</v>
      </c>
      <c r="G8288" t="str">
        <f>VLOOKUP(Table1_2[[#This Row],[Categories]],Sheet3!$A$1:$B$27,2,FALSE)</f>
        <v>Housing</v>
      </c>
    </row>
    <row r="8289" spans="1:7" x14ac:dyDescent="0.3">
      <c r="A8289" t="s">
        <v>34</v>
      </c>
      <c r="B8289">
        <v>2021</v>
      </c>
      <c r="C8289" t="s">
        <v>43</v>
      </c>
      <c r="D8289" s="2">
        <v>44470</v>
      </c>
      <c r="E8289" t="s">
        <v>21</v>
      </c>
      <c r="F8289">
        <v>164.2</v>
      </c>
      <c r="G8289" t="str">
        <f>VLOOKUP(Table1_2[[#This Row],[Categories]],Sheet3!$A$1:$B$27,2,FALSE)</f>
        <v>Fuel and light</v>
      </c>
    </row>
    <row r="8290" spans="1:7" x14ac:dyDescent="0.3">
      <c r="A8290" t="s">
        <v>34</v>
      </c>
      <c r="B8290">
        <v>2021</v>
      </c>
      <c r="C8290" t="s">
        <v>43</v>
      </c>
      <c r="D8290" s="2">
        <v>44470</v>
      </c>
      <c r="E8290" t="s">
        <v>22</v>
      </c>
      <c r="F8290">
        <v>158.4</v>
      </c>
      <c r="G8290" t="str">
        <f>VLOOKUP(Table1_2[[#This Row],[Categories]],Sheet3!$A$1:$B$27,2,FALSE)</f>
        <v>Household Items</v>
      </c>
    </row>
    <row r="8291" spans="1:7" x14ac:dyDescent="0.3">
      <c r="A8291" t="s">
        <v>34</v>
      </c>
      <c r="B8291">
        <v>2021</v>
      </c>
      <c r="C8291" t="s">
        <v>43</v>
      </c>
      <c r="D8291" s="2">
        <v>44470</v>
      </c>
      <c r="E8291" t="s">
        <v>23</v>
      </c>
      <c r="F8291">
        <v>169.1</v>
      </c>
      <c r="G8291" t="str">
        <f>VLOOKUP(Table1_2[[#This Row],[Categories]],Sheet3!$A$1:$B$27,2,FALSE)</f>
        <v>Health</v>
      </c>
    </row>
    <row r="8292" spans="1:7" x14ac:dyDescent="0.3">
      <c r="A8292" t="s">
        <v>34</v>
      </c>
      <c r="B8292">
        <v>2021</v>
      </c>
      <c r="C8292" t="s">
        <v>43</v>
      </c>
      <c r="D8292" s="2">
        <v>44470</v>
      </c>
      <c r="E8292" t="s">
        <v>24</v>
      </c>
      <c r="F8292">
        <v>155.69999999999999</v>
      </c>
      <c r="G8292" t="str">
        <f>VLOOKUP(Table1_2[[#This Row],[Categories]],Sheet3!$A$1:$B$27,2,FALSE)</f>
        <v>Transport and communication</v>
      </c>
    </row>
    <row r="8293" spans="1:7" x14ac:dyDescent="0.3">
      <c r="A8293" t="s">
        <v>34</v>
      </c>
      <c r="B8293">
        <v>2021</v>
      </c>
      <c r="C8293" t="s">
        <v>43</v>
      </c>
      <c r="D8293" s="2">
        <v>44470</v>
      </c>
      <c r="E8293" t="s">
        <v>25</v>
      </c>
      <c r="F8293">
        <v>158.6</v>
      </c>
      <c r="G8293" t="str">
        <f>VLOOKUP(Table1_2[[#This Row],[Categories]],Sheet3!$A$1:$B$27,2,FALSE)</f>
        <v>Recreation and amusement</v>
      </c>
    </row>
    <row r="8294" spans="1:7" x14ac:dyDescent="0.3">
      <c r="A8294" t="s">
        <v>34</v>
      </c>
      <c r="B8294">
        <v>2021</v>
      </c>
      <c r="C8294" t="s">
        <v>43</v>
      </c>
      <c r="D8294" s="2">
        <v>44470</v>
      </c>
      <c r="E8294" t="s">
        <v>26</v>
      </c>
      <c r="F8294">
        <v>163.9</v>
      </c>
      <c r="G8294" t="str">
        <f>VLOOKUP(Table1_2[[#This Row],[Categories]],Sheet3!$A$1:$B$27,2,FALSE)</f>
        <v>Education</v>
      </c>
    </row>
    <row r="8295" spans="1:7" x14ac:dyDescent="0.3">
      <c r="A8295" t="s">
        <v>34</v>
      </c>
      <c r="B8295">
        <v>2021</v>
      </c>
      <c r="C8295" t="s">
        <v>43</v>
      </c>
      <c r="D8295" s="2">
        <v>44470</v>
      </c>
      <c r="E8295" t="s">
        <v>27</v>
      </c>
      <c r="F8295">
        <v>160.80000000000001</v>
      </c>
      <c r="G8295" t="str">
        <f>VLOOKUP(Table1_2[[#This Row],[Categories]],Sheet3!$A$1:$B$27,2,FALSE)</f>
        <v>Household Items</v>
      </c>
    </row>
    <row r="8296" spans="1:7" x14ac:dyDescent="0.3">
      <c r="A8296" t="s">
        <v>34</v>
      </c>
      <c r="B8296">
        <v>2021</v>
      </c>
      <c r="C8296" t="s">
        <v>43</v>
      </c>
      <c r="D8296" s="2">
        <v>44470</v>
      </c>
      <c r="E8296" t="s">
        <v>28</v>
      </c>
      <c r="F8296">
        <v>161</v>
      </c>
      <c r="G8296" t="str">
        <f>VLOOKUP(Table1_2[[#This Row],[Categories]],Sheet3!$A$1:$B$27,2,FALSE)</f>
        <v>Miscellaneous</v>
      </c>
    </row>
    <row r="8297" spans="1:7" x14ac:dyDescent="0.3">
      <c r="A8297" t="s">
        <v>34</v>
      </c>
      <c r="B8297">
        <v>2021</v>
      </c>
      <c r="C8297" t="s">
        <v>43</v>
      </c>
      <c r="D8297" s="2">
        <v>44470</v>
      </c>
      <c r="E8297" t="s">
        <v>29</v>
      </c>
      <c r="F8297">
        <v>165.5</v>
      </c>
      <c r="G8297" t="str">
        <f>VLOOKUP(Table1_2[[#This Row],[Categories]],Sheet3!$A$1:$B$27,2,FALSE)</f>
        <v>General index</v>
      </c>
    </row>
    <row r="8298" spans="1:7" x14ac:dyDescent="0.3">
      <c r="A8298" t="s">
        <v>30</v>
      </c>
      <c r="B8298">
        <v>2021</v>
      </c>
      <c r="C8298" t="s">
        <v>45</v>
      </c>
      <c r="D8298" s="2">
        <v>44501</v>
      </c>
      <c r="E8298" t="s">
        <v>3</v>
      </c>
      <c r="F8298">
        <v>146.9</v>
      </c>
      <c r="G8298" t="str">
        <f>VLOOKUP(Table1_2[[#This Row],[Categories]],Sheet3!$A$1:$B$27,2,FALSE)</f>
        <v>Food &amp;Beverage</v>
      </c>
    </row>
    <row r="8299" spans="1:7" x14ac:dyDescent="0.3">
      <c r="A8299" t="s">
        <v>30</v>
      </c>
      <c r="B8299">
        <v>2021</v>
      </c>
      <c r="C8299" t="s">
        <v>45</v>
      </c>
      <c r="D8299" s="2">
        <v>44501</v>
      </c>
      <c r="E8299" t="s">
        <v>4</v>
      </c>
      <c r="F8299">
        <v>199.8</v>
      </c>
      <c r="G8299" t="str">
        <f>VLOOKUP(Table1_2[[#This Row],[Categories]],Sheet3!$A$1:$B$27,2,FALSE)</f>
        <v>Food &amp;Beverage</v>
      </c>
    </row>
    <row r="8300" spans="1:7" x14ac:dyDescent="0.3">
      <c r="A8300" t="s">
        <v>30</v>
      </c>
      <c r="B8300">
        <v>2021</v>
      </c>
      <c r="C8300" t="s">
        <v>45</v>
      </c>
      <c r="D8300" s="2">
        <v>44501</v>
      </c>
      <c r="E8300" t="s">
        <v>5</v>
      </c>
      <c r="F8300">
        <v>171.5</v>
      </c>
      <c r="G8300" t="str">
        <f>VLOOKUP(Table1_2[[#This Row],[Categories]],Sheet3!$A$1:$B$27,2,FALSE)</f>
        <v>Food &amp;Beverage</v>
      </c>
    </row>
    <row r="8301" spans="1:7" x14ac:dyDescent="0.3">
      <c r="A8301" t="s">
        <v>30</v>
      </c>
      <c r="B8301">
        <v>2021</v>
      </c>
      <c r="C8301" t="s">
        <v>45</v>
      </c>
      <c r="D8301" s="2">
        <v>44501</v>
      </c>
      <c r="E8301" t="s">
        <v>6</v>
      </c>
      <c r="F8301">
        <v>159.1</v>
      </c>
      <c r="G8301" t="str">
        <f>VLOOKUP(Table1_2[[#This Row],[Categories]],Sheet3!$A$1:$B$27,2,FALSE)</f>
        <v>Food &amp;Beverage</v>
      </c>
    </row>
    <row r="8302" spans="1:7" x14ac:dyDescent="0.3">
      <c r="A8302" t="s">
        <v>30</v>
      </c>
      <c r="B8302">
        <v>2021</v>
      </c>
      <c r="C8302" t="s">
        <v>45</v>
      </c>
      <c r="D8302" s="2">
        <v>44501</v>
      </c>
      <c r="E8302" t="s">
        <v>7</v>
      </c>
      <c r="F8302">
        <v>198.4</v>
      </c>
      <c r="G8302" t="str">
        <f>VLOOKUP(Table1_2[[#This Row],[Categories]],Sheet3!$A$1:$B$27,2,FALSE)</f>
        <v>Food &amp;Beverage</v>
      </c>
    </row>
    <row r="8303" spans="1:7" x14ac:dyDescent="0.3">
      <c r="A8303" t="s">
        <v>30</v>
      </c>
      <c r="B8303">
        <v>2021</v>
      </c>
      <c r="C8303" t="s">
        <v>45</v>
      </c>
      <c r="D8303" s="2">
        <v>44501</v>
      </c>
      <c r="E8303" t="s">
        <v>8</v>
      </c>
      <c r="F8303">
        <v>153.19999999999999</v>
      </c>
      <c r="G8303" t="str">
        <f>VLOOKUP(Table1_2[[#This Row],[Categories]],Sheet3!$A$1:$B$27,2,FALSE)</f>
        <v>Food &amp;Beverage</v>
      </c>
    </row>
    <row r="8304" spans="1:7" x14ac:dyDescent="0.3">
      <c r="A8304" t="s">
        <v>30</v>
      </c>
      <c r="B8304">
        <v>2021</v>
      </c>
      <c r="C8304" t="s">
        <v>45</v>
      </c>
      <c r="D8304" s="2">
        <v>44501</v>
      </c>
      <c r="E8304" t="s">
        <v>9</v>
      </c>
      <c r="F8304">
        <v>183.9</v>
      </c>
      <c r="G8304" t="str">
        <f>VLOOKUP(Table1_2[[#This Row],[Categories]],Sheet3!$A$1:$B$27,2,FALSE)</f>
        <v>Food &amp;Beverage</v>
      </c>
    </row>
    <row r="8305" spans="1:7" x14ac:dyDescent="0.3">
      <c r="A8305" t="s">
        <v>30</v>
      </c>
      <c r="B8305">
        <v>2021</v>
      </c>
      <c r="C8305" t="s">
        <v>45</v>
      </c>
      <c r="D8305" s="2">
        <v>44501</v>
      </c>
      <c r="E8305" t="s">
        <v>10</v>
      </c>
      <c r="F8305">
        <v>165.4</v>
      </c>
      <c r="G8305" t="str">
        <f>VLOOKUP(Table1_2[[#This Row],[Categories]],Sheet3!$A$1:$B$27,2,FALSE)</f>
        <v>Food &amp;Beverage</v>
      </c>
    </row>
    <row r="8306" spans="1:7" x14ac:dyDescent="0.3">
      <c r="A8306" t="s">
        <v>30</v>
      </c>
      <c r="B8306">
        <v>2021</v>
      </c>
      <c r="C8306" t="s">
        <v>45</v>
      </c>
      <c r="D8306" s="2">
        <v>44501</v>
      </c>
      <c r="E8306" t="s">
        <v>11</v>
      </c>
      <c r="F8306">
        <v>122.1</v>
      </c>
      <c r="G8306" t="str">
        <f>VLOOKUP(Table1_2[[#This Row],[Categories]],Sheet3!$A$1:$B$27,2,FALSE)</f>
        <v>Food &amp;Beverage</v>
      </c>
    </row>
    <row r="8307" spans="1:7" x14ac:dyDescent="0.3">
      <c r="A8307" t="s">
        <v>30</v>
      </c>
      <c r="B8307">
        <v>2021</v>
      </c>
      <c r="C8307" t="s">
        <v>45</v>
      </c>
      <c r="D8307" s="2">
        <v>44501</v>
      </c>
      <c r="E8307" t="s">
        <v>12</v>
      </c>
      <c r="F8307">
        <v>170.8</v>
      </c>
      <c r="G8307" t="str">
        <f>VLOOKUP(Table1_2[[#This Row],[Categories]],Sheet3!$A$1:$B$27,2,FALSE)</f>
        <v>Food &amp;Beverage</v>
      </c>
    </row>
    <row r="8308" spans="1:7" x14ac:dyDescent="0.3">
      <c r="A8308" t="s">
        <v>30</v>
      </c>
      <c r="B8308">
        <v>2021</v>
      </c>
      <c r="C8308" t="s">
        <v>45</v>
      </c>
      <c r="D8308" s="2">
        <v>44501</v>
      </c>
      <c r="E8308" t="s">
        <v>13</v>
      </c>
      <c r="F8308">
        <v>169.1</v>
      </c>
      <c r="G8308" t="str">
        <f>VLOOKUP(Table1_2[[#This Row],[Categories]],Sheet3!$A$1:$B$27,2,FALSE)</f>
        <v>Food &amp;Beverage</v>
      </c>
    </row>
    <row r="8309" spans="1:7" x14ac:dyDescent="0.3">
      <c r="A8309" t="s">
        <v>30</v>
      </c>
      <c r="B8309">
        <v>2021</v>
      </c>
      <c r="C8309" t="s">
        <v>45</v>
      </c>
      <c r="D8309" s="2">
        <v>44501</v>
      </c>
      <c r="E8309" t="s">
        <v>14</v>
      </c>
      <c r="F8309">
        <v>174.3</v>
      </c>
      <c r="G8309" t="str">
        <f>VLOOKUP(Table1_2[[#This Row],[Categories]],Sheet3!$A$1:$B$27,2,FALSE)</f>
        <v>Food &amp;Beverage</v>
      </c>
    </row>
    <row r="8310" spans="1:7" x14ac:dyDescent="0.3">
      <c r="A8310" t="s">
        <v>30</v>
      </c>
      <c r="B8310">
        <v>2021</v>
      </c>
      <c r="C8310" t="s">
        <v>45</v>
      </c>
      <c r="D8310" s="2">
        <v>44501</v>
      </c>
      <c r="E8310" t="s">
        <v>15</v>
      </c>
      <c r="F8310">
        <v>167.5</v>
      </c>
      <c r="G8310" t="str">
        <f>VLOOKUP(Table1_2[[#This Row],[Categories]],Sheet3!$A$1:$B$27,2,FALSE)</f>
        <v>Food &amp;Beverage</v>
      </c>
    </row>
    <row r="8311" spans="1:7" x14ac:dyDescent="0.3">
      <c r="A8311" t="s">
        <v>30</v>
      </c>
      <c r="B8311">
        <v>2021</v>
      </c>
      <c r="C8311" t="s">
        <v>45</v>
      </c>
      <c r="D8311" s="2">
        <v>44501</v>
      </c>
      <c r="E8311" t="s">
        <v>16</v>
      </c>
      <c r="F8311">
        <v>191.4</v>
      </c>
      <c r="G8311" t="str">
        <f>VLOOKUP(Table1_2[[#This Row],[Categories]],Sheet3!$A$1:$B$27,2,FALSE)</f>
        <v>Recreation and amusement</v>
      </c>
    </row>
    <row r="8312" spans="1:7" x14ac:dyDescent="0.3">
      <c r="A8312" t="s">
        <v>30</v>
      </c>
      <c r="B8312">
        <v>2021</v>
      </c>
      <c r="C8312" t="s">
        <v>45</v>
      </c>
      <c r="D8312" s="2">
        <v>44501</v>
      </c>
      <c r="E8312" t="s">
        <v>17</v>
      </c>
      <c r="F8312">
        <v>170.4</v>
      </c>
      <c r="G8312" t="str">
        <f>VLOOKUP(Table1_2[[#This Row],[Categories]],Sheet3!$A$1:$B$27,2,FALSE)</f>
        <v>Clothing and footwear</v>
      </c>
    </row>
    <row r="8313" spans="1:7" x14ac:dyDescent="0.3">
      <c r="A8313" t="s">
        <v>30</v>
      </c>
      <c r="B8313">
        <v>2021</v>
      </c>
      <c r="C8313" t="s">
        <v>45</v>
      </c>
      <c r="D8313" s="2">
        <v>44501</v>
      </c>
      <c r="E8313" t="s">
        <v>18</v>
      </c>
      <c r="F8313">
        <v>166</v>
      </c>
      <c r="G8313" t="str">
        <f>VLOOKUP(Table1_2[[#This Row],[Categories]],Sheet3!$A$1:$B$27,2,FALSE)</f>
        <v>Clothing and footwear</v>
      </c>
    </row>
    <row r="8314" spans="1:7" x14ac:dyDescent="0.3">
      <c r="A8314" t="s">
        <v>30</v>
      </c>
      <c r="B8314">
        <v>2021</v>
      </c>
      <c r="C8314" t="s">
        <v>45</v>
      </c>
      <c r="D8314" s="2">
        <v>44501</v>
      </c>
      <c r="E8314" t="s">
        <v>19</v>
      </c>
      <c r="F8314">
        <v>169.8</v>
      </c>
      <c r="G8314" t="str">
        <f>VLOOKUP(Table1_2[[#This Row],[Categories]],Sheet3!$A$1:$B$27,2,FALSE)</f>
        <v>Clothing and footwear</v>
      </c>
    </row>
    <row r="8315" spans="1:7" x14ac:dyDescent="0.3">
      <c r="A8315" t="s">
        <v>30</v>
      </c>
      <c r="B8315">
        <v>2021</v>
      </c>
      <c r="C8315" t="s">
        <v>45</v>
      </c>
      <c r="D8315" s="2">
        <v>44501</v>
      </c>
      <c r="E8315" t="s">
        <v>21</v>
      </c>
      <c r="F8315">
        <v>165.3</v>
      </c>
      <c r="G8315" t="str">
        <f>VLOOKUP(Table1_2[[#This Row],[Categories]],Sheet3!$A$1:$B$27,2,FALSE)</f>
        <v>Fuel and light</v>
      </c>
    </row>
    <row r="8316" spans="1:7" x14ac:dyDescent="0.3">
      <c r="A8316" t="s">
        <v>30</v>
      </c>
      <c r="B8316">
        <v>2021</v>
      </c>
      <c r="C8316" t="s">
        <v>45</v>
      </c>
      <c r="D8316" s="2">
        <v>44501</v>
      </c>
      <c r="E8316" t="s">
        <v>22</v>
      </c>
      <c r="F8316">
        <v>162.9</v>
      </c>
      <c r="G8316" t="str">
        <f>VLOOKUP(Table1_2[[#This Row],[Categories]],Sheet3!$A$1:$B$27,2,FALSE)</f>
        <v>Household Items</v>
      </c>
    </row>
    <row r="8317" spans="1:7" x14ac:dyDescent="0.3">
      <c r="A8317" t="s">
        <v>30</v>
      </c>
      <c r="B8317">
        <v>2021</v>
      </c>
      <c r="C8317" t="s">
        <v>45</v>
      </c>
      <c r="D8317" s="2">
        <v>44501</v>
      </c>
      <c r="E8317" t="s">
        <v>23</v>
      </c>
      <c r="F8317">
        <v>173.4</v>
      </c>
      <c r="G8317" t="str">
        <f>VLOOKUP(Table1_2[[#This Row],[Categories]],Sheet3!$A$1:$B$27,2,FALSE)</f>
        <v>Health</v>
      </c>
    </row>
    <row r="8318" spans="1:7" x14ac:dyDescent="0.3">
      <c r="A8318" t="s">
        <v>30</v>
      </c>
      <c r="B8318">
        <v>2021</v>
      </c>
      <c r="C8318" t="s">
        <v>45</v>
      </c>
      <c r="D8318" s="2">
        <v>44501</v>
      </c>
      <c r="E8318" t="s">
        <v>24</v>
      </c>
      <c r="F8318">
        <v>158.9</v>
      </c>
      <c r="G8318" t="str">
        <f>VLOOKUP(Table1_2[[#This Row],[Categories]],Sheet3!$A$1:$B$27,2,FALSE)</f>
        <v>Transport and communication</v>
      </c>
    </row>
    <row r="8319" spans="1:7" x14ac:dyDescent="0.3">
      <c r="A8319" t="s">
        <v>30</v>
      </c>
      <c r="B8319">
        <v>2021</v>
      </c>
      <c r="C8319" t="s">
        <v>45</v>
      </c>
      <c r="D8319" s="2">
        <v>44501</v>
      </c>
      <c r="E8319" t="s">
        <v>25</v>
      </c>
      <c r="F8319">
        <v>163.80000000000001</v>
      </c>
      <c r="G8319" t="str">
        <f>VLOOKUP(Table1_2[[#This Row],[Categories]],Sheet3!$A$1:$B$27,2,FALSE)</f>
        <v>Recreation and amusement</v>
      </c>
    </row>
    <row r="8320" spans="1:7" x14ac:dyDescent="0.3">
      <c r="A8320" t="s">
        <v>30</v>
      </c>
      <c r="B8320">
        <v>2021</v>
      </c>
      <c r="C8320" t="s">
        <v>45</v>
      </c>
      <c r="D8320" s="2">
        <v>44501</v>
      </c>
      <c r="E8320" t="s">
        <v>26</v>
      </c>
      <c r="F8320">
        <v>169.3</v>
      </c>
      <c r="G8320" t="str">
        <f>VLOOKUP(Table1_2[[#This Row],[Categories]],Sheet3!$A$1:$B$27,2,FALSE)</f>
        <v>Education</v>
      </c>
    </row>
    <row r="8321" spans="1:7" x14ac:dyDescent="0.3">
      <c r="A8321" t="s">
        <v>30</v>
      </c>
      <c r="B8321">
        <v>2021</v>
      </c>
      <c r="C8321" t="s">
        <v>45</v>
      </c>
      <c r="D8321" s="2">
        <v>44501</v>
      </c>
      <c r="E8321" t="s">
        <v>27</v>
      </c>
      <c r="F8321">
        <v>162.4</v>
      </c>
      <c r="G8321" t="str">
        <f>VLOOKUP(Table1_2[[#This Row],[Categories]],Sheet3!$A$1:$B$27,2,FALSE)</f>
        <v>Household Items</v>
      </c>
    </row>
    <row r="8322" spans="1:7" x14ac:dyDescent="0.3">
      <c r="A8322" t="s">
        <v>30</v>
      </c>
      <c r="B8322">
        <v>2021</v>
      </c>
      <c r="C8322" t="s">
        <v>45</v>
      </c>
      <c r="D8322" s="2">
        <v>44501</v>
      </c>
      <c r="E8322" t="s">
        <v>28</v>
      </c>
      <c r="F8322">
        <v>165.2</v>
      </c>
      <c r="G8322" t="str">
        <f>VLOOKUP(Table1_2[[#This Row],[Categories]],Sheet3!$A$1:$B$27,2,FALSE)</f>
        <v>Miscellaneous</v>
      </c>
    </row>
    <row r="8323" spans="1:7" x14ac:dyDescent="0.3">
      <c r="A8323" t="s">
        <v>30</v>
      </c>
      <c r="B8323">
        <v>2021</v>
      </c>
      <c r="C8323" t="s">
        <v>45</v>
      </c>
      <c r="D8323" s="2">
        <v>44501</v>
      </c>
      <c r="E8323" t="s">
        <v>29</v>
      </c>
      <c r="F8323">
        <v>167.6</v>
      </c>
      <c r="G8323" t="str">
        <f>VLOOKUP(Table1_2[[#This Row],[Categories]],Sheet3!$A$1:$B$27,2,FALSE)</f>
        <v>General index</v>
      </c>
    </row>
    <row r="8324" spans="1:7" x14ac:dyDescent="0.3">
      <c r="A8324" t="s">
        <v>33</v>
      </c>
      <c r="B8324">
        <v>2021</v>
      </c>
      <c r="C8324" t="s">
        <v>45</v>
      </c>
      <c r="D8324" s="2">
        <v>44501</v>
      </c>
      <c r="E8324" t="s">
        <v>3</v>
      </c>
      <c r="F8324">
        <v>151</v>
      </c>
      <c r="G8324" t="str">
        <f>VLOOKUP(Table1_2[[#This Row],[Categories]],Sheet3!$A$1:$B$27,2,FALSE)</f>
        <v>Food &amp;Beverage</v>
      </c>
    </row>
    <row r="8325" spans="1:7" x14ac:dyDescent="0.3">
      <c r="A8325" t="s">
        <v>33</v>
      </c>
      <c r="B8325">
        <v>2021</v>
      </c>
      <c r="C8325" t="s">
        <v>45</v>
      </c>
      <c r="D8325" s="2">
        <v>44501</v>
      </c>
      <c r="E8325" t="s">
        <v>4</v>
      </c>
      <c r="F8325">
        <v>204.9</v>
      </c>
      <c r="G8325" t="str">
        <f>VLOOKUP(Table1_2[[#This Row],[Categories]],Sheet3!$A$1:$B$27,2,FALSE)</f>
        <v>Food &amp;Beverage</v>
      </c>
    </row>
    <row r="8326" spans="1:7" x14ac:dyDescent="0.3">
      <c r="A8326" t="s">
        <v>33</v>
      </c>
      <c r="B8326">
        <v>2021</v>
      </c>
      <c r="C8326" t="s">
        <v>45</v>
      </c>
      <c r="D8326" s="2">
        <v>44501</v>
      </c>
      <c r="E8326" t="s">
        <v>5</v>
      </c>
      <c r="F8326">
        <v>175.4</v>
      </c>
      <c r="G8326" t="str">
        <f>VLOOKUP(Table1_2[[#This Row],[Categories]],Sheet3!$A$1:$B$27,2,FALSE)</f>
        <v>Food &amp;Beverage</v>
      </c>
    </row>
    <row r="8327" spans="1:7" x14ac:dyDescent="0.3">
      <c r="A8327" t="s">
        <v>33</v>
      </c>
      <c r="B8327">
        <v>2021</v>
      </c>
      <c r="C8327" t="s">
        <v>45</v>
      </c>
      <c r="D8327" s="2">
        <v>44501</v>
      </c>
      <c r="E8327" t="s">
        <v>6</v>
      </c>
      <c r="F8327">
        <v>159.6</v>
      </c>
      <c r="G8327" t="str">
        <f>VLOOKUP(Table1_2[[#This Row],[Categories]],Sheet3!$A$1:$B$27,2,FALSE)</f>
        <v>Food &amp;Beverage</v>
      </c>
    </row>
    <row r="8328" spans="1:7" x14ac:dyDescent="0.3">
      <c r="A8328" t="s">
        <v>33</v>
      </c>
      <c r="B8328">
        <v>2021</v>
      </c>
      <c r="C8328" t="s">
        <v>45</v>
      </c>
      <c r="D8328" s="2">
        <v>44501</v>
      </c>
      <c r="E8328" t="s">
        <v>7</v>
      </c>
      <c r="F8328">
        <v>175.8</v>
      </c>
      <c r="G8328" t="str">
        <f>VLOOKUP(Table1_2[[#This Row],[Categories]],Sheet3!$A$1:$B$27,2,FALSE)</f>
        <v>Food &amp;Beverage</v>
      </c>
    </row>
    <row r="8329" spans="1:7" x14ac:dyDescent="0.3">
      <c r="A8329" t="s">
        <v>33</v>
      </c>
      <c r="B8329">
        <v>2021</v>
      </c>
      <c r="C8329" t="s">
        <v>45</v>
      </c>
      <c r="D8329" s="2">
        <v>44501</v>
      </c>
      <c r="E8329" t="s">
        <v>8</v>
      </c>
      <c r="F8329">
        <v>160.30000000000001</v>
      </c>
      <c r="G8329" t="str">
        <f>VLOOKUP(Table1_2[[#This Row],[Categories]],Sheet3!$A$1:$B$27,2,FALSE)</f>
        <v>Food &amp;Beverage</v>
      </c>
    </row>
    <row r="8330" spans="1:7" x14ac:dyDescent="0.3">
      <c r="A8330" t="s">
        <v>33</v>
      </c>
      <c r="B8330">
        <v>2021</v>
      </c>
      <c r="C8330" t="s">
        <v>45</v>
      </c>
      <c r="D8330" s="2">
        <v>44501</v>
      </c>
      <c r="E8330" t="s">
        <v>9</v>
      </c>
      <c r="F8330">
        <v>229.1</v>
      </c>
      <c r="G8330" t="str">
        <f>VLOOKUP(Table1_2[[#This Row],[Categories]],Sheet3!$A$1:$B$27,2,FALSE)</f>
        <v>Food &amp;Beverage</v>
      </c>
    </row>
    <row r="8331" spans="1:7" x14ac:dyDescent="0.3">
      <c r="A8331" t="s">
        <v>33</v>
      </c>
      <c r="B8331">
        <v>2021</v>
      </c>
      <c r="C8331" t="s">
        <v>45</v>
      </c>
      <c r="D8331" s="2">
        <v>44501</v>
      </c>
      <c r="E8331" t="s">
        <v>10</v>
      </c>
      <c r="F8331">
        <v>165.1</v>
      </c>
      <c r="G8331" t="str">
        <f>VLOOKUP(Table1_2[[#This Row],[Categories]],Sheet3!$A$1:$B$27,2,FALSE)</f>
        <v>Food &amp;Beverage</v>
      </c>
    </row>
    <row r="8332" spans="1:7" x14ac:dyDescent="0.3">
      <c r="A8332" t="s">
        <v>33</v>
      </c>
      <c r="B8332">
        <v>2021</v>
      </c>
      <c r="C8332" t="s">
        <v>45</v>
      </c>
      <c r="D8332" s="2">
        <v>44501</v>
      </c>
      <c r="E8332" t="s">
        <v>11</v>
      </c>
      <c r="F8332">
        <v>123.1</v>
      </c>
      <c r="G8332" t="str">
        <f>VLOOKUP(Table1_2[[#This Row],[Categories]],Sheet3!$A$1:$B$27,2,FALSE)</f>
        <v>Food &amp;Beverage</v>
      </c>
    </row>
    <row r="8333" spans="1:7" x14ac:dyDescent="0.3">
      <c r="A8333" t="s">
        <v>33</v>
      </c>
      <c r="B8333">
        <v>2021</v>
      </c>
      <c r="C8333" t="s">
        <v>45</v>
      </c>
      <c r="D8333" s="2">
        <v>44501</v>
      </c>
      <c r="E8333" t="s">
        <v>12</v>
      </c>
      <c r="F8333">
        <v>167.2</v>
      </c>
      <c r="G8333" t="str">
        <f>VLOOKUP(Table1_2[[#This Row],[Categories]],Sheet3!$A$1:$B$27,2,FALSE)</f>
        <v>Food &amp;Beverage</v>
      </c>
    </row>
    <row r="8334" spans="1:7" x14ac:dyDescent="0.3">
      <c r="A8334" t="s">
        <v>33</v>
      </c>
      <c r="B8334">
        <v>2021</v>
      </c>
      <c r="C8334" t="s">
        <v>45</v>
      </c>
      <c r="D8334" s="2">
        <v>44501</v>
      </c>
      <c r="E8334" t="s">
        <v>13</v>
      </c>
      <c r="F8334">
        <v>156.1</v>
      </c>
      <c r="G8334" t="str">
        <f>VLOOKUP(Table1_2[[#This Row],[Categories]],Sheet3!$A$1:$B$27,2,FALSE)</f>
        <v>Food &amp;Beverage</v>
      </c>
    </row>
    <row r="8335" spans="1:7" x14ac:dyDescent="0.3">
      <c r="A8335" t="s">
        <v>33</v>
      </c>
      <c r="B8335">
        <v>2021</v>
      </c>
      <c r="C8335" t="s">
        <v>45</v>
      </c>
      <c r="D8335" s="2">
        <v>44501</v>
      </c>
      <c r="E8335" t="s">
        <v>14</v>
      </c>
      <c r="F8335">
        <v>176.8</v>
      </c>
      <c r="G8335" t="str">
        <f>VLOOKUP(Table1_2[[#This Row],[Categories]],Sheet3!$A$1:$B$27,2,FALSE)</f>
        <v>Food &amp;Beverage</v>
      </c>
    </row>
    <row r="8336" spans="1:7" x14ac:dyDescent="0.3">
      <c r="A8336" t="s">
        <v>33</v>
      </c>
      <c r="B8336">
        <v>2021</v>
      </c>
      <c r="C8336" t="s">
        <v>45</v>
      </c>
      <c r="D8336" s="2">
        <v>44501</v>
      </c>
      <c r="E8336" t="s">
        <v>15</v>
      </c>
      <c r="F8336">
        <v>173.5</v>
      </c>
      <c r="G8336" t="str">
        <f>VLOOKUP(Table1_2[[#This Row],[Categories]],Sheet3!$A$1:$B$27,2,FALSE)</f>
        <v>Food &amp;Beverage</v>
      </c>
    </row>
    <row r="8337" spans="1:7" x14ac:dyDescent="0.3">
      <c r="A8337" t="s">
        <v>33</v>
      </c>
      <c r="B8337">
        <v>2021</v>
      </c>
      <c r="C8337" t="s">
        <v>45</v>
      </c>
      <c r="D8337" s="2">
        <v>44501</v>
      </c>
      <c r="E8337" t="s">
        <v>16</v>
      </c>
      <c r="F8337">
        <v>197</v>
      </c>
      <c r="G8337" t="str">
        <f>VLOOKUP(Table1_2[[#This Row],[Categories]],Sheet3!$A$1:$B$27,2,FALSE)</f>
        <v>Recreation and amusement</v>
      </c>
    </row>
    <row r="8338" spans="1:7" x14ac:dyDescent="0.3">
      <c r="A8338" t="s">
        <v>33</v>
      </c>
      <c r="B8338">
        <v>2021</v>
      </c>
      <c r="C8338" t="s">
        <v>45</v>
      </c>
      <c r="D8338" s="2">
        <v>44501</v>
      </c>
      <c r="E8338" t="s">
        <v>17</v>
      </c>
      <c r="F8338">
        <v>162.30000000000001</v>
      </c>
      <c r="G8338" t="str">
        <f>VLOOKUP(Table1_2[[#This Row],[Categories]],Sheet3!$A$1:$B$27,2,FALSE)</f>
        <v>Clothing and footwear</v>
      </c>
    </row>
    <row r="8339" spans="1:7" x14ac:dyDescent="0.3">
      <c r="A8339" t="s">
        <v>33</v>
      </c>
      <c r="B8339">
        <v>2021</v>
      </c>
      <c r="C8339" t="s">
        <v>45</v>
      </c>
      <c r="D8339" s="2">
        <v>44501</v>
      </c>
      <c r="E8339" t="s">
        <v>18</v>
      </c>
      <c r="F8339">
        <v>145.30000000000001</v>
      </c>
      <c r="G8339" t="str">
        <f>VLOOKUP(Table1_2[[#This Row],[Categories]],Sheet3!$A$1:$B$27,2,FALSE)</f>
        <v>Clothing and footwear</v>
      </c>
    </row>
    <row r="8340" spans="1:7" x14ac:dyDescent="0.3">
      <c r="A8340" t="s">
        <v>33</v>
      </c>
      <c r="B8340">
        <v>2021</v>
      </c>
      <c r="C8340" t="s">
        <v>45</v>
      </c>
      <c r="D8340" s="2">
        <v>44501</v>
      </c>
      <c r="E8340" t="s">
        <v>19</v>
      </c>
      <c r="F8340">
        <v>159.69999999999999</v>
      </c>
      <c r="G8340" t="str">
        <f>VLOOKUP(Table1_2[[#This Row],[Categories]],Sheet3!$A$1:$B$27,2,FALSE)</f>
        <v>Clothing and footwear</v>
      </c>
    </row>
    <row r="8341" spans="1:7" x14ac:dyDescent="0.3">
      <c r="A8341" t="s">
        <v>33</v>
      </c>
      <c r="B8341">
        <v>2021</v>
      </c>
      <c r="C8341" t="s">
        <v>45</v>
      </c>
      <c r="D8341" s="2">
        <v>44501</v>
      </c>
      <c r="E8341" t="s">
        <v>20</v>
      </c>
      <c r="F8341">
        <v>164.2</v>
      </c>
      <c r="G8341" t="str">
        <f>VLOOKUP(Table1_2[[#This Row],[Categories]],Sheet3!$A$1:$B$27,2,FALSE)</f>
        <v>Housing</v>
      </c>
    </row>
    <row r="8342" spans="1:7" x14ac:dyDescent="0.3">
      <c r="A8342" t="s">
        <v>33</v>
      </c>
      <c r="B8342">
        <v>2021</v>
      </c>
      <c r="C8342" t="s">
        <v>45</v>
      </c>
      <c r="D8342" s="2">
        <v>44501</v>
      </c>
      <c r="E8342" t="s">
        <v>21</v>
      </c>
      <c r="F8342">
        <v>161.6</v>
      </c>
      <c r="G8342" t="str">
        <f>VLOOKUP(Table1_2[[#This Row],[Categories]],Sheet3!$A$1:$B$27,2,FALSE)</f>
        <v>Fuel and light</v>
      </c>
    </row>
    <row r="8343" spans="1:7" x14ac:dyDescent="0.3">
      <c r="A8343" t="s">
        <v>33</v>
      </c>
      <c r="B8343">
        <v>2021</v>
      </c>
      <c r="C8343" t="s">
        <v>45</v>
      </c>
      <c r="D8343" s="2">
        <v>44501</v>
      </c>
      <c r="E8343" t="s">
        <v>22</v>
      </c>
      <c r="F8343">
        <v>155.19999999999999</v>
      </c>
      <c r="G8343" t="str">
        <f>VLOOKUP(Table1_2[[#This Row],[Categories]],Sheet3!$A$1:$B$27,2,FALSE)</f>
        <v>Household Items</v>
      </c>
    </row>
    <row r="8344" spans="1:7" x14ac:dyDescent="0.3">
      <c r="A8344" t="s">
        <v>33</v>
      </c>
      <c r="B8344">
        <v>2021</v>
      </c>
      <c r="C8344" t="s">
        <v>45</v>
      </c>
      <c r="D8344" s="2">
        <v>44501</v>
      </c>
      <c r="E8344" t="s">
        <v>23</v>
      </c>
      <c r="F8344">
        <v>164.2</v>
      </c>
      <c r="G8344" t="str">
        <f>VLOOKUP(Table1_2[[#This Row],[Categories]],Sheet3!$A$1:$B$27,2,FALSE)</f>
        <v>Health</v>
      </c>
    </row>
    <row r="8345" spans="1:7" x14ac:dyDescent="0.3">
      <c r="A8345" t="s">
        <v>33</v>
      </c>
      <c r="B8345">
        <v>2021</v>
      </c>
      <c r="C8345" t="s">
        <v>45</v>
      </c>
      <c r="D8345" s="2">
        <v>44501</v>
      </c>
      <c r="E8345" t="s">
        <v>24</v>
      </c>
      <c r="F8345">
        <v>151.19999999999999</v>
      </c>
      <c r="G8345" t="str">
        <f>VLOOKUP(Table1_2[[#This Row],[Categories]],Sheet3!$A$1:$B$27,2,FALSE)</f>
        <v>Transport and communication</v>
      </c>
    </row>
    <row r="8346" spans="1:7" x14ac:dyDescent="0.3">
      <c r="A8346" t="s">
        <v>33</v>
      </c>
      <c r="B8346">
        <v>2021</v>
      </c>
      <c r="C8346" t="s">
        <v>45</v>
      </c>
      <c r="D8346" s="2">
        <v>44501</v>
      </c>
      <c r="E8346" t="s">
        <v>25</v>
      </c>
      <c r="F8346">
        <v>156.69999999999999</v>
      </c>
      <c r="G8346" t="str">
        <f>VLOOKUP(Table1_2[[#This Row],[Categories]],Sheet3!$A$1:$B$27,2,FALSE)</f>
        <v>Recreation and amusement</v>
      </c>
    </row>
    <row r="8347" spans="1:7" x14ac:dyDescent="0.3">
      <c r="A8347" t="s">
        <v>33</v>
      </c>
      <c r="B8347">
        <v>2021</v>
      </c>
      <c r="C8347" t="s">
        <v>45</v>
      </c>
      <c r="D8347" s="2">
        <v>44501</v>
      </c>
      <c r="E8347" t="s">
        <v>26</v>
      </c>
      <c r="F8347">
        <v>160.80000000000001</v>
      </c>
      <c r="G8347" t="str">
        <f>VLOOKUP(Table1_2[[#This Row],[Categories]],Sheet3!$A$1:$B$27,2,FALSE)</f>
        <v>Education</v>
      </c>
    </row>
    <row r="8348" spans="1:7" x14ac:dyDescent="0.3">
      <c r="A8348" t="s">
        <v>33</v>
      </c>
      <c r="B8348">
        <v>2021</v>
      </c>
      <c r="C8348" t="s">
        <v>45</v>
      </c>
      <c r="D8348" s="2">
        <v>44501</v>
      </c>
      <c r="E8348" t="s">
        <v>27</v>
      </c>
      <c r="F8348">
        <v>161.80000000000001</v>
      </c>
      <c r="G8348" t="str">
        <f>VLOOKUP(Table1_2[[#This Row],[Categories]],Sheet3!$A$1:$B$27,2,FALSE)</f>
        <v>Household Items</v>
      </c>
    </row>
    <row r="8349" spans="1:7" x14ac:dyDescent="0.3">
      <c r="A8349" t="s">
        <v>33</v>
      </c>
      <c r="B8349">
        <v>2021</v>
      </c>
      <c r="C8349" t="s">
        <v>45</v>
      </c>
      <c r="D8349" s="2">
        <v>44501</v>
      </c>
      <c r="E8349" t="s">
        <v>28</v>
      </c>
      <c r="F8349">
        <v>157.30000000000001</v>
      </c>
      <c r="G8349" t="str">
        <f>VLOOKUP(Table1_2[[#This Row],[Categories]],Sheet3!$A$1:$B$27,2,FALSE)</f>
        <v>Miscellaneous</v>
      </c>
    </row>
    <row r="8350" spans="1:7" x14ac:dyDescent="0.3">
      <c r="A8350" t="s">
        <v>33</v>
      </c>
      <c r="B8350">
        <v>2021</v>
      </c>
      <c r="C8350" t="s">
        <v>45</v>
      </c>
      <c r="D8350" s="2">
        <v>44501</v>
      </c>
      <c r="E8350" t="s">
        <v>29</v>
      </c>
      <c r="F8350">
        <v>165.6</v>
      </c>
      <c r="G8350" t="str">
        <f>VLOOKUP(Table1_2[[#This Row],[Categories]],Sheet3!$A$1:$B$27,2,FALSE)</f>
        <v>General index</v>
      </c>
    </row>
    <row r="8351" spans="1:7" x14ac:dyDescent="0.3">
      <c r="A8351" t="s">
        <v>34</v>
      </c>
      <c r="B8351">
        <v>2021</v>
      </c>
      <c r="C8351" t="s">
        <v>45</v>
      </c>
      <c r="D8351" s="2">
        <v>44501</v>
      </c>
      <c r="E8351" t="s">
        <v>3</v>
      </c>
      <c r="F8351">
        <v>148.19999999999999</v>
      </c>
      <c r="G8351" t="str">
        <f>VLOOKUP(Table1_2[[#This Row],[Categories]],Sheet3!$A$1:$B$27,2,FALSE)</f>
        <v>Food &amp;Beverage</v>
      </c>
    </row>
    <row r="8352" spans="1:7" x14ac:dyDescent="0.3">
      <c r="A8352" t="s">
        <v>34</v>
      </c>
      <c r="B8352">
        <v>2021</v>
      </c>
      <c r="C8352" t="s">
        <v>45</v>
      </c>
      <c r="D8352" s="2">
        <v>44501</v>
      </c>
      <c r="E8352" t="s">
        <v>4</v>
      </c>
      <c r="F8352">
        <v>201.6</v>
      </c>
      <c r="G8352" t="str">
        <f>VLOOKUP(Table1_2[[#This Row],[Categories]],Sheet3!$A$1:$B$27,2,FALSE)</f>
        <v>Food &amp;Beverage</v>
      </c>
    </row>
    <row r="8353" spans="1:7" x14ac:dyDescent="0.3">
      <c r="A8353" t="s">
        <v>34</v>
      </c>
      <c r="B8353">
        <v>2021</v>
      </c>
      <c r="C8353" t="s">
        <v>45</v>
      </c>
      <c r="D8353" s="2">
        <v>44501</v>
      </c>
      <c r="E8353" t="s">
        <v>5</v>
      </c>
      <c r="F8353">
        <v>173</v>
      </c>
      <c r="G8353" t="str">
        <f>VLOOKUP(Table1_2[[#This Row],[Categories]],Sheet3!$A$1:$B$27,2,FALSE)</f>
        <v>Food &amp;Beverage</v>
      </c>
    </row>
    <row r="8354" spans="1:7" x14ac:dyDescent="0.3">
      <c r="A8354" t="s">
        <v>34</v>
      </c>
      <c r="B8354">
        <v>2021</v>
      </c>
      <c r="C8354" t="s">
        <v>45</v>
      </c>
      <c r="D8354" s="2">
        <v>44501</v>
      </c>
      <c r="E8354" t="s">
        <v>6</v>
      </c>
      <c r="F8354">
        <v>159.30000000000001</v>
      </c>
      <c r="G8354" t="str">
        <f>VLOOKUP(Table1_2[[#This Row],[Categories]],Sheet3!$A$1:$B$27,2,FALSE)</f>
        <v>Food &amp;Beverage</v>
      </c>
    </row>
    <row r="8355" spans="1:7" x14ac:dyDescent="0.3">
      <c r="A8355" t="s">
        <v>34</v>
      </c>
      <c r="B8355">
        <v>2021</v>
      </c>
      <c r="C8355" t="s">
        <v>45</v>
      </c>
      <c r="D8355" s="2">
        <v>44501</v>
      </c>
      <c r="E8355" t="s">
        <v>7</v>
      </c>
      <c r="F8355">
        <v>190.1</v>
      </c>
      <c r="G8355" t="str">
        <f>VLOOKUP(Table1_2[[#This Row],[Categories]],Sheet3!$A$1:$B$27,2,FALSE)</f>
        <v>Food &amp;Beverage</v>
      </c>
    </row>
    <row r="8356" spans="1:7" x14ac:dyDescent="0.3">
      <c r="A8356" t="s">
        <v>34</v>
      </c>
      <c r="B8356">
        <v>2021</v>
      </c>
      <c r="C8356" t="s">
        <v>45</v>
      </c>
      <c r="D8356" s="2">
        <v>44501</v>
      </c>
      <c r="E8356" t="s">
        <v>8</v>
      </c>
      <c r="F8356">
        <v>156.5</v>
      </c>
      <c r="G8356" t="str">
        <f>VLOOKUP(Table1_2[[#This Row],[Categories]],Sheet3!$A$1:$B$27,2,FALSE)</f>
        <v>Food &amp;Beverage</v>
      </c>
    </row>
    <row r="8357" spans="1:7" x14ac:dyDescent="0.3">
      <c r="A8357" t="s">
        <v>34</v>
      </c>
      <c r="B8357">
        <v>2021</v>
      </c>
      <c r="C8357" t="s">
        <v>45</v>
      </c>
      <c r="D8357" s="2">
        <v>44501</v>
      </c>
      <c r="E8357" t="s">
        <v>9</v>
      </c>
      <c r="F8357">
        <v>199.2</v>
      </c>
      <c r="G8357" t="str">
        <f>VLOOKUP(Table1_2[[#This Row],[Categories]],Sheet3!$A$1:$B$27,2,FALSE)</f>
        <v>Food &amp;Beverage</v>
      </c>
    </row>
    <row r="8358" spans="1:7" x14ac:dyDescent="0.3">
      <c r="A8358" t="s">
        <v>34</v>
      </c>
      <c r="B8358">
        <v>2021</v>
      </c>
      <c r="C8358" t="s">
        <v>45</v>
      </c>
      <c r="D8358" s="2">
        <v>44501</v>
      </c>
      <c r="E8358" t="s">
        <v>10</v>
      </c>
      <c r="F8358">
        <v>165.3</v>
      </c>
      <c r="G8358" t="str">
        <f>VLOOKUP(Table1_2[[#This Row],[Categories]],Sheet3!$A$1:$B$27,2,FALSE)</f>
        <v>Food &amp;Beverage</v>
      </c>
    </row>
    <row r="8359" spans="1:7" x14ac:dyDescent="0.3">
      <c r="A8359" t="s">
        <v>34</v>
      </c>
      <c r="B8359">
        <v>2021</v>
      </c>
      <c r="C8359" t="s">
        <v>45</v>
      </c>
      <c r="D8359" s="2">
        <v>44501</v>
      </c>
      <c r="E8359" t="s">
        <v>11</v>
      </c>
      <c r="F8359">
        <v>122.4</v>
      </c>
      <c r="G8359" t="str">
        <f>VLOOKUP(Table1_2[[#This Row],[Categories]],Sheet3!$A$1:$B$27,2,FALSE)</f>
        <v>Food &amp;Beverage</v>
      </c>
    </row>
    <row r="8360" spans="1:7" x14ac:dyDescent="0.3">
      <c r="A8360" t="s">
        <v>34</v>
      </c>
      <c r="B8360">
        <v>2021</v>
      </c>
      <c r="C8360" t="s">
        <v>45</v>
      </c>
      <c r="D8360" s="2">
        <v>44501</v>
      </c>
      <c r="E8360" t="s">
        <v>12</v>
      </c>
      <c r="F8360">
        <v>169.6</v>
      </c>
      <c r="G8360" t="str">
        <f>VLOOKUP(Table1_2[[#This Row],[Categories]],Sheet3!$A$1:$B$27,2,FALSE)</f>
        <v>Food &amp;Beverage</v>
      </c>
    </row>
    <row r="8361" spans="1:7" x14ac:dyDescent="0.3">
      <c r="A8361" t="s">
        <v>34</v>
      </c>
      <c r="B8361">
        <v>2021</v>
      </c>
      <c r="C8361" t="s">
        <v>45</v>
      </c>
      <c r="D8361" s="2">
        <v>44501</v>
      </c>
      <c r="E8361" t="s">
        <v>13</v>
      </c>
      <c r="F8361">
        <v>163.69999999999999</v>
      </c>
      <c r="G8361" t="str">
        <f>VLOOKUP(Table1_2[[#This Row],[Categories]],Sheet3!$A$1:$B$27,2,FALSE)</f>
        <v>Food &amp;Beverage</v>
      </c>
    </row>
    <row r="8362" spans="1:7" x14ac:dyDescent="0.3">
      <c r="A8362" t="s">
        <v>34</v>
      </c>
      <c r="B8362">
        <v>2021</v>
      </c>
      <c r="C8362" t="s">
        <v>45</v>
      </c>
      <c r="D8362" s="2">
        <v>44501</v>
      </c>
      <c r="E8362" t="s">
        <v>14</v>
      </c>
      <c r="F8362">
        <v>175.5</v>
      </c>
      <c r="G8362" t="str">
        <f>VLOOKUP(Table1_2[[#This Row],[Categories]],Sheet3!$A$1:$B$27,2,FALSE)</f>
        <v>Food &amp;Beverage</v>
      </c>
    </row>
    <row r="8363" spans="1:7" x14ac:dyDescent="0.3">
      <c r="A8363" t="s">
        <v>34</v>
      </c>
      <c r="B8363">
        <v>2021</v>
      </c>
      <c r="C8363" t="s">
        <v>45</v>
      </c>
      <c r="D8363" s="2">
        <v>44501</v>
      </c>
      <c r="E8363" t="s">
        <v>15</v>
      </c>
      <c r="F8363">
        <v>169.7</v>
      </c>
      <c r="G8363" t="str">
        <f>VLOOKUP(Table1_2[[#This Row],[Categories]],Sheet3!$A$1:$B$27,2,FALSE)</f>
        <v>Food &amp;Beverage</v>
      </c>
    </row>
    <row r="8364" spans="1:7" x14ac:dyDescent="0.3">
      <c r="A8364" t="s">
        <v>34</v>
      </c>
      <c r="B8364">
        <v>2021</v>
      </c>
      <c r="C8364" t="s">
        <v>45</v>
      </c>
      <c r="D8364" s="2">
        <v>44501</v>
      </c>
      <c r="E8364" t="s">
        <v>16</v>
      </c>
      <c r="F8364">
        <v>192.9</v>
      </c>
      <c r="G8364" t="str">
        <f>VLOOKUP(Table1_2[[#This Row],[Categories]],Sheet3!$A$1:$B$27,2,FALSE)</f>
        <v>Recreation and amusement</v>
      </c>
    </row>
    <row r="8365" spans="1:7" x14ac:dyDescent="0.3">
      <c r="A8365" t="s">
        <v>34</v>
      </c>
      <c r="B8365">
        <v>2021</v>
      </c>
      <c r="C8365" t="s">
        <v>45</v>
      </c>
      <c r="D8365" s="2">
        <v>44501</v>
      </c>
      <c r="E8365" t="s">
        <v>17</v>
      </c>
      <c r="F8365">
        <v>167.2</v>
      </c>
      <c r="G8365" t="str">
        <f>VLOOKUP(Table1_2[[#This Row],[Categories]],Sheet3!$A$1:$B$27,2,FALSE)</f>
        <v>Clothing and footwear</v>
      </c>
    </row>
    <row r="8366" spans="1:7" x14ac:dyDescent="0.3">
      <c r="A8366" t="s">
        <v>34</v>
      </c>
      <c r="B8366">
        <v>2021</v>
      </c>
      <c r="C8366" t="s">
        <v>45</v>
      </c>
      <c r="D8366" s="2">
        <v>44501</v>
      </c>
      <c r="E8366" t="s">
        <v>18</v>
      </c>
      <c r="F8366">
        <v>157.4</v>
      </c>
      <c r="G8366" t="str">
        <f>VLOOKUP(Table1_2[[#This Row],[Categories]],Sheet3!$A$1:$B$27,2,FALSE)</f>
        <v>Clothing and footwear</v>
      </c>
    </row>
    <row r="8367" spans="1:7" x14ac:dyDescent="0.3">
      <c r="A8367" t="s">
        <v>34</v>
      </c>
      <c r="B8367">
        <v>2021</v>
      </c>
      <c r="C8367" t="s">
        <v>45</v>
      </c>
      <c r="D8367" s="2">
        <v>44501</v>
      </c>
      <c r="E8367" t="s">
        <v>19</v>
      </c>
      <c r="F8367">
        <v>165.8</v>
      </c>
      <c r="G8367" t="str">
        <f>VLOOKUP(Table1_2[[#This Row],[Categories]],Sheet3!$A$1:$B$27,2,FALSE)</f>
        <v>Clothing and footwear</v>
      </c>
    </row>
    <row r="8368" spans="1:7" x14ac:dyDescent="0.3">
      <c r="A8368" t="s">
        <v>34</v>
      </c>
      <c r="B8368">
        <v>2021</v>
      </c>
      <c r="C8368" t="s">
        <v>45</v>
      </c>
      <c r="D8368" s="2">
        <v>44501</v>
      </c>
      <c r="E8368" t="s">
        <v>20</v>
      </c>
      <c r="F8368">
        <v>164.2</v>
      </c>
      <c r="G8368" t="str">
        <f>VLOOKUP(Table1_2[[#This Row],[Categories]],Sheet3!$A$1:$B$27,2,FALSE)</f>
        <v>Housing</v>
      </c>
    </row>
    <row r="8369" spans="1:7" x14ac:dyDescent="0.3">
      <c r="A8369" t="s">
        <v>34</v>
      </c>
      <c r="B8369">
        <v>2021</v>
      </c>
      <c r="C8369" t="s">
        <v>45</v>
      </c>
      <c r="D8369" s="2">
        <v>44501</v>
      </c>
      <c r="E8369" t="s">
        <v>21</v>
      </c>
      <c r="F8369">
        <v>163.9</v>
      </c>
      <c r="G8369" t="str">
        <f>VLOOKUP(Table1_2[[#This Row],[Categories]],Sheet3!$A$1:$B$27,2,FALSE)</f>
        <v>Fuel and light</v>
      </c>
    </row>
    <row r="8370" spans="1:7" x14ac:dyDescent="0.3">
      <c r="A8370" t="s">
        <v>34</v>
      </c>
      <c r="B8370">
        <v>2021</v>
      </c>
      <c r="C8370" t="s">
        <v>45</v>
      </c>
      <c r="D8370" s="2">
        <v>44501</v>
      </c>
      <c r="E8370" t="s">
        <v>22</v>
      </c>
      <c r="F8370">
        <v>159.30000000000001</v>
      </c>
      <c r="G8370" t="str">
        <f>VLOOKUP(Table1_2[[#This Row],[Categories]],Sheet3!$A$1:$B$27,2,FALSE)</f>
        <v>Household Items</v>
      </c>
    </row>
    <row r="8371" spans="1:7" x14ac:dyDescent="0.3">
      <c r="A8371" t="s">
        <v>34</v>
      </c>
      <c r="B8371">
        <v>2021</v>
      </c>
      <c r="C8371" t="s">
        <v>45</v>
      </c>
      <c r="D8371" s="2">
        <v>44501</v>
      </c>
      <c r="E8371" t="s">
        <v>23</v>
      </c>
      <c r="F8371">
        <v>169.9</v>
      </c>
      <c r="G8371" t="str">
        <f>VLOOKUP(Table1_2[[#This Row],[Categories]],Sheet3!$A$1:$B$27,2,FALSE)</f>
        <v>Health</v>
      </c>
    </row>
    <row r="8372" spans="1:7" x14ac:dyDescent="0.3">
      <c r="A8372" t="s">
        <v>34</v>
      </c>
      <c r="B8372">
        <v>2021</v>
      </c>
      <c r="C8372" t="s">
        <v>45</v>
      </c>
      <c r="D8372" s="2">
        <v>44501</v>
      </c>
      <c r="E8372" t="s">
        <v>24</v>
      </c>
      <c r="F8372">
        <v>154.80000000000001</v>
      </c>
      <c r="G8372" t="str">
        <f>VLOOKUP(Table1_2[[#This Row],[Categories]],Sheet3!$A$1:$B$27,2,FALSE)</f>
        <v>Transport and communication</v>
      </c>
    </row>
    <row r="8373" spans="1:7" x14ac:dyDescent="0.3">
      <c r="A8373" t="s">
        <v>34</v>
      </c>
      <c r="B8373">
        <v>2021</v>
      </c>
      <c r="C8373" t="s">
        <v>45</v>
      </c>
      <c r="D8373" s="2">
        <v>44501</v>
      </c>
      <c r="E8373" t="s">
        <v>25</v>
      </c>
      <c r="F8373">
        <v>159.80000000000001</v>
      </c>
      <c r="G8373" t="str">
        <f>VLOOKUP(Table1_2[[#This Row],[Categories]],Sheet3!$A$1:$B$27,2,FALSE)</f>
        <v>Recreation and amusement</v>
      </c>
    </row>
    <row r="8374" spans="1:7" x14ac:dyDescent="0.3">
      <c r="A8374" t="s">
        <v>34</v>
      </c>
      <c r="B8374">
        <v>2021</v>
      </c>
      <c r="C8374" t="s">
        <v>45</v>
      </c>
      <c r="D8374" s="2">
        <v>44501</v>
      </c>
      <c r="E8374" t="s">
        <v>26</v>
      </c>
      <c r="F8374">
        <v>164.3</v>
      </c>
      <c r="G8374" t="str">
        <f>VLOOKUP(Table1_2[[#This Row],[Categories]],Sheet3!$A$1:$B$27,2,FALSE)</f>
        <v>Education</v>
      </c>
    </row>
    <row r="8375" spans="1:7" x14ac:dyDescent="0.3">
      <c r="A8375" t="s">
        <v>34</v>
      </c>
      <c r="B8375">
        <v>2021</v>
      </c>
      <c r="C8375" t="s">
        <v>45</v>
      </c>
      <c r="D8375" s="2">
        <v>44501</v>
      </c>
      <c r="E8375" t="s">
        <v>27</v>
      </c>
      <c r="F8375">
        <v>162.19999999999999</v>
      </c>
      <c r="G8375" t="str">
        <f>VLOOKUP(Table1_2[[#This Row],[Categories]],Sheet3!$A$1:$B$27,2,FALSE)</f>
        <v>Household Items</v>
      </c>
    </row>
    <row r="8376" spans="1:7" x14ac:dyDescent="0.3">
      <c r="A8376" t="s">
        <v>34</v>
      </c>
      <c r="B8376">
        <v>2021</v>
      </c>
      <c r="C8376" t="s">
        <v>45</v>
      </c>
      <c r="D8376" s="2">
        <v>44501</v>
      </c>
      <c r="E8376" t="s">
        <v>28</v>
      </c>
      <c r="F8376">
        <v>161.4</v>
      </c>
      <c r="G8376" t="str">
        <f>VLOOKUP(Table1_2[[#This Row],[Categories]],Sheet3!$A$1:$B$27,2,FALSE)</f>
        <v>Miscellaneous</v>
      </c>
    </row>
    <row r="8377" spans="1:7" x14ac:dyDescent="0.3">
      <c r="A8377" t="s">
        <v>34</v>
      </c>
      <c r="B8377">
        <v>2021</v>
      </c>
      <c r="C8377" t="s">
        <v>45</v>
      </c>
      <c r="D8377" s="2">
        <v>44501</v>
      </c>
      <c r="E8377" t="s">
        <v>29</v>
      </c>
      <c r="F8377">
        <v>166.7</v>
      </c>
      <c r="G8377" t="str">
        <f>VLOOKUP(Table1_2[[#This Row],[Categories]],Sheet3!$A$1:$B$27,2,FALSE)</f>
        <v>General index</v>
      </c>
    </row>
    <row r="8378" spans="1:7" x14ac:dyDescent="0.3">
      <c r="A8378" t="s">
        <v>30</v>
      </c>
      <c r="B8378">
        <v>2021</v>
      </c>
      <c r="C8378" t="s">
        <v>46</v>
      </c>
      <c r="D8378" s="2">
        <v>44531</v>
      </c>
      <c r="E8378" t="s">
        <v>3</v>
      </c>
      <c r="F8378">
        <v>147.4</v>
      </c>
      <c r="G8378" t="str">
        <f>VLOOKUP(Table1_2[[#This Row],[Categories]],Sheet3!$A$1:$B$27,2,FALSE)</f>
        <v>Food &amp;Beverage</v>
      </c>
    </row>
    <row r="8379" spans="1:7" x14ac:dyDescent="0.3">
      <c r="A8379" t="s">
        <v>30</v>
      </c>
      <c r="B8379">
        <v>2021</v>
      </c>
      <c r="C8379" t="s">
        <v>46</v>
      </c>
      <c r="D8379" s="2">
        <v>44531</v>
      </c>
      <c r="E8379" t="s">
        <v>4</v>
      </c>
      <c r="F8379">
        <v>197</v>
      </c>
      <c r="G8379" t="str">
        <f>VLOOKUP(Table1_2[[#This Row],[Categories]],Sheet3!$A$1:$B$27,2,FALSE)</f>
        <v>Food &amp;Beverage</v>
      </c>
    </row>
    <row r="8380" spans="1:7" x14ac:dyDescent="0.3">
      <c r="A8380" t="s">
        <v>30</v>
      </c>
      <c r="B8380">
        <v>2021</v>
      </c>
      <c r="C8380" t="s">
        <v>46</v>
      </c>
      <c r="D8380" s="2">
        <v>44531</v>
      </c>
      <c r="E8380" t="s">
        <v>5</v>
      </c>
      <c r="F8380">
        <v>176.5</v>
      </c>
      <c r="G8380" t="str">
        <f>VLOOKUP(Table1_2[[#This Row],[Categories]],Sheet3!$A$1:$B$27,2,FALSE)</f>
        <v>Food &amp;Beverage</v>
      </c>
    </row>
    <row r="8381" spans="1:7" x14ac:dyDescent="0.3">
      <c r="A8381" t="s">
        <v>30</v>
      </c>
      <c r="B8381">
        <v>2021</v>
      </c>
      <c r="C8381" t="s">
        <v>46</v>
      </c>
      <c r="D8381" s="2">
        <v>44531</v>
      </c>
      <c r="E8381" t="s">
        <v>6</v>
      </c>
      <c r="F8381">
        <v>159.80000000000001</v>
      </c>
      <c r="G8381" t="str">
        <f>VLOOKUP(Table1_2[[#This Row],[Categories]],Sheet3!$A$1:$B$27,2,FALSE)</f>
        <v>Food &amp;Beverage</v>
      </c>
    </row>
    <row r="8382" spans="1:7" x14ac:dyDescent="0.3">
      <c r="A8382" t="s">
        <v>30</v>
      </c>
      <c r="B8382">
        <v>2021</v>
      </c>
      <c r="C8382" t="s">
        <v>46</v>
      </c>
      <c r="D8382" s="2">
        <v>44531</v>
      </c>
      <c r="E8382" t="s">
        <v>7</v>
      </c>
      <c r="F8382">
        <v>195.8</v>
      </c>
      <c r="G8382" t="str">
        <f>VLOOKUP(Table1_2[[#This Row],[Categories]],Sheet3!$A$1:$B$27,2,FALSE)</f>
        <v>Food &amp;Beverage</v>
      </c>
    </row>
    <row r="8383" spans="1:7" x14ac:dyDescent="0.3">
      <c r="A8383" t="s">
        <v>30</v>
      </c>
      <c r="B8383">
        <v>2021</v>
      </c>
      <c r="C8383" t="s">
        <v>46</v>
      </c>
      <c r="D8383" s="2">
        <v>44531</v>
      </c>
      <c r="E8383" t="s">
        <v>8</v>
      </c>
      <c r="F8383">
        <v>152</v>
      </c>
      <c r="G8383" t="str">
        <f>VLOOKUP(Table1_2[[#This Row],[Categories]],Sheet3!$A$1:$B$27,2,FALSE)</f>
        <v>Food &amp;Beverage</v>
      </c>
    </row>
    <row r="8384" spans="1:7" x14ac:dyDescent="0.3">
      <c r="A8384" t="s">
        <v>30</v>
      </c>
      <c r="B8384">
        <v>2021</v>
      </c>
      <c r="C8384" t="s">
        <v>46</v>
      </c>
      <c r="D8384" s="2">
        <v>44531</v>
      </c>
      <c r="E8384" t="s">
        <v>9</v>
      </c>
      <c r="F8384">
        <v>172.3</v>
      </c>
      <c r="G8384" t="str">
        <f>VLOOKUP(Table1_2[[#This Row],[Categories]],Sheet3!$A$1:$B$27,2,FALSE)</f>
        <v>Food &amp;Beverage</v>
      </c>
    </row>
    <row r="8385" spans="1:7" x14ac:dyDescent="0.3">
      <c r="A8385" t="s">
        <v>30</v>
      </c>
      <c r="B8385">
        <v>2021</v>
      </c>
      <c r="C8385" t="s">
        <v>46</v>
      </c>
      <c r="D8385" s="2">
        <v>44531</v>
      </c>
      <c r="E8385" t="s">
        <v>10</v>
      </c>
      <c r="F8385">
        <v>164.5</v>
      </c>
      <c r="G8385" t="str">
        <f>VLOOKUP(Table1_2[[#This Row],[Categories]],Sheet3!$A$1:$B$27,2,FALSE)</f>
        <v>Food &amp;Beverage</v>
      </c>
    </row>
    <row r="8386" spans="1:7" x14ac:dyDescent="0.3">
      <c r="A8386" t="s">
        <v>30</v>
      </c>
      <c r="B8386">
        <v>2021</v>
      </c>
      <c r="C8386" t="s">
        <v>46</v>
      </c>
      <c r="D8386" s="2">
        <v>44531</v>
      </c>
      <c r="E8386" t="s">
        <v>11</v>
      </c>
      <c r="F8386">
        <v>120.6</v>
      </c>
      <c r="G8386" t="str">
        <f>VLOOKUP(Table1_2[[#This Row],[Categories]],Sheet3!$A$1:$B$27,2,FALSE)</f>
        <v>Food &amp;Beverage</v>
      </c>
    </row>
    <row r="8387" spans="1:7" x14ac:dyDescent="0.3">
      <c r="A8387" t="s">
        <v>30</v>
      </c>
      <c r="B8387">
        <v>2021</v>
      </c>
      <c r="C8387" t="s">
        <v>46</v>
      </c>
      <c r="D8387" s="2">
        <v>44531</v>
      </c>
      <c r="E8387" t="s">
        <v>12</v>
      </c>
      <c r="F8387">
        <v>171.7</v>
      </c>
      <c r="G8387" t="str">
        <f>VLOOKUP(Table1_2[[#This Row],[Categories]],Sheet3!$A$1:$B$27,2,FALSE)</f>
        <v>Food &amp;Beverage</v>
      </c>
    </row>
    <row r="8388" spans="1:7" x14ac:dyDescent="0.3">
      <c r="A8388" t="s">
        <v>30</v>
      </c>
      <c r="B8388">
        <v>2021</v>
      </c>
      <c r="C8388" t="s">
        <v>46</v>
      </c>
      <c r="D8388" s="2">
        <v>44531</v>
      </c>
      <c r="E8388" t="s">
        <v>13</v>
      </c>
      <c r="F8388">
        <v>169.7</v>
      </c>
      <c r="G8388" t="str">
        <f>VLOOKUP(Table1_2[[#This Row],[Categories]],Sheet3!$A$1:$B$27,2,FALSE)</f>
        <v>Food &amp;Beverage</v>
      </c>
    </row>
    <row r="8389" spans="1:7" x14ac:dyDescent="0.3">
      <c r="A8389" t="s">
        <v>30</v>
      </c>
      <c r="B8389">
        <v>2021</v>
      </c>
      <c r="C8389" t="s">
        <v>46</v>
      </c>
      <c r="D8389" s="2">
        <v>44531</v>
      </c>
      <c r="E8389" t="s">
        <v>14</v>
      </c>
      <c r="F8389">
        <v>175.1</v>
      </c>
      <c r="G8389" t="str">
        <f>VLOOKUP(Table1_2[[#This Row],[Categories]],Sheet3!$A$1:$B$27,2,FALSE)</f>
        <v>Food &amp;Beverage</v>
      </c>
    </row>
    <row r="8390" spans="1:7" x14ac:dyDescent="0.3">
      <c r="A8390" t="s">
        <v>30</v>
      </c>
      <c r="B8390">
        <v>2021</v>
      </c>
      <c r="C8390" t="s">
        <v>46</v>
      </c>
      <c r="D8390" s="2">
        <v>44531</v>
      </c>
      <c r="E8390" t="s">
        <v>15</v>
      </c>
      <c r="F8390">
        <v>165.8</v>
      </c>
      <c r="G8390" t="str">
        <f>VLOOKUP(Table1_2[[#This Row],[Categories]],Sheet3!$A$1:$B$27,2,FALSE)</f>
        <v>Food &amp;Beverage</v>
      </c>
    </row>
    <row r="8391" spans="1:7" x14ac:dyDescent="0.3">
      <c r="A8391" t="s">
        <v>30</v>
      </c>
      <c r="B8391">
        <v>2021</v>
      </c>
      <c r="C8391" t="s">
        <v>46</v>
      </c>
      <c r="D8391" s="2">
        <v>44531</v>
      </c>
      <c r="E8391" t="s">
        <v>16</v>
      </c>
      <c r="F8391">
        <v>190.8</v>
      </c>
      <c r="G8391" t="str">
        <f>VLOOKUP(Table1_2[[#This Row],[Categories]],Sheet3!$A$1:$B$27,2,FALSE)</f>
        <v>Recreation and amusement</v>
      </c>
    </row>
    <row r="8392" spans="1:7" x14ac:dyDescent="0.3">
      <c r="A8392" t="s">
        <v>30</v>
      </c>
      <c r="B8392">
        <v>2021</v>
      </c>
      <c r="C8392" t="s">
        <v>46</v>
      </c>
      <c r="D8392" s="2">
        <v>44531</v>
      </c>
      <c r="E8392" t="s">
        <v>17</v>
      </c>
      <c r="F8392">
        <v>171.8</v>
      </c>
      <c r="G8392" t="str">
        <f>VLOOKUP(Table1_2[[#This Row],[Categories]],Sheet3!$A$1:$B$27,2,FALSE)</f>
        <v>Clothing and footwear</v>
      </c>
    </row>
    <row r="8393" spans="1:7" x14ac:dyDescent="0.3">
      <c r="A8393" t="s">
        <v>30</v>
      </c>
      <c r="B8393">
        <v>2021</v>
      </c>
      <c r="C8393" t="s">
        <v>46</v>
      </c>
      <c r="D8393" s="2">
        <v>44531</v>
      </c>
      <c r="E8393" t="s">
        <v>18</v>
      </c>
      <c r="F8393">
        <v>167.3</v>
      </c>
      <c r="G8393" t="str">
        <f>VLOOKUP(Table1_2[[#This Row],[Categories]],Sheet3!$A$1:$B$27,2,FALSE)</f>
        <v>Clothing and footwear</v>
      </c>
    </row>
    <row r="8394" spans="1:7" x14ac:dyDescent="0.3">
      <c r="A8394" t="s">
        <v>30</v>
      </c>
      <c r="B8394">
        <v>2021</v>
      </c>
      <c r="C8394" t="s">
        <v>46</v>
      </c>
      <c r="D8394" s="2">
        <v>44531</v>
      </c>
      <c r="E8394" t="s">
        <v>19</v>
      </c>
      <c r="F8394">
        <v>171.2</v>
      </c>
      <c r="G8394" t="str">
        <f>VLOOKUP(Table1_2[[#This Row],[Categories]],Sheet3!$A$1:$B$27,2,FALSE)</f>
        <v>Clothing and footwear</v>
      </c>
    </row>
    <row r="8395" spans="1:7" x14ac:dyDescent="0.3">
      <c r="A8395" t="s">
        <v>30</v>
      </c>
      <c r="B8395">
        <v>2021</v>
      </c>
      <c r="C8395" t="s">
        <v>46</v>
      </c>
      <c r="D8395" s="2">
        <v>44531</v>
      </c>
      <c r="E8395" t="s">
        <v>21</v>
      </c>
      <c r="F8395">
        <v>165.6</v>
      </c>
      <c r="G8395" t="str">
        <f>VLOOKUP(Table1_2[[#This Row],[Categories]],Sheet3!$A$1:$B$27,2,FALSE)</f>
        <v>Fuel and light</v>
      </c>
    </row>
    <row r="8396" spans="1:7" x14ac:dyDescent="0.3">
      <c r="A8396" t="s">
        <v>30</v>
      </c>
      <c r="B8396">
        <v>2021</v>
      </c>
      <c r="C8396" t="s">
        <v>46</v>
      </c>
      <c r="D8396" s="2">
        <v>44531</v>
      </c>
      <c r="E8396" t="s">
        <v>22</v>
      </c>
      <c r="F8396">
        <v>163.9</v>
      </c>
      <c r="G8396" t="str">
        <f>VLOOKUP(Table1_2[[#This Row],[Categories]],Sheet3!$A$1:$B$27,2,FALSE)</f>
        <v>Household Items</v>
      </c>
    </row>
    <row r="8397" spans="1:7" x14ac:dyDescent="0.3">
      <c r="A8397" t="s">
        <v>30</v>
      </c>
      <c r="B8397">
        <v>2021</v>
      </c>
      <c r="C8397" t="s">
        <v>46</v>
      </c>
      <c r="D8397" s="2">
        <v>44531</v>
      </c>
      <c r="E8397" t="s">
        <v>23</v>
      </c>
      <c r="F8397">
        <v>174</v>
      </c>
      <c r="G8397" t="str">
        <f>VLOOKUP(Table1_2[[#This Row],[Categories]],Sheet3!$A$1:$B$27,2,FALSE)</f>
        <v>Health</v>
      </c>
    </row>
    <row r="8398" spans="1:7" x14ac:dyDescent="0.3">
      <c r="A8398" t="s">
        <v>30</v>
      </c>
      <c r="B8398">
        <v>2021</v>
      </c>
      <c r="C8398" t="s">
        <v>46</v>
      </c>
      <c r="D8398" s="2">
        <v>44531</v>
      </c>
      <c r="E8398" t="s">
        <v>24</v>
      </c>
      <c r="F8398">
        <v>160.1</v>
      </c>
      <c r="G8398" t="str">
        <f>VLOOKUP(Table1_2[[#This Row],[Categories]],Sheet3!$A$1:$B$27,2,FALSE)</f>
        <v>Transport and communication</v>
      </c>
    </row>
    <row r="8399" spans="1:7" x14ac:dyDescent="0.3">
      <c r="A8399" t="s">
        <v>30</v>
      </c>
      <c r="B8399">
        <v>2021</v>
      </c>
      <c r="C8399" t="s">
        <v>46</v>
      </c>
      <c r="D8399" s="2">
        <v>44531</v>
      </c>
      <c r="E8399" t="s">
        <v>25</v>
      </c>
      <c r="F8399">
        <v>164.5</v>
      </c>
      <c r="G8399" t="str">
        <f>VLOOKUP(Table1_2[[#This Row],[Categories]],Sheet3!$A$1:$B$27,2,FALSE)</f>
        <v>Recreation and amusement</v>
      </c>
    </row>
    <row r="8400" spans="1:7" x14ac:dyDescent="0.3">
      <c r="A8400" t="s">
        <v>30</v>
      </c>
      <c r="B8400">
        <v>2021</v>
      </c>
      <c r="C8400" t="s">
        <v>46</v>
      </c>
      <c r="D8400" s="2">
        <v>44531</v>
      </c>
      <c r="E8400" t="s">
        <v>26</v>
      </c>
      <c r="F8400">
        <v>169.7</v>
      </c>
      <c r="G8400" t="str">
        <f>VLOOKUP(Table1_2[[#This Row],[Categories]],Sheet3!$A$1:$B$27,2,FALSE)</f>
        <v>Education</v>
      </c>
    </row>
    <row r="8401" spans="1:7" x14ac:dyDescent="0.3">
      <c r="A8401" t="s">
        <v>30</v>
      </c>
      <c r="B8401">
        <v>2021</v>
      </c>
      <c r="C8401" t="s">
        <v>46</v>
      </c>
      <c r="D8401" s="2">
        <v>44531</v>
      </c>
      <c r="E8401" t="s">
        <v>27</v>
      </c>
      <c r="F8401">
        <v>162.80000000000001</v>
      </c>
      <c r="G8401" t="str">
        <f>VLOOKUP(Table1_2[[#This Row],[Categories]],Sheet3!$A$1:$B$27,2,FALSE)</f>
        <v>Household Items</v>
      </c>
    </row>
    <row r="8402" spans="1:7" x14ac:dyDescent="0.3">
      <c r="A8402" t="s">
        <v>30</v>
      </c>
      <c r="B8402">
        <v>2021</v>
      </c>
      <c r="C8402" t="s">
        <v>46</v>
      </c>
      <c r="D8402" s="2">
        <v>44531</v>
      </c>
      <c r="E8402" t="s">
        <v>28</v>
      </c>
      <c r="F8402">
        <v>166</v>
      </c>
      <c r="G8402" t="str">
        <f>VLOOKUP(Table1_2[[#This Row],[Categories]],Sheet3!$A$1:$B$27,2,FALSE)</f>
        <v>Miscellaneous</v>
      </c>
    </row>
    <row r="8403" spans="1:7" x14ac:dyDescent="0.3">
      <c r="A8403" t="s">
        <v>30</v>
      </c>
      <c r="B8403">
        <v>2021</v>
      </c>
      <c r="C8403" t="s">
        <v>46</v>
      </c>
      <c r="D8403" s="2">
        <v>44531</v>
      </c>
      <c r="E8403" t="s">
        <v>29</v>
      </c>
      <c r="F8403">
        <v>167</v>
      </c>
      <c r="G8403" t="str">
        <f>VLOOKUP(Table1_2[[#This Row],[Categories]],Sheet3!$A$1:$B$27,2,FALSE)</f>
        <v>General index</v>
      </c>
    </row>
    <row r="8404" spans="1:7" x14ac:dyDescent="0.3">
      <c r="A8404" t="s">
        <v>33</v>
      </c>
      <c r="B8404">
        <v>2021</v>
      </c>
      <c r="C8404" t="s">
        <v>46</v>
      </c>
      <c r="D8404" s="2">
        <v>44531</v>
      </c>
      <c r="E8404" t="s">
        <v>3</v>
      </c>
      <c r="F8404">
        <v>151.6</v>
      </c>
      <c r="G8404" t="str">
        <f>VLOOKUP(Table1_2[[#This Row],[Categories]],Sheet3!$A$1:$B$27,2,FALSE)</f>
        <v>Food &amp;Beverage</v>
      </c>
    </row>
    <row r="8405" spans="1:7" x14ac:dyDescent="0.3">
      <c r="A8405" t="s">
        <v>33</v>
      </c>
      <c r="B8405">
        <v>2021</v>
      </c>
      <c r="C8405" t="s">
        <v>46</v>
      </c>
      <c r="D8405" s="2">
        <v>44531</v>
      </c>
      <c r="E8405" t="s">
        <v>4</v>
      </c>
      <c r="F8405">
        <v>202.2</v>
      </c>
      <c r="G8405" t="str">
        <f>VLOOKUP(Table1_2[[#This Row],[Categories]],Sheet3!$A$1:$B$27,2,FALSE)</f>
        <v>Food &amp;Beverage</v>
      </c>
    </row>
    <row r="8406" spans="1:7" x14ac:dyDescent="0.3">
      <c r="A8406" t="s">
        <v>33</v>
      </c>
      <c r="B8406">
        <v>2021</v>
      </c>
      <c r="C8406" t="s">
        <v>46</v>
      </c>
      <c r="D8406" s="2">
        <v>44531</v>
      </c>
      <c r="E8406" t="s">
        <v>5</v>
      </c>
      <c r="F8406">
        <v>180</v>
      </c>
      <c r="G8406" t="str">
        <f>VLOOKUP(Table1_2[[#This Row],[Categories]],Sheet3!$A$1:$B$27,2,FALSE)</f>
        <v>Food &amp;Beverage</v>
      </c>
    </row>
    <row r="8407" spans="1:7" x14ac:dyDescent="0.3">
      <c r="A8407" t="s">
        <v>33</v>
      </c>
      <c r="B8407">
        <v>2021</v>
      </c>
      <c r="C8407" t="s">
        <v>46</v>
      </c>
      <c r="D8407" s="2">
        <v>44531</v>
      </c>
      <c r="E8407" t="s">
        <v>6</v>
      </c>
      <c r="F8407">
        <v>160</v>
      </c>
      <c r="G8407" t="str">
        <f>VLOOKUP(Table1_2[[#This Row],[Categories]],Sheet3!$A$1:$B$27,2,FALSE)</f>
        <v>Food &amp;Beverage</v>
      </c>
    </row>
    <row r="8408" spans="1:7" x14ac:dyDescent="0.3">
      <c r="A8408" t="s">
        <v>33</v>
      </c>
      <c r="B8408">
        <v>2021</v>
      </c>
      <c r="C8408" t="s">
        <v>46</v>
      </c>
      <c r="D8408" s="2">
        <v>44531</v>
      </c>
      <c r="E8408" t="s">
        <v>7</v>
      </c>
      <c r="F8408">
        <v>173.5</v>
      </c>
      <c r="G8408" t="str">
        <f>VLOOKUP(Table1_2[[#This Row],[Categories]],Sheet3!$A$1:$B$27,2,FALSE)</f>
        <v>Food &amp;Beverage</v>
      </c>
    </row>
    <row r="8409" spans="1:7" x14ac:dyDescent="0.3">
      <c r="A8409" t="s">
        <v>33</v>
      </c>
      <c r="B8409">
        <v>2021</v>
      </c>
      <c r="C8409" t="s">
        <v>46</v>
      </c>
      <c r="D8409" s="2">
        <v>44531</v>
      </c>
      <c r="E8409" t="s">
        <v>8</v>
      </c>
      <c r="F8409">
        <v>158.30000000000001</v>
      </c>
      <c r="G8409" t="str">
        <f>VLOOKUP(Table1_2[[#This Row],[Categories]],Sheet3!$A$1:$B$27,2,FALSE)</f>
        <v>Food &amp;Beverage</v>
      </c>
    </row>
    <row r="8410" spans="1:7" x14ac:dyDescent="0.3">
      <c r="A8410" t="s">
        <v>33</v>
      </c>
      <c r="B8410">
        <v>2021</v>
      </c>
      <c r="C8410" t="s">
        <v>46</v>
      </c>
      <c r="D8410" s="2">
        <v>44531</v>
      </c>
      <c r="E8410" t="s">
        <v>9</v>
      </c>
      <c r="F8410">
        <v>219.5</v>
      </c>
      <c r="G8410" t="str">
        <f>VLOOKUP(Table1_2[[#This Row],[Categories]],Sheet3!$A$1:$B$27,2,FALSE)</f>
        <v>Food &amp;Beverage</v>
      </c>
    </row>
    <row r="8411" spans="1:7" x14ac:dyDescent="0.3">
      <c r="A8411" t="s">
        <v>33</v>
      </c>
      <c r="B8411">
        <v>2021</v>
      </c>
      <c r="C8411" t="s">
        <v>46</v>
      </c>
      <c r="D8411" s="2">
        <v>44531</v>
      </c>
      <c r="E8411" t="s">
        <v>10</v>
      </c>
      <c r="F8411">
        <v>164.2</v>
      </c>
      <c r="G8411" t="str">
        <f>VLOOKUP(Table1_2[[#This Row],[Categories]],Sheet3!$A$1:$B$27,2,FALSE)</f>
        <v>Food &amp;Beverage</v>
      </c>
    </row>
    <row r="8412" spans="1:7" x14ac:dyDescent="0.3">
      <c r="A8412" t="s">
        <v>33</v>
      </c>
      <c r="B8412">
        <v>2021</v>
      </c>
      <c r="C8412" t="s">
        <v>46</v>
      </c>
      <c r="D8412" s="2">
        <v>44531</v>
      </c>
      <c r="E8412" t="s">
        <v>11</v>
      </c>
      <c r="F8412">
        <v>121.9</v>
      </c>
      <c r="G8412" t="str">
        <f>VLOOKUP(Table1_2[[#This Row],[Categories]],Sheet3!$A$1:$B$27,2,FALSE)</f>
        <v>Food &amp;Beverage</v>
      </c>
    </row>
    <row r="8413" spans="1:7" x14ac:dyDescent="0.3">
      <c r="A8413" t="s">
        <v>33</v>
      </c>
      <c r="B8413">
        <v>2021</v>
      </c>
      <c r="C8413" t="s">
        <v>46</v>
      </c>
      <c r="D8413" s="2">
        <v>44531</v>
      </c>
      <c r="E8413" t="s">
        <v>12</v>
      </c>
      <c r="F8413">
        <v>168.2</v>
      </c>
      <c r="G8413" t="str">
        <f>VLOOKUP(Table1_2[[#This Row],[Categories]],Sheet3!$A$1:$B$27,2,FALSE)</f>
        <v>Food &amp;Beverage</v>
      </c>
    </row>
    <row r="8414" spans="1:7" x14ac:dyDescent="0.3">
      <c r="A8414" t="s">
        <v>33</v>
      </c>
      <c r="B8414">
        <v>2021</v>
      </c>
      <c r="C8414" t="s">
        <v>46</v>
      </c>
      <c r="D8414" s="2">
        <v>44531</v>
      </c>
      <c r="E8414" t="s">
        <v>13</v>
      </c>
      <c r="F8414">
        <v>156.5</v>
      </c>
      <c r="G8414" t="str">
        <f>VLOOKUP(Table1_2[[#This Row],[Categories]],Sheet3!$A$1:$B$27,2,FALSE)</f>
        <v>Food &amp;Beverage</v>
      </c>
    </row>
    <row r="8415" spans="1:7" x14ac:dyDescent="0.3">
      <c r="A8415" t="s">
        <v>33</v>
      </c>
      <c r="B8415">
        <v>2021</v>
      </c>
      <c r="C8415" t="s">
        <v>46</v>
      </c>
      <c r="D8415" s="2">
        <v>44531</v>
      </c>
      <c r="E8415" t="s">
        <v>14</v>
      </c>
      <c r="F8415">
        <v>178.2</v>
      </c>
      <c r="G8415" t="str">
        <f>VLOOKUP(Table1_2[[#This Row],[Categories]],Sheet3!$A$1:$B$27,2,FALSE)</f>
        <v>Food &amp;Beverage</v>
      </c>
    </row>
    <row r="8416" spans="1:7" x14ac:dyDescent="0.3">
      <c r="A8416" t="s">
        <v>33</v>
      </c>
      <c r="B8416">
        <v>2021</v>
      </c>
      <c r="C8416" t="s">
        <v>46</v>
      </c>
      <c r="D8416" s="2">
        <v>44531</v>
      </c>
      <c r="E8416" t="s">
        <v>15</v>
      </c>
      <c r="F8416">
        <v>172.2</v>
      </c>
      <c r="G8416" t="str">
        <f>VLOOKUP(Table1_2[[#This Row],[Categories]],Sheet3!$A$1:$B$27,2,FALSE)</f>
        <v>Food &amp;Beverage</v>
      </c>
    </row>
    <row r="8417" spans="1:7" x14ac:dyDescent="0.3">
      <c r="A8417" t="s">
        <v>33</v>
      </c>
      <c r="B8417">
        <v>2021</v>
      </c>
      <c r="C8417" t="s">
        <v>46</v>
      </c>
      <c r="D8417" s="2">
        <v>44531</v>
      </c>
      <c r="E8417" t="s">
        <v>16</v>
      </c>
      <c r="F8417">
        <v>196.8</v>
      </c>
      <c r="G8417" t="str">
        <f>VLOOKUP(Table1_2[[#This Row],[Categories]],Sheet3!$A$1:$B$27,2,FALSE)</f>
        <v>Recreation and amusement</v>
      </c>
    </row>
    <row r="8418" spans="1:7" x14ac:dyDescent="0.3">
      <c r="A8418" t="s">
        <v>33</v>
      </c>
      <c r="B8418">
        <v>2021</v>
      </c>
      <c r="C8418" t="s">
        <v>46</v>
      </c>
      <c r="D8418" s="2">
        <v>44531</v>
      </c>
      <c r="E8418" t="s">
        <v>17</v>
      </c>
      <c r="F8418">
        <v>163.30000000000001</v>
      </c>
      <c r="G8418" t="str">
        <f>VLOOKUP(Table1_2[[#This Row],[Categories]],Sheet3!$A$1:$B$27,2,FALSE)</f>
        <v>Clothing and footwear</v>
      </c>
    </row>
    <row r="8419" spans="1:7" x14ac:dyDescent="0.3">
      <c r="A8419" t="s">
        <v>33</v>
      </c>
      <c r="B8419">
        <v>2021</v>
      </c>
      <c r="C8419" t="s">
        <v>46</v>
      </c>
      <c r="D8419" s="2">
        <v>44531</v>
      </c>
      <c r="E8419" t="s">
        <v>18</v>
      </c>
      <c r="F8419">
        <v>146.69999999999999</v>
      </c>
      <c r="G8419" t="str">
        <f>VLOOKUP(Table1_2[[#This Row],[Categories]],Sheet3!$A$1:$B$27,2,FALSE)</f>
        <v>Clothing and footwear</v>
      </c>
    </row>
    <row r="8420" spans="1:7" x14ac:dyDescent="0.3">
      <c r="A8420" t="s">
        <v>33</v>
      </c>
      <c r="B8420">
        <v>2021</v>
      </c>
      <c r="C8420" t="s">
        <v>46</v>
      </c>
      <c r="D8420" s="2">
        <v>44531</v>
      </c>
      <c r="E8420" t="s">
        <v>19</v>
      </c>
      <c r="F8420">
        <v>160.69999999999999</v>
      </c>
      <c r="G8420" t="str">
        <f>VLOOKUP(Table1_2[[#This Row],[Categories]],Sheet3!$A$1:$B$27,2,FALSE)</f>
        <v>Clothing and footwear</v>
      </c>
    </row>
    <row r="8421" spans="1:7" x14ac:dyDescent="0.3">
      <c r="A8421" t="s">
        <v>33</v>
      </c>
      <c r="B8421">
        <v>2021</v>
      </c>
      <c r="C8421" t="s">
        <v>46</v>
      </c>
      <c r="D8421" s="2">
        <v>44531</v>
      </c>
      <c r="E8421" t="s">
        <v>20</v>
      </c>
      <c r="F8421">
        <v>163.4</v>
      </c>
      <c r="G8421" t="str">
        <f>VLOOKUP(Table1_2[[#This Row],[Categories]],Sheet3!$A$1:$B$27,2,FALSE)</f>
        <v>Housing</v>
      </c>
    </row>
    <row r="8422" spans="1:7" x14ac:dyDescent="0.3">
      <c r="A8422" t="s">
        <v>33</v>
      </c>
      <c r="B8422">
        <v>2021</v>
      </c>
      <c r="C8422" t="s">
        <v>46</v>
      </c>
      <c r="D8422" s="2">
        <v>44531</v>
      </c>
      <c r="E8422" t="s">
        <v>21</v>
      </c>
      <c r="F8422">
        <v>161.69999999999999</v>
      </c>
      <c r="G8422" t="str">
        <f>VLOOKUP(Table1_2[[#This Row],[Categories]],Sheet3!$A$1:$B$27,2,FALSE)</f>
        <v>Fuel and light</v>
      </c>
    </row>
    <row r="8423" spans="1:7" x14ac:dyDescent="0.3">
      <c r="A8423" t="s">
        <v>33</v>
      </c>
      <c r="B8423">
        <v>2021</v>
      </c>
      <c r="C8423" t="s">
        <v>46</v>
      </c>
      <c r="D8423" s="2">
        <v>44531</v>
      </c>
      <c r="E8423" t="s">
        <v>22</v>
      </c>
      <c r="F8423">
        <v>156</v>
      </c>
      <c r="G8423" t="str">
        <f>VLOOKUP(Table1_2[[#This Row],[Categories]],Sheet3!$A$1:$B$27,2,FALSE)</f>
        <v>Household Items</v>
      </c>
    </row>
    <row r="8424" spans="1:7" x14ac:dyDescent="0.3">
      <c r="A8424" t="s">
        <v>33</v>
      </c>
      <c r="B8424">
        <v>2021</v>
      </c>
      <c r="C8424" t="s">
        <v>46</v>
      </c>
      <c r="D8424" s="2">
        <v>44531</v>
      </c>
      <c r="E8424" t="s">
        <v>23</v>
      </c>
      <c r="F8424">
        <v>165.1</v>
      </c>
      <c r="G8424" t="str">
        <f>VLOOKUP(Table1_2[[#This Row],[Categories]],Sheet3!$A$1:$B$27,2,FALSE)</f>
        <v>Health</v>
      </c>
    </row>
    <row r="8425" spans="1:7" x14ac:dyDescent="0.3">
      <c r="A8425" t="s">
        <v>33</v>
      </c>
      <c r="B8425">
        <v>2021</v>
      </c>
      <c r="C8425" t="s">
        <v>46</v>
      </c>
      <c r="D8425" s="2">
        <v>44531</v>
      </c>
      <c r="E8425" t="s">
        <v>24</v>
      </c>
      <c r="F8425">
        <v>151.80000000000001</v>
      </c>
      <c r="G8425" t="str">
        <f>VLOOKUP(Table1_2[[#This Row],[Categories]],Sheet3!$A$1:$B$27,2,FALSE)</f>
        <v>Transport and communication</v>
      </c>
    </row>
    <row r="8426" spans="1:7" x14ac:dyDescent="0.3">
      <c r="A8426" t="s">
        <v>33</v>
      </c>
      <c r="B8426">
        <v>2021</v>
      </c>
      <c r="C8426" t="s">
        <v>46</v>
      </c>
      <c r="D8426" s="2">
        <v>44531</v>
      </c>
      <c r="E8426" t="s">
        <v>25</v>
      </c>
      <c r="F8426">
        <v>157.6</v>
      </c>
      <c r="G8426" t="str">
        <f>VLOOKUP(Table1_2[[#This Row],[Categories]],Sheet3!$A$1:$B$27,2,FALSE)</f>
        <v>Recreation and amusement</v>
      </c>
    </row>
    <row r="8427" spans="1:7" x14ac:dyDescent="0.3">
      <c r="A8427" t="s">
        <v>33</v>
      </c>
      <c r="B8427">
        <v>2021</v>
      </c>
      <c r="C8427" t="s">
        <v>46</v>
      </c>
      <c r="D8427" s="2">
        <v>44531</v>
      </c>
      <c r="E8427" t="s">
        <v>26</v>
      </c>
      <c r="F8427">
        <v>160.6</v>
      </c>
      <c r="G8427" t="str">
        <f>VLOOKUP(Table1_2[[#This Row],[Categories]],Sheet3!$A$1:$B$27,2,FALSE)</f>
        <v>Education</v>
      </c>
    </row>
    <row r="8428" spans="1:7" x14ac:dyDescent="0.3">
      <c r="A8428" t="s">
        <v>33</v>
      </c>
      <c r="B8428">
        <v>2021</v>
      </c>
      <c r="C8428" t="s">
        <v>46</v>
      </c>
      <c r="D8428" s="2">
        <v>44531</v>
      </c>
      <c r="E8428" t="s">
        <v>27</v>
      </c>
      <c r="F8428">
        <v>162.4</v>
      </c>
      <c r="G8428" t="str">
        <f>VLOOKUP(Table1_2[[#This Row],[Categories]],Sheet3!$A$1:$B$27,2,FALSE)</f>
        <v>Household Items</v>
      </c>
    </row>
    <row r="8429" spans="1:7" x14ac:dyDescent="0.3">
      <c r="A8429" t="s">
        <v>33</v>
      </c>
      <c r="B8429">
        <v>2021</v>
      </c>
      <c r="C8429" t="s">
        <v>46</v>
      </c>
      <c r="D8429" s="2">
        <v>44531</v>
      </c>
      <c r="E8429" t="s">
        <v>28</v>
      </c>
      <c r="F8429">
        <v>157.80000000000001</v>
      </c>
      <c r="G8429" t="str">
        <f>VLOOKUP(Table1_2[[#This Row],[Categories]],Sheet3!$A$1:$B$27,2,FALSE)</f>
        <v>Miscellaneous</v>
      </c>
    </row>
    <row r="8430" spans="1:7" x14ac:dyDescent="0.3">
      <c r="A8430" t="s">
        <v>33</v>
      </c>
      <c r="B8430">
        <v>2021</v>
      </c>
      <c r="C8430" t="s">
        <v>46</v>
      </c>
      <c r="D8430" s="2">
        <v>44531</v>
      </c>
      <c r="E8430" t="s">
        <v>29</v>
      </c>
      <c r="F8430">
        <v>165.2</v>
      </c>
      <c r="G8430" t="str">
        <f>VLOOKUP(Table1_2[[#This Row],[Categories]],Sheet3!$A$1:$B$27,2,FALSE)</f>
        <v>General index</v>
      </c>
    </row>
    <row r="8431" spans="1:7" x14ac:dyDescent="0.3">
      <c r="A8431" t="s">
        <v>34</v>
      </c>
      <c r="B8431">
        <v>2021</v>
      </c>
      <c r="C8431" t="s">
        <v>46</v>
      </c>
      <c r="D8431" s="2">
        <v>44531</v>
      </c>
      <c r="E8431" t="s">
        <v>3</v>
      </c>
      <c r="F8431">
        <v>148.69999999999999</v>
      </c>
      <c r="G8431" t="str">
        <f>VLOOKUP(Table1_2[[#This Row],[Categories]],Sheet3!$A$1:$B$27,2,FALSE)</f>
        <v>Food &amp;Beverage</v>
      </c>
    </row>
    <row r="8432" spans="1:7" x14ac:dyDescent="0.3">
      <c r="A8432" t="s">
        <v>34</v>
      </c>
      <c r="B8432">
        <v>2021</v>
      </c>
      <c r="C8432" t="s">
        <v>46</v>
      </c>
      <c r="D8432" s="2">
        <v>44531</v>
      </c>
      <c r="E8432" t="s">
        <v>4</v>
      </c>
      <c r="F8432">
        <v>198.8</v>
      </c>
      <c r="G8432" t="str">
        <f>VLOOKUP(Table1_2[[#This Row],[Categories]],Sheet3!$A$1:$B$27,2,FALSE)</f>
        <v>Food &amp;Beverage</v>
      </c>
    </row>
    <row r="8433" spans="1:7" x14ac:dyDescent="0.3">
      <c r="A8433" t="s">
        <v>34</v>
      </c>
      <c r="B8433">
        <v>2021</v>
      </c>
      <c r="C8433" t="s">
        <v>46</v>
      </c>
      <c r="D8433" s="2">
        <v>44531</v>
      </c>
      <c r="E8433" t="s">
        <v>5</v>
      </c>
      <c r="F8433">
        <v>177.9</v>
      </c>
      <c r="G8433" t="str">
        <f>VLOOKUP(Table1_2[[#This Row],[Categories]],Sheet3!$A$1:$B$27,2,FALSE)</f>
        <v>Food &amp;Beverage</v>
      </c>
    </row>
    <row r="8434" spans="1:7" x14ac:dyDescent="0.3">
      <c r="A8434" t="s">
        <v>34</v>
      </c>
      <c r="B8434">
        <v>2021</v>
      </c>
      <c r="C8434" t="s">
        <v>46</v>
      </c>
      <c r="D8434" s="2">
        <v>44531</v>
      </c>
      <c r="E8434" t="s">
        <v>6</v>
      </c>
      <c r="F8434">
        <v>159.9</v>
      </c>
      <c r="G8434" t="str">
        <f>VLOOKUP(Table1_2[[#This Row],[Categories]],Sheet3!$A$1:$B$27,2,FALSE)</f>
        <v>Food &amp;Beverage</v>
      </c>
    </row>
    <row r="8435" spans="1:7" x14ac:dyDescent="0.3">
      <c r="A8435" t="s">
        <v>34</v>
      </c>
      <c r="B8435">
        <v>2021</v>
      </c>
      <c r="C8435" t="s">
        <v>46</v>
      </c>
      <c r="D8435" s="2">
        <v>44531</v>
      </c>
      <c r="E8435" t="s">
        <v>7</v>
      </c>
      <c r="F8435">
        <v>187.6</v>
      </c>
      <c r="G8435" t="str">
        <f>VLOOKUP(Table1_2[[#This Row],[Categories]],Sheet3!$A$1:$B$27,2,FALSE)</f>
        <v>Food &amp;Beverage</v>
      </c>
    </row>
    <row r="8436" spans="1:7" x14ac:dyDescent="0.3">
      <c r="A8436" t="s">
        <v>34</v>
      </c>
      <c r="B8436">
        <v>2021</v>
      </c>
      <c r="C8436" t="s">
        <v>46</v>
      </c>
      <c r="D8436" s="2">
        <v>44531</v>
      </c>
      <c r="E8436" t="s">
        <v>8</v>
      </c>
      <c r="F8436">
        <v>154.9</v>
      </c>
      <c r="G8436" t="str">
        <f>VLOOKUP(Table1_2[[#This Row],[Categories]],Sheet3!$A$1:$B$27,2,FALSE)</f>
        <v>Food &amp;Beverage</v>
      </c>
    </row>
    <row r="8437" spans="1:7" x14ac:dyDescent="0.3">
      <c r="A8437" t="s">
        <v>34</v>
      </c>
      <c r="B8437">
        <v>2021</v>
      </c>
      <c r="C8437" t="s">
        <v>46</v>
      </c>
      <c r="D8437" s="2">
        <v>44531</v>
      </c>
      <c r="E8437" t="s">
        <v>9</v>
      </c>
      <c r="F8437">
        <v>188.3</v>
      </c>
      <c r="G8437" t="str">
        <f>VLOOKUP(Table1_2[[#This Row],[Categories]],Sheet3!$A$1:$B$27,2,FALSE)</f>
        <v>Food &amp;Beverage</v>
      </c>
    </row>
    <row r="8438" spans="1:7" x14ac:dyDescent="0.3">
      <c r="A8438" t="s">
        <v>34</v>
      </c>
      <c r="B8438">
        <v>2021</v>
      </c>
      <c r="C8438" t="s">
        <v>46</v>
      </c>
      <c r="D8438" s="2">
        <v>44531</v>
      </c>
      <c r="E8438" t="s">
        <v>10</v>
      </c>
      <c r="F8438">
        <v>164.4</v>
      </c>
      <c r="G8438" t="str">
        <f>VLOOKUP(Table1_2[[#This Row],[Categories]],Sheet3!$A$1:$B$27,2,FALSE)</f>
        <v>Food &amp;Beverage</v>
      </c>
    </row>
    <row r="8439" spans="1:7" x14ac:dyDescent="0.3">
      <c r="A8439" t="s">
        <v>34</v>
      </c>
      <c r="B8439">
        <v>2021</v>
      </c>
      <c r="C8439" t="s">
        <v>46</v>
      </c>
      <c r="D8439" s="2">
        <v>44531</v>
      </c>
      <c r="E8439" t="s">
        <v>11</v>
      </c>
      <c r="F8439">
        <v>121</v>
      </c>
      <c r="G8439" t="str">
        <f>VLOOKUP(Table1_2[[#This Row],[Categories]],Sheet3!$A$1:$B$27,2,FALSE)</f>
        <v>Food &amp;Beverage</v>
      </c>
    </row>
    <row r="8440" spans="1:7" x14ac:dyDescent="0.3">
      <c r="A8440" t="s">
        <v>34</v>
      </c>
      <c r="B8440">
        <v>2021</v>
      </c>
      <c r="C8440" t="s">
        <v>46</v>
      </c>
      <c r="D8440" s="2">
        <v>44531</v>
      </c>
      <c r="E8440" t="s">
        <v>12</v>
      </c>
      <c r="F8440">
        <v>170.5</v>
      </c>
      <c r="G8440" t="str">
        <f>VLOOKUP(Table1_2[[#This Row],[Categories]],Sheet3!$A$1:$B$27,2,FALSE)</f>
        <v>Food &amp;Beverage</v>
      </c>
    </row>
    <row r="8441" spans="1:7" x14ac:dyDescent="0.3">
      <c r="A8441" t="s">
        <v>34</v>
      </c>
      <c r="B8441">
        <v>2021</v>
      </c>
      <c r="C8441" t="s">
        <v>46</v>
      </c>
      <c r="D8441" s="2">
        <v>44531</v>
      </c>
      <c r="E8441" t="s">
        <v>13</v>
      </c>
      <c r="F8441">
        <v>164.2</v>
      </c>
      <c r="G8441" t="str">
        <f>VLOOKUP(Table1_2[[#This Row],[Categories]],Sheet3!$A$1:$B$27,2,FALSE)</f>
        <v>Food &amp;Beverage</v>
      </c>
    </row>
    <row r="8442" spans="1:7" x14ac:dyDescent="0.3">
      <c r="A8442" t="s">
        <v>34</v>
      </c>
      <c r="B8442">
        <v>2021</v>
      </c>
      <c r="C8442" t="s">
        <v>46</v>
      </c>
      <c r="D8442" s="2">
        <v>44531</v>
      </c>
      <c r="E8442" t="s">
        <v>14</v>
      </c>
      <c r="F8442">
        <v>176.5</v>
      </c>
      <c r="G8442" t="str">
        <f>VLOOKUP(Table1_2[[#This Row],[Categories]],Sheet3!$A$1:$B$27,2,FALSE)</f>
        <v>Food &amp;Beverage</v>
      </c>
    </row>
    <row r="8443" spans="1:7" x14ac:dyDescent="0.3">
      <c r="A8443" t="s">
        <v>34</v>
      </c>
      <c r="B8443">
        <v>2021</v>
      </c>
      <c r="C8443" t="s">
        <v>46</v>
      </c>
      <c r="D8443" s="2">
        <v>44531</v>
      </c>
      <c r="E8443" t="s">
        <v>15</v>
      </c>
      <c r="F8443">
        <v>168.2</v>
      </c>
      <c r="G8443" t="str">
        <f>VLOOKUP(Table1_2[[#This Row],[Categories]],Sheet3!$A$1:$B$27,2,FALSE)</f>
        <v>Food &amp;Beverage</v>
      </c>
    </row>
    <row r="8444" spans="1:7" x14ac:dyDescent="0.3">
      <c r="A8444" t="s">
        <v>34</v>
      </c>
      <c r="B8444">
        <v>2021</v>
      </c>
      <c r="C8444" t="s">
        <v>46</v>
      </c>
      <c r="D8444" s="2">
        <v>44531</v>
      </c>
      <c r="E8444" t="s">
        <v>16</v>
      </c>
      <c r="F8444">
        <v>192.4</v>
      </c>
      <c r="G8444" t="str">
        <f>VLOOKUP(Table1_2[[#This Row],[Categories]],Sheet3!$A$1:$B$27,2,FALSE)</f>
        <v>Recreation and amusement</v>
      </c>
    </row>
    <row r="8445" spans="1:7" x14ac:dyDescent="0.3">
      <c r="A8445" t="s">
        <v>34</v>
      </c>
      <c r="B8445">
        <v>2021</v>
      </c>
      <c r="C8445" t="s">
        <v>46</v>
      </c>
      <c r="D8445" s="2">
        <v>44531</v>
      </c>
      <c r="E8445" t="s">
        <v>17</v>
      </c>
      <c r="F8445">
        <v>168.5</v>
      </c>
      <c r="G8445" t="str">
        <f>VLOOKUP(Table1_2[[#This Row],[Categories]],Sheet3!$A$1:$B$27,2,FALSE)</f>
        <v>Clothing and footwear</v>
      </c>
    </row>
    <row r="8446" spans="1:7" x14ac:dyDescent="0.3">
      <c r="A8446" t="s">
        <v>34</v>
      </c>
      <c r="B8446">
        <v>2021</v>
      </c>
      <c r="C8446" t="s">
        <v>46</v>
      </c>
      <c r="D8446" s="2">
        <v>44531</v>
      </c>
      <c r="E8446" t="s">
        <v>18</v>
      </c>
      <c r="F8446">
        <v>158.69999999999999</v>
      </c>
      <c r="G8446" t="str">
        <f>VLOOKUP(Table1_2[[#This Row],[Categories]],Sheet3!$A$1:$B$27,2,FALSE)</f>
        <v>Clothing and footwear</v>
      </c>
    </row>
    <row r="8447" spans="1:7" x14ac:dyDescent="0.3">
      <c r="A8447" t="s">
        <v>34</v>
      </c>
      <c r="B8447">
        <v>2021</v>
      </c>
      <c r="C8447" t="s">
        <v>46</v>
      </c>
      <c r="D8447" s="2">
        <v>44531</v>
      </c>
      <c r="E8447" t="s">
        <v>19</v>
      </c>
      <c r="F8447">
        <v>167</v>
      </c>
      <c r="G8447" t="str">
        <f>VLOOKUP(Table1_2[[#This Row],[Categories]],Sheet3!$A$1:$B$27,2,FALSE)</f>
        <v>Clothing and footwear</v>
      </c>
    </row>
    <row r="8448" spans="1:7" x14ac:dyDescent="0.3">
      <c r="A8448" t="s">
        <v>34</v>
      </c>
      <c r="B8448">
        <v>2021</v>
      </c>
      <c r="C8448" t="s">
        <v>46</v>
      </c>
      <c r="D8448" s="2">
        <v>44531</v>
      </c>
      <c r="E8448" t="s">
        <v>20</v>
      </c>
      <c r="F8448">
        <v>163.4</v>
      </c>
      <c r="G8448" t="str">
        <f>VLOOKUP(Table1_2[[#This Row],[Categories]],Sheet3!$A$1:$B$27,2,FALSE)</f>
        <v>Housing</v>
      </c>
    </row>
    <row r="8449" spans="1:7" x14ac:dyDescent="0.3">
      <c r="A8449" t="s">
        <v>34</v>
      </c>
      <c r="B8449">
        <v>2021</v>
      </c>
      <c r="C8449" t="s">
        <v>46</v>
      </c>
      <c r="D8449" s="2">
        <v>44531</v>
      </c>
      <c r="E8449" t="s">
        <v>21</v>
      </c>
      <c r="F8449">
        <v>164.1</v>
      </c>
      <c r="G8449" t="str">
        <f>VLOOKUP(Table1_2[[#This Row],[Categories]],Sheet3!$A$1:$B$27,2,FALSE)</f>
        <v>Fuel and light</v>
      </c>
    </row>
    <row r="8450" spans="1:7" x14ac:dyDescent="0.3">
      <c r="A8450" t="s">
        <v>34</v>
      </c>
      <c r="B8450">
        <v>2021</v>
      </c>
      <c r="C8450" t="s">
        <v>46</v>
      </c>
      <c r="D8450" s="2">
        <v>44531</v>
      </c>
      <c r="E8450" t="s">
        <v>22</v>
      </c>
      <c r="F8450">
        <v>160.19999999999999</v>
      </c>
      <c r="G8450" t="str">
        <f>VLOOKUP(Table1_2[[#This Row],[Categories]],Sheet3!$A$1:$B$27,2,FALSE)</f>
        <v>Household Items</v>
      </c>
    </row>
    <row r="8451" spans="1:7" x14ac:dyDescent="0.3">
      <c r="A8451" t="s">
        <v>34</v>
      </c>
      <c r="B8451">
        <v>2021</v>
      </c>
      <c r="C8451" t="s">
        <v>46</v>
      </c>
      <c r="D8451" s="2">
        <v>44531</v>
      </c>
      <c r="E8451" t="s">
        <v>23</v>
      </c>
      <c r="F8451">
        <v>170.6</v>
      </c>
      <c r="G8451" t="str">
        <f>VLOOKUP(Table1_2[[#This Row],[Categories]],Sheet3!$A$1:$B$27,2,FALSE)</f>
        <v>Health</v>
      </c>
    </row>
    <row r="8452" spans="1:7" x14ac:dyDescent="0.3">
      <c r="A8452" t="s">
        <v>34</v>
      </c>
      <c r="B8452">
        <v>2021</v>
      </c>
      <c r="C8452" t="s">
        <v>46</v>
      </c>
      <c r="D8452" s="2">
        <v>44531</v>
      </c>
      <c r="E8452" t="s">
        <v>24</v>
      </c>
      <c r="F8452">
        <v>155.69999999999999</v>
      </c>
      <c r="G8452" t="str">
        <f>VLOOKUP(Table1_2[[#This Row],[Categories]],Sheet3!$A$1:$B$27,2,FALSE)</f>
        <v>Transport and communication</v>
      </c>
    </row>
    <row r="8453" spans="1:7" x14ac:dyDescent="0.3">
      <c r="A8453" t="s">
        <v>34</v>
      </c>
      <c r="B8453">
        <v>2021</v>
      </c>
      <c r="C8453" t="s">
        <v>46</v>
      </c>
      <c r="D8453" s="2">
        <v>44531</v>
      </c>
      <c r="E8453" t="s">
        <v>25</v>
      </c>
      <c r="F8453">
        <v>160.6</v>
      </c>
      <c r="G8453" t="str">
        <f>VLOOKUP(Table1_2[[#This Row],[Categories]],Sheet3!$A$1:$B$27,2,FALSE)</f>
        <v>Recreation and amusement</v>
      </c>
    </row>
    <row r="8454" spans="1:7" x14ac:dyDescent="0.3">
      <c r="A8454" t="s">
        <v>34</v>
      </c>
      <c r="B8454">
        <v>2021</v>
      </c>
      <c r="C8454" t="s">
        <v>46</v>
      </c>
      <c r="D8454" s="2">
        <v>44531</v>
      </c>
      <c r="E8454" t="s">
        <v>26</v>
      </c>
      <c r="F8454">
        <v>164.4</v>
      </c>
      <c r="G8454" t="str">
        <f>VLOOKUP(Table1_2[[#This Row],[Categories]],Sheet3!$A$1:$B$27,2,FALSE)</f>
        <v>Education</v>
      </c>
    </row>
    <row r="8455" spans="1:7" x14ac:dyDescent="0.3">
      <c r="A8455" t="s">
        <v>34</v>
      </c>
      <c r="B8455">
        <v>2021</v>
      </c>
      <c r="C8455" t="s">
        <v>46</v>
      </c>
      <c r="D8455" s="2">
        <v>44531</v>
      </c>
      <c r="E8455" t="s">
        <v>27</v>
      </c>
      <c r="F8455">
        <v>162.6</v>
      </c>
      <c r="G8455" t="str">
        <f>VLOOKUP(Table1_2[[#This Row],[Categories]],Sheet3!$A$1:$B$27,2,FALSE)</f>
        <v>Household Items</v>
      </c>
    </row>
    <row r="8456" spans="1:7" x14ac:dyDescent="0.3">
      <c r="A8456" t="s">
        <v>34</v>
      </c>
      <c r="B8456">
        <v>2021</v>
      </c>
      <c r="C8456" t="s">
        <v>46</v>
      </c>
      <c r="D8456" s="2">
        <v>44531</v>
      </c>
      <c r="E8456" t="s">
        <v>28</v>
      </c>
      <c r="F8456">
        <v>162</v>
      </c>
      <c r="G8456" t="str">
        <f>VLOOKUP(Table1_2[[#This Row],[Categories]],Sheet3!$A$1:$B$27,2,FALSE)</f>
        <v>Miscellaneous</v>
      </c>
    </row>
    <row r="8457" spans="1:7" x14ac:dyDescent="0.3">
      <c r="A8457" t="s">
        <v>34</v>
      </c>
      <c r="B8457">
        <v>2021</v>
      </c>
      <c r="C8457" t="s">
        <v>46</v>
      </c>
      <c r="D8457" s="2">
        <v>44531</v>
      </c>
      <c r="E8457" t="s">
        <v>29</v>
      </c>
      <c r="F8457">
        <v>166.2</v>
      </c>
      <c r="G8457" t="str">
        <f>VLOOKUP(Table1_2[[#This Row],[Categories]],Sheet3!$A$1:$B$27,2,FALSE)</f>
        <v>General index</v>
      </c>
    </row>
    <row r="8458" spans="1:7" x14ac:dyDescent="0.3">
      <c r="A8458" t="s">
        <v>30</v>
      </c>
      <c r="B8458">
        <v>2022</v>
      </c>
      <c r="C8458" t="s">
        <v>31</v>
      </c>
      <c r="D8458" s="2">
        <v>44562</v>
      </c>
      <c r="E8458" t="s">
        <v>3</v>
      </c>
      <c r="F8458">
        <v>148.30000000000001</v>
      </c>
      <c r="G8458" t="str">
        <f>VLOOKUP(Table1_2[[#This Row],[Categories]],Sheet3!$A$1:$B$27,2,FALSE)</f>
        <v>Food &amp;Beverage</v>
      </c>
    </row>
    <row r="8459" spans="1:7" x14ac:dyDescent="0.3">
      <c r="A8459" t="s">
        <v>30</v>
      </c>
      <c r="B8459">
        <v>2022</v>
      </c>
      <c r="C8459" t="s">
        <v>31</v>
      </c>
      <c r="D8459" s="2">
        <v>44562</v>
      </c>
      <c r="E8459" t="s">
        <v>4</v>
      </c>
      <c r="F8459">
        <v>196.9</v>
      </c>
      <c r="G8459" t="str">
        <f>VLOOKUP(Table1_2[[#This Row],[Categories]],Sheet3!$A$1:$B$27,2,FALSE)</f>
        <v>Food &amp;Beverage</v>
      </c>
    </row>
    <row r="8460" spans="1:7" x14ac:dyDescent="0.3">
      <c r="A8460" t="s">
        <v>30</v>
      </c>
      <c r="B8460">
        <v>2022</v>
      </c>
      <c r="C8460" t="s">
        <v>31</v>
      </c>
      <c r="D8460" s="2">
        <v>44562</v>
      </c>
      <c r="E8460" t="s">
        <v>5</v>
      </c>
      <c r="F8460">
        <v>178</v>
      </c>
      <c r="G8460" t="str">
        <f>VLOOKUP(Table1_2[[#This Row],[Categories]],Sheet3!$A$1:$B$27,2,FALSE)</f>
        <v>Food &amp;Beverage</v>
      </c>
    </row>
    <row r="8461" spans="1:7" x14ac:dyDescent="0.3">
      <c r="A8461" t="s">
        <v>30</v>
      </c>
      <c r="B8461">
        <v>2022</v>
      </c>
      <c r="C8461" t="s">
        <v>31</v>
      </c>
      <c r="D8461" s="2">
        <v>44562</v>
      </c>
      <c r="E8461" t="s">
        <v>6</v>
      </c>
      <c r="F8461">
        <v>160.5</v>
      </c>
      <c r="G8461" t="str">
        <f>VLOOKUP(Table1_2[[#This Row],[Categories]],Sheet3!$A$1:$B$27,2,FALSE)</f>
        <v>Food &amp;Beverage</v>
      </c>
    </row>
    <row r="8462" spans="1:7" x14ac:dyDescent="0.3">
      <c r="A8462" t="s">
        <v>30</v>
      </c>
      <c r="B8462">
        <v>2022</v>
      </c>
      <c r="C8462" t="s">
        <v>31</v>
      </c>
      <c r="D8462" s="2">
        <v>44562</v>
      </c>
      <c r="E8462" t="s">
        <v>7</v>
      </c>
      <c r="F8462">
        <v>192.6</v>
      </c>
      <c r="G8462" t="str">
        <f>VLOOKUP(Table1_2[[#This Row],[Categories]],Sheet3!$A$1:$B$27,2,FALSE)</f>
        <v>Food &amp;Beverage</v>
      </c>
    </row>
    <row r="8463" spans="1:7" x14ac:dyDescent="0.3">
      <c r="A8463" t="s">
        <v>30</v>
      </c>
      <c r="B8463">
        <v>2022</v>
      </c>
      <c r="C8463" t="s">
        <v>31</v>
      </c>
      <c r="D8463" s="2">
        <v>44562</v>
      </c>
      <c r="E8463" t="s">
        <v>8</v>
      </c>
      <c r="F8463">
        <v>151.19999999999999</v>
      </c>
      <c r="G8463" t="str">
        <f>VLOOKUP(Table1_2[[#This Row],[Categories]],Sheet3!$A$1:$B$27,2,FALSE)</f>
        <v>Food &amp;Beverage</v>
      </c>
    </row>
    <row r="8464" spans="1:7" x14ac:dyDescent="0.3">
      <c r="A8464" t="s">
        <v>30</v>
      </c>
      <c r="B8464">
        <v>2022</v>
      </c>
      <c r="C8464" t="s">
        <v>31</v>
      </c>
      <c r="D8464" s="2">
        <v>44562</v>
      </c>
      <c r="E8464" t="s">
        <v>9</v>
      </c>
      <c r="F8464">
        <v>159.19999999999999</v>
      </c>
      <c r="G8464" t="str">
        <f>VLOOKUP(Table1_2[[#This Row],[Categories]],Sheet3!$A$1:$B$27,2,FALSE)</f>
        <v>Food &amp;Beverage</v>
      </c>
    </row>
    <row r="8465" spans="1:7" x14ac:dyDescent="0.3">
      <c r="A8465" t="s">
        <v>30</v>
      </c>
      <c r="B8465">
        <v>2022</v>
      </c>
      <c r="C8465" t="s">
        <v>31</v>
      </c>
      <c r="D8465" s="2">
        <v>44562</v>
      </c>
      <c r="E8465" t="s">
        <v>10</v>
      </c>
      <c r="F8465">
        <v>164</v>
      </c>
      <c r="G8465" t="str">
        <f>VLOOKUP(Table1_2[[#This Row],[Categories]],Sheet3!$A$1:$B$27,2,FALSE)</f>
        <v>Food &amp;Beverage</v>
      </c>
    </row>
    <row r="8466" spans="1:7" x14ac:dyDescent="0.3">
      <c r="A8466" t="s">
        <v>30</v>
      </c>
      <c r="B8466">
        <v>2022</v>
      </c>
      <c r="C8466" t="s">
        <v>31</v>
      </c>
      <c r="D8466" s="2">
        <v>44562</v>
      </c>
      <c r="E8466" t="s">
        <v>11</v>
      </c>
      <c r="F8466">
        <v>119.3</v>
      </c>
      <c r="G8466" t="str">
        <f>VLOOKUP(Table1_2[[#This Row],[Categories]],Sheet3!$A$1:$B$27,2,FALSE)</f>
        <v>Food &amp;Beverage</v>
      </c>
    </row>
    <row r="8467" spans="1:7" x14ac:dyDescent="0.3">
      <c r="A8467" t="s">
        <v>30</v>
      </c>
      <c r="B8467">
        <v>2022</v>
      </c>
      <c r="C8467" t="s">
        <v>31</v>
      </c>
      <c r="D8467" s="2">
        <v>44562</v>
      </c>
      <c r="E8467" t="s">
        <v>12</v>
      </c>
      <c r="F8467">
        <v>173.3</v>
      </c>
      <c r="G8467" t="str">
        <f>VLOOKUP(Table1_2[[#This Row],[Categories]],Sheet3!$A$1:$B$27,2,FALSE)</f>
        <v>Food &amp;Beverage</v>
      </c>
    </row>
    <row r="8468" spans="1:7" x14ac:dyDescent="0.3">
      <c r="A8468" t="s">
        <v>30</v>
      </c>
      <c r="B8468">
        <v>2022</v>
      </c>
      <c r="C8468" t="s">
        <v>31</v>
      </c>
      <c r="D8468" s="2">
        <v>44562</v>
      </c>
      <c r="E8468" t="s">
        <v>13</v>
      </c>
      <c r="F8468">
        <v>169.8</v>
      </c>
      <c r="G8468" t="str">
        <f>VLOOKUP(Table1_2[[#This Row],[Categories]],Sheet3!$A$1:$B$27,2,FALSE)</f>
        <v>Food &amp;Beverage</v>
      </c>
    </row>
    <row r="8469" spans="1:7" x14ac:dyDescent="0.3">
      <c r="A8469" t="s">
        <v>30</v>
      </c>
      <c r="B8469">
        <v>2022</v>
      </c>
      <c r="C8469" t="s">
        <v>31</v>
      </c>
      <c r="D8469" s="2">
        <v>44562</v>
      </c>
      <c r="E8469" t="s">
        <v>14</v>
      </c>
      <c r="F8469">
        <v>175.8</v>
      </c>
      <c r="G8469" t="str">
        <f>VLOOKUP(Table1_2[[#This Row],[Categories]],Sheet3!$A$1:$B$27,2,FALSE)</f>
        <v>Food &amp;Beverage</v>
      </c>
    </row>
    <row r="8470" spans="1:7" x14ac:dyDescent="0.3">
      <c r="A8470" t="s">
        <v>30</v>
      </c>
      <c r="B8470">
        <v>2022</v>
      </c>
      <c r="C8470" t="s">
        <v>31</v>
      </c>
      <c r="D8470" s="2">
        <v>44562</v>
      </c>
      <c r="E8470" t="s">
        <v>15</v>
      </c>
      <c r="F8470">
        <v>164.1</v>
      </c>
      <c r="G8470" t="str">
        <f>VLOOKUP(Table1_2[[#This Row],[Categories]],Sheet3!$A$1:$B$27,2,FALSE)</f>
        <v>Food &amp;Beverage</v>
      </c>
    </row>
    <row r="8471" spans="1:7" x14ac:dyDescent="0.3">
      <c r="A8471" t="s">
        <v>30</v>
      </c>
      <c r="B8471">
        <v>2022</v>
      </c>
      <c r="C8471" t="s">
        <v>31</v>
      </c>
      <c r="D8471" s="2">
        <v>44562</v>
      </c>
      <c r="E8471" t="s">
        <v>16</v>
      </c>
      <c r="F8471">
        <v>190.7</v>
      </c>
      <c r="G8471" t="str">
        <f>VLOOKUP(Table1_2[[#This Row],[Categories]],Sheet3!$A$1:$B$27,2,FALSE)</f>
        <v>Recreation and amusement</v>
      </c>
    </row>
    <row r="8472" spans="1:7" x14ac:dyDescent="0.3">
      <c r="A8472" t="s">
        <v>30</v>
      </c>
      <c r="B8472">
        <v>2022</v>
      </c>
      <c r="C8472" t="s">
        <v>31</v>
      </c>
      <c r="D8472" s="2">
        <v>44562</v>
      </c>
      <c r="E8472" t="s">
        <v>17</v>
      </c>
      <c r="F8472">
        <v>173.2</v>
      </c>
      <c r="G8472" t="str">
        <f>VLOOKUP(Table1_2[[#This Row],[Categories]],Sheet3!$A$1:$B$27,2,FALSE)</f>
        <v>Clothing and footwear</v>
      </c>
    </row>
    <row r="8473" spans="1:7" x14ac:dyDescent="0.3">
      <c r="A8473" t="s">
        <v>30</v>
      </c>
      <c r="B8473">
        <v>2022</v>
      </c>
      <c r="C8473" t="s">
        <v>31</v>
      </c>
      <c r="D8473" s="2">
        <v>44562</v>
      </c>
      <c r="E8473" t="s">
        <v>18</v>
      </c>
      <c r="F8473">
        <v>169.3</v>
      </c>
      <c r="G8473" t="str">
        <f>VLOOKUP(Table1_2[[#This Row],[Categories]],Sheet3!$A$1:$B$27,2,FALSE)</f>
        <v>Clothing and footwear</v>
      </c>
    </row>
    <row r="8474" spans="1:7" x14ac:dyDescent="0.3">
      <c r="A8474" t="s">
        <v>30</v>
      </c>
      <c r="B8474">
        <v>2022</v>
      </c>
      <c r="C8474" t="s">
        <v>31</v>
      </c>
      <c r="D8474" s="2">
        <v>44562</v>
      </c>
      <c r="E8474" t="s">
        <v>19</v>
      </c>
      <c r="F8474">
        <v>172.7</v>
      </c>
      <c r="G8474" t="str">
        <f>VLOOKUP(Table1_2[[#This Row],[Categories]],Sheet3!$A$1:$B$27,2,FALSE)</f>
        <v>Clothing and footwear</v>
      </c>
    </row>
    <row r="8475" spans="1:7" x14ac:dyDescent="0.3">
      <c r="A8475" t="s">
        <v>30</v>
      </c>
      <c r="B8475">
        <v>2022</v>
      </c>
      <c r="C8475" t="s">
        <v>31</v>
      </c>
      <c r="D8475" s="2">
        <v>44562</v>
      </c>
      <c r="E8475" t="s">
        <v>21</v>
      </c>
      <c r="F8475">
        <v>165.8</v>
      </c>
      <c r="G8475" t="str">
        <f>VLOOKUP(Table1_2[[#This Row],[Categories]],Sheet3!$A$1:$B$27,2,FALSE)</f>
        <v>Fuel and light</v>
      </c>
    </row>
    <row r="8476" spans="1:7" x14ac:dyDescent="0.3">
      <c r="A8476" t="s">
        <v>30</v>
      </c>
      <c r="B8476">
        <v>2022</v>
      </c>
      <c r="C8476" t="s">
        <v>31</v>
      </c>
      <c r="D8476" s="2">
        <v>44562</v>
      </c>
      <c r="E8476" t="s">
        <v>22</v>
      </c>
      <c r="F8476">
        <v>164.9</v>
      </c>
      <c r="G8476" t="str">
        <f>VLOOKUP(Table1_2[[#This Row],[Categories]],Sheet3!$A$1:$B$27,2,FALSE)</f>
        <v>Household Items</v>
      </c>
    </row>
    <row r="8477" spans="1:7" x14ac:dyDescent="0.3">
      <c r="A8477" t="s">
        <v>30</v>
      </c>
      <c r="B8477">
        <v>2022</v>
      </c>
      <c r="C8477" t="s">
        <v>31</v>
      </c>
      <c r="D8477" s="2">
        <v>44562</v>
      </c>
      <c r="E8477" t="s">
        <v>23</v>
      </c>
      <c r="F8477">
        <v>174.7</v>
      </c>
      <c r="G8477" t="str">
        <f>VLOOKUP(Table1_2[[#This Row],[Categories]],Sheet3!$A$1:$B$27,2,FALSE)</f>
        <v>Health</v>
      </c>
    </row>
    <row r="8478" spans="1:7" x14ac:dyDescent="0.3">
      <c r="A8478" t="s">
        <v>30</v>
      </c>
      <c r="B8478">
        <v>2022</v>
      </c>
      <c r="C8478" t="s">
        <v>31</v>
      </c>
      <c r="D8478" s="2">
        <v>44562</v>
      </c>
      <c r="E8478" t="s">
        <v>24</v>
      </c>
      <c r="F8478">
        <v>160.80000000000001</v>
      </c>
      <c r="G8478" t="str">
        <f>VLOOKUP(Table1_2[[#This Row],[Categories]],Sheet3!$A$1:$B$27,2,FALSE)</f>
        <v>Transport and communication</v>
      </c>
    </row>
    <row r="8479" spans="1:7" x14ac:dyDescent="0.3">
      <c r="A8479" t="s">
        <v>30</v>
      </c>
      <c r="B8479">
        <v>2022</v>
      </c>
      <c r="C8479" t="s">
        <v>31</v>
      </c>
      <c r="D8479" s="2">
        <v>44562</v>
      </c>
      <c r="E8479" t="s">
        <v>25</v>
      </c>
      <c r="F8479">
        <v>164.9</v>
      </c>
      <c r="G8479" t="str">
        <f>VLOOKUP(Table1_2[[#This Row],[Categories]],Sheet3!$A$1:$B$27,2,FALSE)</f>
        <v>Recreation and amusement</v>
      </c>
    </row>
    <row r="8480" spans="1:7" x14ac:dyDescent="0.3">
      <c r="A8480" t="s">
        <v>30</v>
      </c>
      <c r="B8480">
        <v>2022</v>
      </c>
      <c r="C8480" t="s">
        <v>31</v>
      </c>
      <c r="D8480" s="2">
        <v>44562</v>
      </c>
      <c r="E8480" t="s">
        <v>26</v>
      </c>
      <c r="F8480">
        <v>169.9</v>
      </c>
      <c r="G8480" t="str">
        <f>VLOOKUP(Table1_2[[#This Row],[Categories]],Sheet3!$A$1:$B$27,2,FALSE)</f>
        <v>Education</v>
      </c>
    </row>
    <row r="8481" spans="1:7" x14ac:dyDescent="0.3">
      <c r="A8481" t="s">
        <v>30</v>
      </c>
      <c r="B8481">
        <v>2022</v>
      </c>
      <c r="C8481" t="s">
        <v>31</v>
      </c>
      <c r="D8481" s="2">
        <v>44562</v>
      </c>
      <c r="E8481" t="s">
        <v>27</v>
      </c>
      <c r="F8481">
        <v>163.19999999999999</v>
      </c>
      <c r="G8481" t="str">
        <f>VLOOKUP(Table1_2[[#This Row],[Categories]],Sheet3!$A$1:$B$27,2,FALSE)</f>
        <v>Household Items</v>
      </c>
    </row>
    <row r="8482" spans="1:7" x14ac:dyDescent="0.3">
      <c r="A8482" t="s">
        <v>30</v>
      </c>
      <c r="B8482">
        <v>2022</v>
      </c>
      <c r="C8482" t="s">
        <v>31</v>
      </c>
      <c r="D8482" s="2">
        <v>44562</v>
      </c>
      <c r="E8482" t="s">
        <v>28</v>
      </c>
      <c r="F8482">
        <v>166.6</v>
      </c>
      <c r="G8482" t="str">
        <f>VLOOKUP(Table1_2[[#This Row],[Categories]],Sheet3!$A$1:$B$27,2,FALSE)</f>
        <v>Miscellaneous</v>
      </c>
    </row>
    <row r="8483" spans="1:7" x14ac:dyDescent="0.3">
      <c r="A8483" t="s">
        <v>30</v>
      </c>
      <c r="B8483">
        <v>2022</v>
      </c>
      <c r="C8483" t="s">
        <v>31</v>
      </c>
      <c r="D8483" s="2">
        <v>44562</v>
      </c>
      <c r="E8483" t="s">
        <v>29</v>
      </c>
      <c r="F8483">
        <v>166.4</v>
      </c>
      <c r="G8483" t="str">
        <f>VLOOKUP(Table1_2[[#This Row],[Categories]],Sheet3!$A$1:$B$27,2,FALSE)</f>
        <v>General index</v>
      </c>
    </row>
    <row r="8484" spans="1:7" x14ac:dyDescent="0.3">
      <c r="A8484" t="s">
        <v>33</v>
      </c>
      <c r="B8484">
        <v>2022</v>
      </c>
      <c r="C8484" t="s">
        <v>31</v>
      </c>
      <c r="D8484" s="2">
        <v>44562</v>
      </c>
      <c r="E8484" t="s">
        <v>3</v>
      </c>
      <c r="F8484">
        <v>152.19999999999999</v>
      </c>
      <c r="G8484" t="str">
        <f>VLOOKUP(Table1_2[[#This Row],[Categories]],Sheet3!$A$1:$B$27,2,FALSE)</f>
        <v>Food &amp;Beverage</v>
      </c>
    </row>
    <row r="8485" spans="1:7" x14ac:dyDescent="0.3">
      <c r="A8485" t="s">
        <v>33</v>
      </c>
      <c r="B8485">
        <v>2022</v>
      </c>
      <c r="C8485" t="s">
        <v>31</v>
      </c>
      <c r="D8485" s="2">
        <v>44562</v>
      </c>
      <c r="E8485" t="s">
        <v>4</v>
      </c>
      <c r="F8485">
        <v>202.1</v>
      </c>
      <c r="G8485" t="str">
        <f>VLOOKUP(Table1_2[[#This Row],[Categories]],Sheet3!$A$1:$B$27,2,FALSE)</f>
        <v>Food &amp;Beverage</v>
      </c>
    </row>
    <row r="8486" spans="1:7" x14ac:dyDescent="0.3">
      <c r="A8486" t="s">
        <v>33</v>
      </c>
      <c r="B8486">
        <v>2022</v>
      </c>
      <c r="C8486" t="s">
        <v>31</v>
      </c>
      <c r="D8486" s="2">
        <v>44562</v>
      </c>
      <c r="E8486" t="s">
        <v>5</v>
      </c>
      <c r="F8486">
        <v>180.1</v>
      </c>
      <c r="G8486" t="str">
        <f>VLOOKUP(Table1_2[[#This Row],[Categories]],Sheet3!$A$1:$B$27,2,FALSE)</f>
        <v>Food &amp;Beverage</v>
      </c>
    </row>
    <row r="8487" spans="1:7" x14ac:dyDescent="0.3">
      <c r="A8487" t="s">
        <v>33</v>
      </c>
      <c r="B8487">
        <v>2022</v>
      </c>
      <c r="C8487" t="s">
        <v>31</v>
      </c>
      <c r="D8487" s="2">
        <v>44562</v>
      </c>
      <c r="E8487" t="s">
        <v>6</v>
      </c>
      <c r="F8487">
        <v>160.4</v>
      </c>
      <c r="G8487" t="str">
        <f>VLOOKUP(Table1_2[[#This Row],[Categories]],Sheet3!$A$1:$B$27,2,FALSE)</f>
        <v>Food &amp;Beverage</v>
      </c>
    </row>
    <row r="8488" spans="1:7" x14ac:dyDescent="0.3">
      <c r="A8488" t="s">
        <v>33</v>
      </c>
      <c r="B8488">
        <v>2022</v>
      </c>
      <c r="C8488" t="s">
        <v>31</v>
      </c>
      <c r="D8488" s="2">
        <v>44562</v>
      </c>
      <c r="E8488" t="s">
        <v>7</v>
      </c>
      <c r="F8488">
        <v>171</v>
      </c>
      <c r="G8488" t="str">
        <f>VLOOKUP(Table1_2[[#This Row],[Categories]],Sheet3!$A$1:$B$27,2,FALSE)</f>
        <v>Food &amp;Beverage</v>
      </c>
    </row>
    <row r="8489" spans="1:7" x14ac:dyDescent="0.3">
      <c r="A8489" t="s">
        <v>33</v>
      </c>
      <c r="B8489">
        <v>2022</v>
      </c>
      <c r="C8489" t="s">
        <v>31</v>
      </c>
      <c r="D8489" s="2">
        <v>44562</v>
      </c>
      <c r="E8489" t="s">
        <v>8</v>
      </c>
      <c r="F8489">
        <v>156.5</v>
      </c>
      <c r="G8489" t="str">
        <f>VLOOKUP(Table1_2[[#This Row],[Categories]],Sheet3!$A$1:$B$27,2,FALSE)</f>
        <v>Food &amp;Beverage</v>
      </c>
    </row>
    <row r="8490" spans="1:7" x14ac:dyDescent="0.3">
      <c r="A8490" t="s">
        <v>33</v>
      </c>
      <c r="B8490">
        <v>2022</v>
      </c>
      <c r="C8490" t="s">
        <v>31</v>
      </c>
      <c r="D8490" s="2">
        <v>44562</v>
      </c>
      <c r="E8490" t="s">
        <v>9</v>
      </c>
      <c r="F8490">
        <v>203.6</v>
      </c>
      <c r="G8490" t="str">
        <f>VLOOKUP(Table1_2[[#This Row],[Categories]],Sheet3!$A$1:$B$27,2,FALSE)</f>
        <v>Food &amp;Beverage</v>
      </c>
    </row>
    <row r="8491" spans="1:7" x14ac:dyDescent="0.3">
      <c r="A8491" t="s">
        <v>33</v>
      </c>
      <c r="B8491">
        <v>2022</v>
      </c>
      <c r="C8491" t="s">
        <v>31</v>
      </c>
      <c r="D8491" s="2">
        <v>44562</v>
      </c>
      <c r="E8491" t="s">
        <v>10</v>
      </c>
      <c r="F8491">
        <v>163.80000000000001</v>
      </c>
      <c r="G8491" t="str">
        <f>VLOOKUP(Table1_2[[#This Row],[Categories]],Sheet3!$A$1:$B$27,2,FALSE)</f>
        <v>Food &amp;Beverage</v>
      </c>
    </row>
    <row r="8492" spans="1:7" x14ac:dyDescent="0.3">
      <c r="A8492" t="s">
        <v>33</v>
      </c>
      <c r="B8492">
        <v>2022</v>
      </c>
      <c r="C8492" t="s">
        <v>31</v>
      </c>
      <c r="D8492" s="2">
        <v>44562</v>
      </c>
      <c r="E8492" t="s">
        <v>11</v>
      </c>
      <c r="F8492">
        <v>121.3</v>
      </c>
      <c r="G8492" t="str">
        <f>VLOOKUP(Table1_2[[#This Row],[Categories]],Sheet3!$A$1:$B$27,2,FALSE)</f>
        <v>Food &amp;Beverage</v>
      </c>
    </row>
    <row r="8493" spans="1:7" x14ac:dyDescent="0.3">
      <c r="A8493" t="s">
        <v>33</v>
      </c>
      <c r="B8493">
        <v>2022</v>
      </c>
      <c r="C8493" t="s">
        <v>31</v>
      </c>
      <c r="D8493" s="2">
        <v>44562</v>
      </c>
      <c r="E8493" t="s">
        <v>12</v>
      </c>
      <c r="F8493">
        <v>169.8</v>
      </c>
      <c r="G8493" t="str">
        <f>VLOOKUP(Table1_2[[#This Row],[Categories]],Sheet3!$A$1:$B$27,2,FALSE)</f>
        <v>Food &amp;Beverage</v>
      </c>
    </row>
    <row r="8494" spans="1:7" x14ac:dyDescent="0.3">
      <c r="A8494" t="s">
        <v>33</v>
      </c>
      <c r="B8494">
        <v>2022</v>
      </c>
      <c r="C8494" t="s">
        <v>31</v>
      </c>
      <c r="D8494" s="2">
        <v>44562</v>
      </c>
      <c r="E8494" t="s">
        <v>13</v>
      </c>
      <c r="F8494">
        <v>156.6</v>
      </c>
      <c r="G8494" t="str">
        <f>VLOOKUP(Table1_2[[#This Row],[Categories]],Sheet3!$A$1:$B$27,2,FALSE)</f>
        <v>Food &amp;Beverage</v>
      </c>
    </row>
    <row r="8495" spans="1:7" x14ac:dyDescent="0.3">
      <c r="A8495" t="s">
        <v>33</v>
      </c>
      <c r="B8495">
        <v>2022</v>
      </c>
      <c r="C8495" t="s">
        <v>31</v>
      </c>
      <c r="D8495" s="2">
        <v>44562</v>
      </c>
      <c r="E8495" t="s">
        <v>14</v>
      </c>
      <c r="F8495">
        <v>179</v>
      </c>
      <c r="G8495" t="str">
        <f>VLOOKUP(Table1_2[[#This Row],[Categories]],Sheet3!$A$1:$B$27,2,FALSE)</f>
        <v>Food &amp;Beverage</v>
      </c>
    </row>
    <row r="8496" spans="1:7" x14ac:dyDescent="0.3">
      <c r="A8496" t="s">
        <v>33</v>
      </c>
      <c r="B8496">
        <v>2022</v>
      </c>
      <c r="C8496" t="s">
        <v>31</v>
      </c>
      <c r="D8496" s="2">
        <v>44562</v>
      </c>
      <c r="E8496" t="s">
        <v>15</v>
      </c>
      <c r="F8496">
        <v>170.3</v>
      </c>
      <c r="G8496" t="str">
        <f>VLOOKUP(Table1_2[[#This Row],[Categories]],Sheet3!$A$1:$B$27,2,FALSE)</f>
        <v>Food &amp;Beverage</v>
      </c>
    </row>
    <row r="8497" spans="1:7" x14ac:dyDescent="0.3">
      <c r="A8497" t="s">
        <v>33</v>
      </c>
      <c r="B8497">
        <v>2022</v>
      </c>
      <c r="C8497" t="s">
        <v>31</v>
      </c>
      <c r="D8497" s="2">
        <v>44562</v>
      </c>
      <c r="E8497" t="s">
        <v>16</v>
      </c>
      <c r="F8497">
        <v>196.4</v>
      </c>
      <c r="G8497" t="str">
        <f>VLOOKUP(Table1_2[[#This Row],[Categories]],Sheet3!$A$1:$B$27,2,FALSE)</f>
        <v>Recreation and amusement</v>
      </c>
    </row>
    <row r="8498" spans="1:7" x14ac:dyDescent="0.3">
      <c r="A8498" t="s">
        <v>33</v>
      </c>
      <c r="B8498">
        <v>2022</v>
      </c>
      <c r="C8498" t="s">
        <v>31</v>
      </c>
      <c r="D8498" s="2">
        <v>44562</v>
      </c>
      <c r="E8498" t="s">
        <v>17</v>
      </c>
      <c r="F8498">
        <v>164.7</v>
      </c>
      <c r="G8498" t="str">
        <f>VLOOKUP(Table1_2[[#This Row],[Categories]],Sheet3!$A$1:$B$27,2,FALSE)</f>
        <v>Clothing and footwear</v>
      </c>
    </row>
    <row r="8499" spans="1:7" x14ac:dyDescent="0.3">
      <c r="A8499" t="s">
        <v>33</v>
      </c>
      <c r="B8499">
        <v>2022</v>
      </c>
      <c r="C8499" t="s">
        <v>31</v>
      </c>
      <c r="D8499" s="2">
        <v>44562</v>
      </c>
      <c r="E8499" t="s">
        <v>18</v>
      </c>
      <c r="F8499">
        <v>148.5</v>
      </c>
      <c r="G8499" t="str">
        <f>VLOOKUP(Table1_2[[#This Row],[Categories]],Sheet3!$A$1:$B$27,2,FALSE)</f>
        <v>Clothing and footwear</v>
      </c>
    </row>
    <row r="8500" spans="1:7" x14ac:dyDescent="0.3">
      <c r="A8500" t="s">
        <v>33</v>
      </c>
      <c r="B8500">
        <v>2022</v>
      </c>
      <c r="C8500" t="s">
        <v>31</v>
      </c>
      <c r="D8500" s="2">
        <v>44562</v>
      </c>
      <c r="E8500" t="s">
        <v>19</v>
      </c>
      <c r="F8500">
        <v>162.19999999999999</v>
      </c>
      <c r="G8500" t="str">
        <f>VLOOKUP(Table1_2[[#This Row],[Categories]],Sheet3!$A$1:$B$27,2,FALSE)</f>
        <v>Clothing and footwear</v>
      </c>
    </row>
    <row r="8501" spans="1:7" x14ac:dyDescent="0.3">
      <c r="A8501" t="s">
        <v>33</v>
      </c>
      <c r="B8501">
        <v>2022</v>
      </c>
      <c r="C8501" t="s">
        <v>31</v>
      </c>
      <c r="D8501" s="2">
        <v>44562</v>
      </c>
      <c r="E8501" t="s">
        <v>20</v>
      </c>
      <c r="F8501">
        <v>164.5</v>
      </c>
      <c r="G8501" t="str">
        <f>VLOOKUP(Table1_2[[#This Row],[Categories]],Sheet3!$A$1:$B$27,2,FALSE)</f>
        <v>Housing</v>
      </c>
    </row>
    <row r="8502" spans="1:7" x14ac:dyDescent="0.3">
      <c r="A8502" t="s">
        <v>33</v>
      </c>
      <c r="B8502">
        <v>2022</v>
      </c>
      <c r="C8502" t="s">
        <v>31</v>
      </c>
      <c r="D8502" s="2">
        <v>44562</v>
      </c>
      <c r="E8502" t="s">
        <v>21</v>
      </c>
      <c r="F8502">
        <v>161.6</v>
      </c>
      <c r="G8502" t="str">
        <f>VLOOKUP(Table1_2[[#This Row],[Categories]],Sheet3!$A$1:$B$27,2,FALSE)</f>
        <v>Fuel and light</v>
      </c>
    </row>
    <row r="8503" spans="1:7" x14ac:dyDescent="0.3">
      <c r="A8503" t="s">
        <v>33</v>
      </c>
      <c r="B8503">
        <v>2022</v>
      </c>
      <c r="C8503" t="s">
        <v>31</v>
      </c>
      <c r="D8503" s="2">
        <v>44562</v>
      </c>
      <c r="E8503" t="s">
        <v>22</v>
      </c>
      <c r="F8503">
        <v>156.80000000000001</v>
      </c>
      <c r="G8503" t="str">
        <f>VLOOKUP(Table1_2[[#This Row],[Categories]],Sheet3!$A$1:$B$27,2,FALSE)</f>
        <v>Household Items</v>
      </c>
    </row>
    <row r="8504" spans="1:7" x14ac:dyDescent="0.3">
      <c r="A8504" t="s">
        <v>33</v>
      </c>
      <c r="B8504">
        <v>2022</v>
      </c>
      <c r="C8504" t="s">
        <v>31</v>
      </c>
      <c r="D8504" s="2">
        <v>44562</v>
      </c>
      <c r="E8504" t="s">
        <v>23</v>
      </c>
      <c r="F8504">
        <v>166.1</v>
      </c>
      <c r="G8504" t="str">
        <f>VLOOKUP(Table1_2[[#This Row],[Categories]],Sheet3!$A$1:$B$27,2,FALSE)</f>
        <v>Health</v>
      </c>
    </row>
    <row r="8505" spans="1:7" x14ac:dyDescent="0.3">
      <c r="A8505" t="s">
        <v>33</v>
      </c>
      <c r="B8505">
        <v>2022</v>
      </c>
      <c r="C8505" t="s">
        <v>31</v>
      </c>
      <c r="D8505" s="2">
        <v>44562</v>
      </c>
      <c r="E8505" t="s">
        <v>24</v>
      </c>
      <c r="F8505">
        <v>152.69999999999999</v>
      </c>
      <c r="G8505" t="str">
        <f>VLOOKUP(Table1_2[[#This Row],[Categories]],Sheet3!$A$1:$B$27,2,FALSE)</f>
        <v>Transport and communication</v>
      </c>
    </row>
    <row r="8506" spans="1:7" x14ac:dyDescent="0.3">
      <c r="A8506" t="s">
        <v>33</v>
      </c>
      <c r="B8506">
        <v>2022</v>
      </c>
      <c r="C8506" t="s">
        <v>31</v>
      </c>
      <c r="D8506" s="2">
        <v>44562</v>
      </c>
      <c r="E8506" t="s">
        <v>25</v>
      </c>
      <c r="F8506">
        <v>158.4</v>
      </c>
      <c r="G8506" t="str">
        <f>VLOOKUP(Table1_2[[#This Row],[Categories]],Sheet3!$A$1:$B$27,2,FALSE)</f>
        <v>Recreation and amusement</v>
      </c>
    </row>
    <row r="8507" spans="1:7" x14ac:dyDescent="0.3">
      <c r="A8507" t="s">
        <v>33</v>
      </c>
      <c r="B8507">
        <v>2022</v>
      </c>
      <c r="C8507" t="s">
        <v>31</v>
      </c>
      <c r="D8507" s="2">
        <v>44562</v>
      </c>
      <c r="E8507" t="s">
        <v>26</v>
      </c>
      <c r="F8507">
        <v>161</v>
      </c>
      <c r="G8507" t="str">
        <f>VLOOKUP(Table1_2[[#This Row],[Categories]],Sheet3!$A$1:$B$27,2,FALSE)</f>
        <v>Education</v>
      </c>
    </row>
    <row r="8508" spans="1:7" x14ac:dyDescent="0.3">
      <c r="A8508" t="s">
        <v>33</v>
      </c>
      <c r="B8508">
        <v>2022</v>
      </c>
      <c r="C8508" t="s">
        <v>31</v>
      </c>
      <c r="D8508" s="2">
        <v>44562</v>
      </c>
      <c r="E8508" t="s">
        <v>27</v>
      </c>
      <c r="F8508">
        <v>162.80000000000001</v>
      </c>
      <c r="G8508" t="str">
        <f>VLOOKUP(Table1_2[[#This Row],[Categories]],Sheet3!$A$1:$B$27,2,FALSE)</f>
        <v>Household Items</v>
      </c>
    </row>
    <row r="8509" spans="1:7" x14ac:dyDescent="0.3">
      <c r="A8509" t="s">
        <v>33</v>
      </c>
      <c r="B8509">
        <v>2022</v>
      </c>
      <c r="C8509" t="s">
        <v>31</v>
      </c>
      <c r="D8509" s="2">
        <v>44562</v>
      </c>
      <c r="E8509" t="s">
        <v>28</v>
      </c>
      <c r="F8509">
        <v>158.6</v>
      </c>
      <c r="G8509" t="str">
        <f>VLOOKUP(Table1_2[[#This Row],[Categories]],Sheet3!$A$1:$B$27,2,FALSE)</f>
        <v>Miscellaneous</v>
      </c>
    </row>
    <row r="8510" spans="1:7" x14ac:dyDescent="0.3">
      <c r="A8510" t="s">
        <v>33</v>
      </c>
      <c r="B8510">
        <v>2022</v>
      </c>
      <c r="C8510" t="s">
        <v>31</v>
      </c>
      <c r="D8510" s="2">
        <v>44562</v>
      </c>
      <c r="E8510" t="s">
        <v>29</v>
      </c>
      <c r="F8510">
        <v>165</v>
      </c>
      <c r="G8510" t="str">
        <f>VLOOKUP(Table1_2[[#This Row],[Categories]],Sheet3!$A$1:$B$27,2,FALSE)</f>
        <v>General index</v>
      </c>
    </row>
    <row r="8511" spans="1:7" x14ac:dyDescent="0.3">
      <c r="A8511" t="s">
        <v>34</v>
      </c>
      <c r="B8511">
        <v>2022</v>
      </c>
      <c r="C8511" t="s">
        <v>31</v>
      </c>
      <c r="D8511" s="2">
        <v>44562</v>
      </c>
      <c r="E8511" t="s">
        <v>3</v>
      </c>
      <c r="F8511">
        <v>149.5</v>
      </c>
      <c r="G8511" t="str">
        <f>VLOOKUP(Table1_2[[#This Row],[Categories]],Sheet3!$A$1:$B$27,2,FALSE)</f>
        <v>Food &amp;Beverage</v>
      </c>
    </row>
    <row r="8512" spans="1:7" x14ac:dyDescent="0.3">
      <c r="A8512" t="s">
        <v>34</v>
      </c>
      <c r="B8512">
        <v>2022</v>
      </c>
      <c r="C8512" t="s">
        <v>31</v>
      </c>
      <c r="D8512" s="2">
        <v>44562</v>
      </c>
      <c r="E8512" t="s">
        <v>4</v>
      </c>
      <c r="F8512">
        <v>198.7</v>
      </c>
      <c r="G8512" t="str">
        <f>VLOOKUP(Table1_2[[#This Row],[Categories]],Sheet3!$A$1:$B$27,2,FALSE)</f>
        <v>Food &amp;Beverage</v>
      </c>
    </row>
    <row r="8513" spans="1:7" x14ac:dyDescent="0.3">
      <c r="A8513" t="s">
        <v>34</v>
      </c>
      <c r="B8513">
        <v>2022</v>
      </c>
      <c r="C8513" t="s">
        <v>31</v>
      </c>
      <c r="D8513" s="2">
        <v>44562</v>
      </c>
      <c r="E8513" t="s">
        <v>5</v>
      </c>
      <c r="F8513">
        <v>178.8</v>
      </c>
      <c r="G8513" t="str">
        <f>VLOOKUP(Table1_2[[#This Row],[Categories]],Sheet3!$A$1:$B$27,2,FALSE)</f>
        <v>Food &amp;Beverage</v>
      </c>
    </row>
    <row r="8514" spans="1:7" x14ac:dyDescent="0.3">
      <c r="A8514" t="s">
        <v>34</v>
      </c>
      <c r="B8514">
        <v>2022</v>
      </c>
      <c r="C8514" t="s">
        <v>31</v>
      </c>
      <c r="D8514" s="2">
        <v>44562</v>
      </c>
      <c r="E8514" t="s">
        <v>6</v>
      </c>
      <c r="F8514">
        <v>160.5</v>
      </c>
      <c r="G8514" t="str">
        <f>VLOOKUP(Table1_2[[#This Row],[Categories]],Sheet3!$A$1:$B$27,2,FALSE)</f>
        <v>Food &amp;Beverage</v>
      </c>
    </row>
    <row r="8515" spans="1:7" x14ac:dyDescent="0.3">
      <c r="A8515" t="s">
        <v>34</v>
      </c>
      <c r="B8515">
        <v>2022</v>
      </c>
      <c r="C8515" t="s">
        <v>31</v>
      </c>
      <c r="D8515" s="2">
        <v>44562</v>
      </c>
      <c r="E8515" t="s">
        <v>7</v>
      </c>
      <c r="F8515">
        <v>184.7</v>
      </c>
      <c r="G8515" t="str">
        <f>VLOOKUP(Table1_2[[#This Row],[Categories]],Sheet3!$A$1:$B$27,2,FALSE)</f>
        <v>Food &amp;Beverage</v>
      </c>
    </row>
    <row r="8516" spans="1:7" x14ac:dyDescent="0.3">
      <c r="A8516" t="s">
        <v>34</v>
      </c>
      <c r="B8516">
        <v>2022</v>
      </c>
      <c r="C8516" t="s">
        <v>31</v>
      </c>
      <c r="D8516" s="2">
        <v>44562</v>
      </c>
      <c r="E8516" t="s">
        <v>8</v>
      </c>
      <c r="F8516">
        <v>153.69999999999999</v>
      </c>
      <c r="G8516" t="str">
        <f>VLOOKUP(Table1_2[[#This Row],[Categories]],Sheet3!$A$1:$B$27,2,FALSE)</f>
        <v>Food &amp;Beverage</v>
      </c>
    </row>
    <row r="8517" spans="1:7" x14ac:dyDescent="0.3">
      <c r="A8517" t="s">
        <v>34</v>
      </c>
      <c r="B8517">
        <v>2022</v>
      </c>
      <c r="C8517" t="s">
        <v>31</v>
      </c>
      <c r="D8517" s="2">
        <v>44562</v>
      </c>
      <c r="E8517" t="s">
        <v>9</v>
      </c>
      <c r="F8517">
        <v>174.3</v>
      </c>
      <c r="G8517" t="str">
        <f>VLOOKUP(Table1_2[[#This Row],[Categories]],Sheet3!$A$1:$B$27,2,FALSE)</f>
        <v>Food &amp;Beverage</v>
      </c>
    </row>
    <row r="8518" spans="1:7" x14ac:dyDescent="0.3">
      <c r="A8518" t="s">
        <v>34</v>
      </c>
      <c r="B8518">
        <v>2022</v>
      </c>
      <c r="C8518" t="s">
        <v>31</v>
      </c>
      <c r="D8518" s="2">
        <v>44562</v>
      </c>
      <c r="E8518" t="s">
        <v>10</v>
      </c>
      <c r="F8518">
        <v>163.9</v>
      </c>
      <c r="G8518" t="str">
        <f>VLOOKUP(Table1_2[[#This Row],[Categories]],Sheet3!$A$1:$B$27,2,FALSE)</f>
        <v>Food &amp;Beverage</v>
      </c>
    </row>
    <row r="8519" spans="1:7" x14ac:dyDescent="0.3">
      <c r="A8519" t="s">
        <v>34</v>
      </c>
      <c r="B8519">
        <v>2022</v>
      </c>
      <c r="C8519" t="s">
        <v>31</v>
      </c>
      <c r="D8519" s="2">
        <v>44562</v>
      </c>
      <c r="E8519" t="s">
        <v>11</v>
      </c>
      <c r="F8519">
        <v>120</v>
      </c>
      <c r="G8519" t="str">
        <f>VLOOKUP(Table1_2[[#This Row],[Categories]],Sheet3!$A$1:$B$27,2,FALSE)</f>
        <v>Food &amp;Beverage</v>
      </c>
    </row>
    <row r="8520" spans="1:7" x14ac:dyDescent="0.3">
      <c r="A8520" t="s">
        <v>34</v>
      </c>
      <c r="B8520">
        <v>2022</v>
      </c>
      <c r="C8520" t="s">
        <v>31</v>
      </c>
      <c r="D8520" s="2">
        <v>44562</v>
      </c>
      <c r="E8520" t="s">
        <v>12</v>
      </c>
      <c r="F8520">
        <v>172.1</v>
      </c>
      <c r="G8520" t="str">
        <f>VLOOKUP(Table1_2[[#This Row],[Categories]],Sheet3!$A$1:$B$27,2,FALSE)</f>
        <v>Food &amp;Beverage</v>
      </c>
    </row>
    <row r="8521" spans="1:7" x14ac:dyDescent="0.3">
      <c r="A8521" t="s">
        <v>34</v>
      </c>
      <c r="B8521">
        <v>2022</v>
      </c>
      <c r="C8521" t="s">
        <v>31</v>
      </c>
      <c r="D8521" s="2">
        <v>44562</v>
      </c>
      <c r="E8521" t="s">
        <v>13</v>
      </c>
      <c r="F8521">
        <v>164.3</v>
      </c>
      <c r="G8521" t="str">
        <f>VLOOKUP(Table1_2[[#This Row],[Categories]],Sheet3!$A$1:$B$27,2,FALSE)</f>
        <v>Food &amp;Beverage</v>
      </c>
    </row>
    <row r="8522" spans="1:7" x14ac:dyDescent="0.3">
      <c r="A8522" t="s">
        <v>34</v>
      </c>
      <c r="B8522">
        <v>2022</v>
      </c>
      <c r="C8522" t="s">
        <v>31</v>
      </c>
      <c r="D8522" s="2">
        <v>44562</v>
      </c>
      <c r="E8522" t="s">
        <v>14</v>
      </c>
      <c r="F8522">
        <v>177.3</v>
      </c>
      <c r="G8522" t="str">
        <f>VLOOKUP(Table1_2[[#This Row],[Categories]],Sheet3!$A$1:$B$27,2,FALSE)</f>
        <v>Food &amp;Beverage</v>
      </c>
    </row>
    <row r="8523" spans="1:7" x14ac:dyDescent="0.3">
      <c r="A8523" t="s">
        <v>34</v>
      </c>
      <c r="B8523">
        <v>2022</v>
      </c>
      <c r="C8523" t="s">
        <v>31</v>
      </c>
      <c r="D8523" s="2">
        <v>44562</v>
      </c>
      <c r="E8523" t="s">
        <v>15</v>
      </c>
      <c r="F8523">
        <v>166.4</v>
      </c>
      <c r="G8523" t="str">
        <f>VLOOKUP(Table1_2[[#This Row],[Categories]],Sheet3!$A$1:$B$27,2,FALSE)</f>
        <v>Food &amp;Beverage</v>
      </c>
    </row>
    <row r="8524" spans="1:7" x14ac:dyDescent="0.3">
      <c r="A8524" t="s">
        <v>34</v>
      </c>
      <c r="B8524">
        <v>2022</v>
      </c>
      <c r="C8524" t="s">
        <v>31</v>
      </c>
      <c r="D8524" s="2">
        <v>44562</v>
      </c>
      <c r="E8524" t="s">
        <v>16</v>
      </c>
      <c r="F8524">
        <v>192.2</v>
      </c>
      <c r="G8524" t="str">
        <f>VLOOKUP(Table1_2[[#This Row],[Categories]],Sheet3!$A$1:$B$27,2,FALSE)</f>
        <v>Recreation and amusement</v>
      </c>
    </row>
    <row r="8525" spans="1:7" x14ac:dyDescent="0.3">
      <c r="A8525" t="s">
        <v>34</v>
      </c>
      <c r="B8525">
        <v>2022</v>
      </c>
      <c r="C8525" t="s">
        <v>31</v>
      </c>
      <c r="D8525" s="2">
        <v>44562</v>
      </c>
      <c r="E8525" t="s">
        <v>17</v>
      </c>
      <c r="F8525">
        <v>169.9</v>
      </c>
      <c r="G8525" t="str">
        <f>VLOOKUP(Table1_2[[#This Row],[Categories]],Sheet3!$A$1:$B$27,2,FALSE)</f>
        <v>Clothing and footwear</v>
      </c>
    </row>
    <row r="8526" spans="1:7" x14ac:dyDescent="0.3">
      <c r="A8526" t="s">
        <v>34</v>
      </c>
      <c r="B8526">
        <v>2022</v>
      </c>
      <c r="C8526" t="s">
        <v>31</v>
      </c>
      <c r="D8526" s="2">
        <v>44562</v>
      </c>
      <c r="E8526" t="s">
        <v>18</v>
      </c>
      <c r="F8526">
        <v>160.69999999999999</v>
      </c>
      <c r="G8526" t="str">
        <f>VLOOKUP(Table1_2[[#This Row],[Categories]],Sheet3!$A$1:$B$27,2,FALSE)</f>
        <v>Clothing and footwear</v>
      </c>
    </row>
    <row r="8527" spans="1:7" x14ac:dyDescent="0.3">
      <c r="A8527" t="s">
        <v>34</v>
      </c>
      <c r="B8527">
        <v>2022</v>
      </c>
      <c r="C8527" t="s">
        <v>31</v>
      </c>
      <c r="D8527" s="2">
        <v>44562</v>
      </c>
      <c r="E8527" t="s">
        <v>19</v>
      </c>
      <c r="F8527">
        <v>168.5</v>
      </c>
      <c r="G8527" t="str">
        <f>VLOOKUP(Table1_2[[#This Row],[Categories]],Sheet3!$A$1:$B$27,2,FALSE)</f>
        <v>Clothing and footwear</v>
      </c>
    </row>
    <row r="8528" spans="1:7" x14ac:dyDescent="0.3">
      <c r="A8528" t="s">
        <v>34</v>
      </c>
      <c r="B8528">
        <v>2022</v>
      </c>
      <c r="C8528" t="s">
        <v>31</v>
      </c>
      <c r="D8528" s="2">
        <v>44562</v>
      </c>
      <c r="E8528" t="s">
        <v>20</v>
      </c>
      <c r="F8528">
        <v>164.5</v>
      </c>
      <c r="G8528" t="str">
        <f>VLOOKUP(Table1_2[[#This Row],[Categories]],Sheet3!$A$1:$B$27,2,FALSE)</f>
        <v>Housing</v>
      </c>
    </row>
    <row r="8529" spans="1:7" x14ac:dyDescent="0.3">
      <c r="A8529" t="s">
        <v>34</v>
      </c>
      <c r="B8529">
        <v>2022</v>
      </c>
      <c r="C8529" t="s">
        <v>31</v>
      </c>
      <c r="D8529" s="2">
        <v>44562</v>
      </c>
      <c r="E8529" t="s">
        <v>21</v>
      </c>
      <c r="F8529">
        <v>164.2</v>
      </c>
      <c r="G8529" t="str">
        <f>VLOOKUP(Table1_2[[#This Row],[Categories]],Sheet3!$A$1:$B$27,2,FALSE)</f>
        <v>Fuel and light</v>
      </c>
    </row>
    <row r="8530" spans="1:7" x14ac:dyDescent="0.3">
      <c r="A8530" t="s">
        <v>34</v>
      </c>
      <c r="B8530">
        <v>2022</v>
      </c>
      <c r="C8530" t="s">
        <v>31</v>
      </c>
      <c r="D8530" s="2">
        <v>44562</v>
      </c>
      <c r="E8530" t="s">
        <v>22</v>
      </c>
      <c r="F8530">
        <v>161.1</v>
      </c>
      <c r="G8530" t="str">
        <f>VLOOKUP(Table1_2[[#This Row],[Categories]],Sheet3!$A$1:$B$27,2,FALSE)</f>
        <v>Household Items</v>
      </c>
    </row>
    <row r="8531" spans="1:7" x14ac:dyDescent="0.3">
      <c r="A8531" t="s">
        <v>34</v>
      </c>
      <c r="B8531">
        <v>2022</v>
      </c>
      <c r="C8531" t="s">
        <v>31</v>
      </c>
      <c r="D8531" s="2">
        <v>44562</v>
      </c>
      <c r="E8531" t="s">
        <v>23</v>
      </c>
      <c r="F8531">
        <v>171.4</v>
      </c>
      <c r="G8531" t="str">
        <f>VLOOKUP(Table1_2[[#This Row],[Categories]],Sheet3!$A$1:$B$27,2,FALSE)</f>
        <v>Health</v>
      </c>
    </row>
    <row r="8532" spans="1:7" x14ac:dyDescent="0.3">
      <c r="A8532" t="s">
        <v>34</v>
      </c>
      <c r="B8532">
        <v>2022</v>
      </c>
      <c r="C8532" t="s">
        <v>31</v>
      </c>
      <c r="D8532" s="2">
        <v>44562</v>
      </c>
      <c r="E8532" t="s">
        <v>24</v>
      </c>
      <c r="F8532">
        <v>156.5</v>
      </c>
      <c r="G8532" t="str">
        <f>VLOOKUP(Table1_2[[#This Row],[Categories]],Sheet3!$A$1:$B$27,2,FALSE)</f>
        <v>Transport and communication</v>
      </c>
    </row>
    <row r="8533" spans="1:7" x14ac:dyDescent="0.3">
      <c r="A8533" t="s">
        <v>34</v>
      </c>
      <c r="B8533">
        <v>2022</v>
      </c>
      <c r="C8533" t="s">
        <v>31</v>
      </c>
      <c r="D8533" s="2">
        <v>44562</v>
      </c>
      <c r="E8533" t="s">
        <v>25</v>
      </c>
      <c r="F8533">
        <v>161.19999999999999</v>
      </c>
      <c r="G8533" t="str">
        <f>VLOOKUP(Table1_2[[#This Row],[Categories]],Sheet3!$A$1:$B$27,2,FALSE)</f>
        <v>Recreation and amusement</v>
      </c>
    </row>
    <row r="8534" spans="1:7" x14ac:dyDescent="0.3">
      <c r="A8534" t="s">
        <v>34</v>
      </c>
      <c r="B8534">
        <v>2022</v>
      </c>
      <c r="C8534" t="s">
        <v>31</v>
      </c>
      <c r="D8534" s="2">
        <v>44562</v>
      </c>
      <c r="E8534" t="s">
        <v>26</v>
      </c>
      <c r="F8534">
        <v>164.7</v>
      </c>
      <c r="G8534" t="str">
        <f>VLOOKUP(Table1_2[[#This Row],[Categories]],Sheet3!$A$1:$B$27,2,FALSE)</f>
        <v>Education</v>
      </c>
    </row>
    <row r="8535" spans="1:7" x14ac:dyDescent="0.3">
      <c r="A8535" t="s">
        <v>34</v>
      </c>
      <c r="B8535">
        <v>2022</v>
      </c>
      <c r="C8535" t="s">
        <v>31</v>
      </c>
      <c r="D8535" s="2">
        <v>44562</v>
      </c>
      <c r="E8535" t="s">
        <v>27</v>
      </c>
      <c r="F8535">
        <v>163</v>
      </c>
      <c r="G8535" t="str">
        <f>VLOOKUP(Table1_2[[#This Row],[Categories]],Sheet3!$A$1:$B$27,2,FALSE)</f>
        <v>Household Items</v>
      </c>
    </row>
    <row r="8536" spans="1:7" x14ac:dyDescent="0.3">
      <c r="A8536" t="s">
        <v>34</v>
      </c>
      <c r="B8536">
        <v>2022</v>
      </c>
      <c r="C8536" t="s">
        <v>31</v>
      </c>
      <c r="D8536" s="2">
        <v>44562</v>
      </c>
      <c r="E8536" t="s">
        <v>28</v>
      </c>
      <c r="F8536">
        <v>162.69999999999999</v>
      </c>
      <c r="G8536" t="str">
        <f>VLOOKUP(Table1_2[[#This Row],[Categories]],Sheet3!$A$1:$B$27,2,FALSE)</f>
        <v>Miscellaneous</v>
      </c>
    </row>
    <row r="8537" spans="1:7" x14ac:dyDescent="0.3">
      <c r="A8537" t="s">
        <v>34</v>
      </c>
      <c r="B8537">
        <v>2022</v>
      </c>
      <c r="C8537" t="s">
        <v>31</v>
      </c>
      <c r="D8537" s="2">
        <v>44562</v>
      </c>
      <c r="E8537" t="s">
        <v>29</v>
      </c>
      <c r="F8537">
        <v>165.7</v>
      </c>
      <c r="G8537" t="str">
        <f>VLOOKUP(Table1_2[[#This Row],[Categories]],Sheet3!$A$1:$B$27,2,FALSE)</f>
        <v>General index</v>
      </c>
    </row>
    <row r="8538" spans="1:7" x14ac:dyDescent="0.3">
      <c r="A8538" t="s">
        <v>30</v>
      </c>
      <c r="B8538">
        <v>2022</v>
      </c>
      <c r="C8538" t="s">
        <v>35</v>
      </c>
      <c r="D8538" s="2">
        <v>44593</v>
      </c>
      <c r="E8538" t="s">
        <v>3</v>
      </c>
      <c r="F8538">
        <v>148.80000000000001</v>
      </c>
      <c r="G8538" t="str">
        <f>VLOOKUP(Table1_2[[#This Row],[Categories]],Sheet3!$A$1:$B$27,2,FALSE)</f>
        <v>Food &amp;Beverage</v>
      </c>
    </row>
    <row r="8539" spans="1:7" x14ac:dyDescent="0.3">
      <c r="A8539" t="s">
        <v>30</v>
      </c>
      <c r="B8539">
        <v>2022</v>
      </c>
      <c r="C8539" t="s">
        <v>35</v>
      </c>
      <c r="D8539" s="2">
        <v>44593</v>
      </c>
      <c r="E8539" t="s">
        <v>4</v>
      </c>
      <c r="F8539">
        <v>198.1</v>
      </c>
      <c r="G8539" t="str">
        <f>VLOOKUP(Table1_2[[#This Row],[Categories]],Sheet3!$A$1:$B$27,2,FALSE)</f>
        <v>Food &amp;Beverage</v>
      </c>
    </row>
    <row r="8540" spans="1:7" x14ac:dyDescent="0.3">
      <c r="A8540" t="s">
        <v>30</v>
      </c>
      <c r="B8540">
        <v>2022</v>
      </c>
      <c r="C8540" t="s">
        <v>35</v>
      </c>
      <c r="D8540" s="2">
        <v>44593</v>
      </c>
      <c r="E8540" t="s">
        <v>5</v>
      </c>
      <c r="F8540">
        <v>175.5</v>
      </c>
      <c r="G8540" t="str">
        <f>VLOOKUP(Table1_2[[#This Row],[Categories]],Sheet3!$A$1:$B$27,2,FALSE)</f>
        <v>Food &amp;Beverage</v>
      </c>
    </row>
    <row r="8541" spans="1:7" x14ac:dyDescent="0.3">
      <c r="A8541" t="s">
        <v>30</v>
      </c>
      <c r="B8541">
        <v>2022</v>
      </c>
      <c r="C8541" t="s">
        <v>35</v>
      </c>
      <c r="D8541" s="2">
        <v>44593</v>
      </c>
      <c r="E8541" t="s">
        <v>6</v>
      </c>
      <c r="F8541">
        <v>160.69999999999999</v>
      </c>
      <c r="G8541" t="str">
        <f>VLOOKUP(Table1_2[[#This Row],[Categories]],Sheet3!$A$1:$B$27,2,FALSE)</f>
        <v>Food &amp;Beverage</v>
      </c>
    </row>
    <row r="8542" spans="1:7" x14ac:dyDescent="0.3">
      <c r="A8542" t="s">
        <v>30</v>
      </c>
      <c r="B8542">
        <v>2022</v>
      </c>
      <c r="C8542" t="s">
        <v>35</v>
      </c>
      <c r="D8542" s="2">
        <v>44593</v>
      </c>
      <c r="E8542" t="s">
        <v>7</v>
      </c>
      <c r="F8542">
        <v>192.6</v>
      </c>
      <c r="G8542" t="str">
        <f>VLOOKUP(Table1_2[[#This Row],[Categories]],Sheet3!$A$1:$B$27,2,FALSE)</f>
        <v>Food &amp;Beverage</v>
      </c>
    </row>
    <row r="8543" spans="1:7" x14ac:dyDescent="0.3">
      <c r="A8543" t="s">
        <v>30</v>
      </c>
      <c r="B8543">
        <v>2022</v>
      </c>
      <c r="C8543" t="s">
        <v>35</v>
      </c>
      <c r="D8543" s="2">
        <v>44593</v>
      </c>
      <c r="E8543" t="s">
        <v>8</v>
      </c>
      <c r="F8543">
        <v>151.4</v>
      </c>
      <c r="G8543" t="str">
        <f>VLOOKUP(Table1_2[[#This Row],[Categories]],Sheet3!$A$1:$B$27,2,FALSE)</f>
        <v>Food &amp;Beverage</v>
      </c>
    </row>
    <row r="8544" spans="1:7" x14ac:dyDescent="0.3">
      <c r="A8544" t="s">
        <v>30</v>
      </c>
      <c r="B8544">
        <v>2022</v>
      </c>
      <c r="C8544" t="s">
        <v>35</v>
      </c>
      <c r="D8544" s="2">
        <v>44593</v>
      </c>
      <c r="E8544" t="s">
        <v>9</v>
      </c>
      <c r="F8544">
        <v>155.19999999999999</v>
      </c>
      <c r="G8544" t="str">
        <f>VLOOKUP(Table1_2[[#This Row],[Categories]],Sheet3!$A$1:$B$27,2,FALSE)</f>
        <v>Food &amp;Beverage</v>
      </c>
    </row>
    <row r="8545" spans="1:7" x14ac:dyDescent="0.3">
      <c r="A8545" t="s">
        <v>30</v>
      </c>
      <c r="B8545">
        <v>2022</v>
      </c>
      <c r="C8545" t="s">
        <v>35</v>
      </c>
      <c r="D8545" s="2">
        <v>44593</v>
      </c>
      <c r="E8545" t="s">
        <v>10</v>
      </c>
      <c r="F8545">
        <v>163.9</v>
      </c>
      <c r="G8545" t="str">
        <f>VLOOKUP(Table1_2[[#This Row],[Categories]],Sheet3!$A$1:$B$27,2,FALSE)</f>
        <v>Food &amp;Beverage</v>
      </c>
    </row>
    <row r="8546" spans="1:7" x14ac:dyDescent="0.3">
      <c r="A8546" t="s">
        <v>30</v>
      </c>
      <c r="B8546">
        <v>2022</v>
      </c>
      <c r="C8546" t="s">
        <v>35</v>
      </c>
      <c r="D8546" s="2">
        <v>44593</v>
      </c>
      <c r="E8546" t="s">
        <v>11</v>
      </c>
      <c r="F8546">
        <v>118.1</v>
      </c>
      <c r="G8546" t="str">
        <f>VLOOKUP(Table1_2[[#This Row],[Categories]],Sheet3!$A$1:$B$27,2,FALSE)</f>
        <v>Food &amp;Beverage</v>
      </c>
    </row>
    <row r="8547" spans="1:7" x14ac:dyDescent="0.3">
      <c r="A8547" t="s">
        <v>30</v>
      </c>
      <c r="B8547">
        <v>2022</v>
      </c>
      <c r="C8547" t="s">
        <v>35</v>
      </c>
      <c r="D8547" s="2">
        <v>44593</v>
      </c>
      <c r="E8547" t="s">
        <v>12</v>
      </c>
      <c r="F8547">
        <v>175.4</v>
      </c>
      <c r="G8547" t="str">
        <f>VLOOKUP(Table1_2[[#This Row],[Categories]],Sheet3!$A$1:$B$27,2,FALSE)</f>
        <v>Food &amp;Beverage</v>
      </c>
    </row>
    <row r="8548" spans="1:7" x14ac:dyDescent="0.3">
      <c r="A8548" t="s">
        <v>30</v>
      </c>
      <c r="B8548">
        <v>2022</v>
      </c>
      <c r="C8548" t="s">
        <v>35</v>
      </c>
      <c r="D8548" s="2">
        <v>44593</v>
      </c>
      <c r="E8548" t="s">
        <v>13</v>
      </c>
      <c r="F8548">
        <v>170.5</v>
      </c>
      <c r="G8548" t="str">
        <f>VLOOKUP(Table1_2[[#This Row],[Categories]],Sheet3!$A$1:$B$27,2,FALSE)</f>
        <v>Food &amp;Beverage</v>
      </c>
    </row>
    <row r="8549" spans="1:7" x14ac:dyDescent="0.3">
      <c r="A8549" t="s">
        <v>30</v>
      </c>
      <c r="B8549">
        <v>2022</v>
      </c>
      <c r="C8549" t="s">
        <v>35</v>
      </c>
      <c r="D8549" s="2">
        <v>44593</v>
      </c>
      <c r="E8549" t="s">
        <v>14</v>
      </c>
      <c r="F8549">
        <v>176.3</v>
      </c>
      <c r="G8549" t="str">
        <f>VLOOKUP(Table1_2[[#This Row],[Categories]],Sheet3!$A$1:$B$27,2,FALSE)</f>
        <v>Food &amp;Beverage</v>
      </c>
    </row>
    <row r="8550" spans="1:7" x14ac:dyDescent="0.3">
      <c r="A8550" t="s">
        <v>30</v>
      </c>
      <c r="B8550">
        <v>2022</v>
      </c>
      <c r="C8550" t="s">
        <v>35</v>
      </c>
      <c r="D8550" s="2">
        <v>44593</v>
      </c>
      <c r="E8550" t="s">
        <v>15</v>
      </c>
      <c r="F8550">
        <v>163.9</v>
      </c>
      <c r="G8550" t="str">
        <f>VLOOKUP(Table1_2[[#This Row],[Categories]],Sheet3!$A$1:$B$27,2,FALSE)</f>
        <v>Food &amp;Beverage</v>
      </c>
    </row>
    <row r="8551" spans="1:7" x14ac:dyDescent="0.3">
      <c r="A8551" t="s">
        <v>30</v>
      </c>
      <c r="B8551">
        <v>2022</v>
      </c>
      <c r="C8551" t="s">
        <v>35</v>
      </c>
      <c r="D8551" s="2">
        <v>44593</v>
      </c>
      <c r="E8551" t="s">
        <v>16</v>
      </c>
      <c r="F8551">
        <v>191.5</v>
      </c>
      <c r="G8551" t="str">
        <f>VLOOKUP(Table1_2[[#This Row],[Categories]],Sheet3!$A$1:$B$27,2,FALSE)</f>
        <v>Recreation and amusement</v>
      </c>
    </row>
    <row r="8552" spans="1:7" x14ac:dyDescent="0.3">
      <c r="A8552" t="s">
        <v>30</v>
      </c>
      <c r="B8552">
        <v>2022</v>
      </c>
      <c r="C8552" t="s">
        <v>35</v>
      </c>
      <c r="D8552" s="2">
        <v>44593</v>
      </c>
      <c r="E8552" t="s">
        <v>17</v>
      </c>
      <c r="F8552">
        <v>174.1</v>
      </c>
      <c r="G8552" t="str">
        <f>VLOOKUP(Table1_2[[#This Row],[Categories]],Sheet3!$A$1:$B$27,2,FALSE)</f>
        <v>Clothing and footwear</v>
      </c>
    </row>
    <row r="8553" spans="1:7" x14ac:dyDescent="0.3">
      <c r="A8553" t="s">
        <v>30</v>
      </c>
      <c r="B8553">
        <v>2022</v>
      </c>
      <c r="C8553" t="s">
        <v>35</v>
      </c>
      <c r="D8553" s="2">
        <v>44593</v>
      </c>
      <c r="E8553" t="s">
        <v>18</v>
      </c>
      <c r="F8553">
        <v>171</v>
      </c>
      <c r="G8553" t="str">
        <f>VLOOKUP(Table1_2[[#This Row],[Categories]],Sheet3!$A$1:$B$27,2,FALSE)</f>
        <v>Clothing and footwear</v>
      </c>
    </row>
    <row r="8554" spans="1:7" x14ac:dyDescent="0.3">
      <c r="A8554" t="s">
        <v>30</v>
      </c>
      <c r="B8554">
        <v>2022</v>
      </c>
      <c r="C8554" t="s">
        <v>35</v>
      </c>
      <c r="D8554" s="2">
        <v>44593</v>
      </c>
      <c r="E8554" t="s">
        <v>19</v>
      </c>
      <c r="F8554">
        <v>173.7</v>
      </c>
      <c r="G8554" t="str">
        <f>VLOOKUP(Table1_2[[#This Row],[Categories]],Sheet3!$A$1:$B$27,2,FALSE)</f>
        <v>Clothing and footwear</v>
      </c>
    </row>
    <row r="8555" spans="1:7" x14ac:dyDescent="0.3">
      <c r="A8555" t="s">
        <v>30</v>
      </c>
      <c r="B8555">
        <v>2022</v>
      </c>
      <c r="C8555" t="s">
        <v>35</v>
      </c>
      <c r="D8555" s="2">
        <v>44593</v>
      </c>
      <c r="E8555" t="s">
        <v>21</v>
      </c>
      <c r="F8555">
        <v>167.4</v>
      </c>
      <c r="G8555" t="str">
        <f>VLOOKUP(Table1_2[[#This Row],[Categories]],Sheet3!$A$1:$B$27,2,FALSE)</f>
        <v>Fuel and light</v>
      </c>
    </row>
    <row r="8556" spans="1:7" x14ac:dyDescent="0.3">
      <c r="A8556" t="s">
        <v>30</v>
      </c>
      <c r="B8556">
        <v>2022</v>
      </c>
      <c r="C8556" t="s">
        <v>35</v>
      </c>
      <c r="D8556" s="2">
        <v>44593</v>
      </c>
      <c r="E8556" t="s">
        <v>22</v>
      </c>
      <c r="F8556">
        <v>165.7</v>
      </c>
      <c r="G8556" t="str">
        <f>VLOOKUP(Table1_2[[#This Row],[Categories]],Sheet3!$A$1:$B$27,2,FALSE)</f>
        <v>Household Items</v>
      </c>
    </row>
    <row r="8557" spans="1:7" x14ac:dyDescent="0.3">
      <c r="A8557" t="s">
        <v>30</v>
      </c>
      <c r="B8557">
        <v>2022</v>
      </c>
      <c r="C8557" t="s">
        <v>35</v>
      </c>
      <c r="D8557" s="2">
        <v>44593</v>
      </c>
      <c r="E8557" t="s">
        <v>23</v>
      </c>
      <c r="F8557">
        <v>175.3</v>
      </c>
      <c r="G8557" t="str">
        <f>VLOOKUP(Table1_2[[#This Row],[Categories]],Sheet3!$A$1:$B$27,2,FALSE)</f>
        <v>Health</v>
      </c>
    </row>
    <row r="8558" spans="1:7" x14ac:dyDescent="0.3">
      <c r="A8558" t="s">
        <v>30</v>
      </c>
      <c r="B8558">
        <v>2022</v>
      </c>
      <c r="C8558" t="s">
        <v>35</v>
      </c>
      <c r="D8558" s="2">
        <v>44593</v>
      </c>
      <c r="E8558" t="s">
        <v>24</v>
      </c>
      <c r="F8558">
        <v>161.19999999999999</v>
      </c>
      <c r="G8558" t="str">
        <f>VLOOKUP(Table1_2[[#This Row],[Categories]],Sheet3!$A$1:$B$27,2,FALSE)</f>
        <v>Transport and communication</v>
      </c>
    </row>
    <row r="8559" spans="1:7" x14ac:dyDescent="0.3">
      <c r="A8559" t="s">
        <v>30</v>
      </c>
      <c r="B8559">
        <v>2022</v>
      </c>
      <c r="C8559" t="s">
        <v>35</v>
      </c>
      <c r="D8559" s="2">
        <v>44593</v>
      </c>
      <c r="E8559" t="s">
        <v>25</v>
      </c>
      <c r="F8559">
        <v>165.5</v>
      </c>
      <c r="G8559" t="str">
        <f>VLOOKUP(Table1_2[[#This Row],[Categories]],Sheet3!$A$1:$B$27,2,FALSE)</f>
        <v>Recreation and amusement</v>
      </c>
    </row>
    <row r="8560" spans="1:7" x14ac:dyDescent="0.3">
      <c r="A8560" t="s">
        <v>30</v>
      </c>
      <c r="B8560">
        <v>2022</v>
      </c>
      <c r="C8560" t="s">
        <v>35</v>
      </c>
      <c r="D8560" s="2">
        <v>44593</v>
      </c>
      <c r="E8560" t="s">
        <v>26</v>
      </c>
      <c r="F8560">
        <v>170.3</v>
      </c>
      <c r="G8560" t="str">
        <f>VLOOKUP(Table1_2[[#This Row],[Categories]],Sheet3!$A$1:$B$27,2,FALSE)</f>
        <v>Education</v>
      </c>
    </row>
    <row r="8561" spans="1:7" x14ac:dyDescent="0.3">
      <c r="A8561" t="s">
        <v>30</v>
      </c>
      <c r="B8561">
        <v>2022</v>
      </c>
      <c r="C8561" t="s">
        <v>35</v>
      </c>
      <c r="D8561" s="2">
        <v>44593</v>
      </c>
      <c r="E8561" t="s">
        <v>27</v>
      </c>
      <c r="F8561">
        <v>164.5</v>
      </c>
      <c r="G8561" t="str">
        <f>VLOOKUP(Table1_2[[#This Row],[Categories]],Sheet3!$A$1:$B$27,2,FALSE)</f>
        <v>Household Items</v>
      </c>
    </row>
    <row r="8562" spans="1:7" x14ac:dyDescent="0.3">
      <c r="A8562" t="s">
        <v>30</v>
      </c>
      <c r="B8562">
        <v>2022</v>
      </c>
      <c r="C8562" t="s">
        <v>35</v>
      </c>
      <c r="D8562" s="2">
        <v>44593</v>
      </c>
      <c r="E8562" t="s">
        <v>28</v>
      </c>
      <c r="F8562">
        <v>167.3</v>
      </c>
      <c r="G8562" t="str">
        <f>VLOOKUP(Table1_2[[#This Row],[Categories]],Sheet3!$A$1:$B$27,2,FALSE)</f>
        <v>Miscellaneous</v>
      </c>
    </row>
    <row r="8563" spans="1:7" x14ac:dyDescent="0.3">
      <c r="A8563" t="s">
        <v>30</v>
      </c>
      <c r="B8563">
        <v>2022</v>
      </c>
      <c r="C8563" t="s">
        <v>35</v>
      </c>
      <c r="D8563" s="2">
        <v>44593</v>
      </c>
      <c r="E8563" t="s">
        <v>29</v>
      </c>
      <c r="F8563">
        <v>166.7</v>
      </c>
      <c r="G8563" t="str">
        <f>VLOOKUP(Table1_2[[#This Row],[Categories]],Sheet3!$A$1:$B$27,2,FALSE)</f>
        <v>General index</v>
      </c>
    </row>
    <row r="8564" spans="1:7" x14ac:dyDescent="0.3">
      <c r="A8564" t="s">
        <v>33</v>
      </c>
      <c r="B8564">
        <v>2022</v>
      </c>
      <c r="C8564" t="s">
        <v>35</v>
      </c>
      <c r="D8564" s="2">
        <v>44593</v>
      </c>
      <c r="E8564" t="s">
        <v>3</v>
      </c>
      <c r="F8564">
        <v>152.5</v>
      </c>
      <c r="G8564" t="str">
        <f>VLOOKUP(Table1_2[[#This Row],[Categories]],Sheet3!$A$1:$B$27,2,FALSE)</f>
        <v>Food &amp;Beverage</v>
      </c>
    </row>
    <row r="8565" spans="1:7" x14ac:dyDescent="0.3">
      <c r="A8565" t="s">
        <v>33</v>
      </c>
      <c r="B8565">
        <v>2022</v>
      </c>
      <c r="C8565" t="s">
        <v>35</v>
      </c>
      <c r="D8565" s="2">
        <v>44593</v>
      </c>
      <c r="E8565" t="s">
        <v>4</v>
      </c>
      <c r="F8565">
        <v>205.2</v>
      </c>
      <c r="G8565" t="str">
        <f>VLOOKUP(Table1_2[[#This Row],[Categories]],Sheet3!$A$1:$B$27,2,FALSE)</f>
        <v>Food &amp;Beverage</v>
      </c>
    </row>
    <row r="8566" spans="1:7" x14ac:dyDescent="0.3">
      <c r="A8566" t="s">
        <v>33</v>
      </c>
      <c r="B8566">
        <v>2022</v>
      </c>
      <c r="C8566" t="s">
        <v>35</v>
      </c>
      <c r="D8566" s="2">
        <v>44593</v>
      </c>
      <c r="E8566" t="s">
        <v>5</v>
      </c>
      <c r="F8566">
        <v>176.4</v>
      </c>
      <c r="G8566" t="str">
        <f>VLOOKUP(Table1_2[[#This Row],[Categories]],Sheet3!$A$1:$B$27,2,FALSE)</f>
        <v>Food &amp;Beverage</v>
      </c>
    </row>
    <row r="8567" spans="1:7" x14ac:dyDescent="0.3">
      <c r="A8567" t="s">
        <v>33</v>
      </c>
      <c r="B8567">
        <v>2022</v>
      </c>
      <c r="C8567" t="s">
        <v>35</v>
      </c>
      <c r="D8567" s="2">
        <v>44593</v>
      </c>
      <c r="E8567" t="s">
        <v>6</v>
      </c>
      <c r="F8567">
        <v>160.6</v>
      </c>
      <c r="G8567" t="str">
        <f>VLOOKUP(Table1_2[[#This Row],[Categories]],Sheet3!$A$1:$B$27,2,FALSE)</f>
        <v>Food &amp;Beverage</v>
      </c>
    </row>
    <row r="8568" spans="1:7" x14ac:dyDescent="0.3">
      <c r="A8568" t="s">
        <v>33</v>
      </c>
      <c r="B8568">
        <v>2022</v>
      </c>
      <c r="C8568" t="s">
        <v>35</v>
      </c>
      <c r="D8568" s="2">
        <v>44593</v>
      </c>
      <c r="E8568" t="s">
        <v>7</v>
      </c>
      <c r="F8568">
        <v>171.5</v>
      </c>
      <c r="G8568" t="str">
        <f>VLOOKUP(Table1_2[[#This Row],[Categories]],Sheet3!$A$1:$B$27,2,FALSE)</f>
        <v>Food &amp;Beverage</v>
      </c>
    </row>
    <row r="8569" spans="1:7" x14ac:dyDescent="0.3">
      <c r="A8569" t="s">
        <v>33</v>
      </c>
      <c r="B8569">
        <v>2022</v>
      </c>
      <c r="C8569" t="s">
        <v>35</v>
      </c>
      <c r="D8569" s="2">
        <v>44593</v>
      </c>
      <c r="E8569" t="s">
        <v>8</v>
      </c>
      <c r="F8569">
        <v>156.4</v>
      </c>
      <c r="G8569" t="str">
        <f>VLOOKUP(Table1_2[[#This Row],[Categories]],Sheet3!$A$1:$B$27,2,FALSE)</f>
        <v>Food &amp;Beverage</v>
      </c>
    </row>
    <row r="8570" spans="1:7" x14ac:dyDescent="0.3">
      <c r="A8570" t="s">
        <v>33</v>
      </c>
      <c r="B8570">
        <v>2022</v>
      </c>
      <c r="C8570" t="s">
        <v>35</v>
      </c>
      <c r="D8570" s="2">
        <v>44593</v>
      </c>
      <c r="E8570" t="s">
        <v>9</v>
      </c>
      <c r="F8570">
        <v>198</v>
      </c>
      <c r="G8570" t="str">
        <f>VLOOKUP(Table1_2[[#This Row],[Categories]],Sheet3!$A$1:$B$27,2,FALSE)</f>
        <v>Food &amp;Beverage</v>
      </c>
    </row>
    <row r="8571" spans="1:7" x14ac:dyDescent="0.3">
      <c r="A8571" t="s">
        <v>33</v>
      </c>
      <c r="B8571">
        <v>2022</v>
      </c>
      <c r="C8571" t="s">
        <v>35</v>
      </c>
      <c r="D8571" s="2">
        <v>44593</v>
      </c>
      <c r="E8571" t="s">
        <v>10</v>
      </c>
      <c r="F8571">
        <v>163.19999999999999</v>
      </c>
      <c r="G8571" t="str">
        <f>VLOOKUP(Table1_2[[#This Row],[Categories]],Sheet3!$A$1:$B$27,2,FALSE)</f>
        <v>Food &amp;Beverage</v>
      </c>
    </row>
    <row r="8572" spans="1:7" x14ac:dyDescent="0.3">
      <c r="A8572" t="s">
        <v>33</v>
      </c>
      <c r="B8572">
        <v>2022</v>
      </c>
      <c r="C8572" t="s">
        <v>35</v>
      </c>
      <c r="D8572" s="2">
        <v>44593</v>
      </c>
      <c r="E8572" t="s">
        <v>11</v>
      </c>
      <c r="F8572">
        <v>120.6</v>
      </c>
      <c r="G8572" t="str">
        <f>VLOOKUP(Table1_2[[#This Row],[Categories]],Sheet3!$A$1:$B$27,2,FALSE)</f>
        <v>Food &amp;Beverage</v>
      </c>
    </row>
    <row r="8573" spans="1:7" x14ac:dyDescent="0.3">
      <c r="A8573" t="s">
        <v>33</v>
      </c>
      <c r="B8573">
        <v>2022</v>
      </c>
      <c r="C8573" t="s">
        <v>35</v>
      </c>
      <c r="D8573" s="2">
        <v>44593</v>
      </c>
      <c r="E8573" t="s">
        <v>12</v>
      </c>
      <c r="F8573">
        <v>172.2</v>
      </c>
      <c r="G8573" t="str">
        <f>VLOOKUP(Table1_2[[#This Row],[Categories]],Sheet3!$A$1:$B$27,2,FALSE)</f>
        <v>Food &amp;Beverage</v>
      </c>
    </row>
    <row r="8574" spans="1:7" x14ac:dyDescent="0.3">
      <c r="A8574" t="s">
        <v>33</v>
      </c>
      <c r="B8574">
        <v>2022</v>
      </c>
      <c r="C8574" t="s">
        <v>35</v>
      </c>
      <c r="D8574" s="2">
        <v>44593</v>
      </c>
      <c r="E8574" t="s">
        <v>13</v>
      </c>
      <c r="F8574">
        <v>156.69999999999999</v>
      </c>
      <c r="G8574" t="str">
        <f>VLOOKUP(Table1_2[[#This Row],[Categories]],Sheet3!$A$1:$B$27,2,FALSE)</f>
        <v>Food &amp;Beverage</v>
      </c>
    </row>
    <row r="8575" spans="1:7" x14ac:dyDescent="0.3">
      <c r="A8575" t="s">
        <v>33</v>
      </c>
      <c r="B8575">
        <v>2022</v>
      </c>
      <c r="C8575" t="s">
        <v>35</v>
      </c>
      <c r="D8575" s="2">
        <v>44593</v>
      </c>
      <c r="E8575" t="s">
        <v>14</v>
      </c>
      <c r="F8575">
        <v>180</v>
      </c>
      <c r="G8575" t="str">
        <f>VLOOKUP(Table1_2[[#This Row],[Categories]],Sheet3!$A$1:$B$27,2,FALSE)</f>
        <v>Food &amp;Beverage</v>
      </c>
    </row>
    <row r="8576" spans="1:7" x14ac:dyDescent="0.3">
      <c r="A8576" t="s">
        <v>33</v>
      </c>
      <c r="B8576">
        <v>2022</v>
      </c>
      <c r="C8576" t="s">
        <v>35</v>
      </c>
      <c r="D8576" s="2">
        <v>44593</v>
      </c>
      <c r="E8576" t="s">
        <v>15</v>
      </c>
      <c r="F8576">
        <v>170.2</v>
      </c>
      <c r="G8576" t="str">
        <f>VLOOKUP(Table1_2[[#This Row],[Categories]],Sheet3!$A$1:$B$27,2,FALSE)</f>
        <v>Food &amp;Beverage</v>
      </c>
    </row>
    <row r="8577" spans="1:7" x14ac:dyDescent="0.3">
      <c r="A8577" t="s">
        <v>33</v>
      </c>
      <c r="B8577">
        <v>2022</v>
      </c>
      <c r="C8577" t="s">
        <v>35</v>
      </c>
      <c r="D8577" s="2">
        <v>44593</v>
      </c>
      <c r="E8577" t="s">
        <v>16</v>
      </c>
      <c r="F8577">
        <v>196.5</v>
      </c>
      <c r="G8577" t="str">
        <f>VLOOKUP(Table1_2[[#This Row],[Categories]],Sheet3!$A$1:$B$27,2,FALSE)</f>
        <v>Recreation and amusement</v>
      </c>
    </row>
    <row r="8578" spans="1:7" x14ac:dyDescent="0.3">
      <c r="A8578" t="s">
        <v>33</v>
      </c>
      <c r="B8578">
        <v>2022</v>
      </c>
      <c r="C8578" t="s">
        <v>35</v>
      </c>
      <c r="D8578" s="2">
        <v>44593</v>
      </c>
      <c r="E8578" t="s">
        <v>17</v>
      </c>
      <c r="F8578">
        <v>165.7</v>
      </c>
      <c r="G8578" t="str">
        <f>VLOOKUP(Table1_2[[#This Row],[Categories]],Sheet3!$A$1:$B$27,2,FALSE)</f>
        <v>Clothing and footwear</v>
      </c>
    </row>
    <row r="8579" spans="1:7" x14ac:dyDescent="0.3">
      <c r="A8579" t="s">
        <v>33</v>
      </c>
      <c r="B8579">
        <v>2022</v>
      </c>
      <c r="C8579" t="s">
        <v>35</v>
      </c>
      <c r="D8579" s="2">
        <v>44593</v>
      </c>
      <c r="E8579" t="s">
        <v>18</v>
      </c>
      <c r="F8579">
        <v>150.4</v>
      </c>
      <c r="G8579" t="str">
        <f>VLOOKUP(Table1_2[[#This Row],[Categories]],Sheet3!$A$1:$B$27,2,FALSE)</f>
        <v>Clothing and footwear</v>
      </c>
    </row>
    <row r="8580" spans="1:7" x14ac:dyDescent="0.3">
      <c r="A8580" t="s">
        <v>33</v>
      </c>
      <c r="B8580">
        <v>2022</v>
      </c>
      <c r="C8580" t="s">
        <v>35</v>
      </c>
      <c r="D8580" s="2">
        <v>44593</v>
      </c>
      <c r="E8580" t="s">
        <v>19</v>
      </c>
      <c r="F8580">
        <v>163.4</v>
      </c>
      <c r="G8580" t="str">
        <f>VLOOKUP(Table1_2[[#This Row],[Categories]],Sheet3!$A$1:$B$27,2,FALSE)</f>
        <v>Clothing and footwear</v>
      </c>
    </row>
    <row r="8581" spans="1:7" x14ac:dyDescent="0.3">
      <c r="A8581" t="s">
        <v>33</v>
      </c>
      <c r="B8581">
        <v>2022</v>
      </c>
      <c r="C8581" t="s">
        <v>35</v>
      </c>
      <c r="D8581" s="2">
        <v>44593</v>
      </c>
      <c r="E8581" t="s">
        <v>20</v>
      </c>
      <c r="F8581">
        <v>165.5</v>
      </c>
      <c r="G8581" t="str">
        <f>VLOOKUP(Table1_2[[#This Row],[Categories]],Sheet3!$A$1:$B$27,2,FALSE)</f>
        <v>Housing</v>
      </c>
    </row>
    <row r="8582" spans="1:7" x14ac:dyDescent="0.3">
      <c r="A8582" t="s">
        <v>33</v>
      </c>
      <c r="B8582">
        <v>2022</v>
      </c>
      <c r="C8582" t="s">
        <v>35</v>
      </c>
      <c r="D8582" s="2">
        <v>44593</v>
      </c>
      <c r="E8582" t="s">
        <v>21</v>
      </c>
      <c r="F8582">
        <v>163</v>
      </c>
      <c r="G8582" t="str">
        <f>VLOOKUP(Table1_2[[#This Row],[Categories]],Sheet3!$A$1:$B$27,2,FALSE)</f>
        <v>Fuel and light</v>
      </c>
    </row>
    <row r="8583" spans="1:7" x14ac:dyDescent="0.3">
      <c r="A8583" t="s">
        <v>33</v>
      </c>
      <c r="B8583">
        <v>2022</v>
      </c>
      <c r="C8583" t="s">
        <v>35</v>
      </c>
      <c r="D8583" s="2">
        <v>44593</v>
      </c>
      <c r="E8583" t="s">
        <v>22</v>
      </c>
      <c r="F8583">
        <v>157.4</v>
      </c>
      <c r="G8583" t="str">
        <f>VLOOKUP(Table1_2[[#This Row],[Categories]],Sheet3!$A$1:$B$27,2,FALSE)</f>
        <v>Household Items</v>
      </c>
    </row>
    <row r="8584" spans="1:7" x14ac:dyDescent="0.3">
      <c r="A8584" t="s">
        <v>33</v>
      </c>
      <c r="B8584">
        <v>2022</v>
      </c>
      <c r="C8584" t="s">
        <v>35</v>
      </c>
      <c r="D8584" s="2">
        <v>44593</v>
      </c>
      <c r="E8584" t="s">
        <v>23</v>
      </c>
      <c r="F8584">
        <v>167.2</v>
      </c>
      <c r="G8584" t="str">
        <f>VLOOKUP(Table1_2[[#This Row],[Categories]],Sheet3!$A$1:$B$27,2,FALSE)</f>
        <v>Health</v>
      </c>
    </row>
    <row r="8585" spans="1:7" x14ac:dyDescent="0.3">
      <c r="A8585" t="s">
        <v>33</v>
      </c>
      <c r="B8585">
        <v>2022</v>
      </c>
      <c r="C8585" t="s">
        <v>35</v>
      </c>
      <c r="D8585" s="2">
        <v>44593</v>
      </c>
      <c r="E8585" t="s">
        <v>24</v>
      </c>
      <c r="F8585">
        <v>153.1</v>
      </c>
      <c r="G8585" t="str">
        <f>VLOOKUP(Table1_2[[#This Row],[Categories]],Sheet3!$A$1:$B$27,2,FALSE)</f>
        <v>Transport and communication</v>
      </c>
    </row>
    <row r="8586" spans="1:7" x14ac:dyDescent="0.3">
      <c r="A8586" t="s">
        <v>33</v>
      </c>
      <c r="B8586">
        <v>2022</v>
      </c>
      <c r="C8586" t="s">
        <v>35</v>
      </c>
      <c r="D8586" s="2">
        <v>44593</v>
      </c>
      <c r="E8586" t="s">
        <v>25</v>
      </c>
      <c r="F8586">
        <v>159.5</v>
      </c>
      <c r="G8586" t="str">
        <f>VLOOKUP(Table1_2[[#This Row],[Categories]],Sheet3!$A$1:$B$27,2,FALSE)</f>
        <v>Recreation and amusement</v>
      </c>
    </row>
    <row r="8587" spans="1:7" x14ac:dyDescent="0.3">
      <c r="A8587" t="s">
        <v>33</v>
      </c>
      <c r="B8587">
        <v>2022</v>
      </c>
      <c r="C8587" t="s">
        <v>35</v>
      </c>
      <c r="D8587" s="2">
        <v>44593</v>
      </c>
      <c r="E8587" t="s">
        <v>26</v>
      </c>
      <c r="F8587">
        <v>162</v>
      </c>
      <c r="G8587" t="str">
        <f>VLOOKUP(Table1_2[[#This Row],[Categories]],Sheet3!$A$1:$B$27,2,FALSE)</f>
        <v>Education</v>
      </c>
    </row>
    <row r="8588" spans="1:7" x14ac:dyDescent="0.3">
      <c r="A8588" t="s">
        <v>33</v>
      </c>
      <c r="B8588">
        <v>2022</v>
      </c>
      <c r="C8588" t="s">
        <v>35</v>
      </c>
      <c r="D8588" s="2">
        <v>44593</v>
      </c>
      <c r="E8588" t="s">
        <v>27</v>
      </c>
      <c r="F8588">
        <v>164.2</v>
      </c>
      <c r="G8588" t="str">
        <f>VLOOKUP(Table1_2[[#This Row],[Categories]],Sheet3!$A$1:$B$27,2,FALSE)</f>
        <v>Household Items</v>
      </c>
    </row>
    <row r="8589" spans="1:7" x14ac:dyDescent="0.3">
      <c r="A8589" t="s">
        <v>33</v>
      </c>
      <c r="B8589">
        <v>2022</v>
      </c>
      <c r="C8589" t="s">
        <v>35</v>
      </c>
      <c r="D8589" s="2">
        <v>44593</v>
      </c>
      <c r="E8589" t="s">
        <v>28</v>
      </c>
      <c r="F8589">
        <v>159.4</v>
      </c>
      <c r="G8589" t="str">
        <f>VLOOKUP(Table1_2[[#This Row],[Categories]],Sheet3!$A$1:$B$27,2,FALSE)</f>
        <v>Miscellaneous</v>
      </c>
    </row>
    <row r="8590" spans="1:7" x14ac:dyDescent="0.3">
      <c r="A8590" t="s">
        <v>33</v>
      </c>
      <c r="B8590">
        <v>2022</v>
      </c>
      <c r="C8590" t="s">
        <v>35</v>
      </c>
      <c r="D8590" s="2">
        <v>44593</v>
      </c>
      <c r="E8590" t="s">
        <v>29</v>
      </c>
      <c r="F8590">
        <v>165.5</v>
      </c>
      <c r="G8590" t="str">
        <f>VLOOKUP(Table1_2[[#This Row],[Categories]],Sheet3!$A$1:$B$27,2,FALSE)</f>
        <v>General index</v>
      </c>
    </row>
    <row r="8591" spans="1:7" x14ac:dyDescent="0.3">
      <c r="A8591" t="s">
        <v>34</v>
      </c>
      <c r="B8591">
        <v>2022</v>
      </c>
      <c r="C8591" t="s">
        <v>35</v>
      </c>
      <c r="D8591" s="2">
        <v>44593</v>
      </c>
      <c r="E8591" t="s">
        <v>3</v>
      </c>
      <c r="F8591">
        <v>150</v>
      </c>
      <c r="G8591" t="str">
        <f>VLOOKUP(Table1_2[[#This Row],[Categories]],Sheet3!$A$1:$B$27,2,FALSE)</f>
        <v>Food &amp;Beverage</v>
      </c>
    </row>
    <row r="8592" spans="1:7" x14ac:dyDescent="0.3">
      <c r="A8592" t="s">
        <v>34</v>
      </c>
      <c r="B8592">
        <v>2022</v>
      </c>
      <c r="C8592" t="s">
        <v>35</v>
      </c>
      <c r="D8592" s="2">
        <v>44593</v>
      </c>
      <c r="E8592" t="s">
        <v>4</v>
      </c>
      <c r="F8592">
        <v>200.6</v>
      </c>
      <c r="G8592" t="str">
        <f>VLOOKUP(Table1_2[[#This Row],[Categories]],Sheet3!$A$1:$B$27,2,FALSE)</f>
        <v>Food &amp;Beverage</v>
      </c>
    </row>
    <row r="8593" spans="1:7" x14ac:dyDescent="0.3">
      <c r="A8593" t="s">
        <v>34</v>
      </c>
      <c r="B8593">
        <v>2022</v>
      </c>
      <c r="C8593" t="s">
        <v>35</v>
      </c>
      <c r="D8593" s="2">
        <v>44593</v>
      </c>
      <c r="E8593" t="s">
        <v>5</v>
      </c>
      <c r="F8593">
        <v>175.8</v>
      </c>
      <c r="G8593" t="str">
        <f>VLOOKUP(Table1_2[[#This Row],[Categories]],Sheet3!$A$1:$B$27,2,FALSE)</f>
        <v>Food &amp;Beverage</v>
      </c>
    </row>
    <row r="8594" spans="1:7" x14ac:dyDescent="0.3">
      <c r="A8594" t="s">
        <v>34</v>
      </c>
      <c r="B8594">
        <v>2022</v>
      </c>
      <c r="C8594" t="s">
        <v>35</v>
      </c>
      <c r="D8594" s="2">
        <v>44593</v>
      </c>
      <c r="E8594" t="s">
        <v>6</v>
      </c>
      <c r="F8594">
        <v>160.69999999999999</v>
      </c>
      <c r="G8594" t="str">
        <f>VLOOKUP(Table1_2[[#This Row],[Categories]],Sheet3!$A$1:$B$27,2,FALSE)</f>
        <v>Food &amp;Beverage</v>
      </c>
    </row>
    <row r="8595" spans="1:7" x14ac:dyDescent="0.3">
      <c r="A8595" t="s">
        <v>34</v>
      </c>
      <c r="B8595">
        <v>2022</v>
      </c>
      <c r="C8595" t="s">
        <v>35</v>
      </c>
      <c r="D8595" s="2">
        <v>44593</v>
      </c>
      <c r="E8595" t="s">
        <v>7</v>
      </c>
      <c r="F8595">
        <v>184.9</v>
      </c>
      <c r="G8595" t="str">
        <f>VLOOKUP(Table1_2[[#This Row],[Categories]],Sheet3!$A$1:$B$27,2,FALSE)</f>
        <v>Food &amp;Beverage</v>
      </c>
    </row>
    <row r="8596" spans="1:7" x14ac:dyDescent="0.3">
      <c r="A8596" t="s">
        <v>34</v>
      </c>
      <c r="B8596">
        <v>2022</v>
      </c>
      <c r="C8596" t="s">
        <v>35</v>
      </c>
      <c r="D8596" s="2">
        <v>44593</v>
      </c>
      <c r="E8596" t="s">
        <v>8</v>
      </c>
      <c r="F8596">
        <v>153.69999999999999</v>
      </c>
      <c r="G8596" t="str">
        <f>VLOOKUP(Table1_2[[#This Row],[Categories]],Sheet3!$A$1:$B$27,2,FALSE)</f>
        <v>Food &amp;Beverage</v>
      </c>
    </row>
    <row r="8597" spans="1:7" x14ac:dyDescent="0.3">
      <c r="A8597" t="s">
        <v>34</v>
      </c>
      <c r="B8597">
        <v>2022</v>
      </c>
      <c r="C8597" t="s">
        <v>35</v>
      </c>
      <c r="D8597" s="2">
        <v>44593</v>
      </c>
      <c r="E8597" t="s">
        <v>9</v>
      </c>
      <c r="F8597">
        <v>169.7</v>
      </c>
      <c r="G8597" t="str">
        <f>VLOOKUP(Table1_2[[#This Row],[Categories]],Sheet3!$A$1:$B$27,2,FALSE)</f>
        <v>Food &amp;Beverage</v>
      </c>
    </row>
    <row r="8598" spans="1:7" x14ac:dyDescent="0.3">
      <c r="A8598" t="s">
        <v>34</v>
      </c>
      <c r="B8598">
        <v>2022</v>
      </c>
      <c r="C8598" t="s">
        <v>35</v>
      </c>
      <c r="D8598" s="2">
        <v>44593</v>
      </c>
      <c r="E8598" t="s">
        <v>10</v>
      </c>
      <c r="F8598">
        <v>163.69999999999999</v>
      </c>
      <c r="G8598" t="str">
        <f>VLOOKUP(Table1_2[[#This Row],[Categories]],Sheet3!$A$1:$B$27,2,FALSE)</f>
        <v>Food &amp;Beverage</v>
      </c>
    </row>
    <row r="8599" spans="1:7" x14ac:dyDescent="0.3">
      <c r="A8599" t="s">
        <v>34</v>
      </c>
      <c r="B8599">
        <v>2022</v>
      </c>
      <c r="C8599" t="s">
        <v>35</v>
      </c>
      <c r="D8599" s="2">
        <v>44593</v>
      </c>
      <c r="E8599" t="s">
        <v>11</v>
      </c>
      <c r="F8599">
        <v>118.9</v>
      </c>
      <c r="G8599" t="str">
        <f>VLOOKUP(Table1_2[[#This Row],[Categories]],Sheet3!$A$1:$B$27,2,FALSE)</f>
        <v>Food &amp;Beverage</v>
      </c>
    </row>
    <row r="8600" spans="1:7" x14ac:dyDescent="0.3">
      <c r="A8600" t="s">
        <v>34</v>
      </c>
      <c r="B8600">
        <v>2022</v>
      </c>
      <c r="C8600" t="s">
        <v>35</v>
      </c>
      <c r="D8600" s="2">
        <v>44593</v>
      </c>
      <c r="E8600" t="s">
        <v>12</v>
      </c>
      <c r="F8600">
        <v>174.3</v>
      </c>
      <c r="G8600" t="str">
        <f>VLOOKUP(Table1_2[[#This Row],[Categories]],Sheet3!$A$1:$B$27,2,FALSE)</f>
        <v>Food &amp;Beverage</v>
      </c>
    </row>
    <row r="8601" spans="1:7" x14ac:dyDescent="0.3">
      <c r="A8601" t="s">
        <v>34</v>
      </c>
      <c r="B8601">
        <v>2022</v>
      </c>
      <c r="C8601" t="s">
        <v>35</v>
      </c>
      <c r="D8601" s="2">
        <v>44593</v>
      </c>
      <c r="E8601" t="s">
        <v>13</v>
      </c>
      <c r="F8601">
        <v>164.7</v>
      </c>
      <c r="G8601" t="str">
        <f>VLOOKUP(Table1_2[[#This Row],[Categories]],Sheet3!$A$1:$B$27,2,FALSE)</f>
        <v>Food &amp;Beverage</v>
      </c>
    </row>
    <row r="8602" spans="1:7" x14ac:dyDescent="0.3">
      <c r="A8602" t="s">
        <v>34</v>
      </c>
      <c r="B8602">
        <v>2022</v>
      </c>
      <c r="C8602" t="s">
        <v>35</v>
      </c>
      <c r="D8602" s="2">
        <v>44593</v>
      </c>
      <c r="E8602" t="s">
        <v>14</v>
      </c>
      <c r="F8602">
        <v>178</v>
      </c>
      <c r="G8602" t="str">
        <f>VLOOKUP(Table1_2[[#This Row],[Categories]],Sheet3!$A$1:$B$27,2,FALSE)</f>
        <v>Food &amp;Beverage</v>
      </c>
    </row>
    <row r="8603" spans="1:7" x14ac:dyDescent="0.3">
      <c r="A8603" t="s">
        <v>34</v>
      </c>
      <c r="B8603">
        <v>2022</v>
      </c>
      <c r="C8603" t="s">
        <v>35</v>
      </c>
      <c r="D8603" s="2">
        <v>44593</v>
      </c>
      <c r="E8603" t="s">
        <v>15</v>
      </c>
      <c r="F8603">
        <v>166.2</v>
      </c>
      <c r="G8603" t="str">
        <f>VLOOKUP(Table1_2[[#This Row],[Categories]],Sheet3!$A$1:$B$27,2,FALSE)</f>
        <v>Food &amp;Beverage</v>
      </c>
    </row>
    <row r="8604" spans="1:7" x14ac:dyDescent="0.3">
      <c r="A8604" t="s">
        <v>34</v>
      </c>
      <c r="B8604">
        <v>2022</v>
      </c>
      <c r="C8604" t="s">
        <v>35</v>
      </c>
      <c r="D8604" s="2">
        <v>44593</v>
      </c>
      <c r="E8604" t="s">
        <v>16</v>
      </c>
      <c r="F8604">
        <v>192.8</v>
      </c>
      <c r="G8604" t="str">
        <f>VLOOKUP(Table1_2[[#This Row],[Categories]],Sheet3!$A$1:$B$27,2,FALSE)</f>
        <v>Recreation and amusement</v>
      </c>
    </row>
    <row r="8605" spans="1:7" x14ac:dyDescent="0.3">
      <c r="A8605" t="s">
        <v>34</v>
      </c>
      <c r="B8605">
        <v>2022</v>
      </c>
      <c r="C8605" t="s">
        <v>35</v>
      </c>
      <c r="D8605" s="2">
        <v>44593</v>
      </c>
      <c r="E8605" t="s">
        <v>17</v>
      </c>
      <c r="F8605">
        <v>170.8</v>
      </c>
      <c r="G8605" t="str">
        <f>VLOOKUP(Table1_2[[#This Row],[Categories]],Sheet3!$A$1:$B$27,2,FALSE)</f>
        <v>Clothing and footwear</v>
      </c>
    </row>
    <row r="8606" spans="1:7" x14ac:dyDescent="0.3">
      <c r="A8606" t="s">
        <v>34</v>
      </c>
      <c r="B8606">
        <v>2022</v>
      </c>
      <c r="C8606" t="s">
        <v>35</v>
      </c>
      <c r="D8606" s="2">
        <v>44593</v>
      </c>
      <c r="E8606" t="s">
        <v>18</v>
      </c>
      <c r="F8606">
        <v>162.4</v>
      </c>
      <c r="G8606" t="str">
        <f>VLOOKUP(Table1_2[[#This Row],[Categories]],Sheet3!$A$1:$B$27,2,FALSE)</f>
        <v>Clothing and footwear</v>
      </c>
    </row>
    <row r="8607" spans="1:7" x14ac:dyDescent="0.3">
      <c r="A8607" t="s">
        <v>34</v>
      </c>
      <c r="B8607">
        <v>2022</v>
      </c>
      <c r="C8607" t="s">
        <v>35</v>
      </c>
      <c r="D8607" s="2">
        <v>44593</v>
      </c>
      <c r="E8607" t="s">
        <v>19</v>
      </c>
      <c r="F8607">
        <v>169.6</v>
      </c>
      <c r="G8607" t="str">
        <f>VLOOKUP(Table1_2[[#This Row],[Categories]],Sheet3!$A$1:$B$27,2,FALSE)</f>
        <v>Clothing and footwear</v>
      </c>
    </row>
    <row r="8608" spans="1:7" x14ac:dyDescent="0.3">
      <c r="A8608" t="s">
        <v>34</v>
      </c>
      <c r="B8608">
        <v>2022</v>
      </c>
      <c r="C8608" t="s">
        <v>35</v>
      </c>
      <c r="D8608" s="2">
        <v>44593</v>
      </c>
      <c r="E8608" t="s">
        <v>20</v>
      </c>
      <c r="F8608">
        <v>165.5</v>
      </c>
      <c r="G8608" t="str">
        <f>VLOOKUP(Table1_2[[#This Row],[Categories]],Sheet3!$A$1:$B$27,2,FALSE)</f>
        <v>Housing</v>
      </c>
    </row>
    <row r="8609" spans="1:7" x14ac:dyDescent="0.3">
      <c r="A8609" t="s">
        <v>34</v>
      </c>
      <c r="B8609">
        <v>2022</v>
      </c>
      <c r="C8609" t="s">
        <v>35</v>
      </c>
      <c r="D8609" s="2">
        <v>44593</v>
      </c>
      <c r="E8609" t="s">
        <v>21</v>
      </c>
      <c r="F8609">
        <v>165.7</v>
      </c>
      <c r="G8609" t="str">
        <f>VLOOKUP(Table1_2[[#This Row],[Categories]],Sheet3!$A$1:$B$27,2,FALSE)</f>
        <v>Fuel and light</v>
      </c>
    </row>
    <row r="8610" spans="1:7" x14ac:dyDescent="0.3">
      <c r="A8610" t="s">
        <v>34</v>
      </c>
      <c r="B8610">
        <v>2022</v>
      </c>
      <c r="C8610" t="s">
        <v>35</v>
      </c>
      <c r="D8610" s="2">
        <v>44593</v>
      </c>
      <c r="E8610" t="s">
        <v>22</v>
      </c>
      <c r="F8610">
        <v>161.80000000000001</v>
      </c>
      <c r="G8610" t="str">
        <f>VLOOKUP(Table1_2[[#This Row],[Categories]],Sheet3!$A$1:$B$27,2,FALSE)</f>
        <v>Household Items</v>
      </c>
    </row>
    <row r="8611" spans="1:7" x14ac:dyDescent="0.3">
      <c r="A8611" t="s">
        <v>34</v>
      </c>
      <c r="B8611">
        <v>2022</v>
      </c>
      <c r="C8611" t="s">
        <v>35</v>
      </c>
      <c r="D8611" s="2">
        <v>44593</v>
      </c>
      <c r="E8611" t="s">
        <v>23</v>
      </c>
      <c r="F8611">
        <v>172.2</v>
      </c>
      <c r="G8611" t="str">
        <f>VLOOKUP(Table1_2[[#This Row],[Categories]],Sheet3!$A$1:$B$27,2,FALSE)</f>
        <v>Health</v>
      </c>
    </row>
    <row r="8612" spans="1:7" x14ac:dyDescent="0.3">
      <c r="A8612" t="s">
        <v>34</v>
      </c>
      <c r="B8612">
        <v>2022</v>
      </c>
      <c r="C8612" t="s">
        <v>35</v>
      </c>
      <c r="D8612" s="2">
        <v>44593</v>
      </c>
      <c r="E8612" t="s">
        <v>24</v>
      </c>
      <c r="F8612">
        <v>156.9</v>
      </c>
      <c r="G8612" t="str">
        <f>VLOOKUP(Table1_2[[#This Row],[Categories]],Sheet3!$A$1:$B$27,2,FALSE)</f>
        <v>Transport and communication</v>
      </c>
    </row>
    <row r="8613" spans="1:7" x14ac:dyDescent="0.3">
      <c r="A8613" t="s">
        <v>34</v>
      </c>
      <c r="B8613">
        <v>2022</v>
      </c>
      <c r="C8613" t="s">
        <v>35</v>
      </c>
      <c r="D8613" s="2">
        <v>44593</v>
      </c>
      <c r="E8613" t="s">
        <v>25</v>
      </c>
      <c r="F8613">
        <v>162.1</v>
      </c>
      <c r="G8613" t="str">
        <f>VLOOKUP(Table1_2[[#This Row],[Categories]],Sheet3!$A$1:$B$27,2,FALSE)</f>
        <v>Recreation and amusement</v>
      </c>
    </row>
    <row r="8614" spans="1:7" x14ac:dyDescent="0.3">
      <c r="A8614" t="s">
        <v>34</v>
      </c>
      <c r="B8614">
        <v>2022</v>
      </c>
      <c r="C8614" t="s">
        <v>35</v>
      </c>
      <c r="D8614" s="2">
        <v>44593</v>
      </c>
      <c r="E8614" t="s">
        <v>26</v>
      </c>
      <c r="F8614">
        <v>165.4</v>
      </c>
      <c r="G8614" t="str">
        <f>VLOOKUP(Table1_2[[#This Row],[Categories]],Sheet3!$A$1:$B$27,2,FALSE)</f>
        <v>Education</v>
      </c>
    </row>
    <row r="8615" spans="1:7" x14ac:dyDescent="0.3">
      <c r="A8615" t="s">
        <v>34</v>
      </c>
      <c r="B8615">
        <v>2022</v>
      </c>
      <c r="C8615" t="s">
        <v>35</v>
      </c>
      <c r="D8615" s="2">
        <v>44593</v>
      </c>
      <c r="E8615" t="s">
        <v>27</v>
      </c>
      <c r="F8615">
        <v>164.4</v>
      </c>
      <c r="G8615" t="str">
        <f>VLOOKUP(Table1_2[[#This Row],[Categories]],Sheet3!$A$1:$B$27,2,FALSE)</f>
        <v>Household Items</v>
      </c>
    </row>
    <row r="8616" spans="1:7" x14ac:dyDescent="0.3">
      <c r="A8616" t="s">
        <v>34</v>
      </c>
      <c r="B8616">
        <v>2022</v>
      </c>
      <c r="C8616" t="s">
        <v>35</v>
      </c>
      <c r="D8616" s="2">
        <v>44593</v>
      </c>
      <c r="E8616" t="s">
        <v>28</v>
      </c>
      <c r="F8616">
        <v>163.5</v>
      </c>
      <c r="G8616" t="str">
        <f>VLOOKUP(Table1_2[[#This Row],[Categories]],Sheet3!$A$1:$B$27,2,FALSE)</f>
        <v>Miscellaneous</v>
      </c>
    </row>
    <row r="8617" spans="1:7" x14ac:dyDescent="0.3">
      <c r="A8617" t="s">
        <v>34</v>
      </c>
      <c r="B8617">
        <v>2022</v>
      </c>
      <c r="C8617" t="s">
        <v>35</v>
      </c>
      <c r="D8617" s="2">
        <v>44593</v>
      </c>
      <c r="E8617" t="s">
        <v>29</v>
      </c>
      <c r="F8617">
        <v>166.1</v>
      </c>
      <c r="G8617" t="str">
        <f>VLOOKUP(Table1_2[[#This Row],[Categories]],Sheet3!$A$1:$B$27,2,FALSE)</f>
        <v>General index</v>
      </c>
    </row>
    <row r="8618" spans="1:7" x14ac:dyDescent="0.3">
      <c r="A8618" t="s">
        <v>30</v>
      </c>
      <c r="B8618">
        <v>2022</v>
      </c>
      <c r="C8618" t="s">
        <v>36</v>
      </c>
      <c r="D8618" s="2">
        <v>44621</v>
      </c>
      <c r="E8618" t="s">
        <v>3</v>
      </c>
      <c r="F8618">
        <v>150.19999999999999</v>
      </c>
      <c r="G8618" t="str">
        <f>VLOOKUP(Table1_2[[#This Row],[Categories]],Sheet3!$A$1:$B$27,2,FALSE)</f>
        <v>Food &amp;Beverage</v>
      </c>
    </row>
    <row r="8619" spans="1:7" x14ac:dyDescent="0.3">
      <c r="A8619" t="s">
        <v>30</v>
      </c>
      <c r="B8619">
        <v>2022</v>
      </c>
      <c r="C8619" t="s">
        <v>36</v>
      </c>
      <c r="D8619" s="2">
        <v>44621</v>
      </c>
      <c r="E8619" t="s">
        <v>4</v>
      </c>
      <c r="F8619">
        <v>208</v>
      </c>
      <c r="G8619" t="str">
        <f>VLOOKUP(Table1_2[[#This Row],[Categories]],Sheet3!$A$1:$B$27,2,FALSE)</f>
        <v>Food &amp;Beverage</v>
      </c>
    </row>
    <row r="8620" spans="1:7" x14ac:dyDescent="0.3">
      <c r="A8620" t="s">
        <v>30</v>
      </c>
      <c r="B8620">
        <v>2022</v>
      </c>
      <c r="C8620" t="s">
        <v>36</v>
      </c>
      <c r="D8620" s="2">
        <v>44621</v>
      </c>
      <c r="E8620" t="s">
        <v>5</v>
      </c>
      <c r="F8620">
        <v>167.9</v>
      </c>
      <c r="G8620" t="str">
        <f>VLOOKUP(Table1_2[[#This Row],[Categories]],Sheet3!$A$1:$B$27,2,FALSE)</f>
        <v>Food &amp;Beverage</v>
      </c>
    </row>
    <row r="8621" spans="1:7" x14ac:dyDescent="0.3">
      <c r="A8621" t="s">
        <v>30</v>
      </c>
      <c r="B8621">
        <v>2022</v>
      </c>
      <c r="C8621" t="s">
        <v>36</v>
      </c>
      <c r="D8621" s="2">
        <v>44621</v>
      </c>
      <c r="E8621" t="s">
        <v>6</v>
      </c>
      <c r="F8621">
        <v>162</v>
      </c>
      <c r="G8621" t="str">
        <f>VLOOKUP(Table1_2[[#This Row],[Categories]],Sheet3!$A$1:$B$27,2,FALSE)</f>
        <v>Food &amp;Beverage</v>
      </c>
    </row>
    <row r="8622" spans="1:7" x14ac:dyDescent="0.3">
      <c r="A8622" t="s">
        <v>30</v>
      </c>
      <c r="B8622">
        <v>2022</v>
      </c>
      <c r="C8622" t="s">
        <v>36</v>
      </c>
      <c r="D8622" s="2">
        <v>44621</v>
      </c>
      <c r="E8622" t="s">
        <v>7</v>
      </c>
      <c r="F8622">
        <v>203.1</v>
      </c>
      <c r="G8622" t="str">
        <f>VLOOKUP(Table1_2[[#This Row],[Categories]],Sheet3!$A$1:$B$27,2,FALSE)</f>
        <v>Food &amp;Beverage</v>
      </c>
    </row>
    <row r="8623" spans="1:7" x14ac:dyDescent="0.3">
      <c r="A8623" t="s">
        <v>30</v>
      </c>
      <c r="B8623">
        <v>2022</v>
      </c>
      <c r="C8623" t="s">
        <v>36</v>
      </c>
      <c r="D8623" s="2">
        <v>44621</v>
      </c>
      <c r="E8623" t="s">
        <v>8</v>
      </c>
      <c r="F8623">
        <v>155.9</v>
      </c>
      <c r="G8623" t="str">
        <f>VLOOKUP(Table1_2[[#This Row],[Categories]],Sheet3!$A$1:$B$27,2,FALSE)</f>
        <v>Food &amp;Beverage</v>
      </c>
    </row>
    <row r="8624" spans="1:7" x14ac:dyDescent="0.3">
      <c r="A8624" t="s">
        <v>30</v>
      </c>
      <c r="B8624">
        <v>2022</v>
      </c>
      <c r="C8624" t="s">
        <v>36</v>
      </c>
      <c r="D8624" s="2">
        <v>44621</v>
      </c>
      <c r="E8624" t="s">
        <v>9</v>
      </c>
      <c r="F8624">
        <v>155.80000000000001</v>
      </c>
      <c r="G8624" t="str">
        <f>VLOOKUP(Table1_2[[#This Row],[Categories]],Sheet3!$A$1:$B$27,2,FALSE)</f>
        <v>Food &amp;Beverage</v>
      </c>
    </row>
    <row r="8625" spans="1:7" x14ac:dyDescent="0.3">
      <c r="A8625" t="s">
        <v>30</v>
      </c>
      <c r="B8625">
        <v>2022</v>
      </c>
      <c r="C8625" t="s">
        <v>36</v>
      </c>
      <c r="D8625" s="2">
        <v>44621</v>
      </c>
      <c r="E8625" t="s">
        <v>10</v>
      </c>
      <c r="F8625">
        <v>164.2</v>
      </c>
      <c r="G8625" t="str">
        <f>VLOOKUP(Table1_2[[#This Row],[Categories]],Sheet3!$A$1:$B$27,2,FALSE)</f>
        <v>Food &amp;Beverage</v>
      </c>
    </row>
    <row r="8626" spans="1:7" x14ac:dyDescent="0.3">
      <c r="A8626" t="s">
        <v>30</v>
      </c>
      <c r="B8626">
        <v>2022</v>
      </c>
      <c r="C8626" t="s">
        <v>36</v>
      </c>
      <c r="D8626" s="2">
        <v>44621</v>
      </c>
      <c r="E8626" t="s">
        <v>11</v>
      </c>
      <c r="F8626">
        <v>118.1</v>
      </c>
      <c r="G8626" t="str">
        <f>VLOOKUP(Table1_2[[#This Row],[Categories]],Sheet3!$A$1:$B$27,2,FALSE)</f>
        <v>Food &amp;Beverage</v>
      </c>
    </row>
    <row r="8627" spans="1:7" x14ac:dyDescent="0.3">
      <c r="A8627" t="s">
        <v>30</v>
      </c>
      <c r="B8627">
        <v>2022</v>
      </c>
      <c r="C8627" t="s">
        <v>36</v>
      </c>
      <c r="D8627" s="2">
        <v>44621</v>
      </c>
      <c r="E8627" t="s">
        <v>12</v>
      </c>
      <c r="F8627">
        <v>178.7</v>
      </c>
      <c r="G8627" t="str">
        <f>VLOOKUP(Table1_2[[#This Row],[Categories]],Sheet3!$A$1:$B$27,2,FALSE)</f>
        <v>Food &amp;Beverage</v>
      </c>
    </row>
    <row r="8628" spans="1:7" x14ac:dyDescent="0.3">
      <c r="A8628" t="s">
        <v>30</v>
      </c>
      <c r="B8628">
        <v>2022</v>
      </c>
      <c r="C8628" t="s">
        <v>36</v>
      </c>
      <c r="D8628" s="2">
        <v>44621</v>
      </c>
      <c r="E8628" t="s">
        <v>13</v>
      </c>
      <c r="F8628">
        <v>171.2</v>
      </c>
      <c r="G8628" t="str">
        <f>VLOOKUP(Table1_2[[#This Row],[Categories]],Sheet3!$A$1:$B$27,2,FALSE)</f>
        <v>Food &amp;Beverage</v>
      </c>
    </row>
    <row r="8629" spans="1:7" x14ac:dyDescent="0.3">
      <c r="A8629" t="s">
        <v>30</v>
      </c>
      <c r="B8629">
        <v>2022</v>
      </c>
      <c r="C8629" t="s">
        <v>36</v>
      </c>
      <c r="D8629" s="2">
        <v>44621</v>
      </c>
      <c r="E8629" t="s">
        <v>14</v>
      </c>
      <c r="F8629">
        <v>177.4</v>
      </c>
      <c r="G8629" t="str">
        <f>VLOOKUP(Table1_2[[#This Row],[Categories]],Sheet3!$A$1:$B$27,2,FALSE)</f>
        <v>Food &amp;Beverage</v>
      </c>
    </row>
    <row r="8630" spans="1:7" x14ac:dyDescent="0.3">
      <c r="A8630" t="s">
        <v>30</v>
      </c>
      <c r="B8630">
        <v>2022</v>
      </c>
      <c r="C8630" t="s">
        <v>36</v>
      </c>
      <c r="D8630" s="2">
        <v>44621</v>
      </c>
      <c r="E8630" t="s">
        <v>15</v>
      </c>
      <c r="F8630">
        <v>166.6</v>
      </c>
      <c r="G8630" t="str">
        <f>VLOOKUP(Table1_2[[#This Row],[Categories]],Sheet3!$A$1:$B$27,2,FALSE)</f>
        <v>Food &amp;Beverage</v>
      </c>
    </row>
    <row r="8631" spans="1:7" x14ac:dyDescent="0.3">
      <c r="A8631" t="s">
        <v>30</v>
      </c>
      <c r="B8631">
        <v>2022</v>
      </c>
      <c r="C8631" t="s">
        <v>36</v>
      </c>
      <c r="D8631" s="2">
        <v>44621</v>
      </c>
      <c r="E8631" t="s">
        <v>16</v>
      </c>
      <c r="F8631">
        <v>192.3</v>
      </c>
      <c r="G8631" t="str">
        <f>VLOOKUP(Table1_2[[#This Row],[Categories]],Sheet3!$A$1:$B$27,2,FALSE)</f>
        <v>Recreation and amusement</v>
      </c>
    </row>
    <row r="8632" spans="1:7" x14ac:dyDescent="0.3">
      <c r="A8632" t="s">
        <v>30</v>
      </c>
      <c r="B8632">
        <v>2022</v>
      </c>
      <c r="C8632" t="s">
        <v>36</v>
      </c>
      <c r="D8632" s="2">
        <v>44621</v>
      </c>
      <c r="E8632" t="s">
        <v>17</v>
      </c>
      <c r="F8632">
        <v>175.4</v>
      </c>
      <c r="G8632" t="str">
        <f>VLOOKUP(Table1_2[[#This Row],[Categories]],Sheet3!$A$1:$B$27,2,FALSE)</f>
        <v>Clothing and footwear</v>
      </c>
    </row>
    <row r="8633" spans="1:7" x14ac:dyDescent="0.3">
      <c r="A8633" t="s">
        <v>30</v>
      </c>
      <c r="B8633">
        <v>2022</v>
      </c>
      <c r="C8633" t="s">
        <v>36</v>
      </c>
      <c r="D8633" s="2">
        <v>44621</v>
      </c>
      <c r="E8633" t="s">
        <v>18</v>
      </c>
      <c r="F8633">
        <v>173.2</v>
      </c>
      <c r="G8633" t="str">
        <f>VLOOKUP(Table1_2[[#This Row],[Categories]],Sheet3!$A$1:$B$27,2,FALSE)</f>
        <v>Clothing and footwear</v>
      </c>
    </row>
    <row r="8634" spans="1:7" x14ac:dyDescent="0.3">
      <c r="A8634" t="s">
        <v>30</v>
      </c>
      <c r="B8634">
        <v>2022</v>
      </c>
      <c r="C8634" t="s">
        <v>36</v>
      </c>
      <c r="D8634" s="2">
        <v>44621</v>
      </c>
      <c r="E8634" t="s">
        <v>19</v>
      </c>
      <c r="F8634">
        <v>175.1</v>
      </c>
      <c r="G8634" t="str">
        <f>VLOOKUP(Table1_2[[#This Row],[Categories]],Sheet3!$A$1:$B$27,2,FALSE)</f>
        <v>Clothing and footwear</v>
      </c>
    </row>
    <row r="8635" spans="1:7" x14ac:dyDescent="0.3">
      <c r="A8635" t="s">
        <v>30</v>
      </c>
      <c r="B8635">
        <v>2022</v>
      </c>
      <c r="C8635" t="s">
        <v>36</v>
      </c>
      <c r="D8635" s="2">
        <v>44621</v>
      </c>
      <c r="E8635" t="s">
        <v>21</v>
      </c>
      <c r="F8635">
        <v>168.9</v>
      </c>
      <c r="G8635" t="str">
        <f>VLOOKUP(Table1_2[[#This Row],[Categories]],Sheet3!$A$1:$B$27,2,FALSE)</f>
        <v>Fuel and light</v>
      </c>
    </row>
    <row r="8636" spans="1:7" x14ac:dyDescent="0.3">
      <c r="A8636" t="s">
        <v>30</v>
      </c>
      <c r="B8636">
        <v>2022</v>
      </c>
      <c r="C8636" t="s">
        <v>36</v>
      </c>
      <c r="D8636" s="2">
        <v>44621</v>
      </c>
      <c r="E8636" t="s">
        <v>22</v>
      </c>
      <c r="F8636">
        <v>166.5</v>
      </c>
      <c r="G8636" t="str">
        <f>VLOOKUP(Table1_2[[#This Row],[Categories]],Sheet3!$A$1:$B$27,2,FALSE)</f>
        <v>Household Items</v>
      </c>
    </row>
    <row r="8637" spans="1:7" x14ac:dyDescent="0.3">
      <c r="A8637" t="s">
        <v>30</v>
      </c>
      <c r="B8637">
        <v>2022</v>
      </c>
      <c r="C8637" t="s">
        <v>36</v>
      </c>
      <c r="D8637" s="2">
        <v>44621</v>
      </c>
      <c r="E8637" t="s">
        <v>23</v>
      </c>
      <c r="F8637">
        <v>176</v>
      </c>
      <c r="G8637" t="str">
        <f>VLOOKUP(Table1_2[[#This Row],[Categories]],Sheet3!$A$1:$B$27,2,FALSE)</f>
        <v>Health</v>
      </c>
    </row>
    <row r="8638" spans="1:7" x14ac:dyDescent="0.3">
      <c r="A8638" t="s">
        <v>30</v>
      </c>
      <c r="B8638">
        <v>2022</v>
      </c>
      <c r="C8638" t="s">
        <v>36</v>
      </c>
      <c r="D8638" s="2">
        <v>44621</v>
      </c>
      <c r="E8638" t="s">
        <v>24</v>
      </c>
      <c r="F8638">
        <v>162</v>
      </c>
      <c r="G8638" t="str">
        <f>VLOOKUP(Table1_2[[#This Row],[Categories]],Sheet3!$A$1:$B$27,2,FALSE)</f>
        <v>Transport and communication</v>
      </c>
    </row>
    <row r="8639" spans="1:7" x14ac:dyDescent="0.3">
      <c r="A8639" t="s">
        <v>30</v>
      </c>
      <c r="B8639">
        <v>2022</v>
      </c>
      <c r="C8639" t="s">
        <v>36</v>
      </c>
      <c r="D8639" s="2">
        <v>44621</v>
      </c>
      <c r="E8639" t="s">
        <v>25</v>
      </c>
      <c r="F8639">
        <v>166.6</v>
      </c>
      <c r="G8639" t="str">
        <f>VLOOKUP(Table1_2[[#This Row],[Categories]],Sheet3!$A$1:$B$27,2,FALSE)</f>
        <v>Recreation and amusement</v>
      </c>
    </row>
    <row r="8640" spans="1:7" x14ac:dyDescent="0.3">
      <c r="A8640" t="s">
        <v>30</v>
      </c>
      <c r="B8640">
        <v>2022</v>
      </c>
      <c r="C8640" t="s">
        <v>36</v>
      </c>
      <c r="D8640" s="2">
        <v>44621</v>
      </c>
      <c r="E8640" t="s">
        <v>26</v>
      </c>
      <c r="F8640">
        <v>170.6</v>
      </c>
      <c r="G8640" t="str">
        <f>VLOOKUP(Table1_2[[#This Row],[Categories]],Sheet3!$A$1:$B$27,2,FALSE)</f>
        <v>Education</v>
      </c>
    </row>
    <row r="8641" spans="1:7" x14ac:dyDescent="0.3">
      <c r="A8641" t="s">
        <v>30</v>
      </c>
      <c r="B8641">
        <v>2022</v>
      </c>
      <c r="C8641" t="s">
        <v>36</v>
      </c>
      <c r="D8641" s="2">
        <v>44621</v>
      </c>
      <c r="E8641" t="s">
        <v>27</v>
      </c>
      <c r="F8641">
        <v>167.4</v>
      </c>
      <c r="G8641" t="str">
        <f>VLOOKUP(Table1_2[[#This Row],[Categories]],Sheet3!$A$1:$B$27,2,FALSE)</f>
        <v>Household Items</v>
      </c>
    </row>
    <row r="8642" spans="1:7" x14ac:dyDescent="0.3">
      <c r="A8642" t="s">
        <v>30</v>
      </c>
      <c r="B8642">
        <v>2022</v>
      </c>
      <c r="C8642" t="s">
        <v>36</v>
      </c>
      <c r="D8642" s="2">
        <v>44621</v>
      </c>
      <c r="E8642" t="s">
        <v>28</v>
      </c>
      <c r="F8642">
        <v>168.3</v>
      </c>
      <c r="G8642" t="str">
        <f>VLOOKUP(Table1_2[[#This Row],[Categories]],Sheet3!$A$1:$B$27,2,FALSE)</f>
        <v>Miscellaneous</v>
      </c>
    </row>
    <row r="8643" spans="1:7" x14ac:dyDescent="0.3">
      <c r="A8643" t="s">
        <v>30</v>
      </c>
      <c r="B8643">
        <v>2022</v>
      </c>
      <c r="C8643" t="s">
        <v>36</v>
      </c>
      <c r="D8643" s="2">
        <v>44621</v>
      </c>
      <c r="E8643" t="s">
        <v>29</v>
      </c>
      <c r="F8643">
        <v>168.7</v>
      </c>
      <c r="G8643" t="str">
        <f>VLOOKUP(Table1_2[[#This Row],[Categories]],Sheet3!$A$1:$B$27,2,FALSE)</f>
        <v>General index</v>
      </c>
    </row>
    <row r="8644" spans="1:7" x14ac:dyDescent="0.3">
      <c r="A8644" t="s">
        <v>33</v>
      </c>
      <c r="B8644">
        <v>2022</v>
      </c>
      <c r="C8644" t="s">
        <v>36</v>
      </c>
      <c r="D8644" s="2">
        <v>44621</v>
      </c>
      <c r="E8644" t="s">
        <v>3</v>
      </c>
      <c r="F8644">
        <v>153.69999999999999</v>
      </c>
      <c r="G8644" t="str">
        <f>VLOOKUP(Table1_2[[#This Row],[Categories]],Sheet3!$A$1:$B$27,2,FALSE)</f>
        <v>Food &amp;Beverage</v>
      </c>
    </row>
    <row r="8645" spans="1:7" x14ac:dyDescent="0.3">
      <c r="A8645" t="s">
        <v>33</v>
      </c>
      <c r="B8645">
        <v>2022</v>
      </c>
      <c r="C8645" t="s">
        <v>36</v>
      </c>
      <c r="D8645" s="2">
        <v>44621</v>
      </c>
      <c r="E8645" t="s">
        <v>4</v>
      </c>
      <c r="F8645">
        <v>215.8</v>
      </c>
      <c r="G8645" t="str">
        <f>VLOOKUP(Table1_2[[#This Row],[Categories]],Sheet3!$A$1:$B$27,2,FALSE)</f>
        <v>Food &amp;Beverage</v>
      </c>
    </row>
    <row r="8646" spans="1:7" x14ac:dyDescent="0.3">
      <c r="A8646" t="s">
        <v>33</v>
      </c>
      <c r="B8646">
        <v>2022</v>
      </c>
      <c r="C8646" t="s">
        <v>36</v>
      </c>
      <c r="D8646" s="2">
        <v>44621</v>
      </c>
      <c r="E8646" t="s">
        <v>5</v>
      </c>
      <c r="F8646">
        <v>167.7</v>
      </c>
      <c r="G8646" t="str">
        <f>VLOOKUP(Table1_2[[#This Row],[Categories]],Sheet3!$A$1:$B$27,2,FALSE)</f>
        <v>Food &amp;Beverage</v>
      </c>
    </row>
    <row r="8647" spans="1:7" x14ac:dyDescent="0.3">
      <c r="A8647" t="s">
        <v>33</v>
      </c>
      <c r="B8647">
        <v>2022</v>
      </c>
      <c r="C8647" t="s">
        <v>36</v>
      </c>
      <c r="D8647" s="2">
        <v>44621</v>
      </c>
      <c r="E8647" t="s">
        <v>6</v>
      </c>
      <c r="F8647">
        <v>162.6</v>
      </c>
      <c r="G8647" t="str">
        <f>VLOOKUP(Table1_2[[#This Row],[Categories]],Sheet3!$A$1:$B$27,2,FALSE)</f>
        <v>Food &amp;Beverage</v>
      </c>
    </row>
    <row r="8648" spans="1:7" x14ac:dyDescent="0.3">
      <c r="A8648" t="s">
        <v>33</v>
      </c>
      <c r="B8648">
        <v>2022</v>
      </c>
      <c r="C8648" t="s">
        <v>36</v>
      </c>
      <c r="D8648" s="2">
        <v>44621</v>
      </c>
      <c r="E8648" t="s">
        <v>7</v>
      </c>
      <c r="F8648">
        <v>180</v>
      </c>
      <c r="G8648" t="str">
        <f>VLOOKUP(Table1_2[[#This Row],[Categories]],Sheet3!$A$1:$B$27,2,FALSE)</f>
        <v>Food &amp;Beverage</v>
      </c>
    </row>
    <row r="8649" spans="1:7" x14ac:dyDescent="0.3">
      <c r="A8649" t="s">
        <v>33</v>
      </c>
      <c r="B8649">
        <v>2022</v>
      </c>
      <c r="C8649" t="s">
        <v>36</v>
      </c>
      <c r="D8649" s="2">
        <v>44621</v>
      </c>
      <c r="E8649" t="s">
        <v>8</v>
      </c>
      <c r="F8649">
        <v>159.6</v>
      </c>
      <c r="G8649" t="str">
        <f>VLOOKUP(Table1_2[[#This Row],[Categories]],Sheet3!$A$1:$B$27,2,FALSE)</f>
        <v>Food &amp;Beverage</v>
      </c>
    </row>
    <row r="8650" spans="1:7" x14ac:dyDescent="0.3">
      <c r="A8650" t="s">
        <v>33</v>
      </c>
      <c r="B8650">
        <v>2022</v>
      </c>
      <c r="C8650" t="s">
        <v>36</v>
      </c>
      <c r="D8650" s="2">
        <v>44621</v>
      </c>
      <c r="E8650" t="s">
        <v>9</v>
      </c>
      <c r="F8650">
        <v>188.4</v>
      </c>
      <c r="G8650" t="str">
        <f>VLOOKUP(Table1_2[[#This Row],[Categories]],Sheet3!$A$1:$B$27,2,FALSE)</f>
        <v>Food &amp;Beverage</v>
      </c>
    </row>
    <row r="8651" spans="1:7" x14ac:dyDescent="0.3">
      <c r="A8651" t="s">
        <v>33</v>
      </c>
      <c r="B8651">
        <v>2022</v>
      </c>
      <c r="C8651" t="s">
        <v>36</v>
      </c>
      <c r="D8651" s="2">
        <v>44621</v>
      </c>
      <c r="E8651" t="s">
        <v>10</v>
      </c>
      <c r="F8651">
        <v>163.4</v>
      </c>
      <c r="G8651" t="str">
        <f>VLOOKUP(Table1_2[[#This Row],[Categories]],Sheet3!$A$1:$B$27,2,FALSE)</f>
        <v>Food &amp;Beverage</v>
      </c>
    </row>
    <row r="8652" spans="1:7" x14ac:dyDescent="0.3">
      <c r="A8652" t="s">
        <v>33</v>
      </c>
      <c r="B8652">
        <v>2022</v>
      </c>
      <c r="C8652" t="s">
        <v>36</v>
      </c>
      <c r="D8652" s="2">
        <v>44621</v>
      </c>
      <c r="E8652" t="s">
        <v>11</v>
      </c>
      <c r="F8652">
        <v>120.3</v>
      </c>
      <c r="G8652" t="str">
        <f>VLOOKUP(Table1_2[[#This Row],[Categories]],Sheet3!$A$1:$B$27,2,FALSE)</f>
        <v>Food &amp;Beverage</v>
      </c>
    </row>
    <row r="8653" spans="1:7" x14ac:dyDescent="0.3">
      <c r="A8653" t="s">
        <v>33</v>
      </c>
      <c r="B8653">
        <v>2022</v>
      </c>
      <c r="C8653" t="s">
        <v>36</v>
      </c>
      <c r="D8653" s="2">
        <v>44621</v>
      </c>
      <c r="E8653" t="s">
        <v>12</v>
      </c>
      <c r="F8653">
        <v>174.7</v>
      </c>
      <c r="G8653" t="str">
        <f>VLOOKUP(Table1_2[[#This Row],[Categories]],Sheet3!$A$1:$B$27,2,FALSE)</f>
        <v>Food &amp;Beverage</v>
      </c>
    </row>
    <row r="8654" spans="1:7" x14ac:dyDescent="0.3">
      <c r="A8654" t="s">
        <v>33</v>
      </c>
      <c r="B8654">
        <v>2022</v>
      </c>
      <c r="C8654" t="s">
        <v>36</v>
      </c>
      <c r="D8654" s="2">
        <v>44621</v>
      </c>
      <c r="E8654" t="s">
        <v>13</v>
      </c>
      <c r="F8654">
        <v>157.1</v>
      </c>
      <c r="G8654" t="str">
        <f>VLOOKUP(Table1_2[[#This Row],[Categories]],Sheet3!$A$1:$B$27,2,FALSE)</f>
        <v>Food &amp;Beverage</v>
      </c>
    </row>
    <row r="8655" spans="1:7" x14ac:dyDescent="0.3">
      <c r="A8655" t="s">
        <v>33</v>
      </c>
      <c r="B8655">
        <v>2022</v>
      </c>
      <c r="C8655" t="s">
        <v>36</v>
      </c>
      <c r="D8655" s="2">
        <v>44621</v>
      </c>
      <c r="E8655" t="s">
        <v>14</v>
      </c>
      <c r="F8655">
        <v>181.5</v>
      </c>
      <c r="G8655" t="str">
        <f>VLOOKUP(Table1_2[[#This Row],[Categories]],Sheet3!$A$1:$B$27,2,FALSE)</f>
        <v>Food &amp;Beverage</v>
      </c>
    </row>
    <row r="8656" spans="1:7" x14ac:dyDescent="0.3">
      <c r="A8656" t="s">
        <v>33</v>
      </c>
      <c r="B8656">
        <v>2022</v>
      </c>
      <c r="C8656" t="s">
        <v>36</v>
      </c>
      <c r="D8656" s="2">
        <v>44621</v>
      </c>
      <c r="E8656" t="s">
        <v>15</v>
      </c>
      <c r="F8656">
        <v>171.5</v>
      </c>
      <c r="G8656" t="str">
        <f>VLOOKUP(Table1_2[[#This Row],[Categories]],Sheet3!$A$1:$B$27,2,FALSE)</f>
        <v>Food &amp;Beverage</v>
      </c>
    </row>
    <row r="8657" spans="1:7" x14ac:dyDescent="0.3">
      <c r="A8657" t="s">
        <v>33</v>
      </c>
      <c r="B8657">
        <v>2022</v>
      </c>
      <c r="C8657" t="s">
        <v>36</v>
      </c>
      <c r="D8657" s="2">
        <v>44621</v>
      </c>
      <c r="E8657" t="s">
        <v>16</v>
      </c>
      <c r="F8657">
        <v>197.5</v>
      </c>
      <c r="G8657" t="str">
        <f>VLOOKUP(Table1_2[[#This Row],[Categories]],Sheet3!$A$1:$B$27,2,FALSE)</f>
        <v>Recreation and amusement</v>
      </c>
    </row>
    <row r="8658" spans="1:7" x14ac:dyDescent="0.3">
      <c r="A8658" t="s">
        <v>33</v>
      </c>
      <c r="B8658">
        <v>2022</v>
      </c>
      <c r="C8658" t="s">
        <v>36</v>
      </c>
      <c r="D8658" s="2">
        <v>44621</v>
      </c>
      <c r="E8658" t="s">
        <v>17</v>
      </c>
      <c r="F8658">
        <v>167.1</v>
      </c>
      <c r="G8658" t="str">
        <f>VLOOKUP(Table1_2[[#This Row],[Categories]],Sheet3!$A$1:$B$27,2,FALSE)</f>
        <v>Clothing and footwear</v>
      </c>
    </row>
    <row r="8659" spans="1:7" x14ac:dyDescent="0.3">
      <c r="A8659" t="s">
        <v>33</v>
      </c>
      <c r="B8659">
        <v>2022</v>
      </c>
      <c r="C8659" t="s">
        <v>36</v>
      </c>
      <c r="D8659" s="2">
        <v>44621</v>
      </c>
      <c r="E8659" t="s">
        <v>18</v>
      </c>
      <c r="F8659">
        <v>152.6</v>
      </c>
      <c r="G8659" t="str">
        <f>VLOOKUP(Table1_2[[#This Row],[Categories]],Sheet3!$A$1:$B$27,2,FALSE)</f>
        <v>Clothing and footwear</v>
      </c>
    </row>
    <row r="8660" spans="1:7" x14ac:dyDescent="0.3">
      <c r="A8660" t="s">
        <v>33</v>
      </c>
      <c r="B8660">
        <v>2022</v>
      </c>
      <c r="C8660" t="s">
        <v>36</v>
      </c>
      <c r="D8660" s="2">
        <v>44621</v>
      </c>
      <c r="E8660" t="s">
        <v>19</v>
      </c>
      <c r="F8660">
        <v>164.9</v>
      </c>
      <c r="G8660" t="str">
        <f>VLOOKUP(Table1_2[[#This Row],[Categories]],Sheet3!$A$1:$B$27,2,FALSE)</f>
        <v>Clothing and footwear</v>
      </c>
    </row>
    <row r="8661" spans="1:7" x14ac:dyDescent="0.3">
      <c r="A8661" t="s">
        <v>33</v>
      </c>
      <c r="B8661">
        <v>2022</v>
      </c>
      <c r="C8661" t="s">
        <v>36</v>
      </c>
      <c r="D8661" s="2">
        <v>44621</v>
      </c>
      <c r="E8661" t="s">
        <v>20</v>
      </c>
      <c r="F8661">
        <v>165.3</v>
      </c>
      <c r="G8661" t="str">
        <f>VLOOKUP(Table1_2[[#This Row],[Categories]],Sheet3!$A$1:$B$27,2,FALSE)</f>
        <v>Housing</v>
      </c>
    </row>
    <row r="8662" spans="1:7" x14ac:dyDescent="0.3">
      <c r="A8662" t="s">
        <v>33</v>
      </c>
      <c r="B8662">
        <v>2022</v>
      </c>
      <c r="C8662" t="s">
        <v>36</v>
      </c>
      <c r="D8662" s="2">
        <v>44621</v>
      </c>
      <c r="E8662" t="s">
        <v>21</v>
      </c>
      <c r="F8662">
        <v>164.5</v>
      </c>
      <c r="G8662" t="str">
        <f>VLOOKUP(Table1_2[[#This Row],[Categories]],Sheet3!$A$1:$B$27,2,FALSE)</f>
        <v>Fuel and light</v>
      </c>
    </row>
    <row r="8663" spans="1:7" x14ac:dyDescent="0.3">
      <c r="A8663" t="s">
        <v>33</v>
      </c>
      <c r="B8663">
        <v>2022</v>
      </c>
      <c r="C8663" t="s">
        <v>36</v>
      </c>
      <c r="D8663" s="2">
        <v>44621</v>
      </c>
      <c r="E8663" t="s">
        <v>22</v>
      </c>
      <c r="F8663">
        <v>158.6</v>
      </c>
      <c r="G8663" t="str">
        <f>VLOOKUP(Table1_2[[#This Row],[Categories]],Sheet3!$A$1:$B$27,2,FALSE)</f>
        <v>Household Items</v>
      </c>
    </row>
    <row r="8664" spans="1:7" x14ac:dyDescent="0.3">
      <c r="A8664" t="s">
        <v>33</v>
      </c>
      <c r="B8664">
        <v>2022</v>
      </c>
      <c r="C8664" t="s">
        <v>36</v>
      </c>
      <c r="D8664" s="2">
        <v>44621</v>
      </c>
      <c r="E8664" t="s">
        <v>23</v>
      </c>
      <c r="F8664">
        <v>168.2</v>
      </c>
      <c r="G8664" t="str">
        <f>VLOOKUP(Table1_2[[#This Row],[Categories]],Sheet3!$A$1:$B$27,2,FALSE)</f>
        <v>Health</v>
      </c>
    </row>
    <row r="8665" spans="1:7" x14ac:dyDescent="0.3">
      <c r="A8665" t="s">
        <v>33</v>
      </c>
      <c r="B8665">
        <v>2022</v>
      </c>
      <c r="C8665" t="s">
        <v>36</v>
      </c>
      <c r="D8665" s="2">
        <v>44621</v>
      </c>
      <c r="E8665" t="s">
        <v>24</v>
      </c>
      <c r="F8665">
        <v>154.19999999999999</v>
      </c>
      <c r="G8665" t="str">
        <f>VLOOKUP(Table1_2[[#This Row],[Categories]],Sheet3!$A$1:$B$27,2,FALSE)</f>
        <v>Transport and communication</v>
      </c>
    </row>
    <row r="8666" spans="1:7" x14ac:dyDescent="0.3">
      <c r="A8666" t="s">
        <v>33</v>
      </c>
      <c r="B8666">
        <v>2022</v>
      </c>
      <c r="C8666" t="s">
        <v>36</v>
      </c>
      <c r="D8666" s="2">
        <v>44621</v>
      </c>
      <c r="E8666" t="s">
        <v>25</v>
      </c>
      <c r="F8666">
        <v>160.80000000000001</v>
      </c>
      <c r="G8666" t="str">
        <f>VLOOKUP(Table1_2[[#This Row],[Categories]],Sheet3!$A$1:$B$27,2,FALSE)</f>
        <v>Recreation and amusement</v>
      </c>
    </row>
    <row r="8667" spans="1:7" x14ac:dyDescent="0.3">
      <c r="A8667" t="s">
        <v>33</v>
      </c>
      <c r="B8667">
        <v>2022</v>
      </c>
      <c r="C8667" t="s">
        <v>36</v>
      </c>
      <c r="D8667" s="2">
        <v>44621</v>
      </c>
      <c r="E8667" t="s">
        <v>26</v>
      </c>
      <c r="F8667">
        <v>162.69999999999999</v>
      </c>
      <c r="G8667" t="str">
        <f>VLOOKUP(Table1_2[[#This Row],[Categories]],Sheet3!$A$1:$B$27,2,FALSE)</f>
        <v>Education</v>
      </c>
    </row>
    <row r="8668" spans="1:7" x14ac:dyDescent="0.3">
      <c r="A8668" t="s">
        <v>33</v>
      </c>
      <c r="B8668">
        <v>2022</v>
      </c>
      <c r="C8668" t="s">
        <v>36</v>
      </c>
      <c r="D8668" s="2">
        <v>44621</v>
      </c>
      <c r="E8668" t="s">
        <v>27</v>
      </c>
      <c r="F8668">
        <v>166.8</v>
      </c>
      <c r="G8668" t="str">
        <f>VLOOKUP(Table1_2[[#This Row],[Categories]],Sheet3!$A$1:$B$27,2,FALSE)</f>
        <v>Household Items</v>
      </c>
    </row>
    <row r="8669" spans="1:7" x14ac:dyDescent="0.3">
      <c r="A8669" t="s">
        <v>33</v>
      </c>
      <c r="B8669">
        <v>2022</v>
      </c>
      <c r="C8669" t="s">
        <v>36</v>
      </c>
      <c r="D8669" s="2">
        <v>44621</v>
      </c>
      <c r="E8669" t="s">
        <v>28</v>
      </c>
      <c r="F8669">
        <v>160.6</v>
      </c>
      <c r="G8669" t="str">
        <f>VLOOKUP(Table1_2[[#This Row],[Categories]],Sheet3!$A$1:$B$27,2,FALSE)</f>
        <v>Miscellaneous</v>
      </c>
    </row>
    <row r="8670" spans="1:7" x14ac:dyDescent="0.3">
      <c r="A8670" t="s">
        <v>33</v>
      </c>
      <c r="B8670">
        <v>2022</v>
      </c>
      <c r="C8670" t="s">
        <v>36</v>
      </c>
      <c r="D8670" s="2">
        <v>44621</v>
      </c>
      <c r="E8670" t="s">
        <v>29</v>
      </c>
      <c r="F8670">
        <v>166.5</v>
      </c>
      <c r="G8670" t="str">
        <f>VLOOKUP(Table1_2[[#This Row],[Categories]],Sheet3!$A$1:$B$27,2,FALSE)</f>
        <v>General index</v>
      </c>
    </row>
    <row r="8671" spans="1:7" x14ac:dyDescent="0.3">
      <c r="A8671" t="s">
        <v>34</v>
      </c>
      <c r="B8671">
        <v>2022</v>
      </c>
      <c r="C8671" t="s">
        <v>36</v>
      </c>
      <c r="D8671" s="2">
        <v>44621</v>
      </c>
      <c r="E8671" t="s">
        <v>3</v>
      </c>
      <c r="F8671">
        <v>151.30000000000001</v>
      </c>
      <c r="G8671" t="str">
        <f>VLOOKUP(Table1_2[[#This Row],[Categories]],Sheet3!$A$1:$B$27,2,FALSE)</f>
        <v>Food &amp;Beverage</v>
      </c>
    </row>
    <row r="8672" spans="1:7" x14ac:dyDescent="0.3">
      <c r="A8672" t="s">
        <v>34</v>
      </c>
      <c r="B8672">
        <v>2022</v>
      </c>
      <c r="C8672" t="s">
        <v>36</v>
      </c>
      <c r="D8672" s="2">
        <v>44621</v>
      </c>
      <c r="E8672" t="s">
        <v>4</v>
      </c>
      <c r="F8672">
        <v>210.7</v>
      </c>
      <c r="G8672" t="str">
        <f>VLOOKUP(Table1_2[[#This Row],[Categories]],Sheet3!$A$1:$B$27,2,FALSE)</f>
        <v>Food &amp;Beverage</v>
      </c>
    </row>
    <row r="8673" spans="1:7" x14ac:dyDescent="0.3">
      <c r="A8673" t="s">
        <v>34</v>
      </c>
      <c r="B8673">
        <v>2022</v>
      </c>
      <c r="C8673" t="s">
        <v>36</v>
      </c>
      <c r="D8673" s="2">
        <v>44621</v>
      </c>
      <c r="E8673" t="s">
        <v>5</v>
      </c>
      <c r="F8673">
        <v>167.8</v>
      </c>
      <c r="G8673" t="str">
        <f>VLOOKUP(Table1_2[[#This Row],[Categories]],Sheet3!$A$1:$B$27,2,FALSE)</f>
        <v>Food &amp;Beverage</v>
      </c>
    </row>
    <row r="8674" spans="1:7" x14ac:dyDescent="0.3">
      <c r="A8674" t="s">
        <v>34</v>
      </c>
      <c r="B8674">
        <v>2022</v>
      </c>
      <c r="C8674" t="s">
        <v>36</v>
      </c>
      <c r="D8674" s="2">
        <v>44621</v>
      </c>
      <c r="E8674" t="s">
        <v>6</v>
      </c>
      <c r="F8674">
        <v>162.19999999999999</v>
      </c>
      <c r="G8674" t="str">
        <f>VLOOKUP(Table1_2[[#This Row],[Categories]],Sheet3!$A$1:$B$27,2,FALSE)</f>
        <v>Food &amp;Beverage</v>
      </c>
    </row>
    <row r="8675" spans="1:7" x14ac:dyDescent="0.3">
      <c r="A8675" t="s">
        <v>34</v>
      </c>
      <c r="B8675">
        <v>2022</v>
      </c>
      <c r="C8675" t="s">
        <v>36</v>
      </c>
      <c r="D8675" s="2">
        <v>44621</v>
      </c>
      <c r="E8675" t="s">
        <v>7</v>
      </c>
      <c r="F8675">
        <v>194.6</v>
      </c>
      <c r="G8675" t="str">
        <f>VLOOKUP(Table1_2[[#This Row],[Categories]],Sheet3!$A$1:$B$27,2,FALSE)</f>
        <v>Food &amp;Beverage</v>
      </c>
    </row>
    <row r="8676" spans="1:7" x14ac:dyDescent="0.3">
      <c r="A8676" t="s">
        <v>34</v>
      </c>
      <c r="B8676">
        <v>2022</v>
      </c>
      <c r="C8676" t="s">
        <v>36</v>
      </c>
      <c r="D8676" s="2">
        <v>44621</v>
      </c>
      <c r="E8676" t="s">
        <v>8</v>
      </c>
      <c r="F8676">
        <v>157.6</v>
      </c>
      <c r="G8676" t="str">
        <f>VLOOKUP(Table1_2[[#This Row],[Categories]],Sheet3!$A$1:$B$27,2,FALSE)</f>
        <v>Food &amp;Beverage</v>
      </c>
    </row>
    <row r="8677" spans="1:7" x14ac:dyDescent="0.3">
      <c r="A8677" t="s">
        <v>34</v>
      </c>
      <c r="B8677">
        <v>2022</v>
      </c>
      <c r="C8677" t="s">
        <v>36</v>
      </c>
      <c r="D8677" s="2">
        <v>44621</v>
      </c>
      <c r="E8677" t="s">
        <v>9</v>
      </c>
      <c r="F8677">
        <v>166.9</v>
      </c>
      <c r="G8677" t="str">
        <f>VLOOKUP(Table1_2[[#This Row],[Categories]],Sheet3!$A$1:$B$27,2,FALSE)</f>
        <v>Food &amp;Beverage</v>
      </c>
    </row>
    <row r="8678" spans="1:7" x14ac:dyDescent="0.3">
      <c r="A8678" t="s">
        <v>34</v>
      </c>
      <c r="B8678">
        <v>2022</v>
      </c>
      <c r="C8678" t="s">
        <v>36</v>
      </c>
      <c r="D8678" s="2">
        <v>44621</v>
      </c>
      <c r="E8678" t="s">
        <v>10</v>
      </c>
      <c r="F8678">
        <v>163.9</v>
      </c>
      <c r="G8678" t="str">
        <f>VLOOKUP(Table1_2[[#This Row],[Categories]],Sheet3!$A$1:$B$27,2,FALSE)</f>
        <v>Food &amp;Beverage</v>
      </c>
    </row>
    <row r="8679" spans="1:7" x14ac:dyDescent="0.3">
      <c r="A8679" t="s">
        <v>34</v>
      </c>
      <c r="B8679">
        <v>2022</v>
      </c>
      <c r="C8679" t="s">
        <v>36</v>
      </c>
      <c r="D8679" s="2">
        <v>44621</v>
      </c>
      <c r="E8679" t="s">
        <v>11</v>
      </c>
      <c r="F8679">
        <v>118.8</v>
      </c>
      <c r="G8679" t="str">
        <f>VLOOKUP(Table1_2[[#This Row],[Categories]],Sheet3!$A$1:$B$27,2,FALSE)</f>
        <v>Food &amp;Beverage</v>
      </c>
    </row>
    <row r="8680" spans="1:7" x14ac:dyDescent="0.3">
      <c r="A8680" t="s">
        <v>34</v>
      </c>
      <c r="B8680">
        <v>2022</v>
      </c>
      <c r="C8680" t="s">
        <v>36</v>
      </c>
      <c r="D8680" s="2">
        <v>44621</v>
      </c>
      <c r="E8680" t="s">
        <v>12</v>
      </c>
      <c r="F8680">
        <v>177.4</v>
      </c>
      <c r="G8680" t="str">
        <f>VLOOKUP(Table1_2[[#This Row],[Categories]],Sheet3!$A$1:$B$27,2,FALSE)</f>
        <v>Food &amp;Beverage</v>
      </c>
    </row>
    <row r="8681" spans="1:7" x14ac:dyDescent="0.3">
      <c r="A8681" t="s">
        <v>34</v>
      </c>
      <c r="B8681">
        <v>2022</v>
      </c>
      <c r="C8681" t="s">
        <v>36</v>
      </c>
      <c r="D8681" s="2">
        <v>44621</v>
      </c>
      <c r="E8681" t="s">
        <v>13</v>
      </c>
      <c r="F8681">
        <v>165.3</v>
      </c>
      <c r="G8681" t="str">
        <f>VLOOKUP(Table1_2[[#This Row],[Categories]],Sheet3!$A$1:$B$27,2,FALSE)</f>
        <v>Food &amp;Beverage</v>
      </c>
    </row>
    <row r="8682" spans="1:7" x14ac:dyDescent="0.3">
      <c r="A8682" t="s">
        <v>34</v>
      </c>
      <c r="B8682">
        <v>2022</v>
      </c>
      <c r="C8682" t="s">
        <v>36</v>
      </c>
      <c r="D8682" s="2">
        <v>44621</v>
      </c>
      <c r="E8682" t="s">
        <v>14</v>
      </c>
      <c r="F8682">
        <v>179.3</v>
      </c>
      <c r="G8682" t="str">
        <f>VLOOKUP(Table1_2[[#This Row],[Categories]],Sheet3!$A$1:$B$27,2,FALSE)</f>
        <v>Food &amp;Beverage</v>
      </c>
    </row>
    <row r="8683" spans="1:7" x14ac:dyDescent="0.3">
      <c r="A8683" t="s">
        <v>34</v>
      </c>
      <c r="B8683">
        <v>2022</v>
      </c>
      <c r="C8683" t="s">
        <v>36</v>
      </c>
      <c r="D8683" s="2">
        <v>44621</v>
      </c>
      <c r="E8683" t="s">
        <v>15</v>
      </c>
      <c r="F8683">
        <v>168.4</v>
      </c>
      <c r="G8683" t="str">
        <f>VLOOKUP(Table1_2[[#This Row],[Categories]],Sheet3!$A$1:$B$27,2,FALSE)</f>
        <v>Food &amp;Beverage</v>
      </c>
    </row>
    <row r="8684" spans="1:7" x14ac:dyDescent="0.3">
      <c r="A8684" t="s">
        <v>34</v>
      </c>
      <c r="B8684">
        <v>2022</v>
      </c>
      <c r="C8684" t="s">
        <v>36</v>
      </c>
      <c r="D8684" s="2">
        <v>44621</v>
      </c>
      <c r="E8684" t="s">
        <v>16</v>
      </c>
      <c r="F8684">
        <v>193.7</v>
      </c>
      <c r="G8684" t="str">
        <f>VLOOKUP(Table1_2[[#This Row],[Categories]],Sheet3!$A$1:$B$27,2,FALSE)</f>
        <v>Recreation and amusement</v>
      </c>
    </row>
    <row r="8685" spans="1:7" x14ac:dyDescent="0.3">
      <c r="A8685" t="s">
        <v>34</v>
      </c>
      <c r="B8685">
        <v>2022</v>
      </c>
      <c r="C8685" t="s">
        <v>36</v>
      </c>
      <c r="D8685" s="2">
        <v>44621</v>
      </c>
      <c r="E8685" t="s">
        <v>17</v>
      </c>
      <c r="F8685">
        <v>172.1</v>
      </c>
      <c r="G8685" t="str">
        <f>VLOOKUP(Table1_2[[#This Row],[Categories]],Sheet3!$A$1:$B$27,2,FALSE)</f>
        <v>Clothing and footwear</v>
      </c>
    </row>
    <row r="8686" spans="1:7" x14ac:dyDescent="0.3">
      <c r="A8686" t="s">
        <v>34</v>
      </c>
      <c r="B8686">
        <v>2022</v>
      </c>
      <c r="C8686" t="s">
        <v>36</v>
      </c>
      <c r="D8686" s="2">
        <v>44621</v>
      </c>
      <c r="E8686" t="s">
        <v>18</v>
      </c>
      <c r="F8686">
        <v>164.6</v>
      </c>
      <c r="G8686" t="str">
        <f>VLOOKUP(Table1_2[[#This Row],[Categories]],Sheet3!$A$1:$B$27,2,FALSE)</f>
        <v>Clothing and footwear</v>
      </c>
    </row>
    <row r="8687" spans="1:7" x14ac:dyDescent="0.3">
      <c r="A8687" t="s">
        <v>34</v>
      </c>
      <c r="B8687">
        <v>2022</v>
      </c>
      <c r="C8687" t="s">
        <v>36</v>
      </c>
      <c r="D8687" s="2">
        <v>44621</v>
      </c>
      <c r="E8687" t="s">
        <v>19</v>
      </c>
      <c r="F8687">
        <v>171.1</v>
      </c>
      <c r="G8687" t="str">
        <f>VLOOKUP(Table1_2[[#This Row],[Categories]],Sheet3!$A$1:$B$27,2,FALSE)</f>
        <v>Clothing and footwear</v>
      </c>
    </row>
    <row r="8688" spans="1:7" x14ac:dyDescent="0.3">
      <c r="A8688" t="s">
        <v>34</v>
      </c>
      <c r="B8688">
        <v>2022</v>
      </c>
      <c r="C8688" t="s">
        <v>36</v>
      </c>
      <c r="D8688" s="2">
        <v>44621</v>
      </c>
      <c r="E8688" t="s">
        <v>20</v>
      </c>
      <c r="F8688">
        <v>165.3</v>
      </c>
      <c r="G8688" t="str">
        <f>VLOOKUP(Table1_2[[#This Row],[Categories]],Sheet3!$A$1:$B$27,2,FALSE)</f>
        <v>Housing</v>
      </c>
    </row>
    <row r="8689" spans="1:7" x14ac:dyDescent="0.3">
      <c r="A8689" t="s">
        <v>34</v>
      </c>
      <c r="B8689">
        <v>2022</v>
      </c>
      <c r="C8689" t="s">
        <v>36</v>
      </c>
      <c r="D8689" s="2">
        <v>44621</v>
      </c>
      <c r="E8689" t="s">
        <v>21</v>
      </c>
      <c r="F8689">
        <v>167.2</v>
      </c>
      <c r="G8689" t="str">
        <f>VLOOKUP(Table1_2[[#This Row],[Categories]],Sheet3!$A$1:$B$27,2,FALSE)</f>
        <v>Fuel and light</v>
      </c>
    </row>
    <row r="8690" spans="1:7" x14ac:dyDescent="0.3">
      <c r="A8690" t="s">
        <v>34</v>
      </c>
      <c r="B8690">
        <v>2022</v>
      </c>
      <c r="C8690" t="s">
        <v>36</v>
      </c>
      <c r="D8690" s="2">
        <v>44621</v>
      </c>
      <c r="E8690" t="s">
        <v>22</v>
      </c>
      <c r="F8690">
        <v>162.80000000000001</v>
      </c>
      <c r="G8690" t="str">
        <f>VLOOKUP(Table1_2[[#This Row],[Categories]],Sheet3!$A$1:$B$27,2,FALSE)</f>
        <v>Household Items</v>
      </c>
    </row>
    <row r="8691" spans="1:7" x14ac:dyDescent="0.3">
      <c r="A8691" t="s">
        <v>34</v>
      </c>
      <c r="B8691">
        <v>2022</v>
      </c>
      <c r="C8691" t="s">
        <v>36</v>
      </c>
      <c r="D8691" s="2">
        <v>44621</v>
      </c>
      <c r="E8691" t="s">
        <v>23</v>
      </c>
      <c r="F8691">
        <v>173</v>
      </c>
      <c r="G8691" t="str">
        <f>VLOOKUP(Table1_2[[#This Row],[Categories]],Sheet3!$A$1:$B$27,2,FALSE)</f>
        <v>Health</v>
      </c>
    </row>
    <row r="8692" spans="1:7" x14ac:dyDescent="0.3">
      <c r="A8692" t="s">
        <v>34</v>
      </c>
      <c r="B8692">
        <v>2022</v>
      </c>
      <c r="C8692" t="s">
        <v>36</v>
      </c>
      <c r="D8692" s="2">
        <v>44621</v>
      </c>
      <c r="E8692" t="s">
        <v>24</v>
      </c>
      <c r="F8692">
        <v>157.9</v>
      </c>
      <c r="G8692" t="str">
        <f>VLOOKUP(Table1_2[[#This Row],[Categories]],Sheet3!$A$1:$B$27,2,FALSE)</f>
        <v>Transport and communication</v>
      </c>
    </row>
    <row r="8693" spans="1:7" x14ac:dyDescent="0.3">
      <c r="A8693" t="s">
        <v>34</v>
      </c>
      <c r="B8693">
        <v>2022</v>
      </c>
      <c r="C8693" t="s">
        <v>36</v>
      </c>
      <c r="D8693" s="2">
        <v>44621</v>
      </c>
      <c r="E8693" t="s">
        <v>25</v>
      </c>
      <c r="F8693">
        <v>163.30000000000001</v>
      </c>
      <c r="G8693" t="str">
        <f>VLOOKUP(Table1_2[[#This Row],[Categories]],Sheet3!$A$1:$B$27,2,FALSE)</f>
        <v>Recreation and amusement</v>
      </c>
    </row>
    <row r="8694" spans="1:7" x14ac:dyDescent="0.3">
      <c r="A8694" t="s">
        <v>34</v>
      </c>
      <c r="B8694">
        <v>2022</v>
      </c>
      <c r="C8694" t="s">
        <v>36</v>
      </c>
      <c r="D8694" s="2">
        <v>44621</v>
      </c>
      <c r="E8694" t="s">
        <v>26</v>
      </c>
      <c r="F8694">
        <v>166</v>
      </c>
      <c r="G8694" t="str">
        <f>VLOOKUP(Table1_2[[#This Row],[Categories]],Sheet3!$A$1:$B$27,2,FALSE)</f>
        <v>Education</v>
      </c>
    </row>
    <row r="8695" spans="1:7" x14ac:dyDescent="0.3">
      <c r="A8695" t="s">
        <v>34</v>
      </c>
      <c r="B8695">
        <v>2022</v>
      </c>
      <c r="C8695" t="s">
        <v>36</v>
      </c>
      <c r="D8695" s="2">
        <v>44621</v>
      </c>
      <c r="E8695" t="s">
        <v>27</v>
      </c>
      <c r="F8695">
        <v>167.2</v>
      </c>
      <c r="G8695" t="str">
        <f>VLOOKUP(Table1_2[[#This Row],[Categories]],Sheet3!$A$1:$B$27,2,FALSE)</f>
        <v>Household Items</v>
      </c>
    </row>
    <row r="8696" spans="1:7" x14ac:dyDescent="0.3">
      <c r="A8696" t="s">
        <v>34</v>
      </c>
      <c r="B8696">
        <v>2022</v>
      </c>
      <c r="C8696" t="s">
        <v>36</v>
      </c>
      <c r="D8696" s="2">
        <v>44621</v>
      </c>
      <c r="E8696" t="s">
        <v>28</v>
      </c>
      <c r="F8696">
        <v>164.6</v>
      </c>
      <c r="G8696" t="str">
        <f>VLOOKUP(Table1_2[[#This Row],[Categories]],Sheet3!$A$1:$B$27,2,FALSE)</f>
        <v>Miscellaneous</v>
      </c>
    </row>
    <row r="8697" spans="1:7" x14ac:dyDescent="0.3">
      <c r="A8697" t="s">
        <v>34</v>
      </c>
      <c r="B8697">
        <v>2022</v>
      </c>
      <c r="C8697" t="s">
        <v>36</v>
      </c>
      <c r="D8697" s="2">
        <v>44621</v>
      </c>
      <c r="E8697" t="s">
        <v>29</v>
      </c>
      <c r="F8697">
        <v>167.7</v>
      </c>
      <c r="G8697" t="str">
        <f>VLOOKUP(Table1_2[[#This Row],[Categories]],Sheet3!$A$1:$B$27,2,FALSE)</f>
        <v>General index</v>
      </c>
    </row>
    <row r="8698" spans="1:7" x14ac:dyDescent="0.3">
      <c r="A8698" t="s">
        <v>30</v>
      </c>
      <c r="B8698">
        <v>2022</v>
      </c>
      <c r="C8698" t="s">
        <v>37</v>
      </c>
      <c r="D8698" s="2">
        <v>44652</v>
      </c>
      <c r="E8698" t="s">
        <v>3</v>
      </c>
      <c r="F8698">
        <v>151.80000000000001</v>
      </c>
      <c r="G8698" t="str">
        <f>VLOOKUP(Table1_2[[#This Row],[Categories]],Sheet3!$A$1:$B$27,2,FALSE)</f>
        <v>Food &amp;Beverage</v>
      </c>
    </row>
    <row r="8699" spans="1:7" x14ac:dyDescent="0.3">
      <c r="A8699" t="s">
        <v>30</v>
      </c>
      <c r="B8699">
        <v>2022</v>
      </c>
      <c r="C8699" t="s">
        <v>37</v>
      </c>
      <c r="D8699" s="2">
        <v>44652</v>
      </c>
      <c r="E8699" t="s">
        <v>4</v>
      </c>
      <c r="F8699">
        <v>209.7</v>
      </c>
      <c r="G8699" t="str">
        <f>VLOOKUP(Table1_2[[#This Row],[Categories]],Sheet3!$A$1:$B$27,2,FALSE)</f>
        <v>Food &amp;Beverage</v>
      </c>
    </row>
    <row r="8700" spans="1:7" x14ac:dyDescent="0.3">
      <c r="A8700" t="s">
        <v>30</v>
      </c>
      <c r="B8700">
        <v>2022</v>
      </c>
      <c r="C8700" t="s">
        <v>37</v>
      </c>
      <c r="D8700" s="2">
        <v>44652</v>
      </c>
      <c r="E8700" t="s">
        <v>5</v>
      </c>
      <c r="F8700">
        <v>164.5</v>
      </c>
      <c r="G8700" t="str">
        <f>VLOOKUP(Table1_2[[#This Row],[Categories]],Sheet3!$A$1:$B$27,2,FALSE)</f>
        <v>Food &amp;Beverage</v>
      </c>
    </row>
    <row r="8701" spans="1:7" x14ac:dyDescent="0.3">
      <c r="A8701" t="s">
        <v>30</v>
      </c>
      <c r="B8701">
        <v>2022</v>
      </c>
      <c r="C8701" t="s">
        <v>37</v>
      </c>
      <c r="D8701" s="2">
        <v>44652</v>
      </c>
      <c r="E8701" t="s">
        <v>6</v>
      </c>
      <c r="F8701">
        <v>163.80000000000001</v>
      </c>
      <c r="G8701" t="str">
        <f>VLOOKUP(Table1_2[[#This Row],[Categories]],Sheet3!$A$1:$B$27,2,FALSE)</f>
        <v>Food &amp;Beverage</v>
      </c>
    </row>
    <row r="8702" spans="1:7" x14ac:dyDescent="0.3">
      <c r="A8702" t="s">
        <v>30</v>
      </c>
      <c r="B8702">
        <v>2022</v>
      </c>
      <c r="C8702" t="s">
        <v>37</v>
      </c>
      <c r="D8702" s="2">
        <v>44652</v>
      </c>
      <c r="E8702" t="s">
        <v>7</v>
      </c>
      <c r="F8702">
        <v>207.4</v>
      </c>
      <c r="G8702" t="str">
        <f>VLOOKUP(Table1_2[[#This Row],[Categories]],Sheet3!$A$1:$B$27,2,FALSE)</f>
        <v>Food &amp;Beverage</v>
      </c>
    </row>
    <row r="8703" spans="1:7" x14ac:dyDescent="0.3">
      <c r="A8703" t="s">
        <v>30</v>
      </c>
      <c r="B8703">
        <v>2022</v>
      </c>
      <c r="C8703" t="s">
        <v>37</v>
      </c>
      <c r="D8703" s="2">
        <v>44652</v>
      </c>
      <c r="E8703" t="s">
        <v>8</v>
      </c>
      <c r="F8703">
        <v>169.7</v>
      </c>
      <c r="G8703" t="str">
        <f>VLOOKUP(Table1_2[[#This Row],[Categories]],Sheet3!$A$1:$B$27,2,FALSE)</f>
        <v>Food &amp;Beverage</v>
      </c>
    </row>
    <row r="8704" spans="1:7" x14ac:dyDescent="0.3">
      <c r="A8704" t="s">
        <v>30</v>
      </c>
      <c r="B8704">
        <v>2022</v>
      </c>
      <c r="C8704" t="s">
        <v>37</v>
      </c>
      <c r="D8704" s="2">
        <v>44652</v>
      </c>
      <c r="E8704" t="s">
        <v>9</v>
      </c>
      <c r="F8704">
        <v>153.6</v>
      </c>
      <c r="G8704" t="str">
        <f>VLOOKUP(Table1_2[[#This Row],[Categories]],Sheet3!$A$1:$B$27,2,FALSE)</f>
        <v>Food &amp;Beverage</v>
      </c>
    </row>
    <row r="8705" spans="1:7" x14ac:dyDescent="0.3">
      <c r="A8705" t="s">
        <v>30</v>
      </c>
      <c r="B8705">
        <v>2022</v>
      </c>
      <c r="C8705" t="s">
        <v>37</v>
      </c>
      <c r="D8705" s="2">
        <v>44652</v>
      </c>
      <c r="E8705" t="s">
        <v>10</v>
      </c>
      <c r="F8705">
        <v>165.1</v>
      </c>
      <c r="G8705" t="str">
        <f>VLOOKUP(Table1_2[[#This Row],[Categories]],Sheet3!$A$1:$B$27,2,FALSE)</f>
        <v>Food &amp;Beverage</v>
      </c>
    </row>
    <row r="8706" spans="1:7" x14ac:dyDescent="0.3">
      <c r="A8706" t="s">
        <v>30</v>
      </c>
      <c r="B8706">
        <v>2022</v>
      </c>
      <c r="C8706" t="s">
        <v>37</v>
      </c>
      <c r="D8706" s="2">
        <v>44652</v>
      </c>
      <c r="E8706" t="s">
        <v>11</v>
      </c>
      <c r="F8706">
        <v>118.2</v>
      </c>
      <c r="G8706" t="str">
        <f>VLOOKUP(Table1_2[[#This Row],[Categories]],Sheet3!$A$1:$B$27,2,FALSE)</f>
        <v>Food &amp;Beverage</v>
      </c>
    </row>
    <row r="8707" spans="1:7" x14ac:dyDescent="0.3">
      <c r="A8707" t="s">
        <v>30</v>
      </c>
      <c r="B8707">
        <v>2022</v>
      </c>
      <c r="C8707" t="s">
        <v>37</v>
      </c>
      <c r="D8707" s="2">
        <v>44652</v>
      </c>
      <c r="E8707" t="s">
        <v>12</v>
      </c>
      <c r="F8707">
        <v>182.9</v>
      </c>
      <c r="G8707" t="str">
        <f>VLOOKUP(Table1_2[[#This Row],[Categories]],Sheet3!$A$1:$B$27,2,FALSE)</f>
        <v>Food &amp;Beverage</v>
      </c>
    </row>
    <row r="8708" spans="1:7" x14ac:dyDescent="0.3">
      <c r="A8708" t="s">
        <v>30</v>
      </c>
      <c r="B8708">
        <v>2022</v>
      </c>
      <c r="C8708" t="s">
        <v>37</v>
      </c>
      <c r="D8708" s="2">
        <v>44652</v>
      </c>
      <c r="E8708" t="s">
        <v>13</v>
      </c>
      <c r="F8708">
        <v>172.4</v>
      </c>
      <c r="G8708" t="str">
        <f>VLOOKUP(Table1_2[[#This Row],[Categories]],Sheet3!$A$1:$B$27,2,FALSE)</f>
        <v>Food &amp;Beverage</v>
      </c>
    </row>
    <row r="8709" spans="1:7" x14ac:dyDescent="0.3">
      <c r="A8709" t="s">
        <v>30</v>
      </c>
      <c r="B8709">
        <v>2022</v>
      </c>
      <c r="C8709" t="s">
        <v>37</v>
      </c>
      <c r="D8709" s="2">
        <v>44652</v>
      </c>
      <c r="E8709" t="s">
        <v>14</v>
      </c>
      <c r="F8709">
        <v>178.9</v>
      </c>
      <c r="G8709" t="str">
        <f>VLOOKUP(Table1_2[[#This Row],[Categories]],Sheet3!$A$1:$B$27,2,FALSE)</f>
        <v>Food &amp;Beverage</v>
      </c>
    </row>
    <row r="8710" spans="1:7" x14ac:dyDescent="0.3">
      <c r="A8710" t="s">
        <v>30</v>
      </c>
      <c r="B8710">
        <v>2022</v>
      </c>
      <c r="C8710" t="s">
        <v>37</v>
      </c>
      <c r="D8710" s="2">
        <v>44652</v>
      </c>
      <c r="E8710" t="s">
        <v>15</v>
      </c>
      <c r="F8710">
        <v>168.6</v>
      </c>
      <c r="G8710" t="str">
        <f>VLOOKUP(Table1_2[[#This Row],[Categories]],Sheet3!$A$1:$B$27,2,FALSE)</f>
        <v>Food &amp;Beverage</v>
      </c>
    </row>
    <row r="8711" spans="1:7" x14ac:dyDescent="0.3">
      <c r="A8711" t="s">
        <v>30</v>
      </c>
      <c r="B8711">
        <v>2022</v>
      </c>
      <c r="C8711" t="s">
        <v>37</v>
      </c>
      <c r="D8711" s="2">
        <v>44652</v>
      </c>
      <c r="E8711" t="s">
        <v>16</v>
      </c>
      <c r="F8711">
        <v>192.8</v>
      </c>
      <c r="G8711" t="str">
        <f>VLOOKUP(Table1_2[[#This Row],[Categories]],Sheet3!$A$1:$B$27,2,FALSE)</f>
        <v>Recreation and amusement</v>
      </c>
    </row>
    <row r="8712" spans="1:7" x14ac:dyDescent="0.3">
      <c r="A8712" t="s">
        <v>30</v>
      </c>
      <c r="B8712">
        <v>2022</v>
      </c>
      <c r="C8712" t="s">
        <v>37</v>
      </c>
      <c r="D8712" s="2">
        <v>44652</v>
      </c>
      <c r="E8712" t="s">
        <v>17</v>
      </c>
      <c r="F8712">
        <v>177.5</v>
      </c>
      <c r="G8712" t="str">
        <f>VLOOKUP(Table1_2[[#This Row],[Categories]],Sheet3!$A$1:$B$27,2,FALSE)</f>
        <v>Clothing and footwear</v>
      </c>
    </row>
    <row r="8713" spans="1:7" x14ac:dyDescent="0.3">
      <c r="A8713" t="s">
        <v>30</v>
      </c>
      <c r="B8713">
        <v>2022</v>
      </c>
      <c r="C8713" t="s">
        <v>37</v>
      </c>
      <c r="D8713" s="2">
        <v>44652</v>
      </c>
      <c r="E8713" t="s">
        <v>18</v>
      </c>
      <c r="F8713">
        <v>175.1</v>
      </c>
      <c r="G8713" t="str">
        <f>VLOOKUP(Table1_2[[#This Row],[Categories]],Sheet3!$A$1:$B$27,2,FALSE)</f>
        <v>Clothing and footwear</v>
      </c>
    </row>
    <row r="8714" spans="1:7" x14ac:dyDescent="0.3">
      <c r="A8714" t="s">
        <v>30</v>
      </c>
      <c r="B8714">
        <v>2022</v>
      </c>
      <c r="C8714" t="s">
        <v>37</v>
      </c>
      <c r="D8714" s="2">
        <v>44652</v>
      </c>
      <c r="E8714" t="s">
        <v>19</v>
      </c>
      <c r="F8714">
        <v>177.1</v>
      </c>
      <c r="G8714" t="str">
        <f>VLOOKUP(Table1_2[[#This Row],[Categories]],Sheet3!$A$1:$B$27,2,FALSE)</f>
        <v>Clothing and footwear</v>
      </c>
    </row>
    <row r="8715" spans="1:7" x14ac:dyDescent="0.3">
      <c r="A8715" t="s">
        <v>30</v>
      </c>
      <c r="B8715">
        <v>2022</v>
      </c>
      <c r="C8715" t="s">
        <v>37</v>
      </c>
      <c r="D8715" s="2">
        <v>44652</v>
      </c>
      <c r="E8715" t="s">
        <v>21</v>
      </c>
      <c r="F8715">
        <v>173.3</v>
      </c>
      <c r="G8715" t="str">
        <f>VLOOKUP(Table1_2[[#This Row],[Categories]],Sheet3!$A$1:$B$27,2,FALSE)</f>
        <v>Fuel and light</v>
      </c>
    </row>
    <row r="8716" spans="1:7" x14ac:dyDescent="0.3">
      <c r="A8716" t="s">
        <v>30</v>
      </c>
      <c r="B8716">
        <v>2022</v>
      </c>
      <c r="C8716" t="s">
        <v>37</v>
      </c>
      <c r="D8716" s="2">
        <v>44652</v>
      </c>
      <c r="E8716" t="s">
        <v>22</v>
      </c>
      <c r="F8716">
        <v>167.7</v>
      </c>
      <c r="G8716" t="str">
        <f>VLOOKUP(Table1_2[[#This Row],[Categories]],Sheet3!$A$1:$B$27,2,FALSE)</f>
        <v>Household Items</v>
      </c>
    </row>
    <row r="8717" spans="1:7" x14ac:dyDescent="0.3">
      <c r="A8717" t="s">
        <v>30</v>
      </c>
      <c r="B8717">
        <v>2022</v>
      </c>
      <c r="C8717" t="s">
        <v>37</v>
      </c>
      <c r="D8717" s="2">
        <v>44652</v>
      </c>
      <c r="E8717" t="s">
        <v>23</v>
      </c>
      <c r="F8717">
        <v>177</v>
      </c>
      <c r="G8717" t="str">
        <f>VLOOKUP(Table1_2[[#This Row],[Categories]],Sheet3!$A$1:$B$27,2,FALSE)</f>
        <v>Health</v>
      </c>
    </row>
    <row r="8718" spans="1:7" x14ac:dyDescent="0.3">
      <c r="A8718" t="s">
        <v>30</v>
      </c>
      <c r="B8718">
        <v>2022</v>
      </c>
      <c r="C8718" t="s">
        <v>37</v>
      </c>
      <c r="D8718" s="2">
        <v>44652</v>
      </c>
      <c r="E8718" t="s">
        <v>24</v>
      </c>
      <c r="F8718">
        <v>166.2</v>
      </c>
      <c r="G8718" t="str">
        <f>VLOOKUP(Table1_2[[#This Row],[Categories]],Sheet3!$A$1:$B$27,2,FALSE)</f>
        <v>Transport and communication</v>
      </c>
    </row>
    <row r="8719" spans="1:7" x14ac:dyDescent="0.3">
      <c r="A8719" t="s">
        <v>30</v>
      </c>
      <c r="B8719">
        <v>2022</v>
      </c>
      <c r="C8719" t="s">
        <v>37</v>
      </c>
      <c r="D8719" s="2">
        <v>44652</v>
      </c>
      <c r="E8719" t="s">
        <v>25</v>
      </c>
      <c r="F8719">
        <v>167.2</v>
      </c>
      <c r="G8719" t="str">
        <f>VLOOKUP(Table1_2[[#This Row],[Categories]],Sheet3!$A$1:$B$27,2,FALSE)</f>
        <v>Recreation and amusement</v>
      </c>
    </row>
    <row r="8720" spans="1:7" x14ac:dyDescent="0.3">
      <c r="A8720" t="s">
        <v>30</v>
      </c>
      <c r="B8720">
        <v>2022</v>
      </c>
      <c r="C8720" t="s">
        <v>37</v>
      </c>
      <c r="D8720" s="2">
        <v>44652</v>
      </c>
      <c r="E8720" t="s">
        <v>26</v>
      </c>
      <c r="F8720">
        <v>170.9</v>
      </c>
      <c r="G8720" t="str">
        <f>VLOOKUP(Table1_2[[#This Row],[Categories]],Sheet3!$A$1:$B$27,2,FALSE)</f>
        <v>Education</v>
      </c>
    </row>
    <row r="8721" spans="1:7" x14ac:dyDescent="0.3">
      <c r="A8721" t="s">
        <v>30</v>
      </c>
      <c r="B8721">
        <v>2022</v>
      </c>
      <c r="C8721" t="s">
        <v>37</v>
      </c>
      <c r="D8721" s="2">
        <v>44652</v>
      </c>
      <c r="E8721" t="s">
        <v>27</v>
      </c>
      <c r="F8721">
        <v>169</v>
      </c>
      <c r="G8721" t="str">
        <f>VLOOKUP(Table1_2[[#This Row],[Categories]],Sheet3!$A$1:$B$27,2,FALSE)</f>
        <v>Household Items</v>
      </c>
    </row>
    <row r="8722" spans="1:7" x14ac:dyDescent="0.3">
      <c r="A8722" t="s">
        <v>30</v>
      </c>
      <c r="B8722">
        <v>2022</v>
      </c>
      <c r="C8722" t="s">
        <v>37</v>
      </c>
      <c r="D8722" s="2">
        <v>44652</v>
      </c>
      <c r="E8722" t="s">
        <v>28</v>
      </c>
      <c r="F8722">
        <v>170.2</v>
      </c>
      <c r="G8722" t="str">
        <f>VLOOKUP(Table1_2[[#This Row],[Categories]],Sheet3!$A$1:$B$27,2,FALSE)</f>
        <v>Miscellaneous</v>
      </c>
    </row>
    <row r="8723" spans="1:7" x14ac:dyDescent="0.3">
      <c r="A8723" t="s">
        <v>30</v>
      </c>
      <c r="B8723">
        <v>2022</v>
      </c>
      <c r="C8723" t="s">
        <v>37</v>
      </c>
      <c r="D8723" s="2">
        <v>44652</v>
      </c>
      <c r="E8723" t="s">
        <v>29</v>
      </c>
      <c r="F8723">
        <v>170.8</v>
      </c>
      <c r="G8723" t="str">
        <f>VLOOKUP(Table1_2[[#This Row],[Categories]],Sheet3!$A$1:$B$27,2,FALSE)</f>
        <v>General index</v>
      </c>
    </row>
    <row r="8724" spans="1:7" x14ac:dyDescent="0.3">
      <c r="A8724" t="s">
        <v>33</v>
      </c>
      <c r="B8724">
        <v>2022</v>
      </c>
      <c r="C8724" t="s">
        <v>37</v>
      </c>
      <c r="D8724" s="2">
        <v>44652</v>
      </c>
      <c r="E8724" t="s">
        <v>3</v>
      </c>
      <c r="F8724">
        <v>155.4</v>
      </c>
      <c r="G8724" t="str">
        <f>VLOOKUP(Table1_2[[#This Row],[Categories]],Sheet3!$A$1:$B$27,2,FALSE)</f>
        <v>Food &amp;Beverage</v>
      </c>
    </row>
    <row r="8725" spans="1:7" x14ac:dyDescent="0.3">
      <c r="A8725" t="s">
        <v>33</v>
      </c>
      <c r="B8725">
        <v>2022</v>
      </c>
      <c r="C8725" t="s">
        <v>37</v>
      </c>
      <c r="D8725" s="2">
        <v>44652</v>
      </c>
      <c r="E8725" t="s">
        <v>4</v>
      </c>
      <c r="F8725">
        <v>215.8</v>
      </c>
      <c r="G8725" t="str">
        <f>VLOOKUP(Table1_2[[#This Row],[Categories]],Sheet3!$A$1:$B$27,2,FALSE)</f>
        <v>Food &amp;Beverage</v>
      </c>
    </row>
    <row r="8726" spans="1:7" x14ac:dyDescent="0.3">
      <c r="A8726" t="s">
        <v>33</v>
      </c>
      <c r="B8726">
        <v>2022</v>
      </c>
      <c r="C8726" t="s">
        <v>37</v>
      </c>
      <c r="D8726" s="2">
        <v>44652</v>
      </c>
      <c r="E8726" t="s">
        <v>5</v>
      </c>
      <c r="F8726">
        <v>164.6</v>
      </c>
      <c r="G8726" t="str">
        <f>VLOOKUP(Table1_2[[#This Row],[Categories]],Sheet3!$A$1:$B$27,2,FALSE)</f>
        <v>Food &amp;Beverage</v>
      </c>
    </row>
    <row r="8727" spans="1:7" x14ac:dyDescent="0.3">
      <c r="A8727" t="s">
        <v>33</v>
      </c>
      <c r="B8727">
        <v>2022</v>
      </c>
      <c r="C8727" t="s">
        <v>37</v>
      </c>
      <c r="D8727" s="2">
        <v>44652</v>
      </c>
      <c r="E8727" t="s">
        <v>6</v>
      </c>
      <c r="F8727">
        <v>164.2</v>
      </c>
      <c r="G8727" t="str">
        <f>VLOOKUP(Table1_2[[#This Row],[Categories]],Sheet3!$A$1:$B$27,2,FALSE)</f>
        <v>Food &amp;Beverage</v>
      </c>
    </row>
    <row r="8728" spans="1:7" x14ac:dyDescent="0.3">
      <c r="A8728" t="s">
        <v>33</v>
      </c>
      <c r="B8728">
        <v>2022</v>
      </c>
      <c r="C8728" t="s">
        <v>37</v>
      </c>
      <c r="D8728" s="2">
        <v>44652</v>
      </c>
      <c r="E8728" t="s">
        <v>7</v>
      </c>
      <c r="F8728">
        <v>186</v>
      </c>
      <c r="G8728" t="str">
        <f>VLOOKUP(Table1_2[[#This Row],[Categories]],Sheet3!$A$1:$B$27,2,FALSE)</f>
        <v>Food &amp;Beverage</v>
      </c>
    </row>
    <row r="8729" spans="1:7" x14ac:dyDescent="0.3">
      <c r="A8729" t="s">
        <v>33</v>
      </c>
      <c r="B8729">
        <v>2022</v>
      </c>
      <c r="C8729" t="s">
        <v>37</v>
      </c>
      <c r="D8729" s="2">
        <v>44652</v>
      </c>
      <c r="E8729" t="s">
        <v>8</v>
      </c>
      <c r="F8729">
        <v>175.9</v>
      </c>
      <c r="G8729" t="str">
        <f>VLOOKUP(Table1_2[[#This Row],[Categories]],Sheet3!$A$1:$B$27,2,FALSE)</f>
        <v>Food &amp;Beverage</v>
      </c>
    </row>
    <row r="8730" spans="1:7" x14ac:dyDescent="0.3">
      <c r="A8730" t="s">
        <v>33</v>
      </c>
      <c r="B8730">
        <v>2022</v>
      </c>
      <c r="C8730" t="s">
        <v>37</v>
      </c>
      <c r="D8730" s="2">
        <v>44652</v>
      </c>
      <c r="E8730" t="s">
        <v>9</v>
      </c>
      <c r="F8730">
        <v>190.7</v>
      </c>
      <c r="G8730" t="str">
        <f>VLOOKUP(Table1_2[[#This Row],[Categories]],Sheet3!$A$1:$B$27,2,FALSE)</f>
        <v>Food &amp;Beverage</v>
      </c>
    </row>
    <row r="8731" spans="1:7" x14ac:dyDescent="0.3">
      <c r="A8731" t="s">
        <v>33</v>
      </c>
      <c r="B8731">
        <v>2022</v>
      </c>
      <c r="C8731" t="s">
        <v>37</v>
      </c>
      <c r="D8731" s="2">
        <v>44652</v>
      </c>
      <c r="E8731" t="s">
        <v>10</v>
      </c>
      <c r="F8731">
        <v>164</v>
      </c>
      <c r="G8731" t="str">
        <f>VLOOKUP(Table1_2[[#This Row],[Categories]],Sheet3!$A$1:$B$27,2,FALSE)</f>
        <v>Food &amp;Beverage</v>
      </c>
    </row>
    <row r="8732" spans="1:7" x14ac:dyDescent="0.3">
      <c r="A8732" t="s">
        <v>33</v>
      </c>
      <c r="B8732">
        <v>2022</v>
      </c>
      <c r="C8732" t="s">
        <v>37</v>
      </c>
      <c r="D8732" s="2">
        <v>44652</v>
      </c>
      <c r="E8732" t="s">
        <v>11</v>
      </c>
      <c r="F8732">
        <v>120.5</v>
      </c>
      <c r="G8732" t="str">
        <f>VLOOKUP(Table1_2[[#This Row],[Categories]],Sheet3!$A$1:$B$27,2,FALSE)</f>
        <v>Food &amp;Beverage</v>
      </c>
    </row>
    <row r="8733" spans="1:7" x14ac:dyDescent="0.3">
      <c r="A8733" t="s">
        <v>33</v>
      </c>
      <c r="B8733">
        <v>2022</v>
      </c>
      <c r="C8733" t="s">
        <v>37</v>
      </c>
      <c r="D8733" s="2">
        <v>44652</v>
      </c>
      <c r="E8733" t="s">
        <v>12</v>
      </c>
      <c r="F8733">
        <v>178</v>
      </c>
      <c r="G8733" t="str">
        <f>VLOOKUP(Table1_2[[#This Row],[Categories]],Sheet3!$A$1:$B$27,2,FALSE)</f>
        <v>Food &amp;Beverage</v>
      </c>
    </row>
    <row r="8734" spans="1:7" x14ac:dyDescent="0.3">
      <c r="A8734" t="s">
        <v>33</v>
      </c>
      <c r="B8734">
        <v>2022</v>
      </c>
      <c r="C8734" t="s">
        <v>37</v>
      </c>
      <c r="D8734" s="2">
        <v>44652</v>
      </c>
      <c r="E8734" t="s">
        <v>13</v>
      </c>
      <c r="F8734">
        <v>157.5</v>
      </c>
      <c r="G8734" t="str">
        <f>VLOOKUP(Table1_2[[#This Row],[Categories]],Sheet3!$A$1:$B$27,2,FALSE)</f>
        <v>Food &amp;Beverage</v>
      </c>
    </row>
    <row r="8735" spans="1:7" x14ac:dyDescent="0.3">
      <c r="A8735" t="s">
        <v>33</v>
      </c>
      <c r="B8735">
        <v>2022</v>
      </c>
      <c r="C8735" t="s">
        <v>37</v>
      </c>
      <c r="D8735" s="2">
        <v>44652</v>
      </c>
      <c r="E8735" t="s">
        <v>14</v>
      </c>
      <c r="F8735">
        <v>183.3</v>
      </c>
      <c r="G8735" t="str">
        <f>VLOOKUP(Table1_2[[#This Row],[Categories]],Sheet3!$A$1:$B$27,2,FALSE)</f>
        <v>Food &amp;Beverage</v>
      </c>
    </row>
    <row r="8736" spans="1:7" x14ac:dyDescent="0.3">
      <c r="A8736" t="s">
        <v>33</v>
      </c>
      <c r="B8736">
        <v>2022</v>
      </c>
      <c r="C8736" t="s">
        <v>37</v>
      </c>
      <c r="D8736" s="2">
        <v>44652</v>
      </c>
      <c r="E8736" t="s">
        <v>15</v>
      </c>
      <c r="F8736">
        <v>174.5</v>
      </c>
      <c r="G8736" t="str">
        <f>VLOOKUP(Table1_2[[#This Row],[Categories]],Sheet3!$A$1:$B$27,2,FALSE)</f>
        <v>Food &amp;Beverage</v>
      </c>
    </row>
    <row r="8737" spans="1:7" x14ac:dyDescent="0.3">
      <c r="A8737" t="s">
        <v>33</v>
      </c>
      <c r="B8737">
        <v>2022</v>
      </c>
      <c r="C8737" t="s">
        <v>37</v>
      </c>
      <c r="D8737" s="2">
        <v>44652</v>
      </c>
      <c r="E8737" t="s">
        <v>16</v>
      </c>
      <c r="F8737">
        <v>197.1</v>
      </c>
      <c r="G8737" t="str">
        <f>VLOOKUP(Table1_2[[#This Row],[Categories]],Sheet3!$A$1:$B$27,2,FALSE)</f>
        <v>Recreation and amusement</v>
      </c>
    </row>
    <row r="8738" spans="1:7" x14ac:dyDescent="0.3">
      <c r="A8738" t="s">
        <v>33</v>
      </c>
      <c r="B8738">
        <v>2022</v>
      </c>
      <c r="C8738" t="s">
        <v>37</v>
      </c>
      <c r="D8738" s="2">
        <v>44652</v>
      </c>
      <c r="E8738" t="s">
        <v>17</v>
      </c>
      <c r="F8738">
        <v>168.4</v>
      </c>
      <c r="G8738" t="str">
        <f>VLOOKUP(Table1_2[[#This Row],[Categories]],Sheet3!$A$1:$B$27,2,FALSE)</f>
        <v>Clothing and footwear</v>
      </c>
    </row>
    <row r="8739" spans="1:7" x14ac:dyDescent="0.3">
      <c r="A8739" t="s">
        <v>33</v>
      </c>
      <c r="B8739">
        <v>2022</v>
      </c>
      <c r="C8739" t="s">
        <v>37</v>
      </c>
      <c r="D8739" s="2">
        <v>44652</v>
      </c>
      <c r="E8739" t="s">
        <v>18</v>
      </c>
      <c r="F8739">
        <v>154.5</v>
      </c>
      <c r="G8739" t="str">
        <f>VLOOKUP(Table1_2[[#This Row],[Categories]],Sheet3!$A$1:$B$27,2,FALSE)</f>
        <v>Clothing and footwear</v>
      </c>
    </row>
    <row r="8740" spans="1:7" x14ac:dyDescent="0.3">
      <c r="A8740" t="s">
        <v>33</v>
      </c>
      <c r="B8740">
        <v>2022</v>
      </c>
      <c r="C8740" t="s">
        <v>37</v>
      </c>
      <c r="D8740" s="2">
        <v>44652</v>
      </c>
      <c r="E8740" t="s">
        <v>19</v>
      </c>
      <c r="F8740">
        <v>166.3</v>
      </c>
      <c r="G8740" t="str">
        <f>VLOOKUP(Table1_2[[#This Row],[Categories]],Sheet3!$A$1:$B$27,2,FALSE)</f>
        <v>Clothing and footwear</v>
      </c>
    </row>
    <row r="8741" spans="1:7" x14ac:dyDescent="0.3">
      <c r="A8741" t="s">
        <v>33</v>
      </c>
      <c r="B8741">
        <v>2022</v>
      </c>
      <c r="C8741" t="s">
        <v>37</v>
      </c>
      <c r="D8741" s="2">
        <v>44652</v>
      </c>
      <c r="E8741" t="s">
        <v>20</v>
      </c>
      <c r="F8741">
        <v>167</v>
      </c>
      <c r="G8741" t="str">
        <f>VLOOKUP(Table1_2[[#This Row],[Categories]],Sheet3!$A$1:$B$27,2,FALSE)</f>
        <v>Housing</v>
      </c>
    </row>
    <row r="8742" spans="1:7" x14ac:dyDescent="0.3">
      <c r="A8742" t="s">
        <v>33</v>
      </c>
      <c r="B8742">
        <v>2022</v>
      </c>
      <c r="C8742" t="s">
        <v>37</v>
      </c>
      <c r="D8742" s="2">
        <v>44652</v>
      </c>
      <c r="E8742" t="s">
        <v>21</v>
      </c>
      <c r="F8742">
        <v>170.5</v>
      </c>
      <c r="G8742" t="str">
        <f>VLOOKUP(Table1_2[[#This Row],[Categories]],Sheet3!$A$1:$B$27,2,FALSE)</f>
        <v>Fuel and light</v>
      </c>
    </row>
    <row r="8743" spans="1:7" x14ac:dyDescent="0.3">
      <c r="A8743" t="s">
        <v>33</v>
      </c>
      <c r="B8743">
        <v>2022</v>
      </c>
      <c r="C8743" t="s">
        <v>37</v>
      </c>
      <c r="D8743" s="2">
        <v>44652</v>
      </c>
      <c r="E8743" t="s">
        <v>22</v>
      </c>
      <c r="F8743">
        <v>159.80000000000001</v>
      </c>
      <c r="G8743" t="str">
        <f>VLOOKUP(Table1_2[[#This Row],[Categories]],Sheet3!$A$1:$B$27,2,FALSE)</f>
        <v>Household Items</v>
      </c>
    </row>
    <row r="8744" spans="1:7" x14ac:dyDescent="0.3">
      <c r="A8744" t="s">
        <v>33</v>
      </c>
      <c r="B8744">
        <v>2022</v>
      </c>
      <c r="C8744" t="s">
        <v>37</v>
      </c>
      <c r="D8744" s="2">
        <v>44652</v>
      </c>
      <c r="E8744" t="s">
        <v>23</v>
      </c>
      <c r="F8744">
        <v>169</v>
      </c>
      <c r="G8744" t="str">
        <f>VLOOKUP(Table1_2[[#This Row],[Categories]],Sheet3!$A$1:$B$27,2,FALSE)</f>
        <v>Health</v>
      </c>
    </row>
    <row r="8745" spans="1:7" x14ac:dyDescent="0.3">
      <c r="A8745" t="s">
        <v>33</v>
      </c>
      <c r="B8745">
        <v>2022</v>
      </c>
      <c r="C8745" t="s">
        <v>37</v>
      </c>
      <c r="D8745" s="2">
        <v>44652</v>
      </c>
      <c r="E8745" t="s">
        <v>24</v>
      </c>
      <c r="F8745">
        <v>159.30000000000001</v>
      </c>
      <c r="G8745" t="str">
        <f>VLOOKUP(Table1_2[[#This Row],[Categories]],Sheet3!$A$1:$B$27,2,FALSE)</f>
        <v>Transport and communication</v>
      </c>
    </row>
    <row r="8746" spans="1:7" x14ac:dyDescent="0.3">
      <c r="A8746" t="s">
        <v>33</v>
      </c>
      <c r="B8746">
        <v>2022</v>
      </c>
      <c r="C8746" t="s">
        <v>37</v>
      </c>
      <c r="D8746" s="2">
        <v>44652</v>
      </c>
      <c r="E8746" t="s">
        <v>25</v>
      </c>
      <c r="F8746">
        <v>162.19999999999999</v>
      </c>
      <c r="G8746" t="str">
        <f>VLOOKUP(Table1_2[[#This Row],[Categories]],Sheet3!$A$1:$B$27,2,FALSE)</f>
        <v>Recreation and amusement</v>
      </c>
    </row>
    <row r="8747" spans="1:7" x14ac:dyDescent="0.3">
      <c r="A8747" t="s">
        <v>33</v>
      </c>
      <c r="B8747">
        <v>2022</v>
      </c>
      <c r="C8747" t="s">
        <v>37</v>
      </c>
      <c r="D8747" s="2">
        <v>44652</v>
      </c>
      <c r="E8747" t="s">
        <v>26</v>
      </c>
      <c r="F8747">
        <v>164</v>
      </c>
      <c r="G8747" t="str">
        <f>VLOOKUP(Table1_2[[#This Row],[Categories]],Sheet3!$A$1:$B$27,2,FALSE)</f>
        <v>Education</v>
      </c>
    </row>
    <row r="8748" spans="1:7" x14ac:dyDescent="0.3">
      <c r="A8748" t="s">
        <v>33</v>
      </c>
      <c r="B8748">
        <v>2022</v>
      </c>
      <c r="C8748" t="s">
        <v>37</v>
      </c>
      <c r="D8748" s="2">
        <v>44652</v>
      </c>
      <c r="E8748" t="s">
        <v>27</v>
      </c>
      <c r="F8748">
        <v>168.4</v>
      </c>
      <c r="G8748" t="str">
        <f>VLOOKUP(Table1_2[[#This Row],[Categories]],Sheet3!$A$1:$B$27,2,FALSE)</f>
        <v>Household Items</v>
      </c>
    </row>
    <row r="8749" spans="1:7" x14ac:dyDescent="0.3">
      <c r="A8749" t="s">
        <v>33</v>
      </c>
      <c r="B8749">
        <v>2022</v>
      </c>
      <c r="C8749" t="s">
        <v>37</v>
      </c>
      <c r="D8749" s="2">
        <v>44652</v>
      </c>
      <c r="E8749" t="s">
        <v>28</v>
      </c>
      <c r="F8749">
        <v>163.1</v>
      </c>
      <c r="G8749" t="str">
        <f>VLOOKUP(Table1_2[[#This Row],[Categories]],Sheet3!$A$1:$B$27,2,FALSE)</f>
        <v>Miscellaneous</v>
      </c>
    </row>
    <row r="8750" spans="1:7" x14ac:dyDescent="0.3">
      <c r="A8750" t="s">
        <v>33</v>
      </c>
      <c r="B8750">
        <v>2022</v>
      </c>
      <c r="C8750" t="s">
        <v>37</v>
      </c>
      <c r="D8750" s="2">
        <v>44652</v>
      </c>
      <c r="E8750" t="s">
        <v>29</v>
      </c>
      <c r="F8750">
        <v>169.2</v>
      </c>
      <c r="G8750" t="str">
        <f>VLOOKUP(Table1_2[[#This Row],[Categories]],Sheet3!$A$1:$B$27,2,FALSE)</f>
        <v>General index</v>
      </c>
    </row>
    <row r="8751" spans="1:7" x14ac:dyDescent="0.3">
      <c r="A8751" t="s">
        <v>34</v>
      </c>
      <c r="B8751">
        <v>2022</v>
      </c>
      <c r="C8751" t="s">
        <v>37</v>
      </c>
      <c r="D8751" s="2">
        <v>44652</v>
      </c>
      <c r="E8751" t="s">
        <v>3</v>
      </c>
      <c r="F8751">
        <v>152.9</v>
      </c>
      <c r="G8751" t="str">
        <f>VLOOKUP(Table1_2[[#This Row],[Categories]],Sheet3!$A$1:$B$27,2,FALSE)</f>
        <v>Food &amp;Beverage</v>
      </c>
    </row>
    <row r="8752" spans="1:7" x14ac:dyDescent="0.3">
      <c r="A8752" t="s">
        <v>34</v>
      </c>
      <c r="B8752">
        <v>2022</v>
      </c>
      <c r="C8752" t="s">
        <v>37</v>
      </c>
      <c r="D8752" s="2">
        <v>44652</v>
      </c>
      <c r="E8752" t="s">
        <v>4</v>
      </c>
      <c r="F8752">
        <v>211.8</v>
      </c>
      <c r="G8752" t="str">
        <f>VLOOKUP(Table1_2[[#This Row],[Categories]],Sheet3!$A$1:$B$27,2,FALSE)</f>
        <v>Food &amp;Beverage</v>
      </c>
    </row>
    <row r="8753" spans="1:7" x14ac:dyDescent="0.3">
      <c r="A8753" t="s">
        <v>34</v>
      </c>
      <c r="B8753">
        <v>2022</v>
      </c>
      <c r="C8753" t="s">
        <v>37</v>
      </c>
      <c r="D8753" s="2">
        <v>44652</v>
      </c>
      <c r="E8753" t="s">
        <v>5</v>
      </c>
      <c r="F8753">
        <v>164.5</v>
      </c>
      <c r="G8753" t="str">
        <f>VLOOKUP(Table1_2[[#This Row],[Categories]],Sheet3!$A$1:$B$27,2,FALSE)</f>
        <v>Food &amp;Beverage</v>
      </c>
    </row>
    <row r="8754" spans="1:7" x14ac:dyDescent="0.3">
      <c r="A8754" t="s">
        <v>34</v>
      </c>
      <c r="B8754">
        <v>2022</v>
      </c>
      <c r="C8754" t="s">
        <v>37</v>
      </c>
      <c r="D8754" s="2">
        <v>44652</v>
      </c>
      <c r="E8754" t="s">
        <v>6</v>
      </c>
      <c r="F8754">
        <v>163.9</v>
      </c>
      <c r="G8754" t="str">
        <f>VLOOKUP(Table1_2[[#This Row],[Categories]],Sheet3!$A$1:$B$27,2,FALSE)</f>
        <v>Food &amp;Beverage</v>
      </c>
    </row>
    <row r="8755" spans="1:7" x14ac:dyDescent="0.3">
      <c r="A8755" t="s">
        <v>34</v>
      </c>
      <c r="B8755">
        <v>2022</v>
      </c>
      <c r="C8755" t="s">
        <v>37</v>
      </c>
      <c r="D8755" s="2">
        <v>44652</v>
      </c>
      <c r="E8755" t="s">
        <v>7</v>
      </c>
      <c r="F8755">
        <v>199.5</v>
      </c>
      <c r="G8755" t="str">
        <f>VLOOKUP(Table1_2[[#This Row],[Categories]],Sheet3!$A$1:$B$27,2,FALSE)</f>
        <v>Food &amp;Beverage</v>
      </c>
    </row>
    <row r="8756" spans="1:7" x14ac:dyDescent="0.3">
      <c r="A8756" t="s">
        <v>34</v>
      </c>
      <c r="B8756">
        <v>2022</v>
      </c>
      <c r="C8756" t="s">
        <v>37</v>
      </c>
      <c r="D8756" s="2">
        <v>44652</v>
      </c>
      <c r="E8756" t="s">
        <v>8</v>
      </c>
      <c r="F8756">
        <v>172.6</v>
      </c>
      <c r="G8756" t="str">
        <f>VLOOKUP(Table1_2[[#This Row],[Categories]],Sheet3!$A$1:$B$27,2,FALSE)</f>
        <v>Food &amp;Beverage</v>
      </c>
    </row>
    <row r="8757" spans="1:7" x14ac:dyDescent="0.3">
      <c r="A8757" t="s">
        <v>34</v>
      </c>
      <c r="B8757">
        <v>2022</v>
      </c>
      <c r="C8757" t="s">
        <v>37</v>
      </c>
      <c r="D8757" s="2">
        <v>44652</v>
      </c>
      <c r="E8757" t="s">
        <v>9</v>
      </c>
      <c r="F8757">
        <v>166.2</v>
      </c>
      <c r="G8757" t="str">
        <f>VLOOKUP(Table1_2[[#This Row],[Categories]],Sheet3!$A$1:$B$27,2,FALSE)</f>
        <v>Food &amp;Beverage</v>
      </c>
    </row>
    <row r="8758" spans="1:7" x14ac:dyDescent="0.3">
      <c r="A8758" t="s">
        <v>34</v>
      </c>
      <c r="B8758">
        <v>2022</v>
      </c>
      <c r="C8758" t="s">
        <v>37</v>
      </c>
      <c r="D8758" s="2">
        <v>44652</v>
      </c>
      <c r="E8758" t="s">
        <v>10</v>
      </c>
      <c r="F8758">
        <v>164.7</v>
      </c>
      <c r="G8758" t="str">
        <f>VLOOKUP(Table1_2[[#This Row],[Categories]],Sheet3!$A$1:$B$27,2,FALSE)</f>
        <v>Food &amp;Beverage</v>
      </c>
    </row>
    <row r="8759" spans="1:7" x14ac:dyDescent="0.3">
      <c r="A8759" t="s">
        <v>34</v>
      </c>
      <c r="B8759">
        <v>2022</v>
      </c>
      <c r="C8759" t="s">
        <v>37</v>
      </c>
      <c r="D8759" s="2">
        <v>44652</v>
      </c>
      <c r="E8759" t="s">
        <v>11</v>
      </c>
      <c r="F8759">
        <v>119</v>
      </c>
      <c r="G8759" t="str">
        <f>VLOOKUP(Table1_2[[#This Row],[Categories]],Sheet3!$A$1:$B$27,2,FALSE)</f>
        <v>Food &amp;Beverage</v>
      </c>
    </row>
    <row r="8760" spans="1:7" x14ac:dyDescent="0.3">
      <c r="A8760" t="s">
        <v>34</v>
      </c>
      <c r="B8760">
        <v>2022</v>
      </c>
      <c r="C8760" t="s">
        <v>37</v>
      </c>
      <c r="D8760" s="2">
        <v>44652</v>
      </c>
      <c r="E8760" t="s">
        <v>12</v>
      </c>
      <c r="F8760">
        <v>181.3</v>
      </c>
      <c r="G8760" t="str">
        <f>VLOOKUP(Table1_2[[#This Row],[Categories]],Sheet3!$A$1:$B$27,2,FALSE)</f>
        <v>Food &amp;Beverage</v>
      </c>
    </row>
    <row r="8761" spans="1:7" x14ac:dyDescent="0.3">
      <c r="A8761" t="s">
        <v>34</v>
      </c>
      <c r="B8761">
        <v>2022</v>
      </c>
      <c r="C8761" t="s">
        <v>37</v>
      </c>
      <c r="D8761" s="2">
        <v>44652</v>
      </c>
      <c r="E8761" t="s">
        <v>13</v>
      </c>
      <c r="F8761">
        <v>166.2</v>
      </c>
      <c r="G8761" t="str">
        <f>VLOOKUP(Table1_2[[#This Row],[Categories]],Sheet3!$A$1:$B$27,2,FALSE)</f>
        <v>Food &amp;Beverage</v>
      </c>
    </row>
    <row r="8762" spans="1:7" x14ac:dyDescent="0.3">
      <c r="A8762" t="s">
        <v>34</v>
      </c>
      <c r="B8762">
        <v>2022</v>
      </c>
      <c r="C8762" t="s">
        <v>37</v>
      </c>
      <c r="D8762" s="2">
        <v>44652</v>
      </c>
      <c r="E8762" t="s">
        <v>14</v>
      </c>
      <c r="F8762">
        <v>180.9</v>
      </c>
      <c r="G8762" t="str">
        <f>VLOOKUP(Table1_2[[#This Row],[Categories]],Sheet3!$A$1:$B$27,2,FALSE)</f>
        <v>Food &amp;Beverage</v>
      </c>
    </row>
    <row r="8763" spans="1:7" x14ac:dyDescent="0.3">
      <c r="A8763" t="s">
        <v>34</v>
      </c>
      <c r="B8763">
        <v>2022</v>
      </c>
      <c r="C8763" t="s">
        <v>37</v>
      </c>
      <c r="D8763" s="2">
        <v>44652</v>
      </c>
      <c r="E8763" t="s">
        <v>15</v>
      </c>
      <c r="F8763">
        <v>170.8</v>
      </c>
      <c r="G8763" t="str">
        <f>VLOOKUP(Table1_2[[#This Row],[Categories]],Sheet3!$A$1:$B$27,2,FALSE)</f>
        <v>Food &amp;Beverage</v>
      </c>
    </row>
    <row r="8764" spans="1:7" x14ac:dyDescent="0.3">
      <c r="A8764" t="s">
        <v>34</v>
      </c>
      <c r="B8764">
        <v>2022</v>
      </c>
      <c r="C8764" t="s">
        <v>37</v>
      </c>
      <c r="D8764" s="2">
        <v>44652</v>
      </c>
      <c r="E8764" t="s">
        <v>16</v>
      </c>
      <c r="F8764">
        <v>193.9</v>
      </c>
      <c r="G8764" t="str">
        <f>VLOOKUP(Table1_2[[#This Row],[Categories]],Sheet3!$A$1:$B$27,2,FALSE)</f>
        <v>Recreation and amusement</v>
      </c>
    </row>
    <row r="8765" spans="1:7" x14ac:dyDescent="0.3">
      <c r="A8765" t="s">
        <v>34</v>
      </c>
      <c r="B8765">
        <v>2022</v>
      </c>
      <c r="C8765" t="s">
        <v>37</v>
      </c>
      <c r="D8765" s="2">
        <v>44652</v>
      </c>
      <c r="E8765" t="s">
        <v>17</v>
      </c>
      <c r="F8765">
        <v>173.9</v>
      </c>
      <c r="G8765" t="str">
        <f>VLOOKUP(Table1_2[[#This Row],[Categories]],Sheet3!$A$1:$B$27,2,FALSE)</f>
        <v>Clothing and footwear</v>
      </c>
    </row>
    <row r="8766" spans="1:7" x14ac:dyDescent="0.3">
      <c r="A8766" t="s">
        <v>34</v>
      </c>
      <c r="B8766">
        <v>2022</v>
      </c>
      <c r="C8766" t="s">
        <v>37</v>
      </c>
      <c r="D8766" s="2">
        <v>44652</v>
      </c>
      <c r="E8766" t="s">
        <v>18</v>
      </c>
      <c r="F8766">
        <v>166.5</v>
      </c>
      <c r="G8766" t="str">
        <f>VLOOKUP(Table1_2[[#This Row],[Categories]],Sheet3!$A$1:$B$27,2,FALSE)</f>
        <v>Clothing and footwear</v>
      </c>
    </row>
    <row r="8767" spans="1:7" x14ac:dyDescent="0.3">
      <c r="A8767" t="s">
        <v>34</v>
      </c>
      <c r="B8767">
        <v>2022</v>
      </c>
      <c r="C8767" t="s">
        <v>37</v>
      </c>
      <c r="D8767" s="2">
        <v>44652</v>
      </c>
      <c r="E8767" t="s">
        <v>19</v>
      </c>
      <c r="F8767">
        <v>172.8</v>
      </c>
      <c r="G8767" t="str">
        <f>VLOOKUP(Table1_2[[#This Row],[Categories]],Sheet3!$A$1:$B$27,2,FALSE)</f>
        <v>Clothing and footwear</v>
      </c>
    </row>
    <row r="8768" spans="1:7" x14ac:dyDescent="0.3">
      <c r="A8768" t="s">
        <v>34</v>
      </c>
      <c r="B8768">
        <v>2022</v>
      </c>
      <c r="C8768" t="s">
        <v>37</v>
      </c>
      <c r="D8768" s="2">
        <v>44652</v>
      </c>
      <c r="E8768" t="s">
        <v>20</v>
      </c>
      <c r="F8768">
        <v>167</v>
      </c>
      <c r="G8768" t="str">
        <f>VLOOKUP(Table1_2[[#This Row],[Categories]],Sheet3!$A$1:$B$27,2,FALSE)</f>
        <v>Housing</v>
      </c>
    </row>
    <row r="8769" spans="1:7" x14ac:dyDescent="0.3">
      <c r="A8769" t="s">
        <v>34</v>
      </c>
      <c r="B8769">
        <v>2022</v>
      </c>
      <c r="C8769" t="s">
        <v>37</v>
      </c>
      <c r="D8769" s="2">
        <v>44652</v>
      </c>
      <c r="E8769" t="s">
        <v>21</v>
      </c>
      <c r="F8769">
        <v>172.2</v>
      </c>
      <c r="G8769" t="str">
        <f>VLOOKUP(Table1_2[[#This Row],[Categories]],Sheet3!$A$1:$B$27,2,FALSE)</f>
        <v>Fuel and light</v>
      </c>
    </row>
    <row r="8770" spans="1:7" x14ac:dyDescent="0.3">
      <c r="A8770" t="s">
        <v>34</v>
      </c>
      <c r="B8770">
        <v>2022</v>
      </c>
      <c r="C8770" t="s">
        <v>37</v>
      </c>
      <c r="D8770" s="2">
        <v>44652</v>
      </c>
      <c r="E8770" t="s">
        <v>22</v>
      </c>
      <c r="F8770">
        <v>164</v>
      </c>
      <c r="G8770" t="str">
        <f>VLOOKUP(Table1_2[[#This Row],[Categories]],Sheet3!$A$1:$B$27,2,FALSE)</f>
        <v>Household Items</v>
      </c>
    </row>
    <row r="8771" spans="1:7" x14ac:dyDescent="0.3">
      <c r="A8771" t="s">
        <v>34</v>
      </c>
      <c r="B8771">
        <v>2022</v>
      </c>
      <c r="C8771" t="s">
        <v>37</v>
      </c>
      <c r="D8771" s="2">
        <v>44652</v>
      </c>
      <c r="E8771" t="s">
        <v>23</v>
      </c>
      <c r="F8771">
        <v>174</v>
      </c>
      <c r="G8771" t="str">
        <f>VLOOKUP(Table1_2[[#This Row],[Categories]],Sheet3!$A$1:$B$27,2,FALSE)</f>
        <v>Health</v>
      </c>
    </row>
    <row r="8772" spans="1:7" x14ac:dyDescent="0.3">
      <c r="A8772" t="s">
        <v>34</v>
      </c>
      <c r="B8772">
        <v>2022</v>
      </c>
      <c r="C8772" t="s">
        <v>37</v>
      </c>
      <c r="D8772" s="2">
        <v>44652</v>
      </c>
      <c r="E8772" t="s">
        <v>24</v>
      </c>
      <c r="F8772">
        <v>162.6</v>
      </c>
      <c r="G8772" t="str">
        <f>VLOOKUP(Table1_2[[#This Row],[Categories]],Sheet3!$A$1:$B$27,2,FALSE)</f>
        <v>Transport and communication</v>
      </c>
    </row>
    <row r="8773" spans="1:7" x14ac:dyDescent="0.3">
      <c r="A8773" t="s">
        <v>34</v>
      </c>
      <c r="B8773">
        <v>2022</v>
      </c>
      <c r="C8773" t="s">
        <v>37</v>
      </c>
      <c r="D8773" s="2">
        <v>44652</v>
      </c>
      <c r="E8773" t="s">
        <v>25</v>
      </c>
      <c r="F8773">
        <v>164.4</v>
      </c>
      <c r="G8773" t="str">
        <f>VLOOKUP(Table1_2[[#This Row],[Categories]],Sheet3!$A$1:$B$27,2,FALSE)</f>
        <v>Recreation and amusement</v>
      </c>
    </row>
    <row r="8774" spans="1:7" x14ac:dyDescent="0.3">
      <c r="A8774" t="s">
        <v>34</v>
      </c>
      <c r="B8774">
        <v>2022</v>
      </c>
      <c r="C8774" t="s">
        <v>37</v>
      </c>
      <c r="D8774" s="2">
        <v>44652</v>
      </c>
      <c r="E8774" t="s">
        <v>26</v>
      </c>
      <c r="F8774">
        <v>166.9</v>
      </c>
      <c r="G8774" t="str">
        <f>VLOOKUP(Table1_2[[#This Row],[Categories]],Sheet3!$A$1:$B$27,2,FALSE)</f>
        <v>Education</v>
      </c>
    </row>
    <row r="8775" spans="1:7" x14ac:dyDescent="0.3">
      <c r="A8775" t="s">
        <v>34</v>
      </c>
      <c r="B8775">
        <v>2022</v>
      </c>
      <c r="C8775" t="s">
        <v>37</v>
      </c>
      <c r="D8775" s="2">
        <v>44652</v>
      </c>
      <c r="E8775" t="s">
        <v>27</v>
      </c>
      <c r="F8775">
        <v>168.8</v>
      </c>
      <c r="G8775" t="str">
        <f>VLOOKUP(Table1_2[[#This Row],[Categories]],Sheet3!$A$1:$B$27,2,FALSE)</f>
        <v>Household Items</v>
      </c>
    </row>
    <row r="8776" spans="1:7" x14ac:dyDescent="0.3">
      <c r="A8776" t="s">
        <v>34</v>
      </c>
      <c r="B8776">
        <v>2022</v>
      </c>
      <c r="C8776" t="s">
        <v>37</v>
      </c>
      <c r="D8776" s="2">
        <v>44652</v>
      </c>
      <c r="E8776" t="s">
        <v>28</v>
      </c>
      <c r="F8776">
        <v>166.8</v>
      </c>
      <c r="G8776" t="str">
        <f>VLOOKUP(Table1_2[[#This Row],[Categories]],Sheet3!$A$1:$B$27,2,FALSE)</f>
        <v>Miscellaneous</v>
      </c>
    </row>
    <row r="8777" spans="1:7" x14ac:dyDescent="0.3">
      <c r="A8777" t="s">
        <v>34</v>
      </c>
      <c r="B8777">
        <v>2022</v>
      </c>
      <c r="C8777" t="s">
        <v>37</v>
      </c>
      <c r="D8777" s="2">
        <v>44652</v>
      </c>
      <c r="E8777" t="s">
        <v>29</v>
      </c>
      <c r="F8777">
        <v>170.1</v>
      </c>
      <c r="G8777" t="str">
        <f>VLOOKUP(Table1_2[[#This Row],[Categories]],Sheet3!$A$1:$B$27,2,FALSE)</f>
        <v>General index</v>
      </c>
    </row>
    <row r="8778" spans="1:7" x14ac:dyDescent="0.3">
      <c r="A8778" t="s">
        <v>30</v>
      </c>
      <c r="B8778">
        <v>2022</v>
      </c>
      <c r="C8778" t="s">
        <v>38</v>
      </c>
      <c r="D8778" s="2">
        <v>44682</v>
      </c>
      <c r="E8778" t="s">
        <v>3</v>
      </c>
      <c r="F8778">
        <v>152.9</v>
      </c>
      <c r="G8778" t="str">
        <f>VLOOKUP(Table1_2[[#This Row],[Categories]],Sheet3!$A$1:$B$27,2,FALSE)</f>
        <v>Food &amp;Beverage</v>
      </c>
    </row>
    <row r="8779" spans="1:7" x14ac:dyDescent="0.3">
      <c r="A8779" t="s">
        <v>30</v>
      </c>
      <c r="B8779">
        <v>2022</v>
      </c>
      <c r="C8779" t="s">
        <v>38</v>
      </c>
      <c r="D8779" s="2">
        <v>44682</v>
      </c>
      <c r="E8779" t="s">
        <v>4</v>
      </c>
      <c r="F8779">
        <v>214.7</v>
      </c>
      <c r="G8779" t="str">
        <f>VLOOKUP(Table1_2[[#This Row],[Categories]],Sheet3!$A$1:$B$27,2,FALSE)</f>
        <v>Food &amp;Beverage</v>
      </c>
    </row>
    <row r="8780" spans="1:7" x14ac:dyDescent="0.3">
      <c r="A8780" t="s">
        <v>30</v>
      </c>
      <c r="B8780">
        <v>2022</v>
      </c>
      <c r="C8780" t="s">
        <v>38</v>
      </c>
      <c r="D8780" s="2">
        <v>44682</v>
      </c>
      <c r="E8780" t="s">
        <v>5</v>
      </c>
      <c r="F8780">
        <v>161.4</v>
      </c>
      <c r="G8780" t="str">
        <f>VLOOKUP(Table1_2[[#This Row],[Categories]],Sheet3!$A$1:$B$27,2,FALSE)</f>
        <v>Food &amp;Beverage</v>
      </c>
    </row>
    <row r="8781" spans="1:7" x14ac:dyDescent="0.3">
      <c r="A8781" t="s">
        <v>30</v>
      </c>
      <c r="B8781">
        <v>2022</v>
      </c>
      <c r="C8781" t="s">
        <v>38</v>
      </c>
      <c r="D8781" s="2">
        <v>44682</v>
      </c>
      <c r="E8781" t="s">
        <v>6</v>
      </c>
      <c r="F8781">
        <v>164.6</v>
      </c>
      <c r="G8781" t="str">
        <f>VLOOKUP(Table1_2[[#This Row],[Categories]],Sheet3!$A$1:$B$27,2,FALSE)</f>
        <v>Food &amp;Beverage</v>
      </c>
    </row>
    <row r="8782" spans="1:7" x14ac:dyDescent="0.3">
      <c r="A8782" t="s">
        <v>30</v>
      </c>
      <c r="B8782">
        <v>2022</v>
      </c>
      <c r="C8782" t="s">
        <v>38</v>
      </c>
      <c r="D8782" s="2">
        <v>44682</v>
      </c>
      <c r="E8782" t="s">
        <v>7</v>
      </c>
      <c r="F8782">
        <v>209.9</v>
      </c>
      <c r="G8782" t="str">
        <f>VLOOKUP(Table1_2[[#This Row],[Categories]],Sheet3!$A$1:$B$27,2,FALSE)</f>
        <v>Food &amp;Beverage</v>
      </c>
    </row>
    <row r="8783" spans="1:7" x14ac:dyDescent="0.3">
      <c r="A8783" t="s">
        <v>30</v>
      </c>
      <c r="B8783">
        <v>2022</v>
      </c>
      <c r="C8783" t="s">
        <v>38</v>
      </c>
      <c r="D8783" s="2">
        <v>44682</v>
      </c>
      <c r="E8783" t="s">
        <v>8</v>
      </c>
      <c r="F8783">
        <v>168</v>
      </c>
      <c r="G8783" t="str">
        <f>VLOOKUP(Table1_2[[#This Row],[Categories]],Sheet3!$A$1:$B$27,2,FALSE)</f>
        <v>Food &amp;Beverage</v>
      </c>
    </row>
    <row r="8784" spans="1:7" x14ac:dyDescent="0.3">
      <c r="A8784" t="s">
        <v>30</v>
      </c>
      <c r="B8784">
        <v>2022</v>
      </c>
      <c r="C8784" t="s">
        <v>38</v>
      </c>
      <c r="D8784" s="2">
        <v>44682</v>
      </c>
      <c r="E8784" t="s">
        <v>9</v>
      </c>
      <c r="F8784">
        <v>160.4</v>
      </c>
      <c r="G8784" t="str">
        <f>VLOOKUP(Table1_2[[#This Row],[Categories]],Sheet3!$A$1:$B$27,2,FALSE)</f>
        <v>Food &amp;Beverage</v>
      </c>
    </row>
    <row r="8785" spans="1:7" x14ac:dyDescent="0.3">
      <c r="A8785" t="s">
        <v>30</v>
      </c>
      <c r="B8785">
        <v>2022</v>
      </c>
      <c r="C8785" t="s">
        <v>38</v>
      </c>
      <c r="D8785" s="2">
        <v>44682</v>
      </c>
      <c r="E8785" t="s">
        <v>10</v>
      </c>
      <c r="F8785">
        <v>165</v>
      </c>
      <c r="G8785" t="str">
        <f>VLOOKUP(Table1_2[[#This Row],[Categories]],Sheet3!$A$1:$B$27,2,FALSE)</f>
        <v>Food &amp;Beverage</v>
      </c>
    </row>
    <row r="8786" spans="1:7" x14ac:dyDescent="0.3">
      <c r="A8786" t="s">
        <v>30</v>
      </c>
      <c r="B8786">
        <v>2022</v>
      </c>
      <c r="C8786" t="s">
        <v>38</v>
      </c>
      <c r="D8786" s="2">
        <v>44682</v>
      </c>
      <c r="E8786" t="s">
        <v>11</v>
      </c>
      <c r="F8786">
        <v>118.9</v>
      </c>
      <c r="G8786" t="str">
        <f>VLOOKUP(Table1_2[[#This Row],[Categories]],Sheet3!$A$1:$B$27,2,FALSE)</f>
        <v>Food &amp;Beverage</v>
      </c>
    </row>
    <row r="8787" spans="1:7" x14ac:dyDescent="0.3">
      <c r="A8787" t="s">
        <v>30</v>
      </c>
      <c r="B8787">
        <v>2022</v>
      </c>
      <c r="C8787" t="s">
        <v>38</v>
      </c>
      <c r="D8787" s="2">
        <v>44682</v>
      </c>
      <c r="E8787" t="s">
        <v>12</v>
      </c>
      <c r="F8787">
        <v>186.6</v>
      </c>
      <c r="G8787" t="str">
        <f>VLOOKUP(Table1_2[[#This Row],[Categories]],Sheet3!$A$1:$B$27,2,FALSE)</f>
        <v>Food &amp;Beverage</v>
      </c>
    </row>
    <row r="8788" spans="1:7" x14ac:dyDescent="0.3">
      <c r="A8788" t="s">
        <v>30</v>
      </c>
      <c r="B8788">
        <v>2022</v>
      </c>
      <c r="C8788" t="s">
        <v>38</v>
      </c>
      <c r="D8788" s="2">
        <v>44682</v>
      </c>
      <c r="E8788" t="s">
        <v>13</v>
      </c>
      <c r="F8788">
        <v>173.2</v>
      </c>
      <c r="G8788" t="str">
        <f>VLOOKUP(Table1_2[[#This Row],[Categories]],Sheet3!$A$1:$B$27,2,FALSE)</f>
        <v>Food &amp;Beverage</v>
      </c>
    </row>
    <row r="8789" spans="1:7" x14ac:dyDescent="0.3">
      <c r="A8789" t="s">
        <v>30</v>
      </c>
      <c r="B8789">
        <v>2022</v>
      </c>
      <c r="C8789" t="s">
        <v>38</v>
      </c>
      <c r="D8789" s="2">
        <v>44682</v>
      </c>
      <c r="E8789" t="s">
        <v>14</v>
      </c>
      <c r="F8789">
        <v>180.4</v>
      </c>
      <c r="G8789" t="str">
        <f>VLOOKUP(Table1_2[[#This Row],[Categories]],Sheet3!$A$1:$B$27,2,FALSE)</f>
        <v>Food &amp;Beverage</v>
      </c>
    </row>
    <row r="8790" spans="1:7" x14ac:dyDescent="0.3">
      <c r="A8790" t="s">
        <v>30</v>
      </c>
      <c r="B8790">
        <v>2022</v>
      </c>
      <c r="C8790" t="s">
        <v>38</v>
      </c>
      <c r="D8790" s="2">
        <v>44682</v>
      </c>
      <c r="E8790" t="s">
        <v>15</v>
      </c>
      <c r="F8790">
        <v>170.8</v>
      </c>
      <c r="G8790" t="str">
        <f>VLOOKUP(Table1_2[[#This Row],[Categories]],Sheet3!$A$1:$B$27,2,FALSE)</f>
        <v>Food &amp;Beverage</v>
      </c>
    </row>
    <row r="8791" spans="1:7" x14ac:dyDescent="0.3">
      <c r="A8791" t="s">
        <v>30</v>
      </c>
      <c r="B8791">
        <v>2022</v>
      </c>
      <c r="C8791" t="s">
        <v>38</v>
      </c>
      <c r="D8791" s="2">
        <v>44682</v>
      </c>
      <c r="E8791" t="s">
        <v>16</v>
      </c>
      <c r="F8791">
        <v>192.9</v>
      </c>
      <c r="G8791" t="str">
        <f>VLOOKUP(Table1_2[[#This Row],[Categories]],Sheet3!$A$1:$B$27,2,FALSE)</f>
        <v>Recreation and amusement</v>
      </c>
    </row>
    <row r="8792" spans="1:7" x14ac:dyDescent="0.3">
      <c r="A8792" t="s">
        <v>30</v>
      </c>
      <c r="B8792">
        <v>2022</v>
      </c>
      <c r="C8792" t="s">
        <v>38</v>
      </c>
      <c r="D8792" s="2">
        <v>44682</v>
      </c>
      <c r="E8792" t="s">
        <v>17</v>
      </c>
      <c r="F8792">
        <v>179.3</v>
      </c>
      <c r="G8792" t="str">
        <f>VLOOKUP(Table1_2[[#This Row],[Categories]],Sheet3!$A$1:$B$27,2,FALSE)</f>
        <v>Clothing and footwear</v>
      </c>
    </row>
    <row r="8793" spans="1:7" x14ac:dyDescent="0.3">
      <c r="A8793" t="s">
        <v>30</v>
      </c>
      <c r="B8793">
        <v>2022</v>
      </c>
      <c r="C8793" t="s">
        <v>38</v>
      </c>
      <c r="D8793" s="2">
        <v>44682</v>
      </c>
      <c r="E8793" t="s">
        <v>18</v>
      </c>
      <c r="F8793">
        <v>177.2</v>
      </c>
      <c r="G8793" t="str">
        <f>VLOOKUP(Table1_2[[#This Row],[Categories]],Sheet3!$A$1:$B$27,2,FALSE)</f>
        <v>Clothing and footwear</v>
      </c>
    </row>
    <row r="8794" spans="1:7" x14ac:dyDescent="0.3">
      <c r="A8794" t="s">
        <v>30</v>
      </c>
      <c r="B8794">
        <v>2022</v>
      </c>
      <c r="C8794" t="s">
        <v>38</v>
      </c>
      <c r="D8794" s="2">
        <v>44682</v>
      </c>
      <c r="E8794" t="s">
        <v>19</v>
      </c>
      <c r="F8794">
        <v>179</v>
      </c>
      <c r="G8794" t="str">
        <f>VLOOKUP(Table1_2[[#This Row],[Categories]],Sheet3!$A$1:$B$27,2,FALSE)</f>
        <v>Clothing and footwear</v>
      </c>
    </row>
    <row r="8795" spans="1:7" x14ac:dyDescent="0.3">
      <c r="A8795" t="s">
        <v>30</v>
      </c>
      <c r="B8795">
        <v>2022</v>
      </c>
      <c r="C8795" t="s">
        <v>38</v>
      </c>
      <c r="D8795" s="2">
        <v>44682</v>
      </c>
      <c r="E8795" t="s">
        <v>21</v>
      </c>
      <c r="F8795">
        <v>175.3</v>
      </c>
      <c r="G8795" t="str">
        <f>VLOOKUP(Table1_2[[#This Row],[Categories]],Sheet3!$A$1:$B$27,2,FALSE)</f>
        <v>Fuel and light</v>
      </c>
    </row>
    <row r="8796" spans="1:7" x14ac:dyDescent="0.3">
      <c r="A8796" t="s">
        <v>30</v>
      </c>
      <c r="B8796">
        <v>2022</v>
      </c>
      <c r="C8796" t="s">
        <v>38</v>
      </c>
      <c r="D8796" s="2">
        <v>44682</v>
      </c>
      <c r="E8796" t="s">
        <v>22</v>
      </c>
      <c r="F8796">
        <v>168.9</v>
      </c>
      <c r="G8796" t="str">
        <f>VLOOKUP(Table1_2[[#This Row],[Categories]],Sheet3!$A$1:$B$27,2,FALSE)</f>
        <v>Household Items</v>
      </c>
    </row>
    <row r="8797" spans="1:7" x14ac:dyDescent="0.3">
      <c r="A8797" t="s">
        <v>30</v>
      </c>
      <c r="B8797">
        <v>2022</v>
      </c>
      <c r="C8797" t="s">
        <v>38</v>
      </c>
      <c r="D8797" s="2">
        <v>44682</v>
      </c>
      <c r="E8797" t="s">
        <v>23</v>
      </c>
      <c r="F8797">
        <v>177.7</v>
      </c>
      <c r="G8797" t="str">
        <f>VLOOKUP(Table1_2[[#This Row],[Categories]],Sheet3!$A$1:$B$27,2,FALSE)</f>
        <v>Health</v>
      </c>
    </row>
    <row r="8798" spans="1:7" x14ac:dyDescent="0.3">
      <c r="A8798" t="s">
        <v>30</v>
      </c>
      <c r="B8798">
        <v>2022</v>
      </c>
      <c r="C8798" t="s">
        <v>38</v>
      </c>
      <c r="D8798" s="2">
        <v>44682</v>
      </c>
      <c r="E8798" t="s">
        <v>24</v>
      </c>
      <c r="F8798">
        <v>167.1</v>
      </c>
      <c r="G8798" t="str">
        <f>VLOOKUP(Table1_2[[#This Row],[Categories]],Sheet3!$A$1:$B$27,2,FALSE)</f>
        <v>Transport and communication</v>
      </c>
    </row>
    <row r="8799" spans="1:7" x14ac:dyDescent="0.3">
      <c r="A8799" t="s">
        <v>30</v>
      </c>
      <c r="B8799">
        <v>2022</v>
      </c>
      <c r="C8799" t="s">
        <v>38</v>
      </c>
      <c r="D8799" s="2">
        <v>44682</v>
      </c>
      <c r="E8799" t="s">
        <v>25</v>
      </c>
      <c r="F8799">
        <v>167.6</v>
      </c>
      <c r="G8799" t="str">
        <f>VLOOKUP(Table1_2[[#This Row],[Categories]],Sheet3!$A$1:$B$27,2,FALSE)</f>
        <v>Recreation and amusement</v>
      </c>
    </row>
    <row r="8800" spans="1:7" x14ac:dyDescent="0.3">
      <c r="A8800" t="s">
        <v>30</v>
      </c>
      <c r="B8800">
        <v>2022</v>
      </c>
      <c r="C8800" t="s">
        <v>38</v>
      </c>
      <c r="D8800" s="2">
        <v>44682</v>
      </c>
      <c r="E8800" t="s">
        <v>26</v>
      </c>
      <c r="F8800">
        <v>171.8</v>
      </c>
      <c r="G8800" t="str">
        <f>VLOOKUP(Table1_2[[#This Row],[Categories]],Sheet3!$A$1:$B$27,2,FALSE)</f>
        <v>Education</v>
      </c>
    </row>
    <row r="8801" spans="1:7" x14ac:dyDescent="0.3">
      <c r="A8801" t="s">
        <v>30</v>
      </c>
      <c r="B8801">
        <v>2022</v>
      </c>
      <c r="C8801" t="s">
        <v>38</v>
      </c>
      <c r="D8801" s="2">
        <v>44682</v>
      </c>
      <c r="E8801" t="s">
        <v>27</v>
      </c>
      <c r="F8801">
        <v>168.5</v>
      </c>
      <c r="G8801" t="str">
        <f>VLOOKUP(Table1_2[[#This Row],[Categories]],Sheet3!$A$1:$B$27,2,FALSE)</f>
        <v>Household Items</v>
      </c>
    </row>
    <row r="8802" spans="1:7" x14ac:dyDescent="0.3">
      <c r="A8802" t="s">
        <v>30</v>
      </c>
      <c r="B8802">
        <v>2022</v>
      </c>
      <c r="C8802" t="s">
        <v>38</v>
      </c>
      <c r="D8802" s="2">
        <v>44682</v>
      </c>
      <c r="E8802" t="s">
        <v>28</v>
      </c>
      <c r="F8802">
        <v>170.9</v>
      </c>
      <c r="G8802" t="str">
        <f>VLOOKUP(Table1_2[[#This Row],[Categories]],Sheet3!$A$1:$B$27,2,FALSE)</f>
        <v>Miscellaneous</v>
      </c>
    </row>
    <row r="8803" spans="1:7" x14ac:dyDescent="0.3">
      <c r="A8803" t="s">
        <v>30</v>
      </c>
      <c r="B8803">
        <v>2022</v>
      </c>
      <c r="C8803" t="s">
        <v>38</v>
      </c>
      <c r="D8803" s="2">
        <v>44682</v>
      </c>
      <c r="E8803" t="s">
        <v>29</v>
      </c>
      <c r="F8803">
        <v>172.5</v>
      </c>
      <c r="G8803" t="str">
        <f>VLOOKUP(Table1_2[[#This Row],[Categories]],Sheet3!$A$1:$B$27,2,FALSE)</f>
        <v>General index</v>
      </c>
    </row>
    <row r="8804" spans="1:7" x14ac:dyDescent="0.3">
      <c r="A8804" t="s">
        <v>33</v>
      </c>
      <c r="B8804">
        <v>2022</v>
      </c>
      <c r="C8804" t="s">
        <v>38</v>
      </c>
      <c r="D8804" s="2">
        <v>44682</v>
      </c>
      <c r="E8804" t="s">
        <v>3</v>
      </c>
      <c r="F8804">
        <v>156.69999999999999</v>
      </c>
      <c r="G8804" t="str">
        <f>VLOOKUP(Table1_2[[#This Row],[Categories]],Sheet3!$A$1:$B$27,2,FALSE)</f>
        <v>Food &amp;Beverage</v>
      </c>
    </row>
    <row r="8805" spans="1:7" x14ac:dyDescent="0.3">
      <c r="A8805" t="s">
        <v>33</v>
      </c>
      <c r="B8805">
        <v>2022</v>
      </c>
      <c r="C8805" t="s">
        <v>38</v>
      </c>
      <c r="D8805" s="2">
        <v>44682</v>
      </c>
      <c r="E8805" t="s">
        <v>4</v>
      </c>
      <c r="F8805">
        <v>221.2</v>
      </c>
      <c r="G8805" t="str">
        <f>VLOOKUP(Table1_2[[#This Row],[Categories]],Sheet3!$A$1:$B$27,2,FALSE)</f>
        <v>Food &amp;Beverage</v>
      </c>
    </row>
    <row r="8806" spans="1:7" x14ac:dyDescent="0.3">
      <c r="A8806" t="s">
        <v>33</v>
      </c>
      <c r="B8806">
        <v>2022</v>
      </c>
      <c r="C8806" t="s">
        <v>38</v>
      </c>
      <c r="D8806" s="2">
        <v>44682</v>
      </c>
      <c r="E8806" t="s">
        <v>5</v>
      </c>
      <c r="F8806">
        <v>164.1</v>
      </c>
      <c r="G8806" t="str">
        <f>VLOOKUP(Table1_2[[#This Row],[Categories]],Sheet3!$A$1:$B$27,2,FALSE)</f>
        <v>Food &amp;Beverage</v>
      </c>
    </row>
    <row r="8807" spans="1:7" x14ac:dyDescent="0.3">
      <c r="A8807" t="s">
        <v>33</v>
      </c>
      <c r="B8807">
        <v>2022</v>
      </c>
      <c r="C8807" t="s">
        <v>38</v>
      </c>
      <c r="D8807" s="2">
        <v>44682</v>
      </c>
      <c r="E8807" t="s">
        <v>6</v>
      </c>
      <c r="F8807">
        <v>165.4</v>
      </c>
      <c r="G8807" t="str">
        <f>VLOOKUP(Table1_2[[#This Row],[Categories]],Sheet3!$A$1:$B$27,2,FALSE)</f>
        <v>Food &amp;Beverage</v>
      </c>
    </row>
    <row r="8808" spans="1:7" x14ac:dyDescent="0.3">
      <c r="A8808" t="s">
        <v>33</v>
      </c>
      <c r="B8808">
        <v>2022</v>
      </c>
      <c r="C8808" t="s">
        <v>38</v>
      </c>
      <c r="D8808" s="2">
        <v>44682</v>
      </c>
      <c r="E8808" t="s">
        <v>7</v>
      </c>
      <c r="F8808">
        <v>189.5</v>
      </c>
      <c r="G8808" t="str">
        <f>VLOOKUP(Table1_2[[#This Row],[Categories]],Sheet3!$A$1:$B$27,2,FALSE)</f>
        <v>Food &amp;Beverage</v>
      </c>
    </row>
    <row r="8809" spans="1:7" x14ac:dyDescent="0.3">
      <c r="A8809" t="s">
        <v>33</v>
      </c>
      <c r="B8809">
        <v>2022</v>
      </c>
      <c r="C8809" t="s">
        <v>38</v>
      </c>
      <c r="D8809" s="2">
        <v>44682</v>
      </c>
      <c r="E8809" t="s">
        <v>8</v>
      </c>
      <c r="F8809">
        <v>174.5</v>
      </c>
      <c r="G8809" t="str">
        <f>VLOOKUP(Table1_2[[#This Row],[Categories]],Sheet3!$A$1:$B$27,2,FALSE)</f>
        <v>Food &amp;Beverage</v>
      </c>
    </row>
    <row r="8810" spans="1:7" x14ac:dyDescent="0.3">
      <c r="A8810" t="s">
        <v>33</v>
      </c>
      <c r="B8810">
        <v>2022</v>
      </c>
      <c r="C8810" t="s">
        <v>38</v>
      </c>
      <c r="D8810" s="2">
        <v>44682</v>
      </c>
      <c r="E8810" t="s">
        <v>9</v>
      </c>
      <c r="F8810">
        <v>203.2</v>
      </c>
      <c r="G8810" t="str">
        <f>VLOOKUP(Table1_2[[#This Row],[Categories]],Sheet3!$A$1:$B$27,2,FALSE)</f>
        <v>Food &amp;Beverage</v>
      </c>
    </row>
    <row r="8811" spans="1:7" x14ac:dyDescent="0.3">
      <c r="A8811" t="s">
        <v>33</v>
      </c>
      <c r="B8811">
        <v>2022</v>
      </c>
      <c r="C8811" t="s">
        <v>38</v>
      </c>
      <c r="D8811" s="2">
        <v>44682</v>
      </c>
      <c r="E8811" t="s">
        <v>10</v>
      </c>
      <c r="F8811">
        <v>164.1</v>
      </c>
      <c r="G8811" t="str">
        <f>VLOOKUP(Table1_2[[#This Row],[Categories]],Sheet3!$A$1:$B$27,2,FALSE)</f>
        <v>Food &amp;Beverage</v>
      </c>
    </row>
    <row r="8812" spans="1:7" x14ac:dyDescent="0.3">
      <c r="A8812" t="s">
        <v>33</v>
      </c>
      <c r="B8812">
        <v>2022</v>
      </c>
      <c r="C8812" t="s">
        <v>38</v>
      </c>
      <c r="D8812" s="2">
        <v>44682</v>
      </c>
      <c r="E8812" t="s">
        <v>11</v>
      </c>
      <c r="F8812">
        <v>121.2</v>
      </c>
      <c r="G8812" t="str">
        <f>VLOOKUP(Table1_2[[#This Row],[Categories]],Sheet3!$A$1:$B$27,2,FALSE)</f>
        <v>Food &amp;Beverage</v>
      </c>
    </row>
    <row r="8813" spans="1:7" x14ac:dyDescent="0.3">
      <c r="A8813" t="s">
        <v>33</v>
      </c>
      <c r="B8813">
        <v>2022</v>
      </c>
      <c r="C8813" t="s">
        <v>38</v>
      </c>
      <c r="D8813" s="2">
        <v>44682</v>
      </c>
      <c r="E8813" t="s">
        <v>12</v>
      </c>
      <c r="F8813">
        <v>181.4</v>
      </c>
      <c r="G8813" t="str">
        <f>VLOOKUP(Table1_2[[#This Row],[Categories]],Sheet3!$A$1:$B$27,2,FALSE)</f>
        <v>Food &amp;Beverage</v>
      </c>
    </row>
    <row r="8814" spans="1:7" x14ac:dyDescent="0.3">
      <c r="A8814" t="s">
        <v>33</v>
      </c>
      <c r="B8814">
        <v>2022</v>
      </c>
      <c r="C8814" t="s">
        <v>38</v>
      </c>
      <c r="D8814" s="2">
        <v>44682</v>
      </c>
      <c r="E8814" t="s">
        <v>13</v>
      </c>
      <c r="F8814">
        <v>158.5</v>
      </c>
      <c r="G8814" t="str">
        <f>VLOOKUP(Table1_2[[#This Row],[Categories]],Sheet3!$A$1:$B$27,2,FALSE)</f>
        <v>Food &amp;Beverage</v>
      </c>
    </row>
    <row r="8815" spans="1:7" x14ac:dyDescent="0.3">
      <c r="A8815" t="s">
        <v>33</v>
      </c>
      <c r="B8815">
        <v>2022</v>
      </c>
      <c r="C8815" t="s">
        <v>38</v>
      </c>
      <c r="D8815" s="2">
        <v>44682</v>
      </c>
      <c r="E8815" t="s">
        <v>14</v>
      </c>
      <c r="F8815">
        <v>184.9</v>
      </c>
      <c r="G8815" t="str">
        <f>VLOOKUP(Table1_2[[#This Row],[Categories]],Sheet3!$A$1:$B$27,2,FALSE)</f>
        <v>Food &amp;Beverage</v>
      </c>
    </row>
    <row r="8816" spans="1:7" x14ac:dyDescent="0.3">
      <c r="A8816" t="s">
        <v>33</v>
      </c>
      <c r="B8816">
        <v>2022</v>
      </c>
      <c r="C8816" t="s">
        <v>38</v>
      </c>
      <c r="D8816" s="2">
        <v>44682</v>
      </c>
      <c r="E8816" t="s">
        <v>15</v>
      </c>
      <c r="F8816">
        <v>177.5</v>
      </c>
      <c r="G8816" t="str">
        <f>VLOOKUP(Table1_2[[#This Row],[Categories]],Sheet3!$A$1:$B$27,2,FALSE)</f>
        <v>Food &amp;Beverage</v>
      </c>
    </row>
    <row r="8817" spans="1:7" x14ac:dyDescent="0.3">
      <c r="A8817" t="s">
        <v>33</v>
      </c>
      <c r="B8817">
        <v>2022</v>
      </c>
      <c r="C8817" t="s">
        <v>38</v>
      </c>
      <c r="D8817" s="2">
        <v>44682</v>
      </c>
      <c r="E8817" t="s">
        <v>16</v>
      </c>
      <c r="F8817">
        <v>197.5</v>
      </c>
      <c r="G8817" t="str">
        <f>VLOOKUP(Table1_2[[#This Row],[Categories]],Sheet3!$A$1:$B$27,2,FALSE)</f>
        <v>Recreation and amusement</v>
      </c>
    </row>
    <row r="8818" spans="1:7" x14ac:dyDescent="0.3">
      <c r="A8818" t="s">
        <v>33</v>
      </c>
      <c r="B8818">
        <v>2022</v>
      </c>
      <c r="C8818" t="s">
        <v>38</v>
      </c>
      <c r="D8818" s="2">
        <v>44682</v>
      </c>
      <c r="E8818" t="s">
        <v>17</v>
      </c>
      <c r="F8818">
        <v>170</v>
      </c>
      <c r="G8818" t="str">
        <f>VLOOKUP(Table1_2[[#This Row],[Categories]],Sheet3!$A$1:$B$27,2,FALSE)</f>
        <v>Clothing and footwear</v>
      </c>
    </row>
    <row r="8819" spans="1:7" x14ac:dyDescent="0.3">
      <c r="A8819" t="s">
        <v>33</v>
      </c>
      <c r="B8819">
        <v>2022</v>
      </c>
      <c r="C8819" t="s">
        <v>38</v>
      </c>
      <c r="D8819" s="2">
        <v>44682</v>
      </c>
      <c r="E8819" t="s">
        <v>18</v>
      </c>
      <c r="F8819">
        <v>155.9</v>
      </c>
      <c r="G8819" t="str">
        <f>VLOOKUP(Table1_2[[#This Row],[Categories]],Sheet3!$A$1:$B$27,2,FALSE)</f>
        <v>Clothing and footwear</v>
      </c>
    </row>
    <row r="8820" spans="1:7" x14ac:dyDescent="0.3">
      <c r="A8820" t="s">
        <v>33</v>
      </c>
      <c r="B8820">
        <v>2022</v>
      </c>
      <c r="C8820" t="s">
        <v>38</v>
      </c>
      <c r="D8820" s="2">
        <v>44682</v>
      </c>
      <c r="E8820" t="s">
        <v>19</v>
      </c>
      <c r="F8820">
        <v>167.8</v>
      </c>
      <c r="G8820" t="str">
        <f>VLOOKUP(Table1_2[[#This Row],[Categories]],Sheet3!$A$1:$B$27,2,FALSE)</f>
        <v>Clothing and footwear</v>
      </c>
    </row>
    <row r="8821" spans="1:7" x14ac:dyDescent="0.3">
      <c r="A8821" t="s">
        <v>33</v>
      </c>
      <c r="B8821">
        <v>2022</v>
      </c>
      <c r="C8821" t="s">
        <v>38</v>
      </c>
      <c r="D8821" s="2">
        <v>44682</v>
      </c>
      <c r="E8821" t="s">
        <v>20</v>
      </c>
      <c r="F8821">
        <v>167.5</v>
      </c>
      <c r="G8821" t="str">
        <f>VLOOKUP(Table1_2[[#This Row],[Categories]],Sheet3!$A$1:$B$27,2,FALSE)</f>
        <v>Housing</v>
      </c>
    </row>
    <row r="8822" spans="1:7" x14ac:dyDescent="0.3">
      <c r="A8822" t="s">
        <v>33</v>
      </c>
      <c r="B8822">
        <v>2022</v>
      </c>
      <c r="C8822" t="s">
        <v>38</v>
      </c>
      <c r="D8822" s="2">
        <v>44682</v>
      </c>
      <c r="E8822" t="s">
        <v>21</v>
      </c>
      <c r="F8822">
        <v>173.5</v>
      </c>
      <c r="G8822" t="str">
        <f>VLOOKUP(Table1_2[[#This Row],[Categories]],Sheet3!$A$1:$B$27,2,FALSE)</f>
        <v>Fuel and light</v>
      </c>
    </row>
    <row r="8823" spans="1:7" x14ac:dyDescent="0.3">
      <c r="A8823" t="s">
        <v>33</v>
      </c>
      <c r="B8823">
        <v>2022</v>
      </c>
      <c r="C8823" t="s">
        <v>38</v>
      </c>
      <c r="D8823" s="2">
        <v>44682</v>
      </c>
      <c r="E8823" t="s">
        <v>22</v>
      </c>
      <c r="F8823">
        <v>161.1</v>
      </c>
      <c r="G8823" t="str">
        <f>VLOOKUP(Table1_2[[#This Row],[Categories]],Sheet3!$A$1:$B$27,2,FALSE)</f>
        <v>Household Items</v>
      </c>
    </row>
    <row r="8824" spans="1:7" x14ac:dyDescent="0.3">
      <c r="A8824" t="s">
        <v>33</v>
      </c>
      <c r="B8824">
        <v>2022</v>
      </c>
      <c r="C8824" t="s">
        <v>38</v>
      </c>
      <c r="D8824" s="2">
        <v>44682</v>
      </c>
      <c r="E8824" t="s">
        <v>23</v>
      </c>
      <c r="F8824">
        <v>170.1</v>
      </c>
      <c r="G8824" t="str">
        <f>VLOOKUP(Table1_2[[#This Row],[Categories]],Sheet3!$A$1:$B$27,2,FALSE)</f>
        <v>Health</v>
      </c>
    </row>
    <row r="8825" spans="1:7" x14ac:dyDescent="0.3">
      <c r="A8825" t="s">
        <v>33</v>
      </c>
      <c r="B8825">
        <v>2022</v>
      </c>
      <c r="C8825" t="s">
        <v>38</v>
      </c>
      <c r="D8825" s="2">
        <v>44682</v>
      </c>
      <c r="E8825" t="s">
        <v>24</v>
      </c>
      <c r="F8825">
        <v>159.4</v>
      </c>
      <c r="G8825" t="str">
        <f>VLOOKUP(Table1_2[[#This Row],[Categories]],Sheet3!$A$1:$B$27,2,FALSE)</f>
        <v>Transport and communication</v>
      </c>
    </row>
    <row r="8826" spans="1:7" x14ac:dyDescent="0.3">
      <c r="A8826" t="s">
        <v>33</v>
      </c>
      <c r="B8826">
        <v>2022</v>
      </c>
      <c r="C8826" t="s">
        <v>38</v>
      </c>
      <c r="D8826" s="2">
        <v>44682</v>
      </c>
      <c r="E8826" t="s">
        <v>25</v>
      </c>
      <c r="F8826">
        <v>163.19999999999999</v>
      </c>
      <c r="G8826" t="str">
        <f>VLOOKUP(Table1_2[[#This Row],[Categories]],Sheet3!$A$1:$B$27,2,FALSE)</f>
        <v>Recreation and amusement</v>
      </c>
    </row>
    <row r="8827" spans="1:7" x14ac:dyDescent="0.3">
      <c r="A8827" t="s">
        <v>33</v>
      </c>
      <c r="B8827">
        <v>2022</v>
      </c>
      <c r="C8827" t="s">
        <v>38</v>
      </c>
      <c r="D8827" s="2">
        <v>44682</v>
      </c>
      <c r="E8827" t="s">
        <v>26</v>
      </c>
      <c r="F8827">
        <v>165.2</v>
      </c>
      <c r="G8827" t="str">
        <f>VLOOKUP(Table1_2[[#This Row],[Categories]],Sheet3!$A$1:$B$27,2,FALSE)</f>
        <v>Education</v>
      </c>
    </row>
    <row r="8828" spans="1:7" x14ac:dyDescent="0.3">
      <c r="A8828" t="s">
        <v>33</v>
      </c>
      <c r="B8828">
        <v>2022</v>
      </c>
      <c r="C8828" t="s">
        <v>38</v>
      </c>
      <c r="D8828" s="2">
        <v>44682</v>
      </c>
      <c r="E8828" t="s">
        <v>27</v>
      </c>
      <c r="F8828">
        <v>168.2</v>
      </c>
      <c r="G8828" t="str">
        <f>VLOOKUP(Table1_2[[#This Row],[Categories]],Sheet3!$A$1:$B$27,2,FALSE)</f>
        <v>Household Items</v>
      </c>
    </row>
    <row r="8829" spans="1:7" x14ac:dyDescent="0.3">
      <c r="A8829" t="s">
        <v>33</v>
      </c>
      <c r="B8829">
        <v>2022</v>
      </c>
      <c r="C8829" t="s">
        <v>38</v>
      </c>
      <c r="D8829" s="2">
        <v>44682</v>
      </c>
      <c r="E8829" t="s">
        <v>28</v>
      </c>
      <c r="F8829">
        <v>163.80000000000001</v>
      </c>
      <c r="G8829" t="str">
        <f>VLOOKUP(Table1_2[[#This Row],[Categories]],Sheet3!$A$1:$B$27,2,FALSE)</f>
        <v>Miscellaneous</v>
      </c>
    </row>
    <row r="8830" spans="1:7" x14ac:dyDescent="0.3">
      <c r="A8830" t="s">
        <v>33</v>
      </c>
      <c r="B8830">
        <v>2022</v>
      </c>
      <c r="C8830" t="s">
        <v>38</v>
      </c>
      <c r="D8830" s="2">
        <v>44682</v>
      </c>
      <c r="E8830" t="s">
        <v>29</v>
      </c>
      <c r="F8830">
        <v>170.8</v>
      </c>
      <c r="G8830" t="str">
        <f>VLOOKUP(Table1_2[[#This Row],[Categories]],Sheet3!$A$1:$B$27,2,FALSE)</f>
        <v>General index</v>
      </c>
    </row>
    <row r="8831" spans="1:7" x14ac:dyDescent="0.3">
      <c r="A8831" t="s">
        <v>34</v>
      </c>
      <c r="B8831">
        <v>2022</v>
      </c>
      <c r="C8831" t="s">
        <v>38</v>
      </c>
      <c r="D8831" s="2">
        <v>44682</v>
      </c>
      <c r="E8831" t="s">
        <v>3</v>
      </c>
      <c r="F8831">
        <v>154.1</v>
      </c>
      <c r="G8831" t="str">
        <f>VLOOKUP(Table1_2[[#This Row],[Categories]],Sheet3!$A$1:$B$27,2,FALSE)</f>
        <v>Food &amp;Beverage</v>
      </c>
    </row>
    <row r="8832" spans="1:7" x14ac:dyDescent="0.3">
      <c r="A8832" t="s">
        <v>34</v>
      </c>
      <c r="B8832">
        <v>2022</v>
      </c>
      <c r="C8832" t="s">
        <v>38</v>
      </c>
      <c r="D8832" s="2">
        <v>44682</v>
      </c>
      <c r="E8832" t="s">
        <v>4</v>
      </c>
      <c r="F8832">
        <v>217</v>
      </c>
      <c r="G8832" t="str">
        <f>VLOOKUP(Table1_2[[#This Row],[Categories]],Sheet3!$A$1:$B$27,2,FALSE)</f>
        <v>Food &amp;Beverage</v>
      </c>
    </row>
    <row r="8833" spans="1:7" x14ac:dyDescent="0.3">
      <c r="A8833" t="s">
        <v>34</v>
      </c>
      <c r="B8833">
        <v>2022</v>
      </c>
      <c r="C8833" t="s">
        <v>38</v>
      </c>
      <c r="D8833" s="2">
        <v>44682</v>
      </c>
      <c r="E8833" t="s">
        <v>5</v>
      </c>
      <c r="F8833">
        <v>162.4</v>
      </c>
      <c r="G8833" t="str">
        <f>VLOOKUP(Table1_2[[#This Row],[Categories]],Sheet3!$A$1:$B$27,2,FALSE)</f>
        <v>Food &amp;Beverage</v>
      </c>
    </row>
    <row r="8834" spans="1:7" x14ac:dyDescent="0.3">
      <c r="A8834" t="s">
        <v>34</v>
      </c>
      <c r="B8834">
        <v>2022</v>
      </c>
      <c r="C8834" t="s">
        <v>38</v>
      </c>
      <c r="D8834" s="2">
        <v>44682</v>
      </c>
      <c r="E8834" t="s">
        <v>6</v>
      </c>
      <c r="F8834">
        <v>164.9</v>
      </c>
      <c r="G8834" t="str">
        <f>VLOOKUP(Table1_2[[#This Row],[Categories]],Sheet3!$A$1:$B$27,2,FALSE)</f>
        <v>Food &amp;Beverage</v>
      </c>
    </row>
    <row r="8835" spans="1:7" x14ac:dyDescent="0.3">
      <c r="A8835" t="s">
        <v>34</v>
      </c>
      <c r="B8835">
        <v>2022</v>
      </c>
      <c r="C8835" t="s">
        <v>38</v>
      </c>
      <c r="D8835" s="2">
        <v>44682</v>
      </c>
      <c r="E8835" t="s">
        <v>7</v>
      </c>
      <c r="F8835">
        <v>202.4</v>
      </c>
      <c r="G8835" t="str">
        <f>VLOOKUP(Table1_2[[#This Row],[Categories]],Sheet3!$A$1:$B$27,2,FALSE)</f>
        <v>Food &amp;Beverage</v>
      </c>
    </row>
    <row r="8836" spans="1:7" x14ac:dyDescent="0.3">
      <c r="A8836" t="s">
        <v>34</v>
      </c>
      <c r="B8836">
        <v>2022</v>
      </c>
      <c r="C8836" t="s">
        <v>38</v>
      </c>
      <c r="D8836" s="2">
        <v>44682</v>
      </c>
      <c r="E8836" t="s">
        <v>8</v>
      </c>
      <c r="F8836">
        <v>171</v>
      </c>
      <c r="G8836" t="str">
        <f>VLOOKUP(Table1_2[[#This Row],[Categories]],Sheet3!$A$1:$B$27,2,FALSE)</f>
        <v>Food &amp;Beverage</v>
      </c>
    </row>
    <row r="8837" spans="1:7" x14ac:dyDescent="0.3">
      <c r="A8837" t="s">
        <v>34</v>
      </c>
      <c r="B8837">
        <v>2022</v>
      </c>
      <c r="C8837" t="s">
        <v>38</v>
      </c>
      <c r="D8837" s="2">
        <v>44682</v>
      </c>
      <c r="E8837" t="s">
        <v>9</v>
      </c>
      <c r="F8837">
        <v>174.9</v>
      </c>
      <c r="G8837" t="str">
        <f>VLOOKUP(Table1_2[[#This Row],[Categories]],Sheet3!$A$1:$B$27,2,FALSE)</f>
        <v>Food &amp;Beverage</v>
      </c>
    </row>
    <row r="8838" spans="1:7" x14ac:dyDescent="0.3">
      <c r="A8838" t="s">
        <v>34</v>
      </c>
      <c r="B8838">
        <v>2022</v>
      </c>
      <c r="C8838" t="s">
        <v>38</v>
      </c>
      <c r="D8838" s="2">
        <v>44682</v>
      </c>
      <c r="E8838" t="s">
        <v>10</v>
      </c>
      <c r="F8838">
        <v>164.7</v>
      </c>
      <c r="G8838" t="str">
        <f>VLOOKUP(Table1_2[[#This Row],[Categories]],Sheet3!$A$1:$B$27,2,FALSE)</f>
        <v>Food &amp;Beverage</v>
      </c>
    </row>
    <row r="8839" spans="1:7" x14ac:dyDescent="0.3">
      <c r="A8839" t="s">
        <v>34</v>
      </c>
      <c r="B8839">
        <v>2022</v>
      </c>
      <c r="C8839" t="s">
        <v>38</v>
      </c>
      <c r="D8839" s="2">
        <v>44682</v>
      </c>
      <c r="E8839" t="s">
        <v>11</v>
      </c>
      <c r="F8839">
        <v>119.7</v>
      </c>
      <c r="G8839" t="str">
        <f>VLOOKUP(Table1_2[[#This Row],[Categories]],Sheet3!$A$1:$B$27,2,FALSE)</f>
        <v>Food &amp;Beverage</v>
      </c>
    </row>
    <row r="8840" spans="1:7" x14ac:dyDescent="0.3">
      <c r="A8840" t="s">
        <v>34</v>
      </c>
      <c r="B8840">
        <v>2022</v>
      </c>
      <c r="C8840" t="s">
        <v>38</v>
      </c>
      <c r="D8840" s="2">
        <v>44682</v>
      </c>
      <c r="E8840" t="s">
        <v>12</v>
      </c>
      <c r="F8840">
        <v>184.9</v>
      </c>
      <c r="G8840" t="str">
        <f>VLOOKUP(Table1_2[[#This Row],[Categories]],Sheet3!$A$1:$B$27,2,FALSE)</f>
        <v>Food &amp;Beverage</v>
      </c>
    </row>
    <row r="8841" spans="1:7" x14ac:dyDescent="0.3">
      <c r="A8841" t="s">
        <v>34</v>
      </c>
      <c r="B8841">
        <v>2022</v>
      </c>
      <c r="C8841" t="s">
        <v>38</v>
      </c>
      <c r="D8841" s="2">
        <v>44682</v>
      </c>
      <c r="E8841" t="s">
        <v>13</v>
      </c>
      <c r="F8841">
        <v>167.1</v>
      </c>
      <c r="G8841" t="str">
        <f>VLOOKUP(Table1_2[[#This Row],[Categories]],Sheet3!$A$1:$B$27,2,FALSE)</f>
        <v>Food &amp;Beverage</v>
      </c>
    </row>
    <row r="8842" spans="1:7" x14ac:dyDescent="0.3">
      <c r="A8842" t="s">
        <v>34</v>
      </c>
      <c r="B8842">
        <v>2022</v>
      </c>
      <c r="C8842" t="s">
        <v>38</v>
      </c>
      <c r="D8842" s="2">
        <v>44682</v>
      </c>
      <c r="E8842" t="s">
        <v>14</v>
      </c>
      <c r="F8842">
        <v>182.5</v>
      </c>
      <c r="G8842" t="str">
        <f>VLOOKUP(Table1_2[[#This Row],[Categories]],Sheet3!$A$1:$B$27,2,FALSE)</f>
        <v>Food &amp;Beverage</v>
      </c>
    </row>
    <row r="8843" spans="1:7" x14ac:dyDescent="0.3">
      <c r="A8843" t="s">
        <v>34</v>
      </c>
      <c r="B8843">
        <v>2022</v>
      </c>
      <c r="C8843" t="s">
        <v>38</v>
      </c>
      <c r="D8843" s="2">
        <v>44682</v>
      </c>
      <c r="E8843" t="s">
        <v>15</v>
      </c>
      <c r="F8843">
        <v>173.3</v>
      </c>
      <c r="G8843" t="str">
        <f>VLOOKUP(Table1_2[[#This Row],[Categories]],Sheet3!$A$1:$B$27,2,FALSE)</f>
        <v>Food &amp;Beverage</v>
      </c>
    </row>
    <row r="8844" spans="1:7" x14ac:dyDescent="0.3">
      <c r="A8844" t="s">
        <v>34</v>
      </c>
      <c r="B8844">
        <v>2022</v>
      </c>
      <c r="C8844" t="s">
        <v>38</v>
      </c>
      <c r="D8844" s="2">
        <v>44682</v>
      </c>
      <c r="E8844" t="s">
        <v>16</v>
      </c>
      <c r="F8844">
        <v>194.1</v>
      </c>
      <c r="G8844" t="str">
        <f>VLOOKUP(Table1_2[[#This Row],[Categories]],Sheet3!$A$1:$B$27,2,FALSE)</f>
        <v>Recreation and amusement</v>
      </c>
    </row>
    <row r="8845" spans="1:7" x14ac:dyDescent="0.3">
      <c r="A8845" t="s">
        <v>34</v>
      </c>
      <c r="B8845">
        <v>2022</v>
      </c>
      <c r="C8845" t="s">
        <v>38</v>
      </c>
      <c r="D8845" s="2">
        <v>44682</v>
      </c>
      <c r="E8845" t="s">
        <v>17</v>
      </c>
      <c r="F8845">
        <v>175.6</v>
      </c>
      <c r="G8845" t="str">
        <f>VLOOKUP(Table1_2[[#This Row],[Categories]],Sheet3!$A$1:$B$27,2,FALSE)</f>
        <v>Clothing and footwear</v>
      </c>
    </row>
    <row r="8846" spans="1:7" x14ac:dyDescent="0.3">
      <c r="A8846" t="s">
        <v>34</v>
      </c>
      <c r="B8846">
        <v>2022</v>
      </c>
      <c r="C8846" t="s">
        <v>38</v>
      </c>
      <c r="D8846" s="2">
        <v>44682</v>
      </c>
      <c r="E8846" t="s">
        <v>18</v>
      </c>
      <c r="F8846">
        <v>168.4</v>
      </c>
      <c r="G8846" t="str">
        <f>VLOOKUP(Table1_2[[#This Row],[Categories]],Sheet3!$A$1:$B$27,2,FALSE)</f>
        <v>Clothing and footwear</v>
      </c>
    </row>
    <row r="8847" spans="1:7" x14ac:dyDescent="0.3">
      <c r="A8847" t="s">
        <v>34</v>
      </c>
      <c r="B8847">
        <v>2022</v>
      </c>
      <c r="C8847" t="s">
        <v>38</v>
      </c>
      <c r="D8847" s="2">
        <v>44682</v>
      </c>
      <c r="E8847" t="s">
        <v>19</v>
      </c>
      <c r="F8847">
        <v>174.6</v>
      </c>
      <c r="G8847" t="str">
        <f>VLOOKUP(Table1_2[[#This Row],[Categories]],Sheet3!$A$1:$B$27,2,FALSE)</f>
        <v>Clothing and footwear</v>
      </c>
    </row>
    <row r="8848" spans="1:7" x14ac:dyDescent="0.3">
      <c r="A8848" t="s">
        <v>34</v>
      </c>
      <c r="B8848">
        <v>2022</v>
      </c>
      <c r="C8848" t="s">
        <v>38</v>
      </c>
      <c r="D8848" s="2">
        <v>44682</v>
      </c>
      <c r="E8848" t="s">
        <v>20</v>
      </c>
      <c r="F8848">
        <v>167.5</v>
      </c>
      <c r="G8848" t="str">
        <f>VLOOKUP(Table1_2[[#This Row],[Categories]],Sheet3!$A$1:$B$27,2,FALSE)</f>
        <v>Housing</v>
      </c>
    </row>
    <row r="8849" spans="1:7" x14ac:dyDescent="0.3">
      <c r="A8849" t="s">
        <v>34</v>
      </c>
      <c r="B8849">
        <v>2022</v>
      </c>
      <c r="C8849" t="s">
        <v>38</v>
      </c>
      <c r="D8849" s="2">
        <v>44682</v>
      </c>
      <c r="E8849" t="s">
        <v>21</v>
      </c>
      <c r="F8849">
        <v>174.6</v>
      </c>
      <c r="G8849" t="str">
        <f>VLOOKUP(Table1_2[[#This Row],[Categories]],Sheet3!$A$1:$B$27,2,FALSE)</f>
        <v>Fuel and light</v>
      </c>
    </row>
    <row r="8850" spans="1:7" x14ac:dyDescent="0.3">
      <c r="A8850" t="s">
        <v>34</v>
      </c>
      <c r="B8850">
        <v>2022</v>
      </c>
      <c r="C8850" t="s">
        <v>38</v>
      </c>
      <c r="D8850" s="2">
        <v>44682</v>
      </c>
      <c r="E8850" t="s">
        <v>22</v>
      </c>
      <c r="F8850">
        <v>165.2</v>
      </c>
      <c r="G8850" t="str">
        <f>VLOOKUP(Table1_2[[#This Row],[Categories]],Sheet3!$A$1:$B$27,2,FALSE)</f>
        <v>Household Items</v>
      </c>
    </row>
    <row r="8851" spans="1:7" x14ac:dyDescent="0.3">
      <c r="A8851" t="s">
        <v>34</v>
      </c>
      <c r="B8851">
        <v>2022</v>
      </c>
      <c r="C8851" t="s">
        <v>38</v>
      </c>
      <c r="D8851" s="2">
        <v>44682</v>
      </c>
      <c r="E8851" t="s">
        <v>23</v>
      </c>
      <c r="F8851">
        <v>174.8</v>
      </c>
      <c r="G8851" t="str">
        <f>VLOOKUP(Table1_2[[#This Row],[Categories]],Sheet3!$A$1:$B$27,2,FALSE)</f>
        <v>Health</v>
      </c>
    </row>
    <row r="8852" spans="1:7" x14ac:dyDescent="0.3">
      <c r="A8852" t="s">
        <v>34</v>
      </c>
      <c r="B8852">
        <v>2022</v>
      </c>
      <c r="C8852" t="s">
        <v>38</v>
      </c>
      <c r="D8852" s="2">
        <v>44682</v>
      </c>
      <c r="E8852" t="s">
        <v>24</v>
      </c>
      <c r="F8852">
        <v>163</v>
      </c>
      <c r="G8852" t="str">
        <f>VLOOKUP(Table1_2[[#This Row],[Categories]],Sheet3!$A$1:$B$27,2,FALSE)</f>
        <v>Transport and communication</v>
      </c>
    </row>
    <row r="8853" spans="1:7" x14ac:dyDescent="0.3">
      <c r="A8853" t="s">
        <v>34</v>
      </c>
      <c r="B8853">
        <v>2022</v>
      </c>
      <c r="C8853" t="s">
        <v>38</v>
      </c>
      <c r="D8853" s="2">
        <v>44682</v>
      </c>
      <c r="E8853" t="s">
        <v>25</v>
      </c>
      <c r="F8853">
        <v>165.1</v>
      </c>
      <c r="G8853" t="str">
        <f>VLOOKUP(Table1_2[[#This Row],[Categories]],Sheet3!$A$1:$B$27,2,FALSE)</f>
        <v>Recreation and amusement</v>
      </c>
    </row>
    <row r="8854" spans="1:7" x14ac:dyDescent="0.3">
      <c r="A8854" t="s">
        <v>34</v>
      </c>
      <c r="B8854">
        <v>2022</v>
      </c>
      <c r="C8854" t="s">
        <v>38</v>
      </c>
      <c r="D8854" s="2">
        <v>44682</v>
      </c>
      <c r="E8854" t="s">
        <v>26</v>
      </c>
      <c r="F8854">
        <v>167.9</v>
      </c>
      <c r="G8854" t="str">
        <f>VLOOKUP(Table1_2[[#This Row],[Categories]],Sheet3!$A$1:$B$27,2,FALSE)</f>
        <v>Education</v>
      </c>
    </row>
    <row r="8855" spans="1:7" x14ac:dyDescent="0.3">
      <c r="A8855" t="s">
        <v>34</v>
      </c>
      <c r="B8855">
        <v>2022</v>
      </c>
      <c r="C8855" t="s">
        <v>38</v>
      </c>
      <c r="D8855" s="2">
        <v>44682</v>
      </c>
      <c r="E8855" t="s">
        <v>27</v>
      </c>
      <c r="F8855">
        <v>168.4</v>
      </c>
      <c r="G8855" t="str">
        <f>VLOOKUP(Table1_2[[#This Row],[Categories]],Sheet3!$A$1:$B$27,2,FALSE)</f>
        <v>Household Items</v>
      </c>
    </row>
    <row r="8856" spans="1:7" x14ac:dyDescent="0.3">
      <c r="A8856" t="s">
        <v>34</v>
      </c>
      <c r="B8856">
        <v>2022</v>
      </c>
      <c r="C8856" t="s">
        <v>38</v>
      </c>
      <c r="D8856" s="2">
        <v>44682</v>
      </c>
      <c r="E8856" t="s">
        <v>28</v>
      </c>
      <c r="F8856">
        <v>167.5</v>
      </c>
      <c r="G8856" t="str">
        <f>VLOOKUP(Table1_2[[#This Row],[Categories]],Sheet3!$A$1:$B$27,2,FALSE)</f>
        <v>Miscellaneous</v>
      </c>
    </row>
    <row r="8857" spans="1:7" x14ac:dyDescent="0.3">
      <c r="A8857" t="s">
        <v>34</v>
      </c>
      <c r="B8857">
        <v>2022</v>
      </c>
      <c r="C8857" t="s">
        <v>38</v>
      </c>
      <c r="D8857" s="2">
        <v>44682</v>
      </c>
      <c r="E8857" t="s">
        <v>29</v>
      </c>
      <c r="F8857">
        <v>171.7</v>
      </c>
      <c r="G8857" t="str">
        <f>VLOOKUP(Table1_2[[#This Row],[Categories]],Sheet3!$A$1:$B$27,2,FALSE)</f>
        <v>General index</v>
      </c>
    </row>
    <row r="8858" spans="1:7" x14ac:dyDescent="0.3">
      <c r="A8858" t="s">
        <v>30</v>
      </c>
      <c r="B8858">
        <v>2022</v>
      </c>
      <c r="C8858" t="s">
        <v>39</v>
      </c>
      <c r="D8858" s="2">
        <v>44713</v>
      </c>
      <c r="E8858" t="s">
        <v>3</v>
      </c>
      <c r="F8858">
        <v>153.80000000000001</v>
      </c>
      <c r="G8858" t="str">
        <f>VLOOKUP(Table1_2[[#This Row],[Categories]],Sheet3!$A$1:$B$27,2,FALSE)</f>
        <v>Food &amp;Beverage</v>
      </c>
    </row>
    <row r="8859" spans="1:7" x14ac:dyDescent="0.3">
      <c r="A8859" t="s">
        <v>30</v>
      </c>
      <c r="B8859">
        <v>2022</v>
      </c>
      <c r="C8859" t="s">
        <v>39</v>
      </c>
      <c r="D8859" s="2">
        <v>44713</v>
      </c>
      <c r="E8859" t="s">
        <v>4</v>
      </c>
      <c r="F8859">
        <v>217.2</v>
      </c>
      <c r="G8859" t="str">
        <f>VLOOKUP(Table1_2[[#This Row],[Categories]],Sheet3!$A$1:$B$27,2,FALSE)</f>
        <v>Food &amp;Beverage</v>
      </c>
    </row>
    <row r="8860" spans="1:7" x14ac:dyDescent="0.3">
      <c r="A8860" t="s">
        <v>30</v>
      </c>
      <c r="B8860">
        <v>2022</v>
      </c>
      <c r="C8860" t="s">
        <v>39</v>
      </c>
      <c r="D8860" s="2">
        <v>44713</v>
      </c>
      <c r="E8860" t="s">
        <v>5</v>
      </c>
      <c r="F8860">
        <v>169.6</v>
      </c>
      <c r="G8860" t="str">
        <f>VLOOKUP(Table1_2[[#This Row],[Categories]],Sheet3!$A$1:$B$27,2,FALSE)</f>
        <v>Food &amp;Beverage</v>
      </c>
    </row>
    <row r="8861" spans="1:7" x14ac:dyDescent="0.3">
      <c r="A8861" t="s">
        <v>30</v>
      </c>
      <c r="B8861">
        <v>2022</v>
      </c>
      <c r="C8861" t="s">
        <v>39</v>
      </c>
      <c r="D8861" s="2">
        <v>44713</v>
      </c>
      <c r="E8861" t="s">
        <v>6</v>
      </c>
      <c r="F8861">
        <v>165.4</v>
      </c>
      <c r="G8861" t="str">
        <f>VLOOKUP(Table1_2[[#This Row],[Categories]],Sheet3!$A$1:$B$27,2,FALSE)</f>
        <v>Food &amp;Beverage</v>
      </c>
    </row>
    <row r="8862" spans="1:7" x14ac:dyDescent="0.3">
      <c r="A8862" t="s">
        <v>30</v>
      </c>
      <c r="B8862">
        <v>2022</v>
      </c>
      <c r="C8862" t="s">
        <v>39</v>
      </c>
      <c r="D8862" s="2">
        <v>44713</v>
      </c>
      <c r="E8862" t="s">
        <v>7</v>
      </c>
      <c r="F8862">
        <v>208.1</v>
      </c>
      <c r="G8862" t="str">
        <f>VLOOKUP(Table1_2[[#This Row],[Categories]],Sheet3!$A$1:$B$27,2,FALSE)</f>
        <v>Food &amp;Beverage</v>
      </c>
    </row>
    <row r="8863" spans="1:7" x14ac:dyDescent="0.3">
      <c r="A8863" t="s">
        <v>30</v>
      </c>
      <c r="B8863">
        <v>2022</v>
      </c>
      <c r="C8863" t="s">
        <v>39</v>
      </c>
      <c r="D8863" s="2">
        <v>44713</v>
      </c>
      <c r="E8863" t="s">
        <v>8</v>
      </c>
      <c r="F8863">
        <v>165.8</v>
      </c>
      <c r="G8863" t="str">
        <f>VLOOKUP(Table1_2[[#This Row],[Categories]],Sheet3!$A$1:$B$27,2,FALSE)</f>
        <v>Food &amp;Beverage</v>
      </c>
    </row>
    <row r="8864" spans="1:7" x14ac:dyDescent="0.3">
      <c r="A8864" t="s">
        <v>30</v>
      </c>
      <c r="B8864">
        <v>2022</v>
      </c>
      <c r="C8864" t="s">
        <v>39</v>
      </c>
      <c r="D8864" s="2">
        <v>44713</v>
      </c>
      <c r="E8864" t="s">
        <v>9</v>
      </c>
      <c r="F8864">
        <v>167.3</v>
      </c>
      <c r="G8864" t="str">
        <f>VLOOKUP(Table1_2[[#This Row],[Categories]],Sheet3!$A$1:$B$27,2,FALSE)</f>
        <v>Food &amp;Beverage</v>
      </c>
    </row>
    <row r="8865" spans="1:7" x14ac:dyDescent="0.3">
      <c r="A8865" t="s">
        <v>30</v>
      </c>
      <c r="B8865">
        <v>2022</v>
      </c>
      <c r="C8865" t="s">
        <v>39</v>
      </c>
      <c r="D8865" s="2">
        <v>44713</v>
      </c>
      <c r="E8865" t="s">
        <v>10</v>
      </c>
      <c r="F8865">
        <v>164.6</v>
      </c>
      <c r="G8865" t="str">
        <f>VLOOKUP(Table1_2[[#This Row],[Categories]],Sheet3!$A$1:$B$27,2,FALSE)</f>
        <v>Food &amp;Beverage</v>
      </c>
    </row>
    <row r="8866" spans="1:7" x14ac:dyDescent="0.3">
      <c r="A8866" t="s">
        <v>30</v>
      </c>
      <c r="B8866">
        <v>2022</v>
      </c>
      <c r="C8866" t="s">
        <v>39</v>
      </c>
      <c r="D8866" s="2">
        <v>44713</v>
      </c>
      <c r="E8866" t="s">
        <v>11</v>
      </c>
      <c r="F8866">
        <v>119.1</v>
      </c>
      <c r="G8866" t="str">
        <f>VLOOKUP(Table1_2[[#This Row],[Categories]],Sheet3!$A$1:$B$27,2,FALSE)</f>
        <v>Food &amp;Beverage</v>
      </c>
    </row>
    <row r="8867" spans="1:7" x14ac:dyDescent="0.3">
      <c r="A8867" t="s">
        <v>30</v>
      </c>
      <c r="B8867">
        <v>2022</v>
      </c>
      <c r="C8867" t="s">
        <v>39</v>
      </c>
      <c r="D8867" s="2">
        <v>44713</v>
      </c>
      <c r="E8867" t="s">
        <v>12</v>
      </c>
      <c r="F8867">
        <v>188.9</v>
      </c>
      <c r="G8867" t="str">
        <f>VLOOKUP(Table1_2[[#This Row],[Categories]],Sheet3!$A$1:$B$27,2,FALSE)</f>
        <v>Food &amp;Beverage</v>
      </c>
    </row>
    <row r="8868" spans="1:7" x14ac:dyDescent="0.3">
      <c r="A8868" t="s">
        <v>30</v>
      </c>
      <c r="B8868">
        <v>2022</v>
      </c>
      <c r="C8868" t="s">
        <v>39</v>
      </c>
      <c r="D8868" s="2">
        <v>44713</v>
      </c>
      <c r="E8868" t="s">
        <v>13</v>
      </c>
      <c r="F8868">
        <v>174.2</v>
      </c>
      <c r="G8868" t="str">
        <f>VLOOKUP(Table1_2[[#This Row],[Categories]],Sheet3!$A$1:$B$27,2,FALSE)</f>
        <v>Food &amp;Beverage</v>
      </c>
    </row>
    <row r="8869" spans="1:7" x14ac:dyDescent="0.3">
      <c r="A8869" t="s">
        <v>30</v>
      </c>
      <c r="B8869">
        <v>2022</v>
      </c>
      <c r="C8869" t="s">
        <v>39</v>
      </c>
      <c r="D8869" s="2">
        <v>44713</v>
      </c>
      <c r="E8869" t="s">
        <v>14</v>
      </c>
      <c r="F8869">
        <v>181.9</v>
      </c>
      <c r="G8869" t="str">
        <f>VLOOKUP(Table1_2[[#This Row],[Categories]],Sheet3!$A$1:$B$27,2,FALSE)</f>
        <v>Food &amp;Beverage</v>
      </c>
    </row>
    <row r="8870" spans="1:7" x14ac:dyDescent="0.3">
      <c r="A8870" t="s">
        <v>30</v>
      </c>
      <c r="B8870">
        <v>2022</v>
      </c>
      <c r="C8870" t="s">
        <v>39</v>
      </c>
      <c r="D8870" s="2">
        <v>44713</v>
      </c>
      <c r="E8870" t="s">
        <v>15</v>
      </c>
      <c r="F8870">
        <v>172.4</v>
      </c>
      <c r="G8870" t="str">
        <f>VLOOKUP(Table1_2[[#This Row],[Categories]],Sheet3!$A$1:$B$27,2,FALSE)</f>
        <v>Food &amp;Beverage</v>
      </c>
    </row>
    <row r="8871" spans="1:7" x14ac:dyDescent="0.3">
      <c r="A8871" t="s">
        <v>30</v>
      </c>
      <c r="B8871">
        <v>2022</v>
      </c>
      <c r="C8871" t="s">
        <v>39</v>
      </c>
      <c r="D8871" s="2">
        <v>44713</v>
      </c>
      <c r="E8871" t="s">
        <v>16</v>
      </c>
      <c r="F8871">
        <v>192.9</v>
      </c>
      <c r="G8871" t="str">
        <f>VLOOKUP(Table1_2[[#This Row],[Categories]],Sheet3!$A$1:$B$27,2,FALSE)</f>
        <v>Recreation and amusement</v>
      </c>
    </row>
    <row r="8872" spans="1:7" x14ac:dyDescent="0.3">
      <c r="A8872" t="s">
        <v>30</v>
      </c>
      <c r="B8872">
        <v>2022</v>
      </c>
      <c r="C8872" t="s">
        <v>39</v>
      </c>
      <c r="D8872" s="2">
        <v>44713</v>
      </c>
      <c r="E8872" t="s">
        <v>17</v>
      </c>
      <c r="F8872">
        <v>180.7</v>
      </c>
      <c r="G8872" t="str">
        <f>VLOOKUP(Table1_2[[#This Row],[Categories]],Sheet3!$A$1:$B$27,2,FALSE)</f>
        <v>Clothing and footwear</v>
      </c>
    </row>
    <row r="8873" spans="1:7" x14ac:dyDescent="0.3">
      <c r="A8873" t="s">
        <v>30</v>
      </c>
      <c r="B8873">
        <v>2022</v>
      </c>
      <c r="C8873" t="s">
        <v>39</v>
      </c>
      <c r="D8873" s="2">
        <v>44713</v>
      </c>
      <c r="E8873" t="s">
        <v>18</v>
      </c>
      <c r="F8873">
        <v>178.7</v>
      </c>
      <c r="G8873" t="str">
        <f>VLOOKUP(Table1_2[[#This Row],[Categories]],Sheet3!$A$1:$B$27,2,FALSE)</f>
        <v>Clothing and footwear</v>
      </c>
    </row>
    <row r="8874" spans="1:7" x14ac:dyDescent="0.3">
      <c r="A8874" t="s">
        <v>30</v>
      </c>
      <c r="B8874">
        <v>2022</v>
      </c>
      <c r="C8874" t="s">
        <v>39</v>
      </c>
      <c r="D8874" s="2">
        <v>44713</v>
      </c>
      <c r="E8874" t="s">
        <v>19</v>
      </c>
      <c r="F8874">
        <v>180.4</v>
      </c>
      <c r="G8874" t="str">
        <f>VLOOKUP(Table1_2[[#This Row],[Categories]],Sheet3!$A$1:$B$27,2,FALSE)</f>
        <v>Clothing and footwear</v>
      </c>
    </row>
    <row r="8875" spans="1:7" x14ac:dyDescent="0.3">
      <c r="A8875" t="s">
        <v>30</v>
      </c>
      <c r="B8875">
        <v>2022</v>
      </c>
      <c r="C8875" t="s">
        <v>39</v>
      </c>
      <c r="D8875" s="2">
        <v>44713</v>
      </c>
      <c r="E8875" t="s">
        <v>21</v>
      </c>
      <c r="F8875">
        <v>176.7</v>
      </c>
      <c r="G8875" t="str">
        <f>VLOOKUP(Table1_2[[#This Row],[Categories]],Sheet3!$A$1:$B$27,2,FALSE)</f>
        <v>Fuel and light</v>
      </c>
    </row>
    <row r="8876" spans="1:7" x14ac:dyDescent="0.3">
      <c r="A8876" t="s">
        <v>30</v>
      </c>
      <c r="B8876">
        <v>2022</v>
      </c>
      <c r="C8876" t="s">
        <v>39</v>
      </c>
      <c r="D8876" s="2">
        <v>44713</v>
      </c>
      <c r="E8876" t="s">
        <v>22</v>
      </c>
      <c r="F8876">
        <v>170.3</v>
      </c>
      <c r="G8876" t="str">
        <f>VLOOKUP(Table1_2[[#This Row],[Categories]],Sheet3!$A$1:$B$27,2,FALSE)</f>
        <v>Household Items</v>
      </c>
    </row>
    <row r="8877" spans="1:7" x14ac:dyDescent="0.3">
      <c r="A8877" t="s">
        <v>30</v>
      </c>
      <c r="B8877">
        <v>2022</v>
      </c>
      <c r="C8877" t="s">
        <v>39</v>
      </c>
      <c r="D8877" s="2">
        <v>44713</v>
      </c>
      <c r="E8877" t="s">
        <v>23</v>
      </c>
      <c r="F8877">
        <v>178.2</v>
      </c>
      <c r="G8877" t="str">
        <f>VLOOKUP(Table1_2[[#This Row],[Categories]],Sheet3!$A$1:$B$27,2,FALSE)</f>
        <v>Health</v>
      </c>
    </row>
    <row r="8878" spans="1:7" x14ac:dyDescent="0.3">
      <c r="A8878" t="s">
        <v>30</v>
      </c>
      <c r="B8878">
        <v>2022</v>
      </c>
      <c r="C8878" t="s">
        <v>39</v>
      </c>
      <c r="D8878" s="2">
        <v>44713</v>
      </c>
      <c r="E8878" t="s">
        <v>24</v>
      </c>
      <c r="F8878">
        <v>165.5</v>
      </c>
      <c r="G8878" t="str">
        <f>VLOOKUP(Table1_2[[#This Row],[Categories]],Sheet3!$A$1:$B$27,2,FALSE)</f>
        <v>Transport and communication</v>
      </c>
    </row>
    <row r="8879" spans="1:7" x14ac:dyDescent="0.3">
      <c r="A8879" t="s">
        <v>30</v>
      </c>
      <c r="B8879">
        <v>2022</v>
      </c>
      <c r="C8879" t="s">
        <v>39</v>
      </c>
      <c r="D8879" s="2">
        <v>44713</v>
      </c>
      <c r="E8879" t="s">
        <v>25</v>
      </c>
      <c r="F8879">
        <v>168</v>
      </c>
      <c r="G8879" t="str">
        <f>VLOOKUP(Table1_2[[#This Row],[Categories]],Sheet3!$A$1:$B$27,2,FALSE)</f>
        <v>Recreation and amusement</v>
      </c>
    </row>
    <row r="8880" spans="1:7" x14ac:dyDescent="0.3">
      <c r="A8880" t="s">
        <v>30</v>
      </c>
      <c r="B8880">
        <v>2022</v>
      </c>
      <c r="C8880" t="s">
        <v>39</v>
      </c>
      <c r="D8880" s="2">
        <v>44713</v>
      </c>
      <c r="E8880" t="s">
        <v>26</v>
      </c>
      <c r="F8880">
        <v>172.6</v>
      </c>
      <c r="G8880" t="str">
        <f>VLOOKUP(Table1_2[[#This Row],[Categories]],Sheet3!$A$1:$B$27,2,FALSE)</f>
        <v>Education</v>
      </c>
    </row>
    <row r="8881" spans="1:7" x14ac:dyDescent="0.3">
      <c r="A8881" t="s">
        <v>30</v>
      </c>
      <c r="B8881">
        <v>2022</v>
      </c>
      <c r="C8881" t="s">
        <v>39</v>
      </c>
      <c r="D8881" s="2">
        <v>44713</v>
      </c>
      <c r="E8881" t="s">
        <v>27</v>
      </c>
      <c r="F8881">
        <v>169.5</v>
      </c>
      <c r="G8881" t="str">
        <f>VLOOKUP(Table1_2[[#This Row],[Categories]],Sheet3!$A$1:$B$27,2,FALSE)</f>
        <v>Household Items</v>
      </c>
    </row>
    <row r="8882" spans="1:7" x14ac:dyDescent="0.3">
      <c r="A8882" t="s">
        <v>30</v>
      </c>
      <c r="B8882">
        <v>2022</v>
      </c>
      <c r="C8882" t="s">
        <v>39</v>
      </c>
      <c r="D8882" s="2">
        <v>44713</v>
      </c>
      <c r="E8882" t="s">
        <v>28</v>
      </c>
      <c r="F8882">
        <v>171</v>
      </c>
      <c r="G8882" t="str">
        <f>VLOOKUP(Table1_2[[#This Row],[Categories]],Sheet3!$A$1:$B$27,2,FALSE)</f>
        <v>Miscellaneous</v>
      </c>
    </row>
    <row r="8883" spans="1:7" x14ac:dyDescent="0.3">
      <c r="A8883" t="s">
        <v>30</v>
      </c>
      <c r="B8883">
        <v>2022</v>
      </c>
      <c r="C8883" t="s">
        <v>39</v>
      </c>
      <c r="D8883" s="2">
        <v>44713</v>
      </c>
      <c r="E8883" t="s">
        <v>29</v>
      </c>
      <c r="F8883">
        <v>173.6</v>
      </c>
      <c r="G8883" t="str">
        <f>VLOOKUP(Table1_2[[#This Row],[Categories]],Sheet3!$A$1:$B$27,2,FALSE)</f>
        <v>General index</v>
      </c>
    </row>
    <row r="8884" spans="1:7" x14ac:dyDescent="0.3">
      <c r="A8884" t="s">
        <v>33</v>
      </c>
      <c r="B8884">
        <v>2022</v>
      </c>
      <c r="C8884" t="s">
        <v>39</v>
      </c>
      <c r="D8884" s="2">
        <v>44713</v>
      </c>
      <c r="E8884" t="s">
        <v>3</v>
      </c>
      <c r="F8884">
        <v>157.5</v>
      </c>
      <c r="G8884" t="str">
        <f>VLOOKUP(Table1_2[[#This Row],[Categories]],Sheet3!$A$1:$B$27,2,FALSE)</f>
        <v>Food &amp;Beverage</v>
      </c>
    </row>
    <row r="8885" spans="1:7" x14ac:dyDescent="0.3">
      <c r="A8885" t="s">
        <v>33</v>
      </c>
      <c r="B8885">
        <v>2022</v>
      </c>
      <c r="C8885" t="s">
        <v>39</v>
      </c>
      <c r="D8885" s="2">
        <v>44713</v>
      </c>
      <c r="E8885" t="s">
        <v>4</v>
      </c>
      <c r="F8885">
        <v>223.4</v>
      </c>
      <c r="G8885" t="str">
        <f>VLOOKUP(Table1_2[[#This Row],[Categories]],Sheet3!$A$1:$B$27,2,FALSE)</f>
        <v>Food &amp;Beverage</v>
      </c>
    </row>
    <row r="8886" spans="1:7" x14ac:dyDescent="0.3">
      <c r="A8886" t="s">
        <v>33</v>
      </c>
      <c r="B8886">
        <v>2022</v>
      </c>
      <c r="C8886" t="s">
        <v>39</v>
      </c>
      <c r="D8886" s="2">
        <v>44713</v>
      </c>
      <c r="E8886" t="s">
        <v>5</v>
      </c>
      <c r="F8886">
        <v>172.8</v>
      </c>
      <c r="G8886" t="str">
        <f>VLOOKUP(Table1_2[[#This Row],[Categories]],Sheet3!$A$1:$B$27,2,FALSE)</f>
        <v>Food &amp;Beverage</v>
      </c>
    </row>
    <row r="8887" spans="1:7" x14ac:dyDescent="0.3">
      <c r="A8887" t="s">
        <v>33</v>
      </c>
      <c r="B8887">
        <v>2022</v>
      </c>
      <c r="C8887" t="s">
        <v>39</v>
      </c>
      <c r="D8887" s="2">
        <v>44713</v>
      </c>
      <c r="E8887" t="s">
        <v>6</v>
      </c>
      <c r="F8887">
        <v>166.4</v>
      </c>
      <c r="G8887" t="str">
        <f>VLOOKUP(Table1_2[[#This Row],[Categories]],Sheet3!$A$1:$B$27,2,FALSE)</f>
        <v>Food &amp;Beverage</v>
      </c>
    </row>
    <row r="8888" spans="1:7" x14ac:dyDescent="0.3">
      <c r="A8888" t="s">
        <v>33</v>
      </c>
      <c r="B8888">
        <v>2022</v>
      </c>
      <c r="C8888" t="s">
        <v>39</v>
      </c>
      <c r="D8888" s="2">
        <v>44713</v>
      </c>
      <c r="E8888" t="s">
        <v>7</v>
      </c>
      <c r="F8888">
        <v>188.6</v>
      </c>
      <c r="G8888" t="str">
        <f>VLOOKUP(Table1_2[[#This Row],[Categories]],Sheet3!$A$1:$B$27,2,FALSE)</f>
        <v>Food &amp;Beverage</v>
      </c>
    </row>
    <row r="8889" spans="1:7" x14ac:dyDescent="0.3">
      <c r="A8889" t="s">
        <v>33</v>
      </c>
      <c r="B8889">
        <v>2022</v>
      </c>
      <c r="C8889" t="s">
        <v>39</v>
      </c>
      <c r="D8889" s="2">
        <v>44713</v>
      </c>
      <c r="E8889" t="s">
        <v>8</v>
      </c>
      <c r="F8889">
        <v>174.1</v>
      </c>
      <c r="G8889" t="str">
        <f>VLOOKUP(Table1_2[[#This Row],[Categories]],Sheet3!$A$1:$B$27,2,FALSE)</f>
        <v>Food &amp;Beverage</v>
      </c>
    </row>
    <row r="8890" spans="1:7" x14ac:dyDescent="0.3">
      <c r="A8890" t="s">
        <v>33</v>
      </c>
      <c r="B8890">
        <v>2022</v>
      </c>
      <c r="C8890" t="s">
        <v>39</v>
      </c>
      <c r="D8890" s="2">
        <v>44713</v>
      </c>
      <c r="E8890" t="s">
        <v>9</v>
      </c>
      <c r="F8890">
        <v>211.5</v>
      </c>
      <c r="G8890" t="str">
        <f>VLOOKUP(Table1_2[[#This Row],[Categories]],Sheet3!$A$1:$B$27,2,FALSE)</f>
        <v>Food &amp;Beverage</v>
      </c>
    </row>
    <row r="8891" spans="1:7" x14ac:dyDescent="0.3">
      <c r="A8891" t="s">
        <v>33</v>
      </c>
      <c r="B8891">
        <v>2022</v>
      </c>
      <c r="C8891" t="s">
        <v>39</v>
      </c>
      <c r="D8891" s="2">
        <v>44713</v>
      </c>
      <c r="E8891" t="s">
        <v>10</v>
      </c>
      <c r="F8891">
        <v>163.6</v>
      </c>
      <c r="G8891" t="str">
        <f>VLOOKUP(Table1_2[[#This Row],[Categories]],Sheet3!$A$1:$B$27,2,FALSE)</f>
        <v>Food &amp;Beverage</v>
      </c>
    </row>
    <row r="8892" spans="1:7" x14ac:dyDescent="0.3">
      <c r="A8892" t="s">
        <v>33</v>
      </c>
      <c r="B8892">
        <v>2022</v>
      </c>
      <c r="C8892" t="s">
        <v>39</v>
      </c>
      <c r="D8892" s="2">
        <v>44713</v>
      </c>
      <c r="E8892" t="s">
        <v>11</v>
      </c>
      <c r="F8892">
        <v>121.4</v>
      </c>
      <c r="G8892" t="str">
        <f>VLOOKUP(Table1_2[[#This Row],[Categories]],Sheet3!$A$1:$B$27,2,FALSE)</f>
        <v>Food &amp;Beverage</v>
      </c>
    </row>
    <row r="8893" spans="1:7" x14ac:dyDescent="0.3">
      <c r="A8893" t="s">
        <v>33</v>
      </c>
      <c r="B8893">
        <v>2022</v>
      </c>
      <c r="C8893" t="s">
        <v>39</v>
      </c>
      <c r="D8893" s="2">
        <v>44713</v>
      </c>
      <c r="E8893" t="s">
        <v>12</v>
      </c>
      <c r="F8893">
        <v>183.5</v>
      </c>
      <c r="G8893" t="str">
        <f>VLOOKUP(Table1_2[[#This Row],[Categories]],Sheet3!$A$1:$B$27,2,FALSE)</f>
        <v>Food &amp;Beverage</v>
      </c>
    </row>
    <row r="8894" spans="1:7" x14ac:dyDescent="0.3">
      <c r="A8894" t="s">
        <v>33</v>
      </c>
      <c r="B8894">
        <v>2022</v>
      </c>
      <c r="C8894" t="s">
        <v>39</v>
      </c>
      <c r="D8894" s="2">
        <v>44713</v>
      </c>
      <c r="E8894" t="s">
        <v>13</v>
      </c>
      <c r="F8894">
        <v>159.1</v>
      </c>
      <c r="G8894" t="str">
        <f>VLOOKUP(Table1_2[[#This Row],[Categories]],Sheet3!$A$1:$B$27,2,FALSE)</f>
        <v>Food &amp;Beverage</v>
      </c>
    </row>
    <row r="8895" spans="1:7" x14ac:dyDescent="0.3">
      <c r="A8895" t="s">
        <v>33</v>
      </c>
      <c r="B8895">
        <v>2022</v>
      </c>
      <c r="C8895" t="s">
        <v>39</v>
      </c>
      <c r="D8895" s="2">
        <v>44713</v>
      </c>
      <c r="E8895" t="s">
        <v>14</v>
      </c>
      <c r="F8895">
        <v>186.3</v>
      </c>
      <c r="G8895" t="str">
        <f>VLOOKUP(Table1_2[[#This Row],[Categories]],Sheet3!$A$1:$B$27,2,FALSE)</f>
        <v>Food &amp;Beverage</v>
      </c>
    </row>
    <row r="8896" spans="1:7" x14ac:dyDescent="0.3">
      <c r="A8896" t="s">
        <v>33</v>
      </c>
      <c r="B8896">
        <v>2022</v>
      </c>
      <c r="C8896" t="s">
        <v>39</v>
      </c>
      <c r="D8896" s="2">
        <v>44713</v>
      </c>
      <c r="E8896" t="s">
        <v>15</v>
      </c>
      <c r="F8896">
        <v>179.3</v>
      </c>
      <c r="G8896" t="str">
        <f>VLOOKUP(Table1_2[[#This Row],[Categories]],Sheet3!$A$1:$B$27,2,FALSE)</f>
        <v>Food &amp;Beverage</v>
      </c>
    </row>
    <row r="8897" spans="1:7" x14ac:dyDescent="0.3">
      <c r="A8897" t="s">
        <v>33</v>
      </c>
      <c r="B8897">
        <v>2022</v>
      </c>
      <c r="C8897" t="s">
        <v>39</v>
      </c>
      <c r="D8897" s="2">
        <v>44713</v>
      </c>
      <c r="E8897" t="s">
        <v>16</v>
      </c>
      <c r="F8897">
        <v>198.3</v>
      </c>
      <c r="G8897" t="str">
        <f>VLOOKUP(Table1_2[[#This Row],[Categories]],Sheet3!$A$1:$B$27,2,FALSE)</f>
        <v>Recreation and amusement</v>
      </c>
    </row>
    <row r="8898" spans="1:7" x14ac:dyDescent="0.3">
      <c r="A8898" t="s">
        <v>33</v>
      </c>
      <c r="B8898">
        <v>2022</v>
      </c>
      <c r="C8898" t="s">
        <v>39</v>
      </c>
      <c r="D8898" s="2">
        <v>44713</v>
      </c>
      <c r="E8898" t="s">
        <v>17</v>
      </c>
      <c r="F8898">
        <v>171.6</v>
      </c>
      <c r="G8898" t="str">
        <f>VLOOKUP(Table1_2[[#This Row],[Categories]],Sheet3!$A$1:$B$27,2,FALSE)</f>
        <v>Clothing and footwear</v>
      </c>
    </row>
    <row r="8899" spans="1:7" x14ac:dyDescent="0.3">
      <c r="A8899" t="s">
        <v>33</v>
      </c>
      <c r="B8899">
        <v>2022</v>
      </c>
      <c r="C8899" t="s">
        <v>39</v>
      </c>
      <c r="D8899" s="2">
        <v>44713</v>
      </c>
      <c r="E8899" t="s">
        <v>18</v>
      </c>
      <c r="F8899">
        <v>157.4</v>
      </c>
      <c r="G8899" t="str">
        <f>VLOOKUP(Table1_2[[#This Row],[Categories]],Sheet3!$A$1:$B$27,2,FALSE)</f>
        <v>Clothing and footwear</v>
      </c>
    </row>
    <row r="8900" spans="1:7" x14ac:dyDescent="0.3">
      <c r="A8900" t="s">
        <v>33</v>
      </c>
      <c r="B8900">
        <v>2022</v>
      </c>
      <c r="C8900" t="s">
        <v>39</v>
      </c>
      <c r="D8900" s="2">
        <v>44713</v>
      </c>
      <c r="E8900" t="s">
        <v>19</v>
      </c>
      <c r="F8900">
        <v>169.4</v>
      </c>
      <c r="G8900" t="str">
        <f>VLOOKUP(Table1_2[[#This Row],[Categories]],Sheet3!$A$1:$B$27,2,FALSE)</f>
        <v>Clothing and footwear</v>
      </c>
    </row>
    <row r="8901" spans="1:7" x14ac:dyDescent="0.3">
      <c r="A8901" t="s">
        <v>33</v>
      </c>
      <c r="B8901">
        <v>2022</v>
      </c>
      <c r="C8901" t="s">
        <v>39</v>
      </c>
      <c r="D8901" s="2">
        <v>44713</v>
      </c>
      <c r="E8901" t="s">
        <v>20</v>
      </c>
      <c r="F8901">
        <v>166.8</v>
      </c>
      <c r="G8901" t="str">
        <f>VLOOKUP(Table1_2[[#This Row],[Categories]],Sheet3!$A$1:$B$27,2,FALSE)</f>
        <v>Housing</v>
      </c>
    </row>
    <row r="8902" spans="1:7" x14ac:dyDescent="0.3">
      <c r="A8902" t="s">
        <v>33</v>
      </c>
      <c r="B8902">
        <v>2022</v>
      </c>
      <c r="C8902" t="s">
        <v>39</v>
      </c>
      <c r="D8902" s="2">
        <v>44713</v>
      </c>
      <c r="E8902" t="s">
        <v>21</v>
      </c>
      <c r="F8902">
        <v>174.9</v>
      </c>
      <c r="G8902" t="str">
        <f>VLOOKUP(Table1_2[[#This Row],[Categories]],Sheet3!$A$1:$B$27,2,FALSE)</f>
        <v>Fuel and light</v>
      </c>
    </row>
    <row r="8903" spans="1:7" x14ac:dyDescent="0.3">
      <c r="A8903" t="s">
        <v>33</v>
      </c>
      <c r="B8903">
        <v>2022</v>
      </c>
      <c r="C8903" t="s">
        <v>39</v>
      </c>
      <c r="D8903" s="2">
        <v>44713</v>
      </c>
      <c r="E8903" t="s">
        <v>22</v>
      </c>
      <c r="F8903">
        <v>162.1</v>
      </c>
      <c r="G8903" t="str">
        <f>VLOOKUP(Table1_2[[#This Row],[Categories]],Sheet3!$A$1:$B$27,2,FALSE)</f>
        <v>Household Items</v>
      </c>
    </row>
    <row r="8904" spans="1:7" x14ac:dyDescent="0.3">
      <c r="A8904" t="s">
        <v>33</v>
      </c>
      <c r="B8904">
        <v>2022</v>
      </c>
      <c r="C8904" t="s">
        <v>39</v>
      </c>
      <c r="D8904" s="2">
        <v>44713</v>
      </c>
      <c r="E8904" t="s">
        <v>23</v>
      </c>
      <c r="F8904">
        <v>170.9</v>
      </c>
      <c r="G8904" t="str">
        <f>VLOOKUP(Table1_2[[#This Row],[Categories]],Sheet3!$A$1:$B$27,2,FALSE)</f>
        <v>Health</v>
      </c>
    </row>
    <row r="8905" spans="1:7" x14ac:dyDescent="0.3">
      <c r="A8905" t="s">
        <v>33</v>
      </c>
      <c r="B8905">
        <v>2022</v>
      </c>
      <c r="C8905" t="s">
        <v>39</v>
      </c>
      <c r="D8905" s="2">
        <v>44713</v>
      </c>
      <c r="E8905" t="s">
        <v>24</v>
      </c>
      <c r="F8905">
        <v>157.19999999999999</v>
      </c>
      <c r="G8905" t="str">
        <f>VLOOKUP(Table1_2[[#This Row],[Categories]],Sheet3!$A$1:$B$27,2,FALSE)</f>
        <v>Transport and communication</v>
      </c>
    </row>
    <row r="8906" spans="1:7" x14ac:dyDescent="0.3">
      <c r="A8906" t="s">
        <v>33</v>
      </c>
      <c r="B8906">
        <v>2022</v>
      </c>
      <c r="C8906" t="s">
        <v>39</v>
      </c>
      <c r="D8906" s="2">
        <v>44713</v>
      </c>
      <c r="E8906" t="s">
        <v>25</v>
      </c>
      <c r="F8906">
        <v>164.1</v>
      </c>
      <c r="G8906" t="str">
        <f>VLOOKUP(Table1_2[[#This Row],[Categories]],Sheet3!$A$1:$B$27,2,FALSE)</f>
        <v>Recreation and amusement</v>
      </c>
    </row>
    <row r="8907" spans="1:7" x14ac:dyDescent="0.3">
      <c r="A8907" t="s">
        <v>33</v>
      </c>
      <c r="B8907">
        <v>2022</v>
      </c>
      <c r="C8907" t="s">
        <v>39</v>
      </c>
      <c r="D8907" s="2">
        <v>44713</v>
      </c>
      <c r="E8907" t="s">
        <v>26</v>
      </c>
      <c r="F8907">
        <v>166.5</v>
      </c>
      <c r="G8907" t="str">
        <f>VLOOKUP(Table1_2[[#This Row],[Categories]],Sheet3!$A$1:$B$27,2,FALSE)</f>
        <v>Education</v>
      </c>
    </row>
    <row r="8908" spans="1:7" x14ac:dyDescent="0.3">
      <c r="A8908" t="s">
        <v>33</v>
      </c>
      <c r="B8908">
        <v>2022</v>
      </c>
      <c r="C8908" t="s">
        <v>39</v>
      </c>
      <c r="D8908" s="2">
        <v>44713</v>
      </c>
      <c r="E8908" t="s">
        <v>27</v>
      </c>
      <c r="F8908">
        <v>169.2</v>
      </c>
      <c r="G8908" t="str">
        <f>VLOOKUP(Table1_2[[#This Row],[Categories]],Sheet3!$A$1:$B$27,2,FALSE)</f>
        <v>Household Items</v>
      </c>
    </row>
    <row r="8909" spans="1:7" x14ac:dyDescent="0.3">
      <c r="A8909" t="s">
        <v>33</v>
      </c>
      <c r="B8909">
        <v>2022</v>
      </c>
      <c r="C8909" t="s">
        <v>39</v>
      </c>
      <c r="D8909" s="2">
        <v>44713</v>
      </c>
      <c r="E8909" t="s">
        <v>28</v>
      </c>
      <c r="F8909">
        <v>163.80000000000001</v>
      </c>
      <c r="G8909" t="str">
        <f>VLOOKUP(Table1_2[[#This Row],[Categories]],Sheet3!$A$1:$B$27,2,FALSE)</f>
        <v>Miscellaneous</v>
      </c>
    </row>
    <row r="8910" spans="1:7" x14ac:dyDescent="0.3">
      <c r="A8910" t="s">
        <v>33</v>
      </c>
      <c r="B8910">
        <v>2022</v>
      </c>
      <c r="C8910" t="s">
        <v>39</v>
      </c>
      <c r="D8910" s="2">
        <v>44713</v>
      </c>
      <c r="E8910" t="s">
        <v>29</v>
      </c>
      <c r="F8910">
        <v>171.4</v>
      </c>
      <c r="G8910" t="str">
        <f>VLOOKUP(Table1_2[[#This Row],[Categories]],Sheet3!$A$1:$B$27,2,FALSE)</f>
        <v>General index</v>
      </c>
    </row>
    <row r="8911" spans="1:7" x14ac:dyDescent="0.3">
      <c r="A8911" t="s">
        <v>34</v>
      </c>
      <c r="B8911">
        <v>2022</v>
      </c>
      <c r="C8911" t="s">
        <v>39</v>
      </c>
      <c r="D8911" s="2">
        <v>44713</v>
      </c>
      <c r="E8911" t="s">
        <v>3</v>
      </c>
      <c r="F8911">
        <v>155</v>
      </c>
      <c r="G8911" t="str">
        <f>VLOOKUP(Table1_2[[#This Row],[Categories]],Sheet3!$A$1:$B$27,2,FALSE)</f>
        <v>Food &amp;Beverage</v>
      </c>
    </row>
    <row r="8912" spans="1:7" x14ac:dyDescent="0.3">
      <c r="A8912" t="s">
        <v>34</v>
      </c>
      <c r="B8912">
        <v>2022</v>
      </c>
      <c r="C8912" t="s">
        <v>39</v>
      </c>
      <c r="D8912" s="2">
        <v>44713</v>
      </c>
      <c r="E8912" t="s">
        <v>4</v>
      </c>
      <c r="F8912">
        <v>219.4</v>
      </c>
      <c r="G8912" t="str">
        <f>VLOOKUP(Table1_2[[#This Row],[Categories]],Sheet3!$A$1:$B$27,2,FALSE)</f>
        <v>Food &amp;Beverage</v>
      </c>
    </row>
    <row r="8913" spans="1:7" x14ac:dyDescent="0.3">
      <c r="A8913" t="s">
        <v>34</v>
      </c>
      <c r="B8913">
        <v>2022</v>
      </c>
      <c r="C8913" t="s">
        <v>39</v>
      </c>
      <c r="D8913" s="2">
        <v>44713</v>
      </c>
      <c r="E8913" t="s">
        <v>5</v>
      </c>
      <c r="F8913">
        <v>170.8</v>
      </c>
      <c r="G8913" t="str">
        <f>VLOOKUP(Table1_2[[#This Row],[Categories]],Sheet3!$A$1:$B$27,2,FALSE)</f>
        <v>Food &amp;Beverage</v>
      </c>
    </row>
    <row r="8914" spans="1:7" x14ac:dyDescent="0.3">
      <c r="A8914" t="s">
        <v>34</v>
      </c>
      <c r="B8914">
        <v>2022</v>
      </c>
      <c r="C8914" t="s">
        <v>39</v>
      </c>
      <c r="D8914" s="2">
        <v>44713</v>
      </c>
      <c r="E8914" t="s">
        <v>6</v>
      </c>
      <c r="F8914">
        <v>165.8</v>
      </c>
      <c r="G8914" t="str">
        <f>VLOOKUP(Table1_2[[#This Row],[Categories]],Sheet3!$A$1:$B$27,2,FALSE)</f>
        <v>Food &amp;Beverage</v>
      </c>
    </row>
    <row r="8915" spans="1:7" x14ac:dyDescent="0.3">
      <c r="A8915" t="s">
        <v>34</v>
      </c>
      <c r="B8915">
        <v>2022</v>
      </c>
      <c r="C8915" t="s">
        <v>39</v>
      </c>
      <c r="D8915" s="2">
        <v>44713</v>
      </c>
      <c r="E8915" t="s">
        <v>7</v>
      </c>
      <c r="F8915">
        <v>200.9</v>
      </c>
      <c r="G8915" t="str">
        <f>VLOOKUP(Table1_2[[#This Row],[Categories]],Sheet3!$A$1:$B$27,2,FALSE)</f>
        <v>Food &amp;Beverage</v>
      </c>
    </row>
    <row r="8916" spans="1:7" x14ac:dyDescent="0.3">
      <c r="A8916" t="s">
        <v>34</v>
      </c>
      <c r="B8916">
        <v>2022</v>
      </c>
      <c r="C8916" t="s">
        <v>39</v>
      </c>
      <c r="D8916" s="2">
        <v>44713</v>
      </c>
      <c r="E8916" t="s">
        <v>8</v>
      </c>
      <c r="F8916">
        <v>169.7</v>
      </c>
      <c r="G8916" t="str">
        <f>VLOOKUP(Table1_2[[#This Row],[Categories]],Sheet3!$A$1:$B$27,2,FALSE)</f>
        <v>Food &amp;Beverage</v>
      </c>
    </row>
    <row r="8917" spans="1:7" x14ac:dyDescent="0.3">
      <c r="A8917" t="s">
        <v>34</v>
      </c>
      <c r="B8917">
        <v>2022</v>
      </c>
      <c r="C8917" t="s">
        <v>39</v>
      </c>
      <c r="D8917" s="2">
        <v>44713</v>
      </c>
      <c r="E8917" t="s">
        <v>9</v>
      </c>
      <c r="F8917">
        <v>182.3</v>
      </c>
      <c r="G8917" t="str">
        <f>VLOOKUP(Table1_2[[#This Row],[Categories]],Sheet3!$A$1:$B$27,2,FALSE)</f>
        <v>Food &amp;Beverage</v>
      </c>
    </row>
    <row r="8918" spans="1:7" x14ac:dyDescent="0.3">
      <c r="A8918" t="s">
        <v>34</v>
      </c>
      <c r="B8918">
        <v>2022</v>
      </c>
      <c r="C8918" t="s">
        <v>39</v>
      </c>
      <c r="D8918" s="2">
        <v>44713</v>
      </c>
      <c r="E8918" t="s">
        <v>10</v>
      </c>
      <c r="F8918">
        <v>164.3</v>
      </c>
      <c r="G8918" t="str">
        <f>VLOOKUP(Table1_2[[#This Row],[Categories]],Sheet3!$A$1:$B$27,2,FALSE)</f>
        <v>Food &amp;Beverage</v>
      </c>
    </row>
    <row r="8919" spans="1:7" x14ac:dyDescent="0.3">
      <c r="A8919" t="s">
        <v>34</v>
      </c>
      <c r="B8919">
        <v>2022</v>
      </c>
      <c r="C8919" t="s">
        <v>39</v>
      </c>
      <c r="D8919" s="2">
        <v>44713</v>
      </c>
      <c r="E8919" t="s">
        <v>11</v>
      </c>
      <c r="F8919">
        <v>119.9</v>
      </c>
      <c r="G8919" t="str">
        <f>VLOOKUP(Table1_2[[#This Row],[Categories]],Sheet3!$A$1:$B$27,2,FALSE)</f>
        <v>Food &amp;Beverage</v>
      </c>
    </row>
    <row r="8920" spans="1:7" x14ac:dyDescent="0.3">
      <c r="A8920" t="s">
        <v>34</v>
      </c>
      <c r="B8920">
        <v>2022</v>
      </c>
      <c r="C8920" t="s">
        <v>39</v>
      </c>
      <c r="D8920" s="2">
        <v>44713</v>
      </c>
      <c r="E8920" t="s">
        <v>12</v>
      </c>
      <c r="F8920">
        <v>187.1</v>
      </c>
      <c r="G8920" t="str">
        <f>VLOOKUP(Table1_2[[#This Row],[Categories]],Sheet3!$A$1:$B$27,2,FALSE)</f>
        <v>Food &amp;Beverage</v>
      </c>
    </row>
    <row r="8921" spans="1:7" x14ac:dyDescent="0.3">
      <c r="A8921" t="s">
        <v>34</v>
      </c>
      <c r="B8921">
        <v>2022</v>
      </c>
      <c r="C8921" t="s">
        <v>39</v>
      </c>
      <c r="D8921" s="2">
        <v>44713</v>
      </c>
      <c r="E8921" t="s">
        <v>13</v>
      </c>
      <c r="F8921">
        <v>167.9</v>
      </c>
      <c r="G8921" t="str">
        <f>VLOOKUP(Table1_2[[#This Row],[Categories]],Sheet3!$A$1:$B$27,2,FALSE)</f>
        <v>Food &amp;Beverage</v>
      </c>
    </row>
    <row r="8922" spans="1:7" x14ac:dyDescent="0.3">
      <c r="A8922" t="s">
        <v>34</v>
      </c>
      <c r="B8922">
        <v>2022</v>
      </c>
      <c r="C8922" t="s">
        <v>39</v>
      </c>
      <c r="D8922" s="2">
        <v>44713</v>
      </c>
      <c r="E8922" t="s">
        <v>14</v>
      </c>
      <c r="F8922">
        <v>183.9</v>
      </c>
      <c r="G8922" t="str">
        <f>VLOOKUP(Table1_2[[#This Row],[Categories]],Sheet3!$A$1:$B$27,2,FALSE)</f>
        <v>Food &amp;Beverage</v>
      </c>
    </row>
    <row r="8923" spans="1:7" x14ac:dyDescent="0.3">
      <c r="A8923" t="s">
        <v>34</v>
      </c>
      <c r="B8923">
        <v>2022</v>
      </c>
      <c r="C8923" t="s">
        <v>39</v>
      </c>
      <c r="D8923" s="2">
        <v>44713</v>
      </c>
      <c r="E8923" t="s">
        <v>15</v>
      </c>
      <c r="F8923">
        <v>174.9</v>
      </c>
      <c r="G8923" t="str">
        <f>VLOOKUP(Table1_2[[#This Row],[Categories]],Sheet3!$A$1:$B$27,2,FALSE)</f>
        <v>Food &amp;Beverage</v>
      </c>
    </row>
    <row r="8924" spans="1:7" x14ac:dyDescent="0.3">
      <c r="A8924" t="s">
        <v>34</v>
      </c>
      <c r="B8924">
        <v>2022</v>
      </c>
      <c r="C8924" t="s">
        <v>39</v>
      </c>
      <c r="D8924" s="2">
        <v>44713</v>
      </c>
      <c r="E8924" t="s">
        <v>16</v>
      </c>
      <c r="F8924">
        <v>194.3</v>
      </c>
      <c r="G8924" t="str">
        <f>VLOOKUP(Table1_2[[#This Row],[Categories]],Sheet3!$A$1:$B$27,2,FALSE)</f>
        <v>Recreation and amusement</v>
      </c>
    </row>
    <row r="8925" spans="1:7" x14ac:dyDescent="0.3">
      <c r="A8925" t="s">
        <v>34</v>
      </c>
      <c r="B8925">
        <v>2022</v>
      </c>
      <c r="C8925" t="s">
        <v>39</v>
      </c>
      <c r="D8925" s="2">
        <v>44713</v>
      </c>
      <c r="E8925" t="s">
        <v>17</v>
      </c>
      <c r="F8925">
        <v>177.1</v>
      </c>
      <c r="G8925" t="str">
        <f>VLOOKUP(Table1_2[[#This Row],[Categories]],Sheet3!$A$1:$B$27,2,FALSE)</f>
        <v>Clothing and footwear</v>
      </c>
    </row>
    <row r="8926" spans="1:7" x14ac:dyDescent="0.3">
      <c r="A8926" t="s">
        <v>34</v>
      </c>
      <c r="B8926">
        <v>2022</v>
      </c>
      <c r="C8926" t="s">
        <v>39</v>
      </c>
      <c r="D8926" s="2">
        <v>44713</v>
      </c>
      <c r="E8926" t="s">
        <v>18</v>
      </c>
      <c r="F8926">
        <v>169.9</v>
      </c>
      <c r="G8926" t="str">
        <f>VLOOKUP(Table1_2[[#This Row],[Categories]],Sheet3!$A$1:$B$27,2,FALSE)</f>
        <v>Clothing and footwear</v>
      </c>
    </row>
    <row r="8927" spans="1:7" x14ac:dyDescent="0.3">
      <c r="A8927" t="s">
        <v>34</v>
      </c>
      <c r="B8927">
        <v>2022</v>
      </c>
      <c r="C8927" t="s">
        <v>39</v>
      </c>
      <c r="D8927" s="2">
        <v>44713</v>
      </c>
      <c r="E8927" t="s">
        <v>19</v>
      </c>
      <c r="F8927">
        <v>176</v>
      </c>
      <c r="G8927" t="str">
        <f>VLOOKUP(Table1_2[[#This Row],[Categories]],Sheet3!$A$1:$B$27,2,FALSE)</f>
        <v>Clothing and footwear</v>
      </c>
    </row>
    <row r="8928" spans="1:7" x14ac:dyDescent="0.3">
      <c r="A8928" t="s">
        <v>34</v>
      </c>
      <c r="B8928">
        <v>2022</v>
      </c>
      <c r="C8928" t="s">
        <v>39</v>
      </c>
      <c r="D8928" s="2">
        <v>44713</v>
      </c>
      <c r="E8928" t="s">
        <v>20</v>
      </c>
      <c r="F8928">
        <v>166.8</v>
      </c>
      <c r="G8928" t="str">
        <f>VLOOKUP(Table1_2[[#This Row],[Categories]],Sheet3!$A$1:$B$27,2,FALSE)</f>
        <v>Housing</v>
      </c>
    </row>
    <row r="8929" spans="1:7" x14ac:dyDescent="0.3">
      <c r="A8929" t="s">
        <v>34</v>
      </c>
      <c r="B8929">
        <v>2022</v>
      </c>
      <c r="C8929" t="s">
        <v>39</v>
      </c>
      <c r="D8929" s="2">
        <v>44713</v>
      </c>
      <c r="E8929" t="s">
        <v>21</v>
      </c>
      <c r="F8929">
        <v>176</v>
      </c>
      <c r="G8929" t="str">
        <f>VLOOKUP(Table1_2[[#This Row],[Categories]],Sheet3!$A$1:$B$27,2,FALSE)</f>
        <v>Fuel and light</v>
      </c>
    </row>
    <row r="8930" spans="1:7" x14ac:dyDescent="0.3">
      <c r="A8930" t="s">
        <v>34</v>
      </c>
      <c r="B8930">
        <v>2022</v>
      </c>
      <c r="C8930" t="s">
        <v>39</v>
      </c>
      <c r="D8930" s="2">
        <v>44713</v>
      </c>
      <c r="E8930" t="s">
        <v>22</v>
      </c>
      <c r="F8930">
        <v>166.4</v>
      </c>
      <c r="G8930" t="str">
        <f>VLOOKUP(Table1_2[[#This Row],[Categories]],Sheet3!$A$1:$B$27,2,FALSE)</f>
        <v>Household Items</v>
      </c>
    </row>
    <row r="8931" spans="1:7" x14ac:dyDescent="0.3">
      <c r="A8931" t="s">
        <v>34</v>
      </c>
      <c r="B8931">
        <v>2022</v>
      </c>
      <c r="C8931" t="s">
        <v>39</v>
      </c>
      <c r="D8931" s="2">
        <v>44713</v>
      </c>
      <c r="E8931" t="s">
        <v>23</v>
      </c>
      <c r="F8931">
        <v>175.4</v>
      </c>
      <c r="G8931" t="str">
        <f>VLOOKUP(Table1_2[[#This Row],[Categories]],Sheet3!$A$1:$B$27,2,FALSE)</f>
        <v>Health</v>
      </c>
    </row>
    <row r="8932" spans="1:7" x14ac:dyDescent="0.3">
      <c r="A8932" t="s">
        <v>34</v>
      </c>
      <c r="B8932">
        <v>2022</v>
      </c>
      <c r="C8932" t="s">
        <v>39</v>
      </c>
      <c r="D8932" s="2">
        <v>44713</v>
      </c>
      <c r="E8932" t="s">
        <v>24</v>
      </c>
      <c r="F8932">
        <v>161.1</v>
      </c>
      <c r="G8932" t="str">
        <f>VLOOKUP(Table1_2[[#This Row],[Categories]],Sheet3!$A$1:$B$27,2,FALSE)</f>
        <v>Transport and communication</v>
      </c>
    </row>
    <row r="8933" spans="1:7" x14ac:dyDescent="0.3">
      <c r="A8933" t="s">
        <v>34</v>
      </c>
      <c r="B8933">
        <v>2022</v>
      </c>
      <c r="C8933" t="s">
        <v>39</v>
      </c>
      <c r="D8933" s="2">
        <v>44713</v>
      </c>
      <c r="E8933" t="s">
        <v>25</v>
      </c>
      <c r="F8933">
        <v>165.8</v>
      </c>
      <c r="G8933" t="str">
        <f>VLOOKUP(Table1_2[[#This Row],[Categories]],Sheet3!$A$1:$B$27,2,FALSE)</f>
        <v>Recreation and amusement</v>
      </c>
    </row>
    <row r="8934" spans="1:7" x14ac:dyDescent="0.3">
      <c r="A8934" t="s">
        <v>34</v>
      </c>
      <c r="B8934">
        <v>2022</v>
      </c>
      <c r="C8934" t="s">
        <v>39</v>
      </c>
      <c r="D8934" s="2">
        <v>44713</v>
      </c>
      <c r="E8934" t="s">
        <v>26</v>
      </c>
      <c r="F8934">
        <v>169</v>
      </c>
      <c r="G8934" t="str">
        <f>VLOOKUP(Table1_2[[#This Row],[Categories]],Sheet3!$A$1:$B$27,2,FALSE)</f>
        <v>Education</v>
      </c>
    </row>
    <row r="8935" spans="1:7" x14ac:dyDescent="0.3">
      <c r="A8935" t="s">
        <v>34</v>
      </c>
      <c r="B8935">
        <v>2022</v>
      </c>
      <c r="C8935" t="s">
        <v>39</v>
      </c>
      <c r="D8935" s="2">
        <v>44713</v>
      </c>
      <c r="E8935" t="s">
        <v>27</v>
      </c>
      <c r="F8935">
        <v>169.4</v>
      </c>
      <c r="G8935" t="str">
        <f>VLOOKUP(Table1_2[[#This Row],[Categories]],Sheet3!$A$1:$B$27,2,FALSE)</f>
        <v>Household Items</v>
      </c>
    </row>
    <row r="8936" spans="1:7" x14ac:dyDescent="0.3">
      <c r="A8936" t="s">
        <v>34</v>
      </c>
      <c r="B8936">
        <v>2022</v>
      </c>
      <c r="C8936" t="s">
        <v>39</v>
      </c>
      <c r="D8936" s="2">
        <v>44713</v>
      </c>
      <c r="E8936" t="s">
        <v>28</v>
      </c>
      <c r="F8936">
        <v>167.5</v>
      </c>
      <c r="G8936" t="str">
        <f>VLOOKUP(Table1_2[[#This Row],[Categories]],Sheet3!$A$1:$B$27,2,FALSE)</f>
        <v>Miscellaneous</v>
      </c>
    </row>
    <row r="8937" spans="1:7" x14ac:dyDescent="0.3">
      <c r="A8937" t="s">
        <v>34</v>
      </c>
      <c r="B8937">
        <v>2022</v>
      </c>
      <c r="C8937" t="s">
        <v>39</v>
      </c>
      <c r="D8937" s="2">
        <v>44713</v>
      </c>
      <c r="E8937" t="s">
        <v>29</v>
      </c>
      <c r="F8937">
        <v>172.6</v>
      </c>
      <c r="G8937" t="str">
        <f>VLOOKUP(Table1_2[[#This Row],[Categories]],Sheet3!$A$1:$B$27,2,FALSE)</f>
        <v>General index</v>
      </c>
    </row>
    <row r="8938" spans="1:7" x14ac:dyDescent="0.3">
      <c r="A8938" t="s">
        <v>30</v>
      </c>
      <c r="B8938">
        <v>2022</v>
      </c>
      <c r="C8938" t="s">
        <v>40</v>
      </c>
      <c r="D8938" s="2">
        <v>44743</v>
      </c>
      <c r="E8938" t="s">
        <v>3</v>
      </c>
      <c r="F8938">
        <v>155.19999999999999</v>
      </c>
      <c r="G8938" t="str">
        <f>VLOOKUP(Table1_2[[#This Row],[Categories]],Sheet3!$A$1:$B$27,2,FALSE)</f>
        <v>Food &amp;Beverage</v>
      </c>
    </row>
    <row r="8939" spans="1:7" x14ac:dyDescent="0.3">
      <c r="A8939" t="s">
        <v>30</v>
      </c>
      <c r="B8939">
        <v>2022</v>
      </c>
      <c r="C8939" t="s">
        <v>40</v>
      </c>
      <c r="D8939" s="2">
        <v>44743</v>
      </c>
      <c r="E8939" t="s">
        <v>4</v>
      </c>
      <c r="F8939">
        <v>210.8</v>
      </c>
      <c r="G8939" t="str">
        <f>VLOOKUP(Table1_2[[#This Row],[Categories]],Sheet3!$A$1:$B$27,2,FALSE)</f>
        <v>Food &amp;Beverage</v>
      </c>
    </row>
    <row r="8940" spans="1:7" x14ac:dyDescent="0.3">
      <c r="A8940" t="s">
        <v>30</v>
      </c>
      <c r="B8940">
        <v>2022</v>
      </c>
      <c r="C8940" t="s">
        <v>40</v>
      </c>
      <c r="D8940" s="2">
        <v>44743</v>
      </c>
      <c r="E8940" t="s">
        <v>5</v>
      </c>
      <c r="F8940">
        <v>174.3</v>
      </c>
      <c r="G8940" t="str">
        <f>VLOOKUP(Table1_2[[#This Row],[Categories]],Sheet3!$A$1:$B$27,2,FALSE)</f>
        <v>Food &amp;Beverage</v>
      </c>
    </row>
    <row r="8941" spans="1:7" x14ac:dyDescent="0.3">
      <c r="A8941" t="s">
        <v>30</v>
      </c>
      <c r="B8941">
        <v>2022</v>
      </c>
      <c r="C8941" t="s">
        <v>40</v>
      </c>
      <c r="D8941" s="2">
        <v>44743</v>
      </c>
      <c r="E8941" t="s">
        <v>6</v>
      </c>
      <c r="F8941">
        <v>166.3</v>
      </c>
      <c r="G8941" t="str">
        <f>VLOOKUP(Table1_2[[#This Row],[Categories]],Sheet3!$A$1:$B$27,2,FALSE)</f>
        <v>Food &amp;Beverage</v>
      </c>
    </row>
    <row r="8942" spans="1:7" x14ac:dyDescent="0.3">
      <c r="A8942" t="s">
        <v>30</v>
      </c>
      <c r="B8942">
        <v>2022</v>
      </c>
      <c r="C8942" t="s">
        <v>40</v>
      </c>
      <c r="D8942" s="2">
        <v>44743</v>
      </c>
      <c r="E8942" t="s">
        <v>7</v>
      </c>
      <c r="F8942">
        <v>202.2</v>
      </c>
      <c r="G8942" t="str">
        <f>VLOOKUP(Table1_2[[#This Row],[Categories]],Sheet3!$A$1:$B$27,2,FALSE)</f>
        <v>Food &amp;Beverage</v>
      </c>
    </row>
    <row r="8943" spans="1:7" x14ac:dyDescent="0.3">
      <c r="A8943" t="s">
        <v>30</v>
      </c>
      <c r="B8943">
        <v>2022</v>
      </c>
      <c r="C8943" t="s">
        <v>40</v>
      </c>
      <c r="D8943" s="2">
        <v>44743</v>
      </c>
      <c r="E8943" t="s">
        <v>8</v>
      </c>
      <c r="F8943">
        <v>169.6</v>
      </c>
      <c r="G8943" t="str">
        <f>VLOOKUP(Table1_2[[#This Row],[Categories]],Sheet3!$A$1:$B$27,2,FALSE)</f>
        <v>Food &amp;Beverage</v>
      </c>
    </row>
    <row r="8944" spans="1:7" x14ac:dyDescent="0.3">
      <c r="A8944" t="s">
        <v>30</v>
      </c>
      <c r="B8944">
        <v>2022</v>
      </c>
      <c r="C8944" t="s">
        <v>40</v>
      </c>
      <c r="D8944" s="2">
        <v>44743</v>
      </c>
      <c r="E8944" t="s">
        <v>9</v>
      </c>
      <c r="F8944">
        <v>168.6</v>
      </c>
      <c r="G8944" t="str">
        <f>VLOOKUP(Table1_2[[#This Row],[Categories]],Sheet3!$A$1:$B$27,2,FALSE)</f>
        <v>Food &amp;Beverage</v>
      </c>
    </row>
    <row r="8945" spans="1:7" x14ac:dyDescent="0.3">
      <c r="A8945" t="s">
        <v>30</v>
      </c>
      <c r="B8945">
        <v>2022</v>
      </c>
      <c r="C8945" t="s">
        <v>40</v>
      </c>
      <c r="D8945" s="2">
        <v>44743</v>
      </c>
      <c r="E8945" t="s">
        <v>10</v>
      </c>
      <c r="F8945">
        <v>164.4</v>
      </c>
      <c r="G8945" t="str">
        <f>VLOOKUP(Table1_2[[#This Row],[Categories]],Sheet3!$A$1:$B$27,2,FALSE)</f>
        <v>Food &amp;Beverage</v>
      </c>
    </row>
    <row r="8946" spans="1:7" x14ac:dyDescent="0.3">
      <c r="A8946" t="s">
        <v>30</v>
      </c>
      <c r="B8946">
        <v>2022</v>
      </c>
      <c r="C8946" t="s">
        <v>40</v>
      </c>
      <c r="D8946" s="2">
        <v>44743</v>
      </c>
      <c r="E8946" t="s">
        <v>11</v>
      </c>
      <c r="F8946">
        <v>119.2</v>
      </c>
      <c r="G8946" t="str">
        <f>VLOOKUP(Table1_2[[#This Row],[Categories]],Sheet3!$A$1:$B$27,2,FALSE)</f>
        <v>Food &amp;Beverage</v>
      </c>
    </row>
    <row r="8947" spans="1:7" x14ac:dyDescent="0.3">
      <c r="A8947" t="s">
        <v>30</v>
      </c>
      <c r="B8947">
        <v>2022</v>
      </c>
      <c r="C8947" t="s">
        <v>40</v>
      </c>
      <c r="D8947" s="2">
        <v>44743</v>
      </c>
      <c r="E8947" t="s">
        <v>12</v>
      </c>
      <c r="F8947">
        <v>191.8</v>
      </c>
      <c r="G8947" t="str">
        <f>VLOOKUP(Table1_2[[#This Row],[Categories]],Sheet3!$A$1:$B$27,2,FALSE)</f>
        <v>Food &amp;Beverage</v>
      </c>
    </row>
    <row r="8948" spans="1:7" x14ac:dyDescent="0.3">
      <c r="A8948" t="s">
        <v>30</v>
      </c>
      <c r="B8948">
        <v>2022</v>
      </c>
      <c r="C8948" t="s">
        <v>40</v>
      </c>
      <c r="D8948" s="2">
        <v>44743</v>
      </c>
      <c r="E8948" t="s">
        <v>13</v>
      </c>
      <c r="F8948">
        <v>174.5</v>
      </c>
      <c r="G8948" t="str">
        <f>VLOOKUP(Table1_2[[#This Row],[Categories]],Sheet3!$A$1:$B$27,2,FALSE)</f>
        <v>Food &amp;Beverage</v>
      </c>
    </row>
    <row r="8949" spans="1:7" x14ac:dyDescent="0.3">
      <c r="A8949" t="s">
        <v>30</v>
      </c>
      <c r="B8949">
        <v>2022</v>
      </c>
      <c r="C8949" t="s">
        <v>40</v>
      </c>
      <c r="D8949" s="2">
        <v>44743</v>
      </c>
      <c r="E8949" t="s">
        <v>14</v>
      </c>
      <c r="F8949">
        <v>183.1</v>
      </c>
      <c r="G8949" t="str">
        <f>VLOOKUP(Table1_2[[#This Row],[Categories]],Sheet3!$A$1:$B$27,2,FALSE)</f>
        <v>Food &amp;Beverage</v>
      </c>
    </row>
    <row r="8950" spans="1:7" x14ac:dyDescent="0.3">
      <c r="A8950" t="s">
        <v>30</v>
      </c>
      <c r="B8950">
        <v>2022</v>
      </c>
      <c r="C8950" t="s">
        <v>40</v>
      </c>
      <c r="D8950" s="2">
        <v>44743</v>
      </c>
      <c r="E8950" t="s">
        <v>15</v>
      </c>
      <c r="F8950">
        <v>172.5</v>
      </c>
      <c r="G8950" t="str">
        <f>VLOOKUP(Table1_2[[#This Row],[Categories]],Sheet3!$A$1:$B$27,2,FALSE)</f>
        <v>Food &amp;Beverage</v>
      </c>
    </row>
    <row r="8951" spans="1:7" x14ac:dyDescent="0.3">
      <c r="A8951" t="s">
        <v>30</v>
      </c>
      <c r="B8951">
        <v>2022</v>
      </c>
      <c r="C8951" t="s">
        <v>40</v>
      </c>
      <c r="D8951" s="2">
        <v>44743</v>
      </c>
      <c r="E8951" t="s">
        <v>16</v>
      </c>
      <c r="F8951">
        <v>193.2</v>
      </c>
      <c r="G8951" t="str">
        <f>VLOOKUP(Table1_2[[#This Row],[Categories]],Sheet3!$A$1:$B$27,2,FALSE)</f>
        <v>Recreation and amusement</v>
      </c>
    </row>
    <row r="8952" spans="1:7" x14ac:dyDescent="0.3">
      <c r="A8952" t="s">
        <v>30</v>
      </c>
      <c r="B8952">
        <v>2022</v>
      </c>
      <c r="C8952" t="s">
        <v>40</v>
      </c>
      <c r="D8952" s="2">
        <v>44743</v>
      </c>
      <c r="E8952" t="s">
        <v>17</v>
      </c>
      <c r="F8952">
        <v>182</v>
      </c>
      <c r="G8952" t="str">
        <f>VLOOKUP(Table1_2[[#This Row],[Categories]],Sheet3!$A$1:$B$27,2,FALSE)</f>
        <v>Clothing and footwear</v>
      </c>
    </row>
    <row r="8953" spans="1:7" x14ac:dyDescent="0.3">
      <c r="A8953" t="s">
        <v>30</v>
      </c>
      <c r="B8953">
        <v>2022</v>
      </c>
      <c r="C8953" t="s">
        <v>40</v>
      </c>
      <c r="D8953" s="2">
        <v>44743</v>
      </c>
      <c r="E8953" t="s">
        <v>18</v>
      </c>
      <c r="F8953">
        <v>180.3</v>
      </c>
      <c r="G8953" t="str">
        <f>VLOOKUP(Table1_2[[#This Row],[Categories]],Sheet3!$A$1:$B$27,2,FALSE)</f>
        <v>Clothing and footwear</v>
      </c>
    </row>
    <row r="8954" spans="1:7" x14ac:dyDescent="0.3">
      <c r="A8954" t="s">
        <v>30</v>
      </c>
      <c r="B8954">
        <v>2022</v>
      </c>
      <c r="C8954" t="s">
        <v>40</v>
      </c>
      <c r="D8954" s="2">
        <v>44743</v>
      </c>
      <c r="E8954" t="s">
        <v>19</v>
      </c>
      <c r="F8954">
        <v>181.7</v>
      </c>
      <c r="G8954" t="str">
        <f>VLOOKUP(Table1_2[[#This Row],[Categories]],Sheet3!$A$1:$B$27,2,FALSE)</f>
        <v>Clothing and footwear</v>
      </c>
    </row>
    <row r="8955" spans="1:7" x14ac:dyDescent="0.3">
      <c r="A8955" t="s">
        <v>30</v>
      </c>
      <c r="B8955">
        <v>2022</v>
      </c>
      <c r="C8955" t="s">
        <v>40</v>
      </c>
      <c r="D8955" s="2">
        <v>44743</v>
      </c>
      <c r="E8955" t="s">
        <v>21</v>
      </c>
      <c r="F8955">
        <v>179.6</v>
      </c>
      <c r="G8955" t="str">
        <f>VLOOKUP(Table1_2[[#This Row],[Categories]],Sheet3!$A$1:$B$27,2,FALSE)</f>
        <v>Fuel and light</v>
      </c>
    </row>
    <row r="8956" spans="1:7" x14ac:dyDescent="0.3">
      <c r="A8956" t="s">
        <v>30</v>
      </c>
      <c r="B8956">
        <v>2022</v>
      </c>
      <c r="C8956" t="s">
        <v>40</v>
      </c>
      <c r="D8956" s="2">
        <v>44743</v>
      </c>
      <c r="E8956" t="s">
        <v>22</v>
      </c>
      <c r="F8956">
        <v>171.3</v>
      </c>
      <c r="G8956" t="str">
        <f>VLOOKUP(Table1_2[[#This Row],[Categories]],Sheet3!$A$1:$B$27,2,FALSE)</f>
        <v>Household Items</v>
      </c>
    </row>
    <row r="8957" spans="1:7" x14ac:dyDescent="0.3">
      <c r="A8957" t="s">
        <v>30</v>
      </c>
      <c r="B8957">
        <v>2022</v>
      </c>
      <c r="C8957" t="s">
        <v>40</v>
      </c>
      <c r="D8957" s="2">
        <v>44743</v>
      </c>
      <c r="E8957" t="s">
        <v>23</v>
      </c>
      <c r="F8957">
        <v>178.8</v>
      </c>
      <c r="G8957" t="str">
        <f>VLOOKUP(Table1_2[[#This Row],[Categories]],Sheet3!$A$1:$B$27,2,FALSE)</f>
        <v>Health</v>
      </c>
    </row>
    <row r="8958" spans="1:7" x14ac:dyDescent="0.3">
      <c r="A8958" t="s">
        <v>30</v>
      </c>
      <c r="B8958">
        <v>2022</v>
      </c>
      <c r="C8958" t="s">
        <v>40</v>
      </c>
      <c r="D8958" s="2">
        <v>44743</v>
      </c>
      <c r="E8958" t="s">
        <v>24</v>
      </c>
      <c r="F8958">
        <v>166.3</v>
      </c>
      <c r="G8958" t="str">
        <f>VLOOKUP(Table1_2[[#This Row],[Categories]],Sheet3!$A$1:$B$27,2,FALSE)</f>
        <v>Transport and communication</v>
      </c>
    </row>
    <row r="8959" spans="1:7" x14ac:dyDescent="0.3">
      <c r="A8959" t="s">
        <v>30</v>
      </c>
      <c r="B8959">
        <v>2022</v>
      </c>
      <c r="C8959" t="s">
        <v>40</v>
      </c>
      <c r="D8959" s="2">
        <v>44743</v>
      </c>
      <c r="E8959" t="s">
        <v>25</v>
      </c>
      <c r="F8959">
        <v>168.6</v>
      </c>
      <c r="G8959" t="str">
        <f>VLOOKUP(Table1_2[[#This Row],[Categories]],Sheet3!$A$1:$B$27,2,FALSE)</f>
        <v>Recreation and amusement</v>
      </c>
    </row>
    <row r="8960" spans="1:7" x14ac:dyDescent="0.3">
      <c r="A8960" t="s">
        <v>30</v>
      </c>
      <c r="B8960">
        <v>2022</v>
      </c>
      <c r="C8960" t="s">
        <v>40</v>
      </c>
      <c r="D8960" s="2">
        <v>44743</v>
      </c>
      <c r="E8960" t="s">
        <v>26</v>
      </c>
      <c r="F8960">
        <v>174.7</v>
      </c>
      <c r="G8960" t="str">
        <f>VLOOKUP(Table1_2[[#This Row],[Categories]],Sheet3!$A$1:$B$27,2,FALSE)</f>
        <v>Education</v>
      </c>
    </row>
    <row r="8961" spans="1:7" x14ac:dyDescent="0.3">
      <c r="A8961" t="s">
        <v>30</v>
      </c>
      <c r="B8961">
        <v>2022</v>
      </c>
      <c r="C8961" t="s">
        <v>40</v>
      </c>
      <c r="D8961" s="2">
        <v>44743</v>
      </c>
      <c r="E8961" t="s">
        <v>27</v>
      </c>
      <c r="F8961">
        <v>169.7</v>
      </c>
      <c r="G8961" t="str">
        <f>VLOOKUP(Table1_2[[#This Row],[Categories]],Sheet3!$A$1:$B$27,2,FALSE)</f>
        <v>Household Items</v>
      </c>
    </row>
    <row r="8962" spans="1:7" x14ac:dyDescent="0.3">
      <c r="A8962" t="s">
        <v>30</v>
      </c>
      <c r="B8962">
        <v>2022</v>
      </c>
      <c r="C8962" t="s">
        <v>40</v>
      </c>
      <c r="D8962" s="2">
        <v>44743</v>
      </c>
      <c r="E8962" t="s">
        <v>28</v>
      </c>
      <c r="F8962">
        <v>171.8</v>
      </c>
      <c r="G8962" t="str">
        <f>VLOOKUP(Table1_2[[#This Row],[Categories]],Sheet3!$A$1:$B$27,2,FALSE)</f>
        <v>Miscellaneous</v>
      </c>
    </row>
    <row r="8963" spans="1:7" x14ac:dyDescent="0.3">
      <c r="A8963" t="s">
        <v>30</v>
      </c>
      <c r="B8963">
        <v>2022</v>
      </c>
      <c r="C8963" t="s">
        <v>40</v>
      </c>
      <c r="D8963" s="2">
        <v>44743</v>
      </c>
      <c r="E8963" t="s">
        <v>29</v>
      </c>
      <c r="F8963">
        <v>174.3</v>
      </c>
      <c r="G8963" t="str">
        <f>VLOOKUP(Table1_2[[#This Row],[Categories]],Sheet3!$A$1:$B$27,2,FALSE)</f>
        <v>General index</v>
      </c>
    </row>
    <row r="8964" spans="1:7" x14ac:dyDescent="0.3">
      <c r="A8964" t="s">
        <v>33</v>
      </c>
      <c r="B8964">
        <v>2022</v>
      </c>
      <c r="C8964" t="s">
        <v>40</v>
      </c>
      <c r="D8964" s="2">
        <v>44743</v>
      </c>
      <c r="E8964" t="s">
        <v>3</v>
      </c>
      <c r="F8964">
        <v>159.30000000000001</v>
      </c>
      <c r="G8964" t="str">
        <f>VLOOKUP(Table1_2[[#This Row],[Categories]],Sheet3!$A$1:$B$27,2,FALSE)</f>
        <v>Food &amp;Beverage</v>
      </c>
    </row>
    <row r="8965" spans="1:7" x14ac:dyDescent="0.3">
      <c r="A8965" t="s">
        <v>33</v>
      </c>
      <c r="B8965">
        <v>2022</v>
      </c>
      <c r="C8965" t="s">
        <v>40</v>
      </c>
      <c r="D8965" s="2">
        <v>44743</v>
      </c>
      <c r="E8965" t="s">
        <v>4</v>
      </c>
      <c r="F8965">
        <v>217.1</v>
      </c>
      <c r="G8965" t="str">
        <f>VLOOKUP(Table1_2[[#This Row],[Categories]],Sheet3!$A$1:$B$27,2,FALSE)</f>
        <v>Food &amp;Beverage</v>
      </c>
    </row>
    <row r="8966" spans="1:7" x14ac:dyDescent="0.3">
      <c r="A8966" t="s">
        <v>33</v>
      </c>
      <c r="B8966">
        <v>2022</v>
      </c>
      <c r="C8966" t="s">
        <v>40</v>
      </c>
      <c r="D8966" s="2">
        <v>44743</v>
      </c>
      <c r="E8966" t="s">
        <v>5</v>
      </c>
      <c r="F8966">
        <v>176.6</v>
      </c>
      <c r="G8966" t="str">
        <f>VLOOKUP(Table1_2[[#This Row],[Categories]],Sheet3!$A$1:$B$27,2,FALSE)</f>
        <v>Food &amp;Beverage</v>
      </c>
    </row>
    <row r="8967" spans="1:7" x14ac:dyDescent="0.3">
      <c r="A8967" t="s">
        <v>33</v>
      </c>
      <c r="B8967">
        <v>2022</v>
      </c>
      <c r="C8967" t="s">
        <v>40</v>
      </c>
      <c r="D8967" s="2">
        <v>44743</v>
      </c>
      <c r="E8967" t="s">
        <v>6</v>
      </c>
      <c r="F8967">
        <v>167.1</v>
      </c>
      <c r="G8967" t="str">
        <f>VLOOKUP(Table1_2[[#This Row],[Categories]],Sheet3!$A$1:$B$27,2,FALSE)</f>
        <v>Food &amp;Beverage</v>
      </c>
    </row>
    <row r="8968" spans="1:7" x14ac:dyDescent="0.3">
      <c r="A8968" t="s">
        <v>33</v>
      </c>
      <c r="B8968">
        <v>2022</v>
      </c>
      <c r="C8968" t="s">
        <v>40</v>
      </c>
      <c r="D8968" s="2">
        <v>44743</v>
      </c>
      <c r="E8968" t="s">
        <v>7</v>
      </c>
      <c r="F8968">
        <v>184.8</v>
      </c>
      <c r="G8968" t="str">
        <f>VLOOKUP(Table1_2[[#This Row],[Categories]],Sheet3!$A$1:$B$27,2,FALSE)</f>
        <v>Food &amp;Beverage</v>
      </c>
    </row>
    <row r="8969" spans="1:7" x14ac:dyDescent="0.3">
      <c r="A8969" t="s">
        <v>33</v>
      </c>
      <c r="B8969">
        <v>2022</v>
      </c>
      <c r="C8969" t="s">
        <v>40</v>
      </c>
      <c r="D8969" s="2">
        <v>44743</v>
      </c>
      <c r="E8969" t="s">
        <v>8</v>
      </c>
      <c r="F8969">
        <v>179.5</v>
      </c>
      <c r="G8969" t="str">
        <f>VLOOKUP(Table1_2[[#This Row],[Categories]],Sheet3!$A$1:$B$27,2,FALSE)</f>
        <v>Food &amp;Beverage</v>
      </c>
    </row>
    <row r="8970" spans="1:7" x14ac:dyDescent="0.3">
      <c r="A8970" t="s">
        <v>33</v>
      </c>
      <c r="B8970">
        <v>2022</v>
      </c>
      <c r="C8970" t="s">
        <v>40</v>
      </c>
      <c r="D8970" s="2">
        <v>44743</v>
      </c>
      <c r="E8970" t="s">
        <v>9</v>
      </c>
      <c r="F8970">
        <v>208.5</v>
      </c>
      <c r="G8970" t="str">
        <f>VLOOKUP(Table1_2[[#This Row],[Categories]],Sheet3!$A$1:$B$27,2,FALSE)</f>
        <v>Food &amp;Beverage</v>
      </c>
    </row>
    <row r="8971" spans="1:7" x14ac:dyDescent="0.3">
      <c r="A8971" t="s">
        <v>33</v>
      </c>
      <c r="B8971">
        <v>2022</v>
      </c>
      <c r="C8971" t="s">
        <v>40</v>
      </c>
      <c r="D8971" s="2">
        <v>44743</v>
      </c>
      <c r="E8971" t="s">
        <v>10</v>
      </c>
      <c r="F8971">
        <v>164</v>
      </c>
      <c r="G8971" t="str">
        <f>VLOOKUP(Table1_2[[#This Row],[Categories]],Sheet3!$A$1:$B$27,2,FALSE)</f>
        <v>Food &amp;Beverage</v>
      </c>
    </row>
    <row r="8972" spans="1:7" x14ac:dyDescent="0.3">
      <c r="A8972" t="s">
        <v>33</v>
      </c>
      <c r="B8972">
        <v>2022</v>
      </c>
      <c r="C8972" t="s">
        <v>40</v>
      </c>
      <c r="D8972" s="2">
        <v>44743</v>
      </c>
      <c r="E8972" t="s">
        <v>11</v>
      </c>
      <c r="F8972">
        <v>121.5</v>
      </c>
      <c r="G8972" t="str">
        <f>VLOOKUP(Table1_2[[#This Row],[Categories]],Sheet3!$A$1:$B$27,2,FALSE)</f>
        <v>Food &amp;Beverage</v>
      </c>
    </row>
    <row r="8973" spans="1:7" x14ac:dyDescent="0.3">
      <c r="A8973" t="s">
        <v>33</v>
      </c>
      <c r="B8973">
        <v>2022</v>
      </c>
      <c r="C8973" t="s">
        <v>40</v>
      </c>
      <c r="D8973" s="2">
        <v>44743</v>
      </c>
      <c r="E8973" t="s">
        <v>12</v>
      </c>
      <c r="F8973">
        <v>186.3</v>
      </c>
      <c r="G8973" t="str">
        <f>VLOOKUP(Table1_2[[#This Row],[Categories]],Sheet3!$A$1:$B$27,2,FALSE)</f>
        <v>Food &amp;Beverage</v>
      </c>
    </row>
    <row r="8974" spans="1:7" x14ac:dyDescent="0.3">
      <c r="A8974" t="s">
        <v>33</v>
      </c>
      <c r="B8974">
        <v>2022</v>
      </c>
      <c r="C8974" t="s">
        <v>40</v>
      </c>
      <c r="D8974" s="2">
        <v>44743</v>
      </c>
      <c r="E8974" t="s">
        <v>13</v>
      </c>
      <c r="F8974">
        <v>159.80000000000001</v>
      </c>
      <c r="G8974" t="str">
        <f>VLOOKUP(Table1_2[[#This Row],[Categories]],Sheet3!$A$1:$B$27,2,FALSE)</f>
        <v>Food &amp;Beverage</v>
      </c>
    </row>
    <row r="8975" spans="1:7" x14ac:dyDescent="0.3">
      <c r="A8975" t="s">
        <v>33</v>
      </c>
      <c r="B8975">
        <v>2022</v>
      </c>
      <c r="C8975" t="s">
        <v>40</v>
      </c>
      <c r="D8975" s="2">
        <v>44743</v>
      </c>
      <c r="E8975" t="s">
        <v>14</v>
      </c>
      <c r="F8975">
        <v>187.7</v>
      </c>
      <c r="G8975" t="str">
        <f>VLOOKUP(Table1_2[[#This Row],[Categories]],Sheet3!$A$1:$B$27,2,FALSE)</f>
        <v>Food &amp;Beverage</v>
      </c>
    </row>
    <row r="8976" spans="1:7" x14ac:dyDescent="0.3">
      <c r="A8976" t="s">
        <v>33</v>
      </c>
      <c r="B8976">
        <v>2022</v>
      </c>
      <c r="C8976" t="s">
        <v>40</v>
      </c>
      <c r="D8976" s="2">
        <v>44743</v>
      </c>
      <c r="E8976" t="s">
        <v>15</v>
      </c>
      <c r="F8976">
        <v>179.4</v>
      </c>
      <c r="G8976" t="str">
        <f>VLOOKUP(Table1_2[[#This Row],[Categories]],Sheet3!$A$1:$B$27,2,FALSE)</f>
        <v>Food &amp;Beverage</v>
      </c>
    </row>
    <row r="8977" spans="1:7" x14ac:dyDescent="0.3">
      <c r="A8977" t="s">
        <v>33</v>
      </c>
      <c r="B8977">
        <v>2022</v>
      </c>
      <c r="C8977" t="s">
        <v>40</v>
      </c>
      <c r="D8977" s="2">
        <v>44743</v>
      </c>
      <c r="E8977" t="s">
        <v>16</v>
      </c>
      <c r="F8977">
        <v>198.6</v>
      </c>
      <c r="G8977" t="str">
        <f>VLOOKUP(Table1_2[[#This Row],[Categories]],Sheet3!$A$1:$B$27,2,FALSE)</f>
        <v>Recreation and amusement</v>
      </c>
    </row>
    <row r="8978" spans="1:7" x14ac:dyDescent="0.3">
      <c r="A8978" t="s">
        <v>33</v>
      </c>
      <c r="B8978">
        <v>2022</v>
      </c>
      <c r="C8978" t="s">
        <v>40</v>
      </c>
      <c r="D8978" s="2">
        <v>44743</v>
      </c>
      <c r="E8978" t="s">
        <v>17</v>
      </c>
      <c r="F8978">
        <v>172.7</v>
      </c>
      <c r="G8978" t="str">
        <f>VLOOKUP(Table1_2[[#This Row],[Categories]],Sheet3!$A$1:$B$27,2,FALSE)</f>
        <v>Clothing and footwear</v>
      </c>
    </row>
    <row r="8979" spans="1:7" x14ac:dyDescent="0.3">
      <c r="A8979" t="s">
        <v>33</v>
      </c>
      <c r="B8979">
        <v>2022</v>
      </c>
      <c r="C8979" t="s">
        <v>40</v>
      </c>
      <c r="D8979" s="2">
        <v>44743</v>
      </c>
      <c r="E8979" t="s">
        <v>18</v>
      </c>
      <c r="F8979">
        <v>158.69999999999999</v>
      </c>
      <c r="G8979" t="str">
        <f>VLOOKUP(Table1_2[[#This Row],[Categories]],Sheet3!$A$1:$B$27,2,FALSE)</f>
        <v>Clothing and footwear</v>
      </c>
    </row>
    <row r="8980" spans="1:7" x14ac:dyDescent="0.3">
      <c r="A8980" t="s">
        <v>33</v>
      </c>
      <c r="B8980">
        <v>2022</v>
      </c>
      <c r="C8980" t="s">
        <v>40</v>
      </c>
      <c r="D8980" s="2">
        <v>44743</v>
      </c>
      <c r="E8980" t="s">
        <v>19</v>
      </c>
      <c r="F8980">
        <v>170.6</v>
      </c>
      <c r="G8980" t="str">
        <f>VLOOKUP(Table1_2[[#This Row],[Categories]],Sheet3!$A$1:$B$27,2,FALSE)</f>
        <v>Clothing and footwear</v>
      </c>
    </row>
    <row r="8981" spans="1:7" x14ac:dyDescent="0.3">
      <c r="A8981" t="s">
        <v>33</v>
      </c>
      <c r="B8981">
        <v>2022</v>
      </c>
      <c r="C8981" t="s">
        <v>40</v>
      </c>
      <c r="D8981" s="2">
        <v>44743</v>
      </c>
      <c r="E8981" t="s">
        <v>20</v>
      </c>
      <c r="F8981">
        <v>167.8</v>
      </c>
      <c r="G8981" t="str">
        <f>VLOOKUP(Table1_2[[#This Row],[Categories]],Sheet3!$A$1:$B$27,2,FALSE)</f>
        <v>Housing</v>
      </c>
    </row>
    <row r="8982" spans="1:7" x14ac:dyDescent="0.3">
      <c r="A8982" t="s">
        <v>33</v>
      </c>
      <c r="B8982">
        <v>2022</v>
      </c>
      <c r="C8982" t="s">
        <v>40</v>
      </c>
      <c r="D8982" s="2">
        <v>44743</v>
      </c>
      <c r="E8982" t="s">
        <v>21</v>
      </c>
      <c r="F8982">
        <v>179.5</v>
      </c>
      <c r="G8982" t="str">
        <f>VLOOKUP(Table1_2[[#This Row],[Categories]],Sheet3!$A$1:$B$27,2,FALSE)</f>
        <v>Fuel and light</v>
      </c>
    </row>
    <row r="8983" spans="1:7" x14ac:dyDescent="0.3">
      <c r="A8983" t="s">
        <v>33</v>
      </c>
      <c r="B8983">
        <v>2022</v>
      </c>
      <c r="C8983" t="s">
        <v>40</v>
      </c>
      <c r="D8983" s="2">
        <v>44743</v>
      </c>
      <c r="E8983" t="s">
        <v>22</v>
      </c>
      <c r="F8983">
        <v>163.1</v>
      </c>
      <c r="G8983" t="str">
        <f>VLOOKUP(Table1_2[[#This Row],[Categories]],Sheet3!$A$1:$B$27,2,FALSE)</f>
        <v>Household Items</v>
      </c>
    </row>
    <row r="8984" spans="1:7" x14ac:dyDescent="0.3">
      <c r="A8984" t="s">
        <v>33</v>
      </c>
      <c r="B8984">
        <v>2022</v>
      </c>
      <c r="C8984" t="s">
        <v>40</v>
      </c>
      <c r="D8984" s="2">
        <v>44743</v>
      </c>
      <c r="E8984" t="s">
        <v>23</v>
      </c>
      <c r="F8984">
        <v>171.7</v>
      </c>
      <c r="G8984" t="str">
        <f>VLOOKUP(Table1_2[[#This Row],[Categories]],Sheet3!$A$1:$B$27,2,FALSE)</f>
        <v>Health</v>
      </c>
    </row>
    <row r="8985" spans="1:7" x14ac:dyDescent="0.3">
      <c r="A8985" t="s">
        <v>33</v>
      </c>
      <c r="B8985">
        <v>2022</v>
      </c>
      <c r="C8985" t="s">
        <v>40</v>
      </c>
      <c r="D8985" s="2">
        <v>44743</v>
      </c>
      <c r="E8985" t="s">
        <v>24</v>
      </c>
      <c r="F8985">
        <v>157.4</v>
      </c>
      <c r="G8985" t="str">
        <f>VLOOKUP(Table1_2[[#This Row],[Categories]],Sheet3!$A$1:$B$27,2,FALSE)</f>
        <v>Transport and communication</v>
      </c>
    </row>
    <row r="8986" spans="1:7" x14ac:dyDescent="0.3">
      <c r="A8986" t="s">
        <v>33</v>
      </c>
      <c r="B8986">
        <v>2022</v>
      </c>
      <c r="C8986" t="s">
        <v>40</v>
      </c>
      <c r="D8986" s="2">
        <v>44743</v>
      </c>
      <c r="E8986" t="s">
        <v>25</v>
      </c>
      <c r="F8986">
        <v>164.6</v>
      </c>
      <c r="G8986" t="str">
        <f>VLOOKUP(Table1_2[[#This Row],[Categories]],Sheet3!$A$1:$B$27,2,FALSE)</f>
        <v>Recreation and amusement</v>
      </c>
    </row>
    <row r="8987" spans="1:7" x14ac:dyDescent="0.3">
      <c r="A8987" t="s">
        <v>33</v>
      </c>
      <c r="B8987">
        <v>2022</v>
      </c>
      <c r="C8987" t="s">
        <v>40</v>
      </c>
      <c r="D8987" s="2">
        <v>44743</v>
      </c>
      <c r="E8987" t="s">
        <v>26</v>
      </c>
      <c r="F8987">
        <v>169.1</v>
      </c>
      <c r="G8987" t="str">
        <f>VLOOKUP(Table1_2[[#This Row],[Categories]],Sheet3!$A$1:$B$27,2,FALSE)</f>
        <v>Education</v>
      </c>
    </row>
    <row r="8988" spans="1:7" x14ac:dyDescent="0.3">
      <c r="A8988" t="s">
        <v>33</v>
      </c>
      <c r="B8988">
        <v>2022</v>
      </c>
      <c r="C8988" t="s">
        <v>40</v>
      </c>
      <c r="D8988" s="2">
        <v>44743</v>
      </c>
      <c r="E8988" t="s">
        <v>27</v>
      </c>
      <c r="F8988">
        <v>169.8</v>
      </c>
      <c r="G8988" t="str">
        <f>VLOOKUP(Table1_2[[#This Row],[Categories]],Sheet3!$A$1:$B$27,2,FALSE)</f>
        <v>Household Items</v>
      </c>
    </row>
    <row r="8989" spans="1:7" x14ac:dyDescent="0.3">
      <c r="A8989" t="s">
        <v>33</v>
      </c>
      <c r="B8989">
        <v>2022</v>
      </c>
      <c r="C8989" t="s">
        <v>40</v>
      </c>
      <c r="D8989" s="2">
        <v>44743</v>
      </c>
      <c r="E8989" t="s">
        <v>28</v>
      </c>
      <c r="F8989">
        <v>164.7</v>
      </c>
      <c r="G8989" t="str">
        <f>VLOOKUP(Table1_2[[#This Row],[Categories]],Sheet3!$A$1:$B$27,2,FALSE)</f>
        <v>Miscellaneous</v>
      </c>
    </row>
    <row r="8990" spans="1:7" x14ac:dyDescent="0.3">
      <c r="A8990" t="s">
        <v>33</v>
      </c>
      <c r="B8990">
        <v>2022</v>
      </c>
      <c r="C8990" t="s">
        <v>40</v>
      </c>
      <c r="D8990" s="2">
        <v>44743</v>
      </c>
      <c r="E8990" t="s">
        <v>29</v>
      </c>
      <c r="F8990">
        <v>172.3</v>
      </c>
      <c r="G8990" t="str">
        <f>VLOOKUP(Table1_2[[#This Row],[Categories]],Sheet3!$A$1:$B$27,2,FALSE)</f>
        <v>General index</v>
      </c>
    </row>
    <row r="8991" spans="1:7" x14ac:dyDescent="0.3">
      <c r="A8991" t="s">
        <v>34</v>
      </c>
      <c r="B8991">
        <v>2022</v>
      </c>
      <c r="C8991" t="s">
        <v>40</v>
      </c>
      <c r="D8991" s="2">
        <v>44743</v>
      </c>
      <c r="E8991" t="s">
        <v>3</v>
      </c>
      <c r="F8991">
        <v>156.5</v>
      </c>
      <c r="G8991" t="str">
        <f>VLOOKUP(Table1_2[[#This Row],[Categories]],Sheet3!$A$1:$B$27,2,FALSE)</f>
        <v>Food &amp;Beverage</v>
      </c>
    </row>
    <row r="8992" spans="1:7" x14ac:dyDescent="0.3">
      <c r="A8992" t="s">
        <v>34</v>
      </c>
      <c r="B8992">
        <v>2022</v>
      </c>
      <c r="C8992" t="s">
        <v>40</v>
      </c>
      <c r="D8992" s="2">
        <v>44743</v>
      </c>
      <c r="E8992" t="s">
        <v>4</v>
      </c>
      <c r="F8992">
        <v>213</v>
      </c>
      <c r="G8992" t="str">
        <f>VLOOKUP(Table1_2[[#This Row],[Categories]],Sheet3!$A$1:$B$27,2,FALSE)</f>
        <v>Food &amp;Beverage</v>
      </c>
    </row>
    <row r="8993" spans="1:7" x14ac:dyDescent="0.3">
      <c r="A8993" t="s">
        <v>34</v>
      </c>
      <c r="B8993">
        <v>2022</v>
      </c>
      <c r="C8993" t="s">
        <v>40</v>
      </c>
      <c r="D8993" s="2">
        <v>44743</v>
      </c>
      <c r="E8993" t="s">
        <v>5</v>
      </c>
      <c r="F8993">
        <v>175.2</v>
      </c>
      <c r="G8993" t="str">
        <f>VLOOKUP(Table1_2[[#This Row],[Categories]],Sheet3!$A$1:$B$27,2,FALSE)</f>
        <v>Food &amp;Beverage</v>
      </c>
    </row>
    <row r="8994" spans="1:7" x14ac:dyDescent="0.3">
      <c r="A8994" t="s">
        <v>34</v>
      </c>
      <c r="B8994">
        <v>2022</v>
      </c>
      <c r="C8994" t="s">
        <v>40</v>
      </c>
      <c r="D8994" s="2">
        <v>44743</v>
      </c>
      <c r="E8994" t="s">
        <v>6</v>
      </c>
      <c r="F8994">
        <v>166.6</v>
      </c>
      <c r="G8994" t="str">
        <f>VLOOKUP(Table1_2[[#This Row],[Categories]],Sheet3!$A$1:$B$27,2,FALSE)</f>
        <v>Food &amp;Beverage</v>
      </c>
    </row>
    <row r="8995" spans="1:7" x14ac:dyDescent="0.3">
      <c r="A8995" t="s">
        <v>34</v>
      </c>
      <c r="B8995">
        <v>2022</v>
      </c>
      <c r="C8995" t="s">
        <v>40</v>
      </c>
      <c r="D8995" s="2">
        <v>44743</v>
      </c>
      <c r="E8995" t="s">
        <v>7</v>
      </c>
      <c r="F8995">
        <v>195.8</v>
      </c>
      <c r="G8995" t="str">
        <f>VLOOKUP(Table1_2[[#This Row],[Categories]],Sheet3!$A$1:$B$27,2,FALSE)</f>
        <v>Food &amp;Beverage</v>
      </c>
    </row>
    <row r="8996" spans="1:7" x14ac:dyDescent="0.3">
      <c r="A8996" t="s">
        <v>34</v>
      </c>
      <c r="B8996">
        <v>2022</v>
      </c>
      <c r="C8996" t="s">
        <v>40</v>
      </c>
      <c r="D8996" s="2">
        <v>44743</v>
      </c>
      <c r="E8996" t="s">
        <v>8</v>
      </c>
      <c r="F8996">
        <v>174.2</v>
      </c>
      <c r="G8996" t="str">
        <f>VLOOKUP(Table1_2[[#This Row],[Categories]],Sheet3!$A$1:$B$27,2,FALSE)</f>
        <v>Food &amp;Beverage</v>
      </c>
    </row>
    <row r="8997" spans="1:7" x14ac:dyDescent="0.3">
      <c r="A8997" t="s">
        <v>34</v>
      </c>
      <c r="B8997">
        <v>2022</v>
      </c>
      <c r="C8997" t="s">
        <v>40</v>
      </c>
      <c r="D8997" s="2">
        <v>44743</v>
      </c>
      <c r="E8997" t="s">
        <v>9</v>
      </c>
      <c r="F8997">
        <v>182.1</v>
      </c>
      <c r="G8997" t="str">
        <f>VLOOKUP(Table1_2[[#This Row],[Categories]],Sheet3!$A$1:$B$27,2,FALSE)</f>
        <v>Food &amp;Beverage</v>
      </c>
    </row>
    <row r="8998" spans="1:7" x14ac:dyDescent="0.3">
      <c r="A8998" t="s">
        <v>34</v>
      </c>
      <c r="B8998">
        <v>2022</v>
      </c>
      <c r="C8998" t="s">
        <v>40</v>
      </c>
      <c r="D8998" s="2">
        <v>44743</v>
      </c>
      <c r="E8998" t="s">
        <v>10</v>
      </c>
      <c r="F8998">
        <v>164.3</v>
      </c>
      <c r="G8998" t="str">
        <f>VLOOKUP(Table1_2[[#This Row],[Categories]],Sheet3!$A$1:$B$27,2,FALSE)</f>
        <v>Food &amp;Beverage</v>
      </c>
    </row>
    <row r="8999" spans="1:7" x14ac:dyDescent="0.3">
      <c r="A8999" t="s">
        <v>34</v>
      </c>
      <c r="B8999">
        <v>2022</v>
      </c>
      <c r="C8999" t="s">
        <v>40</v>
      </c>
      <c r="D8999" s="2">
        <v>44743</v>
      </c>
      <c r="E8999" t="s">
        <v>11</v>
      </c>
      <c r="F8999">
        <v>120</v>
      </c>
      <c r="G8999" t="str">
        <f>VLOOKUP(Table1_2[[#This Row],[Categories]],Sheet3!$A$1:$B$27,2,FALSE)</f>
        <v>Food &amp;Beverage</v>
      </c>
    </row>
    <row r="9000" spans="1:7" x14ac:dyDescent="0.3">
      <c r="A9000" t="s">
        <v>34</v>
      </c>
      <c r="B9000">
        <v>2022</v>
      </c>
      <c r="C9000" t="s">
        <v>40</v>
      </c>
      <c r="D9000" s="2">
        <v>44743</v>
      </c>
      <c r="E9000" t="s">
        <v>12</v>
      </c>
      <c r="F9000">
        <v>190</v>
      </c>
      <c r="G9000" t="str">
        <f>VLOOKUP(Table1_2[[#This Row],[Categories]],Sheet3!$A$1:$B$27,2,FALSE)</f>
        <v>Food &amp;Beverage</v>
      </c>
    </row>
    <row r="9001" spans="1:7" x14ac:dyDescent="0.3">
      <c r="A9001" t="s">
        <v>34</v>
      </c>
      <c r="B9001">
        <v>2022</v>
      </c>
      <c r="C9001" t="s">
        <v>40</v>
      </c>
      <c r="D9001" s="2">
        <v>44743</v>
      </c>
      <c r="E9001" t="s">
        <v>13</v>
      </c>
      <c r="F9001">
        <v>168.4</v>
      </c>
      <c r="G9001" t="str">
        <f>VLOOKUP(Table1_2[[#This Row],[Categories]],Sheet3!$A$1:$B$27,2,FALSE)</f>
        <v>Food &amp;Beverage</v>
      </c>
    </row>
    <row r="9002" spans="1:7" x14ac:dyDescent="0.3">
      <c r="A9002" t="s">
        <v>34</v>
      </c>
      <c r="B9002">
        <v>2022</v>
      </c>
      <c r="C9002" t="s">
        <v>40</v>
      </c>
      <c r="D9002" s="2">
        <v>44743</v>
      </c>
      <c r="E9002" t="s">
        <v>14</v>
      </c>
      <c r="F9002">
        <v>185.2</v>
      </c>
      <c r="G9002" t="str">
        <f>VLOOKUP(Table1_2[[#This Row],[Categories]],Sheet3!$A$1:$B$27,2,FALSE)</f>
        <v>Food &amp;Beverage</v>
      </c>
    </row>
    <row r="9003" spans="1:7" x14ac:dyDescent="0.3">
      <c r="A9003" t="s">
        <v>34</v>
      </c>
      <c r="B9003">
        <v>2022</v>
      </c>
      <c r="C9003" t="s">
        <v>40</v>
      </c>
      <c r="D9003" s="2">
        <v>44743</v>
      </c>
      <c r="E9003" t="s">
        <v>15</v>
      </c>
      <c r="F9003">
        <v>175</v>
      </c>
      <c r="G9003" t="str">
        <f>VLOOKUP(Table1_2[[#This Row],[Categories]],Sheet3!$A$1:$B$27,2,FALSE)</f>
        <v>Food &amp;Beverage</v>
      </c>
    </row>
    <row r="9004" spans="1:7" x14ac:dyDescent="0.3">
      <c r="A9004" t="s">
        <v>34</v>
      </c>
      <c r="B9004">
        <v>2022</v>
      </c>
      <c r="C9004" t="s">
        <v>40</v>
      </c>
      <c r="D9004" s="2">
        <v>44743</v>
      </c>
      <c r="E9004" t="s">
        <v>16</v>
      </c>
      <c r="F9004">
        <v>194.6</v>
      </c>
      <c r="G9004" t="str">
        <f>VLOOKUP(Table1_2[[#This Row],[Categories]],Sheet3!$A$1:$B$27,2,FALSE)</f>
        <v>Recreation and amusement</v>
      </c>
    </row>
    <row r="9005" spans="1:7" x14ac:dyDescent="0.3">
      <c r="A9005" t="s">
        <v>34</v>
      </c>
      <c r="B9005">
        <v>2022</v>
      </c>
      <c r="C9005" t="s">
        <v>40</v>
      </c>
      <c r="D9005" s="2">
        <v>44743</v>
      </c>
      <c r="E9005" t="s">
        <v>17</v>
      </c>
      <c r="F9005">
        <v>178.3</v>
      </c>
      <c r="G9005" t="str">
        <f>VLOOKUP(Table1_2[[#This Row],[Categories]],Sheet3!$A$1:$B$27,2,FALSE)</f>
        <v>Clothing and footwear</v>
      </c>
    </row>
    <row r="9006" spans="1:7" x14ac:dyDescent="0.3">
      <c r="A9006" t="s">
        <v>34</v>
      </c>
      <c r="B9006">
        <v>2022</v>
      </c>
      <c r="C9006" t="s">
        <v>40</v>
      </c>
      <c r="D9006" s="2">
        <v>44743</v>
      </c>
      <c r="E9006" t="s">
        <v>18</v>
      </c>
      <c r="F9006">
        <v>171.3</v>
      </c>
      <c r="G9006" t="str">
        <f>VLOOKUP(Table1_2[[#This Row],[Categories]],Sheet3!$A$1:$B$27,2,FALSE)</f>
        <v>Clothing and footwear</v>
      </c>
    </row>
    <row r="9007" spans="1:7" x14ac:dyDescent="0.3">
      <c r="A9007" t="s">
        <v>34</v>
      </c>
      <c r="B9007">
        <v>2022</v>
      </c>
      <c r="C9007" t="s">
        <v>40</v>
      </c>
      <c r="D9007" s="2">
        <v>44743</v>
      </c>
      <c r="E9007" t="s">
        <v>19</v>
      </c>
      <c r="F9007">
        <v>177.3</v>
      </c>
      <c r="G9007" t="str">
        <f>VLOOKUP(Table1_2[[#This Row],[Categories]],Sheet3!$A$1:$B$27,2,FALSE)</f>
        <v>Clothing and footwear</v>
      </c>
    </row>
    <row r="9008" spans="1:7" x14ac:dyDescent="0.3">
      <c r="A9008" t="s">
        <v>34</v>
      </c>
      <c r="B9008">
        <v>2022</v>
      </c>
      <c r="C9008" t="s">
        <v>40</v>
      </c>
      <c r="D9008" s="2">
        <v>44743</v>
      </c>
      <c r="E9008" t="s">
        <v>20</v>
      </c>
      <c r="F9008">
        <v>167.8</v>
      </c>
      <c r="G9008" t="str">
        <f>VLOOKUP(Table1_2[[#This Row],[Categories]],Sheet3!$A$1:$B$27,2,FALSE)</f>
        <v>Housing</v>
      </c>
    </row>
    <row r="9009" spans="1:7" x14ac:dyDescent="0.3">
      <c r="A9009" t="s">
        <v>34</v>
      </c>
      <c r="B9009">
        <v>2022</v>
      </c>
      <c r="C9009" t="s">
        <v>40</v>
      </c>
      <c r="D9009" s="2">
        <v>44743</v>
      </c>
      <c r="E9009" t="s">
        <v>21</v>
      </c>
      <c r="F9009">
        <v>179.6</v>
      </c>
      <c r="G9009" t="str">
        <f>VLOOKUP(Table1_2[[#This Row],[Categories]],Sheet3!$A$1:$B$27,2,FALSE)</f>
        <v>Fuel and light</v>
      </c>
    </row>
    <row r="9010" spans="1:7" x14ac:dyDescent="0.3">
      <c r="A9010" t="s">
        <v>34</v>
      </c>
      <c r="B9010">
        <v>2022</v>
      </c>
      <c r="C9010" t="s">
        <v>40</v>
      </c>
      <c r="D9010" s="2">
        <v>44743</v>
      </c>
      <c r="E9010" t="s">
        <v>22</v>
      </c>
      <c r="F9010">
        <v>167.4</v>
      </c>
      <c r="G9010" t="str">
        <f>VLOOKUP(Table1_2[[#This Row],[Categories]],Sheet3!$A$1:$B$27,2,FALSE)</f>
        <v>Household Items</v>
      </c>
    </row>
    <row r="9011" spans="1:7" x14ac:dyDescent="0.3">
      <c r="A9011" t="s">
        <v>34</v>
      </c>
      <c r="B9011">
        <v>2022</v>
      </c>
      <c r="C9011" t="s">
        <v>40</v>
      </c>
      <c r="D9011" s="2">
        <v>44743</v>
      </c>
      <c r="E9011" t="s">
        <v>23</v>
      </c>
      <c r="F9011">
        <v>176.1</v>
      </c>
      <c r="G9011" t="str">
        <f>VLOOKUP(Table1_2[[#This Row],[Categories]],Sheet3!$A$1:$B$27,2,FALSE)</f>
        <v>Health</v>
      </c>
    </row>
    <row r="9012" spans="1:7" x14ac:dyDescent="0.3">
      <c r="A9012" t="s">
        <v>34</v>
      </c>
      <c r="B9012">
        <v>2022</v>
      </c>
      <c r="C9012" t="s">
        <v>40</v>
      </c>
      <c r="D9012" s="2">
        <v>44743</v>
      </c>
      <c r="E9012" t="s">
        <v>24</v>
      </c>
      <c r="F9012">
        <v>161.6</v>
      </c>
      <c r="G9012" t="str">
        <f>VLOOKUP(Table1_2[[#This Row],[Categories]],Sheet3!$A$1:$B$27,2,FALSE)</f>
        <v>Transport and communication</v>
      </c>
    </row>
    <row r="9013" spans="1:7" x14ac:dyDescent="0.3">
      <c r="A9013" t="s">
        <v>34</v>
      </c>
      <c r="B9013">
        <v>2022</v>
      </c>
      <c r="C9013" t="s">
        <v>40</v>
      </c>
      <c r="D9013" s="2">
        <v>44743</v>
      </c>
      <c r="E9013" t="s">
        <v>25</v>
      </c>
      <c r="F9013">
        <v>166.3</v>
      </c>
      <c r="G9013" t="str">
        <f>VLOOKUP(Table1_2[[#This Row],[Categories]],Sheet3!$A$1:$B$27,2,FALSE)</f>
        <v>Recreation and amusement</v>
      </c>
    </row>
    <row r="9014" spans="1:7" x14ac:dyDescent="0.3">
      <c r="A9014" t="s">
        <v>34</v>
      </c>
      <c r="B9014">
        <v>2022</v>
      </c>
      <c r="C9014" t="s">
        <v>40</v>
      </c>
      <c r="D9014" s="2">
        <v>44743</v>
      </c>
      <c r="E9014" t="s">
        <v>26</v>
      </c>
      <c r="F9014">
        <v>171.4</v>
      </c>
      <c r="G9014" t="str">
        <f>VLOOKUP(Table1_2[[#This Row],[Categories]],Sheet3!$A$1:$B$27,2,FALSE)</f>
        <v>Education</v>
      </c>
    </row>
    <row r="9015" spans="1:7" x14ac:dyDescent="0.3">
      <c r="A9015" t="s">
        <v>34</v>
      </c>
      <c r="B9015">
        <v>2022</v>
      </c>
      <c r="C9015" t="s">
        <v>40</v>
      </c>
      <c r="D9015" s="2">
        <v>44743</v>
      </c>
      <c r="E9015" t="s">
        <v>27</v>
      </c>
      <c r="F9015">
        <v>169.7</v>
      </c>
      <c r="G9015" t="str">
        <f>VLOOKUP(Table1_2[[#This Row],[Categories]],Sheet3!$A$1:$B$27,2,FALSE)</f>
        <v>Household Items</v>
      </c>
    </row>
    <row r="9016" spans="1:7" x14ac:dyDescent="0.3">
      <c r="A9016" t="s">
        <v>34</v>
      </c>
      <c r="B9016">
        <v>2022</v>
      </c>
      <c r="C9016" t="s">
        <v>40</v>
      </c>
      <c r="D9016" s="2">
        <v>44743</v>
      </c>
      <c r="E9016" t="s">
        <v>28</v>
      </c>
      <c r="F9016">
        <v>168.4</v>
      </c>
      <c r="G9016" t="str">
        <f>VLOOKUP(Table1_2[[#This Row],[Categories]],Sheet3!$A$1:$B$27,2,FALSE)</f>
        <v>Miscellaneous</v>
      </c>
    </row>
    <row r="9017" spans="1:7" x14ac:dyDescent="0.3">
      <c r="A9017" t="s">
        <v>34</v>
      </c>
      <c r="B9017">
        <v>2022</v>
      </c>
      <c r="C9017" t="s">
        <v>40</v>
      </c>
      <c r="D9017" s="2">
        <v>44743</v>
      </c>
      <c r="E9017" t="s">
        <v>29</v>
      </c>
      <c r="F9017">
        <v>173.4</v>
      </c>
      <c r="G9017" t="str">
        <f>VLOOKUP(Table1_2[[#This Row],[Categories]],Sheet3!$A$1:$B$27,2,FALSE)</f>
        <v>General index</v>
      </c>
    </row>
    <row r="9018" spans="1:7" x14ac:dyDescent="0.3">
      <c r="A9018" t="s">
        <v>30</v>
      </c>
      <c r="B9018">
        <v>2022</v>
      </c>
      <c r="C9018" t="s">
        <v>41</v>
      </c>
      <c r="D9018" s="2">
        <v>44774</v>
      </c>
      <c r="E9018" t="s">
        <v>3</v>
      </c>
      <c r="F9018">
        <v>159.5</v>
      </c>
      <c r="G9018" t="str">
        <f>VLOOKUP(Table1_2[[#This Row],[Categories]],Sheet3!$A$1:$B$27,2,FALSE)</f>
        <v>Food &amp;Beverage</v>
      </c>
    </row>
    <row r="9019" spans="1:7" x14ac:dyDescent="0.3">
      <c r="A9019" t="s">
        <v>30</v>
      </c>
      <c r="B9019">
        <v>2022</v>
      </c>
      <c r="C9019" t="s">
        <v>41</v>
      </c>
      <c r="D9019" s="2">
        <v>44774</v>
      </c>
      <c r="E9019" t="s">
        <v>4</v>
      </c>
      <c r="F9019">
        <v>204.1</v>
      </c>
      <c r="G9019" t="str">
        <f>VLOOKUP(Table1_2[[#This Row],[Categories]],Sheet3!$A$1:$B$27,2,FALSE)</f>
        <v>Food &amp;Beverage</v>
      </c>
    </row>
    <row r="9020" spans="1:7" x14ac:dyDescent="0.3">
      <c r="A9020" t="s">
        <v>30</v>
      </c>
      <c r="B9020">
        <v>2022</v>
      </c>
      <c r="C9020" t="s">
        <v>41</v>
      </c>
      <c r="D9020" s="2">
        <v>44774</v>
      </c>
      <c r="E9020" t="s">
        <v>5</v>
      </c>
      <c r="F9020">
        <v>168.3</v>
      </c>
      <c r="G9020" t="str">
        <f>VLOOKUP(Table1_2[[#This Row],[Categories]],Sheet3!$A$1:$B$27,2,FALSE)</f>
        <v>Food &amp;Beverage</v>
      </c>
    </row>
    <row r="9021" spans="1:7" x14ac:dyDescent="0.3">
      <c r="A9021" t="s">
        <v>30</v>
      </c>
      <c r="B9021">
        <v>2022</v>
      </c>
      <c r="C9021" t="s">
        <v>41</v>
      </c>
      <c r="D9021" s="2">
        <v>44774</v>
      </c>
      <c r="E9021" t="s">
        <v>6</v>
      </c>
      <c r="F9021">
        <v>167.9</v>
      </c>
      <c r="G9021" t="str">
        <f>VLOOKUP(Table1_2[[#This Row],[Categories]],Sheet3!$A$1:$B$27,2,FALSE)</f>
        <v>Food &amp;Beverage</v>
      </c>
    </row>
    <row r="9022" spans="1:7" x14ac:dyDescent="0.3">
      <c r="A9022" t="s">
        <v>30</v>
      </c>
      <c r="B9022">
        <v>2022</v>
      </c>
      <c r="C9022" t="s">
        <v>41</v>
      </c>
      <c r="D9022" s="2">
        <v>44774</v>
      </c>
      <c r="E9022" t="s">
        <v>7</v>
      </c>
      <c r="F9022">
        <v>198.1</v>
      </c>
      <c r="G9022" t="str">
        <f>VLOOKUP(Table1_2[[#This Row],[Categories]],Sheet3!$A$1:$B$27,2,FALSE)</f>
        <v>Food &amp;Beverage</v>
      </c>
    </row>
    <row r="9023" spans="1:7" x14ac:dyDescent="0.3">
      <c r="A9023" t="s">
        <v>30</v>
      </c>
      <c r="B9023">
        <v>2022</v>
      </c>
      <c r="C9023" t="s">
        <v>41</v>
      </c>
      <c r="D9023" s="2">
        <v>44774</v>
      </c>
      <c r="E9023" t="s">
        <v>8</v>
      </c>
      <c r="F9023">
        <v>169.2</v>
      </c>
      <c r="G9023" t="str">
        <f>VLOOKUP(Table1_2[[#This Row],[Categories]],Sheet3!$A$1:$B$27,2,FALSE)</f>
        <v>Food &amp;Beverage</v>
      </c>
    </row>
    <row r="9024" spans="1:7" x14ac:dyDescent="0.3">
      <c r="A9024" t="s">
        <v>30</v>
      </c>
      <c r="B9024">
        <v>2022</v>
      </c>
      <c r="C9024" t="s">
        <v>41</v>
      </c>
      <c r="D9024" s="2">
        <v>44774</v>
      </c>
      <c r="E9024" t="s">
        <v>9</v>
      </c>
      <c r="F9024">
        <v>173.1</v>
      </c>
      <c r="G9024" t="str">
        <f>VLOOKUP(Table1_2[[#This Row],[Categories]],Sheet3!$A$1:$B$27,2,FALSE)</f>
        <v>Food &amp;Beverage</v>
      </c>
    </row>
    <row r="9025" spans="1:7" x14ac:dyDescent="0.3">
      <c r="A9025" t="s">
        <v>30</v>
      </c>
      <c r="B9025">
        <v>2022</v>
      </c>
      <c r="C9025" t="s">
        <v>41</v>
      </c>
      <c r="D9025" s="2">
        <v>44774</v>
      </c>
      <c r="E9025" t="s">
        <v>10</v>
      </c>
      <c r="F9025">
        <v>167.1</v>
      </c>
      <c r="G9025" t="str">
        <f>VLOOKUP(Table1_2[[#This Row],[Categories]],Sheet3!$A$1:$B$27,2,FALSE)</f>
        <v>Food &amp;Beverage</v>
      </c>
    </row>
    <row r="9026" spans="1:7" x14ac:dyDescent="0.3">
      <c r="A9026" t="s">
        <v>30</v>
      </c>
      <c r="B9026">
        <v>2022</v>
      </c>
      <c r="C9026" t="s">
        <v>41</v>
      </c>
      <c r="D9026" s="2">
        <v>44774</v>
      </c>
      <c r="E9026" t="s">
        <v>11</v>
      </c>
      <c r="F9026">
        <v>120.2</v>
      </c>
      <c r="G9026" t="str">
        <f>VLOOKUP(Table1_2[[#This Row],[Categories]],Sheet3!$A$1:$B$27,2,FALSE)</f>
        <v>Food &amp;Beverage</v>
      </c>
    </row>
    <row r="9027" spans="1:7" x14ac:dyDescent="0.3">
      <c r="A9027" t="s">
        <v>30</v>
      </c>
      <c r="B9027">
        <v>2022</v>
      </c>
      <c r="C9027" t="s">
        <v>41</v>
      </c>
      <c r="D9027" s="2">
        <v>44774</v>
      </c>
      <c r="E9027" t="s">
        <v>12</v>
      </c>
      <c r="F9027">
        <v>195.6</v>
      </c>
      <c r="G9027" t="str">
        <f>VLOOKUP(Table1_2[[#This Row],[Categories]],Sheet3!$A$1:$B$27,2,FALSE)</f>
        <v>Food &amp;Beverage</v>
      </c>
    </row>
    <row r="9028" spans="1:7" x14ac:dyDescent="0.3">
      <c r="A9028" t="s">
        <v>30</v>
      </c>
      <c r="B9028">
        <v>2022</v>
      </c>
      <c r="C9028" t="s">
        <v>41</v>
      </c>
      <c r="D9028" s="2">
        <v>44774</v>
      </c>
      <c r="E9028" t="s">
        <v>13</v>
      </c>
      <c r="F9028">
        <v>174.8</v>
      </c>
      <c r="G9028" t="str">
        <f>VLOOKUP(Table1_2[[#This Row],[Categories]],Sheet3!$A$1:$B$27,2,FALSE)</f>
        <v>Food &amp;Beverage</v>
      </c>
    </row>
    <row r="9029" spans="1:7" x14ac:dyDescent="0.3">
      <c r="A9029" t="s">
        <v>30</v>
      </c>
      <c r="B9029">
        <v>2022</v>
      </c>
      <c r="C9029" t="s">
        <v>41</v>
      </c>
      <c r="D9029" s="2">
        <v>44774</v>
      </c>
      <c r="E9029" t="s">
        <v>14</v>
      </c>
      <c r="F9029">
        <v>184</v>
      </c>
      <c r="G9029" t="str">
        <f>VLOOKUP(Table1_2[[#This Row],[Categories]],Sheet3!$A$1:$B$27,2,FALSE)</f>
        <v>Food &amp;Beverage</v>
      </c>
    </row>
    <row r="9030" spans="1:7" x14ac:dyDescent="0.3">
      <c r="A9030" t="s">
        <v>30</v>
      </c>
      <c r="B9030">
        <v>2022</v>
      </c>
      <c r="C9030" t="s">
        <v>41</v>
      </c>
      <c r="D9030" s="2">
        <v>44774</v>
      </c>
      <c r="E9030" t="s">
        <v>15</v>
      </c>
      <c r="F9030">
        <v>173.9</v>
      </c>
      <c r="G9030" t="str">
        <f>VLOOKUP(Table1_2[[#This Row],[Categories]],Sheet3!$A$1:$B$27,2,FALSE)</f>
        <v>Food &amp;Beverage</v>
      </c>
    </row>
    <row r="9031" spans="1:7" x14ac:dyDescent="0.3">
      <c r="A9031" t="s">
        <v>30</v>
      </c>
      <c r="B9031">
        <v>2022</v>
      </c>
      <c r="C9031" t="s">
        <v>41</v>
      </c>
      <c r="D9031" s="2">
        <v>44774</v>
      </c>
      <c r="E9031" t="s">
        <v>16</v>
      </c>
      <c r="F9031">
        <v>193.7</v>
      </c>
      <c r="G9031" t="str">
        <f>VLOOKUP(Table1_2[[#This Row],[Categories]],Sheet3!$A$1:$B$27,2,FALSE)</f>
        <v>Recreation and amusement</v>
      </c>
    </row>
    <row r="9032" spans="1:7" x14ac:dyDescent="0.3">
      <c r="A9032" t="s">
        <v>30</v>
      </c>
      <c r="B9032">
        <v>2022</v>
      </c>
      <c r="C9032" t="s">
        <v>41</v>
      </c>
      <c r="D9032" s="2">
        <v>44774</v>
      </c>
      <c r="E9032" t="s">
        <v>17</v>
      </c>
      <c r="F9032">
        <v>183.2</v>
      </c>
      <c r="G9032" t="str">
        <f>VLOOKUP(Table1_2[[#This Row],[Categories]],Sheet3!$A$1:$B$27,2,FALSE)</f>
        <v>Clothing and footwear</v>
      </c>
    </row>
    <row r="9033" spans="1:7" x14ac:dyDescent="0.3">
      <c r="A9033" t="s">
        <v>30</v>
      </c>
      <c r="B9033">
        <v>2022</v>
      </c>
      <c r="C9033" t="s">
        <v>41</v>
      </c>
      <c r="D9033" s="2">
        <v>44774</v>
      </c>
      <c r="E9033" t="s">
        <v>18</v>
      </c>
      <c r="F9033">
        <v>181.7</v>
      </c>
      <c r="G9033" t="str">
        <f>VLOOKUP(Table1_2[[#This Row],[Categories]],Sheet3!$A$1:$B$27,2,FALSE)</f>
        <v>Clothing and footwear</v>
      </c>
    </row>
    <row r="9034" spans="1:7" x14ac:dyDescent="0.3">
      <c r="A9034" t="s">
        <v>30</v>
      </c>
      <c r="B9034">
        <v>2022</v>
      </c>
      <c r="C9034" t="s">
        <v>41</v>
      </c>
      <c r="D9034" s="2">
        <v>44774</v>
      </c>
      <c r="E9034" t="s">
        <v>19</v>
      </c>
      <c r="F9034">
        <v>183</v>
      </c>
      <c r="G9034" t="str">
        <f>VLOOKUP(Table1_2[[#This Row],[Categories]],Sheet3!$A$1:$B$27,2,FALSE)</f>
        <v>Clothing and footwear</v>
      </c>
    </row>
    <row r="9035" spans="1:7" x14ac:dyDescent="0.3">
      <c r="A9035" t="s">
        <v>30</v>
      </c>
      <c r="B9035">
        <v>2022</v>
      </c>
      <c r="C9035" t="s">
        <v>41</v>
      </c>
      <c r="D9035" s="2">
        <v>44774</v>
      </c>
      <c r="E9035" t="s">
        <v>21</v>
      </c>
      <c r="F9035">
        <v>179.1</v>
      </c>
      <c r="G9035" t="str">
        <f>VLOOKUP(Table1_2[[#This Row],[Categories]],Sheet3!$A$1:$B$27,2,FALSE)</f>
        <v>Fuel and light</v>
      </c>
    </row>
    <row r="9036" spans="1:7" x14ac:dyDescent="0.3">
      <c r="A9036" t="s">
        <v>30</v>
      </c>
      <c r="B9036">
        <v>2022</v>
      </c>
      <c r="C9036" t="s">
        <v>41</v>
      </c>
      <c r="D9036" s="2">
        <v>44774</v>
      </c>
      <c r="E9036" t="s">
        <v>22</v>
      </c>
      <c r="F9036">
        <v>172.3</v>
      </c>
      <c r="G9036" t="str">
        <f>VLOOKUP(Table1_2[[#This Row],[Categories]],Sheet3!$A$1:$B$27,2,FALSE)</f>
        <v>Household Items</v>
      </c>
    </row>
    <row r="9037" spans="1:7" x14ac:dyDescent="0.3">
      <c r="A9037" t="s">
        <v>30</v>
      </c>
      <c r="B9037">
        <v>2022</v>
      </c>
      <c r="C9037" t="s">
        <v>41</v>
      </c>
      <c r="D9037" s="2">
        <v>44774</v>
      </c>
      <c r="E9037" t="s">
        <v>23</v>
      </c>
      <c r="F9037">
        <v>179.4</v>
      </c>
      <c r="G9037" t="str">
        <f>VLOOKUP(Table1_2[[#This Row],[Categories]],Sheet3!$A$1:$B$27,2,FALSE)</f>
        <v>Health</v>
      </c>
    </row>
    <row r="9038" spans="1:7" x14ac:dyDescent="0.3">
      <c r="A9038" t="s">
        <v>30</v>
      </c>
      <c r="B9038">
        <v>2022</v>
      </c>
      <c r="C9038" t="s">
        <v>41</v>
      </c>
      <c r="D9038" s="2">
        <v>44774</v>
      </c>
      <c r="E9038" t="s">
        <v>24</v>
      </c>
      <c r="F9038">
        <v>166.6</v>
      </c>
      <c r="G9038" t="str">
        <f>VLOOKUP(Table1_2[[#This Row],[Categories]],Sheet3!$A$1:$B$27,2,FALSE)</f>
        <v>Transport and communication</v>
      </c>
    </row>
    <row r="9039" spans="1:7" x14ac:dyDescent="0.3">
      <c r="A9039" t="s">
        <v>30</v>
      </c>
      <c r="B9039">
        <v>2022</v>
      </c>
      <c r="C9039" t="s">
        <v>41</v>
      </c>
      <c r="D9039" s="2">
        <v>44774</v>
      </c>
      <c r="E9039" t="s">
        <v>25</v>
      </c>
      <c r="F9039">
        <v>169.3</v>
      </c>
      <c r="G9039" t="str">
        <f>VLOOKUP(Table1_2[[#This Row],[Categories]],Sheet3!$A$1:$B$27,2,FALSE)</f>
        <v>Recreation and amusement</v>
      </c>
    </row>
    <row r="9040" spans="1:7" x14ac:dyDescent="0.3">
      <c r="A9040" t="s">
        <v>30</v>
      </c>
      <c r="B9040">
        <v>2022</v>
      </c>
      <c r="C9040" t="s">
        <v>41</v>
      </c>
      <c r="D9040" s="2">
        <v>44774</v>
      </c>
      <c r="E9040" t="s">
        <v>26</v>
      </c>
      <c r="F9040">
        <v>175.7</v>
      </c>
      <c r="G9040" t="str">
        <f>VLOOKUP(Table1_2[[#This Row],[Categories]],Sheet3!$A$1:$B$27,2,FALSE)</f>
        <v>Education</v>
      </c>
    </row>
    <row r="9041" spans="1:7" x14ac:dyDescent="0.3">
      <c r="A9041" t="s">
        <v>30</v>
      </c>
      <c r="B9041">
        <v>2022</v>
      </c>
      <c r="C9041" t="s">
        <v>41</v>
      </c>
      <c r="D9041" s="2">
        <v>44774</v>
      </c>
      <c r="E9041" t="s">
        <v>27</v>
      </c>
      <c r="F9041">
        <v>171.1</v>
      </c>
      <c r="G9041" t="str">
        <f>VLOOKUP(Table1_2[[#This Row],[Categories]],Sheet3!$A$1:$B$27,2,FALSE)</f>
        <v>Household Items</v>
      </c>
    </row>
    <row r="9042" spans="1:7" x14ac:dyDescent="0.3">
      <c r="A9042" t="s">
        <v>30</v>
      </c>
      <c r="B9042">
        <v>2022</v>
      </c>
      <c r="C9042" t="s">
        <v>41</v>
      </c>
      <c r="D9042" s="2">
        <v>44774</v>
      </c>
      <c r="E9042" t="s">
        <v>28</v>
      </c>
      <c r="F9042">
        <v>172.6</v>
      </c>
      <c r="G9042" t="str">
        <f>VLOOKUP(Table1_2[[#This Row],[Categories]],Sheet3!$A$1:$B$27,2,FALSE)</f>
        <v>Miscellaneous</v>
      </c>
    </row>
    <row r="9043" spans="1:7" x14ac:dyDescent="0.3">
      <c r="A9043" t="s">
        <v>30</v>
      </c>
      <c r="B9043">
        <v>2022</v>
      </c>
      <c r="C9043" t="s">
        <v>41</v>
      </c>
      <c r="D9043" s="2">
        <v>44774</v>
      </c>
      <c r="E9043" t="s">
        <v>29</v>
      </c>
      <c r="F9043">
        <v>175.3</v>
      </c>
      <c r="G9043" t="str">
        <f>VLOOKUP(Table1_2[[#This Row],[Categories]],Sheet3!$A$1:$B$27,2,FALSE)</f>
        <v>General index</v>
      </c>
    </row>
    <row r="9044" spans="1:7" x14ac:dyDescent="0.3">
      <c r="A9044" t="s">
        <v>33</v>
      </c>
      <c r="B9044">
        <v>2022</v>
      </c>
      <c r="C9044" t="s">
        <v>41</v>
      </c>
      <c r="D9044" s="2">
        <v>44774</v>
      </c>
      <c r="E9044" t="s">
        <v>3</v>
      </c>
      <c r="F9044">
        <v>162.1</v>
      </c>
      <c r="G9044" t="str">
        <f>VLOOKUP(Table1_2[[#This Row],[Categories]],Sheet3!$A$1:$B$27,2,FALSE)</f>
        <v>Food &amp;Beverage</v>
      </c>
    </row>
    <row r="9045" spans="1:7" x14ac:dyDescent="0.3">
      <c r="A9045" t="s">
        <v>33</v>
      </c>
      <c r="B9045">
        <v>2022</v>
      </c>
      <c r="C9045" t="s">
        <v>41</v>
      </c>
      <c r="D9045" s="2">
        <v>44774</v>
      </c>
      <c r="E9045" t="s">
        <v>4</v>
      </c>
      <c r="F9045">
        <v>210.9</v>
      </c>
      <c r="G9045" t="str">
        <f>VLOOKUP(Table1_2[[#This Row],[Categories]],Sheet3!$A$1:$B$27,2,FALSE)</f>
        <v>Food &amp;Beverage</v>
      </c>
    </row>
    <row r="9046" spans="1:7" x14ac:dyDescent="0.3">
      <c r="A9046" t="s">
        <v>33</v>
      </c>
      <c r="B9046">
        <v>2022</v>
      </c>
      <c r="C9046" t="s">
        <v>41</v>
      </c>
      <c r="D9046" s="2">
        <v>44774</v>
      </c>
      <c r="E9046" t="s">
        <v>5</v>
      </c>
      <c r="F9046">
        <v>170.6</v>
      </c>
      <c r="G9046" t="str">
        <f>VLOOKUP(Table1_2[[#This Row],[Categories]],Sheet3!$A$1:$B$27,2,FALSE)</f>
        <v>Food &amp;Beverage</v>
      </c>
    </row>
    <row r="9047" spans="1:7" x14ac:dyDescent="0.3">
      <c r="A9047" t="s">
        <v>33</v>
      </c>
      <c r="B9047">
        <v>2022</v>
      </c>
      <c r="C9047" t="s">
        <v>41</v>
      </c>
      <c r="D9047" s="2">
        <v>44774</v>
      </c>
      <c r="E9047" t="s">
        <v>6</v>
      </c>
      <c r="F9047">
        <v>168.4</v>
      </c>
      <c r="G9047" t="str">
        <f>VLOOKUP(Table1_2[[#This Row],[Categories]],Sheet3!$A$1:$B$27,2,FALSE)</f>
        <v>Food &amp;Beverage</v>
      </c>
    </row>
    <row r="9048" spans="1:7" x14ac:dyDescent="0.3">
      <c r="A9048" t="s">
        <v>33</v>
      </c>
      <c r="B9048">
        <v>2022</v>
      </c>
      <c r="C9048" t="s">
        <v>41</v>
      </c>
      <c r="D9048" s="2">
        <v>44774</v>
      </c>
      <c r="E9048" t="s">
        <v>7</v>
      </c>
      <c r="F9048">
        <v>182.5</v>
      </c>
      <c r="G9048" t="str">
        <f>VLOOKUP(Table1_2[[#This Row],[Categories]],Sheet3!$A$1:$B$27,2,FALSE)</f>
        <v>Food &amp;Beverage</v>
      </c>
    </row>
    <row r="9049" spans="1:7" x14ac:dyDescent="0.3">
      <c r="A9049" t="s">
        <v>33</v>
      </c>
      <c r="B9049">
        <v>2022</v>
      </c>
      <c r="C9049" t="s">
        <v>41</v>
      </c>
      <c r="D9049" s="2">
        <v>44774</v>
      </c>
      <c r="E9049" t="s">
        <v>8</v>
      </c>
      <c r="F9049">
        <v>177.1</v>
      </c>
      <c r="G9049" t="str">
        <f>VLOOKUP(Table1_2[[#This Row],[Categories]],Sheet3!$A$1:$B$27,2,FALSE)</f>
        <v>Food &amp;Beverage</v>
      </c>
    </row>
    <row r="9050" spans="1:7" x14ac:dyDescent="0.3">
      <c r="A9050" t="s">
        <v>33</v>
      </c>
      <c r="B9050">
        <v>2022</v>
      </c>
      <c r="C9050" t="s">
        <v>41</v>
      </c>
      <c r="D9050" s="2">
        <v>44774</v>
      </c>
      <c r="E9050" t="s">
        <v>9</v>
      </c>
      <c r="F9050">
        <v>213.1</v>
      </c>
      <c r="G9050" t="str">
        <f>VLOOKUP(Table1_2[[#This Row],[Categories]],Sheet3!$A$1:$B$27,2,FALSE)</f>
        <v>Food &amp;Beverage</v>
      </c>
    </row>
    <row r="9051" spans="1:7" x14ac:dyDescent="0.3">
      <c r="A9051" t="s">
        <v>33</v>
      </c>
      <c r="B9051">
        <v>2022</v>
      </c>
      <c r="C9051" t="s">
        <v>41</v>
      </c>
      <c r="D9051" s="2">
        <v>44774</v>
      </c>
      <c r="E9051" t="s">
        <v>10</v>
      </c>
      <c r="F9051">
        <v>167.3</v>
      </c>
      <c r="G9051" t="str">
        <f>VLOOKUP(Table1_2[[#This Row],[Categories]],Sheet3!$A$1:$B$27,2,FALSE)</f>
        <v>Food &amp;Beverage</v>
      </c>
    </row>
    <row r="9052" spans="1:7" x14ac:dyDescent="0.3">
      <c r="A9052" t="s">
        <v>33</v>
      </c>
      <c r="B9052">
        <v>2022</v>
      </c>
      <c r="C9052" t="s">
        <v>41</v>
      </c>
      <c r="D9052" s="2">
        <v>44774</v>
      </c>
      <c r="E9052" t="s">
        <v>11</v>
      </c>
      <c r="F9052">
        <v>122.2</v>
      </c>
      <c r="G9052" t="str">
        <f>VLOOKUP(Table1_2[[#This Row],[Categories]],Sheet3!$A$1:$B$27,2,FALSE)</f>
        <v>Food &amp;Beverage</v>
      </c>
    </row>
    <row r="9053" spans="1:7" x14ac:dyDescent="0.3">
      <c r="A9053" t="s">
        <v>33</v>
      </c>
      <c r="B9053">
        <v>2022</v>
      </c>
      <c r="C9053" t="s">
        <v>41</v>
      </c>
      <c r="D9053" s="2">
        <v>44774</v>
      </c>
      <c r="E9053" t="s">
        <v>12</v>
      </c>
      <c r="F9053">
        <v>189.7</v>
      </c>
      <c r="G9053" t="str">
        <f>VLOOKUP(Table1_2[[#This Row],[Categories]],Sheet3!$A$1:$B$27,2,FALSE)</f>
        <v>Food &amp;Beverage</v>
      </c>
    </row>
    <row r="9054" spans="1:7" x14ac:dyDescent="0.3">
      <c r="A9054" t="s">
        <v>33</v>
      </c>
      <c r="B9054">
        <v>2022</v>
      </c>
      <c r="C9054" t="s">
        <v>41</v>
      </c>
      <c r="D9054" s="2">
        <v>44774</v>
      </c>
      <c r="E9054" t="s">
        <v>13</v>
      </c>
      <c r="F9054">
        <v>160.5</v>
      </c>
      <c r="G9054" t="str">
        <f>VLOOKUP(Table1_2[[#This Row],[Categories]],Sheet3!$A$1:$B$27,2,FALSE)</f>
        <v>Food &amp;Beverage</v>
      </c>
    </row>
    <row r="9055" spans="1:7" x14ac:dyDescent="0.3">
      <c r="A9055" t="s">
        <v>33</v>
      </c>
      <c r="B9055">
        <v>2022</v>
      </c>
      <c r="C9055" t="s">
        <v>41</v>
      </c>
      <c r="D9055" s="2">
        <v>44774</v>
      </c>
      <c r="E9055" t="s">
        <v>14</v>
      </c>
      <c r="F9055">
        <v>188.9</v>
      </c>
      <c r="G9055" t="str">
        <f>VLOOKUP(Table1_2[[#This Row],[Categories]],Sheet3!$A$1:$B$27,2,FALSE)</f>
        <v>Food &amp;Beverage</v>
      </c>
    </row>
    <row r="9056" spans="1:7" x14ac:dyDescent="0.3">
      <c r="A9056" t="s">
        <v>33</v>
      </c>
      <c r="B9056">
        <v>2022</v>
      </c>
      <c r="C9056" t="s">
        <v>41</v>
      </c>
      <c r="D9056" s="2">
        <v>44774</v>
      </c>
      <c r="E9056" t="s">
        <v>15</v>
      </c>
      <c r="F9056">
        <v>180.4</v>
      </c>
      <c r="G9056" t="str">
        <f>VLOOKUP(Table1_2[[#This Row],[Categories]],Sheet3!$A$1:$B$27,2,FALSE)</f>
        <v>Food &amp;Beverage</v>
      </c>
    </row>
    <row r="9057" spans="1:7" x14ac:dyDescent="0.3">
      <c r="A9057" t="s">
        <v>33</v>
      </c>
      <c r="B9057">
        <v>2022</v>
      </c>
      <c r="C9057" t="s">
        <v>41</v>
      </c>
      <c r="D9057" s="2">
        <v>44774</v>
      </c>
      <c r="E9057" t="s">
        <v>16</v>
      </c>
      <c r="F9057">
        <v>198.7</v>
      </c>
      <c r="G9057" t="str">
        <f>VLOOKUP(Table1_2[[#This Row],[Categories]],Sheet3!$A$1:$B$27,2,FALSE)</f>
        <v>Recreation and amusement</v>
      </c>
    </row>
    <row r="9058" spans="1:7" x14ac:dyDescent="0.3">
      <c r="A9058" t="s">
        <v>33</v>
      </c>
      <c r="B9058">
        <v>2022</v>
      </c>
      <c r="C9058" t="s">
        <v>41</v>
      </c>
      <c r="D9058" s="2">
        <v>44774</v>
      </c>
      <c r="E9058" t="s">
        <v>17</v>
      </c>
      <c r="F9058">
        <v>173.7</v>
      </c>
      <c r="G9058" t="str">
        <f>VLOOKUP(Table1_2[[#This Row],[Categories]],Sheet3!$A$1:$B$27,2,FALSE)</f>
        <v>Clothing and footwear</v>
      </c>
    </row>
    <row r="9059" spans="1:7" x14ac:dyDescent="0.3">
      <c r="A9059" t="s">
        <v>33</v>
      </c>
      <c r="B9059">
        <v>2022</v>
      </c>
      <c r="C9059" t="s">
        <v>41</v>
      </c>
      <c r="D9059" s="2">
        <v>44774</v>
      </c>
      <c r="E9059" t="s">
        <v>18</v>
      </c>
      <c r="F9059">
        <v>160</v>
      </c>
      <c r="G9059" t="str">
        <f>VLOOKUP(Table1_2[[#This Row],[Categories]],Sheet3!$A$1:$B$27,2,FALSE)</f>
        <v>Clothing and footwear</v>
      </c>
    </row>
    <row r="9060" spans="1:7" x14ac:dyDescent="0.3">
      <c r="A9060" t="s">
        <v>33</v>
      </c>
      <c r="B9060">
        <v>2022</v>
      </c>
      <c r="C9060" t="s">
        <v>41</v>
      </c>
      <c r="D9060" s="2">
        <v>44774</v>
      </c>
      <c r="E9060" t="s">
        <v>19</v>
      </c>
      <c r="F9060">
        <v>171.6</v>
      </c>
      <c r="G9060" t="str">
        <f>VLOOKUP(Table1_2[[#This Row],[Categories]],Sheet3!$A$1:$B$27,2,FALSE)</f>
        <v>Clothing and footwear</v>
      </c>
    </row>
    <row r="9061" spans="1:7" x14ac:dyDescent="0.3">
      <c r="A9061" t="s">
        <v>33</v>
      </c>
      <c r="B9061">
        <v>2022</v>
      </c>
      <c r="C9061" t="s">
        <v>41</v>
      </c>
      <c r="D9061" s="2">
        <v>44774</v>
      </c>
      <c r="E9061" t="s">
        <v>20</v>
      </c>
      <c r="F9061">
        <v>169</v>
      </c>
      <c r="G9061" t="str">
        <f>VLOOKUP(Table1_2[[#This Row],[Categories]],Sheet3!$A$1:$B$27,2,FALSE)</f>
        <v>Housing</v>
      </c>
    </row>
    <row r="9062" spans="1:7" x14ac:dyDescent="0.3">
      <c r="A9062" t="s">
        <v>33</v>
      </c>
      <c r="B9062">
        <v>2022</v>
      </c>
      <c r="C9062" t="s">
        <v>41</v>
      </c>
      <c r="D9062" s="2">
        <v>44774</v>
      </c>
      <c r="E9062" t="s">
        <v>21</v>
      </c>
      <c r="F9062">
        <v>178.4</v>
      </c>
      <c r="G9062" t="str">
        <f>VLOOKUP(Table1_2[[#This Row],[Categories]],Sheet3!$A$1:$B$27,2,FALSE)</f>
        <v>Fuel and light</v>
      </c>
    </row>
    <row r="9063" spans="1:7" x14ac:dyDescent="0.3">
      <c r="A9063" t="s">
        <v>33</v>
      </c>
      <c r="B9063">
        <v>2022</v>
      </c>
      <c r="C9063" t="s">
        <v>41</v>
      </c>
      <c r="D9063" s="2">
        <v>44774</v>
      </c>
      <c r="E9063" t="s">
        <v>22</v>
      </c>
      <c r="F9063">
        <v>164.2</v>
      </c>
      <c r="G9063" t="str">
        <f>VLOOKUP(Table1_2[[#This Row],[Categories]],Sheet3!$A$1:$B$27,2,FALSE)</f>
        <v>Household Items</v>
      </c>
    </row>
    <row r="9064" spans="1:7" x14ac:dyDescent="0.3">
      <c r="A9064" t="s">
        <v>33</v>
      </c>
      <c r="B9064">
        <v>2022</v>
      </c>
      <c r="C9064" t="s">
        <v>41</v>
      </c>
      <c r="D9064" s="2">
        <v>44774</v>
      </c>
      <c r="E9064" t="s">
        <v>23</v>
      </c>
      <c r="F9064">
        <v>172.6</v>
      </c>
      <c r="G9064" t="str">
        <f>VLOOKUP(Table1_2[[#This Row],[Categories]],Sheet3!$A$1:$B$27,2,FALSE)</f>
        <v>Health</v>
      </c>
    </row>
    <row r="9065" spans="1:7" x14ac:dyDescent="0.3">
      <c r="A9065" t="s">
        <v>33</v>
      </c>
      <c r="B9065">
        <v>2022</v>
      </c>
      <c r="C9065" t="s">
        <v>41</v>
      </c>
      <c r="D9065" s="2">
        <v>44774</v>
      </c>
      <c r="E9065" t="s">
        <v>24</v>
      </c>
      <c r="F9065">
        <v>157.69999999999999</v>
      </c>
      <c r="G9065" t="str">
        <f>VLOOKUP(Table1_2[[#This Row],[Categories]],Sheet3!$A$1:$B$27,2,FALSE)</f>
        <v>Transport and communication</v>
      </c>
    </row>
    <row r="9066" spans="1:7" x14ac:dyDescent="0.3">
      <c r="A9066" t="s">
        <v>33</v>
      </c>
      <c r="B9066">
        <v>2022</v>
      </c>
      <c r="C9066" t="s">
        <v>41</v>
      </c>
      <c r="D9066" s="2">
        <v>44774</v>
      </c>
      <c r="E9066" t="s">
        <v>25</v>
      </c>
      <c r="F9066">
        <v>165.1</v>
      </c>
      <c r="G9066" t="str">
        <f>VLOOKUP(Table1_2[[#This Row],[Categories]],Sheet3!$A$1:$B$27,2,FALSE)</f>
        <v>Recreation and amusement</v>
      </c>
    </row>
    <row r="9067" spans="1:7" x14ac:dyDescent="0.3">
      <c r="A9067" t="s">
        <v>33</v>
      </c>
      <c r="B9067">
        <v>2022</v>
      </c>
      <c r="C9067" t="s">
        <v>41</v>
      </c>
      <c r="D9067" s="2">
        <v>44774</v>
      </c>
      <c r="E9067" t="s">
        <v>26</v>
      </c>
      <c r="F9067">
        <v>169.9</v>
      </c>
      <c r="G9067" t="str">
        <f>VLOOKUP(Table1_2[[#This Row],[Categories]],Sheet3!$A$1:$B$27,2,FALSE)</f>
        <v>Education</v>
      </c>
    </row>
    <row r="9068" spans="1:7" x14ac:dyDescent="0.3">
      <c r="A9068" t="s">
        <v>33</v>
      </c>
      <c r="B9068">
        <v>2022</v>
      </c>
      <c r="C9068" t="s">
        <v>41</v>
      </c>
      <c r="D9068" s="2">
        <v>44774</v>
      </c>
      <c r="E9068" t="s">
        <v>27</v>
      </c>
      <c r="F9068">
        <v>171.4</v>
      </c>
      <c r="G9068" t="str">
        <f>VLOOKUP(Table1_2[[#This Row],[Categories]],Sheet3!$A$1:$B$27,2,FALSE)</f>
        <v>Household Items</v>
      </c>
    </row>
    <row r="9069" spans="1:7" x14ac:dyDescent="0.3">
      <c r="A9069" t="s">
        <v>33</v>
      </c>
      <c r="B9069">
        <v>2022</v>
      </c>
      <c r="C9069" t="s">
        <v>41</v>
      </c>
      <c r="D9069" s="2">
        <v>44774</v>
      </c>
      <c r="E9069" t="s">
        <v>28</v>
      </c>
      <c r="F9069">
        <v>165.4</v>
      </c>
      <c r="G9069" t="str">
        <f>VLOOKUP(Table1_2[[#This Row],[Categories]],Sheet3!$A$1:$B$27,2,FALSE)</f>
        <v>Miscellaneous</v>
      </c>
    </row>
    <row r="9070" spans="1:7" x14ac:dyDescent="0.3">
      <c r="A9070" t="s">
        <v>33</v>
      </c>
      <c r="B9070">
        <v>2022</v>
      </c>
      <c r="C9070" t="s">
        <v>41</v>
      </c>
      <c r="D9070" s="2">
        <v>44774</v>
      </c>
      <c r="E9070" t="s">
        <v>29</v>
      </c>
      <c r="F9070">
        <v>173.1</v>
      </c>
      <c r="G9070" t="str">
        <f>VLOOKUP(Table1_2[[#This Row],[Categories]],Sheet3!$A$1:$B$27,2,FALSE)</f>
        <v>General index</v>
      </c>
    </row>
    <row r="9071" spans="1:7" x14ac:dyDescent="0.3">
      <c r="A9071" t="s">
        <v>34</v>
      </c>
      <c r="B9071">
        <v>2022</v>
      </c>
      <c r="C9071" t="s">
        <v>41</v>
      </c>
      <c r="D9071" s="2">
        <v>44774</v>
      </c>
      <c r="E9071" t="s">
        <v>3</v>
      </c>
      <c r="F9071">
        <v>160.30000000000001</v>
      </c>
      <c r="G9071" t="str">
        <f>VLOOKUP(Table1_2[[#This Row],[Categories]],Sheet3!$A$1:$B$27,2,FALSE)</f>
        <v>Food &amp;Beverage</v>
      </c>
    </row>
    <row r="9072" spans="1:7" x14ac:dyDescent="0.3">
      <c r="A9072" t="s">
        <v>34</v>
      </c>
      <c r="B9072">
        <v>2022</v>
      </c>
      <c r="C9072" t="s">
        <v>41</v>
      </c>
      <c r="D9072" s="2">
        <v>44774</v>
      </c>
      <c r="E9072" t="s">
        <v>4</v>
      </c>
      <c r="F9072">
        <v>206.5</v>
      </c>
      <c r="G9072" t="str">
        <f>VLOOKUP(Table1_2[[#This Row],[Categories]],Sheet3!$A$1:$B$27,2,FALSE)</f>
        <v>Food &amp;Beverage</v>
      </c>
    </row>
    <row r="9073" spans="1:7" x14ac:dyDescent="0.3">
      <c r="A9073" t="s">
        <v>34</v>
      </c>
      <c r="B9073">
        <v>2022</v>
      </c>
      <c r="C9073" t="s">
        <v>41</v>
      </c>
      <c r="D9073" s="2">
        <v>44774</v>
      </c>
      <c r="E9073" t="s">
        <v>5</v>
      </c>
      <c r="F9073">
        <v>169.2</v>
      </c>
      <c r="G9073" t="str">
        <f>VLOOKUP(Table1_2[[#This Row],[Categories]],Sheet3!$A$1:$B$27,2,FALSE)</f>
        <v>Food &amp;Beverage</v>
      </c>
    </row>
    <row r="9074" spans="1:7" x14ac:dyDescent="0.3">
      <c r="A9074" t="s">
        <v>34</v>
      </c>
      <c r="B9074">
        <v>2022</v>
      </c>
      <c r="C9074" t="s">
        <v>41</v>
      </c>
      <c r="D9074" s="2">
        <v>44774</v>
      </c>
      <c r="E9074" t="s">
        <v>6</v>
      </c>
      <c r="F9074">
        <v>168.1</v>
      </c>
      <c r="G9074" t="str">
        <f>VLOOKUP(Table1_2[[#This Row],[Categories]],Sheet3!$A$1:$B$27,2,FALSE)</f>
        <v>Food &amp;Beverage</v>
      </c>
    </row>
    <row r="9075" spans="1:7" x14ac:dyDescent="0.3">
      <c r="A9075" t="s">
        <v>34</v>
      </c>
      <c r="B9075">
        <v>2022</v>
      </c>
      <c r="C9075" t="s">
        <v>41</v>
      </c>
      <c r="D9075" s="2">
        <v>44774</v>
      </c>
      <c r="E9075" t="s">
        <v>7</v>
      </c>
      <c r="F9075">
        <v>192.4</v>
      </c>
      <c r="G9075" t="str">
        <f>VLOOKUP(Table1_2[[#This Row],[Categories]],Sheet3!$A$1:$B$27,2,FALSE)</f>
        <v>Food &amp;Beverage</v>
      </c>
    </row>
    <row r="9076" spans="1:7" x14ac:dyDescent="0.3">
      <c r="A9076" t="s">
        <v>34</v>
      </c>
      <c r="B9076">
        <v>2022</v>
      </c>
      <c r="C9076" t="s">
        <v>41</v>
      </c>
      <c r="D9076" s="2">
        <v>44774</v>
      </c>
      <c r="E9076" t="s">
        <v>8</v>
      </c>
      <c r="F9076">
        <v>172.9</v>
      </c>
      <c r="G9076" t="str">
        <f>VLOOKUP(Table1_2[[#This Row],[Categories]],Sheet3!$A$1:$B$27,2,FALSE)</f>
        <v>Food &amp;Beverage</v>
      </c>
    </row>
    <row r="9077" spans="1:7" x14ac:dyDescent="0.3">
      <c r="A9077" t="s">
        <v>34</v>
      </c>
      <c r="B9077">
        <v>2022</v>
      </c>
      <c r="C9077" t="s">
        <v>41</v>
      </c>
      <c r="D9077" s="2">
        <v>44774</v>
      </c>
      <c r="E9077" t="s">
        <v>9</v>
      </c>
      <c r="F9077">
        <v>186.7</v>
      </c>
      <c r="G9077" t="str">
        <f>VLOOKUP(Table1_2[[#This Row],[Categories]],Sheet3!$A$1:$B$27,2,FALSE)</f>
        <v>Food &amp;Beverage</v>
      </c>
    </row>
    <row r="9078" spans="1:7" x14ac:dyDescent="0.3">
      <c r="A9078" t="s">
        <v>34</v>
      </c>
      <c r="B9078">
        <v>2022</v>
      </c>
      <c r="C9078" t="s">
        <v>41</v>
      </c>
      <c r="D9078" s="2">
        <v>44774</v>
      </c>
      <c r="E9078" t="s">
        <v>10</v>
      </c>
      <c r="F9078">
        <v>167.2</v>
      </c>
      <c r="G9078" t="str">
        <f>VLOOKUP(Table1_2[[#This Row],[Categories]],Sheet3!$A$1:$B$27,2,FALSE)</f>
        <v>Food &amp;Beverage</v>
      </c>
    </row>
    <row r="9079" spans="1:7" x14ac:dyDescent="0.3">
      <c r="A9079" t="s">
        <v>34</v>
      </c>
      <c r="B9079">
        <v>2022</v>
      </c>
      <c r="C9079" t="s">
        <v>41</v>
      </c>
      <c r="D9079" s="2">
        <v>44774</v>
      </c>
      <c r="E9079" t="s">
        <v>11</v>
      </c>
      <c r="F9079">
        <v>120.9</v>
      </c>
      <c r="G9079" t="str">
        <f>VLOOKUP(Table1_2[[#This Row],[Categories]],Sheet3!$A$1:$B$27,2,FALSE)</f>
        <v>Food &amp;Beverage</v>
      </c>
    </row>
    <row r="9080" spans="1:7" x14ac:dyDescent="0.3">
      <c r="A9080" t="s">
        <v>34</v>
      </c>
      <c r="B9080">
        <v>2022</v>
      </c>
      <c r="C9080" t="s">
        <v>41</v>
      </c>
      <c r="D9080" s="2">
        <v>44774</v>
      </c>
      <c r="E9080" t="s">
        <v>12</v>
      </c>
      <c r="F9080">
        <v>193.6</v>
      </c>
      <c r="G9080" t="str">
        <f>VLOOKUP(Table1_2[[#This Row],[Categories]],Sheet3!$A$1:$B$27,2,FALSE)</f>
        <v>Food &amp;Beverage</v>
      </c>
    </row>
    <row r="9081" spans="1:7" x14ac:dyDescent="0.3">
      <c r="A9081" t="s">
        <v>34</v>
      </c>
      <c r="B9081">
        <v>2022</v>
      </c>
      <c r="C9081" t="s">
        <v>41</v>
      </c>
      <c r="D9081" s="2">
        <v>44774</v>
      </c>
      <c r="E9081" t="s">
        <v>13</v>
      </c>
      <c r="F9081">
        <v>168.8</v>
      </c>
      <c r="G9081" t="str">
        <f>VLOOKUP(Table1_2[[#This Row],[Categories]],Sheet3!$A$1:$B$27,2,FALSE)</f>
        <v>Food &amp;Beverage</v>
      </c>
    </row>
    <row r="9082" spans="1:7" x14ac:dyDescent="0.3">
      <c r="A9082" t="s">
        <v>34</v>
      </c>
      <c r="B9082">
        <v>2022</v>
      </c>
      <c r="C9082" t="s">
        <v>41</v>
      </c>
      <c r="D9082" s="2">
        <v>44774</v>
      </c>
      <c r="E9082" t="s">
        <v>14</v>
      </c>
      <c r="F9082">
        <v>186.3</v>
      </c>
      <c r="G9082" t="str">
        <f>VLOOKUP(Table1_2[[#This Row],[Categories]],Sheet3!$A$1:$B$27,2,FALSE)</f>
        <v>Food &amp;Beverage</v>
      </c>
    </row>
    <row r="9083" spans="1:7" x14ac:dyDescent="0.3">
      <c r="A9083" t="s">
        <v>34</v>
      </c>
      <c r="B9083">
        <v>2022</v>
      </c>
      <c r="C9083" t="s">
        <v>41</v>
      </c>
      <c r="D9083" s="2">
        <v>44774</v>
      </c>
      <c r="E9083" t="s">
        <v>15</v>
      </c>
      <c r="F9083">
        <v>176.3</v>
      </c>
      <c r="G9083" t="str">
        <f>VLOOKUP(Table1_2[[#This Row],[Categories]],Sheet3!$A$1:$B$27,2,FALSE)</f>
        <v>Food &amp;Beverage</v>
      </c>
    </row>
    <row r="9084" spans="1:7" x14ac:dyDescent="0.3">
      <c r="A9084" t="s">
        <v>34</v>
      </c>
      <c r="B9084">
        <v>2022</v>
      </c>
      <c r="C9084" t="s">
        <v>41</v>
      </c>
      <c r="D9084" s="2">
        <v>44774</v>
      </c>
      <c r="E9084" t="s">
        <v>16</v>
      </c>
      <c r="F9084">
        <v>195</v>
      </c>
      <c r="G9084" t="str">
        <f>VLOOKUP(Table1_2[[#This Row],[Categories]],Sheet3!$A$1:$B$27,2,FALSE)</f>
        <v>Recreation and amusement</v>
      </c>
    </row>
    <row r="9085" spans="1:7" x14ac:dyDescent="0.3">
      <c r="A9085" t="s">
        <v>34</v>
      </c>
      <c r="B9085">
        <v>2022</v>
      </c>
      <c r="C9085" t="s">
        <v>41</v>
      </c>
      <c r="D9085" s="2">
        <v>44774</v>
      </c>
      <c r="E9085" t="s">
        <v>17</v>
      </c>
      <c r="F9085">
        <v>179.5</v>
      </c>
      <c r="G9085" t="str">
        <f>VLOOKUP(Table1_2[[#This Row],[Categories]],Sheet3!$A$1:$B$27,2,FALSE)</f>
        <v>Clothing and footwear</v>
      </c>
    </row>
    <row r="9086" spans="1:7" x14ac:dyDescent="0.3">
      <c r="A9086" t="s">
        <v>34</v>
      </c>
      <c r="B9086">
        <v>2022</v>
      </c>
      <c r="C9086" t="s">
        <v>41</v>
      </c>
      <c r="D9086" s="2">
        <v>44774</v>
      </c>
      <c r="E9086" t="s">
        <v>18</v>
      </c>
      <c r="F9086">
        <v>172.7</v>
      </c>
      <c r="G9086" t="str">
        <f>VLOOKUP(Table1_2[[#This Row],[Categories]],Sheet3!$A$1:$B$27,2,FALSE)</f>
        <v>Clothing and footwear</v>
      </c>
    </row>
    <row r="9087" spans="1:7" x14ac:dyDescent="0.3">
      <c r="A9087" t="s">
        <v>34</v>
      </c>
      <c r="B9087">
        <v>2022</v>
      </c>
      <c r="C9087" t="s">
        <v>41</v>
      </c>
      <c r="D9087" s="2">
        <v>44774</v>
      </c>
      <c r="E9087" t="s">
        <v>19</v>
      </c>
      <c r="F9087">
        <v>178.5</v>
      </c>
      <c r="G9087" t="str">
        <f>VLOOKUP(Table1_2[[#This Row],[Categories]],Sheet3!$A$1:$B$27,2,FALSE)</f>
        <v>Clothing and footwear</v>
      </c>
    </row>
    <row r="9088" spans="1:7" x14ac:dyDescent="0.3">
      <c r="A9088" t="s">
        <v>34</v>
      </c>
      <c r="B9088">
        <v>2022</v>
      </c>
      <c r="C9088" t="s">
        <v>41</v>
      </c>
      <c r="D9088" s="2">
        <v>44774</v>
      </c>
      <c r="E9088" t="s">
        <v>20</v>
      </c>
      <c r="F9088">
        <v>169</v>
      </c>
      <c r="G9088" t="str">
        <f>VLOOKUP(Table1_2[[#This Row],[Categories]],Sheet3!$A$1:$B$27,2,FALSE)</f>
        <v>Housing</v>
      </c>
    </row>
    <row r="9089" spans="1:7" x14ac:dyDescent="0.3">
      <c r="A9089" t="s">
        <v>34</v>
      </c>
      <c r="B9089">
        <v>2022</v>
      </c>
      <c r="C9089" t="s">
        <v>41</v>
      </c>
      <c r="D9089" s="2">
        <v>44774</v>
      </c>
      <c r="E9089" t="s">
        <v>21</v>
      </c>
      <c r="F9089">
        <v>178.8</v>
      </c>
      <c r="G9089" t="str">
        <f>VLOOKUP(Table1_2[[#This Row],[Categories]],Sheet3!$A$1:$B$27,2,FALSE)</f>
        <v>Fuel and light</v>
      </c>
    </row>
    <row r="9090" spans="1:7" x14ac:dyDescent="0.3">
      <c r="A9090" t="s">
        <v>34</v>
      </c>
      <c r="B9090">
        <v>2022</v>
      </c>
      <c r="C9090" t="s">
        <v>41</v>
      </c>
      <c r="D9090" s="2">
        <v>44774</v>
      </c>
      <c r="E9090" t="s">
        <v>22</v>
      </c>
      <c r="F9090">
        <v>168.5</v>
      </c>
      <c r="G9090" t="str">
        <f>VLOOKUP(Table1_2[[#This Row],[Categories]],Sheet3!$A$1:$B$27,2,FALSE)</f>
        <v>Household Items</v>
      </c>
    </row>
    <row r="9091" spans="1:7" x14ac:dyDescent="0.3">
      <c r="A9091" t="s">
        <v>34</v>
      </c>
      <c r="B9091">
        <v>2022</v>
      </c>
      <c r="C9091" t="s">
        <v>41</v>
      </c>
      <c r="D9091" s="2">
        <v>44774</v>
      </c>
      <c r="E9091" t="s">
        <v>23</v>
      </c>
      <c r="F9091">
        <v>176.8</v>
      </c>
      <c r="G9091" t="str">
        <f>VLOOKUP(Table1_2[[#This Row],[Categories]],Sheet3!$A$1:$B$27,2,FALSE)</f>
        <v>Health</v>
      </c>
    </row>
    <row r="9092" spans="1:7" x14ac:dyDescent="0.3">
      <c r="A9092" t="s">
        <v>34</v>
      </c>
      <c r="B9092">
        <v>2022</v>
      </c>
      <c r="C9092" t="s">
        <v>41</v>
      </c>
      <c r="D9092" s="2">
        <v>44774</v>
      </c>
      <c r="E9092" t="s">
        <v>24</v>
      </c>
      <c r="F9092">
        <v>161.9</v>
      </c>
      <c r="G9092" t="str">
        <f>VLOOKUP(Table1_2[[#This Row],[Categories]],Sheet3!$A$1:$B$27,2,FALSE)</f>
        <v>Transport and communication</v>
      </c>
    </row>
    <row r="9093" spans="1:7" x14ac:dyDescent="0.3">
      <c r="A9093" t="s">
        <v>34</v>
      </c>
      <c r="B9093">
        <v>2022</v>
      </c>
      <c r="C9093" t="s">
        <v>41</v>
      </c>
      <c r="D9093" s="2">
        <v>44774</v>
      </c>
      <c r="E9093" t="s">
        <v>25</v>
      </c>
      <c r="F9093">
        <v>166.9</v>
      </c>
      <c r="G9093" t="str">
        <f>VLOOKUP(Table1_2[[#This Row],[Categories]],Sheet3!$A$1:$B$27,2,FALSE)</f>
        <v>Recreation and amusement</v>
      </c>
    </row>
    <row r="9094" spans="1:7" x14ac:dyDescent="0.3">
      <c r="A9094" t="s">
        <v>34</v>
      </c>
      <c r="B9094">
        <v>2022</v>
      </c>
      <c r="C9094" t="s">
        <v>41</v>
      </c>
      <c r="D9094" s="2">
        <v>44774</v>
      </c>
      <c r="E9094" t="s">
        <v>26</v>
      </c>
      <c r="F9094">
        <v>172.3</v>
      </c>
      <c r="G9094" t="str">
        <f>VLOOKUP(Table1_2[[#This Row],[Categories]],Sheet3!$A$1:$B$27,2,FALSE)</f>
        <v>Education</v>
      </c>
    </row>
    <row r="9095" spans="1:7" x14ac:dyDescent="0.3">
      <c r="A9095" t="s">
        <v>34</v>
      </c>
      <c r="B9095">
        <v>2022</v>
      </c>
      <c r="C9095" t="s">
        <v>41</v>
      </c>
      <c r="D9095" s="2">
        <v>44774</v>
      </c>
      <c r="E9095" t="s">
        <v>27</v>
      </c>
      <c r="F9095">
        <v>171.2</v>
      </c>
      <c r="G9095" t="str">
        <f>VLOOKUP(Table1_2[[#This Row],[Categories]],Sheet3!$A$1:$B$27,2,FALSE)</f>
        <v>Household Items</v>
      </c>
    </row>
    <row r="9096" spans="1:7" x14ac:dyDescent="0.3">
      <c r="A9096" t="s">
        <v>34</v>
      </c>
      <c r="B9096">
        <v>2022</v>
      </c>
      <c r="C9096" t="s">
        <v>41</v>
      </c>
      <c r="D9096" s="2">
        <v>44774</v>
      </c>
      <c r="E9096" t="s">
        <v>28</v>
      </c>
      <c r="F9096">
        <v>169.1</v>
      </c>
      <c r="G9096" t="str">
        <f>VLOOKUP(Table1_2[[#This Row],[Categories]],Sheet3!$A$1:$B$27,2,FALSE)</f>
        <v>Miscellaneous</v>
      </c>
    </row>
    <row r="9097" spans="1:7" x14ac:dyDescent="0.3">
      <c r="A9097" t="s">
        <v>34</v>
      </c>
      <c r="B9097">
        <v>2022</v>
      </c>
      <c r="C9097" t="s">
        <v>41</v>
      </c>
      <c r="D9097" s="2">
        <v>44774</v>
      </c>
      <c r="E9097" t="s">
        <v>29</v>
      </c>
      <c r="F9097">
        <v>174.3</v>
      </c>
      <c r="G9097" t="str">
        <f>VLOOKUP(Table1_2[[#This Row],[Categories]],Sheet3!$A$1:$B$27,2,FALSE)</f>
        <v>General index</v>
      </c>
    </row>
    <row r="9098" spans="1:7" x14ac:dyDescent="0.3">
      <c r="A9098" t="s">
        <v>30</v>
      </c>
      <c r="B9098">
        <v>2022</v>
      </c>
      <c r="C9098" t="s">
        <v>42</v>
      </c>
      <c r="D9098" s="2">
        <v>44805</v>
      </c>
      <c r="E9098" t="s">
        <v>3</v>
      </c>
      <c r="F9098">
        <v>162.9</v>
      </c>
      <c r="G9098" t="str">
        <f>VLOOKUP(Table1_2[[#This Row],[Categories]],Sheet3!$A$1:$B$27,2,FALSE)</f>
        <v>Food &amp;Beverage</v>
      </c>
    </row>
    <row r="9099" spans="1:7" x14ac:dyDescent="0.3">
      <c r="A9099" t="s">
        <v>30</v>
      </c>
      <c r="B9099">
        <v>2022</v>
      </c>
      <c r="C9099" t="s">
        <v>42</v>
      </c>
      <c r="D9099" s="2">
        <v>44805</v>
      </c>
      <c r="E9099" t="s">
        <v>4</v>
      </c>
      <c r="F9099">
        <v>206.7</v>
      </c>
      <c r="G9099" t="str">
        <f>VLOOKUP(Table1_2[[#This Row],[Categories]],Sheet3!$A$1:$B$27,2,FALSE)</f>
        <v>Food &amp;Beverage</v>
      </c>
    </row>
    <row r="9100" spans="1:7" x14ac:dyDescent="0.3">
      <c r="A9100" t="s">
        <v>30</v>
      </c>
      <c r="B9100">
        <v>2022</v>
      </c>
      <c r="C9100" t="s">
        <v>42</v>
      </c>
      <c r="D9100" s="2">
        <v>44805</v>
      </c>
      <c r="E9100" t="s">
        <v>5</v>
      </c>
      <c r="F9100">
        <v>169</v>
      </c>
      <c r="G9100" t="str">
        <f>VLOOKUP(Table1_2[[#This Row],[Categories]],Sheet3!$A$1:$B$27,2,FALSE)</f>
        <v>Food &amp;Beverage</v>
      </c>
    </row>
    <row r="9101" spans="1:7" x14ac:dyDescent="0.3">
      <c r="A9101" t="s">
        <v>30</v>
      </c>
      <c r="B9101">
        <v>2022</v>
      </c>
      <c r="C9101" t="s">
        <v>42</v>
      </c>
      <c r="D9101" s="2">
        <v>44805</v>
      </c>
      <c r="E9101" t="s">
        <v>6</v>
      </c>
      <c r="F9101">
        <v>169.5</v>
      </c>
      <c r="G9101" t="str">
        <f>VLOOKUP(Table1_2[[#This Row],[Categories]],Sheet3!$A$1:$B$27,2,FALSE)</f>
        <v>Food &amp;Beverage</v>
      </c>
    </row>
    <row r="9102" spans="1:7" x14ac:dyDescent="0.3">
      <c r="A9102" t="s">
        <v>30</v>
      </c>
      <c r="B9102">
        <v>2022</v>
      </c>
      <c r="C9102" t="s">
        <v>42</v>
      </c>
      <c r="D9102" s="2">
        <v>44805</v>
      </c>
      <c r="E9102" t="s">
        <v>7</v>
      </c>
      <c r="F9102">
        <v>194.1</v>
      </c>
      <c r="G9102" t="str">
        <f>VLOOKUP(Table1_2[[#This Row],[Categories]],Sheet3!$A$1:$B$27,2,FALSE)</f>
        <v>Food &amp;Beverage</v>
      </c>
    </row>
    <row r="9103" spans="1:7" x14ac:dyDescent="0.3">
      <c r="A9103" t="s">
        <v>30</v>
      </c>
      <c r="B9103">
        <v>2022</v>
      </c>
      <c r="C9103" t="s">
        <v>42</v>
      </c>
      <c r="D9103" s="2">
        <v>44805</v>
      </c>
      <c r="E9103" t="s">
        <v>8</v>
      </c>
      <c r="F9103">
        <v>164.1</v>
      </c>
      <c r="G9103" t="str">
        <f>VLOOKUP(Table1_2[[#This Row],[Categories]],Sheet3!$A$1:$B$27,2,FALSE)</f>
        <v>Food &amp;Beverage</v>
      </c>
    </row>
    <row r="9104" spans="1:7" x14ac:dyDescent="0.3">
      <c r="A9104" t="s">
        <v>30</v>
      </c>
      <c r="B9104">
        <v>2022</v>
      </c>
      <c r="C9104" t="s">
        <v>42</v>
      </c>
      <c r="D9104" s="2">
        <v>44805</v>
      </c>
      <c r="E9104" t="s">
        <v>9</v>
      </c>
      <c r="F9104">
        <v>176.9</v>
      </c>
      <c r="G9104" t="str">
        <f>VLOOKUP(Table1_2[[#This Row],[Categories]],Sheet3!$A$1:$B$27,2,FALSE)</f>
        <v>Food &amp;Beverage</v>
      </c>
    </row>
    <row r="9105" spans="1:7" x14ac:dyDescent="0.3">
      <c r="A9105" t="s">
        <v>30</v>
      </c>
      <c r="B9105">
        <v>2022</v>
      </c>
      <c r="C9105" t="s">
        <v>42</v>
      </c>
      <c r="D9105" s="2">
        <v>44805</v>
      </c>
      <c r="E9105" t="s">
        <v>10</v>
      </c>
      <c r="F9105">
        <v>169</v>
      </c>
      <c r="G9105" t="str">
        <f>VLOOKUP(Table1_2[[#This Row],[Categories]],Sheet3!$A$1:$B$27,2,FALSE)</f>
        <v>Food &amp;Beverage</v>
      </c>
    </row>
    <row r="9106" spans="1:7" x14ac:dyDescent="0.3">
      <c r="A9106" t="s">
        <v>30</v>
      </c>
      <c r="B9106">
        <v>2022</v>
      </c>
      <c r="C9106" t="s">
        <v>42</v>
      </c>
      <c r="D9106" s="2">
        <v>44805</v>
      </c>
      <c r="E9106" t="s">
        <v>11</v>
      </c>
      <c r="F9106">
        <v>120.8</v>
      </c>
      <c r="G9106" t="str">
        <f>VLOOKUP(Table1_2[[#This Row],[Categories]],Sheet3!$A$1:$B$27,2,FALSE)</f>
        <v>Food &amp;Beverage</v>
      </c>
    </row>
    <row r="9107" spans="1:7" x14ac:dyDescent="0.3">
      <c r="A9107" t="s">
        <v>30</v>
      </c>
      <c r="B9107">
        <v>2022</v>
      </c>
      <c r="C9107" t="s">
        <v>42</v>
      </c>
      <c r="D9107" s="2">
        <v>44805</v>
      </c>
      <c r="E9107" t="s">
        <v>12</v>
      </c>
      <c r="F9107">
        <v>199.1</v>
      </c>
      <c r="G9107" t="str">
        <f>VLOOKUP(Table1_2[[#This Row],[Categories]],Sheet3!$A$1:$B$27,2,FALSE)</f>
        <v>Food &amp;Beverage</v>
      </c>
    </row>
    <row r="9108" spans="1:7" x14ac:dyDescent="0.3">
      <c r="A9108" t="s">
        <v>30</v>
      </c>
      <c r="B9108">
        <v>2022</v>
      </c>
      <c r="C9108" t="s">
        <v>42</v>
      </c>
      <c r="D9108" s="2">
        <v>44805</v>
      </c>
      <c r="E9108" t="s">
        <v>13</v>
      </c>
      <c r="F9108">
        <v>175.4</v>
      </c>
      <c r="G9108" t="str">
        <f>VLOOKUP(Table1_2[[#This Row],[Categories]],Sheet3!$A$1:$B$27,2,FALSE)</f>
        <v>Food &amp;Beverage</v>
      </c>
    </row>
    <row r="9109" spans="1:7" x14ac:dyDescent="0.3">
      <c r="A9109" t="s">
        <v>30</v>
      </c>
      <c r="B9109">
        <v>2022</v>
      </c>
      <c r="C9109" t="s">
        <v>42</v>
      </c>
      <c r="D9109" s="2">
        <v>44805</v>
      </c>
      <c r="E9109" t="s">
        <v>14</v>
      </c>
      <c r="F9109">
        <v>184.8</v>
      </c>
      <c r="G9109" t="str">
        <f>VLOOKUP(Table1_2[[#This Row],[Categories]],Sheet3!$A$1:$B$27,2,FALSE)</f>
        <v>Food &amp;Beverage</v>
      </c>
    </row>
    <row r="9110" spans="1:7" x14ac:dyDescent="0.3">
      <c r="A9110" t="s">
        <v>30</v>
      </c>
      <c r="B9110">
        <v>2022</v>
      </c>
      <c r="C9110" t="s">
        <v>42</v>
      </c>
      <c r="D9110" s="2">
        <v>44805</v>
      </c>
      <c r="E9110" t="s">
        <v>15</v>
      </c>
      <c r="F9110">
        <v>175.5</v>
      </c>
      <c r="G9110" t="str">
        <f>VLOOKUP(Table1_2[[#This Row],[Categories]],Sheet3!$A$1:$B$27,2,FALSE)</f>
        <v>Food &amp;Beverage</v>
      </c>
    </row>
    <row r="9111" spans="1:7" x14ac:dyDescent="0.3">
      <c r="A9111" t="s">
        <v>30</v>
      </c>
      <c r="B9111">
        <v>2022</v>
      </c>
      <c r="C9111" t="s">
        <v>42</v>
      </c>
      <c r="D9111" s="2">
        <v>44805</v>
      </c>
      <c r="E9111" t="s">
        <v>16</v>
      </c>
      <c r="F9111">
        <v>194.5</v>
      </c>
      <c r="G9111" t="str">
        <f>VLOOKUP(Table1_2[[#This Row],[Categories]],Sheet3!$A$1:$B$27,2,FALSE)</f>
        <v>Recreation and amusement</v>
      </c>
    </row>
    <row r="9112" spans="1:7" x14ac:dyDescent="0.3">
      <c r="A9112" t="s">
        <v>30</v>
      </c>
      <c r="B9112">
        <v>2022</v>
      </c>
      <c r="C9112" t="s">
        <v>42</v>
      </c>
      <c r="D9112" s="2">
        <v>44805</v>
      </c>
      <c r="E9112" t="s">
        <v>17</v>
      </c>
      <c r="F9112">
        <v>184.7</v>
      </c>
      <c r="G9112" t="str">
        <f>VLOOKUP(Table1_2[[#This Row],[Categories]],Sheet3!$A$1:$B$27,2,FALSE)</f>
        <v>Clothing and footwear</v>
      </c>
    </row>
    <row r="9113" spans="1:7" x14ac:dyDescent="0.3">
      <c r="A9113" t="s">
        <v>30</v>
      </c>
      <c r="B9113">
        <v>2022</v>
      </c>
      <c r="C9113" t="s">
        <v>42</v>
      </c>
      <c r="D9113" s="2">
        <v>44805</v>
      </c>
      <c r="E9113" t="s">
        <v>18</v>
      </c>
      <c r="F9113">
        <v>183.3</v>
      </c>
      <c r="G9113" t="str">
        <f>VLOOKUP(Table1_2[[#This Row],[Categories]],Sheet3!$A$1:$B$27,2,FALSE)</f>
        <v>Clothing and footwear</v>
      </c>
    </row>
    <row r="9114" spans="1:7" x14ac:dyDescent="0.3">
      <c r="A9114" t="s">
        <v>30</v>
      </c>
      <c r="B9114">
        <v>2022</v>
      </c>
      <c r="C9114" t="s">
        <v>42</v>
      </c>
      <c r="D9114" s="2">
        <v>44805</v>
      </c>
      <c r="E9114" t="s">
        <v>19</v>
      </c>
      <c r="F9114">
        <v>184.5</v>
      </c>
      <c r="G9114" t="str">
        <f>VLOOKUP(Table1_2[[#This Row],[Categories]],Sheet3!$A$1:$B$27,2,FALSE)</f>
        <v>Clothing and footwear</v>
      </c>
    </row>
    <row r="9115" spans="1:7" x14ac:dyDescent="0.3">
      <c r="A9115" t="s">
        <v>30</v>
      </c>
      <c r="B9115">
        <v>2022</v>
      </c>
      <c r="C9115" t="s">
        <v>42</v>
      </c>
      <c r="D9115" s="2">
        <v>44805</v>
      </c>
      <c r="E9115" t="s">
        <v>21</v>
      </c>
      <c r="F9115">
        <v>179.7</v>
      </c>
      <c r="G9115" t="str">
        <f>VLOOKUP(Table1_2[[#This Row],[Categories]],Sheet3!$A$1:$B$27,2,FALSE)</f>
        <v>Fuel and light</v>
      </c>
    </row>
    <row r="9116" spans="1:7" x14ac:dyDescent="0.3">
      <c r="A9116" t="s">
        <v>30</v>
      </c>
      <c r="B9116">
        <v>2022</v>
      </c>
      <c r="C9116" t="s">
        <v>42</v>
      </c>
      <c r="D9116" s="2">
        <v>44805</v>
      </c>
      <c r="E9116" t="s">
        <v>22</v>
      </c>
      <c r="F9116">
        <v>173.6</v>
      </c>
      <c r="G9116" t="str">
        <f>VLOOKUP(Table1_2[[#This Row],[Categories]],Sheet3!$A$1:$B$27,2,FALSE)</f>
        <v>Household Items</v>
      </c>
    </row>
    <row r="9117" spans="1:7" x14ac:dyDescent="0.3">
      <c r="A9117" t="s">
        <v>30</v>
      </c>
      <c r="B9117">
        <v>2022</v>
      </c>
      <c r="C9117" t="s">
        <v>42</v>
      </c>
      <c r="D9117" s="2">
        <v>44805</v>
      </c>
      <c r="E9117" t="s">
        <v>23</v>
      </c>
      <c r="F9117">
        <v>180.2</v>
      </c>
      <c r="G9117" t="str">
        <f>VLOOKUP(Table1_2[[#This Row],[Categories]],Sheet3!$A$1:$B$27,2,FALSE)</f>
        <v>Health</v>
      </c>
    </row>
    <row r="9118" spans="1:7" x14ac:dyDescent="0.3">
      <c r="A9118" t="s">
        <v>30</v>
      </c>
      <c r="B9118">
        <v>2022</v>
      </c>
      <c r="C9118" t="s">
        <v>42</v>
      </c>
      <c r="D9118" s="2">
        <v>44805</v>
      </c>
      <c r="E9118" t="s">
        <v>24</v>
      </c>
      <c r="F9118">
        <v>166.9</v>
      </c>
      <c r="G9118" t="str">
        <f>VLOOKUP(Table1_2[[#This Row],[Categories]],Sheet3!$A$1:$B$27,2,FALSE)</f>
        <v>Transport and communication</v>
      </c>
    </row>
    <row r="9119" spans="1:7" x14ac:dyDescent="0.3">
      <c r="A9119" t="s">
        <v>30</v>
      </c>
      <c r="B9119">
        <v>2022</v>
      </c>
      <c r="C9119" t="s">
        <v>42</v>
      </c>
      <c r="D9119" s="2">
        <v>44805</v>
      </c>
      <c r="E9119" t="s">
        <v>25</v>
      </c>
      <c r="F9119">
        <v>170</v>
      </c>
      <c r="G9119" t="str">
        <f>VLOOKUP(Table1_2[[#This Row],[Categories]],Sheet3!$A$1:$B$27,2,FALSE)</f>
        <v>Recreation and amusement</v>
      </c>
    </row>
    <row r="9120" spans="1:7" x14ac:dyDescent="0.3">
      <c r="A9120" t="s">
        <v>30</v>
      </c>
      <c r="B9120">
        <v>2022</v>
      </c>
      <c r="C9120" t="s">
        <v>42</v>
      </c>
      <c r="D9120" s="2">
        <v>44805</v>
      </c>
      <c r="E9120" t="s">
        <v>26</v>
      </c>
      <c r="F9120">
        <v>176.2</v>
      </c>
      <c r="G9120" t="str">
        <f>VLOOKUP(Table1_2[[#This Row],[Categories]],Sheet3!$A$1:$B$27,2,FALSE)</f>
        <v>Education</v>
      </c>
    </row>
    <row r="9121" spans="1:7" x14ac:dyDescent="0.3">
      <c r="A9121" t="s">
        <v>30</v>
      </c>
      <c r="B9121">
        <v>2022</v>
      </c>
      <c r="C9121" t="s">
        <v>42</v>
      </c>
      <c r="D9121" s="2">
        <v>44805</v>
      </c>
      <c r="E9121" t="s">
        <v>27</v>
      </c>
      <c r="F9121">
        <v>170.8</v>
      </c>
      <c r="G9121" t="str">
        <f>VLOOKUP(Table1_2[[#This Row],[Categories]],Sheet3!$A$1:$B$27,2,FALSE)</f>
        <v>Household Items</v>
      </c>
    </row>
    <row r="9122" spans="1:7" x14ac:dyDescent="0.3">
      <c r="A9122" t="s">
        <v>30</v>
      </c>
      <c r="B9122">
        <v>2022</v>
      </c>
      <c r="C9122" t="s">
        <v>42</v>
      </c>
      <c r="D9122" s="2">
        <v>44805</v>
      </c>
      <c r="E9122" t="s">
        <v>28</v>
      </c>
      <c r="F9122">
        <v>173.1</v>
      </c>
      <c r="G9122" t="str">
        <f>VLOOKUP(Table1_2[[#This Row],[Categories]],Sheet3!$A$1:$B$27,2,FALSE)</f>
        <v>Miscellaneous</v>
      </c>
    </row>
    <row r="9123" spans="1:7" x14ac:dyDescent="0.3">
      <c r="A9123" t="s">
        <v>30</v>
      </c>
      <c r="B9123">
        <v>2022</v>
      </c>
      <c r="C9123" t="s">
        <v>42</v>
      </c>
      <c r="D9123" s="2">
        <v>44805</v>
      </c>
      <c r="E9123" t="s">
        <v>29</v>
      </c>
      <c r="F9123">
        <v>176.4</v>
      </c>
      <c r="G9123" t="str">
        <f>VLOOKUP(Table1_2[[#This Row],[Categories]],Sheet3!$A$1:$B$27,2,FALSE)</f>
        <v>General index</v>
      </c>
    </row>
    <row r="9124" spans="1:7" x14ac:dyDescent="0.3">
      <c r="A9124" t="s">
        <v>33</v>
      </c>
      <c r="B9124">
        <v>2022</v>
      </c>
      <c r="C9124" t="s">
        <v>42</v>
      </c>
      <c r="D9124" s="2">
        <v>44805</v>
      </c>
      <c r="E9124" t="s">
        <v>3</v>
      </c>
      <c r="F9124">
        <v>164.9</v>
      </c>
      <c r="G9124" t="str">
        <f>VLOOKUP(Table1_2[[#This Row],[Categories]],Sheet3!$A$1:$B$27,2,FALSE)</f>
        <v>Food &amp;Beverage</v>
      </c>
    </row>
    <row r="9125" spans="1:7" x14ac:dyDescent="0.3">
      <c r="A9125" t="s">
        <v>33</v>
      </c>
      <c r="B9125">
        <v>2022</v>
      </c>
      <c r="C9125" t="s">
        <v>42</v>
      </c>
      <c r="D9125" s="2">
        <v>44805</v>
      </c>
      <c r="E9125" t="s">
        <v>4</v>
      </c>
      <c r="F9125">
        <v>213.7</v>
      </c>
      <c r="G9125" t="str">
        <f>VLOOKUP(Table1_2[[#This Row],[Categories]],Sheet3!$A$1:$B$27,2,FALSE)</f>
        <v>Food &amp;Beverage</v>
      </c>
    </row>
    <row r="9126" spans="1:7" x14ac:dyDescent="0.3">
      <c r="A9126" t="s">
        <v>33</v>
      </c>
      <c r="B9126">
        <v>2022</v>
      </c>
      <c r="C9126" t="s">
        <v>42</v>
      </c>
      <c r="D9126" s="2">
        <v>44805</v>
      </c>
      <c r="E9126" t="s">
        <v>5</v>
      </c>
      <c r="F9126">
        <v>170.9</v>
      </c>
      <c r="G9126" t="str">
        <f>VLOOKUP(Table1_2[[#This Row],[Categories]],Sheet3!$A$1:$B$27,2,FALSE)</f>
        <v>Food &amp;Beverage</v>
      </c>
    </row>
    <row r="9127" spans="1:7" x14ac:dyDescent="0.3">
      <c r="A9127" t="s">
        <v>33</v>
      </c>
      <c r="B9127">
        <v>2022</v>
      </c>
      <c r="C9127" t="s">
        <v>42</v>
      </c>
      <c r="D9127" s="2">
        <v>44805</v>
      </c>
      <c r="E9127" t="s">
        <v>6</v>
      </c>
      <c r="F9127">
        <v>170.1</v>
      </c>
      <c r="G9127" t="str">
        <f>VLOOKUP(Table1_2[[#This Row],[Categories]],Sheet3!$A$1:$B$27,2,FALSE)</f>
        <v>Food &amp;Beverage</v>
      </c>
    </row>
    <row r="9128" spans="1:7" x14ac:dyDescent="0.3">
      <c r="A9128" t="s">
        <v>33</v>
      </c>
      <c r="B9128">
        <v>2022</v>
      </c>
      <c r="C9128" t="s">
        <v>42</v>
      </c>
      <c r="D9128" s="2">
        <v>44805</v>
      </c>
      <c r="E9128" t="s">
        <v>7</v>
      </c>
      <c r="F9128">
        <v>179.3</v>
      </c>
      <c r="G9128" t="str">
        <f>VLOOKUP(Table1_2[[#This Row],[Categories]],Sheet3!$A$1:$B$27,2,FALSE)</f>
        <v>Food &amp;Beverage</v>
      </c>
    </row>
    <row r="9129" spans="1:7" x14ac:dyDescent="0.3">
      <c r="A9129" t="s">
        <v>33</v>
      </c>
      <c r="B9129">
        <v>2022</v>
      </c>
      <c r="C9129" t="s">
        <v>42</v>
      </c>
      <c r="D9129" s="2">
        <v>44805</v>
      </c>
      <c r="E9129" t="s">
        <v>8</v>
      </c>
      <c r="F9129">
        <v>167.5</v>
      </c>
      <c r="G9129" t="str">
        <f>VLOOKUP(Table1_2[[#This Row],[Categories]],Sheet3!$A$1:$B$27,2,FALSE)</f>
        <v>Food &amp;Beverage</v>
      </c>
    </row>
    <row r="9130" spans="1:7" x14ac:dyDescent="0.3">
      <c r="A9130" t="s">
        <v>33</v>
      </c>
      <c r="B9130">
        <v>2022</v>
      </c>
      <c r="C9130" t="s">
        <v>42</v>
      </c>
      <c r="D9130" s="2">
        <v>44805</v>
      </c>
      <c r="E9130" t="s">
        <v>9</v>
      </c>
      <c r="F9130">
        <v>220.8</v>
      </c>
      <c r="G9130" t="str">
        <f>VLOOKUP(Table1_2[[#This Row],[Categories]],Sheet3!$A$1:$B$27,2,FALSE)</f>
        <v>Food &amp;Beverage</v>
      </c>
    </row>
    <row r="9131" spans="1:7" x14ac:dyDescent="0.3">
      <c r="A9131" t="s">
        <v>33</v>
      </c>
      <c r="B9131">
        <v>2022</v>
      </c>
      <c r="C9131" t="s">
        <v>42</v>
      </c>
      <c r="D9131" s="2">
        <v>44805</v>
      </c>
      <c r="E9131" t="s">
        <v>10</v>
      </c>
      <c r="F9131">
        <v>169.2</v>
      </c>
      <c r="G9131" t="str">
        <f>VLOOKUP(Table1_2[[#This Row],[Categories]],Sheet3!$A$1:$B$27,2,FALSE)</f>
        <v>Food &amp;Beverage</v>
      </c>
    </row>
    <row r="9132" spans="1:7" x14ac:dyDescent="0.3">
      <c r="A9132" t="s">
        <v>33</v>
      </c>
      <c r="B9132">
        <v>2022</v>
      </c>
      <c r="C9132" t="s">
        <v>42</v>
      </c>
      <c r="D9132" s="2">
        <v>44805</v>
      </c>
      <c r="E9132" t="s">
        <v>11</v>
      </c>
      <c r="F9132">
        <v>123.1</v>
      </c>
      <c r="G9132" t="str">
        <f>VLOOKUP(Table1_2[[#This Row],[Categories]],Sheet3!$A$1:$B$27,2,FALSE)</f>
        <v>Food &amp;Beverage</v>
      </c>
    </row>
    <row r="9133" spans="1:7" x14ac:dyDescent="0.3">
      <c r="A9133" t="s">
        <v>33</v>
      </c>
      <c r="B9133">
        <v>2022</v>
      </c>
      <c r="C9133" t="s">
        <v>42</v>
      </c>
      <c r="D9133" s="2">
        <v>44805</v>
      </c>
      <c r="E9133" t="s">
        <v>12</v>
      </c>
      <c r="F9133">
        <v>193.6</v>
      </c>
      <c r="G9133" t="str">
        <f>VLOOKUP(Table1_2[[#This Row],[Categories]],Sheet3!$A$1:$B$27,2,FALSE)</f>
        <v>Food &amp;Beverage</v>
      </c>
    </row>
    <row r="9134" spans="1:7" x14ac:dyDescent="0.3">
      <c r="A9134" t="s">
        <v>33</v>
      </c>
      <c r="B9134">
        <v>2022</v>
      </c>
      <c r="C9134" t="s">
        <v>42</v>
      </c>
      <c r="D9134" s="2">
        <v>44805</v>
      </c>
      <c r="E9134" t="s">
        <v>13</v>
      </c>
      <c r="F9134">
        <v>161.1</v>
      </c>
      <c r="G9134" t="str">
        <f>VLOOKUP(Table1_2[[#This Row],[Categories]],Sheet3!$A$1:$B$27,2,FALSE)</f>
        <v>Food &amp;Beverage</v>
      </c>
    </row>
    <row r="9135" spans="1:7" x14ac:dyDescent="0.3">
      <c r="A9135" t="s">
        <v>33</v>
      </c>
      <c r="B9135">
        <v>2022</v>
      </c>
      <c r="C9135" t="s">
        <v>42</v>
      </c>
      <c r="D9135" s="2">
        <v>44805</v>
      </c>
      <c r="E9135" t="s">
        <v>14</v>
      </c>
      <c r="F9135">
        <v>190.4</v>
      </c>
      <c r="G9135" t="str">
        <f>VLOOKUP(Table1_2[[#This Row],[Categories]],Sheet3!$A$1:$B$27,2,FALSE)</f>
        <v>Food &amp;Beverage</v>
      </c>
    </row>
    <row r="9136" spans="1:7" x14ac:dyDescent="0.3">
      <c r="A9136" t="s">
        <v>33</v>
      </c>
      <c r="B9136">
        <v>2022</v>
      </c>
      <c r="C9136" t="s">
        <v>42</v>
      </c>
      <c r="D9136" s="2">
        <v>44805</v>
      </c>
      <c r="E9136" t="s">
        <v>15</v>
      </c>
      <c r="F9136">
        <v>181.8</v>
      </c>
      <c r="G9136" t="str">
        <f>VLOOKUP(Table1_2[[#This Row],[Categories]],Sheet3!$A$1:$B$27,2,FALSE)</f>
        <v>Food &amp;Beverage</v>
      </c>
    </row>
    <row r="9137" spans="1:7" x14ac:dyDescent="0.3">
      <c r="A9137" t="s">
        <v>33</v>
      </c>
      <c r="B9137">
        <v>2022</v>
      </c>
      <c r="C9137" t="s">
        <v>42</v>
      </c>
      <c r="D9137" s="2">
        <v>44805</v>
      </c>
      <c r="E9137" t="s">
        <v>16</v>
      </c>
      <c r="F9137">
        <v>199.7</v>
      </c>
      <c r="G9137" t="str">
        <f>VLOOKUP(Table1_2[[#This Row],[Categories]],Sheet3!$A$1:$B$27,2,FALSE)</f>
        <v>Recreation and amusement</v>
      </c>
    </row>
    <row r="9138" spans="1:7" x14ac:dyDescent="0.3">
      <c r="A9138" t="s">
        <v>33</v>
      </c>
      <c r="B9138">
        <v>2022</v>
      </c>
      <c r="C9138" t="s">
        <v>42</v>
      </c>
      <c r="D9138" s="2">
        <v>44805</v>
      </c>
      <c r="E9138" t="s">
        <v>17</v>
      </c>
      <c r="F9138">
        <v>175</v>
      </c>
      <c r="G9138" t="str">
        <f>VLOOKUP(Table1_2[[#This Row],[Categories]],Sheet3!$A$1:$B$27,2,FALSE)</f>
        <v>Clothing and footwear</v>
      </c>
    </row>
    <row r="9139" spans="1:7" x14ac:dyDescent="0.3">
      <c r="A9139" t="s">
        <v>33</v>
      </c>
      <c r="B9139">
        <v>2022</v>
      </c>
      <c r="C9139" t="s">
        <v>42</v>
      </c>
      <c r="D9139" s="2">
        <v>44805</v>
      </c>
      <c r="E9139" t="s">
        <v>18</v>
      </c>
      <c r="F9139">
        <v>161.69999999999999</v>
      </c>
      <c r="G9139" t="str">
        <f>VLOOKUP(Table1_2[[#This Row],[Categories]],Sheet3!$A$1:$B$27,2,FALSE)</f>
        <v>Clothing and footwear</v>
      </c>
    </row>
    <row r="9140" spans="1:7" x14ac:dyDescent="0.3">
      <c r="A9140" t="s">
        <v>33</v>
      </c>
      <c r="B9140">
        <v>2022</v>
      </c>
      <c r="C9140" t="s">
        <v>42</v>
      </c>
      <c r="D9140" s="2">
        <v>44805</v>
      </c>
      <c r="E9140" t="s">
        <v>19</v>
      </c>
      <c r="F9140">
        <v>173</v>
      </c>
      <c r="G9140" t="str">
        <f>VLOOKUP(Table1_2[[#This Row],[Categories]],Sheet3!$A$1:$B$27,2,FALSE)</f>
        <v>Clothing and footwear</v>
      </c>
    </row>
    <row r="9141" spans="1:7" x14ac:dyDescent="0.3">
      <c r="A9141" t="s">
        <v>33</v>
      </c>
      <c r="B9141">
        <v>2022</v>
      </c>
      <c r="C9141" t="s">
        <v>42</v>
      </c>
      <c r="D9141" s="2">
        <v>44805</v>
      </c>
      <c r="E9141" t="s">
        <v>20</v>
      </c>
      <c r="F9141">
        <v>169.5</v>
      </c>
      <c r="G9141" t="str">
        <f>VLOOKUP(Table1_2[[#This Row],[Categories]],Sheet3!$A$1:$B$27,2,FALSE)</f>
        <v>Housing</v>
      </c>
    </row>
    <row r="9142" spans="1:7" x14ac:dyDescent="0.3">
      <c r="A9142" t="s">
        <v>33</v>
      </c>
      <c r="B9142">
        <v>2022</v>
      </c>
      <c r="C9142" t="s">
        <v>42</v>
      </c>
      <c r="D9142" s="2">
        <v>44805</v>
      </c>
      <c r="E9142" t="s">
        <v>21</v>
      </c>
      <c r="F9142">
        <v>179.2</v>
      </c>
      <c r="G9142" t="str">
        <f>VLOOKUP(Table1_2[[#This Row],[Categories]],Sheet3!$A$1:$B$27,2,FALSE)</f>
        <v>Fuel and light</v>
      </c>
    </row>
    <row r="9143" spans="1:7" x14ac:dyDescent="0.3">
      <c r="A9143" t="s">
        <v>33</v>
      </c>
      <c r="B9143">
        <v>2022</v>
      </c>
      <c r="C9143" t="s">
        <v>42</v>
      </c>
      <c r="D9143" s="2">
        <v>44805</v>
      </c>
      <c r="E9143" t="s">
        <v>22</v>
      </c>
      <c r="F9143">
        <v>165</v>
      </c>
      <c r="G9143" t="str">
        <f>VLOOKUP(Table1_2[[#This Row],[Categories]],Sheet3!$A$1:$B$27,2,FALSE)</f>
        <v>Household Items</v>
      </c>
    </row>
    <row r="9144" spans="1:7" x14ac:dyDescent="0.3">
      <c r="A9144" t="s">
        <v>33</v>
      </c>
      <c r="B9144">
        <v>2022</v>
      </c>
      <c r="C9144" t="s">
        <v>42</v>
      </c>
      <c r="D9144" s="2">
        <v>44805</v>
      </c>
      <c r="E9144" t="s">
        <v>23</v>
      </c>
      <c r="F9144">
        <v>173.8</v>
      </c>
      <c r="G9144" t="str">
        <f>VLOOKUP(Table1_2[[#This Row],[Categories]],Sheet3!$A$1:$B$27,2,FALSE)</f>
        <v>Health</v>
      </c>
    </row>
    <row r="9145" spans="1:7" x14ac:dyDescent="0.3">
      <c r="A9145" t="s">
        <v>33</v>
      </c>
      <c r="B9145">
        <v>2022</v>
      </c>
      <c r="C9145" t="s">
        <v>42</v>
      </c>
      <c r="D9145" s="2">
        <v>44805</v>
      </c>
      <c r="E9145" t="s">
        <v>24</v>
      </c>
      <c r="F9145">
        <v>158.19999999999999</v>
      </c>
      <c r="G9145" t="str">
        <f>VLOOKUP(Table1_2[[#This Row],[Categories]],Sheet3!$A$1:$B$27,2,FALSE)</f>
        <v>Transport and communication</v>
      </c>
    </row>
    <row r="9146" spans="1:7" x14ac:dyDescent="0.3">
      <c r="A9146" t="s">
        <v>33</v>
      </c>
      <c r="B9146">
        <v>2022</v>
      </c>
      <c r="C9146" t="s">
        <v>42</v>
      </c>
      <c r="D9146" s="2">
        <v>44805</v>
      </c>
      <c r="E9146" t="s">
        <v>25</v>
      </c>
      <c r="F9146">
        <v>165.8</v>
      </c>
      <c r="G9146" t="str">
        <f>VLOOKUP(Table1_2[[#This Row],[Categories]],Sheet3!$A$1:$B$27,2,FALSE)</f>
        <v>Recreation and amusement</v>
      </c>
    </row>
    <row r="9147" spans="1:7" x14ac:dyDescent="0.3">
      <c r="A9147" t="s">
        <v>33</v>
      </c>
      <c r="B9147">
        <v>2022</v>
      </c>
      <c r="C9147" t="s">
        <v>42</v>
      </c>
      <c r="D9147" s="2">
        <v>44805</v>
      </c>
      <c r="E9147" t="s">
        <v>26</v>
      </c>
      <c r="F9147">
        <v>170.9</v>
      </c>
      <c r="G9147" t="str">
        <f>VLOOKUP(Table1_2[[#This Row],[Categories]],Sheet3!$A$1:$B$27,2,FALSE)</f>
        <v>Education</v>
      </c>
    </row>
    <row r="9148" spans="1:7" x14ac:dyDescent="0.3">
      <c r="A9148" t="s">
        <v>33</v>
      </c>
      <c r="B9148">
        <v>2022</v>
      </c>
      <c r="C9148" t="s">
        <v>42</v>
      </c>
      <c r="D9148" s="2">
        <v>44805</v>
      </c>
      <c r="E9148" t="s">
        <v>27</v>
      </c>
      <c r="F9148">
        <v>171.1</v>
      </c>
      <c r="G9148" t="str">
        <f>VLOOKUP(Table1_2[[#This Row],[Categories]],Sheet3!$A$1:$B$27,2,FALSE)</f>
        <v>Household Items</v>
      </c>
    </row>
    <row r="9149" spans="1:7" x14ac:dyDescent="0.3">
      <c r="A9149" t="s">
        <v>33</v>
      </c>
      <c r="B9149">
        <v>2022</v>
      </c>
      <c r="C9149" t="s">
        <v>42</v>
      </c>
      <c r="D9149" s="2">
        <v>44805</v>
      </c>
      <c r="E9149" t="s">
        <v>28</v>
      </c>
      <c r="F9149">
        <v>166.1</v>
      </c>
      <c r="G9149" t="str">
        <f>VLOOKUP(Table1_2[[#This Row],[Categories]],Sheet3!$A$1:$B$27,2,FALSE)</f>
        <v>Miscellaneous</v>
      </c>
    </row>
    <row r="9150" spans="1:7" x14ac:dyDescent="0.3">
      <c r="A9150" t="s">
        <v>33</v>
      </c>
      <c r="B9150">
        <v>2022</v>
      </c>
      <c r="C9150" t="s">
        <v>42</v>
      </c>
      <c r="D9150" s="2">
        <v>44805</v>
      </c>
      <c r="E9150" t="s">
        <v>29</v>
      </c>
      <c r="F9150">
        <v>174.1</v>
      </c>
      <c r="G9150" t="str">
        <f>VLOOKUP(Table1_2[[#This Row],[Categories]],Sheet3!$A$1:$B$27,2,FALSE)</f>
        <v>General index</v>
      </c>
    </row>
    <row r="9151" spans="1:7" x14ac:dyDescent="0.3">
      <c r="A9151" t="s">
        <v>34</v>
      </c>
      <c r="B9151">
        <v>2022</v>
      </c>
      <c r="C9151" t="s">
        <v>42</v>
      </c>
      <c r="D9151" s="2">
        <v>44805</v>
      </c>
      <c r="E9151" t="s">
        <v>3</v>
      </c>
      <c r="F9151">
        <v>163.5</v>
      </c>
      <c r="G9151" t="str">
        <f>VLOOKUP(Table1_2[[#This Row],[Categories]],Sheet3!$A$1:$B$27,2,FALSE)</f>
        <v>Food &amp;Beverage</v>
      </c>
    </row>
    <row r="9152" spans="1:7" x14ac:dyDescent="0.3">
      <c r="A9152" t="s">
        <v>34</v>
      </c>
      <c r="B9152">
        <v>2022</v>
      </c>
      <c r="C9152" t="s">
        <v>42</v>
      </c>
      <c r="D9152" s="2">
        <v>44805</v>
      </c>
      <c r="E9152" t="s">
        <v>4</v>
      </c>
      <c r="F9152">
        <v>209.2</v>
      </c>
      <c r="G9152" t="str">
        <f>VLOOKUP(Table1_2[[#This Row],[Categories]],Sheet3!$A$1:$B$27,2,FALSE)</f>
        <v>Food &amp;Beverage</v>
      </c>
    </row>
    <row r="9153" spans="1:7" x14ac:dyDescent="0.3">
      <c r="A9153" t="s">
        <v>34</v>
      </c>
      <c r="B9153">
        <v>2022</v>
      </c>
      <c r="C9153" t="s">
        <v>42</v>
      </c>
      <c r="D9153" s="2">
        <v>44805</v>
      </c>
      <c r="E9153" t="s">
        <v>5</v>
      </c>
      <c r="F9153">
        <v>169.7</v>
      </c>
      <c r="G9153" t="str">
        <f>VLOOKUP(Table1_2[[#This Row],[Categories]],Sheet3!$A$1:$B$27,2,FALSE)</f>
        <v>Food &amp;Beverage</v>
      </c>
    </row>
    <row r="9154" spans="1:7" x14ac:dyDescent="0.3">
      <c r="A9154" t="s">
        <v>34</v>
      </c>
      <c r="B9154">
        <v>2022</v>
      </c>
      <c r="C9154" t="s">
        <v>42</v>
      </c>
      <c r="D9154" s="2">
        <v>44805</v>
      </c>
      <c r="E9154" t="s">
        <v>6</v>
      </c>
      <c r="F9154">
        <v>169.7</v>
      </c>
      <c r="G9154" t="str">
        <f>VLOOKUP(Table1_2[[#This Row],[Categories]],Sheet3!$A$1:$B$27,2,FALSE)</f>
        <v>Food &amp;Beverage</v>
      </c>
    </row>
    <row r="9155" spans="1:7" x14ac:dyDescent="0.3">
      <c r="A9155" t="s">
        <v>34</v>
      </c>
      <c r="B9155">
        <v>2022</v>
      </c>
      <c r="C9155" t="s">
        <v>42</v>
      </c>
      <c r="D9155" s="2">
        <v>44805</v>
      </c>
      <c r="E9155" t="s">
        <v>7</v>
      </c>
      <c r="F9155">
        <v>188.7</v>
      </c>
      <c r="G9155" t="str">
        <f>VLOOKUP(Table1_2[[#This Row],[Categories]],Sheet3!$A$1:$B$27,2,FALSE)</f>
        <v>Food &amp;Beverage</v>
      </c>
    </row>
    <row r="9156" spans="1:7" x14ac:dyDescent="0.3">
      <c r="A9156" t="s">
        <v>34</v>
      </c>
      <c r="B9156">
        <v>2022</v>
      </c>
      <c r="C9156" t="s">
        <v>42</v>
      </c>
      <c r="D9156" s="2">
        <v>44805</v>
      </c>
      <c r="E9156" t="s">
        <v>8</v>
      </c>
      <c r="F9156">
        <v>165.7</v>
      </c>
      <c r="G9156" t="str">
        <f>VLOOKUP(Table1_2[[#This Row],[Categories]],Sheet3!$A$1:$B$27,2,FALSE)</f>
        <v>Food &amp;Beverage</v>
      </c>
    </row>
    <row r="9157" spans="1:7" x14ac:dyDescent="0.3">
      <c r="A9157" t="s">
        <v>34</v>
      </c>
      <c r="B9157">
        <v>2022</v>
      </c>
      <c r="C9157" t="s">
        <v>42</v>
      </c>
      <c r="D9157" s="2">
        <v>44805</v>
      </c>
      <c r="E9157" t="s">
        <v>9</v>
      </c>
      <c r="F9157">
        <v>191.8</v>
      </c>
      <c r="G9157" t="str">
        <f>VLOOKUP(Table1_2[[#This Row],[Categories]],Sheet3!$A$1:$B$27,2,FALSE)</f>
        <v>Food &amp;Beverage</v>
      </c>
    </row>
    <row r="9158" spans="1:7" x14ac:dyDescent="0.3">
      <c r="A9158" t="s">
        <v>34</v>
      </c>
      <c r="B9158">
        <v>2022</v>
      </c>
      <c r="C9158" t="s">
        <v>42</v>
      </c>
      <c r="D9158" s="2">
        <v>44805</v>
      </c>
      <c r="E9158" t="s">
        <v>10</v>
      </c>
      <c r="F9158">
        <v>169.1</v>
      </c>
      <c r="G9158" t="str">
        <f>VLOOKUP(Table1_2[[#This Row],[Categories]],Sheet3!$A$1:$B$27,2,FALSE)</f>
        <v>Food &amp;Beverage</v>
      </c>
    </row>
    <row r="9159" spans="1:7" x14ac:dyDescent="0.3">
      <c r="A9159" t="s">
        <v>34</v>
      </c>
      <c r="B9159">
        <v>2022</v>
      </c>
      <c r="C9159" t="s">
        <v>42</v>
      </c>
      <c r="D9159" s="2">
        <v>44805</v>
      </c>
      <c r="E9159" t="s">
        <v>11</v>
      </c>
      <c r="F9159">
        <v>121.6</v>
      </c>
      <c r="G9159" t="str">
        <f>VLOOKUP(Table1_2[[#This Row],[Categories]],Sheet3!$A$1:$B$27,2,FALSE)</f>
        <v>Food &amp;Beverage</v>
      </c>
    </row>
    <row r="9160" spans="1:7" x14ac:dyDescent="0.3">
      <c r="A9160" t="s">
        <v>34</v>
      </c>
      <c r="B9160">
        <v>2022</v>
      </c>
      <c r="C9160" t="s">
        <v>42</v>
      </c>
      <c r="D9160" s="2">
        <v>44805</v>
      </c>
      <c r="E9160" t="s">
        <v>12</v>
      </c>
      <c r="F9160">
        <v>197.3</v>
      </c>
      <c r="G9160" t="str">
        <f>VLOOKUP(Table1_2[[#This Row],[Categories]],Sheet3!$A$1:$B$27,2,FALSE)</f>
        <v>Food &amp;Beverage</v>
      </c>
    </row>
    <row r="9161" spans="1:7" x14ac:dyDescent="0.3">
      <c r="A9161" t="s">
        <v>34</v>
      </c>
      <c r="B9161">
        <v>2022</v>
      </c>
      <c r="C9161" t="s">
        <v>42</v>
      </c>
      <c r="D9161" s="2">
        <v>44805</v>
      </c>
      <c r="E9161" t="s">
        <v>13</v>
      </c>
      <c r="F9161">
        <v>169.4</v>
      </c>
      <c r="G9161" t="str">
        <f>VLOOKUP(Table1_2[[#This Row],[Categories]],Sheet3!$A$1:$B$27,2,FALSE)</f>
        <v>Food &amp;Beverage</v>
      </c>
    </row>
    <row r="9162" spans="1:7" x14ac:dyDescent="0.3">
      <c r="A9162" t="s">
        <v>34</v>
      </c>
      <c r="B9162">
        <v>2022</v>
      </c>
      <c r="C9162" t="s">
        <v>42</v>
      </c>
      <c r="D9162" s="2">
        <v>44805</v>
      </c>
      <c r="E9162" t="s">
        <v>14</v>
      </c>
      <c r="F9162">
        <v>187.4</v>
      </c>
      <c r="G9162" t="str">
        <f>VLOOKUP(Table1_2[[#This Row],[Categories]],Sheet3!$A$1:$B$27,2,FALSE)</f>
        <v>Food &amp;Beverage</v>
      </c>
    </row>
    <row r="9163" spans="1:7" x14ac:dyDescent="0.3">
      <c r="A9163" t="s">
        <v>34</v>
      </c>
      <c r="B9163">
        <v>2022</v>
      </c>
      <c r="C9163" t="s">
        <v>42</v>
      </c>
      <c r="D9163" s="2">
        <v>44805</v>
      </c>
      <c r="E9163" t="s">
        <v>15</v>
      </c>
      <c r="F9163">
        <v>177.8</v>
      </c>
      <c r="G9163" t="str">
        <f>VLOOKUP(Table1_2[[#This Row],[Categories]],Sheet3!$A$1:$B$27,2,FALSE)</f>
        <v>Food &amp;Beverage</v>
      </c>
    </row>
    <row r="9164" spans="1:7" x14ac:dyDescent="0.3">
      <c r="A9164" t="s">
        <v>34</v>
      </c>
      <c r="B9164">
        <v>2022</v>
      </c>
      <c r="C9164" t="s">
        <v>42</v>
      </c>
      <c r="D9164" s="2">
        <v>44805</v>
      </c>
      <c r="E9164" t="s">
        <v>16</v>
      </c>
      <c r="F9164">
        <v>195.9</v>
      </c>
      <c r="G9164" t="str">
        <f>VLOOKUP(Table1_2[[#This Row],[Categories]],Sheet3!$A$1:$B$27,2,FALSE)</f>
        <v>Recreation and amusement</v>
      </c>
    </row>
    <row r="9165" spans="1:7" x14ac:dyDescent="0.3">
      <c r="A9165" t="s">
        <v>34</v>
      </c>
      <c r="B9165">
        <v>2022</v>
      </c>
      <c r="C9165" t="s">
        <v>42</v>
      </c>
      <c r="D9165" s="2">
        <v>44805</v>
      </c>
      <c r="E9165" t="s">
        <v>17</v>
      </c>
      <c r="F9165">
        <v>180.9</v>
      </c>
      <c r="G9165" t="str">
        <f>VLOOKUP(Table1_2[[#This Row],[Categories]],Sheet3!$A$1:$B$27,2,FALSE)</f>
        <v>Clothing and footwear</v>
      </c>
    </row>
    <row r="9166" spans="1:7" x14ac:dyDescent="0.3">
      <c r="A9166" t="s">
        <v>34</v>
      </c>
      <c r="B9166">
        <v>2022</v>
      </c>
      <c r="C9166" t="s">
        <v>42</v>
      </c>
      <c r="D9166" s="2">
        <v>44805</v>
      </c>
      <c r="E9166" t="s">
        <v>18</v>
      </c>
      <c r="F9166">
        <v>174.3</v>
      </c>
      <c r="G9166" t="str">
        <f>VLOOKUP(Table1_2[[#This Row],[Categories]],Sheet3!$A$1:$B$27,2,FALSE)</f>
        <v>Clothing and footwear</v>
      </c>
    </row>
    <row r="9167" spans="1:7" x14ac:dyDescent="0.3">
      <c r="A9167" t="s">
        <v>34</v>
      </c>
      <c r="B9167">
        <v>2022</v>
      </c>
      <c r="C9167" t="s">
        <v>42</v>
      </c>
      <c r="D9167" s="2">
        <v>44805</v>
      </c>
      <c r="E9167" t="s">
        <v>19</v>
      </c>
      <c r="F9167">
        <v>179.9</v>
      </c>
      <c r="G9167" t="str">
        <f>VLOOKUP(Table1_2[[#This Row],[Categories]],Sheet3!$A$1:$B$27,2,FALSE)</f>
        <v>Clothing and footwear</v>
      </c>
    </row>
    <row r="9168" spans="1:7" x14ac:dyDescent="0.3">
      <c r="A9168" t="s">
        <v>34</v>
      </c>
      <c r="B9168">
        <v>2022</v>
      </c>
      <c r="C9168" t="s">
        <v>42</v>
      </c>
      <c r="D9168" s="2">
        <v>44805</v>
      </c>
      <c r="E9168" t="s">
        <v>20</v>
      </c>
      <c r="F9168">
        <v>169.5</v>
      </c>
      <c r="G9168" t="str">
        <f>VLOOKUP(Table1_2[[#This Row],[Categories]],Sheet3!$A$1:$B$27,2,FALSE)</f>
        <v>Housing</v>
      </c>
    </row>
    <row r="9169" spans="1:7" x14ac:dyDescent="0.3">
      <c r="A9169" t="s">
        <v>34</v>
      </c>
      <c r="B9169">
        <v>2022</v>
      </c>
      <c r="C9169" t="s">
        <v>42</v>
      </c>
      <c r="D9169" s="2">
        <v>44805</v>
      </c>
      <c r="E9169" t="s">
        <v>21</v>
      </c>
      <c r="F9169">
        <v>179.5</v>
      </c>
      <c r="G9169" t="str">
        <f>VLOOKUP(Table1_2[[#This Row],[Categories]],Sheet3!$A$1:$B$27,2,FALSE)</f>
        <v>Fuel and light</v>
      </c>
    </row>
    <row r="9170" spans="1:7" x14ac:dyDescent="0.3">
      <c r="A9170" t="s">
        <v>34</v>
      </c>
      <c r="B9170">
        <v>2022</v>
      </c>
      <c r="C9170" t="s">
        <v>42</v>
      </c>
      <c r="D9170" s="2">
        <v>44805</v>
      </c>
      <c r="E9170" t="s">
        <v>22</v>
      </c>
      <c r="F9170">
        <v>169.5</v>
      </c>
      <c r="G9170" t="str">
        <f>VLOOKUP(Table1_2[[#This Row],[Categories]],Sheet3!$A$1:$B$27,2,FALSE)</f>
        <v>Household Items</v>
      </c>
    </row>
    <row r="9171" spans="1:7" x14ac:dyDescent="0.3">
      <c r="A9171" t="s">
        <v>34</v>
      </c>
      <c r="B9171">
        <v>2022</v>
      </c>
      <c r="C9171" t="s">
        <v>42</v>
      </c>
      <c r="D9171" s="2">
        <v>44805</v>
      </c>
      <c r="E9171" t="s">
        <v>23</v>
      </c>
      <c r="F9171">
        <v>177.8</v>
      </c>
      <c r="G9171" t="str">
        <f>VLOOKUP(Table1_2[[#This Row],[Categories]],Sheet3!$A$1:$B$27,2,FALSE)</f>
        <v>Health</v>
      </c>
    </row>
    <row r="9172" spans="1:7" x14ac:dyDescent="0.3">
      <c r="A9172" t="s">
        <v>34</v>
      </c>
      <c r="B9172">
        <v>2022</v>
      </c>
      <c r="C9172" t="s">
        <v>42</v>
      </c>
      <c r="D9172" s="2">
        <v>44805</v>
      </c>
      <c r="E9172" t="s">
        <v>24</v>
      </c>
      <c r="F9172">
        <v>162.30000000000001</v>
      </c>
      <c r="G9172" t="str">
        <f>VLOOKUP(Table1_2[[#This Row],[Categories]],Sheet3!$A$1:$B$27,2,FALSE)</f>
        <v>Transport and communication</v>
      </c>
    </row>
    <row r="9173" spans="1:7" x14ac:dyDescent="0.3">
      <c r="A9173" t="s">
        <v>34</v>
      </c>
      <c r="B9173">
        <v>2022</v>
      </c>
      <c r="C9173" t="s">
        <v>42</v>
      </c>
      <c r="D9173" s="2">
        <v>44805</v>
      </c>
      <c r="E9173" t="s">
        <v>25</v>
      </c>
      <c r="F9173">
        <v>167.6</v>
      </c>
      <c r="G9173" t="str">
        <f>VLOOKUP(Table1_2[[#This Row],[Categories]],Sheet3!$A$1:$B$27,2,FALSE)</f>
        <v>Recreation and amusement</v>
      </c>
    </row>
    <row r="9174" spans="1:7" x14ac:dyDescent="0.3">
      <c r="A9174" t="s">
        <v>34</v>
      </c>
      <c r="B9174">
        <v>2022</v>
      </c>
      <c r="C9174" t="s">
        <v>42</v>
      </c>
      <c r="D9174" s="2">
        <v>44805</v>
      </c>
      <c r="E9174" t="s">
        <v>26</v>
      </c>
      <c r="F9174">
        <v>173.1</v>
      </c>
      <c r="G9174" t="str">
        <f>VLOOKUP(Table1_2[[#This Row],[Categories]],Sheet3!$A$1:$B$27,2,FALSE)</f>
        <v>Education</v>
      </c>
    </row>
    <row r="9175" spans="1:7" x14ac:dyDescent="0.3">
      <c r="A9175" t="s">
        <v>34</v>
      </c>
      <c r="B9175">
        <v>2022</v>
      </c>
      <c r="C9175" t="s">
        <v>42</v>
      </c>
      <c r="D9175" s="2">
        <v>44805</v>
      </c>
      <c r="E9175" t="s">
        <v>27</v>
      </c>
      <c r="F9175">
        <v>170.9</v>
      </c>
      <c r="G9175" t="str">
        <f>VLOOKUP(Table1_2[[#This Row],[Categories]],Sheet3!$A$1:$B$27,2,FALSE)</f>
        <v>Household Items</v>
      </c>
    </row>
    <row r="9176" spans="1:7" x14ac:dyDescent="0.3">
      <c r="A9176" t="s">
        <v>34</v>
      </c>
      <c r="B9176">
        <v>2022</v>
      </c>
      <c r="C9176" t="s">
        <v>42</v>
      </c>
      <c r="D9176" s="2">
        <v>44805</v>
      </c>
      <c r="E9176" t="s">
        <v>28</v>
      </c>
      <c r="F9176">
        <v>169.7</v>
      </c>
      <c r="G9176" t="str">
        <f>VLOOKUP(Table1_2[[#This Row],[Categories]],Sheet3!$A$1:$B$27,2,FALSE)</f>
        <v>Miscellaneous</v>
      </c>
    </row>
    <row r="9177" spans="1:7" x14ac:dyDescent="0.3">
      <c r="A9177" t="s">
        <v>34</v>
      </c>
      <c r="B9177">
        <v>2022</v>
      </c>
      <c r="C9177" t="s">
        <v>42</v>
      </c>
      <c r="D9177" s="2">
        <v>44805</v>
      </c>
      <c r="E9177" t="s">
        <v>29</v>
      </c>
      <c r="F9177">
        <v>175.3</v>
      </c>
      <c r="G9177" t="str">
        <f>VLOOKUP(Table1_2[[#This Row],[Categories]],Sheet3!$A$1:$B$27,2,FALSE)</f>
        <v>General index</v>
      </c>
    </row>
    <row r="9178" spans="1:7" x14ac:dyDescent="0.3">
      <c r="A9178" t="s">
        <v>30</v>
      </c>
      <c r="B9178">
        <v>2022</v>
      </c>
      <c r="C9178" t="s">
        <v>43</v>
      </c>
      <c r="D9178" s="2">
        <v>44835</v>
      </c>
      <c r="E9178" t="s">
        <v>3</v>
      </c>
      <c r="F9178">
        <v>164.7</v>
      </c>
      <c r="G9178" t="str">
        <f>VLOOKUP(Table1_2[[#This Row],[Categories]],Sheet3!$A$1:$B$27,2,FALSE)</f>
        <v>Food &amp;Beverage</v>
      </c>
    </row>
    <row r="9179" spans="1:7" x14ac:dyDescent="0.3">
      <c r="A9179" t="s">
        <v>30</v>
      </c>
      <c r="B9179">
        <v>2022</v>
      </c>
      <c r="C9179" t="s">
        <v>43</v>
      </c>
      <c r="D9179" s="2">
        <v>44835</v>
      </c>
      <c r="E9179" t="s">
        <v>4</v>
      </c>
      <c r="F9179">
        <v>208.8</v>
      </c>
      <c r="G9179" t="str">
        <f>VLOOKUP(Table1_2[[#This Row],[Categories]],Sheet3!$A$1:$B$27,2,FALSE)</f>
        <v>Food &amp;Beverage</v>
      </c>
    </row>
    <row r="9180" spans="1:7" x14ac:dyDescent="0.3">
      <c r="A9180" t="s">
        <v>30</v>
      </c>
      <c r="B9180">
        <v>2022</v>
      </c>
      <c r="C9180" t="s">
        <v>43</v>
      </c>
      <c r="D9180" s="2">
        <v>44835</v>
      </c>
      <c r="E9180" t="s">
        <v>5</v>
      </c>
      <c r="F9180">
        <v>170.3</v>
      </c>
      <c r="G9180" t="str">
        <f>VLOOKUP(Table1_2[[#This Row],[Categories]],Sheet3!$A$1:$B$27,2,FALSE)</f>
        <v>Food &amp;Beverage</v>
      </c>
    </row>
    <row r="9181" spans="1:7" x14ac:dyDescent="0.3">
      <c r="A9181" t="s">
        <v>30</v>
      </c>
      <c r="B9181">
        <v>2022</v>
      </c>
      <c r="C9181" t="s">
        <v>43</v>
      </c>
      <c r="D9181" s="2">
        <v>44835</v>
      </c>
      <c r="E9181" t="s">
        <v>6</v>
      </c>
      <c r="F9181">
        <v>170.9</v>
      </c>
      <c r="G9181" t="str">
        <f>VLOOKUP(Table1_2[[#This Row],[Categories]],Sheet3!$A$1:$B$27,2,FALSE)</f>
        <v>Food &amp;Beverage</v>
      </c>
    </row>
    <row r="9182" spans="1:7" x14ac:dyDescent="0.3">
      <c r="A9182" t="s">
        <v>30</v>
      </c>
      <c r="B9182">
        <v>2022</v>
      </c>
      <c r="C9182" t="s">
        <v>43</v>
      </c>
      <c r="D9182" s="2">
        <v>44835</v>
      </c>
      <c r="E9182" t="s">
        <v>7</v>
      </c>
      <c r="F9182">
        <v>191.6</v>
      </c>
      <c r="G9182" t="str">
        <f>VLOOKUP(Table1_2[[#This Row],[Categories]],Sheet3!$A$1:$B$27,2,FALSE)</f>
        <v>Food &amp;Beverage</v>
      </c>
    </row>
    <row r="9183" spans="1:7" x14ac:dyDescent="0.3">
      <c r="A9183" t="s">
        <v>30</v>
      </c>
      <c r="B9183">
        <v>2022</v>
      </c>
      <c r="C9183" t="s">
        <v>43</v>
      </c>
      <c r="D9183" s="2">
        <v>44835</v>
      </c>
      <c r="E9183" t="s">
        <v>8</v>
      </c>
      <c r="F9183">
        <v>162.19999999999999</v>
      </c>
      <c r="G9183" t="str">
        <f>VLOOKUP(Table1_2[[#This Row],[Categories]],Sheet3!$A$1:$B$27,2,FALSE)</f>
        <v>Food &amp;Beverage</v>
      </c>
    </row>
    <row r="9184" spans="1:7" x14ac:dyDescent="0.3">
      <c r="A9184" t="s">
        <v>30</v>
      </c>
      <c r="B9184">
        <v>2022</v>
      </c>
      <c r="C9184" t="s">
        <v>43</v>
      </c>
      <c r="D9184" s="2">
        <v>44835</v>
      </c>
      <c r="E9184" t="s">
        <v>9</v>
      </c>
      <c r="F9184">
        <v>184.8</v>
      </c>
      <c r="G9184" t="str">
        <f>VLOOKUP(Table1_2[[#This Row],[Categories]],Sheet3!$A$1:$B$27,2,FALSE)</f>
        <v>Food &amp;Beverage</v>
      </c>
    </row>
    <row r="9185" spans="1:7" x14ac:dyDescent="0.3">
      <c r="A9185" t="s">
        <v>30</v>
      </c>
      <c r="B9185">
        <v>2022</v>
      </c>
      <c r="C9185" t="s">
        <v>43</v>
      </c>
      <c r="D9185" s="2">
        <v>44835</v>
      </c>
      <c r="E9185" t="s">
        <v>10</v>
      </c>
      <c r="F9185">
        <v>169.7</v>
      </c>
      <c r="G9185" t="str">
        <f>VLOOKUP(Table1_2[[#This Row],[Categories]],Sheet3!$A$1:$B$27,2,FALSE)</f>
        <v>Food &amp;Beverage</v>
      </c>
    </row>
    <row r="9186" spans="1:7" x14ac:dyDescent="0.3">
      <c r="A9186" t="s">
        <v>30</v>
      </c>
      <c r="B9186">
        <v>2022</v>
      </c>
      <c r="C9186" t="s">
        <v>43</v>
      </c>
      <c r="D9186" s="2">
        <v>44835</v>
      </c>
      <c r="E9186" t="s">
        <v>11</v>
      </c>
      <c r="F9186">
        <v>121.1</v>
      </c>
      <c r="G9186" t="str">
        <f>VLOOKUP(Table1_2[[#This Row],[Categories]],Sheet3!$A$1:$B$27,2,FALSE)</f>
        <v>Food &amp;Beverage</v>
      </c>
    </row>
    <row r="9187" spans="1:7" x14ac:dyDescent="0.3">
      <c r="A9187" t="s">
        <v>30</v>
      </c>
      <c r="B9187">
        <v>2022</v>
      </c>
      <c r="C9187" t="s">
        <v>43</v>
      </c>
      <c r="D9187" s="2">
        <v>44835</v>
      </c>
      <c r="E9187" t="s">
        <v>12</v>
      </c>
      <c r="F9187">
        <v>201.6</v>
      </c>
      <c r="G9187" t="str">
        <f>VLOOKUP(Table1_2[[#This Row],[Categories]],Sheet3!$A$1:$B$27,2,FALSE)</f>
        <v>Food &amp;Beverage</v>
      </c>
    </row>
    <row r="9188" spans="1:7" x14ac:dyDescent="0.3">
      <c r="A9188" t="s">
        <v>30</v>
      </c>
      <c r="B9188">
        <v>2022</v>
      </c>
      <c r="C9188" t="s">
        <v>43</v>
      </c>
      <c r="D9188" s="2">
        <v>44835</v>
      </c>
      <c r="E9188" t="s">
        <v>13</v>
      </c>
      <c r="F9188">
        <v>175.8</v>
      </c>
      <c r="G9188" t="str">
        <f>VLOOKUP(Table1_2[[#This Row],[Categories]],Sheet3!$A$1:$B$27,2,FALSE)</f>
        <v>Food &amp;Beverage</v>
      </c>
    </row>
    <row r="9189" spans="1:7" x14ac:dyDescent="0.3">
      <c r="A9189" t="s">
        <v>30</v>
      </c>
      <c r="B9189">
        <v>2022</v>
      </c>
      <c r="C9189" t="s">
        <v>43</v>
      </c>
      <c r="D9189" s="2">
        <v>44835</v>
      </c>
      <c r="E9189" t="s">
        <v>14</v>
      </c>
      <c r="F9189">
        <v>185.6</v>
      </c>
      <c r="G9189" t="str">
        <f>VLOOKUP(Table1_2[[#This Row],[Categories]],Sheet3!$A$1:$B$27,2,FALSE)</f>
        <v>Food &amp;Beverage</v>
      </c>
    </row>
    <row r="9190" spans="1:7" x14ac:dyDescent="0.3">
      <c r="A9190" t="s">
        <v>30</v>
      </c>
      <c r="B9190">
        <v>2022</v>
      </c>
      <c r="C9190" t="s">
        <v>43</v>
      </c>
      <c r="D9190" s="2">
        <v>44835</v>
      </c>
      <c r="E9190" t="s">
        <v>15</v>
      </c>
      <c r="F9190">
        <v>177.4</v>
      </c>
      <c r="G9190" t="str">
        <f>VLOOKUP(Table1_2[[#This Row],[Categories]],Sheet3!$A$1:$B$27,2,FALSE)</f>
        <v>Food &amp;Beverage</v>
      </c>
    </row>
    <row r="9191" spans="1:7" x14ac:dyDescent="0.3">
      <c r="A9191" t="s">
        <v>30</v>
      </c>
      <c r="B9191">
        <v>2022</v>
      </c>
      <c r="C9191" t="s">
        <v>43</v>
      </c>
      <c r="D9191" s="2">
        <v>44835</v>
      </c>
      <c r="E9191" t="s">
        <v>16</v>
      </c>
      <c r="F9191">
        <v>194.9</v>
      </c>
      <c r="G9191" t="str">
        <f>VLOOKUP(Table1_2[[#This Row],[Categories]],Sheet3!$A$1:$B$27,2,FALSE)</f>
        <v>Recreation and amusement</v>
      </c>
    </row>
    <row r="9192" spans="1:7" x14ac:dyDescent="0.3">
      <c r="A9192" t="s">
        <v>30</v>
      </c>
      <c r="B9192">
        <v>2022</v>
      </c>
      <c r="C9192" t="s">
        <v>43</v>
      </c>
      <c r="D9192" s="2">
        <v>44835</v>
      </c>
      <c r="E9192" t="s">
        <v>17</v>
      </c>
      <c r="F9192">
        <v>186.1</v>
      </c>
      <c r="G9192" t="str">
        <f>VLOOKUP(Table1_2[[#This Row],[Categories]],Sheet3!$A$1:$B$27,2,FALSE)</f>
        <v>Clothing and footwear</v>
      </c>
    </row>
    <row r="9193" spans="1:7" x14ac:dyDescent="0.3">
      <c r="A9193" t="s">
        <v>30</v>
      </c>
      <c r="B9193">
        <v>2022</v>
      </c>
      <c r="C9193" t="s">
        <v>43</v>
      </c>
      <c r="D9193" s="2">
        <v>44835</v>
      </c>
      <c r="E9193" t="s">
        <v>18</v>
      </c>
      <c r="F9193">
        <v>184.4</v>
      </c>
      <c r="G9193" t="str">
        <f>VLOOKUP(Table1_2[[#This Row],[Categories]],Sheet3!$A$1:$B$27,2,FALSE)</f>
        <v>Clothing and footwear</v>
      </c>
    </row>
    <row r="9194" spans="1:7" x14ac:dyDescent="0.3">
      <c r="A9194" t="s">
        <v>30</v>
      </c>
      <c r="B9194">
        <v>2022</v>
      </c>
      <c r="C9194" t="s">
        <v>43</v>
      </c>
      <c r="D9194" s="2">
        <v>44835</v>
      </c>
      <c r="E9194" t="s">
        <v>19</v>
      </c>
      <c r="F9194">
        <v>185.9</v>
      </c>
      <c r="G9194" t="str">
        <f>VLOOKUP(Table1_2[[#This Row],[Categories]],Sheet3!$A$1:$B$27,2,FALSE)</f>
        <v>Clothing and footwear</v>
      </c>
    </row>
    <row r="9195" spans="1:7" x14ac:dyDescent="0.3">
      <c r="A9195" t="s">
        <v>30</v>
      </c>
      <c r="B9195">
        <v>2022</v>
      </c>
      <c r="C9195" t="s">
        <v>43</v>
      </c>
      <c r="D9195" s="2">
        <v>44835</v>
      </c>
      <c r="E9195" t="s">
        <v>21</v>
      </c>
      <c r="F9195">
        <v>180.8</v>
      </c>
      <c r="G9195" t="str">
        <f>VLOOKUP(Table1_2[[#This Row],[Categories]],Sheet3!$A$1:$B$27,2,FALSE)</f>
        <v>Fuel and light</v>
      </c>
    </row>
    <row r="9196" spans="1:7" x14ac:dyDescent="0.3">
      <c r="A9196" t="s">
        <v>30</v>
      </c>
      <c r="B9196">
        <v>2022</v>
      </c>
      <c r="C9196" t="s">
        <v>43</v>
      </c>
      <c r="D9196" s="2">
        <v>44835</v>
      </c>
      <c r="E9196" t="s">
        <v>22</v>
      </c>
      <c r="F9196">
        <v>174.4</v>
      </c>
      <c r="G9196" t="str">
        <f>VLOOKUP(Table1_2[[#This Row],[Categories]],Sheet3!$A$1:$B$27,2,FALSE)</f>
        <v>Household Items</v>
      </c>
    </row>
    <row r="9197" spans="1:7" x14ac:dyDescent="0.3">
      <c r="A9197" t="s">
        <v>30</v>
      </c>
      <c r="B9197">
        <v>2022</v>
      </c>
      <c r="C9197" t="s">
        <v>43</v>
      </c>
      <c r="D9197" s="2">
        <v>44835</v>
      </c>
      <c r="E9197" t="s">
        <v>23</v>
      </c>
      <c r="F9197">
        <v>181.2</v>
      </c>
      <c r="G9197" t="str">
        <f>VLOOKUP(Table1_2[[#This Row],[Categories]],Sheet3!$A$1:$B$27,2,FALSE)</f>
        <v>Health</v>
      </c>
    </row>
    <row r="9198" spans="1:7" x14ac:dyDescent="0.3">
      <c r="A9198" t="s">
        <v>30</v>
      </c>
      <c r="B9198">
        <v>2022</v>
      </c>
      <c r="C9198" t="s">
        <v>43</v>
      </c>
      <c r="D9198" s="2">
        <v>44835</v>
      </c>
      <c r="E9198" t="s">
        <v>24</v>
      </c>
      <c r="F9198">
        <v>167.4</v>
      </c>
      <c r="G9198" t="str">
        <f>VLOOKUP(Table1_2[[#This Row],[Categories]],Sheet3!$A$1:$B$27,2,FALSE)</f>
        <v>Transport and communication</v>
      </c>
    </row>
    <row r="9199" spans="1:7" x14ac:dyDescent="0.3">
      <c r="A9199" t="s">
        <v>30</v>
      </c>
      <c r="B9199">
        <v>2022</v>
      </c>
      <c r="C9199" t="s">
        <v>43</v>
      </c>
      <c r="D9199" s="2">
        <v>44835</v>
      </c>
      <c r="E9199" t="s">
        <v>25</v>
      </c>
      <c r="F9199">
        <v>170.6</v>
      </c>
      <c r="G9199" t="str">
        <f>VLOOKUP(Table1_2[[#This Row],[Categories]],Sheet3!$A$1:$B$27,2,FALSE)</f>
        <v>Recreation and amusement</v>
      </c>
    </row>
    <row r="9200" spans="1:7" x14ac:dyDescent="0.3">
      <c r="A9200" t="s">
        <v>30</v>
      </c>
      <c r="B9200">
        <v>2022</v>
      </c>
      <c r="C9200" t="s">
        <v>43</v>
      </c>
      <c r="D9200" s="2">
        <v>44835</v>
      </c>
      <c r="E9200" t="s">
        <v>26</v>
      </c>
      <c r="F9200">
        <v>176.5</v>
      </c>
      <c r="G9200" t="str">
        <f>VLOOKUP(Table1_2[[#This Row],[Categories]],Sheet3!$A$1:$B$27,2,FALSE)</f>
        <v>Education</v>
      </c>
    </row>
    <row r="9201" spans="1:7" x14ac:dyDescent="0.3">
      <c r="A9201" t="s">
        <v>30</v>
      </c>
      <c r="B9201">
        <v>2022</v>
      </c>
      <c r="C9201" t="s">
        <v>43</v>
      </c>
      <c r="D9201" s="2">
        <v>44835</v>
      </c>
      <c r="E9201" t="s">
        <v>27</v>
      </c>
      <c r="F9201">
        <v>172</v>
      </c>
      <c r="G9201" t="str">
        <f>VLOOKUP(Table1_2[[#This Row],[Categories]],Sheet3!$A$1:$B$27,2,FALSE)</f>
        <v>Household Items</v>
      </c>
    </row>
    <row r="9202" spans="1:7" x14ac:dyDescent="0.3">
      <c r="A9202" t="s">
        <v>30</v>
      </c>
      <c r="B9202">
        <v>2022</v>
      </c>
      <c r="C9202" t="s">
        <v>43</v>
      </c>
      <c r="D9202" s="2">
        <v>44835</v>
      </c>
      <c r="E9202" t="s">
        <v>28</v>
      </c>
      <c r="F9202">
        <v>173.9</v>
      </c>
      <c r="G9202" t="str">
        <f>VLOOKUP(Table1_2[[#This Row],[Categories]],Sheet3!$A$1:$B$27,2,FALSE)</f>
        <v>Miscellaneous</v>
      </c>
    </row>
    <row r="9203" spans="1:7" x14ac:dyDescent="0.3">
      <c r="A9203" t="s">
        <v>30</v>
      </c>
      <c r="B9203">
        <v>2022</v>
      </c>
      <c r="C9203" t="s">
        <v>43</v>
      </c>
      <c r="D9203" s="2">
        <v>44835</v>
      </c>
      <c r="E9203" t="s">
        <v>29</v>
      </c>
      <c r="F9203">
        <v>177.9</v>
      </c>
      <c r="G9203" t="str">
        <f>VLOOKUP(Table1_2[[#This Row],[Categories]],Sheet3!$A$1:$B$27,2,FALSE)</f>
        <v>General index</v>
      </c>
    </row>
    <row r="9204" spans="1:7" x14ac:dyDescent="0.3">
      <c r="A9204" t="s">
        <v>33</v>
      </c>
      <c r="B9204">
        <v>2022</v>
      </c>
      <c r="C9204" t="s">
        <v>43</v>
      </c>
      <c r="D9204" s="2">
        <v>44835</v>
      </c>
      <c r="E9204" t="s">
        <v>3</v>
      </c>
      <c r="F9204">
        <v>166.4</v>
      </c>
      <c r="G9204" t="str">
        <f>VLOOKUP(Table1_2[[#This Row],[Categories]],Sheet3!$A$1:$B$27,2,FALSE)</f>
        <v>Food &amp;Beverage</v>
      </c>
    </row>
    <row r="9205" spans="1:7" x14ac:dyDescent="0.3">
      <c r="A9205" t="s">
        <v>33</v>
      </c>
      <c r="B9205">
        <v>2022</v>
      </c>
      <c r="C9205" t="s">
        <v>43</v>
      </c>
      <c r="D9205" s="2">
        <v>44835</v>
      </c>
      <c r="E9205" t="s">
        <v>4</v>
      </c>
      <c r="F9205">
        <v>214.9</v>
      </c>
      <c r="G9205" t="str">
        <f>VLOOKUP(Table1_2[[#This Row],[Categories]],Sheet3!$A$1:$B$27,2,FALSE)</f>
        <v>Food &amp;Beverage</v>
      </c>
    </row>
    <row r="9206" spans="1:7" x14ac:dyDescent="0.3">
      <c r="A9206" t="s">
        <v>33</v>
      </c>
      <c r="B9206">
        <v>2022</v>
      </c>
      <c r="C9206" t="s">
        <v>43</v>
      </c>
      <c r="D9206" s="2">
        <v>44835</v>
      </c>
      <c r="E9206" t="s">
        <v>5</v>
      </c>
      <c r="F9206">
        <v>171.9</v>
      </c>
      <c r="G9206" t="str">
        <f>VLOOKUP(Table1_2[[#This Row],[Categories]],Sheet3!$A$1:$B$27,2,FALSE)</f>
        <v>Food &amp;Beverage</v>
      </c>
    </row>
    <row r="9207" spans="1:7" x14ac:dyDescent="0.3">
      <c r="A9207" t="s">
        <v>33</v>
      </c>
      <c r="B9207">
        <v>2022</v>
      </c>
      <c r="C9207" t="s">
        <v>43</v>
      </c>
      <c r="D9207" s="2">
        <v>44835</v>
      </c>
      <c r="E9207" t="s">
        <v>6</v>
      </c>
      <c r="F9207">
        <v>171</v>
      </c>
      <c r="G9207" t="str">
        <f>VLOOKUP(Table1_2[[#This Row],[Categories]],Sheet3!$A$1:$B$27,2,FALSE)</f>
        <v>Food &amp;Beverage</v>
      </c>
    </row>
    <row r="9208" spans="1:7" x14ac:dyDescent="0.3">
      <c r="A9208" t="s">
        <v>33</v>
      </c>
      <c r="B9208">
        <v>2022</v>
      </c>
      <c r="C9208" t="s">
        <v>43</v>
      </c>
      <c r="D9208" s="2">
        <v>44835</v>
      </c>
      <c r="E9208" t="s">
        <v>7</v>
      </c>
      <c r="F9208">
        <v>177.7</v>
      </c>
      <c r="G9208" t="str">
        <f>VLOOKUP(Table1_2[[#This Row],[Categories]],Sheet3!$A$1:$B$27,2,FALSE)</f>
        <v>Food &amp;Beverage</v>
      </c>
    </row>
    <row r="9209" spans="1:7" x14ac:dyDescent="0.3">
      <c r="A9209" t="s">
        <v>33</v>
      </c>
      <c r="B9209">
        <v>2022</v>
      </c>
      <c r="C9209" t="s">
        <v>43</v>
      </c>
      <c r="D9209" s="2">
        <v>44835</v>
      </c>
      <c r="E9209" t="s">
        <v>8</v>
      </c>
      <c r="F9209">
        <v>165.7</v>
      </c>
      <c r="G9209" t="str">
        <f>VLOOKUP(Table1_2[[#This Row],[Categories]],Sheet3!$A$1:$B$27,2,FALSE)</f>
        <v>Food &amp;Beverage</v>
      </c>
    </row>
    <row r="9210" spans="1:7" x14ac:dyDescent="0.3">
      <c r="A9210" t="s">
        <v>33</v>
      </c>
      <c r="B9210">
        <v>2022</v>
      </c>
      <c r="C9210" t="s">
        <v>43</v>
      </c>
      <c r="D9210" s="2">
        <v>44835</v>
      </c>
      <c r="E9210" t="s">
        <v>9</v>
      </c>
      <c r="F9210">
        <v>228.6</v>
      </c>
      <c r="G9210" t="str">
        <f>VLOOKUP(Table1_2[[#This Row],[Categories]],Sheet3!$A$1:$B$27,2,FALSE)</f>
        <v>Food &amp;Beverage</v>
      </c>
    </row>
    <row r="9211" spans="1:7" x14ac:dyDescent="0.3">
      <c r="A9211" t="s">
        <v>33</v>
      </c>
      <c r="B9211">
        <v>2022</v>
      </c>
      <c r="C9211" t="s">
        <v>43</v>
      </c>
      <c r="D9211" s="2">
        <v>44835</v>
      </c>
      <c r="E9211" t="s">
        <v>10</v>
      </c>
      <c r="F9211">
        <v>169.9</v>
      </c>
      <c r="G9211" t="str">
        <f>VLOOKUP(Table1_2[[#This Row],[Categories]],Sheet3!$A$1:$B$27,2,FALSE)</f>
        <v>Food &amp;Beverage</v>
      </c>
    </row>
    <row r="9212" spans="1:7" x14ac:dyDescent="0.3">
      <c r="A9212" t="s">
        <v>33</v>
      </c>
      <c r="B9212">
        <v>2022</v>
      </c>
      <c r="C9212" t="s">
        <v>43</v>
      </c>
      <c r="D9212" s="2">
        <v>44835</v>
      </c>
      <c r="E9212" t="s">
        <v>11</v>
      </c>
      <c r="F9212">
        <v>123.4</v>
      </c>
      <c r="G9212" t="str">
        <f>VLOOKUP(Table1_2[[#This Row],[Categories]],Sheet3!$A$1:$B$27,2,FALSE)</f>
        <v>Food &amp;Beverage</v>
      </c>
    </row>
    <row r="9213" spans="1:7" x14ac:dyDescent="0.3">
      <c r="A9213" t="s">
        <v>33</v>
      </c>
      <c r="B9213">
        <v>2022</v>
      </c>
      <c r="C9213" t="s">
        <v>43</v>
      </c>
      <c r="D9213" s="2">
        <v>44835</v>
      </c>
      <c r="E9213" t="s">
        <v>12</v>
      </c>
      <c r="F9213">
        <v>196.4</v>
      </c>
      <c r="G9213" t="str">
        <f>VLOOKUP(Table1_2[[#This Row],[Categories]],Sheet3!$A$1:$B$27,2,FALSE)</f>
        <v>Food &amp;Beverage</v>
      </c>
    </row>
    <row r="9214" spans="1:7" x14ac:dyDescent="0.3">
      <c r="A9214" t="s">
        <v>33</v>
      </c>
      <c r="B9214">
        <v>2022</v>
      </c>
      <c r="C9214" t="s">
        <v>43</v>
      </c>
      <c r="D9214" s="2">
        <v>44835</v>
      </c>
      <c r="E9214" t="s">
        <v>13</v>
      </c>
      <c r="F9214">
        <v>161.6</v>
      </c>
      <c r="G9214" t="str">
        <f>VLOOKUP(Table1_2[[#This Row],[Categories]],Sheet3!$A$1:$B$27,2,FALSE)</f>
        <v>Food &amp;Beverage</v>
      </c>
    </row>
    <row r="9215" spans="1:7" x14ac:dyDescent="0.3">
      <c r="A9215" t="s">
        <v>33</v>
      </c>
      <c r="B9215">
        <v>2022</v>
      </c>
      <c r="C9215" t="s">
        <v>43</v>
      </c>
      <c r="D9215" s="2">
        <v>44835</v>
      </c>
      <c r="E9215" t="s">
        <v>14</v>
      </c>
      <c r="F9215">
        <v>191.5</v>
      </c>
      <c r="G9215" t="str">
        <f>VLOOKUP(Table1_2[[#This Row],[Categories]],Sheet3!$A$1:$B$27,2,FALSE)</f>
        <v>Food &amp;Beverage</v>
      </c>
    </row>
    <row r="9216" spans="1:7" x14ac:dyDescent="0.3">
      <c r="A9216" t="s">
        <v>33</v>
      </c>
      <c r="B9216">
        <v>2022</v>
      </c>
      <c r="C9216" t="s">
        <v>43</v>
      </c>
      <c r="D9216" s="2">
        <v>44835</v>
      </c>
      <c r="E9216" t="s">
        <v>15</v>
      </c>
      <c r="F9216">
        <v>183.3</v>
      </c>
      <c r="G9216" t="str">
        <f>VLOOKUP(Table1_2[[#This Row],[Categories]],Sheet3!$A$1:$B$27,2,FALSE)</f>
        <v>Food &amp;Beverage</v>
      </c>
    </row>
    <row r="9217" spans="1:7" x14ac:dyDescent="0.3">
      <c r="A9217" t="s">
        <v>33</v>
      </c>
      <c r="B9217">
        <v>2022</v>
      </c>
      <c r="C9217" t="s">
        <v>43</v>
      </c>
      <c r="D9217" s="2">
        <v>44835</v>
      </c>
      <c r="E9217" t="s">
        <v>16</v>
      </c>
      <c r="F9217">
        <v>200.1</v>
      </c>
      <c r="G9217" t="str">
        <f>VLOOKUP(Table1_2[[#This Row],[Categories]],Sheet3!$A$1:$B$27,2,FALSE)</f>
        <v>Recreation and amusement</v>
      </c>
    </row>
    <row r="9218" spans="1:7" x14ac:dyDescent="0.3">
      <c r="A9218" t="s">
        <v>33</v>
      </c>
      <c r="B9218">
        <v>2022</v>
      </c>
      <c r="C9218" t="s">
        <v>43</v>
      </c>
      <c r="D9218" s="2">
        <v>44835</v>
      </c>
      <c r="E9218" t="s">
        <v>17</v>
      </c>
      <c r="F9218">
        <v>175.5</v>
      </c>
      <c r="G9218" t="str">
        <f>VLOOKUP(Table1_2[[#This Row],[Categories]],Sheet3!$A$1:$B$27,2,FALSE)</f>
        <v>Clothing and footwear</v>
      </c>
    </row>
    <row r="9219" spans="1:7" x14ac:dyDescent="0.3">
      <c r="A9219" t="s">
        <v>33</v>
      </c>
      <c r="B9219">
        <v>2022</v>
      </c>
      <c r="C9219" t="s">
        <v>43</v>
      </c>
      <c r="D9219" s="2">
        <v>44835</v>
      </c>
      <c r="E9219" t="s">
        <v>18</v>
      </c>
      <c r="F9219">
        <v>162.6</v>
      </c>
      <c r="G9219" t="str">
        <f>VLOOKUP(Table1_2[[#This Row],[Categories]],Sheet3!$A$1:$B$27,2,FALSE)</f>
        <v>Clothing and footwear</v>
      </c>
    </row>
    <row r="9220" spans="1:7" x14ac:dyDescent="0.3">
      <c r="A9220" t="s">
        <v>33</v>
      </c>
      <c r="B9220">
        <v>2022</v>
      </c>
      <c r="C9220" t="s">
        <v>43</v>
      </c>
      <c r="D9220" s="2">
        <v>44835</v>
      </c>
      <c r="E9220" t="s">
        <v>19</v>
      </c>
      <c r="F9220">
        <v>173.6</v>
      </c>
      <c r="G9220" t="str">
        <f>VLOOKUP(Table1_2[[#This Row],[Categories]],Sheet3!$A$1:$B$27,2,FALSE)</f>
        <v>Clothing and footwear</v>
      </c>
    </row>
    <row r="9221" spans="1:7" x14ac:dyDescent="0.3">
      <c r="A9221" t="s">
        <v>33</v>
      </c>
      <c r="B9221">
        <v>2022</v>
      </c>
      <c r="C9221" t="s">
        <v>43</v>
      </c>
      <c r="D9221" s="2">
        <v>44835</v>
      </c>
      <c r="E9221" t="s">
        <v>20</v>
      </c>
      <c r="F9221">
        <v>171.2</v>
      </c>
      <c r="G9221" t="str">
        <f>VLOOKUP(Table1_2[[#This Row],[Categories]],Sheet3!$A$1:$B$27,2,FALSE)</f>
        <v>Housing</v>
      </c>
    </row>
    <row r="9222" spans="1:7" x14ac:dyDescent="0.3">
      <c r="A9222" t="s">
        <v>33</v>
      </c>
      <c r="B9222">
        <v>2022</v>
      </c>
      <c r="C9222" t="s">
        <v>43</v>
      </c>
      <c r="D9222" s="2">
        <v>44835</v>
      </c>
      <c r="E9222" t="s">
        <v>21</v>
      </c>
      <c r="F9222">
        <v>180</v>
      </c>
      <c r="G9222" t="str">
        <f>VLOOKUP(Table1_2[[#This Row],[Categories]],Sheet3!$A$1:$B$27,2,FALSE)</f>
        <v>Fuel and light</v>
      </c>
    </row>
    <row r="9223" spans="1:7" x14ac:dyDescent="0.3">
      <c r="A9223" t="s">
        <v>33</v>
      </c>
      <c r="B9223">
        <v>2022</v>
      </c>
      <c r="C9223" t="s">
        <v>43</v>
      </c>
      <c r="D9223" s="2">
        <v>44835</v>
      </c>
      <c r="E9223" t="s">
        <v>22</v>
      </c>
      <c r="F9223">
        <v>166</v>
      </c>
      <c r="G9223" t="str">
        <f>VLOOKUP(Table1_2[[#This Row],[Categories]],Sheet3!$A$1:$B$27,2,FALSE)</f>
        <v>Household Items</v>
      </c>
    </row>
    <row r="9224" spans="1:7" x14ac:dyDescent="0.3">
      <c r="A9224" t="s">
        <v>33</v>
      </c>
      <c r="B9224">
        <v>2022</v>
      </c>
      <c r="C9224" t="s">
        <v>43</v>
      </c>
      <c r="D9224" s="2">
        <v>44835</v>
      </c>
      <c r="E9224" t="s">
        <v>23</v>
      </c>
      <c r="F9224">
        <v>174.7</v>
      </c>
      <c r="G9224" t="str">
        <f>VLOOKUP(Table1_2[[#This Row],[Categories]],Sheet3!$A$1:$B$27,2,FALSE)</f>
        <v>Health</v>
      </c>
    </row>
    <row r="9225" spans="1:7" x14ac:dyDescent="0.3">
      <c r="A9225" t="s">
        <v>33</v>
      </c>
      <c r="B9225">
        <v>2022</v>
      </c>
      <c r="C9225" t="s">
        <v>43</v>
      </c>
      <c r="D9225" s="2">
        <v>44835</v>
      </c>
      <c r="E9225" t="s">
        <v>24</v>
      </c>
      <c r="F9225">
        <v>158.80000000000001</v>
      </c>
      <c r="G9225" t="str">
        <f>VLOOKUP(Table1_2[[#This Row],[Categories]],Sheet3!$A$1:$B$27,2,FALSE)</f>
        <v>Transport and communication</v>
      </c>
    </row>
    <row r="9226" spans="1:7" x14ac:dyDescent="0.3">
      <c r="A9226" t="s">
        <v>33</v>
      </c>
      <c r="B9226">
        <v>2022</v>
      </c>
      <c r="C9226" t="s">
        <v>43</v>
      </c>
      <c r="D9226" s="2">
        <v>44835</v>
      </c>
      <c r="E9226" t="s">
        <v>25</v>
      </c>
      <c r="F9226">
        <v>166.3</v>
      </c>
      <c r="G9226" t="str">
        <f>VLOOKUP(Table1_2[[#This Row],[Categories]],Sheet3!$A$1:$B$27,2,FALSE)</f>
        <v>Recreation and amusement</v>
      </c>
    </row>
    <row r="9227" spans="1:7" x14ac:dyDescent="0.3">
      <c r="A9227" t="s">
        <v>33</v>
      </c>
      <c r="B9227">
        <v>2022</v>
      </c>
      <c r="C9227" t="s">
        <v>43</v>
      </c>
      <c r="D9227" s="2">
        <v>44835</v>
      </c>
      <c r="E9227" t="s">
        <v>26</v>
      </c>
      <c r="F9227">
        <v>171.2</v>
      </c>
      <c r="G9227" t="str">
        <f>VLOOKUP(Table1_2[[#This Row],[Categories]],Sheet3!$A$1:$B$27,2,FALSE)</f>
        <v>Education</v>
      </c>
    </row>
    <row r="9228" spans="1:7" x14ac:dyDescent="0.3">
      <c r="A9228" t="s">
        <v>33</v>
      </c>
      <c r="B9228">
        <v>2022</v>
      </c>
      <c r="C9228" t="s">
        <v>43</v>
      </c>
      <c r="D9228" s="2">
        <v>44835</v>
      </c>
      <c r="E9228" t="s">
        <v>27</v>
      </c>
      <c r="F9228">
        <v>172.3</v>
      </c>
      <c r="G9228" t="str">
        <f>VLOOKUP(Table1_2[[#This Row],[Categories]],Sheet3!$A$1:$B$27,2,FALSE)</f>
        <v>Household Items</v>
      </c>
    </row>
    <row r="9229" spans="1:7" x14ac:dyDescent="0.3">
      <c r="A9229" t="s">
        <v>33</v>
      </c>
      <c r="B9229">
        <v>2022</v>
      </c>
      <c r="C9229" t="s">
        <v>43</v>
      </c>
      <c r="D9229" s="2">
        <v>44835</v>
      </c>
      <c r="E9229" t="s">
        <v>28</v>
      </c>
      <c r="F9229">
        <v>166.8</v>
      </c>
      <c r="G9229" t="str">
        <f>VLOOKUP(Table1_2[[#This Row],[Categories]],Sheet3!$A$1:$B$27,2,FALSE)</f>
        <v>Miscellaneous</v>
      </c>
    </row>
    <row r="9230" spans="1:7" x14ac:dyDescent="0.3">
      <c r="A9230" t="s">
        <v>33</v>
      </c>
      <c r="B9230">
        <v>2022</v>
      </c>
      <c r="C9230" t="s">
        <v>43</v>
      </c>
      <c r="D9230" s="2">
        <v>44835</v>
      </c>
      <c r="E9230" t="s">
        <v>29</v>
      </c>
      <c r="F9230">
        <v>175.3</v>
      </c>
      <c r="G9230" t="str">
        <f>VLOOKUP(Table1_2[[#This Row],[Categories]],Sheet3!$A$1:$B$27,2,FALSE)</f>
        <v>General index</v>
      </c>
    </row>
    <row r="9231" spans="1:7" x14ac:dyDescent="0.3">
      <c r="A9231" t="s">
        <v>34</v>
      </c>
      <c r="B9231">
        <v>2022</v>
      </c>
      <c r="C9231" t="s">
        <v>43</v>
      </c>
      <c r="D9231" s="2">
        <v>44835</v>
      </c>
      <c r="E9231" t="s">
        <v>3</v>
      </c>
      <c r="F9231">
        <v>165.2</v>
      </c>
      <c r="G9231" t="str">
        <f>VLOOKUP(Table1_2[[#This Row],[Categories]],Sheet3!$A$1:$B$27,2,FALSE)</f>
        <v>Food &amp;Beverage</v>
      </c>
    </row>
    <row r="9232" spans="1:7" x14ac:dyDescent="0.3">
      <c r="A9232" t="s">
        <v>34</v>
      </c>
      <c r="B9232">
        <v>2022</v>
      </c>
      <c r="C9232" t="s">
        <v>43</v>
      </c>
      <c r="D9232" s="2">
        <v>44835</v>
      </c>
      <c r="E9232" t="s">
        <v>4</v>
      </c>
      <c r="F9232">
        <v>210.9</v>
      </c>
      <c r="G9232" t="str">
        <f>VLOOKUP(Table1_2[[#This Row],[Categories]],Sheet3!$A$1:$B$27,2,FALSE)</f>
        <v>Food &amp;Beverage</v>
      </c>
    </row>
    <row r="9233" spans="1:7" x14ac:dyDescent="0.3">
      <c r="A9233" t="s">
        <v>34</v>
      </c>
      <c r="B9233">
        <v>2022</v>
      </c>
      <c r="C9233" t="s">
        <v>43</v>
      </c>
      <c r="D9233" s="2">
        <v>44835</v>
      </c>
      <c r="E9233" t="s">
        <v>5</v>
      </c>
      <c r="F9233">
        <v>170.9</v>
      </c>
      <c r="G9233" t="str">
        <f>VLOOKUP(Table1_2[[#This Row],[Categories]],Sheet3!$A$1:$B$27,2,FALSE)</f>
        <v>Food &amp;Beverage</v>
      </c>
    </row>
    <row r="9234" spans="1:7" x14ac:dyDescent="0.3">
      <c r="A9234" t="s">
        <v>34</v>
      </c>
      <c r="B9234">
        <v>2022</v>
      </c>
      <c r="C9234" t="s">
        <v>43</v>
      </c>
      <c r="D9234" s="2">
        <v>44835</v>
      </c>
      <c r="E9234" t="s">
        <v>6</v>
      </c>
      <c r="F9234">
        <v>170.9</v>
      </c>
      <c r="G9234" t="str">
        <f>VLOOKUP(Table1_2[[#This Row],[Categories]],Sheet3!$A$1:$B$27,2,FALSE)</f>
        <v>Food &amp;Beverage</v>
      </c>
    </row>
    <row r="9235" spans="1:7" x14ac:dyDescent="0.3">
      <c r="A9235" t="s">
        <v>34</v>
      </c>
      <c r="B9235">
        <v>2022</v>
      </c>
      <c r="C9235" t="s">
        <v>43</v>
      </c>
      <c r="D9235" s="2">
        <v>44835</v>
      </c>
      <c r="E9235" t="s">
        <v>7</v>
      </c>
      <c r="F9235">
        <v>186.5</v>
      </c>
      <c r="G9235" t="str">
        <f>VLOOKUP(Table1_2[[#This Row],[Categories]],Sheet3!$A$1:$B$27,2,FALSE)</f>
        <v>Food &amp;Beverage</v>
      </c>
    </row>
    <row r="9236" spans="1:7" x14ac:dyDescent="0.3">
      <c r="A9236" t="s">
        <v>34</v>
      </c>
      <c r="B9236">
        <v>2022</v>
      </c>
      <c r="C9236" t="s">
        <v>43</v>
      </c>
      <c r="D9236" s="2">
        <v>44835</v>
      </c>
      <c r="E9236" t="s">
        <v>8</v>
      </c>
      <c r="F9236">
        <v>163.80000000000001</v>
      </c>
      <c r="G9236" t="str">
        <f>VLOOKUP(Table1_2[[#This Row],[Categories]],Sheet3!$A$1:$B$27,2,FALSE)</f>
        <v>Food &amp;Beverage</v>
      </c>
    </row>
    <row r="9237" spans="1:7" x14ac:dyDescent="0.3">
      <c r="A9237" t="s">
        <v>34</v>
      </c>
      <c r="B9237">
        <v>2022</v>
      </c>
      <c r="C9237" t="s">
        <v>43</v>
      </c>
      <c r="D9237" s="2">
        <v>44835</v>
      </c>
      <c r="E9237" t="s">
        <v>9</v>
      </c>
      <c r="F9237">
        <v>199.7</v>
      </c>
      <c r="G9237" t="str">
        <f>VLOOKUP(Table1_2[[#This Row],[Categories]],Sheet3!$A$1:$B$27,2,FALSE)</f>
        <v>Food &amp;Beverage</v>
      </c>
    </row>
    <row r="9238" spans="1:7" x14ac:dyDescent="0.3">
      <c r="A9238" t="s">
        <v>34</v>
      </c>
      <c r="B9238">
        <v>2022</v>
      </c>
      <c r="C9238" t="s">
        <v>43</v>
      </c>
      <c r="D9238" s="2">
        <v>44835</v>
      </c>
      <c r="E9238" t="s">
        <v>10</v>
      </c>
      <c r="F9238">
        <v>169.8</v>
      </c>
      <c r="G9238" t="str">
        <f>VLOOKUP(Table1_2[[#This Row],[Categories]],Sheet3!$A$1:$B$27,2,FALSE)</f>
        <v>Food &amp;Beverage</v>
      </c>
    </row>
    <row r="9239" spans="1:7" x14ac:dyDescent="0.3">
      <c r="A9239" t="s">
        <v>34</v>
      </c>
      <c r="B9239">
        <v>2022</v>
      </c>
      <c r="C9239" t="s">
        <v>43</v>
      </c>
      <c r="D9239" s="2">
        <v>44835</v>
      </c>
      <c r="E9239" t="s">
        <v>11</v>
      </c>
      <c r="F9239">
        <v>121.9</v>
      </c>
      <c r="G9239" t="str">
        <f>VLOOKUP(Table1_2[[#This Row],[Categories]],Sheet3!$A$1:$B$27,2,FALSE)</f>
        <v>Food &amp;Beverage</v>
      </c>
    </row>
    <row r="9240" spans="1:7" x14ac:dyDescent="0.3">
      <c r="A9240" t="s">
        <v>34</v>
      </c>
      <c r="B9240">
        <v>2022</v>
      </c>
      <c r="C9240" t="s">
        <v>43</v>
      </c>
      <c r="D9240" s="2">
        <v>44835</v>
      </c>
      <c r="E9240" t="s">
        <v>12</v>
      </c>
      <c r="F9240">
        <v>199.9</v>
      </c>
      <c r="G9240" t="str">
        <f>VLOOKUP(Table1_2[[#This Row],[Categories]],Sheet3!$A$1:$B$27,2,FALSE)</f>
        <v>Food &amp;Beverage</v>
      </c>
    </row>
    <row r="9241" spans="1:7" x14ac:dyDescent="0.3">
      <c r="A9241" t="s">
        <v>34</v>
      </c>
      <c r="B9241">
        <v>2022</v>
      </c>
      <c r="C9241" t="s">
        <v>43</v>
      </c>
      <c r="D9241" s="2">
        <v>44835</v>
      </c>
      <c r="E9241" t="s">
        <v>13</v>
      </c>
      <c r="F9241">
        <v>169.9</v>
      </c>
      <c r="G9241" t="str">
        <f>VLOOKUP(Table1_2[[#This Row],[Categories]],Sheet3!$A$1:$B$27,2,FALSE)</f>
        <v>Food &amp;Beverage</v>
      </c>
    </row>
    <row r="9242" spans="1:7" x14ac:dyDescent="0.3">
      <c r="A9242" t="s">
        <v>34</v>
      </c>
      <c r="B9242">
        <v>2022</v>
      </c>
      <c r="C9242" t="s">
        <v>43</v>
      </c>
      <c r="D9242" s="2">
        <v>44835</v>
      </c>
      <c r="E9242" t="s">
        <v>14</v>
      </c>
      <c r="F9242">
        <v>188.3</v>
      </c>
      <c r="G9242" t="str">
        <f>VLOOKUP(Table1_2[[#This Row],[Categories]],Sheet3!$A$1:$B$27,2,FALSE)</f>
        <v>Food &amp;Beverage</v>
      </c>
    </row>
    <row r="9243" spans="1:7" x14ac:dyDescent="0.3">
      <c r="A9243" t="s">
        <v>34</v>
      </c>
      <c r="B9243">
        <v>2022</v>
      </c>
      <c r="C9243" t="s">
        <v>43</v>
      </c>
      <c r="D9243" s="2">
        <v>44835</v>
      </c>
      <c r="E9243" t="s">
        <v>15</v>
      </c>
      <c r="F9243">
        <v>179.6</v>
      </c>
      <c r="G9243" t="str">
        <f>VLOOKUP(Table1_2[[#This Row],[Categories]],Sheet3!$A$1:$B$27,2,FALSE)</f>
        <v>Food &amp;Beverage</v>
      </c>
    </row>
    <row r="9244" spans="1:7" x14ac:dyDescent="0.3">
      <c r="A9244" t="s">
        <v>34</v>
      </c>
      <c r="B9244">
        <v>2022</v>
      </c>
      <c r="C9244" t="s">
        <v>43</v>
      </c>
      <c r="D9244" s="2">
        <v>44835</v>
      </c>
      <c r="E9244" t="s">
        <v>16</v>
      </c>
      <c r="F9244">
        <v>196.3</v>
      </c>
      <c r="G9244" t="str">
        <f>VLOOKUP(Table1_2[[#This Row],[Categories]],Sheet3!$A$1:$B$27,2,FALSE)</f>
        <v>Recreation and amusement</v>
      </c>
    </row>
    <row r="9245" spans="1:7" x14ac:dyDescent="0.3">
      <c r="A9245" t="s">
        <v>34</v>
      </c>
      <c r="B9245">
        <v>2022</v>
      </c>
      <c r="C9245" t="s">
        <v>43</v>
      </c>
      <c r="D9245" s="2">
        <v>44835</v>
      </c>
      <c r="E9245" t="s">
        <v>17</v>
      </c>
      <c r="F9245">
        <v>181.9</v>
      </c>
      <c r="G9245" t="str">
        <f>VLOOKUP(Table1_2[[#This Row],[Categories]],Sheet3!$A$1:$B$27,2,FALSE)</f>
        <v>Clothing and footwear</v>
      </c>
    </row>
    <row r="9246" spans="1:7" x14ac:dyDescent="0.3">
      <c r="A9246" t="s">
        <v>34</v>
      </c>
      <c r="B9246">
        <v>2022</v>
      </c>
      <c r="C9246" t="s">
        <v>43</v>
      </c>
      <c r="D9246" s="2">
        <v>44835</v>
      </c>
      <c r="E9246" t="s">
        <v>18</v>
      </c>
      <c r="F9246">
        <v>175.3</v>
      </c>
      <c r="G9246" t="str">
        <f>VLOOKUP(Table1_2[[#This Row],[Categories]],Sheet3!$A$1:$B$27,2,FALSE)</f>
        <v>Clothing and footwear</v>
      </c>
    </row>
    <row r="9247" spans="1:7" x14ac:dyDescent="0.3">
      <c r="A9247" t="s">
        <v>34</v>
      </c>
      <c r="B9247">
        <v>2022</v>
      </c>
      <c r="C9247" t="s">
        <v>43</v>
      </c>
      <c r="D9247" s="2">
        <v>44835</v>
      </c>
      <c r="E9247" t="s">
        <v>19</v>
      </c>
      <c r="F9247">
        <v>181</v>
      </c>
      <c r="G9247" t="str">
        <f>VLOOKUP(Table1_2[[#This Row],[Categories]],Sheet3!$A$1:$B$27,2,FALSE)</f>
        <v>Clothing and footwear</v>
      </c>
    </row>
    <row r="9248" spans="1:7" x14ac:dyDescent="0.3">
      <c r="A9248" t="s">
        <v>34</v>
      </c>
      <c r="B9248">
        <v>2022</v>
      </c>
      <c r="C9248" t="s">
        <v>43</v>
      </c>
      <c r="D9248" s="2">
        <v>44835</v>
      </c>
      <c r="E9248" t="s">
        <v>20</v>
      </c>
      <c r="F9248">
        <v>171.2</v>
      </c>
      <c r="G9248" t="str">
        <f>VLOOKUP(Table1_2[[#This Row],[Categories]],Sheet3!$A$1:$B$27,2,FALSE)</f>
        <v>Housing</v>
      </c>
    </row>
    <row r="9249" spans="1:7" x14ac:dyDescent="0.3">
      <c r="A9249" t="s">
        <v>34</v>
      </c>
      <c r="B9249">
        <v>2022</v>
      </c>
      <c r="C9249" t="s">
        <v>43</v>
      </c>
      <c r="D9249" s="2">
        <v>44835</v>
      </c>
      <c r="E9249" t="s">
        <v>21</v>
      </c>
      <c r="F9249">
        <v>180.5</v>
      </c>
      <c r="G9249" t="str">
        <f>VLOOKUP(Table1_2[[#This Row],[Categories]],Sheet3!$A$1:$B$27,2,FALSE)</f>
        <v>Fuel and light</v>
      </c>
    </row>
    <row r="9250" spans="1:7" x14ac:dyDescent="0.3">
      <c r="A9250" t="s">
        <v>34</v>
      </c>
      <c r="B9250">
        <v>2022</v>
      </c>
      <c r="C9250" t="s">
        <v>43</v>
      </c>
      <c r="D9250" s="2">
        <v>44835</v>
      </c>
      <c r="E9250" t="s">
        <v>22</v>
      </c>
      <c r="F9250">
        <v>170.4</v>
      </c>
      <c r="G9250" t="str">
        <f>VLOOKUP(Table1_2[[#This Row],[Categories]],Sheet3!$A$1:$B$27,2,FALSE)</f>
        <v>Household Items</v>
      </c>
    </row>
    <row r="9251" spans="1:7" x14ac:dyDescent="0.3">
      <c r="A9251" t="s">
        <v>34</v>
      </c>
      <c r="B9251">
        <v>2022</v>
      </c>
      <c r="C9251" t="s">
        <v>43</v>
      </c>
      <c r="D9251" s="2">
        <v>44835</v>
      </c>
      <c r="E9251" t="s">
        <v>23</v>
      </c>
      <c r="F9251">
        <v>178.7</v>
      </c>
      <c r="G9251" t="str">
        <f>VLOOKUP(Table1_2[[#This Row],[Categories]],Sheet3!$A$1:$B$27,2,FALSE)</f>
        <v>Health</v>
      </c>
    </row>
    <row r="9252" spans="1:7" x14ac:dyDescent="0.3">
      <c r="A9252" t="s">
        <v>34</v>
      </c>
      <c r="B9252">
        <v>2022</v>
      </c>
      <c r="C9252" t="s">
        <v>43</v>
      </c>
      <c r="D9252" s="2">
        <v>44835</v>
      </c>
      <c r="E9252" t="s">
        <v>24</v>
      </c>
      <c r="F9252">
        <v>162.9</v>
      </c>
      <c r="G9252" t="str">
        <f>VLOOKUP(Table1_2[[#This Row],[Categories]],Sheet3!$A$1:$B$27,2,FALSE)</f>
        <v>Transport and communication</v>
      </c>
    </row>
    <row r="9253" spans="1:7" x14ac:dyDescent="0.3">
      <c r="A9253" t="s">
        <v>34</v>
      </c>
      <c r="B9253">
        <v>2022</v>
      </c>
      <c r="C9253" t="s">
        <v>43</v>
      </c>
      <c r="D9253" s="2">
        <v>44835</v>
      </c>
      <c r="E9253" t="s">
        <v>25</v>
      </c>
      <c r="F9253">
        <v>168.2</v>
      </c>
      <c r="G9253" t="str">
        <f>VLOOKUP(Table1_2[[#This Row],[Categories]],Sheet3!$A$1:$B$27,2,FALSE)</f>
        <v>Recreation and amusement</v>
      </c>
    </row>
    <row r="9254" spans="1:7" x14ac:dyDescent="0.3">
      <c r="A9254" t="s">
        <v>34</v>
      </c>
      <c r="B9254">
        <v>2022</v>
      </c>
      <c r="C9254" t="s">
        <v>43</v>
      </c>
      <c r="D9254" s="2">
        <v>44835</v>
      </c>
      <c r="E9254" t="s">
        <v>26</v>
      </c>
      <c r="F9254">
        <v>173.4</v>
      </c>
      <c r="G9254" t="str">
        <f>VLOOKUP(Table1_2[[#This Row],[Categories]],Sheet3!$A$1:$B$27,2,FALSE)</f>
        <v>Education</v>
      </c>
    </row>
    <row r="9255" spans="1:7" x14ac:dyDescent="0.3">
      <c r="A9255" t="s">
        <v>34</v>
      </c>
      <c r="B9255">
        <v>2022</v>
      </c>
      <c r="C9255" t="s">
        <v>43</v>
      </c>
      <c r="D9255" s="2">
        <v>44835</v>
      </c>
      <c r="E9255" t="s">
        <v>27</v>
      </c>
      <c r="F9255">
        <v>172.1</v>
      </c>
      <c r="G9255" t="str">
        <f>VLOOKUP(Table1_2[[#This Row],[Categories]],Sheet3!$A$1:$B$27,2,FALSE)</f>
        <v>Household Items</v>
      </c>
    </row>
    <row r="9256" spans="1:7" x14ac:dyDescent="0.3">
      <c r="A9256" t="s">
        <v>34</v>
      </c>
      <c r="B9256">
        <v>2022</v>
      </c>
      <c r="C9256" t="s">
        <v>43</v>
      </c>
      <c r="D9256" s="2">
        <v>44835</v>
      </c>
      <c r="E9256" t="s">
        <v>28</v>
      </c>
      <c r="F9256">
        <v>170.5</v>
      </c>
      <c r="G9256" t="str">
        <f>VLOOKUP(Table1_2[[#This Row],[Categories]],Sheet3!$A$1:$B$27,2,FALSE)</f>
        <v>Miscellaneous</v>
      </c>
    </row>
    <row r="9257" spans="1:7" x14ac:dyDescent="0.3">
      <c r="A9257" t="s">
        <v>34</v>
      </c>
      <c r="B9257">
        <v>2022</v>
      </c>
      <c r="C9257" t="s">
        <v>43</v>
      </c>
      <c r="D9257" s="2">
        <v>44835</v>
      </c>
      <c r="E9257" t="s">
        <v>29</v>
      </c>
      <c r="F9257">
        <v>176.7</v>
      </c>
      <c r="G9257" t="str">
        <f>VLOOKUP(Table1_2[[#This Row],[Categories]],Sheet3!$A$1:$B$27,2,FALSE)</f>
        <v>General index</v>
      </c>
    </row>
    <row r="9258" spans="1:7" x14ac:dyDescent="0.3">
      <c r="A9258" t="s">
        <v>30</v>
      </c>
      <c r="B9258">
        <v>2022</v>
      </c>
      <c r="C9258" t="s">
        <v>45</v>
      </c>
      <c r="D9258" s="2">
        <v>44866</v>
      </c>
      <c r="E9258" t="s">
        <v>3</v>
      </c>
      <c r="F9258">
        <v>166.9</v>
      </c>
      <c r="G9258" t="str">
        <f>VLOOKUP(Table1_2[[#This Row],[Categories]],Sheet3!$A$1:$B$27,2,FALSE)</f>
        <v>Food &amp;Beverage</v>
      </c>
    </row>
    <row r="9259" spans="1:7" x14ac:dyDescent="0.3">
      <c r="A9259" t="s">
        <v>30</v>
      </c>
      <c r="B9259">
        <v>2022</v>
      </c>
      <c r="C9259" t="s">
        <v>45</v>
      </c>
      <c r="D9259" s="2">
        <v>44866</v>
      </c>
      <c r="E9259" t="s">
        <v>4</v>
      </c>
      <c r="F9259">
        <v>207.2</v>
      </c>
      <c r="G9259" t="str">
        <f>VLOOKUP(Table1_2[[#This Row],[Categories]],Sheet3!$A$1:$B$27,2,FALSE)</f>
        <v>Food &amp;Beverage</v>
      </c>
    </row>
    <row r="9260" spans="1:7" x14ac:dyDescent="0.3">
      <c r="A9260" t="s">
        <v>30</v>
      </c>
      <c r="B9260">
        <v>2022</v>
      </c>
      <c r="C9260" t="s">
        <v>45</v>
      </c>
      <c r="D9260" s="2">
        <v>44866</v>
      </c>
      <c r="E9260" t="s">
        <v>5</v>
      </c>
      <c r="F9260">
        <v>180.2</v>
      </c>
      <c r="G9260" t="str">
        <f>VLOOKUP(Table1_2[[#This Row],[Categories]],Sheet3!$A$1:$B$27,2,FALSE)</f>
        <v>Food &amp;Beverage</v>
      </c>
    </row>
    <row r="9261" spans="1:7" x14ac:dyDescent="0.3">
      <c r="A9261" t="s">
        <v>30</v>
      </c>
      <c r="B9261">
        <v>2022</v>
      </c>
      <c r="C9261" t="s">
        <v>45</v>
      </c>
      <c r="D9261" s="2">
        <v>44866</v>
      </c>
      <c r="E9261" t="s">
        <v>6</v>
      </c>
      <c r="F9261">
        <v>172.3</v>
      </c>
      <c r="G9261" t="str">
        <f>VLOOKUP(Table1_2[[#This Row],[Categories]],Sheet3!$A$1:$B$27,2,FALSE)</f>
        <v>Food &amp;Beverage</v>
      </c>
    </row>
    <row r="9262" spans="1:7" x14ac:dyDescent="0.3">
      <c r="A9262" t="s">
        <v>30</v>
      </c>
      <c r="B9262">
        <v>2022</v>
      </c>
      <c r="C9262" t="s">
        <v>45</v>
      </c>
      <c r="D9262" s="2">
        <v>44866</v>
      </c>
      <c r="E9262" t="s">
        <v>7</v>
      </c>
      <c r="F9262">
        <v>194</v>
      </c>
      <c r="G9262" t="str">
        <f>VLOOKUP(Table1_2[[#This Row],[Categories]],Sheet3!$A$1:$B$27,2,FALSE)</f>
        <v>Food &amp;Beverage</v>
      </c>
    </row>
    <row r="9263" spans="1:7" x14ac:dyDescent="0.3">
      <c r="A9263" t="s">
        <v>30</v>
      </c>
      <c r="B9263">
        <v>2022</v>
      </c>
      <c r="C9263" t="s">
        <v>45</v>
      </c>
      <c r="D9263" s="2">
        <v>44866</v>
      </c>
      <c r="E9263" t="s">
        <v>8</v>
      </c>
      <c r="F9263">
        <v>159.1</v>
      </c>
      <c r="G9263" t="str">
        <f>VLOOKUP(Table1_2[[#This Row],[Categories]],Sheet3!$A$1:$B$27,2,FALSE)</f>
        <v>Food &amp;Beverage</v>
      </c>
    </row>
    <row r="9264" spans="1:7" x14ac:dyDescent="0.3">
      <c r="A9264" t="s">
        <v>30</v>
      </c>
      <c r="B9264">
        <v>2022</v>
      </c>
      <c r="C9264" t="s">
        <v>45</v>
      </c>
      <c r="D9264" s="2">
        <v>44866</v>
      </c>
      <c r="E9264" t="s">
        <v>9</v>
      </c>
      <c r="F9264">
        <v>171.6</v>
      </c>
      <c r="G9264" t="str">
        <f>VLOOKUP(Table1_2[[#This Row],[Categories]],Sheet3!$A$1:$B$27,2,FALSE)</f>
        <v>Food &amp;Beverage</v>
      </c>
    </row>
    <row r="9265" spans="1:7" x14ac:dyDescent="0.3">
      <c r="A9265" t="s">
        <v>30</v>
      </c>
      <c r="B9265">
        <v>2022</v>
      </c>
      <c r="C9265" t="s">
        <v>45</v>
      </c>
      <c r="D9265" s="2">
        <v>44866</v>
      </c>
      <c r="E9265" t="s">
        <v>10</v>
      </c>
      <c r="F9265">
        <v>170.2</v>
      </c>
      <c r="G9265" t="str">
        <f>VLOOKUP(Table1_2[[#This Row],[Categories]],Sheet3!$A$1:$B$27,2,FALSE)</f>
        <v>Food &amp;Beverage</v>
      </c>
    </row>
    <row r="9266" spans="1:7" x14ac:dyDescent="0.3">
      <c r="A9266" t="s">
        <v>30</v>
      </c>
      <c r="B9266">
        <v>2022</v>
      </c>
      <c r="C9266" t="s">
        <v>45</v>
      </c>
      <c r="D9266" s="2">
        <v>44866</v>
      </c>
      <c r="E9266" t="s">
        <v>11</v>
      </c>
      <c r="F9266">
        <v>121.5</v>
      </c>
      <c r="G9266" t="str">
        <f>VLOOKUP(Table1_2[[#This Row],[Categories]],Sheet3!$A$1:$B$27,2,FALSE)</f>
        <v>Food &amp;Beverage</v>
      </c>
    </row>
    <row r="9267" spans="1:7" x14ac:dyDescent="0.3">
      <c r="A9267" t="s">
        <v>30</v>
      </c>
      <c r="B9267">
        <v>2022</v>
      </c>
      <c r="C9267" t="s">
        <v>45</v>
      </c>
      <c r="D9267" s="2">
        <v>44866</v>
      </c>
      <c r="E9267" t="s">
        <v>12</v>
      </c>
      <c r="F9267">
        <v>204.8</v>
      </c>
      <c r="G9267" t="str">
        <f>VLOOKUP(Table1_2[[#This Row],[Categories]],Sheet3!$A$1:$B$27,2,FALSE)</f>
        <v>Food &amp;Beverage</v>
      </c>
    </row>
    <row r="9268" spans="1:7" x14ac:dyDescent="0.3">
      <c r="A9268" t="s">
        <v>30</v>
      </c>
      <c r="B9268">
        <v>2022</v>
      </c>
      <c r="C9268" t="s">
        <v>45</v>
      </c>
      <c r="D9268" s="2">
        <v>44866</v>
      </c>
      <c r="E9268" t="s">
        <v>13</v>
      </c>
      <c r="F9268">
        <v>176.4</v>
      </c>
      <c r="G9268" t="str">
        <f>VLOOKUP(Table1_2[[#This Row],[Categories]],Sheet3!$A$1:$B$27,2,FALSE)</f>
        <v>Food &amp;Beverage</v>
      </c>
    </row>
    <row r="9269" spans="1:7" x14ac:dyDescent="0.3">
      <c r="A9269" t="s">
        <v>30</v>
      </c>
      <c r="B9269">
        <v>2022</v>
      </c>
      <c r="C9269" t="s">
        <v>45</v>
      </c>
      <c r="D9269" s="2">
        <v>44866</v>
      </c>
      <c r="E9269" t="s">
        <v>14</v>
      </c>
      <c r="F9269">
        <v>186.9</v>
      </c>
      <c r="G9269" t="str">
        <f>VLOOKUP(Table1_2[[#This Row],[Categories]],Sheet3!$A$1:$B$27,2,FALSE)</f>
        <v>Food &amp;Beverage</v>
      </c>
    </row>
    <row r="9270" spans="1:7" x14ac:dyDescent="0.3">
      <c r="A9270" t="s">
        <v>30</v>
      </c>
      <c r="B9270">
        <v>2022</v>
      </c>
      <c r="C9270" t="s">
        <v>45</v>
      </c>
      <c r="D9270" s="2">
        <v>44866</v>
      </c>
      <c r="E9270" t="s">
        <v>15</v>
      </c>
      <c r="F9270">
        <v>176.6</v>
      </c>
      <c r="G9270" t="str">
        <f>VLOOKUP(Table1_2[[#This Row],[Categories]],Sheet3!$A$1:$B$27,2,FALSE)</f>
        <v>Food &amp;Beverage</v>
      </c>
    </row>
    <row r="9271" spans="1:7" x14ac:dyDescent="0.3">
      <c r="A9271" t="s">
        <v>30</v>
      </c>
      <c r="B9271">
        <v>2022</v>
      </c>
      <c r="C9271" t="s">
        <v>45</v>
      </c>
      <c r="D9271" s="2">
        <v>44866</v>
      </c>
      <c r="E9271" t="s">
        <v>16</v>
      </c>
      <c r="F9271">
        <v>195.5</v>
      </c>
      <c r="G9271" t="str">
        <f>VLOOKUP(Table1_2[[#This Row],[Categories]],Sheet3!$A$1:$B$27,2,FALSE)</f>
        <v>Recreation and amusement</v>
      </c>
    </row>
    <row r="9272" spans="1:7" x14ac:dyDescent="0.3">
      <c r="A9272" t="s">
        <v>30</v>
      </c>
      <c r="B9272">
        <v>2022</v>
      </c>
      <c r="C9272" t="s">
        <v>45</v>
      </c>
      <c r="D9272" s="2">
        <v>44866</v>
      </c>
      <c r="E9272" t="s">
        <v>17</v>
      </c>
      <c r="F9272">
        <v>187.2</v>
      </c>
      <c r="G9272" t="str">
        <f>VLOOKUP(Table1_2[[#This Row],[Categories]],Sheet3!$A$1:$B$27,2,FALSE)</f>
        <v>Clothing and footwear</v>
      </c>
    </row>
    <row r="9273" spans="1:7" x14ac:dyDescent="0.3">
      <c r="A9273" t="s">
        <v>30</v>
      </c>
      <c r="B9273">
        <v>2022</v>
      </c>
      <c r="C9273" t="s">
        <v>45</v>
      </c>
      <c r="D9273" s="2">
        <v>44866</v>
      </c>
      <c r="E9273" t="s">
        <v>18</v>
      </c>
      <c r="F9273">
        <v>185.2</v>
      </c>
      <c r="G9273" t="str">
        <f>VLOOKUP(Table1_2[[#This Row],[Categories]],Sheet3!$A$1:$B$27,2,FALSE)</f>
        <v>Clothing and footwear</v>
      </c>
    </row>
    <row r="9274" spans="1:7" x14ac:dyDescent="0.3">
      <c r="A9274" t="s">
        <v>30</v>
      </c>
      <c r="B9274">
        <v>2022</v>
      </c>
      <c r="C9274" t="s">
        <v>45</v>
      </c>
      <c r="D9274" s="2">
        <v>44866</v>
      </c>
      <c r="E9274" t="s">
        <v>19</v>
      </c>
      <c r="F9274">
        <v>186.9</v>
      </c>
      <c r="G9274" t="str">
        <f>VLOOKUP(Table1_2[[#This Row],[Categories]],Sheet3!$A$1:$B$27,2,FALSE)</f>
        <v>Clothing and footwear</v>
      </c>
    </row>
    <row r="9275" spans="1:7" x14ac:dyDescent="0.3">
      <c r="A9275" t="s">
        <v>30</v>
      </c>
      <c r="B9275">
        <v>2022</v>
      </c>
      <c r="C9275" t="s">
        <v>45</v>
      </c>
      <c r="D9275" s="2">
        <v>44866</v>
      </c>
      <c r="E9275" t="s">
        <v>21</v>
      </c>
      <c r="F9275">
        <v>181.9</v>
      </c>
      <c r="G9275" t="str">
        <f>VLOOKUP(Table1_2[[#This Row],[Categories]],Sheet3!$A$1:$B$27,2,FALSE)</f>
        <v>Fuel and light</v>
      </c>
    </row>
    <row r="9276" spans="1:7" x14ac:dyDescent="0.3">
      <c r="A9276" t="s">
        <v>30</v>
      </c>
      <c r="B9276">
        <v>2022</v>
      </c>
      <c r="C9276" t="s">
        <v>45</v>
      </c>
      <c r="D9276" s="2">
        <v>44866</v>
      </c>
      <c r="E9276" t="s">
        <v>22</v>
      </c>
      <c r="F9276">
        <v>175.5</v>
      </c>
      <c r="G9276" t="str">
        <f>VLOOKUP(Table1_2[[#This Row],[Categories]],Sheet3!$A$1:$B$27,2,FALSE)</f>
        <v>Household Items</v>
      </c>
    </row>
    <row r="9277" spans="1:7" x14ac:dyDescent="0.3">
      <c r="A9277" t="s">
        <v>30</v>
      </c>
      <c r="B9277">
        <v>2022</v>
      </c>
      <c r="C9277" t="s">
        <v>45</v>
      </c>
      <c r="D9277" s="2">
        <v>44866</v>
      </c>
      <c r="E9277" t="s">
        <v>23</v>
      </c>
      <c r="F9277">
        <v>182.3</v>
      </c>
      <c r="G9277" t="str">
        <f>VLOOKUP(Table1_2[[#This Row],[Categories]],Sheet3!$A$1:$B$27,2,FALSE)</f>
        <v>Health</v>
      </c>
    </row>
    <row r="9278" spans="1:7" x14ac:dyDescent="0.3">
      <c r="A9278" t="s">
        <v>30</v>
      </c>
      <c r="B9278">
        <v>2022</v>
      </c>
      <c r="C9278" t="s">
        <v>45</v>
      </c>
      <c r="D9278" s="2">
        <v>44866</v>
      </c>
      <c r="E9278" t="s">
        <v>24</v>
      </c>
      <c r="F9278">
        <v>167.5</v>
      </c>
      <c r="G9278" t="str">
        <f>VLOOKUP(Table1_2[[#This Row],[Categories]],Sheet3!$A$1:$B$27,2,FALSE)</f>
        <v>Transport and communication</v>
      </c>
    </row>
    <row r="9279" spans="1:7" x14ac:dyDescent="0.3">
      <c r="A9279" t="s">
        <v>30</v>
      </c>
      <c r="B9279">
        <v>2022</v>
      </c>
      <c r="C9279" t="s">
        <v>45</v>
      </c>
      <c r="D9279" s="2">
        <v>44866</v>
      </c>
      <c r="E9279" t="s">
        <v>25</v>
      </c>
      <c r="F9279">
        <v>170.8</v>
      </c>
      <c r="G9279" t="str">
        <f>VLOOKUP(Table1_2[[#This Row],[Categories]],Sheet3!$A$1:$B$27,2,FALSE)</f>
        <v>Recreation and amusement</v>
      </c>
    </row>
    <row r="9280" spans="1:7" x14ac:dyDescent="0.3">
      <c r="A9280" t="s">
        <v>30</v>
      </c>
      <c r="B9280">
        <v>2022</v>
      </c>
      <c r="C9280" t="s">
        <v>45</v>
      </c>
      <c r="D9280" s="2">
        <v>44866</v>
      </c>
      <c r="E9280" t="s">
        <v>26</v>
      </c>
      <c r="F9280">
        <v>176.9</v>
      </c>
      <c r="G9280" t="str">
        <f>VLOOKUP(Table1_2[[#This Row],[Categories]],Sheet3!$A$1:$B$27,2,FALSE)</f>
        <v>Education</v>
      </c>
    </row>
    <row r="9281" spans="1:7" x14ac:dyDescent="0.3">
      <c r="A9281" t="s">
        <v>30</v>
      </c>
      <c r="B9281">
        <v>2022</v>
      </c>
      <c r="C9281" t="s">
        <v>45</v>
      </c>
      <c r="D9281" s="2">
        <v>44866</v>
      </c>
      <c r="E9281" t="s">
        <v>27</v>
      </c>
      <c r="F9281">
        <v>173.4</v>
      </c>
      <c r="G9281" t="str">
        <f>VLOOKUP(Table1_2[[#This Row],[Categories]],Sheet3!$A$1:$B$27,2,FALSE)</f>
        <v>Household Items</v>
      </c>
    </row>
    <row r="9282" spans="1:7" x14ac:dyDescent="0.3">
      <c r="A9282" t="s">
        <v>30</v>
      </c>
      <c r="B9282">
        <v>2022</v>
      </c>
      <c r="C9282" t="s">
        <v>45</v>
      </c>
      <c r="D9282" s="2">
        <v>44866</v>
      </c>
      <c r="E9282" t="s">
        <v>28</v>
      </c>
      <c r="F9282">
        <v>174.6</v>
      </c>
      <c r="G9282" t="str">
        <f>VLOOKUP(Table1_2[[#This Row],[Categories]],Sheet3!$A$1:$B$27,2,FALSE)</f>
        <v>Miscellaneous</v>
      </c>
    </row>
    <row r="9283" spans="1:7" x14ac:dyDescent="0.3">
      <c r="A9283" t="s">
        <v>30</v>
      </c>
      <c r="B9283">
        <v>2022</v>
      </c>
      <c r="C9283" t="s">
        <v>45</v>
      </c>
      <c r="D9283" s="2">
        <v>44866</v>
      </c>
      <c r="E9283" t="s">
        <v>29</v>
      </c>
      <c r="F9283">
        <v>177.8</v>
      </c>
      <c r="G9283" t="str">
        <f>VLOOKUP(Table1_2[[#This Row],[Categories]],Sheet3!$A$1:$B$27,2,FALSE)</f>
        <v>General index</v>
      </c>
    </row>
    <row r="9284" spans="1:7" x14ac:dyDescent="0.3">
      <c r="A9284" t="s">
        <v>33</v>
      </c>
      <c r="B9284">
        <v>2022</v>
      </c>
      <c r="C9284" t="s">
        <v>45</v>
      </c>
      <c r="D9284" s="2">
        <v>44866</v>
      </c>
      <c r="E9284" t="s">
        <v>3</v>
      </c>
      <c r="F9284">
        <v>168.4</v>
      </c>
      <c r="G9284" t="str">
        <f>VLOOKUP(Table1_2[[#This Row],[Categories]],Sheet3!$A$1:$B$27,2,FALSE)</f>
        <v>Food &amp;Beverage</v>
      </c>
    </row>
    <row r="9285" spans="1:7" x14ac:dyDescent="0.3">
      <c r="A9285" t="s">
        <v>33</v>
      </c>
      <c r="B9285">
        <v>2022</v>
      </c>
      <c r="C9285" t="s">
        <v>45</v>
      </c>
      <c r="D9285" s="2">
        <v>44866</v>
      </c>
      <c r="E9285" t="s">
        <v>4</v>
      </c>
      <c r="F9285">
        <v>213.4</v>
      </c>
      <c r="G9285" t="str">
        <f>VLOOKUP(Table1_2[[#This Row],[Categories]],Sheet3!$A$1:$B$27,2,FALSE)</f>
        <v>Food &amp;Beverage</v>
      </c>
    </row>
    <row r="9286" spans="1:7" x14ac:dyDescent="0.3">
      <c r="A9286" t="s">
        <v>33</v>
      </c>
      <c r="B9286">
        <v>2022</v>
      </c>
      <c r="C9286" t="s">
        <v>45</v>
      </c>
      <c r="D9286" s="2">
        <v>44866</v>
      </c>
      <c r="E9286" t="s">
        <v>5</v>
      </c>
      <c r="F9286">
        <v>183.2</v>
      </c>
      <c r="G9286" t="str">
        <f>VLOOKUP(Table1_2[[#This Row],[Categories]],Sheet3!$A$1:$B$27,2,FALSE)</f>
        <v>Food &amp;Beverage</v>
      </c>
    </row>
    <row r="9287" spans="1:7" x14ac:dyDescent="0.3">
      <c r="A9287" t="s">
        <v>33</v>
      </c>
      <c r="B9287">
        <v>2022</v>
      </c>
      <c r="C9287" t="s">
        <v>45</v>
      </c>
      <c r="D9287" s="2">
        <v>44866</v>
      </c>
      <c r="E9287" t="s">
        <v>6</v>
      </c>
      <c r="F9287">
        <v>172.3</v>
      </c>
      <c r="G9287" t="str">
        <f>VLOOKUP(Table1_2[[#This Row],[Categories]],Sheet3!$A$1:$B$27,2,FALSE)</f>
        <v>Food &amp;Beverage</v>
      </c>
    </row>
    <row r="9288" spans="1:7" x14ac:dyDescent="0.3">
      <c r="A9288" t="s">
        <v>33</v>
      </c>
      <c r="B9288">
        <v>2022</v>
      </c>
      <c r="C9288" t="s">
        <v>45</v>
      </c>
      <c r="D9288" s="2">
        <v>44866</v>
      </c>
      <c r="E9288" t="s">
        <v>7</v>
      </c>
      <c r="F9288">
        <v>180</v>
      </c>
      <c r="G9288" t="str">
        <f>VLOOKUP(Table1_2[[#This Row],[Categories]],Sheet3!$A$1:$B$27,2,FALSE)</f>
        <v>Food &amp;Beverage</v>
      </c>
    </row>
    <row r="9289" spans="1:7" x14ac:dyDescent="0.3">
      <c r="A9289" t="s">
        <v>33</v>
      </c>
      <c r="B9289">
        <v>2022</v>
      </c>
      <c r="C9289" t="s">
        <v>45</v>
      </c>
      <c r="D9289" s="2">
        <v>44866</v>
      </c>
      <c r="E9289" t="s">
        <v>8</v>
      </c>
      <c r="F9289">
        <v>162.6</v>
      </c>
      <c r="G9289" t="str">
        <f>VLOOKUP(Table1_2[[#This Row],[Categories]],Sheet3!$A$1:$B$27,2,FALSE)</f>
        <v>Food &amp;Beverage</v>
      </c>
    </row>
    <row r="9290" spans="1:7" x14ac:dyDescent="0.3">
      <c r="A9290" t="s">
        <v>33</v>
      </c>
      <c r="B9290">
        <v>2022</v>
      </c>
      <c r="C9290" t="s">
        <v>45</v>
      </c>
      <c r="D9290" s="2">
        <v>44866</v>
      </c>
      <c r="E9290" t="s">
        <v>9</v>
      </c>
      <c r="F9290">
        <v>205.5</v>
      </c>
      <c r="G9290" t="str">
        <f>VLOOKUP(Table1_2[[#This Row],[Categories]],Sheet3!$A$1:$B$27,2,FALSE)</f>
        <v>Food &amp;Beverage</v>
      </c>
    </row>
    <row r="9291" spans="1:7" x14ac:dyDescent="0.3">
      <c r="A9291" t="s">
        <v>33</v>
      </c>
      <c r="B9291">
        <v>2022</v>
      </c>
      <c r="C9291" t="s">
        <v>45</v>
      </c>
      <c r="D9291" s="2">
        <v>44866</v>
      </c>
      <c r="E9291" t="s">
        <v>10</v>
      </c>
      <c r="F9291">
        <v>171</v>
      </c>
      <c r="G9291" t="str">
        <f>VLOOKUP(Table1_2[[#This Row],[Categories]],Sheet3!$A$1:$B$27,2,FALSE)</f>
        <v>Food &amp;Beverage</v>
      </c>
    </row>
    <row r="9292" spans="1:7" x14ac:dyDescent="0.3">
      <c r="A9292" t="s">
        <v>33</v>
      </c>
      <c r="B9292">
        <v>2022</v>
      </c>
      <c r="C9292" t="s">
        <v>45</v>
      </c>
      <c r="D9292" s="2">
        <v>44866</v>
      </c>
      <c r="E9292" t="s">
        <v>11</v>
      </c>
      <c r="F9292">
        <v>123.4</v>
      </c>
      <c r="G9292" t="str">
        <f>VLOOKUP(Table1_2[[#This Row],[Categories]],Sheet3!$A$1:$B$27,2,FALSE)</f>
        <v>Food &amp;Beverage</v>
      </c>
    </row>
    <row r="9293" spans="1:7" x14ac:dyDescent="0.3">
      <c r="A9293" t="s">
        <v>33</v>
      </c>
      <c r="B9293">
        <v>2022</v>
      </c>
      <c r="C9293" t="s">
        <v>45</v>
      </c>
      <c r="D9293" s="2">
        <v>44866</v>
      </c>
      <c r="E9293" t="s">
        <v>12</v>
      </c>
      <c r="F9293">
        <v>198.8</v>
      </c>
      <c r="G9293" t="str">
        <f>VLOOKUP(Table1_2[[#This Row],[Categories]],Sheet3!$A$1:$B$27,2,FALSE)</f>
        <v>Food &amp;Beverage</v>
      </c>
    </row>
    <row r="9294" spans="1:7" x14ac:dyDescent="0.3">
      <c r="A9294" t="s">
        <v>33</v>
      </c>
      <c r="B9294">
        <v>2022</v>
      </c>
      <c r="C9294" t="s">
        <v>45</v>
      </c>
      <c r="D9294" s="2">
        <v>44866</v>
      </c>
      <c r="E9294" t="s">
        <v>13</v>
      </c>
      <c r="F9294">
        <v>162.1</v>
      </c>
      <c r="G9294" t="str">
        <f>VLOOKUP(Table1_2[[#This Row],[Categories]],Sheet3!$A$1:$B$27,2,FALSE)</f>
        <v>Food &amp;Beverage</v>
      </c>
    </row>
    <row r="9295" spans="1:7" x14ac:dyDescent="0.3">
      <c r="A9295" t="s">
        <v>33</v>
      </c>
      <c r="B9295">
        <v>2022</v>
      </c>
      <c r="C9295" t="s">
        <v>45</v>
      </c>
      <c r="D9295" s="2">
        <v>44866</v>
      </c>
      <c r="E9295" t="s">
        <v>14</v>
      </c>
      <c r="F9295">
        <v>192.4</v>
      </c>
      <c r="G9295" t="str">
        <f>VLOOKUP(Table1_2[[#This Row],[Categories]],Sheet3!$A$1:$B$27,2,FALSE)</f>
        <v>Food &amp;Beverage</v>
      </c>
    </row>
    <row r="9296" spans="1:7" x14ac:dyDescent="0.3">
      <c r="A9296" t="s">
        <v>33</v>
      </c>
      <c r="B9296">
        <v>2022</v>
      </c>
      <c r="C9296" t="s">
        <v>45</v>
      </c>
      <c r="D9296" s="2">
        <v>44866</v>
      </c>
      <c r="E9296" t="s">
        <v>15</v>
      </c>
      <c r="F9296">
        <v>181.3</v>
      </c>
      <c r="G9296" t="str">
        <f>VLOOKUP(Table1_2[[#This Row],[Categories]],Sheet3!$A$1:$B$27,2,FALSE)</f>
        <v>Food &amp;Beverage</v>
      </c>
    </row>
    <row r="9297" spans="1:7" x14ac:dyDescent="0.3">
      <c r="A9297" t="s">
        <v>33</v>
      </c>
      <c r="B9297">
        <v>2022</v>
      </c>
      <c r="C9297" t="s">
        <v>45</v>
      </c>
      <c r="D9297" s="2">
        <v>44866</v>
      </c>
      <c r="E9297" t="s">
        <v>16</v>
      </c>
      <c r="F9297">
        <v>200.6</v>
      </c>
      <c r="G9297" t="str">
        <f>VLOOKUP(Table1_2[[#This Row],[Categories]],Sheet3!$A$1:$B$27,2,FALSE)</f>
        <v>Recreation and amusement</v>
      </c>
    </row>
    <row r="9298" spans="1:7" x14ac:dyDescent="0.3">
      <c r="A9298" t="s">
        <v>33</v>
      </c>
      <c r="B9298">
        <v>2022</v>
      </c>
      <c r="C9298" t="s">
        <v>45</v>
      </c>
      <c r="D9298" s="2">
        <v>44866</v>
      </c>
      <c r="E9298" t="s">
        <v>17</v>
      </c>
      <c r="F9298">
        <v>176.7</v>
      </c>
      <c r="G9298" t="str">
        <f>VLOOKUP(Table1_2[[#This Row],[Categories]],Sheet3!$A$1:$B$27,2,FALSE)</f>
        <v>Clothing and footwear</v>
      </c>
    </row>
    <row r="9299" spans="1:7" x14ac:dyDescent="0.3">
      <c r="A9299" t="s">
        <v>33</v>
      </c>
      <c r="B9299">
        <v>2022</v>
      </c>
      <c r="C9299" t="s">
        <v>45</v>
      </c>
      <c r="D9299" s="2">
        <v>44866</v>
      </c>
      <c r="E9299" t="s">
        <v>18</v>
      </c>
      <c r="F9299">
        <v>163.5</v>
      </c>
      <c r="G9299" t="str">
        <f>VLOOKUP(Table1_2[[#This Row],[Categories]],Sheet3!$A$1:$B$27,2,FALSE)</f>
        <v>Clothing and footwear</v>
      </c>
    </row>
    <row r="9300" spans="1:7" x14ac:dyDescent="0.3">
      <c r="A9300" t="s">
        <v>33</v>
      </c>
      <c r="B9300">
        <v>2022</v>
      </c>
      <c r="C9300" t="s">
        <v>45</v>
      </c>
      <c r="D9300" s="2">
        <v>44866</v>
      </c>
      <c r="E9300" t="s">
        <v>19</v>
      </c>
      <c r="F9300">
        <v>174.7</v>
      </c>
      <c r="G9300" t="str">
        <f>VLOOKUP(Table1_2[[#This Row],[Categories]],Sheet3!$A$1:$B$27,2,FALSE)</f>
        <v>Clothing and footwear</v>
      </c>
    </row>
    <row r="9301" spans="1:7" x14ac:dyDescent="0.3">
      <c r="A9301" t="s">
        <v>33</v>
      </c>
      <c r="B9301">
        <v>2022</v>
      </c>
      <c r="C9301" t="s">
        <v>45</v>
      </c>
      <c r="D9301" s="2">
        <v>44866</v>
      </c>
      <c r="E9301" t="s">
        <v>20</v>
      </c>
      <c r="F9301">
        <v>171.8</v>
      </c>
      <c r="G9301" t="str">
        <f>VLOOKUP(Table1_2[[#This Row],[Categories]],Sheet3!$A$1:$B$27,2,FALSE)</f>
        <v>Housing</v>
      </c>
    </row>
    <row r="9302" spans="1:7" x14ac:dyDescent="0.3">
      <c r="A9302" t="s">
        <v>33</v>
      </c>
      <c r="B9302">
        <v>2022</v>
      </c>
      <c r="C9302" t="s">
        <v>45</v>
      </c>
      <c r="D9302" s="2">
        <v>44866</v>
      </c>
      <c r="E9302" t="s">
        <v>21</v>
      </c>
      <c r="F9302">
        <v>180.3</v>
      </c>
      <c r="G9302" t="str">
        <f>VLOOKUP(Table1_2[[#This Row],[Categories]],Sheet3!$A$1:$B$27,2,FALSE)</f>
        <v>Fuel and light</v>
      </c>
    </row>
    <row r="9303" spans="1:7" x14ac:dyDescent="0.3">
      <c r="A9303" t="s">
        <v>33</v>
      </c>
      <c r="B9303">
        <v>2022</v>
      </c>
      <c r="C9303" t="s">
        <v>45</v>
      </c>
      <c r="D9303" s="2">
        <v>44866</v>
      </c>
      <c r="E9303" t="s">
        <v>22</v>
      </c>
      <c r="F9303">
        <v>166.9</v>
      </c>
      <c r="G9303" t="str">
        <f>VLOOKUP(Table1_2[[#This Row],[Categories]],Sheet3!$A$1:$B$27,2,FALSE)</f>
        <v>Household Items</v>
      </c>
    </row>
    <row r="9304" spans="1:7" x14ac:dyDescent="0.3">
      <c r="A9304" t="s">
        <v>33</v>
      </c>
      <c r="B9304">
        <v>2022</v>
      </c>
      <c r="C9304" t="s">
        <v>45</v>
      </c>
      <c r="D9304" s="2">
        <v>44866</v>
      </c>
      <c r="E9304" t="s">
        <v>23</v>
      </c>
      <c r="F9304">
        <v>175.8</v>
      </c>
      <c r="G9304" t="str">
        <f>VLOOKUP(Table1_2[[#This Row],[Categories]],Sheet3!$A$1:$B$27,2,FALSE)</f>
        <v>Health</v>
      </c>
    </row>
    <row r="9305" spans="1:7" x14ac:dyDescent="0.3">
      <c r="A9305" t="s">
        <v>33</v>
      </c>
      <c r="B9305">
        <v>2022</v>
      </c>
      <c r="C9305" t="s">
        <v>45</v>
      </c>
      <c r="D9305" s="2">
        <v>44866</v>
      </c>
      <c r="E9305" t="s">
        <v>24</v>
      </c>
      <c r="F9305">
        <v>158.9</v>
      </c>
      <c r="G9305" t="str">
        <f>VLOOKUP(Table1_2[[#This Row],[Categories]],Sheet3!$A$1:$B$27,2,FALSE)</f>
        <v>Transport and communication</v>
      </c>
    </row>
    <row r="9306" spans="1:7" x14ac:dyDescent="0.3">
      <c r="A9306" t="s">
        <v>33</v>
      </c>
      <c r="B9306">
        <v>2022</v>
      </c>
      <c r="C9306" t="s">
        <v>45</v>
      </c>
      <c r="D9306" s="2">
        <v>44866</v>
      </c>
      <c r="E9306" t="s">
        <v>25</v>
      </c>
      <c r="F9306">
        <v>166.7</v>
      </c>
      <c r="G9306" t="str">
        <f>VLOOKUP(Table1_2[[#This Row],[Categories]],Sheet3!$A$1:$B$27,2,FALSE)</f>
        <v>Recreation and amusement</v>
      </c>
    </row>
    <row r="9307" spans="1:7" x14ac:dyDescent="0.3">
      <c r="A9307" t="s">
        <v>33</v>
      </c>
      <c r="B9307">
        <v>2022</v>
      </c>
      <c r="C9307" t="s">
        <v>45</v>
      </c>
      <c r="D9307" s="2">
        <v>44866</v>
      </c>
      <c r="E9307" t="s">
        <v>26</v>
      </c>
      <c r="F9307">
        <v>171.5</v>
      </c>
      <c r="G9307" t="str">
        <f>VLOOKUP(Table1_2[[#This Row],[Categories]],Sheet3!$A$1:$B$27,2,FALSE)</f>
        <v>Education</v>
      </c>
    </row>
    <row r="9308" spans="1:7" x14ac:dyDescent="0.3">
      <c r="A9308" t="s">
        <v>33</v>
      </c>
      <c r="B9308">
        <v>2022</v>
      </c>
      <c r="C9308" t="s">
        <v>45</v>
      </c>
      <c r="D9308" s="2">
        <v>44866</v>
      </c>
      <c r="E9308" t="s">
        <v>27</v>
      </c>
      <c r="F9308">
        <v>173.8</v>
      </c>
      <c r="G9308" t="str">
        <f>VLOOKUP(Table1_2[[#This Row],[Categories]],Sheet3!$A$1:$B$27,2,FALSE)</f>
        <v>Household Items</v>
      </c>
    </row>
    <row r="9309" spans="1:7" x14ac:dyDescent="0.3">
      <c r="A9309" t="s">
        <v>33</v>
      </c>
      <c r="B9309">
        <v>2022</v>
      </c>
      <c r="C9309" t="s">
        <v>45</v>
      </c>
      <c r="D9309" s="2">
        <v>44866</v>
      </c>
      <c r="E9309" t="s">
        <v>28</v>
      </c>
      <c r="F9309">
        <v>167.4</v>
      </c>
      <c r="G9309" t="str">
        <f>VLOOKUP(Table1_2[[#This Row],[Categories]],Sheet3!$A$1:$B$27,2,FALSE)</f>
        <v>Miscellaneous</v>
      </c>
    </row>
    <row r="9310" spans="1:7" x14ac:dyDescent="0.3">
      <c r="A9310" t="s">
        <v>33</v>
      </c>
      <c r="B9310">
        <v>2022</v>
      </c>
      <c r="C9310" t="s">
        <v>45</v>
      </c>
      <c r="D9310" s="2">
        <v>44866</v>
      </c>
      <c r="E9310" t="s">
        <v>29</v>
      </c>
      <c r="F9310">
        <v>174.1</v>
      </c>
      <c r="G9310" t="str">
        <f>VLOOKUP(Table1_2[[#This Row],[Categories]],Sheet3!$A$1:$B$27,2,FALSE)</f>
        <v>General index</v>
      </c>
    </row>
    <row r="9311" spans="1:7" x14ac:dyDescent="0.3">
      <c r="A9311" t="s">
        <v>34</v>
      </c>
      <c r="B9311">
        <v>2022</v>
      </c>
      <c r="C9311" t="s">
        <v>45</v>
      </c>
      <c r="D9311" s="2">
        <v>44866</v>
      </c>
      <c r="E9311" t="s">
        <v>3</v>
      </c>
      <c r="F9311">
        <v>167.4</v>
      </c>
      <c r="G9311" t="str">
        <f>VLOOKUP(Table1_2[[#This Row],[Categories]],Sheet3!$A$1:$B$27,2,FALSE)</f>
        <v>Food &amp;Beverage</v>
      </c>
    </row>
    <row r="9312" spans="1:7" x14ac:dyDescent="0.3">
      <c r="A9312" t="s">
        <v>34</v>
      </c>
      <c r="B9312">
        <v>2022</v>
      </c>
      <c r="C9312" t="s">
        <v>45</v>
      </c>
      <c r="D9312" s="2">
        <v>44866</v>
      </c>
      <c r="E9312" t="s">
        <v>4</v>
      </c>
      <c r="F9312">
        <v>209.4</v>
      </c>
      <c r="G9312" t="str">
        <f>VLOOKUP(Table1_2[[#This Row],[Categories]],Sheet3!$A$1:$B$27,2,FALSE)</f>
        <v>Food &amp;Beverage</v>
      </c>
    </row>
    <row r="9313" spans="1:7" x14ac:dyDescent="0.3">
      <c r="A9313" t="s">
        <v>34</v>
      </c>
      <c r="B9313">
        <v>2022</v>
      </c>
      <c r="C9313" t="s">
        <v>45</v>
      </c>
      <c r="D9313" s="2">
        <v>44866</v>
      </c>
      <c r="E9313" t="s">
        <v>5</v>
      </c>
      <c r="F9313">
        <v>181.4</v>
      </c>
      <c r="G9313" t="str">
        <f>VLOOKUP(Table1_2[[#This Row],[Categories]],Sheet3!$A$1:$B$27,2,FALSE)</f>
        <v>Food &amp;Beverage</v>
      </c>
    </row>
    <row r="9314" spans="1:7" x14ac:dyDescent="0.3">
      <c r="A9314" t="s">
        <v>34</v>
      </c>
      <c r="B9314">
        <v>2022</v>
      </c>
      <c r="C9314" t="s">
        <v>45</v>
      </c>
      <c r="D9314" s="2">
        <v>44866</v>
      </c>
      <c r="E9314" t="s">
        <v>6</v>
      </c>
      <c r="F9314">
        <v>172.3</v>
      </c>
      <c r="G9314" t="str">
        <f>VLOOKUP(Table1_2[[#This Row],[Categories]],Sheet3!$A$1:$B$27,2,FALSE)</f>
        <v>Food &amp;Beverage</v>
      </c>
    </row>
    <row r="9315" spans="1:7" x14ac:dyDescent="0.3">
      <c r="A9315" t="s">
        <v>34</v>
      </c>
      <c r="B9315">
        <v>2022</v>
      </c>
      <c r="C9315" t="s">
        <v>45</v>
      </c>
      <c r="D9315" s="2">
        <v>44866</v>
      </c>
      <c r="E9315" t="s">
        <v>7</v>
      </c>
      <c r="F9315">
        <v>188.9</v>
      </c>
      <c r="G9315" t="str">
        <f>VLOOKUP(Table1_2[[#This Row],[Categories]],Sheet3!$A$1:$B$27,2,FALSE)</f>
        <v>Food &amp;Beverage</v>
      </c>
    </row>
    <row r="9316" spans="1:7" x14ac:dyDescent="0.3">
      <c r="A9316" t="s">
        <v>34</v>
      </c>
      <c r="B9316">
        <v>2022</v>
      </c>
      <c r="C9316" t="s">
        <v>45</v>
      </c>
      <c r="D9316" s="2">
        <v>44866</v>
      </c>
      <c r="E9316" t="s">
        <v>8</v>
      </c>
      <c r="F9316">
        <v>160.69999999999999</v>
      </c>
      <c r="G9316" t="str">
        <f>VLOOKUP(Table1_2[[#This Row],[Categories]],Sheet3!$A$1:$B$27,2,FALSE)</f>
        <v>Food &amp;Beverage</v>
      </c>
    </row>
    <row r="9317" spans="1:7" x14ac:dyDescent="0.3">
      <c r="A9317" t="s">
        <v>34</v>
      </c>
      <c r="B9317">
        <v>2022</v>
      </c>
      <c r="C9317" t="s">
        <v>45</v>
      </c>
      <c r="D9317" s="2">
        <v>44866</v>
      </c>
      <c r="E9317" t="s">
        <v>9</v>
      </c>
      <c r="F9317">
        <v>183.1</v>
      </c>
      <c r="G9317" t="str">
        <f>VLOOKUP(Table1_2[[#This Row],[Categories]],Sheet3!$A$1:$B$27,2,FALSE)</f>
        <v>Food &amp;Beverage</v>
      </c>
    </row>
    <row r="9318" spans="1:7" x14ac:dyDescent="0.3">
      <c r="A9318" t="s">
        <v>34</v>
      </c>
      <c r="B9318">
        <v>2022</v>
      </c>
      <c r="C9318" t="s">
        <v>45</v>
      </c>
      <c r="D9318" s="2">
        <v>44866</v>
      </c>
      <c r="E9318" t="s">
        <v>10</v>
      </c>
      <c r="F9318">
        <v>170.5</v>
      </c>
      <c r="G9318" t="str">
        <f>VLOOKUP(Table1_2[[#This Row],[Categories]],Sheet3!$A$1:$B$27,2,FALSE)</f>
        <v>Food &amp;Beverage</v>
      </c>
    </row>
    <row r="9319" spans="1:7" x14ac:dyDescent="0.3">
      <c r="A9319" t="s">
        <v>34</v>
      </c>
      <c r="B9319">
        <v>2022</v>
      </c>
      <c r="C9319" t="s">
        <v>45</v>
      </c>
      <c r="D9319" s="2">
        <v>44866</v>
      </c>
      <c r="E9319" t="s">
        <v>11</v>
      </c>
      <c r="F9319">
        <v>122.1</v>
      </c>
      <c r="G9319" t="str">
        <f>VLOOKUP(Table1_2[[#This Row],[Categories]],Sheet3!$A$1:$B$27,2,FALSE)</f>
        <v>Food &amp;Beverage</v>
      </c>
    </row>
    <row r="9320" spans="1:7" x14ac:dyDescent="0.3">
      <c r="A9320" t="s">
        <v>34</v>
      </c>
      <c r="B9320">
        <v>2022</v>
      </c>
      <c r="C9320" t="s">
        <v>45</v>
      </c>
      <c r="D9320" s="2">
        <v>44866</v>
      </c>
      <c r="E9320" t="s">
        <v>12</v>
      </c>
      <c r="F9320">
        <v>202.8</v>
      </c>
      <c r="G9320" t="str">
        <f>VLOOKUP(Table1_2[[#This Row],[Categories]],Sheet3!$A$1:$B$27,2,FALSE)</f>
        <v>Food &amp;Beverage</v>
      </c>
    </row>
    <row r="9321" spans="1:7" x14ac:dyDescent="0.3">
      <c r="A9321" t="s">
        <v>34</v>
      </c>
      <c r="B9321">
        <v>2022</v>
      </c>
      <c r="C9321" t="s">
        <v>45</v>
      </c>
      <c r="D9321" s="2">
        <v>44866</v>
      </c>
      <c r="E9321" t="s">
        <v>13</v>
      </c>
      <c r="F9321">
        <v>170.4</v>
      </c>
      <c r="G9321" t="str">
        <f>VLOOKUP(Table1_2[[#This Row],[Categories]],Sheet3!$A$1:$B$27,2,FALSE)</f>
        <v>Food &amp;Beverage</v>
      </c>
    </row>
    <row r="9322" spans="1:7" x14ac:dyDescent="0.3">
      <c r="A9322" t="s">
        <v>34</v>
      </c>
      <c r="B9322">
        <v>2022</v>
      </c>
      <c r="C9322" t="s">
        <v>45</v>
      </c>
      <c r="D9322" s="2">
        <v>44866</v>
      </c>
      <c r="E9322" t="s">
        <v>14</v>
      </c>
      <c r="F9322">
        <v>189.5</v>
      </c>
      <c r="G9322" t="str">
        <f>VLOOKUP(Table1_2[[#This Row],[Categories]],Sheet3!$A$1:$B$27,2,FALSE)</f>
        <v>Food &amp;Beverage</v>
      </c>
    </row>
    <row r="9323" spans="1:7" x14ac:dyDescent="0.3">
      <c r="A9323" t="s">
        <v>34</v>
      </c>
      <c r="B9323">
        <v>2022</v>
      </c>
      <c r="C9323" t="s">
        <v>45</v>
      </c>
      <c r="D9323" s="2">
        <v>44866</v>
      </c>
      <c r="E9323" t="s">
        <v>15</v>
      </c>
      <c r="F9323">
        <v>178.3</v>
      </c>
      <c r="G9323" t="str">
        <f>VLOOKUP(Table1_2[[#This Row],[Categories]],Sheet3!$A$1:$B$27,2,FALSE)</f>
        <v>Food &amp;Beverage</v>
      </c>
    </row>
    <row r="9324" spans="1:7" x14ac:dyDescent="0.3">
      <c r="A9324" t="s">
        <v>34</v>
      </c>
      <c r="B9324">
        <v>2022</v>
      </c>
      <c r="C9324" t="s">
        <v>45</v>
      </c>
      <c r="D9324" s="2">
        <v>44866</v>
      </c>
      <c r="E9324" t="s">
        <v>16</v>
      </c>
      <c r="F9324">
        <v>196.9</v>
      </c>
      <c r="G9324" t="str">
        <f>VLOOKUP(Table1_2[[#This Row],[Categories]],Sheet3!$A$1:$B$27,2,FALSE)</f>
        <v>Recreation and amusement</v>
      </c>
    </row>
    <row r="9325" spans="1:7" x14ac:dyDescent="0.3">
      <c r="A9325" t="s">
        <v>34</v>
      </c>
      <c r="B9325">
        <v>2022</v>
      </c>
      <c r="C9325" t="s">
        <v>45</v>
      </c>
      <c r="D9325" s="2">
        <v>44866</v>
      </c>
      <c r="E9325" t="s">
        <v>17</v>
      </c>
      <c r="F9325">
        <v>183.1</v>
      </c>
      <c r="G9325" t="str">
        <f>VLOOKUP(Table1_2[[#This Row],[Categories]],Sheet3!$A$1:$B$27,2,FALSE)</f>
        <v>Clothing and footwear</v>
      </c>
    </row>
    <row r="9326" spans="1:7" x14ac:dyDescent="0.3">
      <c r="A9326" t="s">
        <v>34</v>
      </c>
      <c r="B9326">
        <v>2022</v>
      </c>
      <c r="C9326" t="s">
        <v>45</v>
      </c>
      <c r="D9326" s="2">
        <v>44866</v>
      </c>
      <c r="E9326" t="s">
        <v>18</v>
      </c>
      <c r="F9326">
        <v>176.2</v>
      </c>
      <c r="G9326" t="str">
        <f>VLOOKUP(Table1_2[[#This Row],[Categories]],Sheet3!$A$1:$B$27,2,FALSE)</f>
        <v>Clothing and footwear</v>
      </c>
    </row>
    <row r="9327" spans="1:7" x14ac:dyDescent="0.3">
      <c r="A9327" t="s">
        <v>34</v>
      </c>
      <c r="B9327">
        <v>2022</v>
      </c>
      <c r="C9327" t="s">
        <v>45</v>
      </c>
      <c r="D9327" s="2">
        <v>44866</v>
      </c>
      <c r="E9327" t="s">
        <v>19</v>
      </c>
      <c r="F9327">
        <v>182.1</v>
      </c>
      <c r="G9327" t="str">
        <f>VLOOKUP(Table1_2[[#This Row],[Categories]],Sheet3!$A$1:$B$27,2,FALSE)</f>
        <v>Clothing and footwear</v>
      </c>
    </row>
    <row r="9328" spans="1:7" x14ac:dyDescent="0.3">
      <c r="A9328" t="s">
        <v>34</v>
      </c>
      <c r="B9328">
        <v>2022</v>
      </c>
      <c r="C9328" t="s">
        <v>45</v>
      </c>
      <c r="D9328" s="2">
        <v>44866</v>
      </c>
      <c r="E9328" t="s">
        <v>20</v>
      </c>
      <c r="F9328">
        <v>171.8</v>
      </c>
      <c r="G9328" t="str">
        <f>VLOOKUP(Table1_2[[#This Row],[Categories]],Sheet3!$A$1:$B$27,2,FALSE)</f>
        <v>Housing</v>
      </c>
    </row>
    <row r="9329" spans="1:7" x14ac:dyDescent="0.3">
      <c r="A9329" t="s">
        <v>34</v>
      </c>
      <c r="B9329">
        <v>2022</v>
      </c>
      <c r="C9329" t="s">
        <v>45</v>
      </c>
      <c r="D9329" s="2">
        <v>44866</v>
      </c>
      <c r="E9329" t="s">
        <v>21</v>
      </c>
      <c r="F9329">
        <v>181.3</v>
      </c>
      <c r="G9329" t="str">
        <f>VLOOKUP(Table1_2[[#This Row],[Categories]],Sheet3!$A$1:$B$27,2,FALSE)</f>
        <v>Fuel and light</v>
      </c>
    </row>
    <row r="9330" spans="1:7" x14ac:dyDescent="0.3">
      <c r="A9330" t="s">
        <v>34</v>
      </c>
      <c r="B9330">
        <v>2022</v>
      </c>
      <c r="C9330" t="s">
        <v>45</v>
      </c>
      <c r="D9330" s="2">
        <v>44866</v>
      </c>
      <c r="E9330" t="s">
        <v>22</v>
      </c>
      <c r="F9330">
        <v>171.4</v>
      </c>
      <c r="G9330" t="str">
        <f>VLOOKUP(Table1_2[[#This Row],[Categories]],Sheet3!$A$1:$B$27,2,FALSE)</f>
        <v>Household Items</v>
      </c>
    </row>
    <row r="9331" spans="1:7" x14ac:dyDescent="0.3">
      <c r="A9331" t="s">
        <v>34</v>
      </c>
      <c r="B9331">
        <v>2022</v>
      </c>
      <c r="C9331" t="s">
        <v>45</v>
      </c>
      <c r="D9331" s="2">
        <v>44866</v>
      </c>
      <c r="E9331" t="s">
        <v>23</v>
      </c>
      <c r="F9331">
        <v>179.8</v>
      </c>
      <c r="G9331" t="str">
        <f>VLOOKUP(Table1_2[[#This Row],[Categories]],Sheet3!$A$1:$B$27,2,FALSE)</f>
        <v>Health</v>
      </c>
    </row>
    <row r="9332" spans="1:7" x14ac:dyDescent="0.3">
      <c r="A9332" t="s">
        <v>34</v>
      </c>
      <c r="B9332">
        <v>2022</v>
      </c>
      <c r="C9332" t="s">
        <v>45</v>
      </c>
      <c r="D9332" s="2">
        <v>44866</v>
      </c>
      <c r="E9332" t="s">
        <v>24</v>
      </c>
      <c r="F9332">
        <v>163</v>
      </c>
      <c r="G9332" t="str">
        <f>VLOOKUP(Table1_2[[#This Row],[Categories]],Sheet3!$A$1:$B$27,2,FALSE)</f>
        <v>Transport and communication</v>
      </c>
    </row>
    <row r="9333" spans="1:7" x14ac:dyDescent="0.3">
      <c r="A9333" t="s">
        <v>34</v>
      </c>
      <c r="B9333">
        <v>2022</v>
      </c>
      <c r="C9333" t="s">
        <v>45</v>
      </c>
      <c r="D9333" s="2">
        <v>44866</v>
      </c>
      <c r="E9333" t="s">
        <v>25</v>
      </c>
      <c r="F9333">
        <v>168.5</v>
      </c>
      <c r="G9333" t="str">
        <f>VLOOKUP(Table1_2[[#This Row],[Categories]],Sheet3!$A$1:$B$27,2,FALSE)</f>
        <v>Recreation and amusement</v>
      </c>
    </row>
    <row r="9334" spans="1:7" x14ac:dyDescent="0.3">
      <c r="A9334" t="s">
        <v>34</v>
      </c>
      <c r="B9334">
        <v>2022</v>
      </c>
      <c r="C9334" t="s">
        <v>45</v>
      </c>
      <c r="D9334" s="2">
        <v>44866</v>
      </c>
      <c r="E9334" t="s">
        <v>26</v>
      </c>
      <c r="F9334">
        <v>173.7</v>
      </c>
      <c r="G9334" t="str">
        <f>VLOOKUP(Table1_2[[#This Row],[Categories]],Sheet3!$A$1:$B$27,2,FALSE)</f>
        <v>Education</v>
      </c>
    </row>
    <row r="9335" spans="1:7" x14ac:dyDescent="0.3">
      <c r="A9335" t="s">
        <v>34</v>
      </c>
      <c r="B9335">
        <v>2022</v>
      </c>
      <c r="C9335" t="s">
        <v>45</v>
      </c>
      <c r="D9335" s="2">
        <v>44866</v>
      </c>
      <c r="E9335" t="s">
        <v>27</v>
      </c>
      <c r="F9335">
        <v>173.6</v>
      </c>
      <c r="G9335" t="str">
        <f>VLOOKUP(Table1_2[[#This Row],[Categories]],Sheet3!$A$1:$B$27,2,FALSE)</f>
        <v>Household Items</v>
      </c>
    </row>
    <row r="9336" spans="1:7" x14ac:dyDescent="0.3">
      <c r="A9336" t="s">
        <v>34</v>
      </c>
      <c r="B9336">
        <v>2022</v>
      </c>
      <c r="C9336" t="s">
        <v>45</v>
      </c>
      <c r="D9336" s="2">
        <v>44866</v>
      </c>
      <c r="E9336" t="s">
        <v>28</v>
      </c>
      <c r="F9336">
        <v>171.1</v>
      </c>
      <c r="G9336" t="str">
        <f>VLOOKUP(Table1_2[[#This Row],[Categories]],Sheet3!$A$1:$B$27,2,FALSE)</f>
        <v>Miscellaneous</v>
      </c>
    </row>
    <row r="9337" spans="1:7" x14ac:dyDescent="0.3">
      <c r="A9337" t="s">
        <v>34</v>
      </c>
      <c r="B9337">
        <v>2022</v>
      </c>
      <c r="C9337" t="s">
        <v>45</v>
      </c>
      <c r="D9337" s="2">
        <v>44866</v>
      </c>
      <c r="E9337" t="s">
        <v>29</v>
      </c>
      <c r="F9337">
        <v>176.5</v>
      </c>
      <c r="G9337" t="str">
        <f>VLOOKUP(Table1_2[[#This Row],[Categories]],Sheet3!$A$1:$B$27,2,FALSE)</f>
        <v>General index</v>
      </c>
    </row>
    <row r="9338" spans="1:7" x14ac:dyDescent="0.3">
      <c r="A9338" t="s">
        <v>30</v>
      </c>
      <c r="B9338">
        <v>2022</v>
      </c>
      <c r="C9338" t="s">
        <v>46</v>
      </c>
      <c r="D9338" s="2">
        <v>44896</v>
      </c>
      <c r="E9338" t="s">
        <v>3</v>
      </c>
      <c r="F9338">
        <v>168.8</v>
      </c>
      <c r="G9338" t="str">
        <f>VLOOKUP(Table1_2[[#This Row],[Categories]],Sheet3!$A$1:$B$27,2,FALSE)</f>
        <v>Food &amp;Beverage</v>
      </c>
    </row>
    <row r="9339" spans="1:7" x14ac:dyDescent="0.3">
      <c r="A9339" t="s">
        <v>30</v>
      </c>
      <c r="B9339">
        <v>2022</v>
      </c>
      <c r="C9339" t="s">
        <v>46</v>
      </c>
      <c r="D9339" s="2">
        <v>44896</v>
      </c>
      <c r="E9339" t="s">
        <v>4</v>
      </c>
      <c r="F9339">
        <v>206.9</v>
      </c>
      <c r="G9339" t="str">
        <f>VLOOKUP(Table1_2[[#This Row],[Categories]],Sheet3!$A$1:$B$27,2,FALSE)</f>
        <v>Food &amp;Beverage</v>
      </c>
    </row>
    <row r="9340" spans="1:7" x14ac:dyDescent="0.3">
      <c r="A9340" t="s">
        <v>30</v>
      </c>
      <c r="B9340">
        <v>2022</v>
      </c>
      <c r="C9340" t="s">
        <v>46</v>
      </c>
      <c r="D9340" s="2">
        <v>44896</v>
      </c>
      <c r="E9340" t="s">
        <v>5</v>
      </c>
      <c r="F9340">
        <v>189.1</v>
      </c>
      <c r="G9340" t="str">
        <f>VLOOKUP(Table1_2[[#This Row],[Categories]],Sheet3!$A$1:$B$27,2,FALSE)</f>
        <v>Food &amp;Beverage</v>
      </c>
    </row>
    <row r="9341" spans="1:7" x14ac:dyDescent="0.3">
      <c r="A9341" t="s">
        <v>30</v>
      </c>
      <c r="B9341">
        <v>2022</v>
      </c>
      <c r="C9341" t="s">
        <v>46</v>
      </c>
      <c r="D9341" s="2">
        <v>44896</v>
      </c>
      <c r="E9341" t="s">
        <v>6</v>
      </c>
      <c r="F9341">
        <v>173.4</v>
      </c>
      <c r="G9341" t="str">
        <f>VLOOKUP(Table1_2[[#This Row],[Categories]],Sheet3!$A$1:$B$27,2,FALSE)</f>
        <v>Food &amp;Beverage</v>
      </c>
    </row>
    <row r="9342" spans="1:7" x14ac:dyDescent="0.3">
      <c r="A9342" t="s">
        <v>30</v>
      </c>
      <c r="B9342">
        <v>2022</v>
      </c>
      <c r="C9342" t="s">
        <v>46</v>
      </c>
      <c r="D9342" s="2">
        <v>44896</v>
      </c>
      <c r="E9342" t="s">
        <v>7</v>
      </c>
      <c r="F9342">
        <v>193.9</v>
      </c>
      <c r="G9342" t="str">
        <f>VLOOKUP(Table1_2[[#This Row],[Categories]],Sheet3!$A$1:$B$27,2,FALSE)</f>
        <v>Food &amp;Beverage</v>
      </c>
    </row>
    <row r="9343" spans="1:7" x14ac:dyDescent="0.3">
      <c r="A9343" t="s">
        <v>30</v>
      </c>
      <c r="B9343">
        <v>2022</v>
      </c>
      <c r="C9343" t="s">
        <v>46</v>
      </c>
      <c r="D9343" s="2">
        <v>44896</v>
      </c>
      <c r="E9343" t="s">
        <v>8</v>
      </c>
      <c r="F9343">
        <v>156.69999999999999</v>
      </c>
      <c r="G9343" t="str">
        <f>VLOOKUP(Table1_2[[#This Row],[Categories]],Sheet3!$A$1:$B$27,2,FALSE)</f>
        <v>Food &amp;Beverage</v>
      </c>
    </row>
    <row r="9344" spans="1:7" x14ac:dyDescent="0.3">
      <c r="A9344" t="s">
        <v>30</v>
      </c>
      <c r="B9344">
        <v>2022</v>
      </c>
      <c r="C9344" t="s">
        <v>46</v>
      </c>
      <c r="D9344" s="2">
        <v>44896</v>
      </c>
      <c r="E9344" t="s">
        <v>9</v>
      </c>
      <c r="F9344">
        <v>150.19999999999999</v>
      </c>
      <c r="G9344" t="str">
        <f>VLOOKUP(Table1_2[[#This Row],[Categories]],Sheet3!$A$1:$B$27,2,FALSE)</f>
        <v>Food &amp;Beverage</v>
      </c>
    </row>
    <row r="9345" spans="1:7" x14ac:dyDescent="0.3">
      <c r="A9345" t="s">
        <v>30</v>
      </c>
      <c r="B9345">
        <v>2022</v>
      </c>
      <c r="C9345" t="s">
        <v>46</v>
      </c>
      <c r="D9345" s="2">
        <v>44896</v>
      </c>
      <c r="E9345" t="s">
        <v>10</v>
      </c>
      <c r="F9345">
        <v>170.5</v>
      </c>
      <c r="G9345" t="str">
        <f>VLOOKUP(Table1_2[[#This Row],[Categories]],Sheet3!$A$1:$B$27,2,FALSE)</f>
        <v>Food &amp;Beverage</v>
      </c>
    </row>
    <row r="9346" spans="1:7" x14ac:dyDescent="0.3">
      <c r="A9346" t="s">
        <v>30</v>
      </c>
      <c r="B9346">
        <v>2022</v>
      </c>
      <c r="C9346" t="s">
        <v>46</v>
      </c>
      <c r="D9346" s="2">
        <v>44896</v>
      </c>
      <c r="E9346" t="s">
        <v>11</v>
      </c>
      <c r="F9346">
        <v>121.2</v>
      </c>
      <c r="G9346" t="str">
        <f>VLOOKUP(Table1_2[[#This Row],[Categories]],Sheet3!$A$1:$B$27,2,FALSE)</f>
        <v>Food &amp;Beverage</v>
      </c>
    </row>
    <row r="9347" spans="1:7" x14ac:dyDescent="0.3">
      <c r="A9347" t="s">
        <v>30</v>
      </c>
      <c r="B9347">
        <v>2022</v>
      </c>
      <c r="C9347" t="s">
        <v>46</v>
      </c>
      <c r="D9347" s="2">
        <v>44896</v>
      </c>
      <c r="E9347" t="s">
        <v>12</v>
      </c>
      <c r="F9347">
        <v>207.5</v>
      </c>
      <c r="G9347" t="str">
        <f>VLOOKUP(Table1_2[[#This Row],[Categories]],Sheet3!$A$1:$B$27,2,FALSE)</f>
        <v>Food &amp;Beverage</v>
      </c>
    </row>
    <row r="9348" spans="1:7" x14ac:dyDescent="0.3">
      <c r="A9348" t="s">
        <v>30</v>
      </c>
      <c r="B9348">
        <v>2022</v>
      </c>
      <c r="C9348" t="s">
        <v>46</v>
      </c>
      <c r="D9348" s="2">
        <v>44896</v>
      </c>
      <c r="E9348" t="s">
        <v>13</v>
      </c>
      <c r="F9348">
        <v>176.8</v>
      </c>
      <c r="G9348" t="str">
        <f>VLOOKUP(Table1_2[[#This Row],[Categories]],Sheet3!$A$1:$B$27,2,FALSE)</f>
        <v>Food &amp;Beverage</v>
      </c>
    </row>
    <row r="9349" spans="1:7" x14ac:dyDescent="0.3">
      <c r="A9349" t="s">
        <v>30</v>
      </c>
      <c r="B9349">
        <v>2022</v>
      </c>
      <c r="C9349" t="s">
        <v>46</v>
      </c>
      <c r="D9349" s="2">
        <v>44896</v>
      </c>
      <c r="E9349" t="s">
        <v>14</v>
      </c>
      <c r="F9349">
        <v>187.7</v>
      </c>
      <c r="G9349" t="str">
        <f>VLOOKUP(Table1_2[[#This Row],[Categories]],Sheet3!$A$1:$B$27,2,FALSE)</f>
        <v>Food &amp;Beverage</v>
      </c>
    </row>
    <row r="9350" spans="1:7" x14ac:dyDescent="0.3">
      <c r="A9350" t="s">
        <v>30</v>
      </c>
      <c r="B9350">
        <v>2022</v>
      </c>
      <c r="C9350" t="s">
        <v>46</v>
      </c>
      <c r="D9350" s="2">
        <v>44896</v>
      </c>
      <c r="E9350" t="s">
        <v>15</v>
      </c>
      <c r="F9350">
        <v>174.4</v>
      </c>
      <c r="G9350" t="str">
        <f>VLOOKUP(Table1_2[[#This Row],[Categories]],Sheet3!$A$1:$B$27,2,FALSE)</f>
        <v>Food &amp;Beverage</v>
      </c>
    </row>
    <row r="9351" spans="1:7" x14ac:dyDescent="0.3">
      <c r="A9351" t="s">
        <v>30</v>
      </c>
      <c r="B9351">
        <v>2022</v>
      </c>
      <c r="C9351" t="s">
        <v>46</v>
      </c>
      <c r="D9351" s="2">
        <v>44896</v>
      </c>
      <c r="E9351" t="s">
        <v>16</v>
      </c>
      <c r="F9351">
        <v>195.9</v>
      </c>
      <c r="G9351" t="str">
        <f>VLOOKUP(Table1_2[[#This Row],[Categories]],Sheet3!$A$1:$B$27,2,FALSE)</f>
        <v>Recreation and amusement</v>
      </c>
    </row>
    <row r="9352" spans="1:7" x14ac:dyDescent="0.3">
      <c r="A9352" t="s">
        <v>30</v>
      </c>
      <c r="B9352">
        <v>2022</v>
      </c>
      <c r="C9352" t="s">
        <v>46</v>
      </c>
      <c r="D9352" s="2">
        <v>44896</v>
      </c>
      <c r="E9352" t="s">
        <v>17</v>
      </c>
      <c r="F9352">
        <v>188.1</v>
      </c>
      <c r="G9352" t="str">
        <f>VLOOKUP(Table1_2[[#This Row],[Categories]],Sheet3!$A$1:$B$27,2,FALSE)</f>
        <v>Clothing and footwear</v>
      </c>
    </row>
    <row r="9353" spans="1:7" x14ac:dyDescent="0.3">
      <c r="A9353" t="s">
        <v>30</v>
      </c>
      <c r="B9353">
        <v>2022</v>
      </c>
      <c r="C9353" t="s">
        <v>46</v>
      </c>
      <c r="D9353" s="2">
        <v>44896</v>
      </c>
      <c r="E9353" t="s">
        <v>18</v>
      </c>
      <c r="F9353">
        <v>185.9</v>
      </c>
      <c r="G9353" t="str">
        <f>VLOOKUP(Table1_2[[#This Row],[Categories]],Sheet3!$A$1:$B$27,2,FALSE)</f>
        <v>Clothing and footwear</v>
      </c>
    </row>
    <row r="9354" spans="1:7" x14ac:dyDescent="0.3">
      <c r="A9354" t="s">
        <v>30</v>
      </c>
      <c r="B9354">
        <v>2022</v>
      </c>
      <c r="C9354" t="s">
        <v>46</v>
      </c>
      <c r="D9354" s="2">
        <v>44896</v>
      </c>
      <c r="E9354" t="s">
        <v>19</v>
      </c>
      <c r="F9354">
        <v>187.8</v>
      </c>
      <c r="G9354" t="str">
        <f>VLOOKUP(Table1_2[[#This Row],[Categories]],Sheet3!$A$1:$B$27,2,FALSE)</f>
        <v>Clothing and footwear</v>
      </c>
    </row>
    <row r="9355" spans="1:7" x14ac:dyDescent="0.3">
      <c r="A9355" t="s">
        <v>30</v>
      </c>
      <c r="B9355">
        <v>2022</v>
      </c>
      <c r="C9355" t="s">
        <v>46</v>
      </c>
      <c r="D9355" s="2">
        <v>44896</v>
      </c>
      <c r="E9355" t="s">
        <v>21</v>
      </c>
      <c r="F9355">
        <v>182.8</v>
      </c>
      <c r="G9355" t="str">
        <f>VLOOKUP(Table1_2[[#This Row],[Categories]],Sheet3!$A$1:$B$27,2,FALSE)</f>
        <v>Fuel and light</v>
      </c>
    </row>
    <row r="9356" spans="1:7" x14ac:dyDescent="0.3">
      <c r="A9356" t="s">
        <v>30</v>
      </c>
      <c r="B9356">
        <v>2022</v>
      </c>
      <c r="C9356" t="s">
        <v>46</v>
      </c>
      <c r="D9356" s="2">
        <v>44896</v>
      </c>
      <c r="E9356" t="s">
        <v>22</v>
      </c>
      <c r="F9356">
        <v>176.4</v>
      </c>
      <c r="G9356" t="str">
        <f>VLOOKUP(Table1_2[[#This Row],[Categories]],Sheet3!$A$1:$B$27,2,FALSE)</f>
        <v>Household Items</v>
      </c>
    </row>
    <row r="9357" spans="1:7" x14ac:dyDescent="0.3">
      <c r="A9357" t="s">
        <v>30</v>
      </c>
      <c r="B9357">
        <v>2022</v>
      </c>
      <c r="C9357" t="s">
        <v>46</v>
      </c>
      <c r="D9357" s="2">
        <v>44896</v>
      </c>
      <c r="E9357" t="s">
        <v>23</v>
      </c>
      <c r="F9357">
        <v>183.5</v>
      </c>
      <c r="G9357" t="str">
        <f>VLOOKUP(Table1_2[[#This Row],[Categories]],Sheet3!$A$1:$B$27,2,FALSE)</f>
        <v>Health</v>
      </c>
    </row>
    <row r="9358" spans="1:7" x14ac:dyDescent="0.3">
      <c r="A9358" t="s">
        <v>30</v>
      </c>
      <c r="B9358">
        <v>2022</v>
      </c>
      <c r="C9358" t="s">
        <v>46</v>
      </c>
      <c r="D9358" s="2">
        <v>44896</v>
      </c>
      <c r="E9358" t="s">
        <v>24</v>
      </c>
      <c r="F9358">
        <v>167.8</v>
      </c>
      <c r="G9358" t="str">
        <f>VLOOKUP(Table1_2[[#This Row],[Categories]],Sheet3!$A$1:$B$27,2,FALSE)</f>
        <v>Transport and communication</v>
      </c>
    </row>
    <row r="9359" spans="1:7" x14ac:dyDescent="0.3">
      <c r="A9359" t="s">
        <v>30</v>
      </c>
      <c r="B9359">
        <v>2022</v>
      </c>
      <c r="C9359" t="s">
        <v>46</v>
      </c>
      <c r="D9359" s="2">
        <v>44896</v>
      </c>
      <c r="E9359" t="s">
        <v>25</v>
      </c>
      <c r="F9359">
        <v>171.2</v>
      </c>
      <c r="G9359" t="str">
        <f>VLOOKUP(Table1_2[[#This Row],[Categories]],Sheet3!$A$1:$B$27,2,FALSE)</f>
        <v>Recreation and amusement</v>
      </c>
    </row>
    <row r="9360" spans="1:7" x14ac:dyDescent="0.3">
      <c r="A9360" t="s">
        <v>30</v>
      </c>
      <c r="B9360">
        <v>2022</v>
      </c>
      <c r="C9360" t="s">
        <v>46</v>
      </c>
      <c r="D9360" s="2">
        <v>44896</v>
      </c>
      <c r="E9360" t="s">
        <v>26</v>
      </c>
      <c r="F9360">
        <v>177.3</v>
      </c>
      <c r="G9360" t="str">
        <f>VLOOKUP(Table1_2[[#This Row],[Categories]],Sheet3!$A$1:$B$27,2,FALSE)</f>
        <v>Education</v>
      </c>
    </row>
    <row r="9361" spans="1:7" x14ac:dyDescent="0.3">
      <c r="A9361" t="s">
        <v>30</v>
      </c>
      <c r="B9361">
        <v>2022</v>
      </c>
      <c r="C9361" t="s">
        <v>46</v>
      </c>
      <c r="D9361" s="2">
        <v>44896</v>
      </c>
      <c r="E9361" t="s">
        <v>27</v>
      </c>
      <c r="F9361">
        <v>175.7</v>
      </c>
      <c r="G9361" t="str">
        <f>VLOOKUP(Table1_2[[#This Row],[Categories]],Sheet3!$A$1:$B$27,2,FALSE)</f>
        <v>Household Items</v>
      </c>
    </row>
    <row r="9362" spans="1:7" x14ac:dyDescent="0.3">
      <c r="A9362" t="s">
        <v>30</v>
      </c>
      <c r="B9362">
        <v>2022</v>
      </c>
      <c r="C9362" t="s">
        <v>46</v>
      </c>
      <c r="D9362" s="2">
        <v>44896</v>
      </c>
      <c r="E9362" t="s">
        <v>28</v>
      </c>
      <c r="F9362">
        <v>175.5</v>
      </c>
      <c r="G9362" t="str">
        <f>VLOOKUP(Table1_2[[#This Row],[Categories]],Sheet3!$A$1:$B$27,2,FALSE)</f>
        <v>Miscellaneous</v>
      </c>
    </row>
    <row r="9363" spans="1:7" x14ac:dyDescent="0.3">
      <c r="A9363" t="s">
        <v>30</v>
      </c>
      <c r="B9363">
        <v>2022</v>
      </c>
      <c r="C9363" t="s">
        <v>46</v>
      </c>
      <c r="D9363" s="2">
        <v>44896</v>
      </c>
      <c r="E9363" t="s">
        <v>29</v>
      </c>
      <c r="F9363">
        <v>177.1</v>
      </c>
      <c r="G9363" t="str">
        <f>VLOOKUP(Table1_2[[#This Row],[Categories]],Sheet3!$A$1:$B$27,2,FALSE)</f>
        <v>General index</v>
      </c>
    </row>
    <row r="9364" spans="1:7" x14ac:dyDescent="0.3">
      <c r="A9364" t="s">
        <v>33</v>
      </c>
      <c r="B9364">
        <v>2022</v>
      </c>
      <c r="C9364" t="s">
        <v>46</v>
      </c>
      <c r="D9364" s="2">
        <v>44896</v>
      </c>
      <c r="E9364" t="s">
        <v>3</v>
      </c>
      <c r="F9364">
        <v>170.2</v>
      </c>
      <c r="G9364" t="str">
        <f>VLOOKUP(Table1_2[[#This Row],[Categories]],Sheet3!$A$1:$B$27,2,FALSE)</f>
        <v>Food &amp;Beverage</v>
      </c>
    </row>
    <row r="9365" spans="1:7" x14ac:dyDescent="0.3">
      <c r="A9365" t="s">
        <v>33</v>
      </c>
      <c r="B9365">
        <v>2022</v>
      </c>
      <c r="C9365" t="s">
        <v>46</v>
      </c>
      <c r="D9365" s="2">
        <v>44896</v>
      </c>
      <c r="E9365" t="s">
        <v>4</v>
      </c>
      <c r="F9365">
        <v>212.9</v>
      </c>
      <c r="G9365" t="str">
        <f>VLOOKUP(Table1_2[[#This Row],[Categories]],Sheet3!$A$1:$B$27,2,FALSE)</f>
        <v>Food &amp;Beverage</v>
      </c>
    </row>
    <row r="9366" spans="1:7" x14ac:dyDescent="0.3">
      <c r="A9366" t="s">
        <v>33</v>
      </c>
      <c r="B9366">
        <v>2022</v>
      </c>
      <c r="C9366" t="s">
        <v>46</v>
      </c>
      <c r="D9366" s="2">
        <v>44896</v>
      </c>
      <c r="E9366" t="s">
        <v>5</v>
      </c>
      <c r="F9366">
        <v>191.9</v>
      </c>
      <c r="G9366" t="str">
        <f>VLOOKUP(Table1_2[[#This Row],[Categories]],Sheet3!$A$1:$B$27,2,FALSE)</f>
        <v>Food &amp;Beverage</v>
      </c>
    </row>
    <row r="9367" spans="1:7" x14ac:dyDescent="0.3">
      <c r="A9367" t="s">
        <v>33</v>
      </c>
      <c r="B9367">
        <v>2022</v>
      </c>
      <c r="C9367" t="s">
        <v>46</v>
      </c>
      <c r="D9367" s="2">
        <v>44896</v>
      </c>
      <c r="E9367" t="s">
        <v>6</v>
      </c>
      <c r="F9367">
        <v>173.9</v>
      </c>
      <c r="G9367" t="str">
        <f>VLOOKUP(Table1_2[[#This Row],[Categories]],Sheet3!$A$1:$B$27,2,FALSE)</f>
        <v>Food &amp;Beverage</v>
      </c>
    </row>
    <row r="9368" spans="1:7" x14ac:dyDescent="0.3">
      <c r="A9368" t="s">
        <v>33</v>
      </c>
      <c r="B9368">
        <v>2022</v>
      </c>
      <c r="C9368" t="s">
        <v>46</v>
      </c>
      <c r="D9368" s="2">
        <v>44896</v>
      </c>
      <c r="E9368" t="s">
        <v>7</v>
      </c>
      <c r="F9368">
        <v>179.1</v>
      </c>
      <c r="G9368" t="str">
        <f>VLOOKUP(Table1_2[[#This Row],[Categories]],Sheet3!$A$1:$B$27,2,FALSE)</f>
        <v>Food &amp;Beverage</v>
      </c>
    </row>
    <row r="9369" spans="1:7" x14ac:dyDescent="0.3">
      <c r="A9369" t="s">
        <v>33</v>
      </c>
      <c r="B9369">
        <v>2022</v>
      </c>
      <c r="C9369" t="s">
        <v>46</v>
      </c>
      <c r="D9369" s="2">
        <v>44896</v>
      </c>
      <c r="E9369" t="s">
        <v>8</v>
      </c>
      <c r="F9369">
        <v>159.5</v>
      </c>
      <c r="G9369" t="str">
        <f>VLOOKUP(Table1_2[[#This Row],[Categories]],Sheet3!$A$1:$B$27,2,FALSE)</f>
        <v>Food &amp;Beverage</v>
      </c>
    </row>
    <row r="9370" spans="1:7" x14ac:dyDescent="0.3">
      <c r="A9370" t="s">
        <v>33</v>
      </c>
      <c r="B9370">
        <v>2022</v>
      </c>
      <c r="C9370" t="s">
        <v>46</v>
      </c>
      <c r="D9370" s="2">
        <v>44896</v>
      </c>
      <c r="E9370" t="s">
        <v>9</v>
      </c>
      <c r="F9370">
        <v>178.7</v>
      </c>
      <c r="G9370" t="str">
        <f>VLOOKUP(Table1_2[[#This Row],[Categories]],Sheet3!$A$1:$B$27,2,FALSE)</f>
        <v>Food &amp;Beverage</v>
      </c>
    </row>
    <row r="9371" spans="1:7" x14ac:dyDescent="0.3">
      <c r="A9371" t="s">
        <v>33</v>
      </c>
      <c r="B9371">
        <v>2022</v>
      </c>
      <c r="C9371" t="s">
        <v>46</v>
      </c>
      <c r="D9371" s="2">
        <v>44896</v>
      </c>
      <c r="E9371" t="s">
        <v>10</v>
      </c>
      <c r="F9371">
        <v>171.3</v>
      </c>
      <c r="G9371" t="str">
        <f>VLOOKUP(Table1_2[[#This Row],[Categories]],Sheet3!$A$1:$B$27,2,FALSE)</f>
        <v>Food &amp;Beverage</v>
      </c>
    </row>
    <row r="9372" spans="1:7" x14ac:dyDescent="0.3">
      <c r="A9372" t="s">
        <v>33</v>
      </c>
      <c r="B9372">
        <v>2022</v>
      </c>
      <c r="C9372" t="s">
        <v>46</v>
      </c>
      <c r="D9372" s="2">
        <v>44896</v>
      </c>
      <c r="E9372" t="s">
        <v>11</v>
      </c>
      <c r="F9372">
        <v>123.1</v>
      </c>
      <c r="G9372" t="str">
        <f>VLOOKUP(Table1_2[[#This Row],[Categories]],Sheet3!$A$1:$B$27,2,FALSE)</f>
        <v>Food &amp;Beverage</v>
      </c>
    </row>
    <row r="9373" spans="1:7" x14ac:dyDescent="0.3">
      <c r="A9373" t="s">
        <v>33</v>
      </c>
      <c r="B9373">
        <v>2022</v>
      </c>
      <c r="C9373" t="s">
        <v>46</v>
      </c>
      <c r="D9373" s="2">
        <v>44896</v>
      </c>
      <c r="E9373" t="s">
        <v>12</v>
      </c>
      <c r="F9373">
        <v>200.5</v>
      </c>
      <c r="G9373" t="str">
        <f>VLOOKUP(Table1_2[[#This Row],[Categories]],Sheet3!$A$1:$B$27,2,FALSE)</f>
        <v>Food &amp;Beverage</v>
      </c>
    </row>
    <row r="9374" spans="1:7" x14ac:dyDescent="0.3">
      <c r="A9374" t="s">
        <v>33</v>
      </c>
      <c r="B9374">
        <v>2022</v>
      </c>
      <c r="C9374" t="s">
        <v>46</v>
      </c>
      <c r="D9374" s="2">
        <v>44896</v>
      </c>
      <c r="E9374" t="s">
        <v>13</v>
      </c>
      <c r="F9374">
        <v>162.80000000000001</v>
      </c>
      <c r="G9374" t="str">
        <f>VLOOKUP(Table1_2[[#This Row],[Categories]],Sheet3!$A$1:$B$27,2,FALSE)</f>
        <v>Food &amp;Beverage</v>
      </c>
    </row>
    <row r="9375" spans="1:7" x14ac:dyDescent="0.3">
      <c r="A9375" t="s">
        <v>33</v>
      </c>
      <c r="B9375">
        <v>2022</v>
      </c>
      <c r="C9375" t="s">
        <v>46</v>
      </c>
      <c r="D9375" s="2">
        <v>44896</v>
      </c>
      <c r="E9375" t="s">
        <v>14</v>
      </c>
      <c r="F9375">
        <v>193.3</v>
      </c>
      <c r="G9375" t="str">
        <f>VLOOKUP(Table1_2[[#This Row],[Categories]],Sheet3!$A$1:$B$27,2,FALSE)</f>
        <v>Food &amp;Beverage</v>
      </c>
    </row>
    <row r="9376" spans="1:7" x14ac:dyDescent="0.3">
      <c r="A9376" t="s">
        <v>33</v>
      </c>
      <c r="B9376">
        <v>2022</v>
      </c>
      <c r="C9376" t="s">
        <v>46</v>
      </c>
      <c r="D9376" s="2">
        <v>44896</v>
      </c>
      <c r="E9376" t="s">
        <v>15</v>
      </c>
      <c r="F9376">
        <v>178.6</v>
      </c>
      <c r="G9376" t="str">
        <f>VLOOKUP(Table1_2[[#This Row],[Categories]],Sheet3!$A$1:$B$27,2,FALSE)</f>
        <v>Food &amp;Beverage</v>
      </c>
    </row>
    <row r="9377" spans="1:7" x14ac:dyDescent="0.3">
      <c r="A9377" t="s">
        <v>33</v>
      </c>
      <c r="B9377">
        <v>2022</v>
      </c>
      <c r="C9377" t="s">
        <v>46</v>
      </c>
      <c r="D9377" s="2">
        <v>44896</v>
      </c>
      <c r="E9377" t="s">
        <v>16</v>
      </c>
      <c r="F9377">
        <v>201.1</v>
      </c>
      <c r="G9377" t="str">
        <f>VLOOKUP(Table1_2[[#This Row],[Categories]],Sheet3!$A$1:$B$27,2,FALSE)</f>
        <v>Recreation and amusement</v>
      </c>
    </row>
    <row r="9378" spans="1:7" x14ac:dyDescent="0.3">
      <c r="A9378" t="s">
        <v>33</v>
      </c>
      <c r="B9378">
        <v>2022</v>
      </c>
      <c r="C9378" t="s">
        <v>46</v>
      </c>
      <c r="D9378" s="2">
        <v>44896</v>
      </c>
      <c r="E9378" t="s">
        <v>17</v>
      </c>
      <c r="F9378">
        <v>177.7</v>
      </c>
      <c r="G9378" t="str">
        <f>VLOOKUP(Table1_2[[#This Row],[Categories]],Sheet3!$A$1:$B$27,2,FALSE)</f>
        <v>Clothing and footwear</v>
      </c>
    </row>
    <row r="9379" spans="1:7" x14ac:dyDescent="0.3">
      <c r="A9379" t="s">
        <v>33</v>
      </c>
      <c r="B9379">
        <v>2022</v>
      </c>
      <c r="C9379" t="s">
        <v>46</v>
      </c>
      <c r="D9379" s="2">
        <v>44896</v>
      </c>
      <c r="E9379" t="s">
        <v>18</v>
      </c>
      <c r="F9379">
        <v>164.5</v>
      </c>
      <c r="G9379" t="str">
        <f>VLOOKUP(Table1_2[[#This Row],[Categories]],Sheet3!$A$1:$B$27,2,FALSE)</f>
        <v>Clothing and footwear</v>
      </c>
    </row>
    <row r="9380" spans="1:7" x14ac:dyDescent="0.3">
      <c r="A9380" t="s">
        <v>33</v>
      </c>
      <c r="B9380">
        <v>2022</v>
      </c>
      <c r="C9380" t="s">
        <v>46</v>
      </c>
      <c r="D9380" s="2">
        <v>44896</v>
      </c>
      <c r="E9380" t="s">
        <v>19</v>
      </c>
      <c r="F9380">
        <v>175.7</v>
      </c>
      <c r="G9380" t="str">
        <f>VLOOKUP(Table1_2[[#This Row],[Categories]],Sheet3!$A$1:$B$27,2,FALSE)</f>
        <v>Clothing and footwear</v>
      </c>
    </row>
    <row r="9381" spans="1:7" x14ac:dyDescent="0.3">
      <c r="A9381" t="s">
        <v>33</v>
      </c>
      <c r="B9381">
        <v>2022</v>
      </c>
      <c r="C9381" t="s">
        <v>46</v>
      </c>
      <c r="D9381" s="2">
        <v>44896</v>
      </c>
      <c r="E9381" t="s">
        <v>20</v>
      </c>
      <c r="F9381">
        <v>170.7</v>
      </c>
      <c r="G9381" t="str">
        <f>VLOOKUP(Table1_2[[#This Row],[Categories]],Sheet3!$A$1:$B$27,2,FALSE)</f>
        <v>Housing</v>
      </c>
    </row>
    <row r="9382" spans="1:7" x14ac:dyDescent="0.3">
      <c r="A9382" t="s">
        <v>33</v>
      </c>
      <c r="B9382">
        <v>2022</v>
      </c>
      <c r="C9382" t="s">
        <v>46</v>
      </c>
      <c r="D9382" s="2">
        <v>44896</v>
      </c>
      <c r="E9382" t="s">
        <v>21</v>
      </c>
      <c r="F9382">
        <v>180.6</v>
      </c>
      <c r="G9382" t="str">
        <f>VLOOKUP(Table1_2[[#This Row],[Categories]],Sheet3!$A$1:$B$27,2,FALSE)</f>
        <v>Fuel and light</v>
      </c>
    </row>
    <row r="9383" spans="1:7" x14ac:dyDescent="0.3">
      <c r="A9383" t="s">
        <v>33</v>
      </c>
      <c r="B9383">
        <v>2022</v>
      </c>
      <c r="C9383" t="s">
        <v>46</v>
      </c>
      <c r="D9383" s="2">
        <v>44896</v>
      </c>
      <c r="E9383" t="s">
        <v>22</v>
      </c>
      <c r="F9383">
        <v>167.3</v>
      </c>
      <c r="G9383" t="str">
        <f>VLOOKUP(Table1_2[[#This Row],[Categories]],Sheet3!$A$1:$B$27,2,FALSE)</f>
        <v>Household Items</v>
      </c>
    </row>
    <row r="9384" spans="1:7" x14ac:dyDescent="0.3">
      <c r="A9384" t="s">
        <v>33</v>
      </c>
      <c r="B9384">
        <v>2022</v>
      </c>
      <c r="C9384" t="s">
        <v>46</v>
      </c>
      <c r="D9384" s="2">
        <v>44896</v>
      </c>
      <c r="E9384" t="s">
        <v>23</v>
      </c>
      <c r="F9384">
        <v>177.2</v>
      </c>
      <c r="G9384" t="str">
        <f>VLOOKUP(Table1_2[[#This Row],[Categories]],Sheet3!$A$1:$B$27,2,FALSE)</f>
        <v>Health</v>
      </c>
    </row>
    <row r="9385" spans="1:7" x14ac:dyDescent="0.3">
      <c r="A9385" t="s">
        <v>33</v>
      </c>
      <c r="B9385">
        <v>2022</v>
      </c>
      <c r="C9385" t="s">
        <v>46</v>
      </c>
      <c r="D9385" s="2">
        <v>44896</v>
      </c>
      <c r="E9385" t="s">
        <v>24</v>
      </c>
      <c r="F9385">
        <v>159.4</v>
      </c>
      <c r="G9385" t="str">
        <f>VLOOKUP(Table1_2[[#This Row],[Categories]],Sheet3!$A$1:$B$27,2,FALSE)</f>
        <v>Transport and communication</v>
      </c>
    </row>
    <row r="9386" spans="1:7" x14ac:dyDescent="0.3">
      <c r="A9386" t="s">
        <v>33</v>
      </c>
      <c r="B9386">
        <v>2022</v>
      </c>
      <c r="C9386" t="s">
        <v>46</v>
      </c>
      <c r="D9386" s="2">
        <v>44896</v>
      </c>
      <c r="E9386" t="s">
        <v>25</v>
      </c>
      <c r="F9386">
        <v>167.1</v>
      </c>
      <c r="G9386" t="str">
        <f>VLOOKUP(Table1_2[[#This Row],[Categories]],Sheet3!$A$1:$B$27,2,FALSE)</f>
        <v>Recreation and amusement</v>
      </c>
    </row>
    <row r="9387" spans="1:7" x14ac:dyDescent="0.3">
      <c r="A9387" t="s">
        <v>33</v>
      </c>
      <c r="B9387">
        <v>2022</v>
      </c>
      <c r="C9387" t="s">
        <v>46</v>
      </c>
      <c r="D9387" s="2">
        <v>44896</v>
      </c>
      <c r="E9387" t="s">
        <v>26</v>
      </c>
      <c r="F9387">
        <v>171.8</v>
      </c>
      <c r="G9387" t="str">
        <f>VLOOKUP(Table1_2[[#This Row],[Categories]],Sheet3!$A$1:$B$27,2,FALSE)</f>
        <v>Education</v>
      </c>
    </row>
    <row r="9388" spans="1:7" x14ac:dyDescent="0.3">
      <c r="A9388" t="s">
        <v>33</v>
      </c>
      <c r="B9388">
        <v>2022</v>
      </c>
      <c r="C9388" t="s">
        <v>46</v>
      </c>
      <c r="D9388" s="2">
        <v>44896</v>
      </c>
      <c r="E9388" t="s">
        <v>27</v>
      </c>
      <c r="F9388">
        <v>176</v>
      </c>
      <c r="G9388" t="str">
        <f>VLOOKUP(Table1_2[[#This Row],[Categories]],Sheet3!$A$1:$B$27,2,FALSE)</f>
        <v>Household Items</v>
      </c>
    </row>
    <row r="9389" spans="1:7" x14ac:dyDescent="0.3">
      <c r="A9389" t="s">
        <v>33</v>
      </c>
      <c r="B9389">
        <v>2022</v>
      </c>
      <c r="C9389" t="s">
        <v>46</v>
      </c>
      <c r="D9389" s="2">
        <v>44896</v>
      </c>
      <c r="E9389" t="s">
        <v>28</v>
      </c>
      <c r="F9389">
        <v>168.2</v>
      </c>
      <c r="G9389" t="str">
        <f>VLOOKUP(Table1_2[[#This Row],[Categories]],Sheet3!$A$1:$B$27,2,FALSE)</f>
        <v>Miscellaneous</v>
      </c>
    </row>
    <row r="9390" spans="1:7" x14ac:dyDescent="0.3">
      <c r="A9390" t="s">
        <v>33</v>
      </c>
      <c r="B9390">
        <v>2022</v>
      </c>
      <c r="C9390" t="s">
        <v>46</v>
      </c>
      <c r="D9390" s="2">
        <v>44896</v>
      </c>
      <c r="E9390" t="s">
        <v>29</v>
      </c>
      <c r="F9390">
        <v>174.1</v>
      </c>
      <c r="G9390" t="str">
        <f>VLOOKUP(Table1_2[[#This Row],[Categories]],Sheet3!$A$1:$B$27,2,FALSE)</f>
        <v>General index</v>
      </c>
    </row>
    <row r="9391" spans="1:7" x14ac:dyDescent="0.3">
      <c r="A9391" t="s">
        <v>34</v>
      </c>
      <c r="B9391">
        <v>2022</v>
      </c>
      <c r="C9391" t="s">
        <v>46</v>
      </c>
      <c r="D9391" s="2">
        <v>44896</v>
      </c>
      <c r="E9391" t="s">
        <v>3</v>
      </c>
      <c r="F9391">
        <v>169.2</v>
      </c>
      <c r="G9391" t="str">
        <f>VLOOKUP(Table1_2[[#This Row],[Categories]],Sheet3!$A$1:$B$27,2,FALSE)</f>
        <v>Food &amp;Beverage</v>
      </c>
    </row>
    <row r="9392" spans="1:7" x14ac:dyDescent="0.3">
      <c r="A9392" t="s">
        <v>34</v>
      </c>
      <c r="B9392">
        <v>2022</v>
      </c>
      <c r="C9392" t="s">
        <v>46</v>
      </c>
      <c r="D9392" s="2">
        <v>44896</v>
      </c>
      <c r="E9392" t="s">
        <v>4</v>
      </c>
      <c r="F9392">
        <v>209</v>
      </c>
      <c r="G9392" t="str">
        <f>VLOOKUP(Table1_2[[#This Row],[Categories]],Sheet3!$A$1:$B$27,2,FALSE)</f>
        <v>Food &amp;Beverage</v>
      </c>
    </row>
    <row r="9393" spans="1:7" x14ac:dyDescent="0.3">
      <c r="A9393" t="s">
        <v>34</v>
      </c>
      <c r="B9393">
        <v>2022</v>
      </c>
      <c r="C9393" t="s">
        <v>46</v>
      </c>
      <c r="D9393" s="2">
        <v>44896</v>
      </c>
      <c r="E9393" t="s">
        <v>5</v>
      </c>
      <c r="F9393">
        <v>190.2</v>
      </c>
      <c r="G9393" t="str">
        <f>VLOOKUP(Table1_2[[#This Row],[Categories]],Sheet3!$A$1:$B$27,2,FALSE)</f>
        <v>Food &amp;Beverage</v>
      </c>
    </row>
    <row r="9394" spans="1:7" x14ac:dyDescent="0.3">
      <c r="A9394" t="s">
        <v>34</v>
      </c>
      <c r="B9394">
        <v>2022</v>
      </c>
      <c r="C9394" t="s">
        <v>46</v>
      </c>
      <c r="D9394" s="2">
        <v>44896</v>
      </c>
      <c r="E9394" t="s">
        <v>6</v>
      </c>
      <c r="F9394">
        <v>173.6</v>
      </c>
      <c r="G9394" t="str">
        <f>VLOOKUP(Table1_2[[#This Row],[Categories]],Sheet3!$A$1:$B$27,2,FALSE)</f>
        <v>Food &amp;Beverage</v>
      </c>
    </row>
    <row r="9395" spans="1:7" x14ac:dyDescent="0.3">
      <c r="A9395" t="s">
        <v>34</v>
      </c>
      <c r="B9395">
        <v>2022</v>
      </c>
      <c r="C9395" t="s">
        <v>46</v>
      </c>
      <c r="D9395" s="2">
        <v>44896</v>
      </c>
      <c r="E9395" t="s">
        <v>7</v>
      </c>
      <c r="F9395">
        <v>188.5</v>
      </c>
      <c r="G9395" t="str">
        <f>VLOOKUP(Table1_2[[#This Row],[Categories]],Sheet3!$A$1:$B$27,2,FALSE)</f>
        <v>Food &amp;Beverage</v>
      </c>
    </row>
    <row r="9396" spans="1:7" x14ac:dyDescent="0.3">
      <c r="A9396" t="s">
        <v>34</v>
      </c>
      <c r="B9396">
        <v>2022</v>
      </c>
      <c r="C9396" t="s">
        <v>46</v>
      </c>
      <c r="D9396" s="2">
        <v>44896</v>
      </c>
      <c r="E9396" t="s">
        <v>8</v>
      </c>
      <c r="F9396">
        <v>158</v>
      </c>
      <c r="G9396" t="str">
        <f>VLOOKUP(Table1_2[[#This Row],[Categories]],Sheet3!$A$1:$B$27,2,FALSE)</f>
        <v>Food &amp;Beverage</v>
      </c>
    </row>
    <row r="9397" spans="1:7" x14ac:dyDescent="0.3">
      <c r="A9397" t="s">
        <v>34</v>
      </c>
      <c r="B9397">
        <v>2022</v>
      </c>
      <c r="C9397" t="s">
        <v>46</v>
      </c>
      <c r="D9397" s="2">
        <v>44896</v>
      </c>
      <c r="E9397" t="s">
        <v>9</v>
      </c>
      <c r="F9397">
        <v>159.9</v>
      </c>
      <c r="G9397" t="str">
        <f>VLOOKUP(Table1_2[[#This Row],[Categories]],Sheet3!$A$1:$B$27,2,FALSE)</f>
        <v>Food &amp;Beverage</v>
      </c>
    </row>
    <row r="9398" spans="1:7" x14ac:dyDescent="0.3">
      <c r="A9398" t="s">
        <v>34</v>
      </c>
      <c r="B9398">
        <v>2022</v>
      </c>
      <c r="C9398" t="s">
        <v>46</v>
      </c>
      <c r="D9398" s="2">
        <v>44896</v>
      </c>
      <c r="E9398" t="s">
        <v>10</v>
      </c>
      <c r="F9398">
        <v>170.8</v>
      </c>
      <c r="G9398" t="str">
        <f>VLOOKUP(Table1_2[[#This Row],[Categories]],Sheet3!$A$1:$B$27,2,FALSE)</f>
        <v>Food &amp;Beverage</v>
      </c>
    </row>
    <row r="9399" spans="1:7" x14ac:dyDescent="0.3">
      <c r="A9399" t="s">
        <v>34</v>
      </c>
      <c r="B9399">
        <v>2022</v>
      </c>
      <c r="C9399" t="s">
        <v>46</v>
      </c>
      <c r="D9399" s="2">
        <v>44896</v>
      </c>
      <c r="E9399" t="s">
        <v>11</v>
      </c>
      <c r="F9399">
        <v>121.8</v>
      </c>
      <c r="G9399" t="str">
        <f>VLOOKUP(Table1_2[[#This Row],[Categories]],Sheet3!$A$1:$B$27,2,FALSE)</f>
        <v>Food &amp;Beverage</v>
      </c>
    </row>
    <row r="9400" spans="1:7" x14ac:dyDescent="0.3">
      <c r="A9400" t="s">
        <v>34</v>
      </c>
      <c r="B9400">
        <v>2022</v>
      </c>
      <c r="C9400" t="s">
        <v>46</v>
      </c>
      <c r="D9400" s="2">
        <v>44896</v>
      </c>
      <c r="E9400" t="s">
        <v>12</v>
      </c>
      <c r="F9400">
        <v>205.2</v>
      </c>
      <c r="G9400" t="str">
        <f>VLOOKUP(Table1_2[[#This Row],[Categories]],Sheet3!$A$1:$B$27,2,FALSE)</f>
        <v>Food &amp;Beverage</v>
      </c>
    </row>
    <row r="9401" spans="1:7" x14ac:dyDescent="0.3">
      <c r="A9401" t="s">
        <v>34</v>
      </c>
      <c r="B9401">
        <v>2022</v>
      </c>
      <c r="C9401" t="s">
        <v>46</v>
      </c>
      <c r="D9401" s="2">
        <v>44896</v>
      </c>
      <c r="E9401" t="s">
        <v>13</v>
      </c>
      <c r="F9401">
        <v>171</v>
      </c>
      <c r="G9401" t="str">
        <f>VLOOKUP(Table1_2[[#This Row],[Categories]],Sheet3!$A$1:$B$27,2,FALSE)</f>
        <v>Food &amp;Beverage</v>
      </c>
    </row>
    <row r="9402" spans="1:7" x14ac:dyDescent="0.3">
      <c r="A9402" t="s">
        <v>34</v>
      </c>
      <c r="B9402">
        <v>2022</v>
      </c>
      <c r="C9402" t="s">
        <v>46</v>
      </c>
      <c r="D9402" s="2">
        <v>44896</v>
      </c>
      <c r="E9402" t="s">
        <v>14</v>
      </c>
      <c r="F9402">
        <v>190.3</v>
      </c>
      <c r="G9402" t="str">
        <f>VLOOKUP(Table1_2[[#This Row],[Categories]],Sheet3!$A$1:$B$27,2,FALSE)</f>
        <v>Food &amp;Beverage</v>
      </c>
    </row>
    <row r="9403" spans="1:7" x14ac:dyDescent="0.3">
      <c r="A9403" t="s">
        <v>34</v>
      </c>
      <c r="B9403">
        <v>2022</v>
      </c>
      <c r="C9403" t="s">
        <v>46</v>
      </c>
      <c r="D9403" s="2">
        <v>44896</v>
      </c>
      <c r="E9403" t="s">
        <v>15</v>
      </c>
      <c r="F9403">
        <v>175.9</v>
      </c>
      <c r="G9403" t="str">
        <f>VLOOKUP(Table1_2[[#This Row],[Categories]],Sheet3!$A$1:$B$27,2,FALSE)</f>
        <v>Food &amp;Beverage</v>
      </c>
    </row>
    <row r="9404" spans="1:7" x14ac:dyDescent="0.3">
      <c r="A9404" t="s">
        <v>34</v>
      </c>
      <c r="B9404">
        <v>2022</v>
      </c>
      <c r="C9404" t="s">
        <v>46</v>
      </c>
      <c r="D9404" s="2">
        <v>44896</v>
      </c>
      <c r="E9404" t="s">
        <v>16</v>
      </c>
      <c r="F9404">
        <v>197.3</v>
      </c>
      <c r="G9404" t="str">
        <f>VLOOKUP(Table1_2[[#This Row],[Categories]],Sheet3!$A$1:$B$27,2,FALSE)</f>
        <v>Recreation and amusement</v>
      </c>
    </row>
    <row r="9405" spans="1:7" x14ac:dyDescent="0.3">
      <c r="A9405" t="s">
        <v>34</v>
      </c>
      <c r="B9405">
        <v>2022</v>
      </c>
      <c r="C9405" t="s">
        <v>46</v>
      </c>
      <c r="D9405" s="2">
        <v>44896</v>
      </c>
      <c r="E9405" t="s">
        <v>17</v>
      </c>
      <c r="F9405">
        <v>184</v>
      </c>
      <c r="G9405" t="str">
        <f>VLOOKUP(Table1_2[[#This Row],[Categories]],Sheet3!$A$1:$B$27,2,FALSE)</f>
        <v>Clothing and footwear</v>
      </c>
    </row>
    <row r="9406" spans="1:7" x14ac:dyDescent="0.3">
      <c r="A9406" t="s">
        <v>34</v>
      </c>
      <c r="B9406">
        <v>2022</v>
      </c>
      <c r="C9406" t="s">
        <v>46</v>
      </c>
      <c r="D9406" s="2">
        <v>44896</v>
      </c>
      <c r="E9406" t="s">
        <v>18</v>
      </c>
      <c r="F9406">
        <v>177</v>
      </c>
      <c r="G9406" t="str">
        <f>VLOOKUP(Table1_2[[#This Row],[Categories]],Sheet3!$A$1:$B$27,2,FALSE)</f>
        <v>Clothing and footwear</v>
      </c>
    </row>
    <row r="9407" spans="1:7" x14ac:dyDescent="0.3">
      <c r="A9407" t="s">
        <v>34</v>
      </c>
      <c r="B9407">
        <v>2022</v>
      </c>
      <c r="C9407" t="s">
        <v>46</v>
      </c>
      <c r="D9407" s="2">
        <v>44896</v>
      </c>
      <c r="E9407" t="s">
        <v>19</v>
      </c>
      <c r="F9407">
        <v>183</v>
      </c>
      <c r="G9407" t="str">
        <f>VLOOKUP(Table1_2[[#This Row],[Categories]],Sheet3!$A$1:$B$27,2,FALSE)</f>
        <v>Clothing and footwear</v>
      </c>
    </row>
    <row r="9408" spans="1:7" x14ac:dyDescent="0.3">
      <c r="A9408" t="s">
        <v>34</v>
      </c>
      <c r="B9408">
        <v>2022</v>
      </c>
      <c r="C9408" t="s">
        <v>46</v>
      </c>
      <c r="D9408" s="2">
        <v>44896</v>
      </c>
      <c r="E9408" t="s">
        <v>20</v>
      </c>
      <c r="F9408">
        <v>170.7</v>
      </c>
      <c r="G9408" t="str">
        <f>VLOOKUP(Table1_2[[#This Row],[Categories]],Sheet3!$A$1:$B$27,2,FALSE)</f>
        <v>Housing</v>
      </c>
    </row>
    <row r="9409" spans="1:7" x14ac:dyDescent="0.3">
      <c r="A9409" t="s">
        <v>34</v>
      </c>
      <c r="B9409">
        <v>2022</v>
      </c>
      <c r="C9409" t="s">
        <v>46</v>
      </c>
      <c r="D9409" s="2">
        <v>44896</v>
      </c>
      <c r="E9409" t="s">
        <v>21</v>
      </c>
      <c r="F9409">
        <v>182</v>
      </c>
      <c r="G9409" t="str">
        <f>VLOOKUP(Table1_2[[#This Row],[Categories]],Sheet3!$A$1:$B$27,2,FALSE)</f>
        <v>Fuel and light</v>
      </c>
    </row>
    <row r="9410" spans="1:7" x14ac:dyDescent="0.3">
      <c r="A9410" t="s">
        <v>34</v>
      </c>
      <c r="B9410">
        <v>2022</v>
      </c>
      <c r="C9410" t="s">
        <v>46</v>
      </c>
      <c r="D9410" s="2">
        <v>44896</v>
      </c>
      <c r="E9410" t="s">
        <v>22</v>
      </c>
      <c r="F9410">
        <v>172.1</v>
      </c>
      <c r="G9410" t="str">
        <f>VLOOKUP(Table1_2[[#This Row],[Categories]],Sheet3!$A$1:$B$27,2,FALSE)</f>
        <v>Household Items</v>
      </c>
    </row>
    <row r="9411" spans="1:7" x14ac:dyDescent="0.3">
      <c r="A9411" t="s">
        <v>34</v>
      </c>
      <c r="B9411">
        <v>2022</v>
      </c>
      <c r="C9411" t="s">
        <v>46</v>
      </c>
      <c r="D9411" s="2">
        <v>44896</v>
      </c>
      <c r="E9411" t="s">
        <v>23</v>
      </c>
      <c r="F9411">
        <v>181.1</v>
      </c>
      <c r="G9411" t="str">
        <f>VLOOKUP(Table1_2[[#This Row],[Categories]],Sheet3!$A$1:$B$27,2,FALSE)</f>
        <v>Health</v>
      </c>
    </row>
    <row r="9412" spans="1:7" x14ac:dyDescent="0.3">
      <c r="A9412" t="s">
        <v>34</v>
      </c>
      <c r="B9412">
        <v>2022</v>
      </c>
      <c r="C9412" t="s">
        <v>46</v>
      </c>
      <c r="D9412" s="2">
        <v>44896</v>
      </c>
      <c r="E9412" t="s">
        <v>24</v>
      </c>
      <c r="F9412">
        <v>163.4</v>
      </c>
      <c r="G9412" t="str">
        <f>VLOOKUP(Table1_2[[#This Row],[Categories]],Sheet3!$A$1:$B$27,2,FALSE)</f>
        <v>Transport and communication</v>
      </c>
    </row>
    <row r="9413" spans="1:7" x14ac:dyDescent="0.3">
      <c r="A9413" t="s">
        <v>34</v>
      </c>
      <c r="B9413">
        <v>2022</v>
      </c>
      <c r="C9413" t="s">
        <v>46</v>
      </c>
      <c r="D9413" s="2">
        <v>44896</v>
      </c>
      <c r="E9413" t="s">
        <v>25</v>
      </c>
      <c r="F9413">
        <v>168.9</v>
      </c>
      <c r="G9413" t="str">
        <f>VLOOKUP(Table1_2[[#This Row],[Categories]],Sheet3!$A$1:$B$27,2,FALSE)</f>
        <v>Recreation and amusement</v>
      </c>
    </row>
    <row r="9414" spans="1:7" x14ac:dyDescent="0.3">
      <c r="A9414" t="s">
        <v>34</v>
      </c>
      <c r="B9414">
        <v>2022</v>
      </c>
      <c r="C9414" t="s">
        <v>46</v>
      </c>
      <c r="D9414" s="2">
        <v>44896</v>
      </c>
      <c r="E9414" t="s">
        <v>26</v>
      </c>
      <c r="F9414">
        <v>174.1</v>
      </c>
      <c r="G9414" t="str">
        <f>VLOOKUP(Table1_2[[#This Row],[Categories]],Sheet3!$A$1:$B$27,2,FALSE)</f>
        <v>Education</v>
      </c>
    </row>
    <row r="9415" spans="1:7" x14ac:dyDescent="0.3">
      <c r="A9415" t="s">
        <v>34</v>
      </c>
      <c r="B9415">
        <v>2022</v>
      </c>
      <c r="C9415" t="s">
        <v>46</v>
      </c>
      <c r="D9415" s="2">
        <v>44896</v>
      </c>
      <c r="E9415" t="s">
        <v>27</v>
      </c>
      <c r="F9415">
        <v>175.8</v>
      </c>
      <c r="G9415" t="str">
        <f>VLOOKUP(Table1_2[[#This Row],[Categories]],Sheet3!$A$1:$B$27,2,FALSE)</f>
        <v>Household Items</v>
      </c>
    </row>
    <row r="9416" spans="1:7" x14ac:dyDescent="0.3">
      <c r="A9416" t="s">
        <v>34</v>
      </c>
      <c r="B9416">
        <v>2022</v>
      </c>
      <c r="C9416" t="s">
        <v>46</v>
      </c>
      <c r="D9416" s="2">
        <v>44896</v>
      </c>
      <c r="E9416" t="s">
        <v>28</v>
      </c>
      <c r="F9416">
        <v>172</v>
      </c>
      <c r="G9416" t="str">
        <f>VLOOKUP(Table1_2[[#This Row],[Categories]],Sheet3!$A$1:$B$27,2,FALSE)</f>
        <v>Miscellaneous</v>
      </c>
    </row>
    <row r="9417" spans="1:7" x14ac:dyDescent="0.3">
      <c r="A9417" t="s">
        <v>34</v>
      </c>
      <c r="B9417">
        <v>2022</v>
      </c>
      <c r="C9417" t="s">
        <v>46</v>
      </c>
      <c r="D9417" s="2">
        <v>44896</v>
      </c>
      <c r="E9417" t="s">
        <v>29</v>
      </c>
      <c r="F9417">
        <v>175.7</v>
      </c>
      <c r="G9417" t="str">
        <f>VLOOKUP(Table1_2[[#This Row],[Categories]],Sheet3!$A$1:$B$27,2,FALSE)</f>
        <v>General index</v>
      </c>
    </row>
    <row r="9418" spans="1:7" x14ac:dyDescent="0.3">
      <c r="A9418" t="s">
        <v>30</v>
      </c>
      <c r="B9418">
        <v>2023</v>
      </c>
      <c r="C9418" t="s">
        <v>31</v>
      </c>
      <c r="D9418" s="2">
        <v>44927</v>
      </c>
      <c r="E9418" t="s">
        <v>3</v>
      </c>
      <c r="F9418">
        <v>174</v>
      </c>
      <c r="G9418" t="str">
        <f>VLOOKUP(Table1_2[[#This Row],[Categories]],Sheet3!$A$1:$B$27,2,FALSE)</f>
        <v>Food &amp;Beverage</v>
      </c>
    </row>
    <row r="9419" spans="1:7" x14ac:dyDescent="0.3">
      <c r="A9419" t="s">
        <v>30</v>
      </c>
      <c r="B9419">
        <v>2023</v>
      </c>
      <c r="C9419" t="s">
        <v>31</v>
      </c>
      <c r="D9419" s="2">
        <v>44927</v>
      </c>
      <c r="E9419" t="s">
        <v>4</v>
      </c>
      <c r="F9419">
        <v>208.3</v>
      </c>
      <c r="G9419" t="str">
        <f>VLOOKUP(Table1_2[[#This Row],[Categories]],Sheet3!$A$1:$B$27,2,FALSE)</f>
        <v>Food &amp;Beverage</v>
      </c>
    </row>
    <row r="9420" spans="1:7" x14ac:dyDescent="0.3">
      <c r="A9420" t="s">
        <v>30</v>
      </c>
      <c r="B9420">
        <v>2023</v>
      </c>
      <c r="C9420" t="s">
        <v>31</v>
      </c>
      <c r="D9420" s="2">
        <v>44927</v>
      </c>
      <c r="E9420" t="s">
        <v>5</v>
      </c>
      <c r="F9420">
        <v>192.9</v>
      </c>
      <c r="G9420" t="str">
        <f>VLOOKUP(Table1_2[[#This Row],[Categories]],Sheet3!$A$1:$B$27,2,FALSE)</f>
        <v>Food &amp;Beverage</v>
      </c>
    </row>
    <row r="9421" spans="1:7" x14ac:dyDescent="0.3">
      <c r="A9421" t="s">
        <v>30</v>
      </c>
      <c r="B9421">
        <v>2023</v>
      </c>
      <c r="C9421" t="s">
        <v>31</v>
      </c>
      <c r="D9421" s="2">
        <v>44927</v>
      </c>
      <c r="E9421" t="s">
        <v>6</v>
      </c>
      <c r="F9421">
        <v>174.3</v>
      </c>
      <c r="G9421" t="str">
        <f>VLOOKUP(Table1_2[[#This Row],[Categories]],Sheet3!$A$1:$B$27,2,FALSE)</f>
        <v>Food &amp;Beverage</v>
      </c>
    </row>
    <row r="9422" spans="1:7" x14ac:dyDescent="0.3">
      <c r="A9422" t="s">
        <v>30</v>
      </c>
      <c r="B9422">
        <v>2023</v>
      </c>
      <c r="C9422" t="s">
        <v>31</v>
      </c>
      <c r="D9422" s="2">
        <v>44927</v>
      </c>
      <c r="E9422" t="s">
        <v>7</v>
      </c>
      <c r="F9422">
        <v>192.6</v>
      </c>
      <c r="G9422" t="str">
        <f>VLOOKUP(Table1_2[[#This Row],[Categories]],Sheet3!$A$1:$B$27,2,FALSE)</f>
        <v>Food &amp;Beverage</v>
      </c>
    </row>
    <row r="9423" spans="1:7" x14ac:dyDescent="0.3">
      <c r="A9423" t="s">
        <v>30</v>
      </c>
      <c r="B9423">
        <v>2023</v>
      </c>
      <c r="C9423" t="s">
        <v>31</v>
      </c>
      <c r="D9423" s="2">
        <v>44927</v>
      </c>
      <c r="E9423" t="s">
        <v>8</v>
      </c>
      <c r="F9423">
        <v>156.30000000000001</v>
      </c>
      <c r="G9423" t="str">
        <f>VLOOKUP(Table1_2[[#This Row],[Categories]],Sheet3!$A$1:$B$27,2,FALSE)</f>
        <v>Food &amp;Beverage</v>
      </c>
    </row>
    <row r="9424" spans="1:7" x14ac:dyDescent="0.3">
      <c r="A9424" t="s">
        <v>30</v>
      </c>
      <c r="B9424">
        <v>2023</v>
      </c>
      <c r="C9424" t="s">
        <v>31</v>
      </c>
      <c r="D9424" s="2">
        <v>44927</v>
      </c>
      <c r="E9424" t="s">
        <v>9</v>
      </c>
      <c r="F9424">
        <v>142.9</v>
      </c>
      <c r="G9424" t="str">
        <f>VLOOKUP(Table1_2[[#This Row],[Categories]],Sheet3!$A$1:$B$27,2,FALSE)</f>
        <v>Food &amp;Beverage</v>
      </c>
    </row>
    <row r="9425" spans="1:7" x14ac:dyDescent="0.3">
      <c r="A9425" t="s">
        <v>30</v>
      </c>
      <c r="B9425">
        <v>2023</v>
      </c>
      <c r="C9425" t="s">
        <v>31</v>
      </c>
      <c r="D9425" s="2">
        <v>44927</v>
      </c>
      <c r="E9425" t="s">
        <v>10</v>
      </c>
      <c r="F9425">
        <v>170.7</v>
      </c>
      <c r="G9425" t="str">
        <f>VLOOKUP(Table1_2[[#This Row],[Categories]],Sheet3!$A$1:$B$27,2,FALSE)</f>
        <v>Food &amp;Beverage</v>
      </c>
    </row>
    <row r="9426" spans="1:7" x14ac:dyDescent="0.3">
      <c r="A9426" t="s">
        <v>30</v>
      </c>
      <c r="B9426">
        <v>2023</v>
      </c>
      <c r="C9426" t="s">
        <v>31</v>
      </c>
      <c r="D9426" s="2">
        <v>44927</v>
      </c>
      <c r="E9426" t="s">
        <v>11</v>
      </c>
      <c r="F9426">
        <v>120.3</v>
      </c>
      <c r="G9426" t="str">
        <f>VLOOKUP(Table1_2[[#This Row],[Categories]],Sheet3!$A$1:$B$27,2,FALSE)</f>
        <v>Food &amp;Beverage</v>
      </c>
    </row>
    <row r="9427" spans="1:7" x14ac:dyDescent="0.3">
      <c r="A9427" t="s">
        <v>30</v>
      </c>
      <c r="B9427">
        <v>2023</v>
      </c>
      <c r="C9427" t="s">
        <v>31</v>
      </c>
      <c r="D9427" s="2">
        <v>44927</v>
      </c>
      <c r="E9427" t="s">
        <v>12</v>
      </c>
      <c r="F9427">
        <v>210.5</v>
      </c>
      <c r="G9427" t="str">
        <f>VLOOKUP(Table1_2[[#This Row],[Categories]],Sheet3!$A$1:$B$27,2,FALSE)</f>
        <v>Food &amp;Beverage</v>
      </c>
    </row>
    <row r="9428" spans="1:7" x14ac:dyDescent="0.3">
      <c r="A9428" t="s">
        <v>30</v>
      </c>
      <c r="B9428">
        <v>2023</v>
      </c>
      <c r="C9428" t="s">
        <v>31</v>
      </c>
      <c r="D9428" s="2">
        <v>44927</v>
      </c>
      <c r="E9428" t="s">
        <v>13</v>
      </c>
      <c r="F9428">
        <v>176.9</v>
      </c>
      <c r="G9428" t="str">
        <f>VLOOKUP(Table1_2[[#This Row],[Categories]],Sheet3!$A$1:$B$27,2,FALSE)</f>
        <v>Food &amp;Beverage</v>
      </c>
    </row>
    <row r="9429" spans="1:7" x14ac:dyDescent="0.3">
      <c r="A9429" t="s">
        <v>30</v>
      </c>
      <c r="B9429">
        <v>2023</v>
      </c>
      <c r="C9429" t="s">
        <v>31</v>
      </c>
      <c r="D9429" s="2">
        <v>44927</v>
      </c>
      <c r="E9429" t="s">
        <v>14</v>
      </c>
      <c r="F9429">
        <v>188.5</v>
      </c>
      <c r="G9429" t="str">
        <f>VLOOKUP(Table1_2[[#This Row],[Categories]],Sheet3!$A$1:$B$27,2,FALSE)</f>
        <v>Food &amp;Beverage</v>
      </c>
    </row>
    <row r="9430" spans="1:7" x14ac:dyDescent="0.3">
      <c r="A9430" t="s">
        <v>30</v>
      </c>
      <c r="B9430">
        <v>2023</v>
      </c>
      <c r="C9430" t="s">
        <v>31</v>
      </c>
      <c r="D9430" s="2">
        <v>44927</v>
      </c>
      <c r="E9430" t="s">
        <v>15</v>
      </c>
      <c r="F9430">
        <v>175</v>
      </c>
      <c r="G9430" t="str">
        <f>VLOOKUP(Table1_2[[#This Row],[Categories]],Sheet3!$A$1:$B$27,2,FALSE)</f>
        <v>Food &amp;Beverage</v>
      </c>
    </row>
    <row r="9431" spans="1:7" x14ac:dyDescent="0.3">
      <c r="A9431" t="s">
        <v>30</v>
      </c>
      <c r="B9431">
        <v>2023</v>
      </c>
      <c r="C9431" t="s">
        <v>31</v>
      </c>
      <c r="D9431" s="2">
        <v>44927</v>
      </c>
      <c r="E9431" t="s">
        <v>16</v>
      </c>
      <c r="F9431">
        <v>196.9</v>
      </c>
      <c r="G9431" t="str">
        <f>VLOOKUP(Table1_2[[#This Row],[Categories]],Sheet3!$A$1:$B$27,2,FALSE)</f>
        <v>Recreation and amusement</v>
      </c>
    </row>
    <row r="9432" spans="1:7" x14ac:dyDescent="0.3">
      <c r="A9432" t="s">
        <v>30</v>
      </c>
      <c r="B9432">
        <v>2023</v>
      </c>
      <c r="C9432" t="s">
        <v>31</v>
      </c>
      <c r="D9432" s="2">
        <v>44927</v>
      </c>
      <c r="E9432" t="s">
        <v>17</v>
      </c>
      <c r="F9432">
        <v>189</v>
      </c>
      <c r="G9432" t="str">
        <f>VLOOKUP(Table1_2[[#This Row],[Categories]],Sheet3!$A$1:$B$27,2,FALSE)</f>
        <v>Clothing and footwear</v>
      </c>
    </row>
    <row r="9433" spans="1:7" x14ac:dyDescent="0.3">
      <c r="A9433" t="s">
        <v>30</v>
      </c>
      <c r="B9433">
        <v>2023</v>
      </c>
      <c r="C9433" t="s">
        <v>31</v>
      </c>
      <c r="D9433" s="2">
        <v>44927</v>
      </c>
      <c r="E9433" t="s">
        <v>18</v>
      </c>
      <c r="F9433">
        <v>186.3</v>
      </c>
      <c r="G9433" t="str">
        <f>VLOOKUP(Table1_2[[#This Row],[Categories]],Sheet3!$A$1:$B$27,2,FALSE)</f>
        <v>Clothing and footwear</v>
      </c>
    </row>
    <row r="9434" spans="1:7" x14ac:dyDescent="0.3">
      <c r="A9434" t="s">
        <v>30</v>
      </c>
      <c r="B9434">
        <v>2023</v>
      </c>
      <c r="C9434" t="s">
        <v>31</v>
      </c>
      <c r="D9434" s="2">
        <v>44927</v>
      </c>
      <c r="E9434" t="s">
        <v>19</v>
      </c>
      <c r="F9434">
        <v>188.6</v>
      </c>
      <c r="G9434" t="str">
        <f>VLOOKUP(Table1_2[[#This Row],[Categories]],Sheet3!$A$1:$B$27,2,FALSE)</f>
        <v>Clothing and footwear</v>
      </c>
    </row>
    <row r="9435" spans="1:7" x14ac:dyDescent="0.3">
      <c r="A9435" t="s">
        <v>30</v>
      </c>
      <c r="B9435">
        <v>2023</v>
      </c>
      <c r="C9435" t="s">
        <v>31</v>
      </c>
      <c r="D9435" s="2">
        <v>44927</v>
      </c>
      <c r="E9435" t="s">
        <v>21</v>
      </c>
      <c r="F9435">
        <v>183.2</v>
      </c>
      <c r="G9435" t="str">
        <f>VLOOKUP(Table1_2[[#This Row],[Categories]],Sheet3!$A$1:$B$27,2,FALSE)</f>
        <v>Fuel and light</v>
      </c>
    </row>
    <row r="9436" spans="1:7" x14ac:dyDescent="0.3">
      <c r="A9436" t="s">
        <v>30</v>
      </c>
      <c r="B9436">
        <v>2023</v>
      </c>
      <c r="C9436" t="s">
        <v>31</v>
      </c>
      <c r="D9436" s="2">
        <v>44927</v>
      </c>
      <c r="E9436" t="s">
        <v>22</v>
      </c>
      <c r="F9436">
        <v>177.2</v>
      </c>
      <c r="G9436" t="str">
        <f>VLOOKUP(Table1_2[[#This Row],[Categories]],Sheet3!$A$1:$B$27,2,FALSE)</f>
        <v>Household Items</v>
      </c>
    </row>
    <row r="9437" spans="1:7" x14ac:dyDescent="0.3">
      <c r="A9437" t="s">
        <v>30</v>
      </c>
      <c r="B9437">
        <v>2023</v>
      </c>
      <c r="C9437" t="s">
        <v>31</v>
      </c>
      <c r="D9437" s="2">
        <v>44927</v>
      </c>
      <c r="E9437" t="s">
        <v>23</v>
      </c>
      <c r="F9437">
        <v>184.7</v>
      </c>
      <c r="G9437" t="str">
        <f>VLOOKUP(Table1_2[[#This Row],[Categories]],Sheet3!$A$1:$B$27,2,FALSE)</f>
        <v>Health</v>
      </c>
    </row>
    <row r="9438" spans="1:7" x14ac:dyDescent="0.3">
      <c r="A9438" t="s">
        <v>30</v>
      </c>
      <c r="B9438">
        <v>2023</v>
      </c>
      <c r="C9438" t="s">
        <v>31</v>
      </c>
      <c r="D9438" s="2">
        <v>44927</v>
      </c>
      <c r="E9438" t="s">
        <v>24</v>
      </c>
      <c r="F9438">
        <v>168.2</v>
      </c>
      <c r="G9438" t="str">
        <f>VLOOKUP(Table1_2[[#This Row],[Categories]],Sheet3!$A$1:$B$27,2,FALSE)</f>
        <v>Transport and communication</v>
      </c>
    </row>
    <row r="9439" spans="1:7" x14ac:dyDescent="0.3">
      <c r="A9439" t="s">
        <v>30</v>
      </c>
      <c r="B9439">
        <v>2023</v>
      </c>
      <c r="C9439" t="s">
        <v>31</v>
      </c>
      <c r="D9439" s="2">
        <v>44927</v>
      </c>
      <c r="E9439" t="s">
        <v>25</v>
      </c>
      <c r="F9439">
        <v>171.8</v>
      </c>
      <c r="G9439" t="str">
        <f>VLOOKUP(Table1_2[[#This Row],[Categories]],Sheet3!$A$1:$B$27,2,FALSE)</f>
        <v>Recreation and amusement</v>
      </c>
    </row>
    <row r="9440" spans="1:7" x14ac:dyDescent="0.3">
      <c r="A9440" t="s">
        <v>30</v>
      </c>
      <c r="B9440">
        <v>2023</v>
      </c>
      <c r="C9440" t="s">
        <v>31</v>
      </c>
      <c r="D9440" s="2">
        <v>44927</v>
      </c>
      <c r="E9440" t="s">
        <v>26</v>
      </c>
      <c r="F9440">
        <v>177.8</v>
      </c>
      <c r="G9440" t="str">
        <f>VLOOKUP(Table1_2[[#This Row],[Categories]],Sheet3!$A$1:$B$27,2,FALSE)</f>
        <v>Education</v>
      </c>
    </row>
    <row r="9441" spans="1:7" x14ac:dyDescent="0.3">
      <c r="A9441" t="s">
        <v>30</v>
      </c>
      <c r="B9441">
        <v>2023</v>
      </c>
      <c r="C9441" t="s">
        <v>31</v>
      </c>
      <c r="D9441" s="2">
        <v>44927</v>
      </c>
      <c r="E9441" t="s">
        <v>27</v>
      </c>
      <c r="F9441">
        <v>178.4</v>
      </c>
      <c r="G9441" t="str">
        <f>VLOOKUP(Table1_2[[#This Row],[Categories]],Sheet3!$A$1:$B$27,2,FALSE)</f>
        <v>Household Items</v>
      </c>
    </row>
    <row r="9442" spans="1:7" x14ac:dyDescent="0.3">
      <c r="A9442" t="s">
        <v>30</v>
      </c>
      <c r="B9442">
        <v>2023</v>
      </c>
      <c r="C9442" t="s">
        <v>31</v>
      </c>
      <c r="D9442" s="2">
        <v>44927</v>
      </c>
      <c r="E9442" t="s">
        <v>28</v>
      </c>
      <c r="F9442">
        <v>176.5</v>
      </c>
      <c r="G9442" t="str">
        <f>VLOOKUP(Table1_2[[#This Row],[Categories]],Sheet3!$A$1:$B$27,2,FALSE)</f>
        <v>Miscellaneous</v>
      </c>
    </row>
    <row r="9443" spans="1:7" x14ac:dyDescent="0.3">
      <c r="A9443" t="s">
        <v>30</v>
      </c>
      <c r="B9443">
        <v>2023</v>
      </c>
      <c r="C9443" t="s">
        <v>31</v>
      </c>
      <c r="D9443" s="2">
        <v>44927</v>
      </c>
      <c r="E9443" t="s">
        <v>29</v>
      </c>
      <c r="F9443">
        <v>177.8</v>
      </c>
      <c r="G9443" t="str">
        <f>VLOOKUP(Table1_2[[#This Row],[Categories]],Sheet3!$A$1:$B$27,2,FALSE)</f>
        <v>General index</v>
      </c>
    </row>
    <row r="9444" spans="1:7" x14ac:dyDescent="0.3">
      <c r="A9444" t="s">
        <v>33</v>
      </c>
      <c r="B9444">
        <v>2023</v>
      </c>
      <c r="C9444" t="s">
        <v>31</v>
      </c>
      <c r="D9444" s="2">
        <v>44927</v>
      </c>
      <c r="E9444" t="s">
        <v>3</v>
      </c>
      <c r="F9444">
        <v>173.3</v>
      </c>
      <c r="G9444" t="str">
        <f>VLOOKUP(Table1_2[[#This Row],[Categories]],Sheet3!$A$1:$B$27,2,FALSE)</f>
        <v>Food &amp;Beverage</v>
      </c>
    </row>
    <row r="9445" spans="1:7" x14ac:dyDescent="0.3">
      <c r="A9445" t="s">
        <v>33</v>
      </c>
      <c r="B9445">
        <v>2023</v>
      </c>
      <c r="C9445" t="s">
        <v>31</v>
      </c>
      <c r="D9445" s="2">
        <v>44927</v>
      </c>
      <c r="E9445" t="s">
        <v>4</v>
      </c>
      <c r="F9445">
        <v>215.2</v>
      </c>
      <c r="G9445" t="str">
        <f>VLOOKUP(Table1_2[[#This Row],[Categories]],Sheet3!$A$1:$B$27,2,FALSE)</f>
        <v>Food &amp;Beverage</v>
      </c>
    </row>
    <row r="9446" spans="1:7" x14ac:dyDescent="0.3">
      <c r="A9446" t="s">
        <v>33</v>
      </c>
      <c r="B9446">
        <v>2023</v>
      </c>
      <c r="C9446" t="s">
        <v>31</v>
      </c>
      <c r="D9446" s="2">
        <v>44927</v>
      </c>
      <c r="E9446" t="s">
        <v>5</v>
      </c>
      <c r="F9446">
        <v>197</v>
      </c>
      <c r="G9446" t="str">
        <f>VLOOKUP(Table1_2[[#This Row],[Categories]],Sheet3!$A$1:$B$27,2,FALSE)</f>
        <v>Food &amp;Beverage</v>
      </c>
    </row>
    <row r="9447" spans="1:7" x14ac:dyDescent="0.3">
      <c r="A9447" t="s">
        <v>33</v>
      </c>
      <c r="B9447">
        <v>2023</v>
      </c>
      <c r="C9447" t="s">
        <v>31</v>
      </c>
      <c r="D9447" s="2">
        <v>44927</v>
      </c>
      <c r="E9447" t="s">
        <v>6</v>
      </c>
      <c r="F9447">
        <v>175.2</v>
      </c>
      <c r="G9447" t="str">
        <f>VLOOKUP(Table1_2[[#This Row],[Categories]],Sheet3!$A$1:$B$27,2,FALSE)</f>
        <v>Food &amp;Beverage</v>
      </c>
    </row>
    <row r="9448" spans="1:7" x14ac:dyDescent="0.3">
      <c r="A9448" t="s">
        <v>33</v>
      </c>
      <c r="B9448">
        <v>2023</v>
      </c>
      <c r="C9448" t="s">
        <v>31</v>
      </c>
      <c r="D9448" s="2">
        <v>44927</v>
      </c>
      <c r="E9448" t="s">
        <v>7</v>
      </c>
      <c r="F9448">
        <v>178</v>
      </c>
      <c r="G9448" t="str">
        <f>VLOOKUP(Table1_2[[#This Row],[Categories]],Sheet3!$A$1:$B$27,2,FALSE)</f>
        <v>Food &amp;Beverage</v>
      </c>
    </row>
    <row r="9449" spans="1:7" x14ac:dyDescent="0.3">
      <c r="A9449" t="s">
        <v>33</v>
      </c>
      <c r="B9449">
        <v>2023</v>
      </c>
      <c r="C9449" t="s">
        <v>31</v>
      </c>
      <c r="D9449" s="2">
        <v>44927</v>
      </c>
      <c r="E9449" t="s">
        <v>8</v>
      </c>
      <c r="F9449">
        <v>160.5</v>
      </c>
      <c r="G9449" t="str">
        <f>VLOOKUP(Table1_2[[#This Row],[Categories]],Sheet3!$A$1:$B$27,2,FALSE)</f>
        <v>Food &amp;Beverage</v>
      </c>
    </row>
    <row r="9450" spans="1:7" x14ac:dyDescent="0.3">
      <c r="A9450" t="s">
        <v>33</v>
      </c>
      <c r="B9450">
        <v>2023</v>
      </c>
      <c r="C9450" t="s">
        <v>31</v>
      </c>
      <c r="D9450" s="2">
        <v>44927</v>
      </c>
      <c r="E9450" t="s">
        <v>9</v>
      </c>
      <c r="F9450">
        <v>175.3</v>
      </c>
      <c r="G9450" t="str">
        <f>VLOOKUP(Table1_2[[#This Row],[Categories]],Sheet3!$A$1:$B$27,2,FALSE)</f>
        <v>Food &amp;Beverage</v>
      </c>
    </row>
    <row r="9451" spans="1:7" x14ac:dyDescent="0.3">
      <c r="A9451" t="s">
        <v>33</v>
      </c>
      <c r="B9451">
        <v>2023</v>
      </c>
      <c r="C9451" t="s">
        <v>31</v>
      </c>
      <c r="D9451" s="2">
        <v>44927</v>
      </c>
      <c r="E9451" t="s">
        <v>10</v>
      </c>
      <c r="F9451">
        <v>171.2</v>
      </c>
      <c r="G9451" t="str">
        <f>VLOOKUP(Table1_2[[#This Row],[Categories]],Sheet3!$A$1:$B$27,2,FALSE)</f>
        <v>Food &amp;Beverage</v>
      </c>
    </row>
    <row r="9452" spans="1:7" x14ac:dyDescent="0.3">
      <c r="A9452" t="s">
        <v>33</v>
      </c>
      <c r="B9452">
        <v>2023</v>
      </c>
      <c r="C9452" t="s">
        <v>31</v>
      </c>
      <c r="D9452" s="2">
        <v>44927</v>
      </c>
      <c r="E9452" t="s">
        <v>11</v>
      </c>
      <c r="F9452">
        <v>122.7</v>
      </c>
      <c r="G9452" t="str">
        <f>VLOOKUP(Table1_2[[#This Row],[Categories]],Sheet3!$A$1:$B$27,2,FALSE)</f>
        <v>Food &amp;Beverage</v>
      </c>
    </row>
    <row r="9453" spans="1:7" x14ac:dyDescent="0.3">
      <c r="A9453" t="s">
        <v>33</v>
      </c>
      <c r="B9453">
        <v>2023</v>
      </c>
      <c r="C9453" t="s">
        <v>31</v>
      </c>
      <c r="D9453" s="2">
        <v>44927</v>
      </c>
      <c r="E9453" t="s">
        <v>12</v>
      </c>
      <c r="F9453">
        <v>204.3</v>
      </c>
      <c r="G9453" t="str">
        <f>VLOOKUP(Table1_2[[#This Row],[Categories]],Sheet3!$A$1:$B$27,2,FALSE)</f>
        <v>Food &amp;Beverage</v>
      </c>
    </row>
    <row r="9454" spans="1:7" x14ac:dyDescent="0.3">
      <c r="A9454" t="s">
        <v>33</v>
      </c>
      <c r="B9454">
        <v>2023</v>
      </c>
      <c r="C9454" t="s">
        <v>31</v>
      </c>
      <c r="D9454" s="2">
        <v>44927</v>
      </c>
      <c r="E9454" t="s">
        <v>13</v>
      </c>
      <c r="F9454">
        <v>163.69999999999999</v>
      </c>
      <c r="G9454" t="str">
        <f>VLOOKUP(Table1_2[[#This Row],[Categories]],Sheet3!$A$1:$B$27,2,FALSE)</f>
        <v>Food &amp;Beverage</v>
      </c>
    </row>
    <row r="9455" spans="1:7" x14ac:dyDescent="0.3">
      <c r="A9455" t="s">
        <v>33</v>
      </c>
      <c r="B9455">
        <v>2023</v>
      </c>
      <c r="C9455" t="s">
        <v>31</v>
      </c>
      <c r="D9455" s="2">
        <v>44927</v>
      </c>
      <c r="E9455" t="s">
        <v>14</v>
      </c>
      <c r="F9455">
        <v>194.3</v>
      </c>
      <c r="G9455" t="str">
        <f>VLOOKUP(Table1_2[[#This Row],[Categories]],Sheet3!$A$1:$B$27,2,FALSE)</f>
        <v>Food &amp;Beverage</v>
      </c>
    </row>
    <row r="9456" spans="1:7" x14ac:dyDescent="0.3">
      <c r="A9456" t="s">
        <v>33</v>
      </c>
      <c r="B9456">
        <v>2023</v>
      </c>
      <c r="C9456" t="s">
        <v>31</v>
      </c>
      <c r="D9456" s="2">
        <v>44927</v>
      </c>
      <c r="E9456" t="s">
        <v>15</v>
      </c>
      <c r="F9456">
        <v>179.5</v>
      </c>
      <c r="G9456" t="str">
        <f>VLOOKUP(Table1_2[[#This Row],[Categories]],Sheet3!$A$1:$B$27,2,FALSE)</f>
        <v>Food &amp;Beverage</v>
      </c>
    </row>
    <row r="9457" spans="1:7" x14ac:dyDescent="0.3">
      <c r="A9457" t="s">
        <v>33</v>
      </c>
      <c r="B9457">
        <v>2023</v>
      </c>
      <c r="C9457" t="s">
        <v>31</v>
      </c>
      <c r="D9457" s="2">
        <v>44927</v>
      </c>
      <c r="E9457" t="s">
        <v>16</v>
      </c>
      <c r="F9457">
        <v>201.6</v>
      </c>
      <c r="G9457" t="str">
        <f>VLOOKUP(Table1_2[[#This Row],[Categories]],Sheet3!$A$1:$B$27,2,FALSE)</f>
        <v>Recreation and amusement</v>
      </c>
    </row>
    <row r="9458" spans="1:7" x14ac:dyDescent="0.3">
      <c r="A9458" t="s">
        <v>33</v>
      </c>
      <c r="B9458">
        <v>2023</v>
      </c>
      <c r="C9458" t="s">
        <v>31</v>
      </c>
      <c r="D9458" s="2">
        <v>44927</v>
      </c>
      <c r="E9458" t="s">
        <v>17</v>
      </c>
      <c r="F9458">
        <v>178.7</v>
      </c>
      <c r="G9458" t="str">
        <f>VLOOKUP(Table1_2[[#This Row],[Categories]],Sheet3!$A$1:$B$27,2,FALSE)</f>
        <v>Clothing and footwear</v>
      </c>
    </row>
    <row r="9459" spans="1:7" x14ac:dyDescent="0.3">
      <c r="A9459" t="s">
        <v>33</v>
      </c>
      <c r="B9459">
        <v>2023</v>
      </c>
      <c r="C9459" t="s">
        <v>31</v>
      </c>
      <c r="D9459" s="2">
        <v>44927</v>
      </c>
      <c r="E9459" t="s">
        <v>18</v>
      </c>
      <c r="F9459">
        <v>165.3</v>
      </c>
      <c r="G9459" t="str">
        <f>VLOOKUP(Table1_2[[#This Row],[Categories]],Sheet3!$A$1:$B$27,2,FALSE)</f>
        <v>Clothing and footwear</v>
      </c>
    </row>
    <row r="9460" spans="1:7" x14ac:dyDescent="0.3">
      <c r="A9460" t="s">
        <v>33</v>
      </c>
      <c r="B9460">
        <v>2023</v>
      </c>
      <c r="C9460" t="s">
        <v>31</v>
      </c>
      <c r="D9460" s="2">
        <v>44927</v>
      </c>
      <c r="E9460" t="s">
        <v>19</v>
      </c>
      <c r="F9460">
        <v>176.6</v>
      </c>
      <c r="G9460" t="str">
        <f>VLOOKUP(Table1_2[[#This Row],[Categories]],Sheet3!$A$1:$B$27,2,FALSE)</f>
        <v>Clothing and footwear</v>
      </c>
    </row>
    <row r="9461" spans="1:7" x14ac:dyDescent="0.3">
      <c r="A9461" t="s">
        <v>33</v>
      </c>
      <c r="B9461">
        <v>2023</v>
      </c>
      <c r="C9461" t="s">
        <v>31</v>
      </c>
      <c r="D9461" s="2">
        <v>44927</v>
      </c>
      <c r="E9461" t="s">
        <v>20</v>
      </c>
      <c r="F9461">
        <v>172.1</v>
      </c>
      <c r="G9461" t="str">
        <f>VLOOKUP(Table1_2[[#This Row],[Categories]],Sheet3!$A$1:$B$27,2,FALSE)</f>
        <v>Housing</v>
      </c>
    </row>
    <row r="9462" spans="1:7" x14ac:dyDescent="0.3">
      <c r="A9462" t="s">
        <v>33</v>
      </c>
      <c r="B9462">
        <v>2023</v>
      </c>
      <c r="C9462" t="s">
        <v>31</v>
      </c>
      <c r="D9462" s="2">
        <v>44927</v>
      </c>
      <c r="E9462" t="s">
        <v>21</v>
      </c>
      <c r="F9462">
        <v>180.1</v>
      </c>
      <c r="G9462" t="str">
        <f>VLOOKUP(Table1_2[[#This Row],[Categories]],Sheet3!$A$1:$B$27,2,FALSE)</f>
        <v>Fuel and light</v>
      </c>
    </row>
    <row r="9463" spans="1:7" x14ac:dyDescent="0.3">
      <c r="A9463" t="s">
        <v>33</v>
      </c>
      <c r="B9463">
        <v>2023</v>
      </c>
      <c r="C9463" t="s">
        <v>31</v>
      </c>
      <c r="D9463" s="2">
        <v>44927</v>
      </c>
      <c r="E9463" t="s">
        <v>22</v>
      </c>
      <c r="F9463">
        <v>168</v>
      </c>
      <c r="G9463" t="str">
        <f>VLOOKUP(Table1_2[[#This Row],[Categories]],Sheet3!$A$1:$B$27,2,FALSE)</f>
        <v>Household Items</v>
      </c>
    </row>
    <row r="9464" spans="1:7" x14ac:dyDescent="0.3">
      <c r="A9464" t="s">
        <v>33</v>
      </c>
      <c r="B9464">
        <v>2023</v>
      </c>
      <c r="C9464" t="s">
        <v>31</v>
      </c>
      <c r="D9464" s="2">
        <v>44927</v>
      </c>
      <c r="E9464" t="s">
        <v>23</v>
      </c>
      <c r="F9464">
        <v>178.5</v>
      </c>
      <c r="G9464" t="str">
        <f>VLOOKUP(Table1_2[[#This Row],[Categories]],Sheet3!$A$1:$B$27,2,FALSE)</f>
        <v>Health</v>
      </c>
    </row>
    <row r="9465" spans="1:7" x14ac:dyDescent="0.3">
      <c r="A9465" t="s">
        <v>33</v>
      </c>
      <c r="B9465">
        <v>2023</v>
      </c>
      <c r="C9465" t="s">
        <v>31</v>
      </c>
      <c r="D9465" s="2">
        <v>44927</v>
      </c>
      <c r="E9465" t="s">
        <v>24</v>
      </c>
      <c r="F9465">
        <v>159.5</v>
      </c>
      <c r="G9465" t="str">
        <f>VLOOKUP(Table1_2[[#This Row],[Categories]],Sheet3!$A$1:$B$27,2,FALSE)</f>
        <v>Transport and communication</v>
      </c>
    </row>
    <row r="9466" spans="1:7" x14ac:dyDescent="0.3">
      <c r="A9466" t="s">
        <v>33</v>
      </c>
      <c r="B9466">
        <v>2023</v>
      </c>
      <c r="C9466" t="s">
        <v>31</v>
      </c>
      <c r="D9466" s="2">
        <v>44927</v>
      </c>
      <c r="E9466" t="s">
        <v>25</v>
      </c>
      <c r="F9466">
        <v>167.8</v>
      </c>
      <c r="G9466" t="str">
        <f>VLOOKUP(Table1_2[[#This Row],[Categories]],Sheet3!$A$1:$B$27,2,FALSE)</f>
        <v>Recreation and amusement</v>
      </c>
    </row>
    <row r="9467" spans="1:7" x14ac:dyDescent="0.3">
      <c r="A9467" t="s">
        <v>33</v>
      </c>
      <c r="B9467">
        <v>2023</v>
      </c>
      <c r="C9467" t="s">
        <v>31</v>
      </c>
      <c r="D9467" s="2">
        <v>44927</v>
      </c>
      <c r="E9467" t="s">
        <v>26</v>
      </c>
      <c r="F9467">
        <v>171.8</v>
      </c>
      <c r="G9467" t="str">
        <f>VLOOKUP(Table1_2[[#This Row],[Categories]],Sheet3!$A$1:$B$27,2,FALSE)</f>
        <v>Education</v>
      </c>
    </row>
    <row r="9468" spans="1:7" x14ac:dyDescent="0.3">
      <c r="A9468" t="s">
        <v>33</v>
      </c>
      <c r="B9468">
        <v>2023</v>
      </c>
      <c r="C9468" t="s">
        <v>31</v>
      </c>
      <c r="D9468" s="2">
        <v>44927</v>
      </c>
      <c r="E9468" t="s">
        <v>27</v>
      </c>
      <c r="F9468">
        <v>178.8</v>
      </c>
      <c r="G9468" t="str">
        <f>VLOOKUP(Table1_2[[#This Row],[Categories]],Sheet3!$A$1:$B$27,2,FALSE)</f>
        <v>Household Items</v>
      </c>
    </row>
    <row r="9469" spans="1:7" x14ac:dyDescent="0.3">
      <c r="A9469" t="s">
        <v>33</v>
      </c>
      <c r="B9469">
        <v>2023</v>
      </c>
      <c r="C9469" t="s">
        <v>31</v>
      </c>
      <c r="D9469" s="2">
        <v>44927</v>
      </c>
      <c r="E9469" t="s">
        <v>28</v>
      </c>
      <c r="F9469">
        <v>168.9</v>
      </c>
      <c r="G9469" t="str">
        <f>VLOOKUP(Table1_2[[#This Row],[Categories]],Sheet3!$A$1:$B$27,2,FALSE)</f>
        <v>Miscellaneous</v>
      </c>
    </row>
    <row r="9470" spans="1:7" x14ac:dyDescent="0.3">
      <c r="A9470" t="s">
        <v>33</v>
      </c>
      <c r="B9470">
        <v>2023</v>
      </c>
      <c r="C9470" t="s">
        <v>31</v>
      </c>
      <c r="D9470" s="2">
        <v>44927</v>
      </c>
      <c r="E9470" t="s">
        <v>29</v>
      </c>
      <c r="F9470">
        <v>174.9</v>
      </c>
      <c r="G9470" t="str">
        <f>VLOOKUP(Table1_2[[#This Row],[Categories]],Sheet3!$A$1:$B$27,2,FALSE)</f>
        <v>General index</v>
      </c>
    </row>
    <row r="9471" spans="1:7" x14ac:dyDescent="0.3">
      <c r="A9471" t="s">
        <v>34</v>
      </c>
      <c r="B9471">
        <v>2023</v>
      </c>
      <c r="C9471" t="s">
        <v>31</v>
      </c>
      <c r="D9471" s="2">
        <v>44927</v>
      </c>
      <c r="E9471" t="s">
        <v>3</v>
      </c>
      <c r="F9471">
        <v>173.8</v>
      </c>
      <c r="G9471" t="str">
        <f>VLOOKUP(Table1_2[[#This Row],[Categories]],Sheet3!$A$1:$B$27,2,FALSE)</f>
        <v>Food &amp;Beverage</v>
      </c>
    </row>
    <row r="9472" spans="1:7" x14ac:dyDescent="0.3">
      <c r="A9472" t="s">
        <v>34</v>
      </c>
      <c r="B9472">
        <v>2023</v>
      </c>
      <c r="C9472" t="s">
        <v>31</v>
      </c>
      <c r="D9472" s="2">
        <v>44927</v>
      </c>
      <c r="E9472" t="s">
        <v>4</v>
      </c>
      <c r="F9472">
        <v>210.7</v>
      </c>
      <c r="G9472" t="str">
        <f>VLOOKUP(Table1_2[[#This Row],[Categories]],Sheet3!$A$1:$B$27,2,FALSE)</f>
        <v>Food &amp;Beverage</v>
      </c>
    </row>
    <row r="9473" spans="1:7" x14ac:dyDescent="0.3">
      <c r="A9473" t="s">
        <v>34</v>
      </c>
      <c r="B9473">
        <v>2023</v>
      </c>
      <c r="C9473" t="s">
        <v>31</v>
      </c>
      <c r="D9473" s="2">
        <v>44927</v>
      </c>
      <c r="E9473" t="s">
        <v>5</v>
      </c>
      <c r="F9473">
        <v>194.5</v>
      </c>
      <c r="G9473" t="str">
        <f>VLOOKUP(Table1_2[[#This Row],[Categories]],Sheet3!$A$1:$B$27,2,FALSE)</f>
        <v>Food &amp;Beverage</v>
      </c>
    </row>
    <row r="9474" spans="1:7" x14ac:dyDescent="0.3">
      <c r="A9474" t="s">
        <v>34</v>
      </c>
      <c r="B9474">
        <v>2023</v>
      </c>
      <c r="C9474" t="s">
        <v>31</v>
      </c>
      <c r="D9474" s="2">
        <v>44927</v>
      </c>
      <c r="E9474" t="s">
        <v>6</v>
      </c>
      <c r="F9474">
        <v>174.6</v>
      </c>
      <c r="G9474" t="str">
        <f>VLOOKUP(Table1_2[[#This Row],[Categories]],Sheet3!$A$1:$B$27,2,FALSE)</f>
        <v>Food &amp;Beverage</v>
      </c>
    </row>
    <row r="9475" spans="1:7" x14ac:dyDescent="0.3">
      <c r="A9475" t="s">
        <v>34</v>
      </c>
      <c r="B9475">
        <v>2023</v>
      </c>
      <c r="C9475" t="s">
        <v>31</v>
      </c>
      <c r="D9475" s="2">
        <v>44927</v>
      </c>
      <c r="E9475" t="s">
        <v>7</v>
      </c>
      <c r="F9475">
        <v>187.2</v>
      </c>
      <c r="G9475" t="str">
        <f>VLOOKUP(Table1_2[[#This Row],[Categories]],Sheet3!$A$1:$B$27,2,FALSE)</f>
        <v>Food &amp;Beverage</v>
      </c>
    </row>
    <row r="9476" spans="1:7" x14ac:dyDescent="0.3">
      <c r="A9476" t="s">
        <v>34</v>
      </c>
      <c r="B9476">
        <v>2023</v>
      </c>
      <c r="C9476" t="s">
        <v>31</v>
      </c>
      <c r="D9476" s="2">
        <v>44927</v>
      </c>
      <c r="E9476" t="s">
        <v>8</v>
      </c>
      <c r="F9476">
        <v>158.30000000000001</v>
      </c>
      <c r="G9476" t="str">
        <f>VLOOKUP(Table1_2[[#This Row],[Categories]],Sheet3!$A$1:$B$27,2,FALSE)</f>
        <v>Food &amp;Beverage</v>
      </c>
    </row>
    <row r="9477" spans="1:7" x14ac:dyDescent="0.3">
      <c r="A9477" t="s">
        <v>34</v>
      </c>
      <c r="B9477">
        <v>2023</v>
      </c>
      <c r="C9477" t="s">
        <v>31</v>
      </c>
      <c r="D9477" s="2">
        <v>44927</v>
      </c>
      <c r="E9477" t="s">
        <v>9</v>
      </c>
      <c r="F9477">
        <v>153.9</v>
      </c>
      <c r="G9477" t="str">
        <f>VLOOKUP(Table1_2[[#This Row],[Categories]],Sheet3!$A$1:$B$27,2,FALSE)</f>
        <v>Food &amp;Beverage</v>
      </c>
    </row>
    <row r="9478" spans="1:7" x14ac:dyDescent="0.3">
      <c r="A9478" t="s">
        <v>34</v>
      </c>
      <c r="B9478">
        <v>2023</v>
      </c>
      <c r="C9478" t="s">
        <v>31</v>
      </c>
      <c r="D9478" s="2">
        <v>44927</v>
      </c>
      <c r="E9478" t="s">
        <v>10</v>
      </c>
      <c r="F9478">
        <v>170.9</v>
      </c>
      <c r="G9478" t="str">
        <f>VLOOKUP(Table1_2[[#This Row],[Categories]],Sheet3!$A$1:$B$27,2,FALSE)</f>
        <v>Food &amp;Beverage</v>
      </c>
    </row>
    <row r="9479" spans="1:7" x14ac:dyDescent="0.3">
      <c r="A9479" t="s">
        <v>34</v>
      </c>
      <c r="B9479">
        <v>2023</v>
      </c>
      <c r="C9479" t="s">
        <v>31</v>
      </c>
      <c r="D9479" s="2">
        <v>44927</v>
      </c>
      <c r="E9479" t="s">
        <v>11</v>
      </c>
      <c r="F9479">
        <v>121.1</v>
      </c>
      <c r="G9479" t="str">
        <f>VLOOKUP(Table1_2[[#This Row],[Categories]],Sheet3!$A$1:$B$27,2,FALSE)</f>
        <v>Food &amp;Beverage</v>
      </c>
    </row>
    <row r="9480" spans="1:7" x14ac:dyDescent="0.3">
      <c r="A9480" t="s">
        <v>34</v>
      </c>
      <c r="B9480">
        <v>2023</v>
      </c>
      <c r="C9480" t="s">
        <v>31</v>
      </c>
      <c r="D9480" s="2">
        <v>44927</v>
      </c>
      <c r="E9480" t="s">
        <v>12</v>
      </c>
      <c r="F9480">
        <v>208.4</v>
      </c>
      <c r="G9480" t="str">
        <f>VLOOKUP(Table1_2[[#This Row],[Categories]],Sheet3!$A$1:$B$27,2,FALSE)</f>
        <v>Food &amp;Beverage</v>
      </c>
    </row>
    <row r="9481" spans="1:7" x14ac:dyDescent="0.3">
      <c r="A9481" t="s">
        <v>34</v>
      </c>
      <c r="B9481">
        <v>2023</v>
      </c>
      <c r="C9481" t="s">
        <v>31</v>
      </c>
      <c r="D9481" s="2">
        <v>44927</v>
      </c>
      <c r="E9481" t="s">
        <v>13</v>
      </c>
      <c r="F9481">
        <v>171.4</v>
      </c>
      <c r="G9481" t="str">
        <f>VLOOKUP(Table1_2[[#This Row],[Categories]],Sheet3!$A$1:$B$27,2,FALSE)</f>
        <v>Food &amp;Beverage</v>
      </c>
    </row>
    <row r="9482" spans="1:7" x14ac:dyDescent="0.3">
      <c r="A9482" t="s">
        <v>34</v>
      </c>
      <c r="B9482">
        <v>2023</v>
      </c>
      <c r="C9482" t="s">
        <v>31</v>
      </c>
      <c r="D9482" s="2">
        <v>44927</v>
      </c>
      <c r="E9482" t="s">
        <v>14</v>
      </c>
      <c r="F9482">
        <v>191.2</v>
      </c>
      <c r="G9482" t="str">
        <f>VLOOKUP(Table1_2[[#This Row],[Categories]],Sheet3!$A$1:$B$27,2,FALSE)</f>
        <v>Food &amp;Beverage</v>
      </c>
    </row>
    <row r="9483" spans="1:7" x14ac:dyDescent="0.3">
      <c r="A9483" t="s">
        <v>34</v>
      </c>
      <c r="B9483">
        <v>2023</v>
      </c>
      <c r="C9483" t="s">
        <v>31</v>
      </c>
      <c r="D9483" s="2">
        <v>44927</v>
      </c>
      <c r="E9483" t="s">
        <v>15</v>
      </c>
      <c r="F9483">
        <v>176.7</v>
      </c>
      <c r="G9483" t="str">
        <f>VLOOKUP(Table1_2[[#This Row],[Categories]],Sheet3!$A$1:$B$27,2,FALSE)</f>
        <v>Food &amp;Beverage</v>
      </c>
    </row>
    <row r="9484" spans="1:7" x14ac:dyDescent="0.3">
      <c r="A9484" t="s">
        <v>34</v>
      </c>
      <c r="B9484">
        <v>2023</v>
      </c>
      <c r="C9484" t="s">
        <v>31</v>
      </c>
      <c r="D9484" s="2">
        <v>44927</v>
      </c>
      <c r="E9484" t="s">
        <v>16</v>
      </c>
      <c r="F9484">
        <v>198.2</v>
      </c>
      <c r="G9484" t="str">
        <f>VLOOKUP(Table1_2[[#This Row],[Categories]],Sheet3!$A$1:$B$27,2,FALSE)</f>
        <v>Recreation and amusement</v>
      </c>
    </row>
    <row r="9485" spans="1:7" x14ac:dyDescent="0.3">
      <c r="A9485" t="s">
        <v>34</v>
      </c>
      <c r="B9485">
        <v>2023</v>
      </c>
      <c r="C9485" t="s">
        <v>31</v>
      </c>
      <c r="D9485" s="2">
        <v>44927</v>
      </c>
      <c r="E9485" t="s">
        <v>17</v>
      </c>
      <c r="F9485">
        <v>184.9</v>
      </c>
      <c r="G9485" t="str">
        <f>VLOOKUP(Table1_2[[#This Row],[Categories]],Sheet3!$A$1:$B$27,2,FALSE)</f>
        <v>Clothing and footwear</v>
      </c>
    </row>
    <row r="9486" spans="1:7" x14ac:dyDescent="0.3">
      <c r="A9486" t="s">
        <v>34</v>
      </c>
      <c r="B9486">
        <v>2023</v>
      </c>
      <c r="C9486" t="s">
        <v>31</v>
      </c>
      <c r="D9486" s="2">
        <v>44927</v>
      </c>
      <c r="E9486" t="s">
        <v>18</v>
      </c>
      <c r="F9486">
        <v>177.6</v>
      </c>
      <c r="G9486" t="str">
        <f>VLOOKUP(Table1_2[[#This Row],[Categories]],Sheet3!$A$1:$B$27,2,FALSE)</f>
        <v>Clothing and footwear</v>
      </c>
    </row>
    <row r="9487" spans="1:7" x14ac:dyDescent="0.3">
      <c r="A9487" t="s">
        <v>34</v>
      </c>
      <c r="B9487">
        <v>2023</v>
      </c>
      <c r="C9487" t="s">
        <v>31</v>
      </c>
      <c r="D9487" s="2">
        <v>44927</v>
      </c>
      <c r="E9487" t="s">
        <v>19</v>
      </c>
      <c r="F9487">
        <v>183.8</v>
      </c>
      <c r="G9487" t="str">
        <f>VLOOKUP(Table1_2[[#This Row],[Categories]],Sheet3!$A$1:$B$27,2,FALSE)</f>
        <v>Clothing and footwear</v>
      </c>
    </row>
    <row r="9488" spans="1:7" x14ac:dyDescent="0.3">
      <c r="A9488" t="s">
        <v>34</v>
      </c>
      <c r="B9488">
        <v>2023</v>
      </c>
      <c r="C9488" t="s">
        <v>31</v>
      </c>
      <c r="D9488" s="2">
        <v>44927</v>
      </c>
      <c r="E9488" t="s">
        <v>20</v>
      </c>
      <c r="F9488">
        <v>172.1</v>
      </c>
      <c r="G9488" t="str">
        <f>VLOOKUP(Table1_2[[#This Row],[Categories]],Sheet3!$A$1:$B$27,2,FALSE)</f>
        <v>Housing</v>
      </c>
    </row>
    <row r="9489" spans="1:7" x14ac:dyDescent="0.3">
      <c r="A9489" t="s">
        <v>34</v>
      </c>
      <c r="B9489">
        <v>2023</v>
      </c>
      <c r="C9489" t="s">
        <v>31</v>
      </c>
      <c r="D9489" s="2">
        <v>44927</v>
      </c>
      <c r="E9489" t="s">
        <v>21</v>
      </c>
      <c r="F9489">
        <v>182</v>
      </c>
      <c r="G9489" t="str">
        <f>VLOOKUP(Table1_2[[#This Row],[Categories]],Sheet3!$A$1:$B$27,2,FALSE)</f>
        <v>Fuel and light</v>
      </c>
    </row>
    <row r="9490" spans="1:7" x14ac:dyDescent="0.3">
      <c r="A9490" t="s">
        <v>34</v>
      </c>
      <c r="B9490">
        <v>2023</v>
      </c>
      <c r="C9490" t="s">
        <v>31</v>
      </c>
      <c r="D9490" s="2">
        <v>44927</v>
      </c>
      <c r="E9490" t="s">
        <v>22</v>
      </c>
      <c r="F9490">
        <v>172.9</v>
      </c>
      <c r="G9490" t="str">
        <f>VLOOKUP(Table1_2[[#This Row],[Categories]],Sheet3!$A$1:$B$27,2,FALSE)</f>
        <v>Household Items</v>
      </c>
    </row>
    <row r="9491" spans="1:7" x14ac:dyDescent="0.3">
      <c r="A9491" t="s">
        <v>34</v>
      </c>
      <c r="B9491">
        <v>2023</v>
      </c>
      <c r="C9491" t="s">
        <v>31</v>
      </c>
      <c r="D9491" s="2">
        <v>44927</v>
      </c>
      <c r="E9491" t="s">
        <v>23</v>
      </c>
      <c r="F9491">
        <v>182.3</v>
      </c>
      <c r="G9491" t="str">
        <f>VLOOKUP(Table1_2[[#This Row],[Categories]],Sheet3!$A$1:$B$27,2,FALSE)</f>
        <v>Health</v>
      </c>
    </row>
    <row r="9492" spans="1:7" x14ac:dyDescent="0.3">
      <c r="A9492" t="s">
        <v>34</v>
      </c>
      <c r="B9492">
        <v>2023</v>
      </c>
      <c r="C9492" t="s">
        <v>31</v>
      </c>
      <c r="D9492" s="2">
        <v>44927</v>
      </c>
      <c r="E9492" t="s">
        <v>24</v>
      </c>
      <c r="F9492">
        <v>163.6</v>
      </c>
      <c r="G9492" t="str">
        <f>VLOOKUP(Table1_2[[#This Row],[Categories]],Sheet3!$A$1:$B$27,2,FALSE)</f>
        <v>Transport and communication</v>
      </c>
    </row>
    <row r="9493" spans="1:7" x14ac:dyDescent="0.3">
      <c r="A9493" t="s">
        <v>34</v>
      </c>
      <c r="B9493">
        <v>2023</v>
      </c>
      <c r="C9493" t="s">
        <v>31</v>
      </c>
      <c r="D9493" s="2">
        <v>44927</v>
      </c>
      <c r="E9493" t="s">
        <v>25</v>
      </c>
      <c r="F9493">
        <v>169.5</v>
      </c>
      <c r="G9493" t="str">
        <f>VLOOKUP(Table1_2[[#This Row],[Categories]],Sheet3!$A$1:$B$27,2,FALSE)</f>
        <v>Recreation and amusement</v>
      </c>
    </row>
    <row r="9494" spans="1:7" x14ac:dyDescent="0.3">
      <c r="A9494" t="s">
        <v>34</v>
      </c>
      <c r="B9494">
        <v>2023</v>
      </c>
      <c r="C9494" t="s">
        <v>31</v>
      </c>
      <c r="D9494" s="2">
        <v>44927</v>
      </c>
      <c r="E9494" t="s">
        <v>26</v>
      </c>
      <c r="F9494">
        <v>174.3</v>
      </c>
      <c r="G9494" t="str">
        <f>VLOOKUP(Table1_2[[#This Row],[Categories]],Sheet3!$A$1:$B$27,2,FALSE)</f>
        <v>Education</v>
      </c>
    </row>
    <row r="9495" spans="1:7" x14ac:dyDescent="0.3">
      <c r="A9495" t="s">
        <v>34</v>
      </c>
      <c r="B9495">
        <v>2023</v>
      </c>
      <c r="C9495" t="s">
        <v>31</v>
      </c>
      <c r="D9495" s="2">
        <v>44927</v>
      </c>
      <c r="E9495" t="s">
        <v>27</v>
      </c>
      <c r="F9495">
        <v>178.6</v>
      </c>
      <c r="G9495" t="str">
        <f>VLOOKUP(Table1_2[[#This Row],[Categories]],Sheet3!$A$1:$B$27,2,FALSE)</f>
        <v>Household Items</v>
      </c>
    </row>
    <row r="9496" spans="1:7" x14ac:dyDescent="0.3">
      <c r="A9496" t="s">
        <v>34</v>
      </c>
      <c r="B9496">
        <v>2023</v>
      </c>
      <c r="C9496" t="s">
        <v>31</v>
      </c>
      <c r="D9496" s="2">
        <v>44927</v>
      </c>
      <c r="E9496" t="s">
        <v>28</v>
      </c>
      <c r="F9496">
        <v>172.8</v>
      </c>
      <c r="G9496" t="str">
        <f>VLOOKUP(Table1_2[[#This Row],[Categories]],Sheet3!$A$1:$B$27,2,FALSE)</f>
        <v>Miscellaneous</v>
      </c>
    </row>
    <row r="9497" spans="1:7" x14ac:dyDescent="0.3">
      <c r="A9497" t="s">
        <v>34</v>
      </c>
      <c r="B9497">
        <v>2023</v>
      </c>
      <c r="C9497" t="s">
        <v>31</v>
      </c>
      <c r="D9497" s="2">
        <v>44927</v>
      </c>
      <c r="E9497" t="s">
        <v>29</v>
      </c>
      <c r="F9497">
        <v>176.5</v>
      </c>
      <c r="G9497" t="str">
        <f>VLOOKUP(Table1_2[[#This Row],[Categories]],Sheet3!$A$1:$B$27,2,FALSE)</f>
        <v>General index</v>
      </c>
    </row>
    <row r="9498" spans="1:7" x14ac:dyDescent="0.3">
      <c r="A9498" t="s">
        <v>30</v>
      </c>
      <c r="B9498">
        <v>2023</v>
      </c>
      <c r="C9498" t="s">
        <v>35</v>
      </c>
      <c r="D9498" s="2">
        <v>44958</v>
      </c>
      <c r="E9498" t="s">
        <v>3</v>
      </c>
      <c r="F9498">
        <v>174.2</v>
      </c>
      <c r="G9498" t="str">
        <f>VLOOKUP(Table1_2[[#This Row],[Categories]],Sheet3!$A$1:$B$27,2,FALSE)</f>
        <v>Food &amp;Beverage</v>
      </c>
    </row>
    <row r="9499" spans="1:7" x14ac:dyDescent="0.3">
      <c r="A9499" t="s">
        <v>30</v>
      </c>
      <c r="B9499">
        <v>2023</v>
      </c>
      <c r="C9499" t="s">
        <v>35</v>
      </c>
      <c r="D9499" s="2">
        <v>44958</v>
      </c>
      <c r="E9499" t="s">
        <v>4</v>
      </c>
      <c r="F9499">
        <v>205.2</v>
      </c>
      <c r="G9499" t="str">
        <f>VLOOKUP(Table1_2[[#This Row],[Categories]],Sheet3!$A$1:$B$27,2,FALSE)</f>
        <v>Food &amp;Beverage</v>
      </c>
    </row>
    <row r="9500" spans="1:7" x14ac:dyDescent="0.3">
      <c r="A9500" t="s">
        <v>30</v>
      </c>
      <c r="B9500">
        <v>2023</v>
      </c>
      <c r="C9500" t="s">
        <v>35</v>
      </c>
      <c r="D9500" s="2">
        <v>44958</v>
      </c>
      <c r="E9500" t="s">
        <v>5</v>
      </c>
      <c r="F9500">
        <v>173.9</v>
      </c>
      <c r="G9500" t="str">
        <f>VLOOKUP(Table1_2[[#This Row],[Categories]],Sheet3!$A$1:$B$27,2,FALSE)</f>
        <v>Food &amp;Beverage</v>
      </c>
    </row>
    <row r="9501" spans="1:7" x14ac:dyDescent="0.3">
      <c r="A9501" t="s">
        <v>30</v>
      </c>
      <c r="B9501">
        <v>2023</v>
      </c>
      <c r="C9501" t="s">
        <v>35</v>
      </c>
      <c r="D9501" s="2">
        <v>44958</v>
      </c>
      <c r="E9501" t="s">
        <v>6</v>
      </c>
      <c r="F9501">
        <v>177</v>
      </c>
      <c r="G9501" t="str">
        <f>VLOOKUP(Table1_2[[#This Row],[Categories]],Sheet3!$A$1:$B$27,2,FALSE)</f>
        <v>Food &amp;Beverage</v>
      </c>
    </row>
    <row r="9502" spans="1:7" x14ac:dyDescent="0.3">
      <c r="A9502" t="s">
        <v>30</v>
      </c>
      <c r="B9502">
        <v>2023</v>
      </c>
      <c r="C9502" t="s">
        <v>35</v>
      </c>
      <c r="D9502" s="2">
        <v>44958</v>
      </c>
      <c r="E9502" t="s">
        <v>7</v>
      </c>
      <c r="F9502">
        <v>183.4</v>
      </c>
      <c r="G9502" t="str">
        <f>VLOOKUP(Table1_2[[#This Row],[Categories]],Sheet3!$A$1:$B$27,2,FALSE)</f>
        <v>Food &amp;Beverage</v>
      </c>
    </row>
    <row r="9503" spans="1:7" x14ac:dyDescent="0.3">
      <c r="A9503" t="s">
        <v>30</v>
      </c>
      <c r="B9503">
        <v>2023</v>
      </c>
      <c r="C9503" t="s">
        <v>35</v>
      </c>
      <c r="D9503" s="2">
        <v>44958</v>
      </c>
      <c r="E9503" t="s">
        <v>8</v>
      </c>
      <c r="F9503">
        <v>167.2</v>
      </c>
      <c r="G9503" t="str">
        <f>VLOOKUP(Table1_2[[#This Row],[Categories]],Sheet3!$A$1:$B$27,2,FALSE)</f>
        <v>Food &amp;Beverage</v>
      </c>
    </row>
    <row r="9504" spans="1:7" x14ac:dyDescent="0.3">
      <c r="A9504" t="s">
        <v>30</v>
      </c>
      <c r="B9504">
        <v>2023</v>
      </c>
      <c r="C9504" t="s">
        <v>35</v>
      </c>
      <c r="D9504" s="2">
        <v>44958</v>
      </c>
      <c r="E9504" t="s">
        <v>9</v>
      </c>
      <c r="F9504">
        <v>140.9</v>
      </c>
      <c r="G9504" t="str">
        <f>VLOOKUP(Table1_2[[#This Row],[Categories]],Sheet3!$A$1:$B$27,2,FALSE)</f>
        <v>Food &amp;Beverage</v>
      </c>
    </row>
    <row r="9505" spans="1:7" x14ac:dyDescent="0.3">
      <c r="A9505" t="s">
        <v>30</v>
      </c>
      <c r="B9505">
        <v>2023</v>
      </c>
      <c r="C9505" t="s">
        <v>35</v>
      </c>
      <c r="D9505" s="2">
        <v>44958</v>
      </c>
      <c r="E9505" t="s">
        <v>10</v>
      </c>
      <c r="F9505">
        <v>170.4</v>
      </c>
      <c r="G9505" t="str">
        <f>VLOOKUP(Table1_2[[#This Row],[Categories]],Sheet3!$A$1:$B$27,2,FALSE)</f>
        <v>Food &amp;Beverage</v>
      </c>
    </row>
    <row r="9506" spans="1:7" x14ac:dyDescent="0.3">
      <c r="A9506" t="s">
        <v>30</v>
      </c>
      <c r="B9506">
        <v>2023</v>
      </c>
      <c r="C9506" t="s">
        <v>35</v>
      </c>
      <c r="D9506" s="2">
        <v>44958</v>
      </c>
      <c r="E9506" t="s">
        <v>11</v>
      </c>
      <c r="F9506">
        <v>119.1</v>
      </c>
      <c r="G9506" t="str">
        <f>VLOOKUP(Table1_2[[#This Row],[Categories]],Sheet3!$A$1:$B$27,2,FALSE)</f>
        <v>Food &amp;Beverage</v>
      </c>
    </row>
    <row r="9507" spans="1:7" x14ac:dyDescent="0.3">
      <c r="A9507" t="s">
        <v>30</v>
      </c>
      <c r="B9507">
        <v>2023</v>
      </c>
      <c r="C9507" t="s">
        <v>35</v>
      </c>
      <c r="D9507" s="2">
        <v>44958</v>
      </c>
      <c r="E9507" t="s">
        <v>12</v>
      </c>
      <c r="F9507">
        <v>212.1</v>
      </c>
      <c r="G9507" t="str">
        <f>VLOOKUP(Table1_2[[#This Row],[Categories]],Sheet3!$A$1:$B$27,2,FALSE)</f>
        <v>Food &amp;Beverage</v>
      </c>
    </row>
    <row r="9508" spans="1:7" x14ac:dyDescent="0.3">
      <c r="A9508" t="s">
        <v>30</v>
      </c>
      <c r="B9508">
        <v>2023</v>
      </c>
      <c r="C9508" t="s">
        <v>35</v>
      </c>
      <c r="D9508" s="2">
        <v>44958</v>
      </c>
      <c r="E9508" t="s">
        <v>13</v>
      </c>
      <c r="F9508">
        <v>177.6</v>
      </c>
      <c r="G9508" t="str">
        <f>VLOOKUP(Table1_2[[#This Row],[Categories]],Sheet3!$A$1:$B$27,2,FALSE)</f>
        <v>Food &amp;Beverage</v>
      </c>
    </row>
    <row r="9509" spans="1:7" x14ac:dyDescent="0.3">
      <c r="A9509" t="s">
        <v>30</v>
      </c>
      <c r="B9509">
        <v>2023</v>
      </c>
      <c r="C9509" t="s">
        <v>35</v>
      </c>
      <c r="D9509" s="2">
        <v>44958</v>
      </c>
      <c r="E9509" t="s">
        <v>14</v>
      </c>
      <c r="F9509">
        <v>189.9</v>
      </c>
      <c r="G9509" t="str">
        <f>VLOOKUP(Table1_2[[#This Row],[Categories]],Sheet3!$A$1:$B$27,2,FALSE)</f>
        <v>Food &amp;Beverage</v>
      </c>
    </row>
    <row r="9510" spans="1:7" x14ac:dyDescent="0.3">
      <c r="A9510" t="s">
        <v>30</v>
      </c>
      <c r="B9510">
        <v>2023</v>
      </c>
      <c r="C9510" t="s">
        <v>35</v>
      </c>
      <c r="D9510" s="2">
        <v>44958</v>
      </c>
      <c r="E9510" t="s">
        <v>15</v>
      </c>
      <c r="F9510">
        <v>174.8</v>
      </c>
      <c r="G9510" t="str">
        <f>VLOOKUP(Table1_2[[#This Row],[Categories]],Sheet3!$A$1:$B$27,2,FALSE)</f>
        <v>Food &amp;Beverage</v>
      </c>
    </row>
    <row r="9511" spans="1:7" x14ac:dyDescent="0.3">
      <c r="A9511" t="s">
        <v>30</v>
      </c>
      <c r="B9511">
        <v>2023</v>
      </c>
      <c r="C9511" t="s">
        <v>35</v>
      </c>
      <c r="D9511" s="2">
        <v>44958</v>
      </c>
      <c r="E9511" t="s">
        <v>16</v>
      </c>
      <c r="F9511">
        <v>198.3</v>
      </c>
      <c r="G9511" t="str">
        <f>VLOOKUP(Table1_2[[#This Row],[Categories]],Sheet3!$A$1:$B$27,2,FALSE)</f>
        <v>Recreation and amusement</v>
      </c>
    </row>
    <row r="9512" spans="1:7" x14ac:dyDescent="0.3">
      <c r="A9512" t="s">
        <v>30</v>
      </c>
      <c r="B9512">
        <v>2023</v>
      </c>
      <c r="C9512" t="s">
        <v>35</v>
      </c>
      <c r="D9512" s="2">
        <v>44958</v>
      </c>
      <c r="E9512" t="s">
        <v>17</v>
      </c>
      <c r="F9512">
        <v>190</v>
      </c>
      <c r="G9512" t="str">
        <f>VLOOKUP(Table1_2[[#This Row],[Categories]],Sheet3!$A$1:$B$27,2,FALSE)</f>
        <v>Clothing and footwear</v>
      </c>
    </row>
    <row r="9513" spans="1:7" x14ac:dyDescent="0.3">
      <c r="A9513" t="s">
        <v>30</v>
      </c>
      <c r="B9513">
        <v>2023</v>
      </c>
      <c r="C9513" t="s">
        <v>35</v>
      </c>
      <c r="D9513" s="2">
        <v>44958</v>
      </c>
      <c r="E9513" t="s">
        <v>18</v>
      </c>
      <c r="F9513">
        <v>187</v>
      </c>
      <c r="G9513" t="str">
        <f>VLOOKUP(Table1_2[[#This Row],[Categories]],Sheet3!$A$1:$B$27,2,FALSE)</f>
        <v>Clothing and footwear</v>
      </c>
    </row>
    <row r="9514" spans="1:7" x14ac:dyDescent="0.3">
      <c r="A9514" t="s">
        <v>30</v>
      </c>
      <c r="B9514">
        <v>2023</v>
      </c>
      <c r="C9514" t="s">
        <v>35</v>
      </c>
      <c r="D9514" s="2">
        <v>44958</v>
      </c>
      <c r="E9514" t="s">
        <v>19</v>
      </c>
      <c r="F9514">
        <v>189.6</v>
      </c>
      <c r="G9514" t="str">
        <f>VLOOKUP(Table1_2[[#This Row],[Categories]],Sheet3!$A$1:$B$27,2,FALSE)</f>
        <v>Clothing and footwear</v>
      </c>
    </row>
    <row r="9515" spans="1:7" x14ac:dyDescent="0.3">
      <c r="A9515" t="s">
        <v>30</v>
      </c>
      <c r="B9515">
        <v>2023</v>
      </c>
      <c r="C9515" t="s">
        <v>35</v>
      </c>
      <c r="D9515" s="2">
        <v>44958</v>
      </c>
      <c r="E9515" t="s">
        <v>21</v>
      </c>
      <c r="F9515">
        <v>181.6</v>
      </c>
      <c r="G9515" t="str">
        <f>VLOOKUP(Table1_2[[#This Row],[Categories]],Sheet3!$A$1:$B$27,2,FALSE)</f>
        <v>Fuel and light</v>
      </c>
    </row>
    <row r="9516" spans="1:7" x14ac:dyDescent="0.3">
      <c r="A9516" t="s">
        <v>30</v>
      </c>
      <c r="B9516">
        <v>2023</v>
      </c>
      <c r="C9516" t="s">
        <v>35</v>
      </c>
      <c r="D9516" s="2">
        <v>44958</v>
      </c>
      <c r="E9516" t="s">
        <v>22</v>
      </c>
      <c r="F9516">
        <v>178.6</v>
      </c>
      <c r="G9516" t="str">
        <f>VLOOKUP(Table1_2[[#This Row],[Categories]],Sheet3!$A$1:$B$27,2,FALSE)</f>
        <v>Household Items</v>
      </c>
    </row>
    <row r="9517" spans="1:7" x14ac:dyDescent="0.3">
      <c r="A9517" t="s">
        <v>30</v>
      </c>
      <c r="B9517">
        <v>2023</v>
      </c>
      <c r="C9517" t="s">
        <v>35</v>
      </c>
      <c r="D9517" s="2">
        <v>44958</v>
      </c>
      <c r="E9517" t="s">
        <v>23</v>
      </c>
      <c r="F9517">
        <v>186.6</v>
      </c>
      <c r="G9517" t="str">
        <f>VLOOKUP(Table1_2[[#This Row],[Categories]],Sheet3!$A$1:$B$27,2,FALSE)</f>
        <v>Health</v>
      </c>
    </row>
    <row r="9518" spans="1:7" x14ac:dyDescent="0.3">
      <c r="A9518" t="s">
        <v>30</v>
      </c>
      <c r="B9518">
        <v>2023</v>
      </c>
      <c r="C9518" t="s">
        <v>35</v>
      </c>
      <c r="D9518" s="2">
        <v>44958</v>
      </c>
      <c r="E9518" t="s">
        <v>24</v>
      </c>
      <c r="F9518">
        <v>169</v>
      </c>
      <c r="G9518" t="str">
        <f>VLOOKUP(Table1_2[[#This Row],[Categories]],Sheet3!$A$1:$B$27,2,FALSE)</f>
        <v>Transport and communication</v>
      </c>
    </row>
    <row r="9519" spans="1:7" x14ac:dyDescent="0.3">
      <c r="A9519" t="s">
        <v>30</v>
      </c>
      <c r="B9519">
        <v>2023</v>
      </c>
      <c r="C9519" t="s">
        <v>35</v>
      </c>
      <c r="D9519" s="2">
        <v>44958</v>
      </c>
      <c r="E9519" t="s">
        <v>25</v>
      </c>
      <c r="F9519">
        <v>172.8</v>
      </c>
      <c r="G9519" t="str">
        <f>VLOOKUP(Table1_2[[#This Row],[Categories]],Sheet3!$A$1:$B$27,2,FALSE)</f>
        <v>Recreation and amusement</v>
      </c>
    </row>
    <row r="9520" spans="1:7" x14ac:dyDescent="0.3">
      <c r="A9520" t="s">
        <v>30</v>
      </c>
      <c r="B9520">
        <v>2023</v>
      </c>
      <c r="C9520" t="s">
        <v>35</v>
      </c>
      <c r="D9520" s="2">
        <v>44958</v>
      </c>
      <c r="E9520" t="s">
        <v>26</v>
      </c>
      <c r="F9520">
        <v>178.5</v>
      </c>
      <c r="G9520" t="str">
        <f>VLOOKUP(Table1_2[[#This Row],[Categories]],Sheet3!$A$1:$B$27,2,FALSE)</f>
        <v>Education</v>
      </c>
    </row>
    <row r="9521" spans="1:7" x14ac:dyDescent="0.3">
      <c r="A9521" t="s">
        <v>30</v>
      </c>
      <c r="B9521">
        <v>2023</v>
      </c>
      <c r="C9521" t="s">
        <v>35</v>
      </c>
      <c r="D9521" s="2">
        <v>44958</v>
      </c>
      <c r="E9521" t="s">
        <v>27</v>
      </c>
      <c r="F9521">
        <v>180.7</v>
      </c>
      <c r="G9521" t="str">
        <f>VLOOKUP(Table1_2[[#This Row],[Categories]],Sheet3!$A$1:$B$27,2,FALSE)</f>
        <v>Household Items</v>
      </c>
    </row>
    <row r="9522" spans="1:7" x14ac:dyDescent="0.3">
      <c r="A9522" t="s">
        <v>30</v>
      </c>
      <c r="B9522">
        <v>2023</v>
      </c>
      <c r="C9522" t="s">
        <v>35</v>
      </c>
      <c r="D9522" s="2">
        <v>44958</v>
      </c>
      <c r="E9522" t="s">
        <v>28</v>
      </c>
      <c r="F9522">
        <v>177.9</v>
      </c>
      <c r="G9522" t="str">
        <f>VLOOKUP(Table1_2[[#This Row],[Categories]],Sheet3!$A$1:$B$27,2,FALSE)</f>
        <v>Miscellaneous</v>
      </c>
    </row>
    <row r="9523" spans="1:7" x14ac:dyDescent="0.3">
      <c r="A9523" t="s">
        <v>30</v>
      </c>
      <c r="B9523">
        <v>2023</v>
      </c>
      <c r="C9523" t="s">
        <v>35</v>
      </c>
      <c r="D9523" s="2">
        <v>44958</v>
      </c>
      <c r="E9523" t="s">
        <v>29</v>
      </c>
      <c r="F9523">
        <v>178</v>
      </c>
      <c r="G9523" t="str">
        <f>VLOOKUP(Table1_2[[#This Row],[Categories]],Sheet3!$A$1:$B$27,2,FALSE)</f>
        <v>General index</v>
      </c>
    </row>
    <row r="9524" spans="1:7" x14ac:dyDescent="0.3">
      <c r="A9524" t="s">
        <v>33</v>
      </c>
      <c r="B9524">
        <v>2023</v>
      </c>
      <c r="C9524" t="s">
        <v>35</v>
      </c>
      <c r="D9524" s="2">
        <v>44958</v>
      </c>
      <c r="E9524" t="s">
        <v>3</v>
      </c>
      <c r="F9524">
        <v>174.7</v>
      </c>
      <c r="G9524" t="str">
        <f>VLOOKUP(Table1_2[[#This Row],[Categories]],Sheet3!$A$1:$B$27,2,FALSE)</f>
        <v>Food &amp;Beverage</v>
      </c>
    </row>
    <row r="9525" spans="1:7" x14ac:dyDescent="0.3">
      <c r="A9525" t="s">
        <v>33</v>
      </c>
      <c r="B9525">
        <v>2023</v>
      </c>
      <c r="C9525" t="s">
        <v>35</v>
      </c>
      <c r="D9525" s="2">
        <v>44958</v>
      </c>
      <c r="E9525" t="s">
        <v>4</v>
      </c>
      <c r="F9525">
        <v>212.2</v>
      </c>
      <c r="G9525" t="str">
        <f>VLOOKUP(Table1_2[[#This Row],[Categories]],Sheet3!$A$1:$B$27,2,FALSE)</f>
        <v>Food &amp;Beverage</v>
      </c>
    </row>
    <row r="9526" spans="1:7" x14ac:dyDescent="0.3">
      <c r="A9526" t="s">
        <v>33</v>
      </c>
      <c r="B9526">
        <v>2023</v>
      </c>
      <c r="C9526" t="s">
        <v>35</v>
      </c>
      <c r="D9526" s="2">
        <v>44958</v>
      </c>
      <c r="E9526" t="s">
        <v>5</v>
      </c>
      <c r="F9526">
        <v>177.2</v>
      </c>
      <c r="G9526" t="str">
        <f>VLOOKUP(Table1_2[[#This Row],[Categories]],Sheet3!$A$1:$B$27,2,FALSE)</f>
        <v>Food &amp;Beverage</v>
      </c>
    </row>
    <row r="9527" spans="1:7" x14ac:dyDescent="0.3">
      <c r="A9527" t="s">
        <v>33</v>
      </c>
      <c r="B9527">
        <v>2023</v>
      </c>
      <c r="C9527" t="s">
        <v>35</v>
      </c>
      <c r="D9527" s="2">
        <v>44958</v>
      </c>
      <c r="E9527" t="s">
        <v>6</v>
      </c>
      <c r="F9527">
        <v>177.9</v>
      </c>
      <c r="G9527" t="str">
        <f>VLOOKUP(Table1_2[[#This Row],[Categories]],Sheet3!$A$1:$B$27,2,FALSE)</f>
        <v>Food &amp;Beverage</v>
      </c>
    </row>
    <row r="9528" spans="1:7" x14ac:dyDescent="0.3">
      <c r="A9528" t="s">
        <v>33</v>
      </c>
      <c r="B9528">
        <v>2023</v>
      </c>
      <c r="C9528" t="s">
        <v>35</v>
      </c>
      <c r="D9528" s="2">
        <v>44958</v>
      </c>
      <c r="E9528" t="s">
        <v>7</v>
      </c>
      <c r="F9528">
        <v>172.2</v>
      </c>
      <c r="G9528" t="str">
        <f>VLOOKUP(Table1_2[[#This Row],[Categories]],Sheet3!$A$1:$B$27,2,FALSE)</f>
        <v>Food &amp;Beverage</v>
      </c>
    </row>
    <row r="9529" spans="1:7" x14ac:dyDescent="0.3">
      <c r="A9529" t="s">
        <v>33</v>
      </c>
      <c r="B9529">
        <v>2023</v>
      </c>
      <c r="C9529" t="s">
        <v>35</v>
      </c>
      <c r="D9529" s="2">
        <v>44958</v>
      </c>
      <c r="E9529" t="s">
        <v>8</v>
      </c>
      <c r="F9529">
        <v>172.1</v>
      </c>
      <c r="G9529" t="str">
        <f>VLOOKUP(Table1_2[[#This Row],[Categories]],Sheet3!$A$1:$B$27,2,FALSE)</f>
        <v>Food &amp;Beverage</v>
      </c>
    </row>
    <row r="9530" spans="1:7" x14ac:dyDescent="0.3">
      <c r="A9530" t="s">
        <v>33</v>
      </c>
      <c r="B9530">
        <v>2023</v>
      </c>
      <c r="C9530" t="s">
        <v>35</v>
      </c>
      <c r="D9530" s="2">
        <v>44958</v>
      </c>
      <c r="E9530" t="s">
        <v>9</v>
      </c>
      <c r="F9530">
        <v>175.8</v>
      </c>
      <c r="G9530" t="str">
        <f>VLOOKUP(Table1_2[[#This Row],[Categories]],Sheet3!$A$1:$B$27,2,FALSE)</f>
        <v>Food &amp;Beverage</v>
      </c>
    </row>
    <row r="9531" spans="1:7" x14ac:dyDescent="0.3">
      <c r="A9531" t="s">
        <v>33</v>
      </c>
      <c r="B9531">
        <v>2023</v>
      </c>
      <c r="C9531" t="s">
        <v>35</v>
      </c>
      <c r="D9531" s="2">
        <v>44958</v>
      </c>
      <c r="E9531" t="s">
        <v>10</v>
      </c>
      <c r="F9531">
        <v>172.2</v>
      </c>
      <c r="G9531" t="str">
        <f>VLOOKUP(Table1_2[[#This Row],[Categories]],Sheet3!$A$1:$B$27,2,FALSE)</f>
        <v>Food &amp;Beverage</v>
      </c>
    </row>
    <row r="9532" spans="1:7" x14ac:dyDescent="0.3">
      <c r="A9532" t="s">
        <v>33</v>
      </c>
      <c r="B9532">
        <v>2023</v>
      </c>
      <c r="C9532" t="s">
        <v>35</v>
      </c>
      <c r="D9532" s="2">
        <v>44958</v>
      </c>
      <c r="E9532" t="s">
        <v>11</v>
      </c>
      <c r="F9532">
        <v>121.9</v>
      </c>
      <c r="G9532" t="str">
        <f>VLOOKUP(Table1_2[[#This Row],[Categories]],Sheet3!$A$1:$B$27,2,FALSE)</f>
        <v>Food &amp;Beverage</v>
      </c>
    </row>
    <row r="9533" spans="1:7" x14ac:dyDescent="0.3">
      <c r="A9533" t="s">
        <v>33</v>
      </c>
      <c r="B9533">
        <v>2023</v>
      </c>
      <c r="C9533" t="s">
        <v>35</v>
      </c>
      <c r="D9533" s="2">
        <v>44958</v>
      </c>
      <c r="E9533" t="s">
        <v>12</v>
      </c>
      <c r="F9533">
        <v>204.8</v>
      </c>
      <c r="G9533" t="str">
        <f>VLOOKUP(Table1_2[[#This Row],[Categories]],Sheet3!$A$1:$B$27,2,FALSE)</f>
        <v>Food &amp;Beverage</v>
      </c>
    </row>
    <row r="9534" spans="1:7" x14ac:dyDescent="0.3">
      <c r="A9534" t="s">
        <v>33</v>
      </c>
      <c r="B9534">
        <v>2023</v>
      </c>
      <c r="C9534" t="s">
        <v>35</v>
      </c>
      <c r="D9534" s="2">
        <v>44958</v>
      </c>
      <c r="E9534" t="s">
        <v>13</v>
      </c>
      <c r="F9534">
        <v>164.9</v>
      </c>
      <c r="G9534" t="str">
        <f>VLOOKUP(Table1_2[[#This Row],[Categories]],Sheet3!$A$1:$B$27,2,FALSE)</f>
        <v>Food &amp;Beverage</v>
      </c>
    </row>
    <row r="9535" spans="1:7" x14ac:dyDescent="0.3">
      <c r="A9535" t="s">
        <v>33</v>
      </c>
      <c r="B9535">
        <v>2023</v>
      </c>
      <c r="C9535" t="s">
        <v>35</v>
      </c>
      <c r="D9535" s="2">
        <v>44958</v>
      </c>
      <c r="E9535" t="s">
        <v>14</v>
      </c>
      <c r="F9535">
        <v>196.6</v>
      </c>
      <c r="G9535" t="str">
        <f>VLOOKUP(Table1_2[[#This Row],[Categories]],Sheet3!$A$1:$B$27,2,FALSE)</f>
        <v>Food &amp;Beverage</v>
      </c>
    </row>
    <row r="9536" spans="1:7" x14ac:dyDescent="0.3">
      <c r="A9536" t="s">
        <v>33</v>
      </c>
      <c r="B9536">
        <v>2023</v>
      </c>
      <c r="C9536" t="s">
        <v>35</v>
      </c>
      <c r="D9536" s="2">
        <v>44958</v>
      </c>
      <c r="E9536" t="s">
        <v>15</v>
      </c>
      <c r="F9536">
        <v>180.7</v>
      </c>
      <c r="G9536" t="str">
        <f>VLOOKUP(Table1_2[[#This Row],[Categories]],Sheet3!$A$1:$B$27,2,FALSE)</f>
        <v>Food &amp;Beverage</v>
      </c>
    </row>
    <row r="9537" spans="1:7" x14ac:dyDescent="0.3">
      <c r="A9537" t="s">
        <v>33</v>
      </c>
      <c r="B9537">
        <v>2023</v>
      </c>
      <c r="C9537" t="s">
        <v>35</v>
      </c>
      <c r="D9537" s="2">
        <v>44958</v>
      </c>
      <c r="E9537" t="s">
        <v>16</v>
      </c>
      <c r="F9537">
        <v>202.7</v>
      </c>
      <c r="G9537" t="str">
        <f>VLOOKUP(Table1_2[[#This Row],[Categories]],Sheet3!$A$1:$B$27,2,FALSE)</f>
        <v>Recreation and amusement</v>
      </c>
    </row>
    <row r="9538" spans="1:7" x14ac:dyDescent="0.3">
      <c r="A9538" t="s">
        <v>33</v>
      </c>
      <c r="B9538">
        <v>2023</v>
      </c>
      <c r="C9538" t="s">
        <v>35</v>
      </c>
      <c r="D9538" s="2">
        <v>44958</v>
      </c>
      <c r="E9538" t="s">
        <v>17</v>
      </c>
      <c r="F9538">
        <v>180.3</v>
      </c>
      <c r="G9538" t="str">
        <f>VLOOKUP(Table1_2[[#This Row],[Categories]],Sheet3!$A$1:$B$27,2,FALSE)</f>
        <v>Clothing and footwear</v>
      </c>
    </row>
    <row r="9539" spans="1:7" x14ac:dyDescent="0.3">
      <c r="A9539" t="s">
        <v>33</v>
      </c>
      <c r="B9539">
        <v>2023</v>
      </c>
      <c r="C9539" t="s">
        <v>35</v>
      </c>
      <c r="D9539" s="2">
        <v>44958</v>
      </c>
      <c r="E9539" t="s">
        <v>18</v>
      </c>
      <c r="F9539">
        <v>167</v>
      </c>
      <c r="G9539" t="str">
        <f>VLOOKUP(Table1_2[[#This Row],[Categories]],Sheet3!$A$1:$B$27,2,FALSE)</f>
        <v>Clothing and footwear</v>
      </c>
    </row>
    <row r="9540" spans="1:7" x14ac:dyDescent="0.3">
      <c r="A9540" t="s">
        <v>33</v>
      </c>
      <c r="B9540">
        <v>2023</v>
      </c>
      <c r="C9540" t="s">
        <v>35</v>
      </c>
      <c r="D9540" s="2">
        <v>44958</v>
      </c>
      <c r="E9540" t="s">
        <v>19</v>
      </c>
      <c r="F9540">
        <v>178.2</v>
      </c>
      <c r="G9540" t="str">
        <f>VLOOKUP(Table1_2[[#This Row],[Categories]],Sheet3!$A$1:$B$27,2,FALSE)</f>
        <v>Clothing and footwear</v>
      </c>
    </row>
    <row r="9541" spans="1:7" x14ac:dyDescent="0.3">
      <c r="A9541" t="s">
        <v>33</v>
      </c>
      <c r="B9541">
        <v>2023</v>
      </c>
      <c r="C9541" t="s">
        <v>35</v>
      </c>
      <c r="D9541" s="2">
        <v>44958</v>
      </c>
      <c r="E9541" t="s">
        <v>20</v>
      </c>
      <c r="F9541">
        <v>173.5</v>
      </c>
      <c r="G9541" t="str">
        <f>VLOOKUP(Table1_2[[#This Row],[Categories]],Sheet3!$A$1:$B$27,2,FALSE)</f>
        <v>Housing</v>
      </c>
    </row>
    <row r="9542" spans="1:7" x14ac:dyDescent="0.3">
      <c r="A9542" t="s">
        <v>33</v>
      </c>
      <c r="B9542">
        <v>2023</v>
      </c>
      <c r="C9542" t="s">
        <v>35</v>
      </c>
      <c r="D9542" s="2">
        <v>44958</v>
      </c>
      <c r="E9542" t="s">
        <v>21</v>
      </c>
      <c r="F9542">
        <v>182.8</v>
      </c>
      <c r="G9542" t="str">
        <f>VLOOKUP(Table1_2[[#This Row],[Categories]],Sheet3!$A$1:$B$27,2,FALSE)</f>
        <v>Fuel and light</v>
      </c>
    </row>
    <row r="9543" spans="1:7" x14ac:dyDescent="0.3">
      <c r="A9543" t="s">
        <v>33</v>
      </c>
      <c r="B9543">
        <v>2023</v>
      </c>
      <c r="C9543" t="s">
        <v>35</v>
      </c>
      <c r="D9543" s="2">
        <v>44958</v>
      </c>
      <c r="E9543" t="s">
        <v>22</v>
      </c>
      <c r="F9543">
        <v>169.2</v>
      </c>
      <c r="G9543" t="str">
        <f>VLOOKUP(Table1_2[[#This Row],[Categories]],Sheet3!$A$1:$B$27,2,FALSE)</f>
        <v>Household Items</v>
      </c>
    </row>
    <row r="9544" spans="1:7" x14ac:dyDescent="0.3">
      <c r="A9544" t="s">
        <v>33</v>
      </c>
      <c r="B9544">
        <v>2023</v>
      </c>
      <c r="C9544" t="s">
        <v>35</v>
      </c>
      <c r="D9544" s="2">
        <v>44958</v>
      </c>
      <c r="E9544" t="s">
        <v>23</v>
      </c>
      <c r="F9544">
        <v>180.8</v>
      </c>
      <c r="G9544" t="str">
        <f>VLOOKUP(Table1_2[[#This Row],[Categories]],Sheet3!$A$1:$B$27,2,FALSE)</f>
        <v>Health</v>
      </c>
    </row>
    <row r="9545" spans="1:7" x14ac:dyDescent="0.3">
      <c r="A9545" t="s">
        <v>33</v>
      </c>
      <c r="B9545">
        <v>2023</v>
      </c>
      <c r="C9545" t="s">
        <v>35</v>
      </c>
      <c r="D9545" s="2">
        <v>44958</v>
      </c>
      <c r="E9545" t="s">
        <v>24</v>
      </c>
      <c r="F9545">
        <v>159.80000000000001</v>
      </c>
      <c r="G9545" t="str">
        <f>VLOOKUP(Table1_2[[#This Row],[Categories]],Sheet3!$A$1:$B$27,2,FALSE)</f>
        <v>Transport and communication</v>
      </c>
    </row>
    <row r="9546" spans="1:7" x14ac:dyDescent="0.3">
      <c r="A9546" t="s">
        <v>33</v>
      </c>
      <c r="B9546">
        <v>2023</v>
      </c>
      <c r="C9546" t="s">
        <v>35</v>
      </c>
      <c r="D9546" s="2">
        <v>44958</v>
      </c>
      <c r="E9546" t="s">
        <v>25</v>
      </c>
      <c r="F9546">
        <v>168.4</v>
      </c>
      <c r="G9546" t="str">
        <f>VLOOKUP(Table1_2[[#This Row],[Categories]],Sheet3!$A$1:$B$27,2,FALSE)</f>
        <v>Recreation and amusement</v>
      </c>
    </row>
    <row r="9547" spans="1:7" x14ac:dyDescent="0.3">
      <c r="A9547" t="s">
        <v>33</v>
      </c>
      <c r="B9547">
        <v>2023</v>
      </c>
      <c r="C9547" t="s">
        <v>35</v>
      </c>
      <c r="D9547" s="2">
        <v>44958</v>
      </c>
      <c r="E9547" t="s">
        <v>26</v>
      </c>
      <c r="F9547">
        <v>172.5</v>
      </c>
      <c r="G9547" t="str">
        <f>VLOOKUP(Table1_2[[#This Row],[Categories]],Sheet3!$A$1:$B$27,2,FALSE)</f>
        <v>Education</v>
      </c>
    </row>
    <row r="9548" spans="1:7" x14ac:dyDescent="0.3">
      <c r="A9548" t="s">
        <v>33</v>
      </c>
      <c r="B9548">
        <v>2023</v>
      </c>
      <c r="C9548" t="s">
        <v>35</v>
      </c>
      <c r="D9548" s="2">
        <v>44958</v>
      </c>
      <c r="E9548" t="s">
        <v>27</v>
      </c>
      <c r="F9548">
        <v>181.4</v>
      </c>
      <c r="G9548" t="str">
        <f>VLOOKUP(Table1_2[[#This Row],[Categories]],Sheet3!$A$1:$B$27,2,FALSE)</f>
        <v>Household Items</v>
      </c>
    </row>
    <row r="9549" spans="1:7" x14ac:dyDescent="0.3">
      <c r="A9549" t="s">
        <v>33</v>
      </c>
      <c r="B9549">
        <v>2023</v>
      </c>
      <c r="C9549" t="s">
        <v>35</v>
      </c>
      <c r="D9549" s="2">
        <v>44958</v>
      </c>
      <c r="E9549" t="s">
        <v>28</v>
      </c>
      <c r="F9549">
        <v>170</v>
      </c>
      <c r="G9549" t="str">
        <f>VLOOKUP(Table1_2[[#This Row],[Categories]],Sheet3!$A$1:$B$27,2,FALSE)</f>
        <v>Miscellaneous</v>
      </c>
    </row>
    <row r="9550" spans="1:7" x14ac:dyDescent="0.3">
      <c r="A9550" t="s">
        <v>33</v>
      </c>
      <c r="B9550">
        <v>2023</v>
      </c>
      <c r="C9550" t="s">
        <v>35</v>
      </c>
      <c r="D9550" s="2">
        <v>44958</v>
      </c>
      <c r="E9550" t="s">
        <v>29</v>
      </c>
      <c r="F9550">
        <v>176.3</v>
      </c>
      <c r="G9550" t="str">
        <f>VLOOKUP(Table1_2[[#This Row],[Categories]],Sheet3!$A$1:$B$27,2,FALSE)</f>
        <v>General index</v>
      </c>
    </row>
    <row r="9551" spans="1:7" x14ac:dyDescent="0.3">
      <c r="A9551" t="s">
        <v>34</v>
      </c>
      <c r="B9551">
        <v>2023</v>
      </c>
      <c r="C9551" t="s">
        <v>35</v>
      </c>
      <c r="D9551" s="2">
        <v>44958</v>
      </c>
      <c r="E9551" t="s">
        <v>3</v>
      </c>
      <c r="F9551">
        <v>174.4</v>
      </c>
      <c r="G9551" t="str">
        <f>VLOOKUP(Table1_2[[#This Row],[Categories]],Sheet3!$A$1:$B$27,2,FALSE)</f>
        <v>Food &amp;Beverage</v>
      </c>
    </row>
    <row r="9552" spans="1:7" x14ac:dyDescent="0.3">
      <c r="A9552" t="s">
        <v>34</v>
      </c>
      <c r="B9552">
        <v>2023</v>
      </c>
      <c r="C9552" t="s">
        <v>35</v>
      </c>
      <c r="D9552" s="2">
        <v>44958</v>
      </c>
      <c r="E9552" t="s">
        <v>4</v>
      </c>
      <c r="F9552">
        <v>207.7</v>
      </c>
      <c r="G9552" t="str">
        <f>VLOOKUP(Table1_2[[#This Row],[Categories]],Sheet3!$A$1:$B$27,2,FALSE)</f>
        <v>Food &amp;Beverage</v>
      </c>
    </row>
    <row r="9553" spans="1:7" x14ac:dyDescent="0.3">
      <c r="A9553" t="s">
        <v>34</v>
      </c>
      <c r="B9553">
        <v>2023</v>
      </c>
      <c r="C9553" t="s">
        <v>35</v>
      </c>
      <c r="D9553" s="2">
        <v>44958</v>
      </c>
      <c r="E9553" t="s">
        <v>5</v>
      </c>
      <c r="F9553">
        <v>175.2</v>
      </c>
      <c r="G9553" t="str">
        <f>VLOOKUP(Table1_2[[#This Row],[Categories]],Sheet3!$A$1:$B$27,2,FALSE)</f>
        <v>Food &amp;Beverage</v>
      </c>
    </row>
    <row r="9554" spans="1:7" x14ac:dyDescent="0.3">
      <c r="A9554" t="s">
        <v>34</v>
      </c>
      <c r="B9554">
        <v>2023</v>
      </c>
      <c r="C9554" t="s">
        <v>35</v>
      </c>
      <c r="D9554" s="2">
        <v>44958</v>
      </c>
      <c r="E9554" t="s">
        <v>6</v>
      </c>
      <c r="F9554">
        <v>177.3</v>
      </c>
      <c r="G9554" t="str">
        <f>VLOOKUP(Table1_2[[#This Row],[Categories]],Sheet3!$A$1:$B$27,2,FALSE)</f>
        <v>Food &amp;Beverage</v>
      </c>
    </row>
    <row r="9555" spans="1:7" x14ac:dyDescent="0.3">
      <c r="A9555" t="s">
        <v>34</v>
      </c>
      <c r="B9555">
        <v>2023</v>
      </c>
      <c r="C9555" t="s">
        <v>35</v>
      </c>
      <c r="D9555" s="2">
        <v>44958</v>
      </c>
      <c r="E9555" t="s">
        <v>7</v>
      </c>
      <c r="F9555">
        <v>179.3</v>
      </c>
      <c r="G9555" t="str">
        <f>VLOOKUP(Table1_2[[#This Row],[Categories]],Sheet3!$A$1:$B$27,2,FALSE)</f>
        <v>Food &amp;Beverage</v>
      </c>
    </row>
    <row r="9556" spans="1:7" x14ac:dyDescent="0.3">
      <c r="A9556" t="s">
        <v>34</v>
      </c>
      <c r="B9556">
        <v>2023</v>
      </c>
      <c r="C9556" t="s">
        <v>35</v>
      </c>
      <c r="D9556" s="2">
        <v>44958</v>
      </c>
      <c r="E9556" t="s">
        <v>8</v>
      </c>
      <c r="F9556">
        <v>169.5</v>
      </c>
      <c r="G9556" t="str">
        <f>VLOOKUP(Table1_2[[#This Row],[Categories]],Sheet3!$A$1:$B$27,2,FALSE)</f>
        <v>Food &amp;Beverage</v>
      </c>
    </row>
    <row r="9557" spans="1:7" x14ac:dyDescent="0.3">
      <c r="A9557" t="s">
        <v>34</v>
      </c>
      <c r="B9557">
        <v>2023</v>
      </c>
      <c r="C9557" t="s">
        <v>35</v>
      </c>
      <c r="D9557" s="2">
        <v>44958</v>
      </c>
      <c r="E9557" t="s">
        <v>9</v>
      </c>
      <c r="F9557">
        <v>152.69999999999999</v>
      </c>
      <c r="G9557" t="str">
        <f>VLOOKUP(Table1_2[[#This Row],[Categories]],Sheet3!$A$1:$B$27,2,FALSE)</f>
        <v>Food &amp;Beverage</v>
      </c>
    </row>
    <row r="9558" spans="1:7" x14ac:dyDescent="0.3">
      <c r="A9558" t="s">
        <v>34</v>
      </c>
      <c r="B9558">
        <v>2023</v>
      </c>
      <c r="C9558" t="s">
        <v>35</v>
      </c>
      <c r="D9558" s="2">
        <v>44958</v>
      </c>
      <c r="E9558" t="s">
        <v>10</v>
      </c>
      <c r="F9558">
        <v>171</v>
      </c>
      <c r="G9558" t="str">
        <f>VLOOKUP(Table1_2[[#This Row],[Categories]],Sheet3!$A$1:$B$27,2,FALSE)</f>
        <v>Food &amp;Beverage</v>
      </c>
    </row>
    <row r="9559" spans="1:7" x14ac:dyDescent="0.3">
      <c r="A9559" t="s">
        <v>34</v>
      </c>
      <c r="B9559">
        <v>2023</v>
      </c>
      <c r="C9559" t="s">
        <v>35</v>
      </c>
      <c r="D9559" s="2">
        <v>44958</v>
      </c>
      <c r="E9559" t="s">
        <v>11</v>
      </c>
      <c r="F9559">
        <v>120</v>
      </c>
      <c r="G9559" t="str">
        <f>VLOOKUP(Table1_2[[#This Row],[Categories]],Sheet3!$A$1:$B$27,2,FALSE)</f>
        <v>Food &amp;Beverage</v>
      </c>
    </row>
    <row r="9560" spans="1:7" x14ac:dyDescent="0.3">
      <c r="A9560" t="s">
        <v>34</v>
      </c>
      <c r="B9560">
        <v>2023</v>
      </c>
      <c r="C9560" t="s">
        <v>35</v>
      </c>
      <c r="D9560" s="2">
        <v>44958</v>
      </c>
      <c r="E9560" t="s">
        <v>12</v>
      </c>
      <c r="F9560">
        <v>209.7</v>
      </c>
      <c r="G9560" t="str">
        <f>VLOOKUP(Table1_2[[#This Row],[Categories]],Sheet3!$A$1:$B$27,2,FALSE)</f>
        <v>Food &amp;Beverage</v>
      </c>
    </row>
    <row r="9561" spans="1:7" x14ac:dyDescent="0.3">
      <c r="A9561" t="s">
        <v>34</v>
      </c>
      <c r="B9561">
        <v>2023</v>
      </c>
      <c r="C9561" t="s">
        <v>35</v>
      </c>
      <c r="D9561" s="2">
        <v>44958</v>
      </c>
      <c r="E9561" t="s">
        <v>13</v>
      </c>
      <c r="F9561">
        <v>172.3</v>
      </c>
      <c r="G9561" t="str">
        <f>VLOOKUP(Table1_2[[#This Row],[Categories]],Sheet3!$A$1:$B$27,2,FALSE)</f>
        <v>Food &amp;Beverage</v>
      </c>
    </row>
    <row r="9562" spans="1:7" x14ac:dyDescent="0.3">
      <c r="A9562" t="s">
        <v>34</v>
      </c>
      <c r="B9562">
        <v>2023</v>
      </c>
      <c r="C9562" t="s">
        <v>35</v>
      </c>
      <c r="D9562" s="2">
        <v>44958</v>
      </c>
      <c r="E9562" t="s">
        <v>14</v>
      </c>
      <c r="F9562">
        <v>193</v>
      </c>
      <c r="G9562" t="str">
        <f>VLOOKUP(Table1_2[[#This Row],[Categories]],Sheet3!$A$1:$B$27,2,FALSE)</f>
        <v>Food &amp;Beverage</v>
      </c>
    </row>
    <row r="9563" spans="1:7" x14ac:dyDescent="0.3">
      <c r="A9563" t="s">
        <v>34</v>
      </c>
      <c r="B9563">
        <v>2023</v>
      </c>
      <c r="C9563" t="s">
        <v>35</v>
      </c>
      <c r="D9563" s="2">
        <v>44958</v>
      </c>
      <c r="E9563" t="s">
        <v>15</v>
      </c>
      <c r="F9563">
        <v>177</v>
      </c>
      <c r="G9563" t="str">
        <f>VLOOKUP(Table1_2[[#This Row],[Categories]],Sheet3!$A$1:$B$27,2,FALSE)</f>
        <v>Food &amp;Beverage</v>
      </c>
    </row>
    <row r="9564" spans="1:7" x14ac:dyDescent="0.3">
      <c r="A9564" t="s">
        <v>34</v>
      </c>
      <c r="B9564">
        <v>2023</v>
      </c>
      <c r="C9564" t="s">
        <v>35</v>
      </c>
      <c r="D9564" s="2">
        <v>44958</v>
      </c>
      <c r="E9564" t="s">
        <v>16</v>
      </c>
      <c r="F9564">
        <v>199.5</v>
      </c>
      <c r="G9564" t="str">
        <f>VLOOKUP(Table1_2[[#This Row],[Categories]],Sheet3!$A$1:$B$27,2,FALSE)</f>
        <v>Recreation and amusement</v>
      </c>
    </row>
    <row r="9565" spans="1:7" x14ac:dyDescent="0.3">
      <c r="A9565" t="s">
        <v>34</v>
      </c>
      <c r="B9565">
        <v>2023</v>
      </c>
      <c r="C9565" t="s">
        <v>35</v>
      </c>
      <c r="D9565" s="2">
        <v>44958</v>
      </c>
      <c r="E9565" t="s">
        <v>17</v>
      </c>
      <c r="F9565">
        <v>186.2</v>
      </c>
      <c r="G9565" t="str">
        <f>VLOOKUP(Table1_2[[#This Row],[Categories]],Sheet3!$A$1:$B$27,2,FALSE)</f>
        <v>Clothing and footwear</v>
      </c>
    </row>
    <row r="9566" spans="1:7" x14ac:dyDescent="0.3">
      <c r="A9566" t="s">
        <v>34</v>
      </c>
      <c r="B9566">
        <v>2023</v>
      </c>
      <c r="C9566" t="s">
        <v>35</v>
      </c>
      <c r="D9566" s="2">
        <v>44958</v>
      </c>
      <c r="E9566" t="s">
        <v>18</v>
      </c>
      <c r="F9566">
        <v>178.7</v>
      </c>
      <c r="G9566" t="str">
        <f>VLOOKUP(Table1_2[[#This Row],[Categories]],Sheet3!$A$1:$B$27,2,FALSE)</f>
        <v>Clothing and footwear</v>
      </c>
    </row>
    <row r="9567" spans="1:7" x14ac:dyDescent="0.3">
      <c r="A9567" t="s">
        <v>34</v>
      </c>
      <c r="B9567">
        <v>2023</v>
      </c>
      <c r="C9567" t="s">
        <v>35</v>
      </c>
      <c r="D9567" s="2">
        <v>44958</v>
      </c>
      <c r="E9567" t="s">
        <v>19</v>
      </c>
      <c r="F9567">
        <v>185.1</v>
      </c>
      <c r="G9567" t="str">
        <f>VLOOKUP(Table1_2[[#This Row],[Categories]],Sheet3!$A$1:$B$27,2,FALSE)</f>
        <v>Clothing and footwear</v>
      </c>
    </row>
    <row r="9568" spans="1:7" x14ac:dyDescent="0.3">
      <c r="A9568" t="s">
        <v>34</v>
      </c>
      <c r="B9568">
        <v>2023</v>
      </c>
      <c r="C9568" t="s">
        <v>35</v>
      </c>
      <c r="D9568" s="2">
        <v>44958</v>
      </c>
      <c r="E9568" t="s">
        <v>20</v>
      </c>
      <c r="F9568">
        <v>173.5</v>
      </c>
      <c r="G9568" t="str">
        <f>VLOOKUP(Table1_2[[#This Row],[Categories]],Sheet3!$A$1:$B$27,2,FALSE)</f>
        <v>Housing</v>
      </c>
    </row>
    <row r="9569" spans="1:7" x14ac:dyDescent="0.3">
      <c r="A9569" t="s">
        <v>34</v>
      </c>
      <c r="B9569">
        <v>2023</v>
      </c>
      <c r="C9569" t="s">
        <v>35</v>
      </c>
      <c r="D9569" s="2">
        <v>44958</v>
      </c>
      <c r="E9569" t="s">
        <v>21</v>
      </c>
      <c r="F9569">
        <v>182.1</v>
      </c>
      <c r="G9569" t="str">
        <f>VLOOKUP(Table1_2[[#This Row],[Categories]],Sheet3!$A$1:$B$27,2,FALSE)</f>
        <v>Fuel and light</v>
      </c>
    </row>
    <row r="9570" spans="1:7" x14ac:dyDescent="0.3">
      <c r="A9570" t="s">
        <v>34</v>
      </c>
      <c r="B9570">
        <v>2023</v>
      </c>
      <c r="C9570" t="s">
        <v>35</v>
      </c>
      <c r="D9570" s="2">
        <v>44958</v>
      </c>
      <c r="E9570" t="s">
        <v>22</v>
      </c>
      <c r="F9570">
        <v>174.2</v>
      </c>
      <c r="G9570" t="str">
        <f>VLOOKUP(Table1_2[[#This Row],[Categories]],Sheet3!$A$1:$B$27,2,FALSE)</f>
        <v>Household Items</v>
      </c>
    </row>
    <row r="9571" spans="1:7" x14ac:dyDescent="0.3">
      <c r="A9571" t="s">
        <v>34</v>
      </c>
      <c r="B9571">
        <v>2023</v>
      </c>
      <c r="C9571" t="s">
        <v>35</v>
      </c>
      <c r="D9571" s="2">
        <v>44958</v>
      </c>
      <c r="E9571" t="s">
        <v>23</v>
      </c>
      <c r="F9571">
        <v>184.4</v>
      </c>
      <c r="G9571" t="str">
        <f>VLOOKUP(Table1_2[[#This Row],[Categories]],Sheet3!$A$1:$B$27,2,FALSE)</f>
        <v>Health</v>
      </c>
    </row>
    <row r="9572" spans="1:7" x14ac:dyDescent="0.3">
      <c r="A9572" t="s">
        <v>34</v>
      </c>
      <c r="B9572">
        <v>2023</v>
      </c>
      <c r="C9572" t="s">
        <v>35</v>
      </c>
      <c r="D9572" s="2">
        <v>44958</v>
      </c>
      <c r="E9572" t="s">
        <v>24</v>
      </c>
      <c r="F9572">
        <v>164.2</v>
      </c>
      <c r="G9572" t="str">
        <f>VLOOKUP(Table1_2[[#This Row],[Categories]],Sheet3!$A$1:$B$27,2,FALSE)</f>
        <v>Transport and communication</v>
      </c>
    </row>
    <row r="9573" spans="1:7" x14ac:dyDescent="0.3">
      <c r="A9573" t="s">
        <v>34</v>
      </c>
      <c r="B9573">
        <v>2023</v>
      </c>
      <c r="C9573" t="s">
        <v>35</v>
      </c>
      <c r="D9573" s="2">
        <v>44958</v>
      </c>
      <c r="E9573" t="s">
        <v>25</v>
      </c>
      <c r="F9573">
        <v>170.3</v>
      </c>
      <c r="G9573" t="str">
        <f>VLOOKUP(Table1_2[[#This Row],[Categories]],Sheet3!$A$1:$B$27,2,FALSE)</f>
        <v>Recreation and amusement</v>
      </c>
    </row>
    <row r="9574" spans="1:7" x14ac:dyDescent="0.3">
      <c r="A9574" t="s">
        <v>34</v>
      </c>
      <c r="B9574">
        <v>2023</v>
      </c>
      <c r="C9574" t="s">
        <v>35</v>
      </c>
      <c r="D9574" s="2">
        <v>44958</v>
      </c>
      <c r="E9574" t="s">
        <v>26</v>
      </c>
      <c r="F9574">
        <v>175</v>
      </c>
      <c r="G9574" t="str">
        <f>VLOOKUP(Table1_2[[#This Row],[Categories]],Sheet3!$A$1:$B$27,2,FALSE)</f>
        <v>Education</v>
      </c>
    </row>
    <row r="9575" spans="1:7" x14ac:dyDescent="0.3">
      <c r="A9575" t="s">
        <v>34</v>
      </c>
      <c r="B9575">
        <v>2023</v>
      </c>
      <c r="C9575" t="s">
        <v>35</v>
      </c>
      <c r="D9575" s="2">
        <v>44958</v>
      </c>
      <c r="E9575" t="s">
        <v>27</v>
      </c>
      <c r="F9575">
        <v>181</v>
      </c>
      <c r="G9575" t="str">
        <f>VLOOKUP(Table1_2[[#This Row],[Categories]],Sheet3!$A$1:$B$27,2,FALSE)</f>
        <v>Household Items</v>
      </c>
    </row>
    <row r="9576" spans="1:7" x14ac:dyDescent="0.3">
      <c r="A9576" t="s">
        <v>34</v>
      </c>
      <c r="B9576">
        <v>2023</v>
      </c>
      <c r="C9576" t="s">
        <v>35</v>
      </c>
      <c r="D9576" s="2">
        <v>44958</v>
      </c>
      <c r="E9576" t="s">
        <v>28</v>
      </c>
      <c r="F9576">
        <v>174.1</v>
      </c>
      <c r="G9576" t="str">
        <f>VLOOKUP(Table1_2[[#This Row],[Categories]],Sheet3!$A$1:$B$27,2,FALSE)</f>
        <v>Miscellaneous</v>
      </c>
    </row>
    <row r="9577" spans="1:7" x14ac:dyDescent="0.3">
      <c r="A9577" t="s">
        <v>34</v>
      </c>
      <c r="B9577">
        <v>2023</v>
      </c>
      <c r="C9577" t="s">
        <v>35</v>
      </c>
      <c r="D9577" s="2">
        <v>44958</v>
      </c>
      <c r="E9577" t="s">
        <v>29</v>
      </c>
      <c r="F9577">
        <v>177.2</v>
      </c>
      <c r="G9577" t="str">
        <f>VLOOKUP(Table1_2[[#This Row],[Categories]],Sheet3!$A$1:$B$27,2,FALSE)</f>
        <v>General index</v>
      </c>
    </row>
    <row r="9578" spans="1:7" x14ac:dyDescent="0.3">
      <c r="A9578" t="s">
        <v>30</v>
      </c>
      <c r="B9578">
        <v>2023</v>
      </c>
      <c r="C9578" t="s">
        <v>36</v>
      </c>
      <c r="D9578" s="2">
        <v>44986</v>
      </c>
      <c r="E9578" t="s">
        <v>3</v>
      </c>
      <c r="F9578">
        <v>174.3</v>
      </c>
      <c r="G9578" t="str">
        <f>VLOOKUP(Table1_2[[#This Row],[Categories]],Sheet3!$A$1:$B$27,2,FALSE)</f>
        <v>Food &amp;Beverage</v>
      </c>
    </row>
    <row r="9579" spans="1:7" x14ac:dyDescent="0.3">
      <c r="A9579" t="s">
        <v>30</v>
      </c>
      <c r="B9579">
        <v>2023</v>
      </c>
      <c r="C9579" t="s">
        <v>36</v>
      </c>
      <c r="D9579" s="2">
        <v>44986</v>
      </c>
      <c r="E9579" t="s">
        <v>4</v>
      </c>
      <c r="F9579">
        <v>205.2</v>
      </c>
      <c r="G9579" t="str">
        <f>VLOOKUP(Table1_2[[#This Row],[Categories]],Sheet3!$A$1:$B$27,2,FALSE)</f>
        <v>Food &amp;Beverage</v>
      </c>
    </row>
    <row r="9580" spans="1:7" x14ac:dyDescent="0.3">
      <c r="A9580" t="s">
        <v>30</v>
      </c>
      <c r="B9580">
        <v>2023</v>
      </c>
      <c r="C9580" t="s">
        <v>36</v>
      </c>
      <c r="D9580" s="2">
        <v>44986</v>
      </c>
      <c r="E9580" t="s">
        <v>5</v>
      </c>
      <c r="F9580">
        <v>173.9</v>
      </c>
      <c r="G9580" t="str">
        <f>VLOOKUP(Table1_2[[#This Row],[Categories]],Sheet3!$A$1:$B$27,2,FALSE)</f>
        <v>Food &amp;Beverage</v>
      </c>
    </row>
    <row r="9581" spans="1:7" x14ac:dyDescent="0.3">
      <c r="A9581" t="s">
        <v>30</v>
      </c>
      <c r="B9581">
        <v>2023</v>
      </c>
      <c r="C9581" t="s">
        <v>36</v>
      </c>
      <c r="D9581" s="2">
        <v>44986</v>
      </c>
      <c r="E9581" t="s">
        <v>6</v>
      </c>
      <c r="F9581">
        <v>177</v>
      </c>
      <c r="G9581" t="str">
        <f>VLOOKUP(Table1_2[[#This Row],[Categories]],Sheet3!$A$1:$B$27,2,FALSE)</f>
        <v>Food &amp;Beverage</v>
      </c>
    </row>
    <row r="9582" spans="1:7" x14ac:dyDescent="0.3">
      <c r="A9582" t="s">
        <v>30</v>
      </c>
      <c r="B9582">
        <v>2023</v>
      </c>
      <c r="C9582" t="s">
        <v>36</v>
      </c>
      <c r="D9582" s="2">
        <v>44986</v>
      </c>
      <c r="E9582" t="s">
        <v>7</v>
      </c>
      <c r="F9582">
        <v>183.3</v>
      </c>
      <c r="G9582" t="str">
        <f>VLOOKUP(Table1_2[[#This Row],[Categories]],Sheet3!$A$1:$B$27,2,FALSE)</f>
        <v>Food &amp;Beverage</v>
      </c>
    </row>
    <row r="9583" spans="1:7" x14ac:dyDescent="0.3">
      <c r="A9583" t="s">
        <v>30</v>
      </c>
      <c r="B9583">
        <v>2023</v>
      </c>
      <c r="C9583" t="s">
        <v>36</v>
      </c>
      <c r="D9583" s="2">
        <v>44986</v>
      </c>
      <c r="E9583" t="s">
        <v>8</v>
      </c>
      <c r="F9583">
        <v>167.2</v>
      </c>
      <c r="G9583" t="str">
        <f>VLOOKUP(Table1_2[[#This Row],[Categories]],Sheet3!$A$1:$B$27,2,FALSE)</f>
        <v>Food &amp;Beverage</v>
      </c>
    </row>
    <row r="9584" spans="1:7" x14ac:dyDescent="0.3">
      <c r="A9584" t="s">
        <v>30</v>
      </c>
      <c r="B9584">
        <v>2023</v>
      </c>
      <c r="C9584" t="s">
        <v>36</v>
      </c>
      <c r="D9584" s="2">
        <v>44986</v>
      </c>
      <c r="E9584" t="s">
        <v>9</v>
      </c>
      <c r="F9584">
        <v>140.9</v>
      </c>
      <c r="G9584" t="str">
        <f>VLOOKUP(Table1_2[[#This Row],[Categories]],Sheet3!$A$1:$B$27,2,FALSE)</f>
        <v>Food &amp;Beverage</v>
      </c>
    </row>
    <row r="9585" spans="1:7" x14ac:dyDescent="0.3">
      <c r="A9585" t="s">
        <v>30</v>
      </c>
      <c r="B9585">
        <v>2023</v>
      </c>
      <c r="C9585" t="s">
        <v>36</v>
      </c>
      <c r="D9585" s="2">
        <v>44986</v>
      </c>
      <c r="E9585" t="s">
        <v>10</v>
      </c>
      <c r="F9585">
        <v>170.5</v>
      </c>
      <c r="G9585" t="str">
        <f>VLOOKUP(Table1_2[[#This Row],[Categories]],Sheet3!$A$1:$B$27,2,FALSE)</f>
        <v>Food &amp;Beverage</v>
      </c>
    </row>
    <row r="9586" spans="1:7" x14ac:dyDescent="0.3">
      <c r="A9586" t="s">
        <v>30</v>
      </c>
      <c r="B9586">
        <v>2023</v>
      </c>
      <c r="C9586" t="s">
        <v>36</v>
      </c>
      <c r="D9586" s="2">
        <v>44986</v>
      </c>
      <c r="E9586" t="s">
        <v>11</v>
      </c>
      <c r="F9586">
        <v>119.1</v>
      </c>
      <c r="G9586" t="str">
        <f>VLOOKUP(Table1_2[[#This Row],[Categories]],Sheet3!$A$1:$B$27,2,FALSE)</f>
        <v>Food &amp;Beverage</v>
      </c>
    </row>
    <row r="9587" spans="1:7" x14ac:dyDescent="0.3">
      <c r="A9587" t="s">
        <v>30</v>
      </c>
      <c r="B9587">
        <v>2023</v>
      </c>
      <c r="C9587" t="s">
        <v>36</v>
      </c>
      <c r="D9587" s="2">
        <v>44986</v>
      </c>
      <c r="E9587" t="s">
        <v>12</v>
      </c>
      <c r="F9587">
        <v>212.1</v>
      </c>
      <c r="G9587" t="str">
        <f>VLOOKUP(Table1_2[[#This Row],[Categories]],Sheet3!$A$1:$B$27,2,FALSE)</f>
        <v>Food &amp;Beverage</v>
      </c>
    </row>
    <row r="9588" spans="1:7" x14ac:dyDescent="0.3">
      <c r="A9588" t="s">
        <v>30</v>
      </c>
      <c r="B9588">
        <v>2023</v>
      </c>
      <c r="C9588" t="s">
        <v>36</v>
      </c>
      <c r="D9588" s="2">
        <v>44986</v>
      </c>
      <c r="E9588" t="s">
        <v>13</v>
      </c>
      <c r="F9588">
        <v>177.6</v>
      </c>
      <c r="G9588" t="str">
        <f>VLOOKUP(Table1_2[[#This Row],[Categories]],Sheet3!$A$1:$B$27,2,FALSE)</f>
        <v>Food &amp;Beverage</v>
      </c>
    </row>
    <row r="9589" spans="1:7" x14ac:dyDescent="0.3">
      <c r="A9589" t="s">
        <v>30</v>
      </c>
      <c r="B9589">
        <v>2023</v>
      </c>
      <c r="C9589" t="s">
        <v>36</v>
      </c>
      <c r="D9589" s="2">
        <v>44986</v>
      </c>
      <c r="E9589" t="s">
        <v>14</v>
      </c>
      <c r="F9589">
        <v>189.9</v>
      </c>
      <c r="G9589" t="str">
        <f>VLOOKUP(Table1_2[[#This Row],[Categories]],Sheet3!$A$1:$B$27,2,FALSE)</f>
        <v>Food &amp;Beverage</v>
      </c>
    </row>
    <row r="9590" spans="1:7" x14ac:dyDescent="0.3">
      <c r="A9590" t="s">
        <v>30</v>
      </c>
      <c r="B9590">
        <v>2023</v>
      </c>
      <c r="C9590" t="s">
        <v>36</v>
      </c>
      <c r="D9590" s="2">
        <v>44986</v>
      </c>
      <c r="E9590" t="s">
        <v>15</v>
      </c>
      <c r="F9590">
        <v>174.8</v>
      </c>
      <c r="G9590" t="str">
        <f>VLOOKUP(Table1_2[[#This Row],[Categories]],Sheet3!$A$1:$B$27,2,FALSE)</f>
        <v>Food &amp;Beverage</v>
      </c>
    </row>
    <row r="9591" spans="1:7" x14ac:dyDescent="0.3">
      <c r="A9591" t="s">
        <v>30</v>
      </c>
      <c r="B9591">
        <v>2023</v>
      </c>
      <c r="C9591" t="s">
        <v>36</v>
      </c>
      <c r="D9591" s="2">
        <v>44986</v>
      </c>
      <c r="E9591" t="s">
        <v>16</v>
      </c>
      <c r="F9591">
        <v>198.4</v>
      </c>
      <c r="G9591" t="str">
        <f>VLOOKUP(Table1_2[[#This Row],[Categories]],Sheet3!$A$1:$B$27,2,FALSE)</f>
        <v>Recreation and amusement</v>
      </c>
    </row>
    <row r="9592" spans="1:7" x14ac:dyDescent="0.3">
      <c r="A9592" t="s">
        <v>30</v>
      </c>
      <c r="B9592">
        <v>2023</v>
      </c>
      <c r="C9592" t="s">
        <v>36</v>
      </c>
      <c r="D9592" s="2">
        <v>44986</v>
      </c>
      <c r="E9592" t="s">
        <v>17</v>
      </c>
      <c r="F9592">
        <v>190</v>
      </c>
      <c r="G9592" t="str">
        <f>VLOOKUP(Table1_2[[#This Row],[Categories]],Sheet3!$A$1:$B$27,2,FALSE)</f>
        <v>Clothing and footwear</v>
      </c>
    </row>
    <row r="9593" spans="1:7" x14ac:dyDescent="0.3">
      <c r="A9593" t="s">
        <v>30</v>
      </c>
      <c r="B9593">
        <v>2023</v>
      </c>
      <c r="C9593" t="s">
        <v>36</v>
      </c>
      <c r="D9593" s="2">
        <v>44986</v>
      </c>
      <c r="E9593" t="s">
        <v>18</v>
      </c>
      <c r="F9593">
        <v>187</v>
      </c>
      <c r="G9593" t="str">
        <f>VLOOKUP(Table1_2[[#This Row],[Categories]],Sheet3!$A$1:$B$27,2,FALSE)</f>
        <v>Clothing and footwear</v>
      </c>
    </row>
    <row r="9594" spans="1:7" x14ac:dyDescent="0.3">
      <c r="A9594" t="s">
        <v>30</v>
      </c>
      <c r="B9594">
        <v>2023</v>
      </c>
      <c r="C9594" t="s">
        <v>36</v>
      </c>
      <c r="D9594" s="2">
        <v>44986</v>
      </c>
      <c r="E9594" t="s">
        <v>19</v>
      </c>
      <c r="F9594">
        <v>189.6</v>
      </c>
      <c r="G9594" t="str">
        <f>VLOOKUP(Table1_2[[#This Row],[Categories]],Sheet3!$A$1:$B$27,2,FALSE)</f>
        <v>Clothing and footwear</v>
      </c>
    </row>
    <row r="9595" spans="1:7" x14ac:dyDescent="0.3">
      <c r="A9595" t="s">
        <v>30</v>
      </c>
      <c r="B9595">
        <v>2023</v>
      </c>
      <c r="C9595" t="s">
        <v>36</v>
      </c>
      <c r="D9595" s="2">
        <v>44986</v>
      </c>
      <c r="E9595" t="s">
        <v>21</v>
      </c>
      <c r="F9595">
        <v>181.4</v>
      </c>
      <c r="G9595" t="str">
        <f>VLOOKUP(Table1_2[[#This Row],[Categories]],Sheet3!$A$1:$B$27,2,FALSE)</f>
        <v>Fuel and light</v>
      </c>
    </row>
    <row r="9596" spans="1:7" x14ac:dyDescent="0.3">
      <c r="A9596" t="s">
        <v>30</v>
      </c>
      <c r="B9596">
        <v>2023</v>
      </c>
      <c r="C9596" t="s">
        <v>36</v>
      </c>
      <c r="D9596" s="2">
        <v>44986</v>
      </c>
      <c r="E9596" t="s">
        <v>22</v>
      </c>
      <c r="F9596">
        <v>178.6</v>
      </c>
      <c r="G9596" t="str">
        <f>VLOOKUP(Table1_2[[#This Row],[Categories]],Sheet3!$A$1:$B$27,2,FALSE)</f>
        <v>Household Items</v>
      </c>
    </row>
    <row r="9597" spans="1:7" x14ac:dyDescent="0.3">
      <c r="A9597" t="s">
        <v>30</v>
      </c>
      <c r="B9597">
        <v>2023</v>
      </c>
      <c r="C9597" t="s">
        <v>36</v>
      </c>
      <c r="D9597" s="2">
        <v>44986</v>
      </c>
      <c r="E9597" t="s">
        <v>23</v>
      </c>
      <c r="F9597">
        <v>186.6</v>
      </c>
      <c r="G9597" t="str">
        <f>VLOOKUP(Table1_2[[#This Row],[Categories]],Sheet3!$A$1:$B$27,2,FALSE)</f>
        <v>Health</v>
      </c>
    </row>
    <row r="9598" spans="1:7" x14ac:dyDescent="0.3">
      <c r="A9598" t="s">
        <v>30</v>
      </c>
      <c r="B9598">
        <v>2023</v>
      </c>
      <c r="C9598" t="s">
        <v>36</v>
      </c>
      <c r="D9598" s="2">
        <v>44986</v>
      </c>
      <c r="E9598" t="s">
        <v>24</v>
      </c>
      <c r="F9598">
        <v>169</v>
      </c>
      <c r="G9598" t="str">
        <f>VLOOKUP(Table1_2[[#This Row],[Categories]],Sheet3!$A$1:$B$27,2,FALSE)</f>
        <v>Transport and communication</v>
      </c>
    </row>
    <row r="9599" spans="1:7" x14ac:dyDescent="0.3">
      <c r="A9599" t="s">
        <v>30</v>
      </c>
      <c r="B9599">
        <v>2023</v>
      </c>
      <c r="C9599" t="s">
        <v>36</v>
      </c>
      <c r="D9599" s="2">
        <v>44986</v>
      </c>
      <c r="E9599" t="s">
        <v>25</v>
      </c>
      <c r="F9599">
        <v>172.8</v>
      </c>
      <c r="G9599" t="str">
        <f>VLOOKUP(Table1_2[[#This Row],[Categories]],Sheet3!$A$1:$B$27,2,FALSE)</f>
        <v>Recreation and amusement</v>
      </c>
    </row>
    <row r="9600" spans="1:7" x14ac:dyDescent="0.3">
      <c r="A9600" t="s">
        <v>30</v>
      </c>
      <c r="B9600">
        <v>2023</v>
      </c>
      <c r="C9600" t="s">
        <v>36</v>
      </c>
      <c r="D9600" s="2">
        <v>44986</v>
      </c>
      <c r="E9600" t="s">
        <v>26</v>
      </c>
      <c r="F9600">
        <v>178.5</v>
      </c>
      <c r="G9600" t="str">
        <f>VLOOKUP(Table1_2[[#This Row],[Categories]],Sheet3!$A$1:$B$27,2,FALSE)</f>
        <v>Education</v>
      </c>
    </row>
    <row r="9601" spans="1:7" x14ac:dyDescent="0.3">
      <c r="A9601" t="s">
        <v>30</v>
      </c>
      <c r="B9601">
        <v>2023</v>
      </c>
      <c r="C9601" t="s">
        <v>36</v>
      </c>
      <c r="D9601" s="2">
        <v>44986</v>
      </c>
      <c r="E9601" t="s">
        <v>27</v>
      </c>
      <c r="F9601">
        <v>180.7</v>
      </c>
      <c r="G9601" t="str">
        <f>VLOOKUP(Table1_2[[#This Row],[Categories]],Sheet3!$A$1:$B$27,2,FALSE)</f>
        <v>Household Items</v>
      </c>
    </row>
    <row r="9602" spans="1:7" x14ac:dyDescent="0.3">
      <c r="A9602" t="s">
        <v>30</v>
      </c>
      <c r="B9602">
        <v>2023</v>
      </c>
      <c r="C9602" t="s">
        <v>36</v>
      </c>
      <c r="D9602" s="2">
        <v>44986</v>
      </c>
      <c r="E9602" t="s">
        <v>28</v>
      </c>
      <c r="F9602">
        <v>177.9</v>
      </c>
      <c r="G9602" t="str">
        <f>VLOOKUP(Table1_2[[#This Row],[Categories]],Sheet3!$A$1:$B$27,2,FALSE)</f>
        <v>Miscellaneous</v>
      </c>
    </row>
    <row r="9603" spans="1:7" x14ac:dyDescent="0.3">
      <c r="A9603" t="s">
        <v>30</v>
      </c>
      <c r="B9603">
        <v>2023</v>
      </c>
      <c r="C9603" t="s">
        <v>36</v>
      </c>
      <c r="D9603" s="2">
        <v>44986</v>
      </c>
      <c r="E9603" t="s">
        <v>29</v>
      </c>
      <c r="F9603">
        <v>178</v>
      </c>
      <c r="G9603" t="str">
        <f>VLOOKUP(Table1_2[[#This Row],[Categories]],Sheet3!$A$1:$B$27,2,FALSE)</f>
        <v>General index</v>
      </c>
    </row>
    <row r="9604" spans="1:7" x14ac:dyDescent="0.3">
      <c r="A9604" t="s">
        <v>33</v>
      </c>
      <c r="B9604">
        <v>2023</v>
      </c>
      <c r="C9604" t="s">
        <v>36</v>
      </c>
      <c r="D9604" s="2">
        <v>44986</v>
      </c>
      <c r="E9604" t="s">
        <v>3</v>
      </c>
      <c r="F9604">
        <v>174.7</v>
      </c>
      <c r="G9604" t="str">
        <f>VLOOKUP(Table1_2[[#This Row],[Categories]],Sheet3!$A$1:$B$27,2,FALSE)</f>
        <v>Food &amp;Beverage</v>
      </c>
    </row>
    <row r="9605" spans="1:7" x14ac:dyDescent="0.3">
      <c r="A9605" t="s">
        <v>33</v>
      </c>
      <c r="B9605">
        <v>2023</v>
      </c>
      <c r="C9605" t="s">
        <v>36</v>
      </c>
      <c r="D9605" s="2">
        <v>44986</v>
      </c>
      <c r="E9605" t="s">
        <v>4</v>
      </c>
      <c r="F9605">
        <v>212.2</v>
      </c>
      <c r="G9605" t="str">
        <f>VLOOKUP(Table1_2[[#This Row],[Categories]],Sheet3!$A$1:$B$27,2,FALSE)</f>
        <v>Food &amp;Beverage</v>
      </c>
    </row>
    <row r="9606" spans="1:7" x14ac:dyDescent="0.3">
      <c r="A9606" t="s">
        <v>33</v>
      </c>
      <c r="B9606">
        <v>2023</v>
      </c>
      <c r="C9606" t="s">
        <v>36</v>
      </c>
      <c r="D9606" s="2">
        <v>44986</v>
      </c>
      <c r="E9606" t="s">
        <v>5</v>
      </c>
      <c r="F9606">
        <v>177.2</v>
      </c>
      <c r="G9606" t="str">
        <f>VLOOKUP(Table1_2[[#This Row],[Categories]],Sheet3!$A$1:$B$27,2,FALSE)</f>
        <v>Food &amp;Beverage</v>
      </c>
    </row>
    <row r="9607" spans="1:7" x14ac:dyDescent="0.3">
      <c r="A9607" t="s">
        <v>33</v>
      </c>
      <c r="B9607">
        <v>2023</v>
      </c>
      <c r="C9607" t="s">
        <v>36</v>
      </c>
      <c r="D9607" s="2">
        <v>44986</v>
      </c>
      <c r="E9607" t="s">
        <v>6</v>
      </c>
      <c r="F9607">
        <v>177.9</v>
      </c>
      <c r="G9607" t="str">
        <f>VLOOKUP(Table1_2[[#This Row],[Categories]],Sheet3!$A$1:$B$27,2,FALSE)</f>
        <v>Food &amp;Beverage</v>
      </c>
    </row>
    <row r="9608" spans="1:7" x14ac:dyDescent="0.3">
      <c r="A9608" t="s">
        <v>33</v>
      </c>
      <c r="B9608">
        <v>2023</v>
      </c>
      <c r="C9608" t="s">
        <v>36</v>
      </c>
      <c r="D9608" s="2">
        <v>44986</v>
      </c>
      <c r="E9608" t="s">
        <v>7</v>
      </c>
      <c r="F9608">
        <v>172.2</v>
      </c>
      <c r="G9608" t="str">
        <f>VLOOKUP(Table1_2[[#This Row],[Categories]],Sheet3!$A$1:$B$27,2,FALSE)</f>
        <v>Food &amp;Beverage</v>
      </c>
    </row>
    <row r="9609" spans="1:7" x14ac:dyDescent="0.3">
      <c r="A9609" t="s">
        <v>33</v>
      </c>
      <c r="B9609">
        <v>2023</v>
      </c>
      <c r="C9609" t="s">
        <v>36</v>
      </c>
      <c r="D9609" s="2">
        <v>44986</v>
      </c>
      <c r="E9609" t="s">
        <v>8</v>
      </c>
      <c r="F9609">
        <v>172.1</v>
      </c>
      <c r="G9609" t="str">
        <f>VLOOKUP(Table1_2[[#This Row],[Categories]],Sheet3!$A$1:$B$27,2,FALSE)</f>
        <v>Food &amp;Beverage</v>
      </c>
    </row>
    <row r="9610" spans="1:7" x14ac:dyDescent="0.3">
      <c r="A9610" t="s">
        <v>33</v>
      </c>
      <c r="B9610">
        <v>2023</v>
      </c>
      <c r="C9610" t="s">
        <v>36</v>
      </c>
      <c r="D9610" s="2">
        <v>44986</v>
      </c>
      <c r="E9610" t="s">
        <v>9</v>
      </c>
      <c r="F9610">
        <v>175.9</v>
      </c>
      <c r="G9610" t="str">
        <f>VLOOKUP(Table1_2[[#This Row],[Categories]],Sheet3!$A$1:$B$27,2,FALSE)</f>
        <v>Food &amp;Beverage</v>
      </c>
    </row>
    <row r="9611" spans="1:7" x14ac:dyDescent="0.3">
      <c r="A9611" t="s">
        <v>33</v>
      </c>
      <c r="B9611">
        <v>2023</v>
      </c>
      <c r="C9611" t="s">
        <v>36</v>
      </c>
      <c r="D9611" s="2">
        <v>44986</v>
      </c>
      <c r="E9611" t="s">
        <v>10</v>
      </c>
      <c r="F9611">
        <v>172.2</v>
      </c>
      <c r="G9611" t="str">
        <f>VLOOKUP(Table1_2[[#This Row],[Categories]],Sheet3!$A$1:$B$27,2,FALSE)</f>
        <v>Food &amp;Beverage</v>
      </c>
    </row>
    <row r="9612" spans="1:7" x14ac:dyDescent="0.3">
      <c r="A9612" t="s">
        <v>33</v>
      </c>
      <c r="B9612">
        <v>2023</v>
      </c>
      <c r="C9612" t="s">
        <v>36</v>
      </c>
      <c r="D9612" s="2">
        <v>44986</v>
      </c>
      <c r="E9612" t="s">
        <v>11</v>
      </c>
      <c r="F9612">
        <v>121.9</v>
      </c>
      <c r="G9612" t="str">
        <f>VLOOKUP(Table1_2[[#This Row],[Categories]],Sheet3!$A$1:$B$27,2,FALSE)</f>
        <v>Food &amp;Beverage</v>
      </c>
    </row>
    <row r="9613" spans="1:7" x14ac:dyDescent="0.3">
      <c r="A9613" t="s">
        <v>33</v>
      </c>
      <c r="B9613">
        <v>2023</v>
      </c>
      <c r="C9613" t="s">
        <v>36</v>
      </c>
      <c r="D9613" s="2">
        <v>44986</v>
      </c>
      <c r="E9613" t="s">
        <v>12</v>
      </c>
      <c r="F9613">
        <v>204.8</v>
      </c>
      <c r="G9613" t="str">
        <f>VLOOKUP(Table1_2[[#This Row],[Categories]],Sheet3!$A$1:$B$27,2,FALSE)</f>
        <v>Food &amp;Beverage</v>
      </c>
    </row>
    <row r="9614" spans="1:7" x14ac:dyDescent="0.3">
      <c r="A9614" t="s">
        <v>33</v>
      </c>
      <c r="B9614">
        <v>2023</v>
      </c>
      <c r="C9614" t="s">
        <v>36</v>
      </c>
      <c r="D9614" s="2">
        <v>44986</v>
      </c>
      <c r="E9614" t="s">
        <v>13</v>
      </c>
      <c r="F9614">
        <v>164.9</v>
      </c>
      <c r="G9614" t="str">
        <f>VLOOKUP(Table1_2[[#This Row],[Categories]],Sheet3!$A$1:$B$27,2,FALSE)</f>
        <v>Food &amp;Beverage</v>
      </c>
    </row>
    <row r="9615" spans="1:7" x14ac:dyDescent="0.3">
      <c r="A9615" t="s">
        <v>33</v>
      </c>
      <c r="B9615">
        <v>2023</v>
      </c>
      <c r="C9615" t="s">
        <v>36</v>
      </c>
      <c r="D9615" s="2">
        <v>44986</v>
      </c>
      <c r="E9615" t="s">
        <v>14</v>
      </c>
      <c r="F9615">
        <v>196.6</v>
      </c>
      <c r="G9615" t="str">
        <f>VLOOKUP(Table1_2[[#This Row],[Categories]],Sheet3!$A$1:$B$27,2,FALSE)</f>
        <v>Food &amp;Beverage</v>
      </c>
    </row>
    <row r="9616" spans="1:7" x14ac:dyDescent="0.3">
      <c r="A9616" t="s">
        <v>33</v>
      </c>
      <c r="B9616">
        <v>2023</v>
      </c>
      <c r="C9616" t="s">
        <v>36</v>
      </c>
      <c r="D9616" s="2">
        <v>44986</v>
      </c>
      <c r="E9616" t="s">
        <v>15</v>
      </c>
      <c r="F9616">
        <v>180.8</v>
      </c>
      <c r="G9616" t="str">
        <f>VLOOKUP(Table1_2[[#This Row],[Categories]],Sheet3!$A$1:$B$27,2,FALSE)</f>
        <v>Food &amp;Beverage</v>
      </c>
    </row>
    <row r="9617" spans="1:7" x14ac:dyDescent="0.3">
      <c r="A9617" t="s">
        <v>33</v>
      </c>
      <c r="B9617">
        <v>2023</v>
      </c>
      <c r="C9617" t="s">
        <v>36</v>
      </c>
      <c r="D9617" s="2">
        <v>44986</v>
      </c>
      <c r="E9617" t="s">
        <v>16</v>
      </c>
      <c r="F9617">
        <v>202.7</v>
      </c>
      <c r="G9617" t="str">
        <f>VLOOKUP(Table1_2[[#This Row],[Categories]],Sheet3!$A$1:$B$27,2,FALSE)</f>
        <v>Recreation and amusement</v>
      </c>
    </row>
    <row r="9618" spans="1:7" x14ac:dyDescent="0.3">
      <c r="A9618" t="s">
        <v>33</v>
      </c>
      <c r="B9618">
        <v>2023</v>
      </c>
      <c r="C9618" t="s">
        <v>36</v>
      </c>
      <c r="D9618" s="2">
        <v>44986</v>
      </c>
      <c r="E9618" t="s">
        <v>17</v>
      </c>
      <c r="F9618">
        <v>180.2</v>
      </c>
      <c r="G9618" t="str">
        <f>VLOOKUP(Table1_2[[#This Row],[Categories]],Sheet3!$A$1:$B$27,2,FALSE)</f>
        <v>Clothing and footwear</v>
      </c>
    </row>
    <row r="9619" spans="1:7" x14ac:dyDescent="0.3">
      <c r="A9619" t="s">
        <v>33</v>
      </c>
      <c r="B9619">
        <v>2023</v>
      </c>
      <c r="C9619" t="s">
        <v>36</v>
      </c>
      <c r="D9619" s="2">
        <v>44986</v>
      </c>
      <c r="E9619" t="s">
        <v>18</v>
      </c>
      <c r="F9619">
        <v>167</v>
      </c>
      <c r="G9619" t="str">
        <f>VLOOKUP(Table1_2[[#This Row],[Categories]],Sheet3!$A$1:$B$27,2,FALSE)</f>
        <v>Clothing and footwear</v>
      </c>
    </row>
    <row r="9620" spans="1:7" x14ac:dyDescent="0.3">
      <c r="A9620" t="s">
        <v>33</v>
      </c>
      <c r="B9620">
        <v>2023</v>
      </c>
      <c r="C9620" t="s">
        <v>36</v>
      </c>
      <c r="D9620" s="2">
        <v>44986</v>
      </c>
      <c r="E9620" t="s">
        <v>19</v>
      </c>
      <c r="F9620">
        <v>178.2</v>
      </c>
      <c r="G9620" t="str">
        <f>VLOOKUP(Table1_2[[#This Row],[Categories]],Sheet3!$A$1:$B$27,2,FALSE)</f>
        <v>Clothing and footwear</v>
      </c>
    </row>
    <row r="9621" spans="1:7" x14ac:dyDescent="0.3">
      <c r="A9621" t="s">
        <v>33</v>
      </c>
      <c r="B9621">
        <v>2023</v>
      </c>
      <c r="C9621" t="s">
        <v>36</v>
      </c>
      <c r="D9621" s="2">
        <v>44986</v>
      </c>
      <c r="E9621" t="s">
        <v>20</v>
      </c>
      <c r="F9621">
        <v>173.5</v>
      </c>
      <c r="G9621" t="str">
        <f>VLOOKUP(Table1_2[[#This Row],[Categories]],Sheet3!$A$1:$B$27,2,FALSE)</f>
        <v>Housing</v>
      </c>
    </row>
    <row r="9622" spans="1:7" x14ac:dyDescent="0.3">
      <c r="A9622" t="s">
        <v>33</v>
      </c>
      <c r="B9622">
        <v>2023</v>
      </c>
      <c r="C9622" t="s">
        <v>36</v>
      </c>
      <c r="D9622" s="2">
        <v>44986</v>
      </c>
      <c r="E9622" t="s">
        <v>21</v>
      </c>
      <c r="F9622">
        <v>182.6</v>
      </c>
      <c r="G9622" t="str">
        <f>VLOOKUP(Table1_2[[#This Row],[Categories]],Sheet3!$A$1:$B$27,2,FALSE)</f>
        <v>Fuel and light</v>
      </c>
    </row>
    <row r="9623" spans="1:7" x14ac:dyDescent="0.3">
      <c r="A9623" t="s">
        <v>33</v>
      </c>
      <c r="B9623">
        <v>2023</v>
      </c>
      <c r="C9623" t="s">
        <v>36</v>
      </c>
      <c r="D9623" s="2">
        <v>44986</v>
      </c>
      <c r="E9623" t="s">
        <v>22</v>
      </c>
      <c r="F9623">
        <v>169.2</v>
      </c>
      <c r="G9623" t="str">
        <f>VLOOKUP(Table1_2[[#This Row],[Categories]],Sheet3!$A$1:$B$27,2,FALSE)</f>
        <v>Household Items</v>
      </c>
    </row>
    <row r="9624" spans="1:7" x14ac:dyDescent="0.3">
      <c r="A9624" t="s">
        <v>33</v>
      </c>
      <c r="B9624">
        <v>2023</v>
      </c>
      <c r="C9624" t="s">
        <v>36</v>
      </c>
      <c r="D9624" s="2">
        <v>44986</v>
      </c>
      <c r="E9624" t="s">
        <v>23</v>
      </c>
      <c r="F9624">
        <v>180.8</v>
      </c>
      <c r="G9624" t="str">
        <f>VLOOKUP(Table1_2[[#This Row],[Categories]],Sheet3!$A$1:$B$27,2,FALSE)</f>
        <v>Health</v>
      </c>
    </row>
    <row r="9625" spans="1:7" x14ac:dyDescent="0.3">
      <c r="A9625" t="s">
        <v>33</v>
      </c>
      <c r="B9625">
        <v>2023</v>
      </c>
      <c r="C9625" t="s">
        <v>36</v>
      </c>
      <c r="D9625" s="2">
        <v>44986</v>
      </c>
      <c r="E9625" t="s">
        <v>24</v>
      </c>
      <c r="F9625">
        <v>159.80000000000001</v>
      </c>
      <c r="G9625" t="str">
        <f>VLOOKUP(Table1_2[[#This Row],[Categories]],Sheet3!$A$1:$B$27,2,FALSE)</f>
        <v>Transport and communication</v>
      </c>
    </row>
    <row r="9626" spans="1:7" x14ac:dyDescent="0.3">
      <c r="A9626" t="s">
        <v>33</v>
      </c>
      <c r="B9626">
        <v>2023</v>
      </c>
      <c r="C9626" t="s">
        <v>36</v>
      </c>
      <c r="D9626" s="2">
        <v>44986</v>
      </c>
      <c r="E9626" t="s">
        <v>25</v>
      </c>
      <c r="F9626">
        <v>168.4</v>
      </c>
      <c r="G9626" t="str">
        <f>VLOOKUP(Table1_2[[#This Row],[Categories]],Sheet3!$A$1:$B$27,2,FALSE)</f>
        <v>Recreation and amusement</v>
      </c>
    </row>
    <row r="9627" spans="1:7" x14ac:dyDescent="0.3">
      <c r="A9627" t="s">
        <v>33</v>
      </c>
      <c r="B9627">
        <v>2023</v>
      </c>
      <c r="C9627" t="s">
        <v>36</v>
      </c>
      <c r="D9627" s="2">
        <v>44986</v>
      </c>
      <c r="E9627" t="s">
        <v>26</v>
      </c>
      <c r="F9627">
        <v>172.5</v>
      </c>
      <c r="G9627" t="str">
        <f>VLOOKUP(Table1_2[[#This Row],[Categories]],Sheet3!$A$1:$B$27,2,FALSE)</f>
        <v>Education</v>
      </c>
    </row>
    <row r="9628" spans="1:7" x14ac:dyDescent="0.3">
      <c r="A9628" t="s">
        <v>33</v>
      </c>
      <c r="B9628">
        <v>2023</v>
      </c>
      <c r="C9628" t="s">
        <v>36</v>
      </c>
      <c r="D9628" s="2">
        <v>44986</v>
      </c>
      <c r="E9628" t="s">
        <v>27</v>
      </c>
      <c r="F9628">
        <v>181.5</v>
      </c>
      <c r="G9628" t="str">
        <f>VLOOKUP(Table1_2[[#This Row],[Categories]],Sheet3!$A$1:$B$27,2,FALSE)</f>
        <v>Household Items</v>
      </c>
    </row>
    <row r="9629" spans="1:7" x14ac:dyDescent="0.3">
      <c r="A9629" t="s">
        <v>33</v>
      </c>
      <c r="B9629">
        <v>2023</v>
      </c>
      <c r="C9629" t="s">
        <v>36</v>
      </c>
      <c r="D9629" s="2">
        <v>44986</v>
      </c>
      <c r="E9629" t="s">
        <v>28</v>
      </c>
      <c r="F9629">
        <v>170</v>
      </c>
      <c r="G9629" t="str">
        <f>VLOOKUP(Table1_2[[#This Row],[Categories]],Sheet3!$A$1:$B$27,2,FALSE)</f>
        <v>Miscellaneous</v>
      </c>
    </row>
    <row r="9630" spans="1:7" x14ac:dyDescent="0.3">
      <c r="A9630" t="s">
        <v>33</v>
      </c>
      <c r="B9630">
        <v>2023</v>
      </c>
      <c r="C9630" t="s">
        <v>36</v>
      </c>
      <c r="D9630" s="2">
        <v>44986</v>
      </c>
      <c r="E9630" t="s">
        <v>29</v>
      </c>
      <c r="F9630">
        <v>176.3</v>
      </c>
      <c r="G9630" t="str">
        <f>VLOOKUP(Table1_2[[#This Row],[Categories]],Sheet3!$A$1:$B$27,2,FALSE)</f>
        <v>General index</v>
      </c>
    </row>
    <row r="9631" spans="1:7" x14ac:dyDescent="0.3">
      <c r="A9631" t="s">
        <v>34</v>
      </c>
      <c r="B9631">
        <v>2023</v>
      </c>
      <c r="C9631" t="s">
        <v>36</v>
      </c>
      <c r="D9631" s="2">
        <v>44986</v>
      </c>
      <c r="E9631" t="s">
        <v>3</v>
      </c>
      <c r="F9631">
        <v>174.4</v>
      </c>
      <c r="G9631" t="str">
        <f>VLOOKUP(Table1_2[[#This Row],[Categories]],Sheet3!$A$1:$B$27,2,FALSE)</f>
        <v>Food &amp;Beverage</v>
      </c>
    </row>
    <row r="9632" spans="1:7" x14ac:dyDescent="0.3">
      <c r="A9632" t="s">
        <v>34</v>
      </c>
      <c r="B9632">
        <v>2023</v>
      </c>
      <c r="C9632" t="s">
        <v>36</v>
      </c>
      <c r="D9632" s="2">
        <v>44986</v>
      </c>
      <c r="E9632" t="s">
        <v>4</v>
      </c>
      <c r="F9632">
        <v>207.7</v>
      </c>
      <c r="G9632" t="str">
        <f>VLOOKUP(Table1_2[[#This Row],[Categories]],Sheet3!$A$1:$B$27,2,FALSE)</f>
        <v>Food &amp;Beverage</v>
      </c>
    </row>
    <row r="9633" spans="1:7" x14ac:dyDescent="0.3">
      <c r="A9633" t="s">
        <v>34</v>
      </c>
      <c r="B9633">
        <v>2023</v>
      </c>
      <c r="C9633" t="s">
        <v>36</v>
      </c>
      <c r="D9633" s="2">
        <v>44986</v>
      </c>
      <c r="E9633" t="s">
        <v>5</v>
      </c>
      <c r="F9633">
        <v>175.2</v>
      </c>
      <c r="G9633" t="str">
        <f>VLOOKUP(Table1_2[[#This Row],[Categories]],Sheet3!$A$1:$B$27,2,FALSE)</f>
        <v>Food &amp;Beverage</v>
      </c>
    </row>
    <row r="9634" spans="1:7" x14ac:dyDescent="0.3">
      <c r="A9634" t="s">
        <v>34</v>
      </c>
      <c r="B9634">
        <v>2023</v>
      </c>
      <c r="C9634" t="s">
        <v>36</v>
      </c>
      <c r="D9634" s="2">
        <v>44986</v>
      </c>
      <c r="E9634" t="s">
        <v>6</v>
      </c>
      <c r="F9634">
        <v>177.3</v>
      </c>
      <c r="G9634" t="str">
        <f>VLOOKUP(Table1_2[[#This Row],[Categories]],Sheet3!$A$1:$B$27,2,FALSE)</f>
        <v>Food &amp;Beverage</v>
      </c>
    </row>
    <row r="9635" spans="1:7" x14ac:dyDescent="0.3">
      <c r="A9635" t="s">
        <v>34</v>
      </c>
      <c r="B9635">
        <v>2023</v>
      </c>
      <c r="C9635" t="s">
        <v>36</v>
      </c>
      <c r="D9635" s="2">
        <v>44986</v>
      </c>
      <c r="E9635" t="s">
        <v>7</v>
      </c>
      <c r="F9635">
        <v>179.2</v>
      </c>
      <c r="G9635" t="str">
        <f>VLOOKUP(Table1_2[[#This Row],[Categories]],Sheet3!$A$1:$B$27,2,FALSE)</f>
        <v>Food &amp;Beverage</v>
      </c>
    </row>
    <row r="9636" spans="1:7" x14ac:dyDescent="0.3">
      <c r="A9636" t="s">
        <v>34</v>
      </c>
      <c r="B9636">
        <v>2023</v>
      </c>
      <c r="C9636" t="s">
        <v>36</v>
      </c>
      <c r="D9636" s="2">
        <v>44986</v>
      </c>
      <c r="E9636" t="s">
        <v>8</v>
      </c>
      <c r="F9636">
        <v>169.5</v>
      </c>
      <c r="G9636" t="str">
        <f>VLOOKUP(Table1_2[[#This Row],[Categories]],Sheet3!$A$1:$B$27,2,FALSE)</f>
        <v>Food &amp;Beverage</v>
      </c>
    </row>
    <row r="9637" spans="1:7" x14ac:dyDescent="0.3">
      <c r="A9637" t="s">
        <v>34</v>
      </c>
      <c r="B9637">
        <v>2023</v>
      </c>
      <c r="C9637" t="s">
        <v>36</v>
      </c>
      <c r="D9637" s="2">
        <v>44986</v>
      </c>
      <c r="E9637" t="s">
        <v>9</v>
      </c>
      <c r="F9637">
        <v>152.80000000000001</v>
      </c>
      <c r="G9637" t="str">
        <f>VLOOKUP(Table1_2[[#This Row],[Categories]],Sheet3!$A$1:$B$27,2,FALSE)</f>
        <v>Food &amp;Beverage</v>
      </c>
    </row>
    <row r="9638" spans="1:7" x14ac:dyDescent="0.3">
      <c r="A9638" t="s">
        <v>34</v>
      </c>
      <c r="B9638">
        <v>2023</v>
      </c>
      <c r="C9638" t="s">
        <v>36</v>
      </c>
      <c r="D9638" s="2">
        <v>44986</v>
      </c>
      <c r="E9638" t="s">
        <v>10</v>
      </c>
      <c r="F9638">
        <v>171.1</v>
      </c>
      <c r="G9638" t="str">
        <f>VLOOKUP(Table1_2[[#This Row],[Categories]],Sheet3!$A$1:$B$27,2,FALSE)</f>
        <v>Food &amp;Beverage</v>
      </c>
    </row>
    <row r="9639" spans="1:7" x14ac:dyDescent="0.3">
      <c r="A9639" t="s">
        <v>34</v>
      </c>
      <c r="B9639">
        <v>2023</v>
      </c>
      <c r="C9639" t="s">
        <v>36</v>
      </c>
      <c r="D9639" s="2">
        <v>44986</v>
      </c>
      <c r="E9639" t="s">
        <v>11</v>
      </c>
      <c r="F9639">
        <v>120</v>
      </c>
      <c r="G9639" t="str">
        <f>VLOOKUP(Table1_2[[#This Row],[Categories]],Sheet3!$A$1:$B$27,2,FALSE)</f>
        <v>Food &amp;Beverage</v>
      </c>
    </row>
    <row r="9640" spans="1:7" x14ac:dyDescent="0.3">
      <c r="A9640" t="s">
        <v>34</v>
      </c>
      <c r="B9640">
        <v>2023</v>
      </c>
      <c r="C9640" t="s">
        <v>36</v>
      </c>
      <c r="D9640" s="2">
        <v>44986</v>
      </c>
      <c r="E9640" t="s">
        <v>12</v>
      </c>
      <c r="F9640">
        <v>209.7</v>
      </c>
      <c r="G9640" t="str">
        <f>VLOOKUP(Table1_2[[#This Row],[Categories]],Sheet3!$A$1:$B$27,2,FALSE)</f>
        <v>Food &amp;Beverage</v>
      </c>
    </row>
    <row r="9641" spans="1:7" x14ac:dyDescent="0.3">
      <c r="A9641" t="s">
        <v>34</v>
      </c>
      <c r="B9641">
        <v>2023</v>
      </c>
      <c r="C9641" t="s">
        <v>36</v>
      </c>
      <c r="D9641" s="2">
        <v>44986</v>
      </c>
      <c r="E9641" t="s">
        <v>13</v>
      </c>
      <c r="F9641">
        <v>172.3</v>
      </c>
      <c r="G9641" t="str">
        <f>VLOOKUP(Table1_2[[#This Row],[Categories]],Sheet3!$A$1:$B$27,2,FALSE)</f>
        <v>Food &amp;Beverage</v>
      </c>
    </row>
    <row r="9642" spans="1:7" x14ac:dyDescent="0.3">
      <c r="A9642" t="s">
        <v>34</v>
      </c>
      <c r="B9642">
        <v>2023</v>
      </c>
      <c r="C9642" t="s">
        <v>36</v>
      </c>
      <c r="D9642" s="2">
        <v>44986</v>
      </c>
      <c r="E9642" t="s">
        <v>14</v>
      </c>
      <c r="F9642">
        <v>193</v>
      </c>
      <c r="G9642" t="str">
        <f>VLOOKUP(Table1_2[[#This Row],[Categories]],Sheet3!$A$1:$B$27,2,FALSE)</f>
        <v>Food &amp;Beverage</v>
      </c>
    </row>
    <row r="9643" spans="1:7" x14ac:dyDescent="0.3">
      <c r="A9643" t="s">
        <v>34</v>
      </c>
      <c r="B9643">
        <v>2023</v>
      </c>
      <c r="C9643" t="s">
        <v>36</v>
      </c>
      <c r="D9643" s="2">
        <v>44986</v>
      </c>
      <c r="E9643" t="s">
        <v>15</v>
      </c>
      <c r="F9643">
        <v>177</v>
      </c>
      <c r="G9643" t="str">
        <f>VLOOKUP(Table1_2[[#This Row],[Categories]],Sheet3!$A$1:$B$27,2,FALSE)</f>
        <v>Food &amp;Beverage</v>
      </c>
    </row>
    <row r="9644" spans="1:7" x14ac:dyDescent="0.3">
      <c r="A9644" t="s">
        <v>34</v>
      </c>
      <c r="B9644">
        <v>2023</v>
      </c>
      <c r="C9644" t="s">
        <v>36</v>
      </c>
      <c r="D9644" s="2">
        <v>44986</v>
      </c>
      <c r="E9644" t="s">
        <v>16</v>
      </c>
      <c r="F9644">
        <v>199.5</v>
      </c>
      <c r="G9644" t="str">
        <f>VLOOKUP(Table1_2[[#This Row],[Categories]],Sheet3!$A$1:$B$27,2,FALSE)</f>
        <v>Recreation and amusement</v>
      </c>
    </row>
    <row r="9645" spans="1:7" x14ac:dyDescent="0.3">
      <c r="A9645" t="s">
        <v>34</v>
      </c>
      <c r="B9645">
        <v>2023</v>
      </c>
      <c r="C9645" t="s">
        <v>36</v>
      </c>
      <c r="D9645" s="2">
        <v>44986</v>
      </c>
      <c r="E9645" t="s">
        <v>17</v>
      </c>
      <c r="F9645">
        <v>186.1</v>
      </c>
      <c r="G9645" t="str">
        <f>VLOOKUP(Table1_2[[#This Row],[Categories]],Sheet3!$A$1:$B$27,2,FALSE)</f>
        <v>Clothing and footwear</v>
      </c>
    </row>
    <row r="9646" spans="1:7" x14ac:dyDescent="0.3">
      <c r="A9646" t="s">
        <v>34</v>
      </c>
      <c r="B9646">
        <v>2023</v>
      </c>
      <c r="C9646" t="s">
        <v>36</v>
      </c>
      <c r="D9646" s="2">
        <v>44986</v>
      </c>
      <c r="E9646" t="s">
        <v>18</v>
      </c>
      <c r="F9646">
        <v>178.7</v>
      </c>
      <c r="G9646" t="str">
        <f>VLOOKUP(Table1_2[[#This Row],[Categories]],Sheet3!$A$1:$B$27,2,FALSE)</f>
        <v>Clothing and footwear</v>
      </c>
    </row>
    <row r="9647" spans="1:7" x14ac:dyDescent="0.3">
      <c r="A9647" t="s">
        <v>34</v>
      </c>
      <c r="B9647">
        <v>2023</v>
      </c>
      <c r="C9647" t="s">
        <v>36</v>
      </c>
      <c r="D9647" s="2">
        <v>44986</v>
      </c>
      <c r="E9647" t="s">
        <v>19</v>
      </c>
      <c r="F9647">
        <v>185.1</v>
      </c>
      <c r="G9647" t="str">
        <f>VLOOKUP(Table1_2[[#This Row],[Categories]],Sheet3!$A$1:$B$27,2,FALSE)</f>
        <v>Clothing and footwear</v>
      </c>
    </row>
    <row r="9648" spans="1:7" x14ac:dyDescent="0.3">
      <c r="A9648" t="s">
        <v>34</v>
      </c>
      <c r="B9648">
        <v>2023</v>
      </c>
      <c r="C9648" t="s">
        <v>36</v>
      </c>
      <c r="D9648" s="2">
        <v>44986</v>
      </c>
      <c r="E9648" t="s">
        <v>20</v>
      </c>
      <c r="F9648">
        <v>173.5</v>
      </c>
      <c r="G9648" t="str">
        <f>VLOOKUP(Table1_2[[#This Row],[Categories]],Sheet3!$A$1:$B$27,2,FALSE)</f>
        <v>Housing</v>
      </c>
    </row>
    <row r="9649" spans="1:7" x14ac:dyDescent="0.3">
      <c r="A9649" t="s">
        <v>34</v>
      </c>
      <c r="B9649">
        <v>2023</v>
      </c>
      <c r="C9649" t="s">
        <v>36</v>
      </c>
      <c r="D9649" s="2">
        <v>44986</v>
      </c>
      <c r="E9649" t="s">
        <v>21</v>
      </c>
      <c r="F9649">
        <v>181.9</v>
      </c>
      <c r="G9649" t="str">
        <f>VLOOKUP(Table1_2[[#This Row],[Categories]],Sheet3!$A$1:$B$27,2,FALSE)</f>
        <v>Fuel and light</v>
      </c>
    </row>
    <row r="9650" spans="1:7" x14ac:dyDescent="0.3">
      <c r="A9650" t="s">
        <v>34</v>
      </c>
      <c r="B9650">
        <v>2023</v>
      </c>
      <c r="C9650" t="s">
        <v>36</v>
      </c>
      <c r="D9650" s="2">
        <v>44986</v>
      </c>
      <c r="E9650" t="s">
        <v>22</v>
      </c>
      <c r="F9650">
        <v>174.2</v>
      </c>
      <c r="G9650" t="str">
        <f>VLOOKUP(Table1_2[[#This Row],[Categories]],Sheet3!$A$1:$B$27,2,FALSE)</f>
        <v>Household Items</v>
      </c>
    </row>
    <row r="9651" spans="1:7" x14ac:dyDescent="0.3">
      <c r="A9651" t="s">
        <v>34</v>
      </c>
      <c r="B9651">
        <v>2023</v>
      </c>
      <c r="C9651" t="s">
        <v>36</v>
      </c>
      <c r="D9651" s="2">
        <v>44986</v>
      </c>
      <c r="E9651" t="s">
        <v>23</v>
      </c>
      <c r="F9651">
        <v>184.4</v>
      </c>
      <c r="G9651" t="str">
        <f>VLOOKUP(Table1_2[[#This Row],[Categories]],Sheet3!$A$1:$B$27,2,FALSE)</f>
        <v>Health</v>
      </c>
    </row>
    <row r="9652" spans="1:7" x14ac:dyDescent="0.3">
      <c r="A9652" t="s">
        <v>34</v>
      </c>
      <c r="B9652">
        <v>2023</v>
      </c>
      <c r="C9652" t="s">
        <v>36</v>
      </c>
      <c r="D9652" s="2">
        <v>44986</v>
      </c>
      <c r="E9652" t="s">
        <v>24</v>
      </c>
      <c r="F9652">
        <v>164.2</v>
      </c>
      <c r="G9652" t="str">
        <f>VLOOKUP(Table1_2[[#This Row],[Categories]],Sheet3!$A$1:$B$27,2,FALSE)</f>
        <v>Transport and communication</v>
      </c>
    </row>
    <row r="9653" spans="1:7" x14ac:dyDescent="0.3">
      <c r="A9653" t="s">
        <v>34</v>
      </c>
      <c r="B9653">
        <v>2023</v>
      </c>
      <c r="C9653" t="s">
        <v>36</v>
      </c>
      <c r="D9653" s="2">
        <v>44986</v>
      </c>
      <c r="E9653" t="s">
        <v>25</v>
      </c>
      <c r="F9653">
        <v>170.3</v>
      </c>
      <c r="G9653" t="str">
        <f>VLOOKUP(Table1_2[[#This Row],[Categories]],Sheet3!$A$1:$B$27,2,FALSE)</f>
        <v>Recreation and amusement</v>
      </c>
    </row>
    <row r="9654" spans="1:7" x14ac:dyDescent="0.3">
      <c r="A9654" t="s">
        <v>34</v>
      </c>
      <c r="B9654">
        <v>2023</v>
      </c>
      <c r="C9654" t="s">
        <v>36</v>
      </c>
      <c r="D9654" s="2">
        <v>44986</v>
      </c>
      <c r="E9654" t="s">
        <v>26</v>
      </c>
      <c r="F9654">
        <v>175</v>
      </c>
      <c r="G9654" t="str">
        <f>VLOOKUP(Table1_2[[#This Row],[Categories]],Sheet3!$A$1:$B$27,2,FALSE)</f>
        <v>Education</v>
      </c>
    </row>
    <row r="9655" spans="1:7" x14ac:dyDescent="0.3">
      <c r="A9655" t="s">
        <v>34</v>
      </c>
      <c r="B9655">
        <v>2023</v>
      </c>
      <c r="C9655" t="s">
        <v>36</v>
      </c>
      <c r="D9655" s="2">
        <v>44986</v>
      </c>
      <c r="E9655" t="s">
        <v>27</v>
      </c>
      <c r="F9655">
        <v>181</v>
      </c>
      <c r="G9655" t="str">
        <f>VLOOKUP(Table1_2[[#This Row],[Categories]],Sheet3!$A$1:$B$27,2,FALSE)</f>
        <v>Household Items</v>
      </c>
    </row>
    <row r="9656" spans="1:7" x14ac:dyDescent="0.3">
      <c r="A9656" t="s">
        <v>34</v>
      </c>
      <c r="B9656">
        <v>2023</v>
      </c>
      <c r="C9656" t="s">
        <v>36</v>
      </c>
      <c r="D9656" s="2">
        <v>44986</v>
      </c>
      <c r="E9656" t="s">
        <v>28</v>
      </c>
      <c r="F9656">
        <v>174.1</v>
      </c>
      <c r="G9656" t="str">
        <f>VLOOKUP(Table1_2[[#This Row],[Categories]],Sheet3!$A$1:$B$27,2,FALSE)</f>
        <v>Miscellaneous</v>
      </c>
    </row>
    <row r="9657" spans="1:7" x14ac:dyDescent="0.3">
      <c r="A9657" t="s">
        <v>34</v>
      </c>
      <c r="B9657">
        <v>2023</v>
      </c>
      <c r="C9657" t="s">
        <v>36</v>
      </c>
      <c r="D9657" s="2">
        <v>44986</v>
      </c>
      <c r="E9657" t="s">
        <v>29</v>
      </c>
      <c r="F9657">
        <v>177.2</v>
      </c>
      <c r="G9657" t="str">
        <f>VLOOKUP(Table1_2[[#This Row],[Categories]],Sheet3!$A$1:$B$27,2,FALSE)</f>
        <v>General index</v>
      </c>
    </row>
    <row r="9658" spans="1:7" x14ac:dyDescent="0.3">
      <c r="A9658" t="s">
        <v>30</v>
      </c>
      <c r="B9658">
        <v>2023</v>
      </c>
      <c r="C9658" t="s">
        <v>37</v>
      </c>
      <c r="D9658" s="2">
        <v>45017</v>
      </c>
      <c r="E9658" t="s">
        <v>3</v>
      </c>
      <c r="F9658">
        <v>173.3</v>
      </c>
      <c r="G9658" t="str">
        <f>VLOOKUP(Table1_2[[#This Row],[Categories]],Sheet3!$A$1:$B$27,2,FALSE)</f>
        <v>Food &amp;Beverage</v>
      </c>
    </row>
    <row r="9659" spans="1:7" x14ac:dyDescent="0.3">
      <c r="A9659" t="s">
        <v>30</v>
      </c>
      <c r="B9659">
        <v>2023</v>
      </c>
      <c r="C9659" t="s">
        <v>37</v>
      </c>
      <c r="D9659" s="2">
        <v>45017</v>
      </c>
      <c r="E9659" t="s">
        <v>4</v>
      </c>
      <c r="F9659">
        <v>206.9</v>
      </c>
      <c r="G9659" t="str">
        <f>VLOOKUP(Table1_2[[#This Row],[Categories]],Sheet3!$A$1:$B$27,2,FALSE)</f>
        <v>Food &amp;Beverage</v>
      </c>
    </row>
    <row r="9660" spans="1:7" x14ac:dyDescent="0.3">
      <c r="A9660" t="s">
        <v>30</v>
      </c>
      <c r="B9660">
        <v>2023</v>
      </c>
      <c r="C9660" t="s">
        <v>37</v>
      </c>
      <c r="D9660" s="2">
        <v>45017</v>
      </c>
      <c r="E9660" t="s">
        <v>5</v>
      </c>
      <c r="F9660">
        <v>167.9</v>
      </c>
      <c r="G9660" t="str">
        <f>VLOOKUP(Table1_2[[#This Row],[Categories]],Sheet3!$A$1:$B$27,2,FALSE)</f>
        <v>Food &amp;Beverage</v>
      </c>
    </row>
    <row r="9661" spans="1:7" x14ac:dyDescent="0.3">
      <c r="A9661" t="s">
        <v>30</v>
      </c>
      <c r="B9661">
        <v>2023</v>
      </c>
      <c r="C9661" t="s">
        <v>37</v>
      </c>
      <c r="D9661" s="2">
        <v>45017</v>
      </c>
      <c r="E9661" t="s">
        <v>6</v>
      </c>
      <c r="F9661">
        <v>178.2</v>
      </c>
      <c r="G9661" t="str">
        <f>VLOOKUP(Table1_2[[#This Row],[Categories]],Sheet3!$A$1:$B$27,2,FALSE)</f>
        <v>Food &amp;Beverage</v>
      </c>
    </row>
    <row r="9662" spans="1:7" x14ac:dyDescent="0.3">
      <c r="A9662" t="s">
        <v>30</v>
      </c>
      <c r="B9662">
        <v>2023</v>
      </c>
      <c r="C9662" t="s">
        <v>37</v>
      </c>
      <c r="D9662" s="2">
        <v>45017</v>
      </c>
      <c r="E9662" t="s">
        <v>7</v>
      </c>
      <c r="F9662">
        <v>178.5</v>
      </c>
      <c r="G9662" t="str">
        <f>VLOOKUP(Table1_2[[#This Row],[Categories]],Sheet3!$A$1:$B$27,2,FALSE)</f>
        <v>Food &amp;Beverage</v>
      </c>
    </row>
    <row r="9663" spans="1:7" x14ac:dyDescent="0.3">
      <c r="A9663" t="s">
        <v>30</v>
      </c>
      <c r="B9663">
        <v>2023</v>
      </c>
      <c r="C9663" t="s">
        <v>37</v>
      </c>
      <c r="D9663" s="2">
        <v>45017</v>
      </c>
      <c r="E9663" t="s">
        <v>8</v>
      </c>
      <c r="F9663">
        <v>173.7</v>
      </c>
      <c r="G9663" t="str">
        <f>VLOOKUP(Table1_2[[#This Row],[Categories]],Sheet3!$A$1:$B$27,2,FALSE)</f>
        <v>Food &amp;Beverage</v>
      </c>
    </row>
    <row r="9664" spans="1:7" x14ac:dyDescent="0.3">
      <c r="A9664" t="s">
        <v>30</v>
      </c>
      <c r="B9664">
        <v>2023</v>
      </c>
      <c r="C9664" t="s">
        <v>37</v>
      </c>
      <c r="D9664" s="2">
        <v>45017</v>
      </c>
      <c r="E9664" t="s">
        <v>9</v>
      </c>
      <c r="F9664">
        <v>142.80000000000001</v>
      </c>
      <c r="G9664" t="str">
        <f>VLOOKUP(Table1_2[[#This Row],[Categories]],Sheet3!$A$1:$B$27,2,FALSE)</f>
        <v>Food &amp;Beverage</v>
      </c>
    </row>
    <row r="9665" spans="1:7" x14ac:dyDescent="0.3">
      <c r="A9665" t="s">
        <v>30</v>
      </c>
      <c r="B9665">
        <v>2023</v>
      </c>
      <c r="C9665" t="s">
        <v>37</v>
      </c>
      <c r="D9665" s="2">
        <v>45017</v>
      </c>
      <c r="E9665" t="s">
        <v>10</v>
      </c>
      <c r="F9665">
        <v>172.8</v>
      </c>
      <c r="G9665" t="str">
        <f>VLOOKUP(Table1_2[[#This Row],[Categories]],Sheet3!$A$1:$B$27,2,FALSE)</f>
        <v>Food &amp;Beverage</v>
      </c>
    </row>
    <row r="9666" spans="1:7" x14ac:dyDescent="0.3">
      <c r="A9666" t="s">
        <v>30</v>
      </c>
      <c r="B9666">
        <v>2023</v>
      </c>
      <c r="C9666" t="s">
        <v>37</v>
      </c>
      <c r="D9666" s="2">
        <v>45017</v>
      </c>
      <c r="E9666" t="s">
        <v>11</v>
      </c>
      <c r="F9666">
        <v>120.4</v>
      </c>
      <c r="G9666" t="str">
        <f>VLOOKUP(Table1_2[[#This Row],[Categories]],Sheet3!$A$1:$B$27,2,FALSE)</f>
        <v>Food &amp;Beverage</v>
      </c>
    </row>
    <row r="9667" spans="1:7" x14ac:dyDescent="0.3">
      <c r="A9667" t="s">
        <v>30</v>
      </c>
      <c r="B9667">
        <v>2023</v>
      </c>
      <c r="C9667" t="s">
        <v>37</v>
      </c>
      <c r="D9667" s="2">
        <v>45017</v>
      </c>
      <c r="E9667" t="s">
        <v>12</v>
      </c>
      <c r="F9667">
        <v>215.5</v>
      </c>
      <c r="G9667" t="str">
        <f>VLOOKUP(Table1_2[[#This Row],[Categories]],Sheet3!$A$1:$B$27,2,FALSE)</f>
        <v>Food &amp;Beverage</v>
      </c>
    </row>
    <row r="9668" spans="1:7" x14ac:dyDescent="0.3">
      <c r="A9668" t="s">
        <v>30</v>
      </c>
      <c r="B9668">
        <v>2023</v>
      </c>
      <c r="C9668" t="s">
        <v>37</v>
      </c>
      <c r="D9668" s="2">
        <v>45017</v>
      </c>
      <c r="E9668" t="s">
        <v>13</v>
      </c>
      <c r="F9668">
        <v>178.2</v>
      </c>
      <c r="G9668" t="str">
        <f>VLOOKUP(Table1_2[[#This Row],[Categories]],Sheet3!$A$1:$B$27,2,FALSE)</f>
        <v>Food &amp;Beverage</v>
      </c>
    </row>
    <row r="9669" spans="1:7" x14ac:dyDescent="0.3">
      <c r="A9669" t="s">
        <v>30</v>
      </c>
      <c r="B9669">
        <v>2023</v>
      </c>
      <c r="C9669" t="s">
        <v>37</v>
      </c>
      <c r="D9669" s="2">
        <v>45017</v>
      </c>
      <c r="E9669" t="s">
        <v>14</v>
      </c>
      <c r="F9669">
        <v>190.5</v>
      </c>
      <c r="G9669" t="str">
        <f>VLOOKUP(Table1_2[[#This Row],[Categories]],Sheet3!$A$1:$B$27,2,FALSE)</f>
        <v>Food &amp;Beverage</v>
      </c>
    </row>
    <row r="9670" spans="1:7" x14ac:dyDescent="0.3">
      <c r="A9670" t="s">
        <v>30</v>
      </c>
      <c r="B9670">
        <v>2023</v>
      </c>
      <c r="C9670" t="s">
        <v>37</v>
      </c>
      <c r="D9670" s="2">
        <v>45017</v>
      </c>
      <c r="E9670" t="s">
        <v>15</v>
      </c>
      <c r="F9670">
        <v>175.5</v>
      </c>
      <c r="G9670" t="str">
        <f>VLOOKUP(Table1_2[[#This Row],[Categories]],Sheet3!$A$1:$B$27,2,FALSE)</f>
        <v>Food &amp;Beverage</v>
      </c>
    </row>
    <row r="9671" spans="1:7" x14ac:dyDescent="0.3">
      <c r="A9671" t="s">
        <v>30</v>
      </c>
      <c r="B9671">
        <v>2023</v>
      </c>
      <c r="C9671" t="s">
        <v>37</v>
      </c>
      <c r="D9671" s="2">
        <v>45017</v>
      </c>
      <c r="E9671" t="s">
        <v>16</v>
      </c>
      <c r="F9671">
        <v>199.5</v>
      </c>
      <c r="G9671" t="str">
        <f>VLOOKUP(Table1_2[[#This Row],[Categories]],Sheet3!$A$1:$B$27,2,FALSE)</f>
        <v>Recreation and amusement</v>
      </c>
    </row>
    <row r="9672" spans="1:7" x14ac:dyDescent="0.3">
      <c r="A9672" t="s">
        <v>30</v>
      </c>
      <c r="B9672">
        <v>2023</v>
      </c>
      <c r="C9672" t="s">
        <v>37</v>
      </c>
      <c r="D9672" s="2">
        <v>45017</v>
      </c>
      <c r="E9672" t="s">
        <v>17</v>
      </c>
      <c r="F9672">
        <v>190.7</v>
      </c>
      <c r="G9672" t="str">
        <f>VLOOKUP(Table1_2[[#This Row],[Categories]],Sheet3!$A$1:$B$27,2,FALSE)</f>
        <v>Clothing and footwear</v>
      </c>
    </row>
    <row r="9673" spans="1:7" x14ac:dyDescent="0.3">
      <c r="A9673" t="s">
        <v>30</v>
      </c>
      <c r="B9673">
        <v>2023</v>
      </c>
      <c r="C9673" t="s">
        <v>37</v>
      </c>
      <c r="D9673" s="2">
        <v>45017</v>
      </c>
      <c r="E9673" t="s">
        <v>18</v>
      </c>
      <c r="F9673">
        <v>187.3</v>
      </c>
      <c r="G9673" t="str">
        <f>VLOOKUP(Table1_2[[#This Row],[Categories]],Sheet3!$A$1:$B$27,2,FALSE)</f>
        <v>Clothing and footwear</v>
      </c>
    </row>
    <row r="9674" spans="1:7" x14ac:dyDescent="0.3">
      <c r="A9674" t="s">
        <v>30</v>
      </c>
      <c r="B9674">
        <v>2023</v>
      </c>
      <c r="C9674" t="s">
        <v>37</v>
      </c>
      <c r="D9674" s="2">
        <v>45017</v>
      </c>
      <c r="E9674" t="s">
        <v>19</v>
      </c>
      <c r="F9674">
        <v>190.2</v>
      </c>
      <c r="G9674" t="str">
        <f>VLOOKUP(Table1_2[[#This Row],[Categories]],Sheet3!$A$1:$B$27,2,FALSE)</f>
        <v>Clothing and footwear</v>
      </c>
    </row>
    <row r="9675" spans="1:7" x14ac:dyDescent="0.3">
      <c r="A9675" t="s">
        <v>30</v>
      </c>
      <c r="B9675">
        <v>2023</v>
      </c>
      <c r="C9675" t="s">
        <v>37</v>
      </c>
      <c r="D9675" s="2">
        <v>45017</v>
      </c>
      <c r="E9675" t="s">
        <v>21</v>
      </c>
      <c r="F9675">
        <v>181.5</v>
      </c>
      <c r="G9675" t="str">
        <f>VLOOKUP(Table1_2[[#This Row],[Categories]],Sheet3!$A$1:$B$27,2,FALSE)</f>
        <v>Fuel and light</v>
      </c>
    </row>
    <row r="9676" spans="1:7" x14ac:dyDescent="0.3">
      <c r="A9676" t="s">
        <v>30</v>
      </c>
      <c r="B9676">
        <v>2023</v>
      </c>
      <c r="C9676" t="s">
        <v>37</v>
      </c>
      <c r="D9676" s="2">
        <v>45017</v>
      </c>
      <c r="E9676" t="s">
        <v>22</v>
      </c>
      <c r="F9676">
        <v>179.1</v>
      </c>
      <c r="G9676" t="str">
        <f>VLOOKUP(Table1_2[[#This Row],[Categories]],Sheet3!$A$1:$B$27,2,FALSE)</f>
        <v>Household Items</v>
      </c>
    </row>
    <row r="9677" spans="1:7" x14ac:dyDescent="0.3">
      <c r="A9677" t="s">
        <v>30</v>
      </c>
      <c r="B9677">
        <v>2023</v>
      </c>
      <c r="C9677" t="s">
        <v>37</v>
      </c>
      <c r="D9677" s="2">
        <v>45017</v>
      </c>
      <c r="E9677" t="s">
        <v>23</v>
      </c>
      <c r="F9677">
        <v>187.2</v>
      </c>
      <c r="G9677" t="str">
        <f>VLOOKUP(Table1_2[[#This Row],[Categories]],Sheet3!$A$1:$B$27,2,FALSE)</f>
        <v>Health</v>
      </c>
    </row>
    <row r="9678" spans="1:7" x14ac:dyDescent="0.3">
      <c r="A9678" t="s">
        <v>30</v>
      </c>
      <c r="B9678">
        <v>2023</v>
      </c>
      <c r="C9678" t="s">
        <v>37</v>
      </c>
      <c r="D9678" s="2">
        <v>45017</v>
      </c>
      <c r="E9678" t="s">
        <v>24</v>
      </c>
      <c r="F9678">
        <v>169.4</v>
      </c>
      <c r="G9678" t="str">
        <f>VLOOKUP(Table1_2[[#This Row],[Categories]],Sheet3!$A$1:$B$27,2,FALSE)</f>
        <v>Transport and communication</v>
      </c>
    </row>
    <row r="9679" spans="1:7" x14ac:dyDescent="0.3">
      <c r="A9679" t="s">
        <v>30</v>
      </c>
      <c r="B9679">
        <v>2023</v>
      </c>
      <c r="C9679" t="s">
        <v>37</v>
      </c>
      <c r="D9679" s="2">
        <v>45017</v>
      </c>
      <c r="E9679" t="s">
        <v>25</v>
      </c>
      <c r="F9679">
        <v>173.2</v>
      </c>
      <c r="G9679" t="str">
        <f>VLOOKUP(Table1_2[[#This Row],[Categories]],Sheet3!$A$1:$B$27,2,FALSE)</f>
        <v>Recreation and amusement</v>
      </c>
    </row>
    <row r="9680" spans="1:7" x14ac:dyDescent="0.3">
      <c r="A9680" t="s">
        <v>30</v>
      </c>
      <c r="B9680">
        <v>2023</v>
      </c>
      <c r="C9680" t="s">
        <v>37</v>
      </c>
      <c r="D9680" s="2">
        <v>45017</v>
      </c>
      <c r="E9680" t="s">
        <v>26</v>
      </c>
      <c r="F9680">
        <v>179.4</v>
      </c>
      <c r="G9680" t="str">
        <f>VLOOKUP(Table1_2[[#This Row],[Categories]],Sheet3!$A$1:$B$27,2,FALSE)</f>
        <v>Education</v>
      </c>
    </row>
    <row r="9681" spans="1:7" x14ac:dyDescent="0.3">
      <c r="A9681" t="s">
        <v>30</v>
      </c>
      <c r="B9681">
        <v>2023</v>
      </c>
      <c r="C9681" t="s">
        <v>37</v>
      </c>
      <c r="D9681" s="2">
        <v>45017</v>
      </c>
      <c r="E9681" t="s">
        <v>27</v>
      </c>
      <c r="F9681">
        <v>183.8</v>
      </c>
      <c r="G9681" t="str">
        <f>VLOOKUP(Table1_2[[#This Row],[Categories]],Sheet3!$A$1:$B$27,2,FALSE)</f>
        <v>Household Items</v>
      </c>
    </row>
    <row r="9682" spans="1:7" x14ac:dyDescent="0.3">
      <c r="A9682" t="s">
        <v>30</v>
      </c>
      <c r="B9682">
        <v>2023</v>
      </c>
      <c r="C9682" t="s">
        <v>37</v>
      </c>
      <c r="D9682" s="2">
        <v>45017</v>
      </c>
      <c r="E9682" t="s">
        <v>28</v>
      </c>
      <c r="F9682">
        <v>178.9</v>
      </c>
      <c r="G9682" t="str">
        <f>VLOOKUP(Table1_2[[#This Row],[Categories]],Sheet3!$A$1:$B$27,2,FALSE)</f>
        <v>Miscellaneous</v>
      </c>
    </row>
    <row r="9683" spans="1:7" x14ac:dyDescent="0.3">
      <c r="A9683" t="s">
        <v>30</v>
      </c>
      <c r="B9683">
        <v>2023</v>
      </c>
      <c r="C9683" t="s">
        <v>37</v>
      </c>
      <c r="D9683" s="2">
        <v>45017</v>
      </c>
      <c r="E9683" t="s">
        <v>29</v>
      </c>
      <c r="F9683">
        <v>178.8</v>
      </c>
      <c r="G9683" t="str">
        <f>VLOOKUP(Table1_2[[#This Row],[Categories]],Sheet3!$A$1:$B$27,2,FALSE)</f>
        <v>General index</v>
      </c>
    </row>
    <row r="9684" spans="1:7" x14ac:dyDescent="0.3">
      <c r="A9684" t="s">
        <v>33</v>
      </c>
      <c r="B9684">
        <v>2023</v>
      </c>
      <c r="C9684" t="s">
        <v>37</v>
      </c>
      <c r="D9684" s="2">
        <v>45017</v>
      </c>
      <c r="E9684" t="s">
        <v>3</v>
      </c>
      <c r="F9684">
        <v>174.8</v>
      </c>
      <c r="G9684" t="str">
        <f>VLOOKUP(Table1_2[[#This Row],[Categories]],Sheet3!$A$1:$B$27,2,FALSE)</f>
        <v>Food &amp;Beverage</v>
      </c>
    </row>
    <row r="9685" spans="1:7" x14ac:dyDescent="0.3">
      <c r="A9685" t="s">
        <v>33</v>
      </c>
      <c r="B9685">
        <v>2023</v>
      </c>
      <c r="C9685" t="s">
        <v>37</v>
      </c>
      <c r="D9685" s="2">
        <v>45017</v>
      </c>
      <c r="E9685" t="s">
        <v>4</v>
      </c>
      <c r="F9685">
        <v>213.7</v>
      </c>
      <c r="G9685" t="str">
        <f>VLOOKUP(Table1_2[[#This Row],[Categories]],Sheet3!$A$1:$B$27,2,FALSE)</f>
        <v>Food &amp;Beverage</v>
      </c>
    </row>
    <row r="9686" spans="1:7" x14ac:dyDescent="0.3">
      <c r="A9686" t="s">
        <v>33</v>
      </c>
      <c r="B9686">
        <v>2023</v>
      </c>
      <c r="C9686" t="s">
        <v>37</v>
      </c>
      <c r="D9686" s="2">
        <v>45017</v>
      </c>
      <c r="E9686" t="s">
        <v>5</v>
      </c>
      <c r="F9686">
        <v>172.4</v>
      </c>
      <c r="G9686" t="str">
        <f>VLOOKUP(Table1_2[[#This Row],[Categories]],Sheet3!$A$1:$B$27,2,FALSE)</f>
        <v>Food &amp;Beverage</v>
      </c>
    </row>
    <row r="9687" spans="1:7" x14ac:dyDescent="0.3">
      <c r="A9687" t="s">
        <v>33</v>
      </c>
      <c r="B9687">
        <v>2023</v>
      </c>
      <c r="C9687" t="s">
        <v>37</v>
      </c>
      <c r="D9687" s="2">
        <v>45017</v>
      </c>
      <c r="E9687" t="s">
        <v>6</v>
      </c>
      <c r="F9687">
        <v>178.8</v>
      </c>
      <c r="G9687" t="str">
        <f>VLOOKUP(Table1_2[[#This Row],[Categories]],Sheet3!$A$1:$B$27,2,FALSE)</f>
        <v>Food &amp;Beverage</v>
      </c>
    </row>
    <row r="9688" spans="1:7" x14ac:dyDescent="0.3">
      <c r="A9688" t="s">
        <v>33</v>
      </c>
      <c r="B9688">
        <v>2023</v>
      </c>
      <c r="C9688" t="s">
        <v>37</v>
      </c>
      <c r="D9688" s="2">
        <v>45017</v>
      </c>
      <c r="E9688" t="s">
        <v>7</v>
      </c>
      <c r="F9688">
        <v>168.7</v>
      </c>
      <c r="G9688" t="str">
        <f>VLOOKUP(Table1_2[[#This Row],[Categories]],Sheet3!$A$1:$B$27,2,FALSE)</f>
        <v>Food &amp;Beverage</v>
      </c>
    </row>
    <row r="9689" spans="1:7" x14ac:dyDescent="0.3">
      <c r="A9689" t="s">
        <v>33</v>
      </c>
      <c r="B9689">
        <v>2023</v>
      </c>
      <c r="C9689" t="s">
        <v>37</v>
      </c>
      <c r="D9689" s="2">
        <v>45017</v>
      </c>
      <c r="E9689" t="s">
        <v>8</v>
      </c>
      <c r="F9689">
        <v>179.2</v>
      </c>
      <c r="G9689" t="str">
        <f>VLOOKUP(Table1_2[[#This Row],[Categories]],Sheet3!$A$1:$B$27,2,FALSE)</f>
        <v>Food &amp;Beverage</v>
      </c>
    </row>
    <row r="9690" spans="1:7" x14ac:dyDescent="0.3">
      <c r="A9690" t="s">
        <v>33</v>
      </c>
      <c r="B9690">
        <v>2023</v>
      </c>
      <c r="C9690" t="s">
        <v>37</v>
      </c>
      <c r="D9690" s="2">
        <v>45017</v>
      </c>
      <c r="E9690" t="s">
        <v>9</v>
      </c>
      <c r="F9690">
        <v>179.9</v>
      </c>
      <c r="G9690" t="str">
        <f>VLOOKUP(Table1_2[[#This Row],[Categories]],Sheet3!$A$1:$B$27,2,FALSE)</f>
        <v>Food &amp;Beverage</v>
      </c>
    </row>
    <row r="9691" spans="1:7" x14ac:dyDescent="0.3">
      <c r="A9691" t="s">
        <v>33</v>
      </c>
      <c r="B9691">
        <v>2023</v>
      </c>
      <c r="C9691" t="s">
        <v>37</v>
      </c>
      <c r="D9691" s="2">
        <v>45017</v>
      </c>
      <c r="E9691" t="s">
        <v>10</v>
      </c>
      <c r="F9691">
        <v>174.7</v>
      </c>
      <c r="G9691" t="str">
        <f>VLOOKUP(Table1_2[[#This Row],[Categories]],Sheet3!$A$1:$B$27,2,FALSE)</f>
        <v>Food &amp;Beverage</v>
      </c>
    </row>
    <row r="9692" spans="1:7" x14ac:dyDescent="0.3">
      <c r="A9692" t="s">
        <v>33</v>
      </c>
      <c r="B9692">
        <v>2023</v>
      </c>
      <c r="C9692" t="s">
        <v>37</v>
      </c>
      <c r="D9692" s="2">
        <v>45017</v>
      </c>
      <c r="E9692" t="s">
        <v>11</v>
      </c>
      <c r="F9692">
        <v>123.1</v>
      </c>
      <c r="G9692" t="str">
        <f>VLOOKUP(Table1_2[[#This Row],[Categories]],Sheet3!$A$1:$B$27,2,FALSE)</f>
        <v>Food &amp;Beverage</v>
      </c>
    </row>
    <row r="9693" spans="1:7" x14ac:dyDescent="0.3">
      <c r="A9693" t="s">
        <v>33</v>
      </c>
      <c r="B9693">
        <v>2023</v>
      </c>
      <c r="C9693" t="s">
        <v>37</v>
      </c>
      <c r="D9693" s="2">
        <v>45017</v>
      </c>
      <c r="E9693" t="s">
        <v>12</v>
      </c>
      <c r="F9693">
        <v>207.8</v>
      </c>
      <c r="G9693" t="str">
        <f>VLOOKUP(Table1_2[[#This Row],[Categories]],Sheet3!$A$1:$B$27,2,FALSE)</f>
        <v>Food &amp;Beverage</v>
      </c>
    </row>
    <row r="9694" spans="1:7" x14ac:dyDescent="0.3">
      <c r="A9694" t="s">
        <v>33</v>
      </c>
      <c r="B9694">
        <v>2023</v>
      </c>
      <c r="C9694" t="s">
        <v>37</v>
      </c>
      <c r="D9694" s="2">
        <v>45017</v>
      </c>
      <c r="E9694" t="s">
        <v>13</v>
      </c>
      <c r="F9694">
        <v>165.5</v>
      </c>
      <c r="G9694" t="str">
        <f>VLOOKUP(Table1_2[[#This Row],[Categories]],Sheet3!$A$1:$B$27,2,FALSE)</f>
        <v>Food &amp;Beverage</v>
      </c>
    </row>
    <row r="9695" spans="1:7" x14ac:dyDescent="0.3">
      <c r="A9695" t="s">
        <v>33</v>
      </c>
      <c r="B9695">
        <v>2023</v>
      </c>
      <c r="C9695" t="s">
        <v>37</v>
      </c>
      <c r="D9695" s="2">
        <v>45017</v>
      </c>
      <c r="E9695" t="s">
        <v>14</v>
      </c>
      <c r="F9695">
        <v>197</v>
      </c>
      <c r="G9695" t="str">
        <f>VLOOKUP(Table1_2[[#This Row],[Categories]],Sheet3!$A$1:$B$27,2,FALSE)</f>
        <v>Food &amp;Beverage</v>
      </c>
    </row>
    <row r="9696" spans="1:7" x14ac:dyDescent="0.3">
      <c r="A9696" t="s">
        <v>33</v>
      </c>
      <c r="B9696">
        <v>2023</v>
      </c>
      <c r="C9696" t="s">
        <v>37</v>
      </c>
      <c r="D9696" s="2">
        <v>45017</v>
      </c>
      <c r="E9696" t="s">
        <v>15</v>
      </c>
      <c r="F9696">
        <v>182.1</v>
      </c>
      <c r="G9696" t="str">
        <f>VLOOKUP(Table1_2[[#This Row],[Categories]],Sheet3!$A$1:$B$27,2,FALSE)</f>
        <v>Food &amp;Beverage</v>
      </c>
    </row>
    <row r="9697" spans="1:7" x14ac:dyDescent="0.3">
      <c r="A9697" t="s">
        <v>33</v>
      </c>
      <c r="B9697">
        <v>2023</v>
      </c>
      <c r="C9697" t="s">
        <v>37</v>
      </c>
      <c r="D9697" s="2">
        <v>45017</v>
      </c>
      <c r="E9697" t="s">
        <v>16</v>
      </c>
      <c r="F9697">
        <v>203.5</v>
      </c>
      <c r="G9697" t="str">
        <f>VLOOKUP(Table1_2[[#This Row],[Categories]],Sheet3!$A$1:$B$27,2,FALSE)</f>
        <v>Recreation and amusement</v>
      </c>
    </row>
    <row r="9698" spans="1:7" x14ac:dyDescent="0.3">
      <c r="A9698" t="s">
        <v>33</v>
      </c>
      <c r="B9698">
        <v>2023</v>
      </c>
      <c r="C9698" t="s">
        <v>37</v>
      </c>
      <c r="D9698" s="2">
        <v>45017</v>
      </c>
      <c r="E9698" t="s">
        <v>17</v>
      </c>
      <c r="F9698">
        <v>181</v>
      </c>
      <c r="G9698" t="str">
        <f>VLOOKUP(Table1_2[[#This Row],[Categories]],Sheet3!$A$1:$B$27,2,FALSE)</f>
        <v>Clothing and footwear</v>
      </c>
    </row>
    <row r="9699" spans="1:7" x14ac:dyDescent="0.3">
      <c r="A9699" t="s">
        <v>33</v>
      </c>
      <c r="B9699">
        <v>2023</v>
      </c>
      <c r="C9699" t="s">
        <v>37</v>
      </c>
      <c r="D9699" s="2">
        <v>45017</v>
      </c>
      <c r="E9699" t="s">
        <v>18</v>
      </c>
      <c r="F9699">
        <v>167.7</v>
      </c>
      <c r="G9699" t="str">
        <f>VLOOKUP(Table1_2[[#This Row],[Categories]],Sheet3!$A$1:$B$27,2,FALSE)</f>
        <v>Clothing and footwear</v>
      </c>
    </row>
    <row r="9700" spans="1:7" x14ac:dyDescent="0.3">
      <c r="A9700" t="s">
        <v>33</v>
      </c>
      <c r="B9700">
        <v>2023</v>
      </c>
      <c r="C9700" t="s">
        <v>37</v>
      </c>
      <c r="D9700" s="2">
        <v>45017</v>
      </c>
      <c r="E9700" t="s">
        <v>19</v>
      </c>
      <c r="F9700">
        <v>178.9</v>
      </c>
      <c r="G9700" t="str">
        <f>VLOOKUP(Table1_2[[#This Row],[Categories]],Sheet3!$A$1:$B$27,2,FALSE)</f>
        <v>Clothing and footwear</v>
      </c>
    </row>
    <row r="9701" spans="1:7" x14ac:dyDescent="0.3">
      <c r="A9701" t="s">
        <v>33</v>
      </c>
      <c r="B9701">
        <v>2023</v>
      </c>
      <c r="C9701" t="s">
        <v>37</v>
      </c>
      <c r="D9701" s="2">
        <v>45017</v>
      </c>
      <c r="E9701" t="s">
        <v>20</v>
      </c>
      <c r="F9701">
        <v>175.2</v>
      </c>
      <c r="G9701" t="str">
        <f>VLOOKUP(Table1_2[[#This Row],[Categories]],Sheet3!$A$1:$B$27,2,FALSE)</f>
        <v>Housing</v>
      </c>
    </row>
    <row r="9702" spans="1:7" x14ac:dyDescent="0.3">
      <c r="A9702" t="s">
        <v>33</v>
      </c>
      <c r="B9702">
        <v>2023</v>
      </c>
      <c r="C9702" t="s">
        <v>37</v>
      </c>
      <c r="D9702" s="2">
        <v>45017</v>
      </c>
      <c r="E9702" t="s">
        <v>21</v>
      </c>
      <c r="F9702">
        <v>182.1</v>
      </c>
      <c r="G9702" t="str">
        <f>VLOOKUP(Table1_2[[#This Row],[Categories]],Sheet3!$A$1:$B$27,2,FALSE)</f>
        <v>Fuel and light</v>
      </c>
    </row>
    <row r="9703" spans="1:7" x14ac:dyDescent="0.3">
      <c r="A9703" t="s">
        <v>33</v>
      </c>
      <c r="B9703">
        <v>2023</v>
      </c>
      <c r="C9703" t="s">
        <v>37</v>
      </c>
      <c r="D9703" s="2">
        <v>45017</v>
      </c>
      <c r="E9703" t="s">
        <v>22</v>
      </c>
      <c r="F9703">
        <v>169.6</v>
      </c>
      <c r="G9703" t="str">
        <f>VLOOKUP(Table1_2[[#This Row],[Categories]],Sheet3!$A$1:$B$27,2,FALSE)</f>
        <v>Household Items</v>
      </c>
    </row>
    <row r="9704" spans="1:7" x14ac:dyDescent="0.3">
      <c r="A9704" t="s">
        <v>33</v>
      </c>
      <c r="B9704">
        <v>2023</v>
      </c>
      <c r="C9704" t="s">
        <v>37</v>
      </c>
      <c r="D9704" s="2">
        <v>45017</v>
      </c>
      <c r="E9704" t="s">
        <v>23</v>
      </c>
      <c r="F9704">
        <v>181.5</v>
      </c>
      <c r="G9704" t="str">
        <f>VLOOKUP(Table1_2[[#This Row],[Categories]],Sheet3!$A$1:$B$27,2,FALSE)</f>
        <v>Health</v>
      </c>
    </row>
    <row r="9705" spans="1:7" x14ac:dyDescent="0.3">
      <c r="A9705" t="s">
        <v>33</v>
      </c>
      <c r="B9705">
        <v>2023</v>
      </c>
      <c r="C9705" t="s">
        <v>37</v>
      </c>
      <c r="D9705" s="2">
        <v>45017</v>
      </c>
      <c r="E9705" t="s">
        <v>24</v>
      </c>
      <c r="F9705">
        <v>160.1</v>
      </c>
      <c r="G9705" t="str">
        <f>VLOOKUP(Table1_2[[#This Row],[Categories]],Sheet3!$A$1:$B$27,2,FALSE)</f>
        <v>Transport and communication</v>
      </c>
    </row>
    <row r="9706" spans="1:7" x14ac:dyDescent="0.3">
      <c r="A9706" t="s">
        <v>33</v>
      </c>
      <c r="B9706">
        <v>2023</v>
      </c>
      <c r="C9706" t="s">
        <v>37</v>
      </c>
      <c r="D9706" s="2">
        <v>45017</v>
      </c>
      <c r="E9706" t="s">
        <v>25</v>
      </c>
      <c r="F9706">
        <v>168.8</v>
      </c>
      <c r="G9706" t="str">
        <f>VLOOKUP(Table1_2[[#This Row],[Categories]],Sheet3!$A$1:$B$27,2,FALSE)</f>
        <v>Recreation and amusement</v>
      </c>
    </row>
    <row r="9707" spans="1:7" x14ac:dyDescent="0.3">
      <c r="A9707" t="s">
        <v>33</v>
      </c>
      <c r="B9707">
        <v>2023</v>
      </c>
      <c r="C9707" t="s">
        <v>37</v>
      </c>
      <c r="D9707" s="2">
        <v>45017</v>
      </c>
      <c r="E9707" t="s">
        <v>26</v>
      </c>
      <c r="F9707">
        <v>174.2</v>
      </c>
      <c r="G9707" t="str">
        <f>VLOOKUP(Table1_2[[#This Row],[Categories]],Sheet3!$A$1:$B$27,2,FALSE)</f>
        <v>Education</v>
      </c>
    </row>
    <row r="9708" spans="1:7" x14ac:dyDescent="0.3">
      <c r="A9708" t="s">
        <v>33</v>
      </c>
      <c r="B9708">
        <v>2023</v>
      </c>
      <c r="C9708" t="s">
        <v>37</v>
      </c>
      <c r="D9708" s="2">
        <v>45017</v>
      </c>
      <c r="E9708" t="s">
        <v>27</v>
      </c>
      <c r="F9708">
        <v>184.4</v>
      </c>
      <c r="G9708" t="str">
        <f>VLOOKUP(Table1_2[[#This Row],[Categories]],Sheet3!$A$1:$B$27,2,FALSE)</f>
        <v>Household Items</v>
      </c>
    </row>
    <row r="9709" spans="1:7" x14ac:dyDescent="0.3">
      <c r="A9709" t="s">
        <v>33</v>
      </c>
      <c r="B9709">
        <v>2023</v>
      </c>
      <c r="C9709" t="s">
        <v>37</v>
      </c>
      <c r="D9709" s="2">
        <v>45017</v>
      </c>
      <c r="E9709" t="s">
        <v>28</v>
      </c>
      <c r="F9709">
        <v>170.9</v>
      </c>
      <c r="G9709" t="str">
        <f>VLOOKUP(Table1_2[[#This Row],[Categories]],Sheet3!$A$1:$B$27,2,FALSE)</f>
        <v>Miscellaneous</v>
      </c>
    </row>
    <row r="9710" spans="1:7" x14ac:dyDescent="0.3">
      <c r="A9710" t="s">
        <v>33</v>
      </c>
      <c r="B9710">
        <v>2023</v>
      </c>
      <c r="C9710" t="s">
        <v>37</v>
      </c>
      <c r="D9710" s="2">
        <v>45017</v>
      </c>
      <c r="E9710" t="s">
        <v>29</v>
      </c>
      <c r="F9710">
        <v>177.4</v>
      </c>
      <c r="G9710" t="str">
        <f>VLOOKUP(Table1_2[[#This Row],[Categories]],Sheet3!$A$1:$B$27,2,FALSE)</f>
        <v>General index</v>
      </c>
    </row>
    <row r="9711" spans="1:7" x14ac:dyDescent="0.3">
      <c r="A9711" t="s">
        <v>34</v>
      </c>
      <c r="B9711">
        <v>2023</v>
      </c>
      <c r="C9711" t="s">
        <v>37</v>
      </c>
      <c r="D9711" s="2">
        <v>45017</v>
      </c>
      <c r="E9711" t="s">
        <v>3</v>
      </c>
      <c r="F9711">
        <v>173.8</v>
      </c>
      <c r="G9711" t="str">
        <f>VLOOKUP(Table1_2[[#This Row],[Categories]],Sheet3!$A$1:$B$27,2,FALSE)</f>
        <v>Food &amp;Beverage</v>
      </c>
    </row>
    <row r="9712" spans="1:7" x14ac:dyDescent="0.3">
      <c r="A9712" t="s">
        <v>34</v>
      </c>
      <c r="B9712">
        <v>2023</v>
      </c>
      <c r="C9712" t="s">
        <v>37</v>
      </c>
      <c r="D9712" s="2">
        <v>45017</v>
      </c>
      <c r="E9712" t="s">
        <v>4</v>
      </c>
      <c r="F9712">
        <v>209.3</v>
      </c>
      <c r="G9712" t="str">
        <f>VLOOKUP(Table1_2[[#This Row],[Categories]],Sheet3!$A$1:$B$27,2,FALSE)</f>
        <v>Food &amp;Beverage</v>
      </c>
    </row>
    <row r="9713" spans="1:7" x14ac:dyDescent="0.3">
      <c r="A9713" t="s">
        <v>34</v>
      </c>
      <c r="B9713">
        <v>2023</v>
      </c>
      <c r="C9713" t="s">
        <v>37</v>
      </c>
      <c r="D9713" s="2">
        <v>45017</v>
      </c>
      <c r="E9713" t="s">
        <v>5</v>
      </c>
      <c r="F9713">
        <v>169.6</v>
      </c>
      <c r="G9713" t="str">
        <f>VLOOKUP(Table1_2[[#This Row],[Categories]],Sheet3!$A$1:$B$27,2,FALSE)</f>
        <v>Food &amp;Beverage</v>
      </c>
    </row>
    <row r="9714" spans="1:7" x14ac:dyDescent="0.3">
      <c r="A9714" t="s">
        <v>34</v>
      </c>
      <c r="B9714">
        <v>2023</v>
      </c>
      <c r="C9714" t="s">
        <v>37</v>
      </c>
      <c r="D9714" s="2">
        <v>45017</v>
      </c>
      <c r="E9714" t="s">
        <v>6</v>
      </c>
      <c r="F9714">
        <v>178.4</v>
      </c>
      <c r="G9714" t="str">
        <f>VLOOKUP(Table1_2[[#This Row],[Categories]],Sheet3!$A$1:$B$27,2,FALSE)</f>
        <v>Food &amp;Beverage</v>
      </c>
    </row>
    <row r="9715" spans="1:7" x14ac:dyDescent="0.3">
      <c r="A9715" t="s">
        <v>34</v>
      </c>
      <c r="B9715">
        <v>2023</v>
      </c>
      <c r="C9715" t="s">
        <v>37</v>
      </c>
      <c r="D9715" s="2">
        <v>45017</v>
      </c>
      <c r="E9715" t="s">
        <v>7</v>
      </c>
      <c r="F9715">
        <v>174.9</v>
      </c>
      <c r="G9715" t="str">
        <f>VLOOKUP(Table1_2[[#This Row],[Categories]],Sheet3!$A$1:$B$27,2,FALSE)</f>
        <v>Food &amp;Beverage</v>
      </c>
    </row>
    <row r="9716" spans="1:7" x14ac:dyDescent="0.3">
      <c r="A9716" t="s">
        <v>34</v>
      </c>
      <c r="B9716">
        <v>2023</v>
      </c>
      <c r="C9716" t="s">
        <v>37</v>
      </c>
      <c r="D9716" s="2">
        <v>45017</v>
      </c>
      <c r="E9716" t="s">
        <v>8</v>
      </c>
      <c r="F9716">
        <v>176.3</v>
      </c>
      <c r="G9716" t="str">
        <f>VLOOKUP(Table1_2[[#This Row],[Categories]],Sheet3!$A$1:$B$27,2,FALSE)</f>
        <v>Food &amp;Beverage</v>
      </c>
    </row>
    <row r="9717" spans="1:7" x14ac:dyDescent="0.3">
      <c r="A9717" t="s">
        <v>34</v>
      </c>
      <c r="B9717">
        <v>2023</v>
      </c>
      <c r="C9717" t="s">
        <v>37</v>
      </c>
      <c r="D9717" s="2">
        <v>45017</v>
      </c>
      <c r="E9717" t="s">
        <v>9</v>
      </c>
      <c r="F9717">
        <v>155.4</v>
      </c>
      <c r="G9717" t="str">
        <f>VLOOKUP(Table1_2[[#This Row],[Categories]],Sheet3!$A$1:$B$27,2,FALSE)</f>
        <v>Food &amp;Beverage</v>
      </c>
    </row>
    <row r="9718" spans="1:7" x14ac:dyDescent="0.3">
      <c r="A9718" t="s">
        <v>34</v>
      </c>
      <c r="B9718">
        <v>2023</v>
      </c>
      <c r="C9718" t="s">
        <v>37</v>
      </c>
      <c r="D9718" s="2">
        <v>45017</v>
      </c>
      <c r="E9718" t="s">
        <v>10</v>
      </c>
      <c r="F9718">
        <v>173.4</v>
      </c>
      <c r="G9718" t="str">
        <f>VLOOKUP(Table1_2[[#This Row],[Categories]],Sheet3!$A$1:$B$27,2,FALSE)</f>
        <v>Food &amp;Beverage</v>
      </c>
    </row>
    <row r="9719" spans="1:7" x14ac:dyDescent="0.3">
      <c r="A9719" t="s">
        <v>34</v>
      </c>
      <c r="B9719">
        <v>2023</v>
      </c>
      <c r="C9719" t="s">
        <v>37</v>
      </c>
      <c r="D9719" s="2">
        <v>45017</v>
      </c>
      <c r="E9719" t="s">
        <v>11</v>
      </c>
      <c r="F9719">
        <v>121.3</v>
      </c>
      <c r="G9719" t="str">
        <f>VLOOKUP(Table1_2[[#This Row],[Categories]],Sheet3!$A$1:$B$27,2,FALSE)</f>
        <v>Food &amp;Beverage</v>
      </c>
    </row>
    <row r="9720" spans="1:7" x14ac:dyDescent="0.3">
      <c r="A9720" t="s">
        <v>34</v>
      </c>
      <c r="B9720">
        <v>2023</v>
      </c>
      <c r="C9720" t="s">
        <v>37</v>
      </c>
      <c r="D9720" s="2">
        <v>45017</v>
      </c>
      <c r="E9720" t="s">
        <v>12</v>
      </c>
      <c r="F9720">
        <v>212.9</v>
      </c>
      <c r="G9720" t="str">
        <f>VLOOKUP(Table1_2[[#This Row],[Categories]],Sheet3!$A$1:$B$27,2,FALSE)</f>
        <v>Food &amp;Beverage</v>
      </c>
    </row>
    <row r="9721" spans="1:7" x14ac:dyDescent="0.3">
      <c r="A9721" t="s">
        <v>34</v>
      </c>
      <c r="B9721">
        <v>2023</v>
      </c>
      <c r="C9721" t="s">
        <v>37</v>
      </c>
      <c r="D9721" s="2">
        <v>45017</v>
      </c>
      <c r="E9721" t="s">
        <v>13</v>
      </c>
      <c r="F9721">
        <v>172.9</v>
      </c>
      <c r="G9721" t="str">
        <f>VLOOKUP(Table1_2[[#This Row],[Categories]],Sheet3!$A$1:$B$27,2,FALSE)</f>
        <v>Food &amp;Beverage</v>
      </c>
    </row>
    <row r="9722" spans="1:7" x14ac:dyDescent="0.3">
      <c r="A9722" t="s">
        <v>34</v>
      </c>
      <c r="B9722">
        <v>2023</v>
      </c>
      <c r="C9722" t="s">
        <v>37</v>
      </c>
      <c r="D9722" s="2">
        <v>45017</v>
      </c>
      <c r="E9722" t="s">
        <v>14</v>
      </c>
      <c r="F9722">
        <v>193.5</v>
      </c>
      <c r="G9722" t="str">
        <f>VLOOKUP(Table1_2[[#This Row],[Categories]],Sheet3!$A$1:$B$27,2,FALSE)</f>
        <v>Food &amp;Beverage</v>
      </c>
    </row>
    <row r="9723" spans="1:7" x14ac:dyDescent="0.3">
      <c r="A9723" t="s">
        <v>34</v>
      </c>
      <c r="B9723">
        <v>2023</v>
      </c>
      <c r="C9723" t="s">
        <v>37</v>
      </c>
      <c r="D9723" s="2">
        <v>45017</v>
      </c>
      <c r="E9723" t="s">
        <v>15</v>
      </c>
      <c r="F9723">
        <v>177.9</v>
      </c>
      <c r="G9723" t="str">
        <f>VLOOKUP(Table1_2[[#This Row],[Categories]],Sheet3!$A$1:$B$27,2,FALSE)</f>
        <v>Food &amp;Beverage</v>
      </c>
    </row>
    <row r="9724" spans="1:7" x14ac:dyDescent="0.3">
      <c r="A9724" t="s">
        <v>34</v>
      </c>
      <c r="B9724">
        <v>2023</v>
      </c>
      <c r="C9724" t="s">
        <v>37</v>
      </c>
      <c r="D9724" s="2">
        <v>45017</v>
      </c>
      <c r="E9724" t="s">
        <v>16</v>
      </c>
      <c r="F9724">
        <v>200.6</v>
      </c>
      <c r="G9724" t="str">
        <f>VLOOKUP(Table1_2[[#This Row],[Categories]],Sheet3!$A$1:$B$27,2,FALSE)</f>
        <v>Recreation and amusement</v>
      </c>
    </row>
    <row r="9725" spans="1:7" x14ac:dyDescent="0.3">
      <c r="A9725" t="s">
        <v>34</v>
      </c>
      <c r="B9725">
        <v>2023</v>
      </c>
      <c r="C9725" t="s">
        <v>37</v>
      </c>
      <c r="D9725" s="2">
        <v>45017</v>
      </c>
      <c r="E9725" t="s">
        <v>17</v>
      </c>
      <c r="F9725">
        <v>186.9</v>
      </c>
      <c r="G9725" t="str">
        <f>VLOOKUP(Table1_2[[#This Row],[Categories]],Sheet3!$A$1:$B$27,2,FALSE)</f>
        <v>Clothing and footwear</v>
      </c>
    </row>
    <row r="9726" spans="1:7" x14ac:dyDescent="0.3">
      <c r="A9726" t="s">
        <v>34</v>
      </c>
      <c r="B9726">
        <v>2023</v>
      </c>
      <c r="C9726" t="s">
        <v>37</v>
      </c>
      <c r="D9726" s="2">
        <v>45017</v>
      </c>
      <c r="E9726" t="s">
        <v>18</v>
      </c>
      <c r="F9726">
        <v>179.2</v>
      </c>
      <c r="G9726" t="str">
        <f>VLOOKUP(Table1_2[[#This Row],[Categories]],Sheet3!$A$1:$B$27,2,FALSE)</f>
        <v>Clothing and footwear</v>
      </c>
    </row>
    <row r="9727" spans="1:7" x14ac:dyDescent="0.3">
      <c r="A9727" t="s">
        <v>34</v>
      </c>
      <c r="B9727">
        <v>2023</v>
      </c>
      <c r="C9727" t="s">
        <v>37</v>
      </c>
      <c r="D9727" s="2">
        <v>45017</v>
      </c>
      <c r="E9727" t="s">
        <v>19</v>
      </c>
      <c r="F9727">
        <v>185.7</v>
      </c>
      <c r="G9727" t="str">
        <f>VLOOKUP(Table1_2[[#This Row],[Categories]],Sheet3!$A$1:$B$27,2,FALSE)</f>
        <v>Clothing and footwear</v>
      </c>
    </row>
    <row r="9728" spans="1:7" x14ac:dyDescent="0.3">
      <c r="A9728" t="s">
        <v>34</v>
      </c>
      <c r="B9728">
        <v>2023</v>
      </c>
      <c r="C9728" t="s">
        <v>37</v>
      </c>
      <c r="D9728" s="2">
        <v>45017</v>
      </c>
      <c r="E9728" t="s">
        <v>20</v>
      </c>
      <c r="F9728">
        <v>175.2</v>
      </c>
      <c r="G9728" t="str">
        <f>VLOOKUP(Table1_2[[#This Row],[Categories]],Sheet3!$A$1:$B$27,2,FALSE)</f>
        <v>Housing</v>
      </c>
    </row>
    <row r="9729" spans="1:7" x14ac:dyDescent="0.3">
      <c r="A9729" t="s">
        <v>34</v>
      </c>
      <c r="B9729">
        <v>2023</v>
      </c>
      <c r="C9729" t="s">
        <v>37</v>
      </c>
      <c r="D9729" s="2">
        <v>45017</v>
      </c>
      <c r="E9729" t="s">
        <v>21</v>
      </c>
      <c r="F9729">
        <v>181.7</v>
      </c>
      <c r="G9729" t="str">
        <f>VLOOKUP(Table1_2[[#This Row],[Categories]],Sheet3!$A$1:$B$27,2,FALSE)</f>
        <v>Fuel and light</v>
      </c>
    </row>
    <row r="9730" spans="1:7" x14ac:dyDescent="0.3">
      <c r="A9730" t="s">
        <v>34</v>
      </c>
      <c r="B9730">
        <v>2023</v>
      </c>
      <c r="C9730" t="s">
        <v>37</v>
      </c>
      <c r="D9730" s="2">
        <v>45017</v>
      </c>
      <c r="E9730" t="s">
        <v>22</v>
      </c>
      <c r="F9730">
        <v>174.6</v>
      </c>
      <c r="G9730" t="str">
        <f>VLOOKUP(Table1_2[[#This Row],[Categories]],Sheet3!$A$1:$B$27,2,FALSE)</f>
        <v>Household Items</v>
      </c>
    </row>
    <row r="9731" spans="1:7" x14ac:dyDescent="0.3">
      <c r="A9731" t="s">
        <v>34</v>
      </c>
      <c r="B9731">
        <v>2023</v>
      </c>
      <c r="C9731" t="s">
        <v>37</v>
      </c>
      <c r="D9731" s="2">
        <v>45017</v>
      </c>
      <c r="E9731" t="s">
        <v>23</v>
      </c>
      <c r="F9731">
        <v>185</v>
      </c>
      <c r="G9731" t="str">
        <f>VLOOKUP(Table1_2[[#This Row],[Categories]],Sheet3!$A$1:$B$27,2,FALSE)</f>
        <v>Health</v>
      </c>
    </row>
    <row r="9732" spans="1:7" x14ac:dyDescent="0.3">
      <c r="A9732" t="s">
        <v>34</v>
      </c>
      <c r="B9732">
        <v>2023</v>
      </c>
      <c r="C9732" t="s">
        <v>37</v>
      </c>
      <c r="D9732" s="2">
        <v>45017</v>
      </c>
      <c r="E9732" t="s">
        <v>24</v>
      </c>
      <c r="F9732">
        <v>164.5</v>
      </c>
      <c r="G9732" t="str">
        <f>VLOOKUP(Table1_2[[#This Row],[Categories]],Sheet3!$A$1:$B$27,2,FALSE)</f>
        <v>Transport and communication</v>
      </c>
    </row>
    <row r="9733" spans="1:7" x14ac:dyDescent="0.3">
      <c r="A9733" t="s">
        <v>34</v>
      </c>
      <c r="B9733">
        <v>2023</v>
      </c>
      <c r="C9733" t="s">
        <v>37</v>
      </c>
      <c r="D9733" s="2">
        <v>45017</v>
      </c>
      <c r="E9733" t="s">
        <v>25</v>
      </c>
      <c r="F9733">
        <v>170.7</v>
      </c>
      <c r="G9733" t="str">
        <f>VLOOKUP(Table1_2[[#This Row],[Categories]],Sheet3!$A$1:$B$27,2,FALSE)</f>
        <v>Recreation and amusement</v>
      </c>
    </row>
    <row r="9734" spans="1:7" x14ac:dyDescent="0.3">
      <c r="A9734" t="s">
        <v>34</v>
      </c>
      <c r="B9734">
        <v>2023</v>
      </c>
      <c r="C9734" t="s">
        <v>37</v>
      </c>
      <c r="D9734" s="2">
        <v>45017</v>
      </c>
      <c r="E9734" t="s">
        <v>26</v>
      </c>
      <c r="F9734">
        <v>176.4</v>
      </c>
      <c r="G9734" t="str">
        <f>VLOOKUP(Table1_2[[#This Row],[Categories]],Sheet3!$A$1:$B$27,2,FALSE)</f>
        <v>Education</v>
      </c>
    </row>
    <row r="9735" spans="1:7" x14ac:dyDescent="0.3">
      <c r="A9735" t="s">
        <v>34</v>
      </c>
      <c r="B9735">
        <v>2023</v>
      </c>
      <c r="C9735" t="s">
        <v>37</v>
      </c>
      <c r="D9735" s="2">
        <v>45017</v>
      </c>
      <c r="E9735" t="s">
        <v>27</v>
      </c>
      <c r="F9735">
        <v>184</v>
      </c>
      <c r="G9735" t="str">
        <f>VLOOKUP(Table1_2[[#This Row],[Categories]],Sheet3!$A$1:$B$27,2,FALSE)</f>
        <v>Household Items</v>
      </c>
    </row>
    <row r="9736" spans="1:7" x14ac:dyDescent="0.3">
      <c r="A9736" t="s">
        <v>34</v>
      </c>
      <c r="B9736">
        <v>2023</v>
      </c>
      <c r="C9736" t="s">
        <v>37</v>
      </c>
      <c r="D9736" s="2">
        <v>45017</v>
      </c>
      <c r="E9736" t="s">
        <v>28</v>
      </c>
      <c r="F9736">
        <v>175</v>
      </c>
      <c r="G9736" t="str">
        <f>VLOOKUP(Table1_2[[#This Row],[Categories]],Sheet3!$A$1:$B$27,2,FALSE)</f>
        <v>Miscellaneous</v>
      </c>
    </row>
    <row r="9737" spans="1:7" x14ac:dyDescent="0.3">
      <c r="A9737" t="s">
        <v>34</v>
      </c>
      <c r="B9737">
        <v>2023</v>
      </c>
      <c r="C9737" t="s">
        <v>37</v>
      </c>
      <c r="D9737" s="2">
        <v>45017</v>
      </c>
      <c r="E9737" t="s">
        <v>29</v>
      </c>
      <c r="F9737">
        <v>178.1</v>
      </c>
      <c r="G9737" t="str">
        <f>VLOOKUP(Table1_2[[#This Row],[Categories]],Sheet3!$A$1:$B$27,2,FALSE)</f>
        <v>General index</v>
      </c>
    </row>
    <row r="9738" spans="1:7" x14ac:dyDescent="0.3">
      <c r="A9738" t="s">
        <v>30</v>
      </c>
      <c r="B9738">
        <v>2023</v>
      </c>
      <c r="C9738" t="s">
        <v>38</v>
      </c>
      <c r="D9738" s="2">
        <v>45047</v>
      </c>
      <c r="E9738" t="s">
        <v>17</v>
      </c>
      <c r="F9738">
        <v>191.2</v>
      </c>
      <c r="G9738" t="str">
        <f>VLOOKUP(Table1_2[[#This Row],[Categories]],Sheet3!$A$1:$B$27,2,FALSE)</f>
        <v>Clothing and footwear</v>
      </c>
    </row>
    <row r="9739" spans="1:7" x14ac:dyDescent="0.3">
      <c r="A9739" t="s">
        <v>30</v>
      </c>
      <c r="B9739">
        <v>2023</v>
      </c>
      <c r="C9739" t="s">
        <v>38</v>
      </c>
      <c r="D9739" s="2">
        <v>45047</v>
      </c>
      <c r="E9739" t="s">
        <v>18</v>
      </c>
      <c r="F9739">
        <v>187.9</v>
      </c>
      <c r="G9739" t="str">
        <f>VLOOKUP(Table1_2[[#This Row],[Categories]],Sheet3!$A$1:$B$27,2,FALSE)</f>
        <v>Clothing and footwear</v>
      </c>
    </row>
    <row r="9740" spans="1:7" x14ac:dyDescent="0.3">
      <c r="A9740" t="s">
        <v>30</v>
      </c>
      <c r="B9740">
        <v>2023</v>
      </c>
      <c r="C9740" t="s">
        <v>38</v>
      </c>
      <c r="D9740" s="2">
        <v>45047</v>
      </c>
      <c r="E9740" t="s">
        <v>19</v>
      </c>
      <c r="F9740">
        <v>190.8</v>
      </c>
      <c r="G9740" t="str">
        <f>VLOOKUP(Table1_2[[#This Row],[Categories]],Sheet3!$A$1:$B$27,2,FALSE)</f>
        <v>Clothing and footwear</v>
      </c>
    </row>
    <row r="9741" spans="1:7" x14ac:dyDescent="0.3">
      <c r="A9741" t="s">
        <v>33</v>
      </c>
      <c r="B9741">
        <v>2023</v>
      </c>
      <c r="C9741" t="s">
        <v>38</v>
      </c>
      <c r="D9741" s="2">
        <v>45047</v>
      </c>
      <c r="E9741" t="s">
        <v>17</v>
      </c>
      <c r="F9741">
        <v>181.3</v>
      </c>
      <c r="G9741" t="str">
        <f>VLOOKUP(Table1_2[[#This Row],[Categories]],Sheet3!$A$1:$B$27,2,FALSE)</f>
        <v>Clothing and footwear</v>
      </c>
    </row>
    <row r="9742" spans="1:7" x14ac:dyDescent="0.3">
      <c r="A9742" t="s">
        <v>33</v>
      </c>
      <c r="B9742">
        <v>2023</v>
      </c>
      <c r="C9742" t="s">
        <v>38</v>
      </c>
      <c r="D9742" s="2">
        <v>45047</v>
      </c>
      <c r="E9742" t="s">
        <v>18</v>
      </c>
      <c r="F9742">
        <v>168.1</v>
      </c>
      <c r="G9742" t="str">
        <f>VLOOKUP(Table1_2[[#This Row],[Categories]],Sheet3!$A$1:$B$27,2,FALSE)</f>
        <v>Clothing and footwear</v>
      </c>
    </row>
    <row r="9743" spans="1:7" x14ac:dyDescent="0.3">
      <c r="A9743" t="s">
        <v>33</v>
      </c>
      <c r="B9743">
        <v>2023</v>
      </c>
      <c r="C9743" t="s">
        <v>38</v>
      </c>
      <c r="D9743" s="2">
        <v>45047</v>
      </c>
      <c r="E9743" t="s">
        <v>19</v>
      </c>
      <c r="F9743">
        <v>179.3</v>
      </c>
      <c r="G9743" t="str">
        <f>VLOOKUP(Table1_2[[#This Row],[Categories]],Sheet3!$A$1:$B$27,2,FALSE)</f>
        <v>Clothing and footwear</v>
      </c>
    </row>
    <row r="9744" spans="1:7" x14ac:dyDescent="0.3">
      <c r="A9744" t="s">
        <v>34</v>
      </c>
      <c r="B9744">
        <v>2023</v>
      </c>
      <c r="C9744" t="s">
        <v>38</v>
      </c>
      <c r="D9744" s="2">
        <v>45047</v>
      </c>
      <c r="E9744" t="s">
        <v>17</v>
      </c>
      <c r="F9744">
        <v>187.3</v>
      </c>
      <c r="G9744" t="str">
        <f>VLOOKUP(Table1_2[[#This Row],[Categories]],Sheet3!$A$1:$B$27,2,FALSE)</f>
        <v>Clothing and footwear</v>
      </c>
    </row>
    <row r="9745" spans="1:7" x14ac:dyDescent="0.3">
      <c r="A9745" t="s">
        <v>34</v>
      </c>
      <c r="B9745">
        <v>2023</v>
      </c>
      <c r="C9745" t="s">
        <v>38</v>
      </c>
      <c r="D9745" s="2">
        <v>45047</v>
      </c>
      <c r="E9745" t="s">
        <v>18</v>
      </c>
      <c r="F9745">
        <v>179.7</v>
      </c>
      <c r="G9745" t="str">
        <f>VLOOKUP(Table1_2[[#This Row],[Categories]],Sheet3!$A$1:$B$27,2,FALSE)</f>
        <v>Clothing and footwear</v>
      </c>
    </row>
    <row r="9746" spans="1:7" x14ac:dyDescent="0.3">
      <c r="A9746" t="s">
        <v>34</v>
      </c>
      <c r="B9746">
        <v>2023</v>
      </c>
      <c r="C9746" t="s">
        <v>38</v>
      </c>
      <c r="D9746" s="2">
        <v>45047</v>
      </c>
      <c r="E9746" t="s">
        <v>19</v>
      </c>
      <c r="F9746">
        <v>186.2</v>
      </c>
      <c r="G9746" t="str">
        <f>VLOOKUP(Table1_2[[#This Row],[Categories]],Sheet3!$A$1:$B$27,2,FALSE)</f>
        <v>Clothing and footwear</v>
      </c>
    </row>
    <row r="9747" spans="1:7" x14ac:dyDescent="0.3">
      <c r="A9747" t="s">
        <v>30</v>
      </c>
      <c r="B9747">
        <v>2023</v>
      </c>
      <c r="C9747" t="s">
        <v>38</v>
      </c>
      <c r="D9747" s="2">
        <v>45047</v>
      </c>
      <c r="E9747" t="s">
        <v>26</v>
      </c>
      <c r="F9747">
        <v>180.3</v>
      </c>
      <c r="G9747" t="str">
        <f>VLOOKUP(Table1_2[[#This Row],[Categories]],Sheet3!$A$1:$B$27,2,FALSE)</f>
        <v>Education</v>
      </c>
    </row>
    <row r="9748" spans="1:7" x14ac:dyDescent="0.3">
      <c r="A9748" t="s">
        <v>33</v>
      </c>
      <c r="B9748">
        <v>2023</v>
      </c>
      <c r="C9748" t="s">
        <v>38</v>
      </c>
      <c r="D9748" s="2">
        <v>45047</v>
      </c>
      <c r="E9748" t="s">
        <v>26</v>
      </c>
      <c r="F9748">
        <v>174.8</v>
      </c>
      <c r="G9748" t="str">
        <f>VLOOKUP(Table1_2[[#This Row],[Categories]],Sheet3!$A$1:$B$27,2,FALSE)</f>
        <v>Education</v>
      </c>
    </row>
    <row r="9749" spans="1:7" x14ac:dyDescent="0.3">
      <c r="A9749" t="s">
        <v>34</v>
      </c>
      <c r="B9749">
        <v>2023</v>
      </c>
      <c r="C9749" t="s">
        <v>38</v>
      </c>
      <c r="D9749" s="2">
        <v>45047</v>
      </c>
      <c r="E9749" t="s">
        <v>26</v>
      </c>
      <c r="F9749">
        <v>177.1</v>
      </c>
      <c r="G9749" t="str">
        <f>VLOOKUP(Table1_2[[#This Row],[Categories]],Sheet3!$A$1:$B$27,2,FALSE)</f>
        <v>Education</v>
      </c>
    </row>
    <row r="9750" spans="1:7" x14ac:dyDescent="0.3">
      <c r="A9750" t="s">
        <v>30</v>
      </c>
      <c r="B9750">
        <v>2023</v>
      </c>
      <c r="C9750" t="s">
        <v>38</v>
      </c>
      <c r="D9750" s="2">
        <v>45047</v>
      </c>
      <c r="E9750" t="s">
        <v>3</v>
      </c>
      <c r="F9750">
        <v>173.2</v>
      </c>
      <c r="G9750" t="str">
        <f>VLOOKUP(Table1_2[[#This Row],[Categories]],Sheet3!$A$1:$B$27,2,FALSE)</f>
        <v>Food &amp;Beverage</v>
      </c>
    </row>
    <row r="9751" spans="1:7" x14ac:dyDescent="0.3">
      <c r="A9751" t="s">
        <v>30</v>
      </c>
      <c r="B9751">
        <v>2023</v>
      </c>
      <c r="C9751" t="s">
        <v>38</v>
      </c>
      <c r="D9751" s="2">
        <v>45047</v>
      </c>
      <c r="E9751" t="s">
        <v>4</v>
      </c>
      <c r="F9751">
        <v>211.5</v>
      </c>
      <c r="G9751" t="str">
        <f>VLOOKUP(Table1_2[[#This Row],[Categories]],Sheet3!$A$1:$B$27,2,FALSE)</f>
        <v>Food &amp;Beverage</v>
      </c>
    </row>
    <row r="9752" spans="1:7" x14ac:dyDescent="0.3">
      <c r="A9752" t="s">
        <v>30</v>
      </c>
      <c r="B9752">
        <v>2023</v>
      </c>
      <c r="C9752" t="s">
        <v>38</v>
      </c>
      <c r="D9752" s="2">
        <v>45047</v>
      </c>
      <c r="E9752" t="s">
        <v>5</v>
      </c>
      <c r="F9752">
        <v>171</v>
      </c>
      <c r="G9752" t="str">
        <f>VLOOKUP(Table1_2[[#This Row],[Categories]],Sheet3!$A$1:$B$27,2,FALSE)</f>
        <v>Food &amp;Beverage</v>
      </c>
    </row>
    <row r="9753" spans="1:7" x14ac:dyDescent="0.3">
      <c r="A9753" t="s">
        <v>30</v>
      </c>
      <c r="B9753">
        <v>2023</v>
      </c>
      <c r="C9753" t="s">
        <v>38</v>
      </c>
      <c r="D9753" s="2">
        <v>45047</v>
      </c>
      <c r="E9753" t="s">
        <v>6</v>
      </c>
      <c r="F9753">
        <v>179.6</v>
      </c>
      <c r="G9753" t="str">
        <f>VLOOKUP(Table1_2[[#This Row],[Categories]],Sheet3!$A$1:$B$27,2,FALSE)</f>
        <v>Food &amp;Beverage</v>
      </c>
    </row>
    <row r="9754" spans="1:7" x14ac:dyDescent="0.3">
      <c r="A9754" t="s">
        <v>30</v>
      </c>
      <c r="B9754">
        <v>2023</v>
      </c>
      <c r="C9754" t="s">
        <v>38</v>
      </c>
      <c r="D9754" s="2">
        <v>45047</v>
      </c>
      <c r="E9754" t="s">
        <v>7</v>
      </c>
      <c r="F9754">
        <v>173.3</v>
      </c>
      <c r="G9754" t="str">
        <f>VLOOKUP(Table1_2[[#This Row],[Categories]],Sheet3!$A$1:$B$27,2,FALSE)</f>
        <v>Food &amp;Beverage</v>
      </c>
    </row>
    <row r="9755" spans="1:7" x14ac:dyDescent="0.3">
      <c r="A9755" t="s">
        <v>30</v>
      </c>
      <c r="B9755">
        <v>2023</v>
      </c>
      <c r="C9755" t="s">
        <v>38</v>
      </c>
      <c r="D9755" s="2">
        <v>45047</v>
      </c>
      <c r="E9755" t="s">
        <v>8</v>
      </c>
      <c r="F9755">
        <v>169</v>
      </c>
      <c r="G9755" t="str">
        <f>VLOOKUP(Table1_2[[#This Row],[Categories]],Sheet3!$A$1:$B$27,2,FALSE)</f>
        <v>Food &amp;Beverage</v>
      </c>
    </row>
    <row r="9756" spans="1:7" x14ac:dyDescent="0.3">
      <c r="A9756" t="s">
        <v>30</v>
      </c>
      <c r="B9756">
        <v>2023</v>
      </c>
      <c r="C9756" t="s">
        <v>38</v>
      </c>
      <c r="D9756" s="2">
        <v>45047</v>
      </c>
      <c r="E9756" t="s">
        <v>9</v>
      </c>
      <c r="F9756">
        <v>148.69999999999999</v>
      </c>
      <c r="G9756" t="str">
        <f>VLOOKUP(Table1_2[[#This Row],[Categories]],Sheet3!$A$1:$B$27,2,FALSE)</f>
        <v>Food &amp;Beverage</v>
      </c>
    </row>
    <row r="9757" spans="1:7" x14ac:dyDescent="0.3">
      <c r="A9757" t="s">
        <v>30</v>
      </c>
      <c r="B9757">
        <v>2023</v>
      </c>
      <c r="C9757" t="s">
        <v>38</v>
      </c>
      <c r="D9757" s="2">
        <v>45047</v>
      </c>
      <c r="E9757" t="s">
        <v>10</v>
      </c>
      <c r="F9757">
        <v>174.9</v>
      </c>
      <c r="G9757" t="str">
        <f>VLOOKUP(Table1_2[[#This Row],[Categories]],Sheet3!$A$1:$B$27,2,FALSE)</f>
        <v>Food &amp;Beverage</v>
      </c>
    </row>
    <row r="9758" spans="1:7" x14ac:dyDescent="0.3">
      <c r="A9758" t="s">
        <v>30</v>
      </c>
      <c r="B9758">
        <v>2023</v>
      </c>
      <c r="C9758" t="s">
        <v>38</v>
      </c>
      <c r="D9758" s="2">
        <v>45047</v>
      </c>
      <c r="E9758" t="s">
        <v>11</v>
      </c>
      <c r="F9758">
        <v>121.9</v>
      </c>
      <c r="G9758" t="str">
        <f>VLOOKUP(Table1_2[[#This Row],[Categories]],Sheet3!$A$1:$B$27,2,FALSE)</f>
        <v>Food &amp;Beverage</v>
      </c>
    </row>
    <row r="9759" spans="1:7" x14ac:dyDescent="0.3">
      <c r="A9759" t="s">
        <v>30</v>
      </c>
      <c r="B9759">
        <v>2023</v>
      </c>
      <c r="C9759" t="s">
        <v>38</v>
      </c>
      <c r="D9759" s="2">
        <v>45047</v>
      </c>
      <c r="E9759" t="s">
        <v>12</v>
      </c>
      <c r="F9759">
        <v>221</v>
      </c>
      <c r="G9759" t="str">
        <f>VLOOKUP(Table1_2[[#This Row],[Categories]],Sheet3!$A$1:$B$27,2,FALSE)</f>
        <v>Food &amp;Beverage</v>
      </c>
    </row>
    <row r="9760" spans="1:7" x14ac:dyDescent="0.3">
      <c r="A9760" t="s">
        <v>30</v>
      </c>
      <c r="B9760">
        <v>2023</v>
      </c>
      <c r="C9760" t="s">
        <v>38</v>
      </c>
      <c r="D9760" s="2">
        <v>45047</v>
      </c>
      <c r="E9760" t="s">
        <v>13</v>
      </c>
      <c r="F9760">
        <v>178.7</v>
      </c>
      <c r="G9760" t="str">
        <f>VLOOKUP(Table1_2[[#This Row],[Categories]],Sheet3!$A$1:$B$27,2,FALSE)</f>
        <v>Food &amp;Beverage</v>
      </c>
    </row>
    <row r="9761" spans="1:7" x14ac:dyDescent="0.3">
      <c r="A9761" t="s">
        <v>30</v>
      </c>
      <c r="B9761">
        <v>2023</v>
      </c>
      <c r="C9761" t="s">
        <v>38</v>
      </c>
      <c r="D9761" s="2">
        <v>45047</v>
      </c>
      <c r="E9761" t="s">
        <v>14</v>
      </c>
      <c r="F9761">
        <v>191.1</v>
      </c>
      <c r="G9761" t="str">
        <f>VLOOKUP(Table1_2[[#This Row],[Categories]],Sheet3!$A$1:$B$27,2,FALSE)</f>
        <v>Food &amp;Beverage</v>
      </c>
    </row>
    <row r="9762" spans="1:7" x14ac:dyDescent="0.3">
      <c r="A9762" t="s">
        <v>30</v>
      </c>
      <c r="B9762">
        <v>2023</v>
      </c>
      <c r="C9762" t="s">
        <v>38</v>
      </c>
      <c r="D9762" s="2">
        <v>45047</v>
      </c>
      <c r="E9762" t="s">
        <v>15</v>
      </c>
      <c r="F9762">
        <v>176.8</v>
      </c>
      <c r="G9762" t="str">
        <f>VLOOKUP(Table1_2[[#This Row],[Categories]],Sheet3!$A$1:$B$27,2,FALSE)</f>
        <v>Food &amp;Beverage</v>
      </c>
    </row>
    <row r="9763" spans="1:7" x14ac:dyDescent="0.3">
      <c r="A9763" t="s">
        <v>33</v>
      </c>
      <c r="B9763">
        <v>2023</v>
      </c>
      <c r="C9763" t="s">
        <v>38</v>
      </c>
      <c r="D9763" s="2">
        <v>45047</v>
      </c>
      <c r="E9763" t="s">
        <v>3</v>
      </c>
      <c r="F9763">
        <v>174.7</v>
      </c>
      <c r="G9763" t="str">
        <f>VLOOKUP(Table1_2[[#This Row],[Categories]],Sheet3!$A$1:$B$27,2,FALSE)</f>
        <v>Food &amp;Beverage</v>
      </c>
    </row>
    <row r="9764" spans="1:7" x14ac:dyDescent="0.3">
      <c r="A9764" t="s">
        <v>33</v>
      </c>
      <c r="B9764">
        <v>2023</v>
      </c>
      <c r="C9764" t="s">
        <v>38</v>
      </c>
      <c r="D9764" s="2">
        <v>45047</v>
      </c>
      <c r="E9764" t="s">
        <v>4</v>
      </c>
      <c r="F9764">
        <v>219.4</v>
      </c>
      <c r="G9764" t="str">
        <f>VLOOKUP(Table1_2[[#This Row],[Categories]],Sheet3!$A$1:$B$27,2,FALSE)</f>
        <v>Food &amp;Beverage</v>
      </c>
    </row>
    <row r="9765" spans="1:7" x14ac:dyDescent="0.3">
      <c r="A9765" t="s">
        <v>33</v>
      </c>
      <c r="B9765">
        <v>2023</v>
      </c>
      <c r="C9765" t="s">
        <v>38</v>
      </c>
      <c r="D9765" s="2">
        <v>45047</v>
      </c>
      <c r="E9765" t="s">
        <v>5</v>
      </c>
      <c r="F9765">
        <v>176.7</v>
      </c>
      <c r="G9765" t="str">
        <f>VLOOKUP(Table1_2[[#This Row],[Categories]],Sheet3!$A$1:$B$27,2,FALSE)</f>
        <v>Food &amp;Beverage</v>
      </c>
    </row>
    <row r="9766" spans="1:7" x14ac:dyDescent="0.3">
      <c r="A9766" t="s">
        <v>33</v>
      </c>
      <c r="B9766">
        <v>2023</v>
      </c>
      <c r="C9766" t="s">
        <v>38</v>
      </c>
      <c r="D9766" s="2">
        <v>45047</v>
      </c>
      <c r="E9766" t="s">
        <v>6</v>
      </c>
      <c r="F9766">
        <v>179.4</v>
      </c>
      <c r="G9766" t="str">
        <f>VLOOKUP(Table1_2[[#This Row],[Categories]],Sheet3!$A$1:$B$27,2,FALSE)</f>
        <v>Food &amp;Beverage</v>
      </c>
    </row>
    <row r="9767" spans="1:7" x14ac:dyDescent="0.3">
      <c r="A9767" t="s">
        <v>33</v>
      </c>
      <c r="B9767">
        <v>2023</v>
      </c>
      <c r="C9767" t="s">
        <v>38</v>
      </c>
      <c r="D9767" s="2">
        <v>45047</v>
      </c>
      <c r="E9767" t="s">
        <v>7</v>
      </c>
      <c r="F9767">
        <v>164.4</v>
      </c>
      <c r="G9767" t="str">
        <f>VLOOKUP(Table1_2[[#This Row],[Categories]],Sheet3!$A$1:$B$27,2,FALSE)</f>
        <v>Food &amp;Beverage</v>
      </c>
    </row>
    <row r="9768" spans="1:7" x14ac:dyDescent="0.3">
      <c r="A9768" t="s">
        <v>33</v>
      </c>
      <c r="B9768">
        <v>2023</v>
      </c>
      <c r="C9768" t="s">
        <v>38</v>
      </c>
      <c r="D9768" s="2">
        <v>45047</v>
      </c>
      <c r="E9768" t="s">
        <v>8</v>
      </c>
      <c r="F9768">
        <v>175.8</v>
      </c>
      <c r="G9768" t="str">
        <f>VLOOKUP(Table1_2[[#This Row],[Categories]],Sheet3!$A$1:$B$27,2,FALSE)</f>
        <v>Food &amp;Beverage</v>
      </c>
    </row>
    <row r="9769" spans="1:7" x14ac:dyDescent="0.3">
      <c r="A9769" t="s">
        <v>33</v>
      </c>
      <c r="B9769">
        <v>2023</v>
      </c>
      <c r="C9769" t="s">
        <v>38</v>
      </c>
      <c r="D9769" s="2">
        <v>45047</v>
      </c>
      <c r="E9769" t="s">
        <v>9</v>
      </c>
      <c r="F9769">
        <v>185</v>
      </c>
      <c r="G9769" t="str">
        <f>VLOOKUP(Table1_2[[#This Row],[Categories]],Sheet3!$A$1:$B$27,2,FALSE)</f>
        <v>Food &amp;Beverage</v>
      </c>
    </row>
    <row r="9770" spans="1:7" x14ac:dyDescent="0.3">
      <c r="A9770" t="s">
        <v>33</v>
      </c>
      <c r="B9770">
        <v>2023</v>
      </c>
      <c r="C9770" t="s">
        <v>38</v>
      </c>
      <c r="D9770" s="2">
        <v>45047</v>
      </c>
      <c r="E9770" t="s">
        <v>10</v>
      </c>
      <c r="F9770">
        <v>176.9</v>
      </c>
      <c r="G9770" t="str">
        <f>VLOOKUP(Table1_2[[#This Row],[Categories]],Sheet3!$A$1:$B$27,2,FALSE)</f>
        <v>Food &amp;Beverage</v>
      </c>
    </row>
    <row r="9771" spans="1:7" x14ac:dyDescent="0.3">
      <c r="A9771" t="s">
        <v>33</v>
      </c>
      <c r="B9771">
        <v>2023</v>
      </c>
      <c r="C9771" t="s">
        <v>38</v>
      </c>
      <c r="D9771" s="2">
        <v>45047</v>
      </c>
      <c r="E9771" t="s">
        <v>11</v>
      </c>
      <c r="F9771">
        <v>124.2</v>
      </c>
      <c r="G9771" t="str">
        <f>VLOOKUP(Table1_2[[#This Row],[Categories]],Sheet3!$A$1:$B$27,2,FALSE)</f>
        <v>Food &amp;Beverage</v>
      </c>
    </row>
    <row r="9772" spans="1:7" x14ac:dyDescent="0.3">
      <c r="A9772" t="s">
        <v>33</v>
      </c>
      <c r="B9772">
        <v>2023</v>
      </c>
      <c r="C9772" t="s">
        <v>38</v>
      </c>
      <c r="D9772" s="2">
        <v>45047</v>
      </c>
      <c r="E9772" t="s">
        <v>12</v>
      </c>
      <c r="F9772">
        <v>211.9</v>
      </c>
      <c r="G9772" t="str">
        <f>VLOOKUP(Table1_2[[#This Row],[Categories]],Sheet3!$A$1:$B$27,2,FALSE)</f>
        <v>Food &amp;Beverage</v>
      </c>
    </row>
    <row r="9773" spans="1:7" x14ac:dyDescent="0.3">
      <c r="A9773" t="s">
        <v>33</v>
      </c>
      <c r="B9773">
        <v>2023</v>
      </c>
      <c r="C9773" t="s">
        <v>38</v>
      </c>
      <c r="D9773" s="2">
        <v>45047</v>
      </c>
      <c r="E9773" t="s">
        <v>13</v>
      </c>
      <c r="F9773">
        <v>165.9</v>
      </c>
      <c r="G9773" t="str">
        <f>VLOOKUP(Table1_2[[#This Row],[Categories]],Sheet3!$A$1:$B$27,2,FALSE)</f>
        <v>Food &amp;Beverage</v>
      </c>
    </row>
    <row r="9774" spans="1:7" x14ac:dyDescent="0.3">
      <c r="A9774" t="s">
        <v>33</v>
      </c>
      <c r="B9774">
        <v>2023</v>
      </c>
      <c r="C9774" t="s">
        <v>38</v>
      </c>
      <c r="D9774" s="2">
        <v>45047</v>
      </c>
      <c r="E9774" t="s">
        <v>14</v>
      </c>
      <c r="F9774">
        <v>197.7</v>
      </c>
      <c r="G9774" t="str">
        <f>VLOOKUP(Table1_2[[#This Row],[Categories]],Sheet3!$A$1:$B$27,2,FALSE)</f>
        <v>Food &amp;Beverage</v>
      </c>
    </row>
    <row r="9775" spans="1:7" x14ac:dyDescent="0.3">
      <c r="A9775" t="s">
        <v>33</v>
      </c>
      <c r="B9775">
        <v>2023</v>
      </c>
      <c r="C9775" t="s">
        <v>38</v>
      </c>
      <c r="D9775" s="2">
        <v>45047</v>
      </c>
      <c r="E9775" t="s">
        <v>15</v>
      </c>
      <c r="F9775">
        <v>183.1</v>
      </c>
      <c r="G9775" t="str">
        <f>VLOOKUP(Table1_2[[#This Row],[Categories]],Sheet3!$A$1:$B$27,2,FALSE)</f>
        <v>Food &amp;Beverage</v>
      </c>
    </row>
    <row r="9776" spans="1:7" x14ac:dyDescent="0.3">
      <c r="A9776" t="s">
        <v>34</v>
      </c>
      <c r="B9776">
        <v>2023</v>
      </c>
      <c r="C9776" t="s">
        <v>38</v>
      </c>
      <c r="D9776" s="2">
        <v>45047</v>
      </c>
      <c r="E9776" t="s">
        <v>3</v>
      </c>
      <c r="F9776">
        <v>173.7</v>
      </c>
      <c r="G9776" t="str">
        <f>VLOOKUP(Table1_2[[#This Row],[Categories]],Sheet3!$A$1:$B$27,2,FALSE)</f>
        <v>Food &amp;Beverage</v>
      </c>
    </row>
    <row r="9777" spans="1:7" x14ac:dyDescent="0.3">
      <c r="A9777" t="s">
        <v>34</v>
      </c>
      <c r="B9777">
        <v>2023</v>
      </c>
      <c r="C9777" t="s">
        <v>38</v>
      </c>
      <c r="D9777" s="2">
        <v>45047</v>
      </c>
      <c r="E9777" t="s">
        <v>4</v>
      </c>
      <c r="F9777">
        <v>214.3</v>
      </c>
      <c r="G9777" t="str">
        <f>VLOOKUP(Table1_2[[#This Row],[Categories]],Sheet3!$A$1:$B$27,2,FALSE)</f>
        <v>Food &amp;Beverage</v>
      </c>
    </row>
    <row r="9778" spans="1:7" x14ac:dyDescent="0.3">
      <c r="A9778" t="s">
        <v>34</v>
      </c>
      <c r="B9778">
        <v>2023</v>
      </c>
      <c r="C9778" t="s">
        <v>38</v>
      </c>
      <c r="D9778" s="2">
        <v>45047</v>
      </c>
      <c r="E9778" t="s">
        <v>5</v>
      </c>
      <c r="F9778">
        <v>173.2</v>
      </c>
      <c r="G9778" t="str">
        <f>VLOOKUP(Table1_2[[#This Row],[Categories]],Sheet3!$A$1:$B$27,2,FALSE)</f>
        <v>Food &amp;Beverage</v>
      </c>
    </row>
    <row r="9779" spans="1:7" x14ac:dyDescent="0.3">
      <c r="A9779" t="s">
        <v>34</v>
      </c>
      <c r="B9779">
        <v>2023</v>
      </c>
      <c r="C9779" t="s">
        <v>38</v>
      </c>
      <c r="D9779" s="2">
        <v>45047</v>
      </c>
      <c r="E9779" t="s">
        <v>6</v>
      </c>
      <c r="F9779">
        <v>179.5</v>
      </c>
      <c r="G9779" t="str">
        <f>VLOOKUP(Table1_2[[#This Row],[Categories]],Sheet3!$A$1:$B$27,2,FALSE)</f>
        <v>Food &amp;Beverage</v>
      </c>
    </row>
    <row r="9780" spans="1:7" x14ac:dyDescent="0.3">
      <c r="A9780" t="s">
        <v>34</v>
      </c>
      <c r="B9780">
        <v>2023</v>
      </c>
      <c r="C9780" t="s">
        <v>38</v>
      </c>
      <c r="D9780" s="2">
        <v>45047</v>
      </c>
      <c r="E9780" t="s">
        <v>7</v>
      </c>
      <c r="F9780">
        <v>170</v>
      </c>
      <c r="G9780" t="str">
        <f>VLOOKUP(Table1_2[[#This Row],[Categories]],Sheet3!$A$1:$B$27,2,FALSE)</f>
        <v>Food &amp;Beverage</v>
      </c>
    </row>
    <row r="9781" spans="1:7" x14ac:dyDescent="0.3">
      <c r="A9781" t="s">
        <v>34</v>
      </c>
      <c r="B9781">
        <v>2023</v>
      </c>
      <c r="C9781" t="s">
        <v>38</v>
      </c>
      <c r="D9781" s="2">
        <v>45047</v>
      </c>
      <c r="E9781" t="s">
        <v>8</v>
      </c>
      <c r="F9781">
        <v>172.2</v>
      </c>
      <c r="G9781" t="str">
        <f>VLOOKUP(Table1_2[[#This Row],[Categories]],Sheet3!$A$1:$B$27,2,FALSE)</f>
        <v>Food &amp;Beverage</v>
      </c>
    </row>
    <row r="9782" spans="1:7" x14ac:dyDescent="0.3">
      <c r="A9782" t="s">
        <v>34</v>
      </c>
      <c r="B9782">
        <v>2023</v>
      </c>
      <c r="C9782" t="s">
        <v>38</v>
      </c>
      <c r="D9782" s="2">
        <v>45047</v>
      </c>
      <c r="E9782" t="s">
        <v>9</v>
      </c>
      <c r="F9782">
        <v>161</v>
      </c>
      <c r="G9782" t="str">
        <f>VLOOKUP(Table1_2[[#This Row],[Categories]],Sheet3!$A$1:$B$27,2,FALSE)</f>
        <v>Food &amp;Beverage</v>
      </c>
    </row>
    <row r="9783" spans="1:7" x14ac:dyDescent="0.3">
      <c r="A9783" t="s">
        <v>34</v>
      </c>
      <c r="B9783">
        <v>2023</v>
      </c>
      <c r="C9783" t="s">
        <v>38</v>
      </c>
      <c r="D9783" s="2">
        <v>45047</v>
      </c>
      <c r="E9783" t="s">
        <v>10</v>
      </c>
      <c r="F9783">
        <v>175.6</v>
      </c>
      <c r="G9783" t="str">
        <f>VLOOKUP(Table1_2[[#This Row],[Categories]],Sheet3!$A$1:$B$27,2,FALSE)</f>
        <v>Food &amp;Beverage</v>
      </c>
    </row>
    <row r="9784" spans="1:7" x14ac:dyDescent="0.3">
      <c r="A9784" t="s">
        <v>34</v>
      </c>
      <c r="B9784">
        <v>2023</v>
      </c>
      <c r="C9784" t="s">
        <v>38</v>
      </c>
      <c r="D9784" s="2">
        <v>45047</v>
      </c>
      <c r="E9784" t="s">
        <v>11</v>
      </c>
      <c r="F9784">
        <v>122.7</v>
      </c>
      <c r="G9784" t="str">
        <f>VLOOKUP(Table1_2[[#This Row],[Categories]],Sheet3!$A$1:$B$27,2,FALSE)</f>
        <v>Food &amp;Beverage</v>
      </c>
    </row>
    <row r="9785" spans="1:7" x14ac:dyDescent="0.3">
      <c r="A9785" t="s">
        <v>34</v>
      </c>
      <c r="B9785">
        <v>2023</v>
      </c>
      <c r="C9785" t="s">
        <v>38</v>
      </c>
      <c r="D9785" s="2">
        <v>45047</v>
      </c>
      <c r="E9785" t="s">
        <v>12</v>
      </c>
      <c r="F9785">
        <v>218</v>
      </c>
      <c r="G9785" t="str">
        <f>VLOOKUP(Table1_2[[#This Row],[Categories]],Sheet3!$A$1:$B$27,2,FALSE)</f>
        <v>Food &amp;Beverage</v>
      </c>
    </row>
    <row r="9786" spans="1:7" x14ac:dyDescent="0.3">
      <c r="A9786" t="s">
        <v>34</v>
      </c>
      <c r="B9786">
        <v>2023</v>
      </c>
      <c r="C9786" t="s">
        <v>38</v>
      </c>
      <c r="D9786" s="2">
        <v>45047</v>
      </c>
      <c r="E9786" t="s">
        <v>13</v>
      </c>
      <c r="F9786">
        <v>173.4</v>
      </c>
      <c r="G9786" t="str">
        <f>VLOOKUP(Table1_2[[#This Row],[Categories]],Sheet3!$A$1:$B$27,2,FALSE)</f>
        <v>Food &amp;Beverage</v>
      </c>
    </row>
    <row r="9787" spans="1:7" x14ac:dyDescent="0.3">
      <c r="A9787" t="s">
        <v>34</v>
      </c>
      <c r="B9787">
        <v>2023</v>
      </c>
      <c r="C9787" t="s">
        <v>38</v>
      </c>
      <c r="D9787" s="2">
        <v>45047</v>
      </c>
      <c r="E9787" t="s">
        <v>14</v>
      </c>
      <c r="F9787">
        <v>194.2</v>
      </c>
      <c r="G9787" t="str">
        <f>VLOOKUP(Table1_2[[#This Row],[Categories]],Sheet3!$A$1:$B$27,2,FALSE)</f>
        <v>Food &amp;Beverage</v>
      </c>
    </row>
    <row r="9788" spans="1:7" x14ac:dyDescent="0.3">
      <c r="A9788" t="s">
        <v>34</v>
      </c>
      <c r="B9788">
        <v>2023</v>
      </c>
      <c r="C9788" t="s">
        <v>38</v>
      </c>
      <c r="D9788" s="2">
        <v>45047</v>
      </c>
      <c r="E9788" t="s">
        <v>15</v>
      </c>
      <c r="F9788">
        <v>179.1</v>
      </c>
      <c r="G9788" t="str">
        <f>VLOOKUP(Table1_2[[#This Row],[Categories]],Sheet3!$A$1:$B$27,2,FALSE)</f>
        <v>Food &amp;Beverage</v>
      </c>
    </row>
    <row r="9789" spans="1:7" x14ac:dyDescent="0.3">
      <c r="A9789" t="s">
        <v>30</v>
      </c>
      <c r="B9789">
        <v>2023</v>
      </c>
      <c r="C9789" t="s">
        <v>38</v>
      </c>
      <c r="D9789" s="2">
        <v>45047</v>
      </c>
      <c r="E9789" t="s">
        <v>21</v>
      </c>
      <c r="F9789">
        <v>182.5</v>
      </c>
      <c r="G9789" t="str">
        <f>VLOOKUP(Table1_2[[#This Row],[Categories]],Sheet3!$A$1:$B$27,2,FALSE)</f>
        <v>Fuel and light</v>
      </c>
    </row>
    <row r="9790" spans="1:7" x14ac:dyDescent="0.3">
      <c r="A9790" t="s">
        <v>33</v>
      </c>
      <c r="B9790">
        <v>2023</v>
      </c>
      <c r="C9790" t="s">
        <v>38</v>
      </c>
      <c r="D9790" s="2">
        <v>45047</v>
      </c>
      <c r="E9790" t="s">
        <v>21</v>
      </c>
      <c r="F9790">
        <v>183.4</v>
      </c>
      <c r="G9790" t="str">
        <f>VLOOKUP(Table1_2[[#This Row],[Categories]],Sheet3!$A$1:$B$27,2,FALSE)</f>
        <v>Fuel and light</v>
      </c>
    </row>
    <row r="9791" spans="1:7" x14ac:dyDescent="0.3">
      <c r="A9791" t="s">
        <v>34</v>
      </c>
      <c r="B9791">
        <v>2023</v>
      </c>
      <c r="C9791" t="s">
        <v>38</v>
      </c>
      <c r="D9791" s="2">
        <v>45047</v>
      </c>
      <c r="E9791" t="s">
        <v>21</v>
      </c>
      <c r="F9791">
        <v>182.8</v>
      </c>
      <c r="G9791" t="str">
        <f>VLOOKUP(Table1_2[[#This Row],[Categories]],Sheet3!$A$1:$B$27,2,FALSE)</f>
        <v>Fuel and light</v>
      </c>
    </row>
    <row r="9792" spans="1:7" x14ac:dyDescent="0.3">
      <c r="A9792" t="s">
        <v>30</v>
      </c>
      <c r="B9792">
        <v>2023</v>
      </c>
      <c r="C9792" t="s">
        <v>38</v>
      </c>
      <c r="D9792" s="2">
        <v>45047</v>
      </c>
      <c r="E9792" t="s">
        <v>29</v>
      </c>
      <c r="F9792">
        <v>179.8</v>
      </c>
      <c r="G9792" t="str">
        <f>VLOOKUP(Table1_2[[#This Row],[Categories]],Sheet3!$A$1:$B$27,2,FALSE)</f>
        <v>General index</v>
      </c>
    </row>
    <row r="9793" spans="1:7" x14ac:dyDescent="0.3">
      <c r="A9793" t="s">
        <v>33</v>
      </c>
      <c r="B9793">
        <v>2023</v>
      </c>
      <c r="C9793" t="s">
        <v>38</v>
      </c>
      <c r="D9793" s="2">
        <v>45047</v>
      </c>
      <c r="E9793" t="s">
        <v>29</v>
      </c>
      <c r="F9793">
        <v>178.2</v>
      </c>
      <c r="G9793" t="str">
        <f>VLOOKUP(Table1_2[[#This Row],[Categories]],Sheet3!$A$1:$B$27,2,FALSE)</f>
        <v>General index</v>
      </c>
    </row>
    <row r="9794" spans="1:7" x14ac:dyDescent="0.3">
      <c r="A9794" t="s">
        <v>34</v>
      </c>
      <c r="B9794">
        <v>2023</v>
      </c>
      <c r="C9794" t="s">
        <v>38</v>
      </c>
      <c r="D9794" s="2">
        <v>45047</v>
      </c>
      <c r="E9794" t="s">
        <v>29</v>
      </c>
      <c r="F9794">
        <v>179.1</v>
      </c>
      <c r="G9794" t="str">
        <f>VLOOKUP(Table1_2[[#This Row],[Categories]],Sheet3!$A$1:$B$27,2,FALSE)</f>
        <v>General index</v>
      </c>
    </row>
    <row r="9795" spans="1:7" x14ac:dyDescent="0.3">
      <c r="A9795" t="s">
        <v>30</v>
      </c>
      <c r="B9795">
        <v>2023</v>
      </c>
      <c r="C9795" t="s">
        <v>38</v>
      </c>
      <c r="D9795" s="2">
        <v>45047</v>
      </c>
      <c r="E9795" t="s">
        <v>23</v>
      </c>
      <c r="F9795">
        <v>187.8</v>
      </c>
      <c r="G9795" t="str">
        <f>VLOOKUP(Table1_2[[#This Row],[Categories]],Sheet3!$A$1:$B$27,2,FALSE)</f>
        <v>Health</v>
      </c>
    </row>
    <row r="9796" spans="1:7" x14ac:dyDescent="0.3">
      <c r="A9796" t="s">
        <v>33</v>
      </c>
      <c r="B9796">
        <v>2023</v>
      </c>
      <c r="C9796" t="s">
        <v>38</v>
      </c>
      <c r="D9796" s="2">
        <v>45047</v>
      </c>
      <c r="E9796" t="s">
        <v>23</v>
      </c>
      <c r="F9796">
        <v>182.2</v>
      </c>
      <c r="G9796" t="str">
        <f>VLOOKUP(Table1_2[[#This Row],[Categories]],Sheet3!$A$1:$B$27,2,FALSE)</f>
        <v>Health</v>
      </c>
    </row>
    <row r="9797" spans="1:7" x14ac:dyDescent="0.3">
      <c r="A9797" t="s">
        <v>34</v>
      </c>
      <c r="B9797">
        <v>2023</v>
      </c>
      <c r="C9797" t="s">
        <v>38</v>
      </c>
      <c r="D9797" s="2">
        <v>45047</v>
      </c>
      <c r="E9797" t="s">
        <v>23</v>
      </c>
      <c r="F9797">
        <v>185.7</v>
      </c>
      <c r="G9797" t="str">
        <f>VLOOKUP(Table1_2[[#This Row],[Categories]],Sheet3!$A$1:$B$27,2,FALSE)</f>
        <v>Health</v>
      </c>
    </row>
    <row r="9798" spans="1:7" x14ac:dyDescent="0.3">
      <c r="A9798" t="s">
        <v>30</v>
      </c>
      <c r="B9798">
        <v>2023</v>
      </c>
      <c r="C9798" t="s">
        <v>38</v>
      </c>
      <c r="D9798" s="2">
        <v>45047</v>
      </c>
      <c r="E9798" t="s">
        <v>22</v>
      </c>
      <c r="F9798">
        <v>179.8</v>
      </c>
      <c r="G9798" t="str">
        <f>VLOOKUP(Table1_2[[#This Row],[Categories]],Sheet3!$A$1:$B$27,2,FALSE)</f>
        <v>Household Items</v>
      </c>
    </row>
    <row r="9799" spans="1:7" x14ac:dyDescent="0.3">
      <c r="A9799" t="s">
        <v>30</v>
      </c>
      <c r="B9799">
        <v>2023</v>
      </c>
      <c r="C9799" t="s">
        <v>38</v>
      </c>
      <c r="D9799" s="2">
        <v>45047</v>
      </c>
      <c r="E9799" t="s">
        <v>27</v>
      </c>
      <c r="F9799">
        <v>184.9</v>
      </c>
      <c r="G9799" t="str">
        <f>VLOOKUP(Table1_2[[#This Row],[Categories]],Sheet3!$A$1:$B$27,2,FALSE)</f>
        <v>Household Items</v>
      </c>
    </row>
    <row r="9800" spans="1:7" x14ac:dyDescent="0.3">
      <c r="A9800" t="s">
        <v>33</v>
      </c>
      <c r="B9800">
        <v>2023</v>
      </c>
      <c r="C9800" t="s">
        <v>38</v>
      </c>
      <c r="D9800" s="2">
        <v>45047</v>
      </c>
      <c r="E9800" t="s">
        <v>22</v>
      </c>
      <c r="F9800">
        <v>170.1</v>
      </c>
      <c r="G9800" t="str">
        <f>VLOOKUP(Table1_2[[#This Row],[Categories]],Sheet3!$A$1:$B$27,2,FALSE)</f>
        <v>Household Items</v>
      </c>
    </row>
    <row r="9801" spans="1:7" x14ac:dyDescent="0.3">
      <c r="A9801" t="s">
        <v>33</v>
      </c>
      <c r="B9801">
        <v>2023</v>
      </c>
      <c r="C9801" t="s">
        <v>38</v>
      </c>
      <c r="D9801" s="2">
        <v>45047</v>
      </c>
      <c r="E9801" t="s">
        <v>27</v>
      </c>
      <c r="F9801">
        <v>185.6</v>
      </c>
      <c r="G9801" t="str">
        <f>VLOOKUP(Table1_2[[#This Row],[Categories]],Sheet3!$A$1:$B$27,2,FALSE)</f>
        <v>Household Items</v>
      </c>
    </row>
    <row r="9802" spans="1:7" x14ac:dyDescent="0.3">
      <c r="A9802" t="s">
        <v>34</v>
      </c>
      <c r="B9802">
        <v>2023</v>
      </c>
      <c r="C9802" t="s">
        <v>38</v>
      </c>
      <c r="D9802" s="2">
        <v>45047</v>
      </c>
      <c r="E9802" t="s">
        <v>22</v>
      </c>
      <c r="F9802">
        <v>175.2</v>
      </c>
      <c r="G9802" t="str">
        <f>VLOOKUP(Table1_2[[#This Row],[Categories]],Sheet3!$A$1:$B$27,2,FALSE)</f>
        <v>Household Items</v>
      </c>
    </row>
    <row r="9803" spans="1:7" x14ac:dyDescent="0.3">
      <c r="A9803" t="s">
        <v>34</v>
      </c>
      <c r="B9803">
        <v>2023</v>
      </c>
      <c r="C9803" t="s">
        <v>38</v>
      </c>
      <c r="D9803" s="2">
        <v>45047</v>
      </c>
      <c r="E9803" t="s">
        <v>27</v>
      </c>
      <c r="F9803">
        <v>185.2</v>
      </c>
      <c r="G9803" t="str">
        <f>VLOOKUP(Table1_2[[#This Row],[Categories]],Sheet3!$A$1:$B$27,2,FALSE)</f>
        <v>Household Items</v>
      </c>
    </row>
    <row r="9804" spans="1:7" x14ac:dyDescent="0.3">
      <c r="A9804" t="s">
        <v>33</v>
      </c>
      <c r="B9804">
        <v>2023</v>
      </c>
      <c r="C9804" t="s">
        <v>38</v>
      </c>
      <c r="D9804" s="2">
        <v>45047</v>
      </c>
      <c r="E9804" t="s">
        <v>20</v>
      </c>
      <c r="F9804">
        <v>175.6</v>
      </c>
      <c r="G9804" t="str">
        <f>VLOOKUP(Table1_2[[#This Row],[Categories]],Sheet3!$A$1:$B$27,2,FALSE)</f>
        <v>Housing</v>
      </c>
    </row>
    <row r="9805" spans="1:7" x14ac:dyDescent="0.3">
      <c r="A9805" t="s">
        <v>34</v>
      </c>
      <c r="B9805">
        <v>2023</v>
      </c>
      <c r="C9805" t="s">
        <v>38</v>
      </c>
      <c r="D9805" s="2">
        <v>45047</v>
      </c>
      <c r="E9805" t="s">
        <v>20</v>
      </c>
      <c r="F9805">
        <v>175.6</v>
      </c>
      <c r="G9805" t="str">
        <f>VLOOKUP(Table1_2[[#This Row],[Categories]],Sheet3!$A$1:$B$27,2,FALSE)</f>
        <v>Housing</v>
      </c>
    </row>
    <row r="9806" spans="1:7" x14ac:dyDescent="0.3">
      <c r="A9806" t="s">
        <v>30</v>
      </c>
      <c r="B9806">
        <v>2023</v>
      </c>
      <c r="C9806" t="s">
        <v>38</v>
      </c>
      <c r="D9806" s="2">
        <v>45047</v>
      </c>
      <c r="E9806" t="s">
        <v>28</v>
      </c>
      <c r="F9806">
        <v>179.5</v>
      </c>
      <c r="G9806" t="str">
        <f>VLOOKUP(Table1_2[[#This Row],[Categories]],Sheet3!$A$1:$B$27,2,FALSE)</f>
        <v>Miscellaneous</v>
      </c>
    </row>
    <row r="9807" spans="1:7" x14ac:dyDescent="0.3">
      <c r="A9807" t="s">
        <v>33</v>
      </c>
      <c r="B9807">
        <v>2023</v>
      </c>
      <c r="C9807" t="s">
        <v>38</v>
      </c>
      <c r="D9807" s="2">
        <v>45047</v>
      </c>
      <c r="E9807" t="s">
        <v>28</v>
      </c>
      <c r="F9807">
        <v>171.6</v>
      </c>
      <c r="G9807" t="str">
        <f>VLOOKUP(Table1_2[[#This Row],[Categories]],Sheet3!$A$1:$B$27,2,FALSE)</f>
        <v>Miscellaneous</v>
      </c>
    </row>
    <row r="9808" spans="1:7" x14ac:dyDescent="0.3">
      <c r="A9808" t="s">
        <v>34</v>
      </c>
      <c r="B9808">
        <v>2023</v>
      </c>
      <c r="C9808" t="s">
        <v>38</v>
      </c>
      <c r="D9808" s="2">
        <v>45047</v>
      </c>
      <c r="E9808" t="s">
        <v>28</v>
      </c>
      <c r="F9808">
        <v>175.7</v>
      </c>
      <c r="G9808" t="str">
        <f>VLOOKUP(Table1_2[[#This Row],[Categories]],Sheet3!$A$1:$B$27,2,FALSE)</f>
        <v>Miscellaneous</v>
      </c>
    </row>
    <row r="9809" spans="1:7" x14ac:dyDescent="0.3">
      <c r="A9809" t="s">
        <v>30</v>
      </c>
      <c r="B9809">
        <v>2023</v>
      </c>
      <c r="C9809" t="s">
        <v>38</v>
      </c>
      <c r="D9809" s="2">
        <v>45047</v>
      </c>
      <c r="E9809" t="s">
        <v>16</v>
      </c>
      <c r="F9809">
        <v>199.9</v>
      </c>
      <c r="G9809" t="str">
        <f>VLOOKUP(Table1_2[[#This Row],[Categories]],Sheet3!$A$1:$B$27,2,FALSE)</f>
        <v>Recreation and amusement</v>
      </c>
    </row>
    <row r="9810" spans="1:7" x14ac:dyDescent="0.3">
      <c r="A9810" t="s">
        <v>30</v>
      </c>
      <c r="B9810">
        <v>2023</v>
      </c>
      <c r="C9810" t="s">
        <v>38</v>
      </c>
      <c r="D9810" s="2">
        <v>45047</v>
      </c>
      <c r="E9810" t="s">
        <v>25</v>
      </c>
      <c r="F9810">
        <v>173.8</v>
      </c>
      <c r="G9810" t="str">
        <f>VLOOKUP(Table1_2[[#This Row],[Categories]],Sheet3!$A$1:$B$27,2,FALSE)</f>
        <v>Recreation and amusement</v>
      </c>
    </row>
    <row r="9811" spans="1:7" x14ac:dyDescent="0.3">
      <c r="A9811" t="s">
        <v>33</v>
      </c>
      <c r="B9811">
        <v>2023</v>
      </c>
      <c r="C9811" t="s">
        <v>38</v>
      </c>
      <c r="D9811" s="2">
        <v>45047</v>
      </c>
      <c r="E9811" t="s">
        <v>16</v>
      </c>
      <c r="F9811">
        <v>204.2</v>
      </c>
      <c r="G9811" t="str">
        <f>VLOOKUP(Table1_2[[#This Row],[Categories]],Sheet3!$A$1:$B$27,2,FALSE)</f>
        <v>Recreation and amusement</v>
      </c>
    </row>
    <row r="9812" spans="1:7" x14ac:dyDescent="0.3">
      <c r="A9812" t="s">
        <v>33</v>
      </c>
      <c r="B9812">
        <v>2023</v>
      </c>
      <c r="C9812" t="s">
        <v>38</v>
      </c>
      <c r="D9812" s="2">
        <v>45047</v>
      </c>
      <c r="E9812" t="s">
        <v>25</v>
      </c>
      <c r="F9812">
        <v>169.2</v>
      </c>
      <c r="G9812" t="str">
        <f>VLOOKUP(Table1_2[[#This Row],[Categories]],Sheet3!$A$1:$B$27,2,FALSE)</f>
        <v>Recreation and amusement</v>
      </c>
    </row>
    <row r="9813" spans="1:7" x14ac:dyDescent="0.3">
      <c r="A9813" t="s">
        <v>34</v>
      </c>
      <c r="B9813">
        <v>2023</v>
      </c>
      <c r="C9813" t="s">
        <v>38</v>
      </c>
      <c r="D9813" s="2">
        <v>45047</v>
      </c>
      <c r="E9813" t="s">
        <v>16</v>
      </c>
      <c r="F9813">
        <v>201</v>
      </c>
      <c r="G9813" t="str">
        <f>VLOOKUP(Table1_2[[#This Row],[Categories]],Sheet3!$A$1:$B$27,2,FALSE)</f>
        <v>Recreation and amusement</v>
      </c>
    </row>
    <row r="9814" spans="1:7" x14ac:dyDescent="0.3">
      <c r="A9814" t="s">
        <v>34</v>
      </c>
      <c r="B9814">
        <v>2023</v>
      </c>
      <c r="C9814" t="s">
        <v>38</v>
      </c>
      <c r="D9814" s="2">
        <v>45047</v>
      </c>
      <c r="E9814" t="s">
        <v>25</v>
      </c>
      <c r="F9814">
        <v>171.2</v>
      </c>
      <c r="G9814" t="str">
        <f>VLOOKUP(Table1_2[[#This Row],[Categories]],Sheet3!$A$1:$B$27,2,FALSE)</f>
        <v>Recreation and amusement</v>
      </c>
    </row>
    <row r="9815" spans="1:7" x14ac:dyDescent="0.3">
      <c r="A9815" t="s">
        <v>30</v>
      </c>
      <c r="B9815">
        <v>2023</v>
      </c>
      <c r="C9815" t="s">
        <v>38</v>
      </c>
      <c r="D9815" s="2">
        <v>45047</v>
      </c>
      <c r="E9815" t="s">
        <v>24</v>
      </c>
      <c r="F9815">
        <v>169.7</v>
      </c>
      <c r="G9815" t="str">
        <f>VLOOKUP(Table1_2[[#This Row],[Categories]],Sheet3!$A$1:$B$27,2,FALSE)</f>
        <v>Transport and communication</v>
      </c>
    </row>
    <row r="9816" spans="1:7" x14ac:dyDescent="0.3">
      <c r="A9816" t="s">
        <v>33</v>
      </c>
      <c r="B9816">
        <v>2023</v>
      </c>
      <c r="C9816" t="s">
        <v>38</v>
      </c>
      <c r="D9816" s="2">
        <v>45047</v>
      </c>
      <c r="E9816" t="s">
        <v>24</v>
      </c>
      <c r="F9816">
        <v>160.4</v>
      </c>
      <c r="G9816" t="str">
        <f>VLOOKUP(Table1_2[[#This Row],[Categories]],Sheet3!$A$1:$B$27,2,FALSE)</f>
        <v>Transport and communication</v>
      </c>
    </row>
    <row r="9817" spans="1:7" x14ac:dyDescent="0.3">
      <c r="A9817" t="s">
        <v>34</v>
      </c>
      <c r="B9817">
        <v>2023</v>
      </c>
      <c r="C9817" t="s">
        <v>38</v>
      </c>
      <c r="D9817" s="2">
        <v>45047</v>
      </c>
      <c r="E9817" t="s">
        <v>24</v>
      </c>
      <c r="F9817">
        <v>164.8</v>
      </c>
      <c r="G9817" t="str">
        <f>VLOOKUP(Table1_2[[#This Row],[Categories]],Sheet3!$A$1:$B$27,2,FALSE)</f>
        <v>Transport and communication</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9713-8722-4A0E-A5BD-528CCF78162A}">
  <dimension ref="A1:B27"/>
  <sheetViews>
    <sheetView workbookViewId="0">
      <selection activeCell="B1" sqref="B1"/>
    </sheetView>
  </sheetViews>
  <sheetFormatPr defaultRowHeight="14.4" x14ac:dyDescent="0.3"/>
  <cols>
    <col min="1" max="1" width="32.5546875" customWidth="1"/>
    <col min="2" max="2" width="31.5546875" customWidth="1"/>
  </cols>
  <sheetData>
    <row r="1" spans="1:2" x14ac:dyDescent="0.3">
      <c r="A1" s="76" t="s">
        <v>3</v>
      </c>
      <c r="B1" s="79" t="s">
        <v>105</v>
      </c>
    </row>
    <row r="2" spans="1:2" x14ac:dyDescent="0.3">
      <c r="A2" s="77" t="s">
        <v>4</v>
      </c>
      <c r="B2" s="79" t="str">
        <f t="shared" ref="B2:B13" si="0">B1</f>
        <v>Food &amp;Beverage</v>
      </c>
    </row>
    <row r="3" spans="1:2" x14ac:dyDescent="0.3">
      <c r="A3" s="76" t="s">
        <v>5</v>
      </c>
      <c r="B3" s="79" t="str">
        <f t="shared" si="0"/>
        <v>Food &amp;Beverage</v>
      </c>
    </row>
    <row r="4" spans="1:2" x14ac:dyDescent="0.3">
      <c r="A4" s="77" t="s">
        <v>6</v>
      </c>
      <c r="B4" s="79" t="str">
        <f t="shared" si="0"/>
        <v>Food &amp;Beverage</v>
      </c>
    </row>
    <row r="5" spans="1:2" x14ac:dyDescent="0.3">
      <c r="A5" s="76" t="s">
        <v>7</v>
      </c>
      <c r="B5" s="79" t="str">
        <f t="shared" si="0"/>
        <v>Food &amp;Beverage</v>
      </c>
    </row>
    <row r="6" spans="1:2" x14ac:dyDescent="0.3">
      <c r="A6" s="77" t="s">
        <v>8</v>
      </c>
      <c r="B6" s="79" t="str">
        <f t="shared" si="0"/>
        <v>Food &amp;Beverage</v>
      </c>
    </row>
    <row r="7" spans="1:2" x14ac:dyDescent="0.3">
      <c r="A7" s="76" t="s">
        <v>9</v>
      </c>
      <c r="B7" s="79" t="str">
        <f t="shared" si="0"/>
        <v>Food &amp;Beverage</v>
      </c>
    </row>
    <row r="8" spans="1:2" x14ac:dyDescent="0.3">
      <c r="A8" s="77" t="s">
        <v>10</v>
      </c>
      <c r="B8" s="79" t="str">
        <f t="shared" si="0"/>
        <v>Food &amp;Beverage</v>
      </c>
    </row>
    <row r="9" spans="1:2" x14ac:dyDescent="0.3">
      <c r="A9" s="76" t="s">
        <v>11</v>
      </c>
      <c r="B9" s="79" t="str">
        <f t="shared" si="0"/>
        <v>Food &amp;Beverage</v>
      </c>
    </row>
    <row r="10" spans="1:2" x14ac:dyDescent="0.3">
      <c r="A10" s="77" t="s">
        <v>12</v>
      </c>
      <c r="B10" s="79" t="str">
        <f t="shared" si="0"/>
        <v>Food &amp;Beverage</v>
      </c>
    </row>
    <row r="11" spans="1:2" x14ac:dyDescent="0.3">
      <c r="A11" s="76" t="s">
        <v>13</v>
      </c>
      <c r="B11" s="79" t="str">
        <f t="shared" si="0"/>
        <v>Food &amp;Beverage</v>
      </c>
    </row>
    <row r="12" spans="1:2" x14ac:dyDescent="0.3">
      <c r="A12" s="77" t="s">
        <v>14</v>
      </c>
      <c r="B12" s="79" t="str">
        <f t="shared" si="0"/>
        <v>Food &amp;Beverage</v>
      </c>
    </row>
    <row r="13" spans="1:2" x14ac:dyDescent="0.3">
      <c r="A13" s="76" t="s">
        <v>15</v>
      </c>
      <c r="B13" s="79" t="str">
        <f t="shared" si="0"/>
        <v>Food &amp;Beverage</v>
      </c>
    </row>
    <row r="14" spans="1:2" x14ac:dyDescent="0.3">
      <c r="A14" s="74" t="s">
        <v>17</v>
      </c>
      <c r="B14" s="80" t="s">
        <v>19</v>
      </c>
    </row>
    <row r="15" spans="1:2" x14ac:dyDescent="0.3">
      <c r="A15" s="75" t="s">
        <v>18</v>
      </c>
      <c r="B15" s="81" t="str">
        <f t="shared" ref="B15:B16" si="1">B14</f>
        <v>Clothing and footwear</v>
      </c>
    </row>
    <row r="16" spans="1:2" x14ac:dyDescent="0.3">
      <c r="A16" s="74" t="s">
        <v>19</v>
      </c>
      <c r="B16" s="81" t="str">
        <f t="shared" si="1"/>
        <v>Clothing and footwear</v>
      </c>
    </row>
    <row r="17" spans="1:2" x14ac:dyDescent="0.3">
      <c r="A17" s="75" t="s">
        <v>21</v>
      </c>
      <c r="B17" s="75" t="s">
        <v>21</v>
      </c>
    </row>
    <row r="18" spans="1:2" x14ac:dyDescent="0.3">
      <c r="A18" s="75" t="s">
        <v>23</v>
      </c>
      <c r="B18" s="75" t="s">
        <v>23</v>
      </c>
    </row>
    <row r="19" spans="1:2" x14ac:dyDescent="0.3">
      <c r="A19" s="74" t="s">
        <v>24</v>
      </c>
      <c r="B19" s="74" t="s">
        <v>24</v>
      </c>
    </row>
    <row r="20" spans="1:2" x14ac:dyDescent="0.3">
      <c r="A20" s="75" t="s">
        <v>25</v>
      </c>
      <c r="B20" s="82" t="s">
        <v>25</v>
      </c>
    </row>
    <row r="21" spans="1:2" x14ac:dyDescent="0.3">
      <c r="A21" s="75" t="s">
        <v>16</v>
      </c>
      <c r="B21" s="83" t="str">
        <f>B20</f>
        <v>Recreation and amusement</v>
      </c>
    </row>
    <row r="22" spans="1:2" x14ac:dyDescent="0.3">
      <c r="A22" s="74" t="s">
        <v>28</v>
      </c>
      <c r="B22" s="74" t="s">
        <v>28</v>
      </c>
    </row>
    <row r="23" spans="1:2" x14ac:dyDescent="0.3">
      <c r="A23" s="75" t="s">
        <v>29</v>
      </c>
      <c r="B23" s="75" t="s">
        <v>29</v>
      </c>
    </row>
    <row r="24" spans="1:2" x14ac:dyDescent="0.3">
      <c r="A24" s="75" t="s">
        <v>20</v>
      </c>
      <c r="B24" s="75" t="s">
        <v>20</v>
      </c>
    </row>
    <row r="25" spans="1:2" x14ac:dyDescent="0.3">
      <c r="A25" s="78" t="s">
        <v>26</v>
      </c>
      <c r="B25" s="78" t="s">
        <v>26</v>
      </c>
    </row>
    <row r="26" spans="1:2" x14ac:dyDescent="0.3">
      <c r="A26" s="75" t="s">
        <v>27</v>
      </c>
      <c r="B26" s="84" t="s">
        <v>106</v>
      </c>
    </row>
    <row r="27" spans="1:2" x14ac:dyDescent="0.3">
      <c r="A27" s="74" t="s">
        <v>22</v>
      </c>
      <c r="B27" s="84" t="str">
        <f>B26</f>
        <v>Household Items</v>
      </c>
    </row>
  </sheetData>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4CD68-AC08-4009-B35E-F9A09E04A65B}">
  <dimension ref="A1:AE373"/>
  <sheetViews>
    <sheetView workbookViewId="0">
      <pane xSplit="1" topLeftCell="Q1" activePane="topRight" state="frozen"/>
      <selection pane="topRight" activeCell="T11" sqref="T11"/>
    </sheetView>
  </sheetViews>
  <sheetFormatPr defaultRowHeight="14.4" x14ac:dyDescent="0.3"/>
  <cols>
    <col min="1" max="1" width="18.33203125" customWidth="1"/>
    <col min="2" max="2" width="7.109375" customWidth="1"/>
    <col min="3" max="3" width="10" bestFit="1" customWidth="1"/>
    <col min="4" max="4" width="21.5546875" customWidth="1"/>
    <col min="5" max="5" width="15.33203125" customWidth="1"/>
    <col min="6" max="6" width="6.33203125" bestFit="1" customWidth="1"/>
    <col min="7" max="7" width="19" customWidth="1"/>
    <col min="8" max="8" width="14" customWidth="1"/>
    <col min="9" max="9" width="8.109375" customWidth="1"/>
    <col min="10" max="10" width="13.109375" customWidth="1"/>
    <col min="11" max="11" width="20.6640625" customWidth="1"/>
    <col min="12" max="12" width="24.6640625" customWidth="1"/>
    <col min="13" max="13" width="8.6640625" customWidth="1"/>
    <col min="14" max="14" width="25" customWidth="1"/>
    <col min="15" max="15" width="34.6640625" customWidth="1"/>
    <col min="16" max="16" width="20.88671875" customWidth="1"/>
    <col min="17" max="17" width="28.109375" customWidth="1"/>
    <col min="18" max="18" width="10.5546875" customWidth="1"/>
    <col min="19" max="19" width="11.5546875" customWidth="1"/>
    <col min="20" max="20" width="22.88671875" customWidth="1"/>
    <col min="21" max="21" width="16.6640625" style="87" customWidth="1"/>
    <col min="22" max="22" width="15.109375" customWidth="1"/>
    <col min="23" max="23" width="29.6640625" customWidth="1"/>
    <col min="24" max="24" width="9" customWidth="1"/>
    <col min="25" max="25" width="29.44140625" customWidth="1"/>
    <col min="26" max="26" width="27.44140625" customWidth="1"/>
    <col min="27" max="27" width="11.88671875" customWidth="1"/>
    <col min="28" max="28" width="25.33203125" customWidth="1"/>
    <col min="29" max="29" width="16" customWidth="1"/>
    <col min="30" max="30" width="15.6640625" customWidth="1"/>
    <col min="31" max="31" width="13.5546875" customWidth="1"/>
  </cols>
  <sheetData>
    <row r="1" spans="1:31" s="86" customFormat="1" x14ac:dyDescent="0.3">
      <c r="A1" s="86" t="s">
        <v>0</v>
      </c>
      <c r="B1" s="86" t="s">
        <v>1</v>
      </c>
      <c r="C1" s="86" t="s">
        <v>2</v>
      </c>
      <c r="D1" s="86" t="s">
        <v>3</v>
      </c>
      <c r="E1" s="86" t="s">
        <v>4</v>
      </c>
      <c r="F1" s="86" t="s">
        <v>5</v>
      </c>
      <c r="G1" s="86" t="s">
        <v>6</v>
      </c>
      <c r="H1" s="86" t="s">
        <v>7</v>
      </c>
      <c r="I1" s="86" t="s">
        <v>8</v>
      </c>
      <c r="J1" s="86" t="s">
        <v>9</v>
      </c>
      <c r="K1" s="86" t="s">
        <v>10</v>
      </c>
      <c r="L1" s="86" t="s">
        <v>11</v>
      </c>
      <c r="M1" s="86" t="s">
        <v>12</v>
      </c>
      <c r="N1" s="86" t="s">
        <v>13</v>
      </c>
      <c r="O1" s="86" t="s">
        <v>14</v>
      </c>
      <c r="P1" s="86" t="s">
        <v>15</v>
      </c>
      <c r="Q1" s="86" t="s">
        <v>16</v>
      </c>
      <c r="R1" s="86" t="s">
        <v>17</v>
      </c>
      <c r="S1" s="86" t="s">
        <v>18</v>
      </c>
      <c r="T1" s="86" t="s">
        <v>19</v>
      </c>
      <c r="U1" s="90" t="s">
        <v>20</v>
      </c>
      <c r="V1" s="86" t="s">
        <v>21</v>
      </c>
      <c r="W1" s="86" t="s">
        <v>22</v>
      </c>
      <c r="X1" s="86" t="s">
        <v>23</v>
      </c>
      <c r="Y1" s="86" t="s">
        <v>24</v>
      </c>
      <c r="Z1" s="86" t="s">
        <v>25</v>
      </c>
      <c r="AA1" s="86" t="s">
        <v>26</v>
      </c>
      <c r="AB1" s="86" t="s">
        <v>27</v>
      </c>
      <c r="AC1" s="86" t="s">
        <v>28</v>
      </c>
      <c r="AD1" s="86" t="s">
        <v>29</v>
      </c>
      <c r="AE1" s="86" t="s">
        <v>49</v>
      </c>
    </row>
    <row r="2" spans="1:3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s="87">
        <f>U3</f>
        <v>100.3</v>
      </c>
      <c r="V2">
        <v>105.5</v>
      </c>
      <c r="W2">
        <v>104.8</v>
      </c>
      <c r="X2">
        <v>104</v>
      </c>
      <c r="Y2">
        <v>103.3</v>
      </c>
      <c r="Z2">
        <v>103.4</v>
      </c>
      <c r="AA2">
        <v>103.8</v>
      </c>
      <c r="AB2">
        <v>104.7</v>
      </c>
      <c r="AC2">
        <v>104</v>
      </c>
      <c r="AD2">
        <v>105.1</v>
      </c>
      <c r="AE2" s="2">
        <f>DATE(B2, MATCH(C2,{"January","February","March","April","May","June","July","August","September","October","November","December"}, 0),1)</f>
        <v>41275</v>
      </c>
    </row>
    <row r="3" spans="1:31"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s="2">
        <f>DATE(B3, MATCH(C3,{"January","February","March","April","May","June","July","August","September","October","November","December"}, 0),1)</f>
        <v>41275</v>
      </c>
    </row>
    <row r="4" spans="1:31"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s="2">
        <f>DATE(B4, MATCH(C4,{"January","February","March","April","May","June","July","August","September","October","November","December"}, 0),1)</f>
        <v>41275</v>
      </c>
    </row>
    <row r="5" spans="1:31"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s="87">
        <f>U6</f>
        <v>100.4</v>
      </c>
      <c r="V5">
        <v>106.2</v>
      </c>
      <c r="W5">
        <v>105.2</v>
      </c>
      <c r="X5">
        <v>104.4</v>
      </c>
      <c r="Y5">
        <v>103.9</v>
      </c>
      <c r="Z5">
        <v>104</v>
      </c>
      <c r="AA5">
        <v>104.1</v>
      </c>
      <c r="AB5">
        <v>104.6</v>
      </c>
      <c r="AC5">
        <v>104.4</v>
      </c>
      <c r="AD5">
        <v>105.8</v>
      </c>
      <c r="AE5" s="2">
        <f>DATE(B5, MATCH(C5,{"January","February","March","April","May","June","July","August","September","October","November","December"}, 0),1)</f>
        <v>41306</v>
      </c>
    </row>
    <row r="6" spans="1:31"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s="2">
        <f>DATE(B6, MATCH(C6,{"January","February","March","April","May","June","July","August","September","October","November","December"}, 0),1)</f>
        <v>41306</v>
      </c>
    </row>
    <row r="7" spans="1:31"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s="2">
        <f>DATE(B7, MATCH(C7,{"January","February","March","April","May","June","July","August","September","October","November","December"}, 0),1)</f>
        <v>41306</v>
      </c>
    </row>
    <row r="8" spans="1:31"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s="87">
        <f>U9</f>
        <v>100.4</v>
      </c>
      <c r="V8">
        <v>106.1</v>
      </c>
      <c r="W8">
        <v>105.6</v>
      </c>
      <c r="X8">
        <v>104.7</v>
      </c>
      <c r="Y8">
        <v>104.6</v>
      </c>
      <c r="Z8">
        <v>104</v>
      </c>
      <c r="AA8">
        <v>104.3</v>
      </c>
      <c r="AB8">
        <v>104.3</v>
      </c>
      <c r="AC8">
        <v>104.6</v>
      </c>
      <c r="AD8">
        <v>106</v>
      </c>
      <c r="AE8" s="2">
        <f>DATE(B8, MATCH(C8,{"January","February","March","April","May","June","July","August","September","October","November","December"}, 0),1)</f>
        <v>41334</v>
      </c>
    </row>
    <row r="9" spans="1:31"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s="2">
        <f>DATE(B9, MATCH(C9,{"January","February","March","April","May","June","July","August","September","October","November","December"}, 0),1)</f>
        <v>41334</v>
      </c>
    </row>
    <row r="10" spans="1:31"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s="2">
        <f>DATE(B10, MATCH(C10,{"January","February","March","April","May","June","July","August","September","October","November","December"}, 0),1)</f>
        <v>41334</v>
      </c>
    </row>
    <row r="11" spans="1:31"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s="87">
        <f>U12</f>
        <v>100.5</v>
      </c>
      <c r="V11">
        <v>106.5</v>
      </c>
      <c r="W11">
        <v>106.1</v>
      </c>
      <c r="X11">
        <v>105.1</v>
      </c>
      <c r="Y11">
        <v>104.4</v>
      </c>
      <c r="Z11">
        <v>104.5</v>
      </c>
      <c r="AA11">
        <v>104.8</v>
      </c>
      <c r="AB11">
        <v>102.7</v>
      </c>
      <c r="AC11">
        <v>104.6</v>
      </c>
      <c r="AD11">
        <v>106.4</v>
      </c>
      <c r="AE11" s="2">
        <f>DATE(B11, MATCH(C11,{"January","February","March","April","May","June","July","August","September","October","November","December"}, 0),1)</f>
        <v>41365</v>
      </c>
    </row>
    <row r="12" spans="1:31"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E12" s="2">
        <f>DATE(B12, MATCH(C12,{"January","February","March","April","May","June","July","August","September","October","November","December"}, 0),1)</f>
        <v>41365</v>
      </c>
    </row>
    <row r="13" spans="1:31"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E13" s="2">
        <f>DATE(B13, MATCH(C13,{"January","February","March","April","May","June","July","August","September","October","November","December"}, 0),1)</f>
        <v>41365</v>
      </c>
    </row>
    <row r="14" spans="1:31"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s="87">
        <f>U15</f>
        <v>100.5</v>
      </c>
      <c r="V14">
        <v>107.5</v>
      </c>
      <c r="W14">
        <v>106.8</v>
      </c>
      <c r="X14">
        <v>105.7</v>
      </c>
      <c r="Y14">
        <v>104.1</v>
      </c>
      <c r="Z14">
        <v>105</v>
      </c>
      <c r="AA14">
        <v>105.5</v>
      </c>
      <c r="AB14">
        <v>102.1</v>
      </c>
      <c r="AC14">
        <v>104.8</v>
      </c>
      <c r="AD14">
        <v>107.2</v>
      </c>
      <c r="AE14" s="2">
        <f>DATE(B14, MATCH(C14,{"January","February","March","April","May","June","July","August","September","October","November","December"}, 0),1)</f>
        <v>41395</v>
      </c>
    </row>
    <row r="15" spans="1:31"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E15" s="2">
        <f>DATE(B15, MATCH(C15,{"January","February","March","April","May","June","July","August","September","October","November","December"}, 0),1)</f>
        <v>41395</v>
      </c>
    </row>
    <row r="16" spans="1:31"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E16" s="2">
        <f>DATE(B16, MATCH(C16,{"January","February","March","April","May","June","July","August","September","October","November","December"}, 0),1)</f>
        <v>41395</v>
      </c>
    </row>
    <row r="17" spans="1:31"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s="87">
        <f>U18</f>
        <v>106.6</v>
      </c>
      <c r="V17">
        <v>108.5</v>
      </c>
      <c r="W17">
        <v>107.5</v>
      </c>
      <c r="X17">
        <v>106.3</v>
      </c>
      <c r="Y17">
        <v>105</v>
      </c>
      <c r="Z17">
        <v>105.6</v>
      </c>
      <c r="AA17">
        <v>106.5</v>
      </c>
      <c r="AB17">
        <v>102.5</v>
      </c>
      <c r="AC17">
        <v>105.5</v>
      </c>
      <c r="AD17">
        <v>108.9</v>
      </c>
      <c r="AE17" s="2">
        <f>DATE(B17, MATCH(C17,{"January","February","March","April","May","June","July","August","September","October","November","December"}, 0),1)</f>
        <v>41426</v>
      </c>
    </row>
    <row r="18" spans="1:31"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E18" s="2">
        <f>DATE(B18, MATCH(C18,{"January","February","March","April","May","June","July","August","September","October","November","December"}, 0),1)</f>
        <v>41426</v>
      </c>
    </row>
    <row r="19" spans="1:31"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E19" s="2">
        <f>DATE(B19, MATCH(C19,{"January","February","March","April","May","June","July","August","September","October","November","December"}, 0),1)</f>
        <v>41426</v>
      </c>
    </row>
    <row r="20" spans="1:31"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s="87">
        <f>U21</f>
        <v>107.7</v>
      </c>
      <c r="V20">
        <v>109.5</v>
      </c>
      <c r="W20">
        <v>108.3</v>
      </c>
      <c r="X20">
        <v>106.9</v>
      </c>
      <c r="Y20">
        <v>106.8</v>
      </c>
      <c r="Z20">
        <v>106.4</v>
      </c>
      <c r="AA20">
        <v>107.8</v>
      </c>
      <c r="AB20">
        <v>102.5</v>
      </c>
      <c r="AC20">
        <v>106.5</v>
      </c>
      <c r="AD20">
        <v>110.7</v>
      </c>
      <c r="AE20" s="2">
        <f>DATE(B20, MATCH(C20,{"January","February","March","April","May","June","July","August","September","October","November","December"}, 0),1)</f>
        <v>41456</v>
      </c>
    </row>
    <row r="21" spans="1:31"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E21" s="2">
        <f>DATE(B21, MATCH(C21,{"January","February","March","April","May","June","July","August","September","October","November","December"}, 0),1)</f>
        <v>41456</v>
      </c>
    </row>
    <row r="22" spans="1:31"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E22" s="2">
        <f>DATE(B22, MATCH(C22,{"January","February","March","April","May","June","July","August","September","October","November","December"}, 0),1)</f>
        <v>41456</v>
      </c>
    </row>
    <row r="23" spans="1:31"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s="87">
        <f>U24</f>
        <v>108.9</v>
      </c>
      <c r="V23">
        <v>109.9</v>
      </c>
      <c r="W23">
        <v>108.7</v>
      </c>
      <c r="X23">
        <v>107.5</v>
      </c>
      <c r="Y23">
        <v>107.8</v>
      </c>
      <c r="Z23">
        <v>106.8</v>
      </c>
      <c r="AA23">
        <v>108.7</v>
      </c>
      <c r="AB23">
        <v>105</v>
      </c>
      <c r="AC23">
        <v>107.5</v>
      </c>
      <c r="AD23">
        <v>112.1</v>
      </c>
      <c r="AE23" s="2">
        <f>DATE(B23, MATCH(C23,{"January","February","March","April","May","June","July","August","September","October","November","December"}, 0),1)</f>
        <v>41487</v>
      </c>
    </row>
    <row r="24" spans="1:31"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E24" s="2">
        <f>DATE(B24, MATCH(C24,{"January","February","March","April","May","June","July","August","September","October","November","December"}, 0),1)</f>
        <v>41487</v>
      </c>
    </row>
    <row r="25" spans="1:31"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E25" s="2">
        <f>DATE(B25, MATCH(C25,{"January","February","March","April","May","June","July","August","September","October","November","December"}, 0),1)</f>
        <v>41487</v>
      </c>
    </row>
    <row r="26" spans="1:31"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s="87">
        <f>U27</f>
        <v>109.7</v>
      </c>
      <c r="V26">
        <v>111.1</v>
      </c>
      <c r="W26">
        <v>109.6</v>
      </c>
      <c r="X26">
        <v>108.3</v>
      </c>
      <c r="Y26">
        <v>109.3</v>
      </c>
      <c r="Z26">
        <v>107.7</v>
      </c>
      <c r="AA26">
        <v>109.8</v>
      </c>
      <c r="AB26">
        <v>106.7</v>
      </c>
      <c r="AC26">
        <v>108.7</v>
      </c>
      <c r="AD26">
        <v>114.2</v>
      </c>
      <c r="AE26" s="2">
        <f>DATE(B26, MATCH(C26,{"January","February","March","April","May","June","July","August","September","October","November","December"}, 0),1)</f>
        <v>41518</v>
      </c>
    </row>
    <row r="27" spans="1:31"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E27" s="2">
        <f>DATE(B27, MATCH(C27,{"January","February","March","April","May","June","July","August","September","October","November","December"}, 0),1)</f>
        <v>41518</v>
      </c>
    </row>
    <row r="28" spans="1:31"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E28" s="2">
        <f>DATE(B28, MATCH(C28,{"January","February","March","April","May","June","July","August","September","October","November","December"}, 0),1)</f>
        <v>41518</v>
      </c>
    </row>
    <row r="29" spans="1:31"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s="87">
        <f>U30</f>
        <v>110.5</v>
      </c>
      <c r="V29">
        <v>111.6</v>
      </c>
      <c r="W29">
        <v>110.4</v>
      </c>
      <c r="X29">
        <v>108.9</v>
      </c>
      <c r="Y29">
        <v>109.3</v>
      </c>
      <c r="Z29">
        <v>108.3</v>
      </c>
      <c r="AA29">
        <v>110.2</v>
      </c>
      <c r="AB29">
        <v>107.5</v>
      </c>
      <c r="AC29">
        <v>109.1</v>
      </c>
      <c r="AD29">
        <v>115.5</v>
      </c>
      <c r="AE29" s="2">
        <f>DATE(B29, MATCH(C29,{"January","February","March","April","May","June","July","August","September","October","November","December"}, 0),1)</f>
        <v>41548</v>
      </c>
    </row>
    <row r="30" spans="1:31"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E30" s="2">
        <f>DATE(B30, MATCH(C30,{"January","February","March","April","May","June","July","August","September","October","November","December"}, 0),1)</f>
        <v>41548</v>
      </c>
    </row>
    <row r="31" spans="1:31"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E31" s="2">
        <f>DATE(B31, MATCH(C31,{"January","February","March","April","May","June","July","August","September","October","November","December"}, 0),1)</f>
        <v>41548</v>
      </c>
    </row>
    <row r="32" spans="1:31"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s="87">
        <f>U33</f>
        <v>111.1</v>
      </c>
      <c r="V32">
        <v>112.6</v>
      </c>
      <c r="W32">
        <v>111.3</v>
      </c>
      <c r="X32">
        <v>109.7</v>
      </c>
      <c r="Y32">
        <v>109.6</v>
      </c>
      <c r="Z32">
        <v>108.7</v>
      </c>
      <c r="AA32">
        <v>111</v>
      </c>
      <c r="AB32">
        <v>108.2</v>
      </c>
      <c r="AC32">
        <v>109.8</v>
      </c>
      <c r="AD32">
        <v>117.4</v>
      </c>
      <c r="AE32" s="2" t="e">
        <f>DATE(B32, MATCH(C32,{"January","February","March","April","May","June","July","August","September","October","November","December"}, 0),1)</f>
        <v>#N/A</v>
      </c>
    </row>
    <row r="33" spans="1:31"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E33" s="2">
        <f>DATE(B33, MATCH(C33,{"January","February","March","April","May","June","July","August","September","October","November","December"}, 0),1)</f>
        <v>41579</v>
      </c>
    </row>
    <row r="34" spans="1:31"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E34" s="2">
        <f>DATE(B34, MATCH(C34,{"January","February","March","April","May","June","July","August","September","October","November","December"}, 0),1)</f>
        <v>41579</v>
      </c>
    </row>
    <row r="35" spans="1:31"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s="87">
        <f>U36</f>
        <v>110.7</v>
      </c>
      <c r="V35">
        <v>112.8</v>
      </c>
      <c r="W35">
        <v>112.1</v>
      </c>
      <c r="X35">
        <v>110.1</v>
      </c>
      <c r="Y35">
        <v>109.9</v>
      </c>
      <c r="Z35">
        <v>109.2</v>
      </c>
      <c r="AA35">
        <v>111.6</v>
      </c>
      <c r="AB35">
        <v>108.1</v>
      </c>
      <c r="AC35">
        <v>110.1</v>
      </c>
      <c r="AD35">
        <v>115.5</v>
      </c>
      <c r="AE35" s="2">
        <f>DATE(B35, MATCH(C35,{"January","February","March","April","May","June","July","August","September","October","November","December"}, 0),1)</f>
        <v>41609</v>
      </c>
    </row>
    <row r="36" spans="1:31"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E36" s="2">
        <f>DATE(B36, MATCH(C36,{"January","February","March","April","May","June","July","August","September","October","November","December"}, 0),1)</f>
        <v>41609</v>
      </c>
    </row>
    <row r="37" spans="1:31"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E37" s="2">
        <f>DATE(B37, MATCH(C37,{"January","February","March","April","May","June","July","August","September","October","November","December"}, 0),1)</f>
        <v>41609</v>
      </c>
    </row>
    <row r="38" spans="1:3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s="87">
        <f>U39</f>
        <v>111.6</v>
      </c>
      <c r="V38">
        <v>113</v>
      </c>
      <c r="W38">
        <v>112.6</v>
      </c>
      <c r="X38">
        <v>110.6</v>
      </c>
      <c r="Y38">
        <v>110.5</v>
      </c>
      <c r="Z38">
        <v>109.6</v>
      </c>
      <c r="AA38">
        <v>111.8</v>
      </c>
      <c r="AB38">
        <v>108.3</v>
      </c>
      <c r="AC38">
        <v>110.6</v>
      </c>
      <c r="AD38">
        <v>114.2</v>
      </c>
      <c r="AE38" s="2">
        <f>DATE(B38, MATCH(C38,{"January","February","March","April","May","June","July","August","September","October","November","December"}, 0),1)</f>
        <v>41640</v>
      </c>
    </row>
    <row r="39" spans="1:31"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E39" s="2">
        <f>DATE(B39, MATCH(C39,{"January","February","March","April","May","June","July","August","September","October","November","December"}, 0),1)</f>
        <v>41640</v>
      </c>
    </row>
    <row r="40" spans="1:31"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E40" s="2">
        <f>DATE(B40, MATCH(C40,{"January","February","March","April","May","June","July","August","September","October","November","December"}, 0),1)</f>
        <v>41640</v>
      </c>
    </row>
    <row r="41" spans="1:31"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s="87">
        <f>U42</f>
        <v>112.5</v>
      </c>
      <c r="V41">
        <v>113.2</v>
      </c>
      <c r="W41">
        <v>112.9</v>
      </c>
      <c r="X41">
        <v>110.9</v>
      </c>
      <c r="Y41">
        <v>110.8</v>
      </c>
      <c r="Z41">
        <v>109.9</v>
      </c>
      <c r="AA41">
        <v>112</v>
      </c>
      <c r="AB41">
        <v>108.7</v>
      </c>
      <c r="AC41">
        <v>110.9</v>
      </c>
      <c r="AD41">
        <v>114</v>
      </c>
      <c r="AE41" s="2">
        <f>DATE(B41, MATCH(C41,{"January","February","March","April","May","June","July","August","September","October","November","December"}, 0),1)</f>
        <v>41671</v>
      </c>
    </row>
    <row r="42" spans="1:31"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E42" s="2">
        <f>DATE(B42, MATCH(C42,{"January","February","March","April","May","June","July","August","September","October","November","December"}, 0),1)</f>
        <v>41671</v>
      </c>
    </row>
    <row r="43" spans="1:31"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E43" s="2">
        <f>DATE(B43, MATCH(C43,{"January","February","March","April","May","June","July","August","September","October","November","December"}, 0),1)</f>
        <v>41671</v>
      </c>
    </row>
    <row r="44" spans="1:31"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s="87">
        <f>U45</f>
        <v>113.2</v>
      </c>
      <c r="V44">
        <v>113.4</v>
      </c>
      <c r="W44">
        <v>113.4</v>
      </c>
      <c r="X44">
        <v>111.4</v>
      </c>
      <c r="Y44">
        <v>111.2</v>
      </c>
      <c r="Z44">
        <v>110.2</v>
      </c>
      <c r="AA44">
        <v>112.4</v>
      </c>
      <c r="AB44">
        <v>108.9</v>
      </c>
      <c r="AC44">
        <v>111.3</v>
      </c>
      <c r="AD44">
        <v>114.6</v>
      </c>
      <c r="AE44" s="2">
        <f>DATE(B44, MATCH(C44,{"January","February","March","April","May","June","July","August","September","October","November","December"}, 0),1)</f>
        <v>41699</v>
      </c>
    </row>
    <row r="45" spans="1:31"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E45" s="2">
        <f>DATE(B45, MATCH(C45,{"January","February","March","April","May","June","July","August","September","October","November","December"}, 0),1)</f>
        <v>41699</v>
      </c>
    </row>
    <row r="46" spans="1:31" x14ac:dyDescent="0.3">
      <c r="A46" t="s">
        <v>34</v>
      </c>
      <c r="B4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E46" s="2">
        <f>DATE(B46, MATCH(C46,{"January","February","March","April","May","June","July","August","September","October","November","December"}, 0),1)</f>
        <v>41699</v>
      </c>
    </row>
    <row r="47" spans="1:31"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s="87">
        <f>U48</f>
        <v>113.9</v>
      </c>
      <c r="V47">
        <v>113.4</v>
      </c>
      <c r="W47">
        <v>113.7</v>
      </c>
      <c r="X47">
        <v>111.8</v>
      </c>
      <c r="Y47">
        <v>111.2</v>
      </c>
      <c r="Z47">
        <v>110.5</v>
      </c>
      <c r="AA47">
        <v>113</v>
      </c>
      <c r="AB47">
        <v>108.9</v>
      </c>
      <c r="AC47">
        <v>111.5</v>
      </c>
      <c r="AD47">
        <v>115.4</v>
      </c>
      <c r="AE47" s="2">
        <f>DATE(B47, MATCH(C47,{"January","February","March","April","May","June","July","August","September","October","November","December"}, 0),1)</f>
        <v>41730</v>
      </c>
    </row>
    <row r="48" spans="1:31"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E48" s="2">
        <f>DATE(B48, MATCH(C48,{"January","February","March","April","May","June","July","August","September","October","November","December"}, 0),1)</f>
        <v>41730</v>
      </c>
    </row>
    <row r="49" spans="1:31"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E49" s="2">
        <f>DATE(B49, MATCH(C49,{"January","February","March","April","May","June","July","August","September","October","November","December"}, 0),1)</f>
        <v>41730</v>
      </c>
    </row>
    <row r="50" spans="1:31"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s="87">
        <f>U51</f>
        <v>114.3</v>
      </c>
      <c r="V50">
        <v>113.4</v>
      </c>
      <c r="W50">
        <v>114.1</v>
      </c>
      <c r="X50">
        <v>112.1</v>
      </c>
      <c r="Y50">
        <v>111.4</v>
      </c>
      <c r="Z50">
        <v>110.9</v>
      </c>
      <c r="AA50">
        <v>113.1</v>
      </c>
      <c r="AB50">
        <v>108.9</v>
      </c>
      <c r="AC50">
        <v>111.8</v>
      </c>
      <c r="AD50">
        <v>116</v>
      </c>
      <c r="AE50" s="2">
        <f>DATE(B50, MATCH(C50,{"January","February","March","April","May","June","July","August","September","October","November","December"}, 0),1)</f>
        <v>41760</v>
      </c>
    </row>
    <row r="51" spans="1:31"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E51" s="2">
        <f>DATE(B51, MATCH(C51,{"January","February","March","April","May","June","July","August","September","October","November","December"}, 0),1)</f>
        <v>41760</v>
      </c>
    </row>
    <row r="52" spans="1:31"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E52" s="2">
        <f>DATE(B52, MATCH(C52,{"January","February","March","April","May","June","July","August","September","October","November","December"}, 0),1)</f>
        <v>41760</v>
      </c>
    </row>
    <row r="53" spans="1:31"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s="87">
        <f>U54</f>
        <v>113.9</v>
      </c>
      <c r="V53">
        <v>114.4</v>
      </c>
      <c r="W53">
        <v>114.9</v>
      </c>
      <c r="X53">
        <v>112.8</v>
      </c>
      <c r="Y53">
        <v>112.2</v>
      </c>
      <c r="Z53">
        <v>111.4</v>
      </c>
      <c r="AA53">
        <v>114.3</v>
      </c>
      <c r="AB53">
        <v>108</v>
      </c>
      <c r="AC53">
        <v>112.3</v>
      </c>
      <c r="AD53">
        <v>117</v>
      </c>
      <c r="AE53" s="2">
        <f>DATE(B53, MATCH(C53,{"January","February","March","April","May","June","July","August","September","October","November","December"}, 0),1)</f>
        <v>41791</v>
      </c>
    </row>
    <row r="54" spans="1:31"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E54" s="2">
        <f>DATE(B54, MATCH(C54,{"January","February","March","April","May","June","July","August","September","October","November","December"}, 0),1)</f>
        <v>41791</v>
      </c>
    </row>
    <row r="55" spans="1:31"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E55" s="2">
        <f>DATE(B55, MATCH(C55,{"January","February","March","April","May","June","July","August","September","October","November","December"}, 0),1)</f>
        <v>41791</v>
      </c>
    </row>
    <row r="56" spans="1:31"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s="87">
        <f>U57</f>
        <v>114.8</v>
      </c>
      <c r="V56">
        <v>115.3</v>
      </c>
      <c r="W56">
        <v>115.4</v>
      </c>
      <c r="X56">
        <v>113.4</v>
      </c>
      <c r="Y56">
        <v>113.2</v>
      </c>
      <c r="Z56">
        <v>111.8</v>
      </c>
      <c r="AA56">
        <v>115.5</v>
      </c>
      <c r="AB56">
        <v>108.8</v>
      </c>
      <c r="AC56">
        <v>113.1</v>
      </c>
      <c r="AD56">
        <v>119.5</v>
      </c>
      <c r="AE56" s="2">
        <f>DATE(B56, MATCH(C56,{"January","February","March","April","May","June","July","August","September","October","November","December"}, 0),1)</f>
        <v>41821</v>
      </c>
    </row>
    <row r="57" spans="1:31"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E57" s="2">
        <f>DATE(B57, MATCH(C57,{"January","February","March","April","May","June","July","August","September","October","November","December"}, 0),1)</f>
        <v>41821</v>
      </c>
    </row>
    <row r="58" spans="1:31"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E58" s="2">
        <f>DATE(B58, MATCH(C58,{"January","February","March","April","May","June","July","August","September","October","November","December"}, 0),1)</f>
        <v>41821</v>
      </c>
    </row>
    <row r="59" spans="1:31"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s="87">
        <f>U60</f>
        <v>115.5</v>
      </c>
      <c r="V59">
        <v>115.4</v>
      </c>
      <c r="W59">
        <v>115.9</v>
      </c>
      <c r="X59">
        <v>114</v>
      </c>
      <c r="Y59">
        <v>113.2</v>
      </c>
      <c r="Z59">
        <v>112.2</v>
      </c>
      <c r="AA59">
        <v>116.2</v>
      </c>
      <c r="AB59">
        <v>109.4</v>
      </c>
      <c r="AC59">
        <v>113.5</v>
      </c>
      <c r="AD59">
        <v>120.7</v>
      </c>
      <c r="AE59" s="2">
        <f>DATE(B59, MATCH(C59,{"January","February","March","April","May","June","July","August","September","October","November","December"}, 0),1)</f>
        <v>41852</v>
      </c>
    </row>
    <row r="60" spans="1:31"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E60" s="2">
        <f>DATE(B60, MATCH(C60,{"January","February","March","April","May","June","July","August","September","October","November","December"}, 0),1)</f>
        <v>41852</v>
      </c>
    </row>
    <row r="61" spans="1:31"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E61" s="2">
        <f>DATE(B61, MATCH(C61,{"January","February","March","April","May","June","July","August","September","October","November","December"}, 0),1)</f>
        <v>41852</v>
      </c>
    </row>
    <row r="62" spans="1:31"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s="87">
        <f>U63</f>
        <v>116.1</v>
      </c>
      <c r="V62">
        <v>115.8</v>
      </c>
      <c r="W62">
        <v>116.7</v>
      </c>
      <c r="X62">
        <v>114.5</v>
      </c>
      <c r="Y62">
        <v>112.8</v>
      </c>
      <c r="Z62">
        <v>112.6</v>
      </c>
      <c r="AA62">
        <v>116.6</v>
      </c>
      <c r="AB62">
        <v>109.1</v>
      </c>
      <c r="AC62">
        <v>113.7</v>
      </c>
      <c r="AD62">
        <v>120.9</v>
      </c>
      <c r="AE62" s="2">
        <f>DATE(B62, MATCH(C62,{"January","February","March","April","May","June","July","August","September","October","November","December"}, 0),1)</f>
        <v>41883</v>
      </c>
    </row>
    <row r="63" spans="1:31"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E63" s="2">
        <f>DATE(B63, MATCH(C63,{"January","February","March","April","May","June","July","August","September","October","November","December"}, 0),1)</f>
        <v>41883</v>
      </c>
    </row>
    <row r="64" spans="1:31"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E64" s="2">
        <f>DATE(B64, MATCH(C64,{"January","February","March","April","May","June","July","August","September","October","November","December"}, 0),1)</f>
        <v>41883</v>
      </c>
    </row>
    <row r="65" spans="1:31"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s="87">
        <f>U66</f>
        <v>116.7</v>
      </c>
      <c r="V65">
        <v>116.4</v>
      </c>
      <c r="W65">
        <v>117.5</v>
      </c>
      <c r="X65">
        <v>115.3</v>
      </c>
      <c r="Y65">
        <v>112.6</v>
      </c>
      <c r="Z65">
        <v>113</v>
      </c>
      <c r="AA65">
        <v>116.9</v>
      </c>
      <c r="AB65">
        <v>109.3</v>
      </c>
      <c r="AC65">
        <v>114</v>
      </c>
      <c r="AD65">
        <v>121</v>
      </c>
      <c r="AE65" s="2">
        <f>DATE(B65, MATCH(C65,{"January","February","March","April","May","June","July","August","September","October","November","December"}, 0),1)</f>
        <v>41913</v>
      </c>
    </row>
    <row r="66" spans="1:31"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E66" s="2">
        <f>DATE(B66, MATCH(C66,{"January","February","March","April","May","June","July","August","September","October","November","December"}, 0),1)</f>
        <v>41913</v>
      </c>
    </row>
    <row r="67" spans="1:31"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E67" s="2">
        <f>DATE(B67, MATCH(C67,{"January","February","March","April","May","June","July","August","September","October","November","December"}, 0),1)</f>
        <v>41913</v>
      </c>
    </row>
    <row r="68" spans="1:31"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s="87">
        <f>U69</f>
        <v>117.1</v>
      </c>
      <c r="V68">
        <v>117.3</v>
      </c>
      <c r="W68">
        <v>118.1</v>
      </c>
      <c r="X68">
        <v>115.9</v>
      </c>
      <c r="Y68">
        <v>112</v>
      </c>
      <c r="Z68">
        <v>113.3</v>
      </c>
      <c r="AA68">
        <v>117.2</v>
      </c>
      <c r="AB68">
        <v>108.8</v>
      </c>
      <c r="AC68">
        <v>114.1</v>
      </c>
      <c r="AD68">
        <v>121.1</v>
      </c>
      <c r="AE68" s="2">
        <f>DATE(B68, MATCH(C68,{"January","February","March","April","May","June","July","August","September","October","November","December"}, 0),1)</f>
        <v>41944</v>
      </c>
    </row>
    <row r="69" spans="1:31"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E69" s="2">
        <f>DATE(B69, MATCH(C69,{"January","February","March","April","May","June","July","August","September","October","November","December"}, 0),1)</f>
        <v>41944</v>
      </c>
    </row>
    <row r="70" spans="1:31"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E70" s="2">
        <f>DATE(B70, MATCH(C70,{"January","February","March","April","May","June","July","August","September","October","November","December"}, 0),1)</f>
        <v>41944</v>
      </c>
    </row>
    <row r="71" spans="1:31"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s="87">
        <f>U72</f>
        <v>116.5</v>
      </c>
      <c r="V71">
        <v>117.4</v>
      </c>
      <c r="W71">
        <v>118.2</v>
      </c>
      <c r="X71">
        <v>116.2</v>
      </c>
      <c r="Y71">
        <v>111.5</v>
      </c>
      <c r="Z71">
        <v>113.3</v>
      </c>
      <c r="AA71">
        <v>117.7</v>
      </c>
      <c r="AB71">
        <v>109.4</v>
      </c>
      <c r="AC71">
        <v>114.2</v>
      </c>
      <c r="AD71">
        <v>120.3</v>
      </c>
      <c r="AE71" s="2">
        <f>DATE(B71, MATCH(C71,{"January","February","March","April","May","June","July","August","September","October","November","December"}, 0),1)</f>
        <v>41974</v>
      </c>
    </row>
    <row r="72" spans="1:31"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E72" s="2">
        <f>DATE(B72, MATCH(C72,{"January","February","March","April","May","June","July","August","September","October","November","December"}, 0),1)</f>
        <v>41974</v>
      </c>
    </row>
    <row r="73" spans="1:31"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E73" s="2">
        <f>DATE(B73, MATCH(C73,{"January","February","March","April","May","June","July","August","September","October","November","December"}, 0),1)</f>
        <v>41974</v>
      </c>
    </row>
    <row r="74" spans="1:3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s="87">
        <f>U75</f>
        <v>117.3</v>
      </c>
      <c r="V74">
        <v>118.4</v>
      </c>
      <c r="W74">
        <v>118.9</v>
      </c>
      <c r="X74">
        <v>116.6</v>
      </c>
      <c r="Y74">
        <v>111</v>
      </c>
      <c r="Z74">
        <v>114</v>
      </c>
      <c r="AA74">
        <v>118.2</v>
      </c>
      <c r="AB74">
        <v>110.2</v>
      </c>
      <c r="AC74">
        <v>114.5</v>
      </c>
      <c r="AD74">
        <v>120.3</v>
      </c>
      <c r="AE74" s="2">
        <f>DATE(B74, MATCH(C74,{"January","February","March","April","May","June","July","August","September","October","November","December"}, 0),1)</f>
        <v>42005</v>
      </c>
    </row>
    <row r="75" spans="1:31"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E75" s="2">
        <f>DATE(B75, MATCH(C75,{"January","February","March","April","May","June","July","August","September","October","November","December"}, 0),1)</f>
        <v>42005</v>
      </c>
    </row>
    <row r="76" spans="1:31"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E76" s="2">
        <f>DATE(B76, MATCH(C76,{"January","February","March","April","May","June","July","August","September","October","November","December"}, 0),1)</f>
        <v>42005</v>
      </c>
    </row>
    <row r="77" spans="1:31"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s="87">
        <f>U78</f>
        <v>118.1</v>
      </c>
      <c r="V77">
        <v>120</v>
      </c>
      <c r="W77">
        <v>119.6</v>
      </c>
      <c r="X77">
        <v>117.7</v>
      </c>
      <c r="Y77">
        <v>110.9</v>
      </c>
      <c r="Z77">
        <v>114.8</v>
      </c>
      <c r="AA77">
        <v>118.7</v>
      </c>
      <c r="AB77">
        <v>110.8</v>
      </c>
      <c r="AC77">
        <v>115</v>
      </c>
      <c r="AD77">
        <v>120.6</v>
      </c>
      <c r="AE77" s="2">
        <f>DATE(B77, MATCH(C77,{"January","February","March","April","May","June","July","August","September","October","November","December"}, 0),1)</f>
        <v>42036</v>
      </c>
    </row>
    <row r="78" spans="1:31"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E78" s="2">
        <f>DATE(B78, MATCH(C78,{"January","February","March","April","May","June","July","August","September","October","November","December"}, 0),1)</f>
        <v>42036</v>
      </c>
    </row>
    <row r="79" spans="1:31"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E79" s="2">
        <f>DATE(B79, MATCH(C79,{"January","February","March","April","May","June","July","August","September","October","November","December"}, 0),1)</f>
        <v>42036</v>
      </c>
    </row>
    <row r="80" spans="1:31"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s="87">
        <f>U81</f>
        <v>118.6</v>
      </c>
      <c r="V80">
        <v>120.6</v>
      </c>
      <c r="W80">
        <v>120.2</v>
      </c>
      <c r="X80">
        <v>118.2</v>
      </c>
      <c r="Y80">
        <v>111.6</v>
      </c>
      <c r="Z80">
        <v>115.5</v>
      </c>
      <c r="AA80">
        <v>119.4</v>
      </c>
      <c r="AB80">
        <v>110.8</v>
      </c>
      <c r="AC80">
        <v>115.5</v>
      </c>
      <c r="AD80">
        <v>121.1</v>
      </c>
      <c r="AE80" s="2">
        <f>DATE(B80, MATCH(C80,{"January","February","March","April","May","June","July","August","September","October","November","December"}, 0),1)</f>
        <v>42064</v>
      </c>
    </row>
    <row r="81" spans="1:31"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E81" s="2">
        <f>DATE(B81, MATCH(C81,{"January","February","March","April","May","June","July","August","September","October","November","December"}, 0),1)</f>
        <v>42064</v>
      </c>
    </row>
    <row r="82" spans="1:31"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E82" s="2">
        <f>DATE(B82, MATCH(C82,{"January","February","March","April","May","June","July","August","September","October","November","December"}, 0),1)</f>
        <v>42064</v>
      </c>
    </row>
    <row r="83" spans="1:31"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s="87">
        <f>U84</f>
        <v>119.2</v>
      </c>
      <c r="V83">
        <v>121.2</v>
      </c>
      <c r="W83">
        <v>120.9</v>
      </c>
      <c r="X83">
        <v>118.6</v>
      </c>
      <c r="Y83">
        <v>111.9</v>
      </c>
      <c r="Z83">
        <v>116.2</v>
      </c>
      <c r="AA83">
        <v>119.9</v>
      </c>
      <c r="AB83">
        <v>111.6</v>
      </c>
      <c r="AC83">
        <v>116</v>
      </c>
      <c r="AD83">
        <v>121.5</v>
      </c>
      <c r="AE83" s="2">
        <f>DATE(B83, MATCH(C83,{"January","February","March","April","May","June","July","August","September","October","November","December"}, 0),1)</f>
        <v>42095</v>
      </c>
    </row>
    <row r="84" spans="1:31"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E84" s="2">
        <f>DATE(B84, MATCH(C84,{"January","February","March","April","May","June","July","August","September","October","November","December"}, 0),1)</f>
        <v>42095</v>
      </c>
    </row>
    <row r="85" spans="1:31"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E85" s="2">
        <f>DATE(B85, MATCH(C85,{"January","February","March","April","May","June","July","August","September","October","November","December"}, 0),1)</f>
        <v>42095</v>
      </c>
    </row>
    <row r="86" spans="1:31"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s="87">
        <f>U87</f>
        <v>119.6</v>
      </c>
      <c r="V86">
        <v>121.9</v>
      </c>
      <c r="W86">
        <v>121.5</v>
      </c>
      <c r="X86">
        <v>119.4</v>
      </c>
      <c r="Y86">
        <v>113.3</v>
      </c>
      <c r="Z86">
        <v>116.7</v>
      </c>
      <c r="AA86">
        <v>120.5</v>
      </c>
      <c r="AB86">
        <v>112.3</v>
      </c>
      <c r="AC86">
        <v>116.9</v>
      </c>
      <c r="AD86">
        <v>122.4</v>
      </c>
      <c r="AE86" s="2">
        <f>DATE(B86, MATCH(C86,{"January","February","March","April","May","June","July","August","September","October","November","December"}, 0),1)</f>
        <v>42125</v>
      </c>
    </row>
    <row r="87" spans="1:31"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E87" s="2">
        <f>DATE(B87, MATCH(C87,{"January","February","March","April","May","June","July","August","September","October","November","December"}, 0),1)</f>
        <v>42125</v>
      </c>
    </row>
    <row r="88" spans="1:31"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E88" s="2">
        <f>DATE(B88, MATCH(C88,{"January","February","March","April","May","June","July","August","September","October","November","December"}, 0),1)</f>
        <v>42125</v>
      </c>
    </row>
    <row r="89" spans="1:31"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s="87">
        <f>U90</f>
        <v>119</v>
      </c>
      <c r="V89">
        <v>122.6</v>
      </c>
      <c r="W89">
        <v>122.8</v>
      </c>
      <c r="X89">
        <v>120.4</v>
      </c>
      <c r="Y89">
        <v>114.2</v>
      </c>
      <c r="Z89">
        <v>117.9</v>
      </c>
      <c r="AA89">
        <v>122</v>
      </c>
      <c r="AB89">
        <v>113</v>
      </c>
      <c r="AC89">
        <v>117.9</v>
      </c>
      <c r="AD89">
        <v>124.1</v>
      </c>
      <c r="AE89" s="2">
        <f>DATE(B89, MATCH(C89,{"January","February","March","April","May","June","July","August","September","October","November","December"}, 0),1)</f>
        <v>42156</v>
      </c>
    </row>
    <row r="90" spans="1:31"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E90" s="2">
        <f>DATE(B90, MATCH(C90,{"January","February","March","April","May","June","July","August","September","October","November","December"}, 0),1)</f>
        <v>42156</v>
      </c>
    </row>
    <row r="91" spans="1:31"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E91" s="2">
        <f>DATE(B91, MATCH(C91,{"January","February","March","April","May","June","July","August","September","October","November","December"}, 0),1)</f>
        <v>42156</v>
      </c>
    </row>
    <row r="92" spans="1:31"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s="87">
        <f>U93</f>
        <v>119.9</v>
      </c>
      <c r="V92">
        <v>123</v>
      </c>
      <c r="W92">
        <v>123</v>
      </c>
      <c r="X92">
        <v>120.8</v>
      </c>
      <c r="Y92">
        <v>114.1</v>
      </c>
      <c r="Z92">
        <v>118</v>
      </c>
      <c r="AA92">
        <v>122.9</v>
      </c>
      <c r="AB92">
        <v>112.7</v>
      </c>
      <c r="AC92">
        <v>118.1</v>
      </c>
      <c r="AD92">
        <v>124.7</v>
      </c>
      <c r="AE92" s="2">
        <f>DATE(B92, MATCH(C92,{"January","February","March","April","May","June","July","August","September","October","November","December"}, 0),1)</f>
        <v>42186</v>
      </c>
    </row>
    <row r="93" spans="1:31"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E93" s="2">
        <f>DATE(B93, MATCH(C93,{"January","February","March","April","May","June","July","August","September","October","November","December"}, 0),1)</f>
        <v>42186</v>
      </c>
    </row>
    <row r="94" spans="1:31"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E94" s="2">
        <f>DATE(B94, MATCH(C94,{"January","February","March","April","May","June","July","August","September","October","November","December"}, 0),1)</f>
        <v>42186</v>
      </c>
    </row>
    <row r="95" spans="1:31"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s="87">
        <f>U96</f>
        <v>120.9</v>
      </c>
      <c r="V95">
        <v>123.8</v>
      </c>
      <c r="W95">
        <v>123.7</v>
      </c>
      <c r="X95">
        <v>121.1</v>
      </c>
      <c r="Y95">
        <v>113.6</v>
      </c>
      <c r="Z95">
        <v>118.5</v>
      </c>
      <c r="AA95">
        <v>123.6</v>
      </c>
      <c r="AB95">
        <v>112.5</v>
      </c>
      <c r="AC95">
        <v>118.2</v>
      </c>
      <c r="AD95">
        <v>126.1</v>
      </c>
      <c r="AE95" s="2">
        <f>DATE(B95, MATCH(C95,{"January","February","March","April","May","June","July","August","September","October","November","December"}, 0),1)</f>
        <v>42217</v>
      </c>
    </row>
    <row r="96" spans="1:31"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E96" s="2">
        <f>DATE(B96, MATCH(C96,{"January","February","March","April","May","June","July","August","September","October","November","December"}, 0),1)</f>
        <v>42217</v>
      </c>
    </row>
    <row r="97" spans="1:31"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E97" s="2">
        <f>DATE(B97, MATCH(C97,{"January","February","March","April","May","June","July","August","September","October","November","December"}, 0),1)</f>
        <v>42217</v>
      </c>
    </row>
    <row r="98" spans="1:31"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s="87">
        <f>U99</f>
        <v>121.6</v>
      </c>
      <c r="V98">
        <v>123.7</v>
      </c>
      <c r="W98">
        <v>124.5</v>
      </c>
      <c r="X98">
        <v>121.4</v>
      </c>
      <c r="Y98">
        <v>113.8</v>
      </c>
      <c r="Z98">
        <v>119.6</v>
      </c>
      <c r="AA98">
        <v>124.5</v>
      </c>
      <c r="AB98">
        <v>113.7</v>
      </c>
      <c r="AC98">
        <v>118.8</v>
      </c>
      <c r="AD98">
        <v>127</v>
      </c>
      <c r="AE98" s="2">
        <f>DATE(B98, MATCH(C98,{"January","February","March","April","May","June","July","August","September","October","November","December"}, 0),1)</f>
        <v>42248</v>
      </c>
    </row>
    <row r="99" spans="1:31"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E99" s="2">
        <f>DATE(B99, MATCH(C99,{"January","February","March","April","May","June","July","August","September","October","November","December"}, 0),1)</f>
        <v>42248</v>
      </c>
    </row>
    <row r="100" spans="1:31"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E100" s="2">
        <f>DATE(B100, MATCH(C100,{"January","February","March","April","May","June","July","August","September","October","November","December"}, 0),1)</f>
        <v>42248</v>
      </c>
    </row>
    <row r="101" spans="1:31"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s="87">
        <f>U102</f>
        <v>122.4</v>
      </c>
      <c r="V101">
        <v>124.4</v>
      </c>
      <c r="W101">
        <v>125.1</v>
      </c>
      <c r="X101">
        <v>122</v>
      </c>
      <c r="Y101">
        <v>113.8</v>
      </c>
      <c r="Z101">
        <v>120.1</v>
      </c>
      <c r="AA101">
        <v>125.1</v>
      </c>
      <c r="AB101">
        <v>114.2</v>
      </c>
      <c r="AC101">
        <v>119.2</v>
      </c>
      <c r="AD101">
        <v>127.7</v>
      </c>
      <c r="AE101" s="2">
        <f>DATE(B101, MATCH(C101,{"January","February","March","April","May","June","July","August","September","October","November","December"}, 0),1)</f>
        <v>42278</v>
      </c>
    </row>
    <row r="102" spans="1:31"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E102" s="2">
        <f>DATE(B102, MATCH(C102,{"January","February","March","April","May","June","July","August","September","October","November","December"}, 0),1)</f>
        <v>42278</v>
      </c>
    </row>
    <row r="103" spans="1:31"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E103" s="2">
        <f>DATE(B103, MATCH(C103,{"January","February","March","April","May","June","July","August","September","October","November","December"}, 0),1)</f>
        <v>42278</v>
      </c>
    </row>
    <row r="104" spans="1:31"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s="87">
        <f>U105</f>
        <v>122.9</v>
      </c>
      <c r="V104">
        <v>125.6</v>
      </c>
      <c r="W104">
        <v>125.6</v>
      </c>
      <c r="X104">
        <v>122.6</v>
      </c>
      <c r="Y104">
        <v>114</v>
      </c>
      <c r="Z104">
        <v>120.9</v>
      </c>
      <c r="AA104">
        <v>125.8</v>
      </c>
      <c r="AB104">
        <v>114.2</v>
      </c>
      <c r="AC104">
        <v>119.6</v>
      </c>
      <c r="AD104">
        <v>128.30000000000001</v>
      </c>
      <c r="AE104" s="2">
        <f>DATE(B104, MATCH(C104,{"January","February","March","April","May","June","July","August","September","October","November","December"}, 0),1)</f>
        <v>42309</v>
      </c>
    </row>
    <row r="105" spans="1:31"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E105" s="2">
        <f>DATE(B105, MATCH(C105,{"January","February","March","April","May","June","July","August","September","October","November","December"}, 0),1)</f>
        <v>42309</v>
      </c>
    </row>
    <row r="106" spans="1:31"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E106" s="2">
        <f>DATE(B106, MATCH(C106,{"January","February","March","April","May","June","July","August","September","October","November","December"}, 0),1)</f>
        <v>42309</v>
      </c>
    </row>
    <row r="107" spans="1:31"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s="87">
        <f>U108</f>
        <v>122.4</v>
      </c>
      <c r="V107">
        <v>125.7</v>
      </c>
      <c r="W107">
        <v>126</v>
      </c>
      <c r="X107">
        <v>123.1</v>
      </c>
      <c r="Y107">
        <v>114</v>
      </c>
      <c r="Z107">
        <v>121.6</v>
      </c>
      <c r="AA107">
        <v>125.6</v>
      </c>
      <c r="AB107">
        <v>114.1</v>
      </c>
      <c r="AC107">
        <v>119.8</v>
      </c>
      <c r="AD107">
        <v>127.9</v>
      </c>
      <c r="AE107" s="2">
        <f>DATE(B107, MATCH(C107,{"January","February","March","April","May","June","July","August","September","October","November","December"}, 0),1)</f>
        <v>42339</v>
      </c>
    </row>
    <row r="108" spans="1:31"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E108" s="2">
        <f>DATE(B108, MATCH(C108,{"January","February","March","April","May","June","July","August","September","October","November","December"}, 0),1)</f>
        <v>42339</v>
      </c>
    </row>
    <row r="109" spans="1:31"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E109" s="2">
        <f>DATE(B109, MATCH(C109,{"January","February","March","April","May","June","July","August","September","October","November","December"}, 0),1)</f>
        <v>42339</v>
      </c>
    </row>
    <row r="110" spans="1:3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s="87">
        <f>U111</f>
        <v>123.4</v>
      </c>
      <c r="V110">
        <v>126.2</v>
      </c>
      <c r="W110">
        <v>126.6</v>
      </c>
      <c r="X110">
        <v>123.7</v>
      </c>
      <c r="Y110">
        <v>113.6</v>
      </c>
      <c r="Z110">
        <v>121.4</v>
      </c>
      <c r="AA110">
        <v>126.2</v>
      </c>
      <c r="AB110">
        <v>114.9</v>
      </c>
      <c r="AC110">
        <v>120.1</v>
      </c>
      <c r="AD110">
        <v>128.1</v>
      </c>
      <c r="AE110" s="2">
        <f>DATE(B110, MATCH(C110,{"January","February","March","April","May","June","July","August","September","October","November","December"}, 0),1)</f>
        <v>42370</v>
      </c>
    </row>
    <row r="111" spans="1:31"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E111" s="2">
        <f>DATE(B111, MATCH(C111,{"January","February","March","April","May","June","July","August","September","October","November","December"}, 0),1)</f>
        <v>42370</v>
      </c>
    </row>
    <row r="112" spans="1:31"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E112" s="2">
        <f>DATE(B112, MATCH(C112,{"January","February","March","April","May","June","July","August","September","October","November","December"}, 0),1)</f>
        <v>42370</v>
      </c>
    </row>
    <row r="113" spans="1:31"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s="87">
        <f>U114</f>
        <v>124.4</v>
      </c>
      <c r="V113">
        <v>127.5</v>
      </c>
      <c r="W113">
        <v>127.1</v>
      </c>
      <c r="X113">
        <v>124.3</v>
      </c>
      <c r="Y113">
        <v>113.9</v>
      </c>
      <c r="Z113">
        <v>122.3</v>
      </c>
      <c r="AA113">
        <v>127.1</v>
      </c>
      <c r="AB113">
        <v>116.8</v>
      </c>
      <c r="AC113">
        <v>120.9</v>
      </c>
      <c r="AD113">
        <v>127.9</v>
      </c>
      <c r="AE113" s="2">
        <f>DATE(B113, MATCH(C113,{"January","February","March","April","May","June","July","August","September","October","November","December"}, 0),1)</f>
        <v>42401</v>
      </c>
    </row>
    <row r="114" spans="1:31"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E114" s="2">
        <f>DATE(B114, MATCH(C114,{"January","February","March","April","May","June","July","August","September","October","November","December"}, 0),1)</f>
        <v>42401</v>
      </c>
    </row>
    <row r="115" spans="1:31"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E115" s="2">
        <f>DATE(B115, MATCH(C115,{"January","February","March","April","May","June","July","August","September","October","November","December"}, 0),1)</f>
        <v>42401</v>
      </c>
    </row>
    <row r="116" spans="1:31"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s="87">
        <f>U117</f>
        <v>124.9</v>
      </c>
      <c r="V116">
        <v>127</v>
      </c>
      <c r="W116">
        <v>127.7</v>
      </c>
      <c r="X116">
        <v>124.8</v>
      </c>
      <c r="Y116">
        <v>113.6</v>
      </c>
      <c r="Z116">
        <v>122.5</v>
      </c>
      <c r="AA116">
        <v>127.5</v>
      </c>
      <c r="AB116">
        <v>117.4</v>
      </c>
      <c r="AC116">
        <v>121.1</v>
      </c>
      <c r="AD116">
        <v>128</v>
      </c>
      <c r="AE116" s="2">
        <f>DATE(B116, MATCH(C116,{"January","February","March","April","May","June","July","August","September","October","November","December"}, 0),1)</f>
        <v>42430</v>
      </c>
    </row>
    <row r="117" spans="1:31"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E117" s="2">
        <f>DATE(B117, MATCH(C117,{"January","February","March","April","May","June","July","August","September","October","November","December"}, 0),1)</f>
        <v>42430</v>
      </c>
    </row>
    <row r="118" spans="1:31"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s="2">
        <f>DATE(B118, MATCH(C118,{"January","February","March","April","May","June","July","August","September","October","November","December"}, 0),1)</f>
        <v>42430</v>
      </c>
    </row>
    <row r="119" spans="1:31"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s="87">
        <f>U120</f>
        <v>125.6</v>
      </c>
      <c r="V119">
        <v>127</v>
      </c>
      <c r="W119">
        <v>128</v>
      </c>
      <c r="X119">
        <v>125.2</v>
      </c>
      <c r="Y119">
        <v>114.4</v>
      </c>
      <c r="Z119">
        <v>123.2</v>
      </c>
      <c r="AA119">
        <v>127.9</v>
      </c>
      <c r="AB119">
        <v>118.4</v>
      </c>
      <c r="AC119">
        <v>121.7</v>
      </c>
      <c r="AD119">
        <v>129</v>
      </c>
      <c r="AE119" s="2">
        <f>DATE(B119, MATCH(C119,{"January","February","March","April","May","June","July","August","September","October","November","December"}, 0),1)</f>
        <v>42461</v>
      </c>
    </row>
    <row r="120" spans="1:31"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E120" s="2">
        <f>DATE(B120, MATCH(C120,{"January","February","March","April","May","June","July","August","September","October","November","December"}, 0),1)</f>
        <v>42461</v>
      </c>
    </row>
    <row r="121" spans="1:31"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s="2">
        <f>DATE(B121, MATCH(C121,{"January","February","March","April","May","June","July","August","September","October","November","December"}, 0),1)</f>
        <v>42461</v>
      </c>
    </row>
    <row r="122" spans="1:31"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s="87">
        <f>U123</f>
        <v>126</v>
      </c>
      <c r="V122">
        <v>127.4</v>
      </c>
      <c r="W122">
        <v>128.5</v>
      </c>
      <c r="X122">
        <v>125.8</v>
      </c>
      <c r="Y122">
        <v>115.1</v>
      </c>
      <c r="Z122">
        <v>123.6</v>
      </c>
      <c r="AA122">
        <v>129.1</v>
      </c>
      <c r="AB122">
        <v>119.7</v>
      </c>
      <c r="AC122">
        <v>122.5</v>
      </c>
      <c r="AD122">
        <v>130.30000000000001</v>
      </c>
      <c r="AE122" s="2">
        <f>DATE(B122, MATCH(C122,{"January","February","March","April","May","June","July","August","September","October","November","December"}, 0),1)</f>
        <v>42491</v>
      </c>
    </row>
    <row r="123" spans="1:31"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E123" s="2">
        <f>DATE(B123, MATCH(C123,{"January","February","March","April","May","June","July","August","September","October","November","December"}, 0),1)</f>
        <v>42491</v>
      </c>
    </row>
    <row r="124" spans="1:31"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s="2">
        <f>DATE(B124, MATCH(C124,{"January","February","March","April","May","June","July","August","September","October","November","December"}, 0),1)</f>
        <v>42491</v>
      </c>
    </row>
    <row r="125" spans="1:31"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s="87">
        <f>U126</f>
        <v>125.5</v>
      </c>
      <c r="V125">
        <v>128</v>
      </c>
      <c r="W125">
        <v>129.30000000000001</v>
      </c>
      <c r="X125">
        <v>126.2</v>
      </c>
      <c r="Y125">
        <v>116.3</v>
      </c>
      <c r="Z125">
        <v>124.1</v>
      </c>
      <c r="AA125">
        <v>130.19999999999999</v>
      </c>
      <c r="AB125">
        <v>119.9</v>
      </c>
      <c r="AC125">
        <v>123.3</v>
      </c>
      <c r="AD125">
        <v>131.9</v>
      </c>
      <c r="AE125" s="2">
        <f>DATE(B125, MATCH(C125,{"January","February","March","April","May","June","July","August","September","October","November","December"}, 0),1)</f>
        <v>42522</v>
      </c>
    </row>
    <row r="126" spans="1:31"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E126" s="2">
        <f>DATE(B126, MATCH(C126,{"January","February","March","April","May","June","July","August","September","October","November","December"}, 0),1)</f>
        <v>42522</v>
      </c>
    </row>
    <row r="127" spans="1:31"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s="2">
        <f>DATE(B127, MATCH(C127,{"January","February","March","April","May","June","July","August","September","October","November","December"}, 0),1)</f>
        <v>42522</v>
      </c>
    </row>
    <row r="128" spans="1:31"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s="87">
        <f>U129</f>
        <v>126.4</v>
      </c>
      <c r="V128">
        <v>128.19999999999999</v>
      </c>
      <c r="W128">
        <v>130</v>
      </c>
      <c r="X128">
        <v>126.7</v>
      </c>
      <c r="Y128">
        <v>116.4</v>
      </c>
      <c r="Z128">
        <v>125.2</v>
      </c>
      <c r="AA128">
        <v>130.80000000000001</v>
      </c>
      <c r="AB128">
        <v>120.9</v>
      </c>
      <c r="AC128">
        <v>123.8</v>
      </c>
      <c r="AD128">
        <v>133</v>
      </c>
      <c r="AE128" s="2">
        <f>DATE(B128, MATCH(C128,{"January","February","March","April","May","June","July","August","September","October","November","December"}, 0),1)</f>
        <v>42552</v>
      </c>
    </row>
    <row r="129" spans="1:31"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E129" s="2">
        <f>DATE(B129, MATCH(C129,{"January","February","March","April","May","June","July","August","September","October","November","December"}, 0),1)</f>
        <v>42552</v>
      </c>
    </row>
    <row r="130" spans="1:31"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s="2">
        <f>DATE(B130, MATCH(C130,{"January","February","March","April","May","June","July","August","September","October","November","December"}, 0),1)</f>
        <v>42552</v>
      </c>
    </row>
    <row r="131" spans="1:31"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s="87">
        <f>U132</f>
        <v>127.3</v>
      </c>
      <c r="V131">
        <v>129.1</v>
      </c>
      <c r="W131">
        <v>130.6</v>
      </c>
      <c r="X131">
        <v>127</v>
      </c>
      <c r="Y131">
        <v>116</v>
      </c>
      <c r="Z131">
        <v>125.5</v>
      </c>
      <c r="AA131">
        <v>131.9</v>
      </c>
      <c r="AB131">
        <v>122</v>
      </c>
      <c r="AC131">
        <v>124.2</v>
      </c>
      <c r="AD131">
        <v>133.5</v>
      </c>
      <c r="AE131" s="2">
        <f>DATE(B131, MATCH(C131,{"January","February","March","April","May","June","July","August","September","October","November","December"}, 0),1)</f>
        <v>42583</v>
      </c>
    </row>
    <row r="132" spans="1:31"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E132" s="2">
        <f>DATE(B132, MATCH(C132,{"January","February","March","April","May","June","July","August","September","October","November","December"}, 0),1)</f>
        <v>42583</v>
      </c>
    </row>
    <row r="133" spans="1:31"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s="2">
        <f>DATE(B133, MATCH(C133,{"January","February","March","April","May","June","July","August","September","October","November","December"}, 0),1)</f>
        <v>42583</v>
      </c>
    </row>
    <row r="134" spans="1:31"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s="87">
        <f>U135</f>
        <v>127.9</v>
      </c>
      <c r="V134">
        <v>129.69999999999999</v>
      </c>
      <c r="W134">
        <v>131.1</v>
      </c>
      <c r="X134">
        <v>127.8</v>
      </c>
      <c r="Y134">
        <v>117</v>
      </c>
      <c r="Z134">
        <v>125.7</v>
      </c>
      <c r="AA134">
        <v>132.19999999999999</v>
      </c>
      <c r="AB134">
        <v>122.8</v>
      </c>
      <c r="AC134">
        <v>124.9</v>
      </c>
      <c r="AD134">
        <v>133.4</v>
      </c>
      <c r="AE134" s="2">
        <f>DATE(B134, MATCH(C134,{"January","February","March","April","May","June","July","August","September","October","November","December"}, 0),1)</f>
        <v>42614</v>
      </c>
    </row>
    <row r="135" spans="1:31"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E135" s="2">
        <f>DATE(B135, MATCH(C135,{"January","February","March","April","May","June","July","August","September","October","November","December"}, 0),1)</f>
        <v>42614</v>
      </c>
    </row>
    <row r="136" spans="1:31"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s="2">
        <f>DATE(B136, MATCH(C136,{"January","February","March","April","May","June","July","August","September","October","November","December"}, 0),1)</f>
        <v>42614</v>
      </c>
    </row>
    <row r="137" spans="1:31"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s="87">
        <f>U138</f>
        <v>128.69999999999999</v>
      </c>
      <c r="V137">
        <v>129.80000000000001</v>
      </c>
      <c r="W137">
        <v>131.80000000000001</v>
      </c>
      <c r="X137">
        <v>128.69999999999999</v>
      </c>
      <c r="Y137">
        <v>117.8</v>
      </c>
      <c r="Z137">
        <v>126.5</v>
      </c>
      <c r="AA137">
        <v>133</v>
      </c>
      <c r="AB137">
        <v>123</v>
      </c>
      <c r="AC137">
        <v>125.7</v>
      </c>
      <c r="AD137">
        <v>133.80000000000001</v>
      </c>
      <c r="AE137" s="2">
        <f>DATE(B137, MATCH(C137,{"January","February","March","April","May","June","July","August","September","October","November","December"}, 0),1)</f>
        <v>42644</v>
      </c>
    </row>
    <row r="138" spans="1:31"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E138" s="2">
        <f>DATE(B138, MATCH(C138,{"January","February","March","April","May","June","July","August","September","October","November","December"}, 0),1)</f>
        <v>42644</v>
      </c>
    </row>
    <row r="139" spans="1:31"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s="2">
        <f>DATE(B139, MATCH(C139,{"January","February","March","April","May","June","July","August","September","October","November","December"}, 0),1)</f>
        <v>42644</v>
      </c>
    </row>
    <row r="140" spans="1:31"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s="87">
        <f>U141</f>
        <v>129.1</v>
      </c>
      <c r="V140">
        <v>130.30000000000001</v>
      </c>
      <c r="W140">
        <v>132.1</v>
      </c>
      <c r="X140">
        <v>129.1</v>
      </c>
      <c r="Y140">
        <v>118.2</v>
      </c>
      <c r="Z140">
        <v>126.9</v>
      </c>
      <c r="AA140">
        <v>133.69999999999999</v>
      </c>
      <c r="AB140">
        <v>123.5</v>
      </c>
      <c r="AC140">
        <v>126.1</v>
      </c>
      <c r="AD140">
        <v>133.6</v>
      </c>
      <c r="AE140" s="2">
        <f>DATE(B140, MATCH(C140,{"January","February","March","April","May","June","July","August","September","October","November","December"}, 0),1)</f>
        <v>42675</v>
      </c>
    </row>
    <row r="141" spans="1:31"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E141" s="2">
        <f>DATE(B141, MATCH(C141,{"January","February","March","April","May","June","July","August","September","October","November","December"}, 0),1)</f>
        <v>42675</v>
      </c>
    </row>
    <row r="142" spans="1:31"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s="2">
        <f>DATE(B142, MATCH(C142,{"January","February","March","April","May","June","July","August","September","October","November","December"}, 0),1)</f>
        <v>42675</v>
      </c>
    </row>
    <row r="143" spans="1:31"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s="87">
        <f>U144</f>
        <v>128.5</v>
      </c>
      <c r="V143">
        <v>132</v>
      </c>
      <c r="W143">
        <v>132.9</v>
      </c>
      <c r="X143">
        <v>129.69999999999999</v>
      </c>
      <c r="Y143">
        <v>118.6</v>
      </c>
      <c r="Z143">
        <v>127.3</v>
      </c>
      <c r="AA143">
        <v>134.19999999999999</v>
      </c>
      <c r="AB143">
        <v>121.9</v>
      </c>
      <c r="AC143">
        <v>126.3</v>
      </c>
      <c r="AD143">
        <v>132.80000000000001</v>
      </c>
      <c r="AE143" s="2">
        <f>DATE(B143, MATCH(C143,{"January","February","March","April","May","June","July","August","September","October","November","December"}, 0),1)</f>
        <v>42705</v>
      </c>
    </row>
    <row r="144" spans="1:31"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E144" s="2">
        <f>DATE(B144, MATCH(C144,{"January","February","March","April","May","June","July","August","September","October","November","December"}, 0),1)</f>
        <v>42705</v>
      </c>
    </row>
    <row r="145" spans="1:31"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s="2">
        <f>DATE(B145, MATCH(C145,{"January","February","March","April","May","June","July","August","September","October","November","December"}, 0),1)</f>
        <v>42705</v>
      </c>
    </row>
    <row r="146" spans="1:3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s="87">
        <f>U147</f>
        <v>129.6</v>
      </c>
      <c r="V146">
        <v>132.1</v>
      </c>
      <c r="W146">
        <v>133.19999999999999</v>
      </c>
      <c r="X146">
        <v>129.9</v>
      </c>
      <c r="Y146">
        <v>119.1</v>
      </c>
      <c r="Z146">
        <v>127</v>
      </c>
      <c r="AA146">
        <v>134.6</v>
      </c>
      <c r="AB146">
        <v>122.3</v>
      </c>
      <c r="AC146">
        <v>126.6</v>
      </c>
      <c r="AD146">
        <v>132.4</v>
      </c>
      <c r="AE146" s="2">
        <f>DATE(B146, MATCH(C146,{"January","February","March","April","May","June","July","August","September","October","November","December"}, 0),1)</f>
        <v>42736</v>
      </c>
    </row>
    <row r="147" spans="1:31"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E147" s="2">
        <f>DATE(B147, MATCH(C147,{"January","February","March","April","May","June","July","August","September","October","November","December"}, 0),1)</f>
        <v>42736</v>
      </c>
    </row>
    <row r="148" spans="1:31"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s="2">
        <f>DATE(B148, MATCH(C148,{"January","February","March","April","May","June","July","August","September","October","November","December"}, 0),1)</f>
        <v>42736</v>
      </c>
    </row>
    <row r="149" spans="1:31"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s="87">
        <f>U150</f>
        <v>130.5</v>
      </c>
      <c r="V149">
        <v>133.19999999999999</v>
      </c>
      <c r="W149">
        <v>133.6</v>
      </c>
      <c r="X149">
        <v>130.1</v>
      </c>
      <c r="Y149">
        <v>119.5</v>
      </c>
      <c r="Z149">
        <v>127.7</v>
      </c>
      <c r="AA149">
        <v>134.9</v>
      </c>
      <c r="AB149">
        <v>123.2</v>
      </c>
      <c r="AC149">
        <v>127</v>
      </c>
      <c r="AD149">
        <v>132.6</v>
      </c>
      <c r="AE149" s="2">
        <f>DATE(B149, MATCH(C149,{"January","February","March","April","May","June","July","August","September","October","November","December"}, 0),1)</f>
        <v>42767</v>
      </c>
    </row>
    <row r="150" spans="1:31"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E150" s="2">
        <f>DATE(B150, MATCH(C150,{"January","February","March","April","May","June","July","August","September","October","November","December"}, 0),1)</f>
        <v>42767</v>
      </c>
    </row>
    <row r="151" spans="1:31"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s="2">
        <f>DATE(B151, MATCH(C151,{"January","February","March","April","May","June","July","August","September","October","November","December"}, 0),1)</f>
        <v>42767</v>
      </c>
    </row>
    <row r="152" spans="1:31"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s="87">
        <f>U153</f>
        <v>131.1</v>
      </c>
      <c r="V152">
        <v>134.19999999999999</v>
      </c>
      <c r="W152">
        <v>134.1</v>
      </c>
      <c r="X152">
        <v>130.6</v>
      </c>
      <c r="Y152">
        <v>119.8</v>
      </c>
      <c r="Z152">
        <v>128.30000000000001</v>
      </c>
      <c r="AA152">
        <v>135.19999999999999</v>
      </c>
      <c r="AB152">
        <v>123.3</v>
      </c>
      <c r="AC152">
        <v>127.4</v>
      </c>
      <c r="AD152">
        <v>132.80000000000001</v>
      </c>
      <c r="AE152" s="2">
        <f>DATE(B152, MATCH(C152,{"January","February","March","April","May","June","July","August","September","October","November","December"}, 0),1)</f>
        <v>42795</v>
      </c>
    </row>
    <row r="153" spans="1:31"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E153" s="2">
        <f>DATE(B153, MATCH(C153,{"January","February","March","April","May","June","July","August","September","October","November","December"}, 0),1)</f>
        <v>42795</v>
      </c>
    </row>
    <row r="154" spans="1:31"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s="2">
        <f>DATE(B154, MATCH(C154,{"January","February","March","April","May","June","July","August","September","October","November","December"}, 0),1)</f>
        <v>42795</v>
      </c>
    </row>
    <row r="155" spans="1:31"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s="87">
        <f>U156</f>
        <v>131.69999999999999</v>
      </c>
      <c r="V155">
        <v>135</v>
      </c>
      <c r="W155">
        <v>134.30000000000001</v>
      </c>
      <c r="X155">
        <v>131</v>
      </c>
      <c r="Y155">
        <v>119.2</v>
      </c>
      <c r="Z155">
        <v>128.30000000000001</v>
      </c>
      <c r="AA155">
        <v>135.69999999999999</v>
      </c>
      <c r="AB155">
        <v>123.7</v>
      </c>
      <c r="AC155">
        <v>127.5</v>
      </c>
      <c r="AD155">
        <v>132.9</v>
      </c>
      <c r="AE155" s="2">
        <f>DATE(B155, MATCH(C155,{"January","February","March","April","May","June","July","August","September","October","November","December"}, 0),1)</f>
        <v>42826</v>
      </c>
    </row>
    <row r="156" spans="1:31"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E156" s="2">
        <f>DATE(B156, MATCH(C156,{"January","February","March","April","May","June","July","August","September","October","November","December"}, 0),1)</f>
        <v>42826</v>
      </c>
    </row>
    <row r="157" spans="1:31"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s="2">
        <f>DATE(B157, MATCH(C157,{"January","February","March","April","May","June","July","August","September","October","November","December"}, 0),1)</f>
        <v>42826</v>
      </c>
    </row>
    <row r="158" spans="1:31"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s="87">
        <f>U159</f>
        <v>132.1</v>
      </c>
      <c r="V158">
        <v>135</v>
      </c>
      <c r="W158">
        <v>134.9</v>
      </c>
      <c r="X158">
        <v>131.4</v>
      </c>
      <c r="Y158">
        <v>119.4</v>
      </c>
      <c r="Z158">
        <v>129.4</v>
      </c>
      <c r="AA158">
        <v>136.30000000000001</v>
      </c>
      <c r="AB158">
        <v>123.7</v>
      </c>
      <c r="AC158">
        <v>127.9</v>
      </c>
      <c r="AD158">
        <v>133.30000000000001</v>
      </c>
      <c r="AE158" s="2">
        <f>DATE(B158, MATCH(C158,{"January","February","March","April","May","June","July","August","September","October","November","December"}, 0),1)</f>
        <v>42856</v>
      </c>
    </row>
    <row r="159" spans="1:31"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E159" s="2">
        <f>DATE(B159, MATCH(C159,{"January","February","March","April","May","June","July","August","September","October","November","December"}, 0),1)</f>
        <v>42856</v>
      </c>
    </row>
    <row r="160" spans="1:31"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s="2">
        <f>DATE(B160, MATCH(C160,{"January","February","March","April","May","June","July","August","September","October","November","December"}, 0),1)</f>
        <v>42856</v>
      </c>
    </row>
    <row r="161" spans="1:31"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s="87">
        <f>U162</f>
        <v>131.4</v>
      </c>
      <c r="V161">
        <v>134.80000000000001</v>
      </c>
      <c r="W161">
        <v>135.19999999999999</v>
      </c>
      <c r="X161">
        <v>131.30000000000001</v>
      </c>
      <c r="Y161">
        <v>119.4</v>
      </c>
      <c r="Z161">
        <v>129.80000000000001</v>
      </c>
      <c r="AA161">
        <v>136.9</v>
      </c>
      <c r="AB161">
        <v>124.1</v>
      </c>
      <c r="AC161">
        <v>128.1</v>
      </c>
      <c r="AD161">
        <v>133.9</v>
      </c>
      <c r="AE161" s="2">
        <f>DATE(B161, MATCH(C161,{"January","February","March","April","May","June","July","August","September","October","November","December"}, 0),1)</f>
        <v>42887</v>
      </c>
    </row>
    <row r="162" spans="1:31"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E162" s="2">
        <f>DATE(B162, MATCH(C162,{"January","February","March","April","May","June","July","August","September","October","November","December"}, 0),1)</f>
        <v>42887</v>
      </c>
    </row>
    <row r="163" spans="1:31"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s="2">
        <f>DATE(B163, MATCH(C163,{"January","February","March","April","May","June","July","August","September","October","November","December"}, 0),1)</f>
        <v>42887</v>
      </c>
    </row>
    <row r="164" spans="1:31"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s="87">
        <f>U165</f>
        <v>132.6</v>
      </c>
      <c r="V164">
        <v>135.30000000000001</v>
      </c>
      <c r="W164">
        <v>136.1</v>
      </c>
      <c r="X164">
        <v>132.1</v>
      </c>
      <c r="Y164">
        <v>119.1</v>
      </c>
      <c r="Z164">
        <v>130.6</v>
      </c>
      <c r="AA164">
        <v>138.6</v>
      </c>
      <c r="AB164">
        <v>124.4</v>
      </c>
      <c r="AC164">
        <v>128.6</v>
      </c>
      <c r="AD164">
        <v>136.19999999999999</v>
      </c>
      <c r="AE164" s="2">
        <f>DATE(B164, MATCH(C164,{"January","February","March","April","May","June","July","August","September","October","November","December"}, 0),1)</f>
        <v>42917</v>
      </c>
    </row>
    <row r="165" spans="1:31"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E165" s="2">
        <f>DATE(B165, MATCH(C165,{"January","February","March","April","May","June","July","August","September","October","November","December"}, 0),1)</f>
        <v>42917</v>
      </c>
    </row>
    <row r="166" spans="1:31"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s="2">
        <f>DATE(B166, MATCH(C166,{"January","February","March","April","May","June","July","August","September","October","November","December"}, 0),1)</f>
        <v>42917</v>
      </c>
    </row>
    <row r="167" spans="1:31"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s="87">
        <f>U168</f>
        <v>134.4</v>
      </c>
      <c r="V167">
        <v>136.4</v>
      </c>
      <c r="W167">
        <v>137.30000000000001</v>
      </c>
      <c r="X167">
        <v>133</v>
      </c>
      <c r="Y167">
        <v>120.3</v>
      </c>
      <c r="Z167">
        <v>131.5</v>
      </c>
      <c r="AA167">
        <v>140.19999999999999</v>
      </c>
      <c r="AB167">
        <v>125.4</v>
      </c>
      <c r="AC167">
        <v>129.69999999999999</v>
      </c>
      <c r="AD167">
        <v>137.80000000000001</v>
      </c>
      <c r="AE167" s="2">
        <f>DATE(B167, MATCH(C167,{"January","February","March","April","May","June","July","August","September","October","November","December"}, 0),1)</f>
        <v>42948</v>
      </c>
    </row>
    <row r="168" spans="1:31"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E168" s="2">
        <f>DATE(B168, MATCH(C168,{"January","February","March","April","May","June","July","August","September","October","November","December"}, 0),1)</f>
        <v>42948</v>
      </c>
    </row>
    <row r="169" spans="1:31"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s="2">
        <f>DATE(B169, MATCH(C169,{"January","February","March","April","May","June","July","August","September","October","November","December"}, 0),1)</f>
        <v>42948</v>
      </c>
    </row>
    <row r="170" spans="1:31"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s="87">
        <f>U171</f>
        <v>135.69999999999999</v>
      </c>
      <c r="V170">
        <v>137.4</v>
      </c>
      <c r="W170">
        <v>137.9</v>
      </c>
      <c r="X170">
        <v>133.4</v>
      </c>
      <c r="Y170">
        <v>121.2</v>
      </c>
      <c r="Z170">
        <v>132.30000000000001</v>
      </c>
      <c r="AA170">
        <v>139.6</v>
      </c>
      <c r="AB170">
        <v>126.7</v>
      </c>
      <c r="AC170">
        <v>130.30000000000001</v>
      </c>
      <c r="AD170">
        <v>137.6</v>
      </c>
      <c r="AE170" s="2">
        <f>DATE(B170, MATCH(C170,{"January","February","March","April","May","June","July","August","September","October","November","December"}, 0),1)</f>
        <v>42979</v>
      </c>
    </row>
    <row r="171" spans="1:31"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E171" s="2">
        <f>DATE(B171, MATCH(C171,{"January","February","March","April","May","June","July","August","September","October","November","December"}, 0),1)</f>
        <v>42979</v>
      </c>
    </row>
    <row r="172" spans="1:31"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s="2">
        <f>DATE(B172, MATCH(C172,{"January","February","March","April","May","June","July","August","September","October","November","December"}, 0),1)</f>
        <v>42979</v>
      </c>
    </row>
    <row r="173" spans="1:31"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s="87">
        <f>U174</f>
        <v>137.30000000000001</v>
      </c>
      <c r="V173">
        <v>138.1</v>
      </c>
      <c r="W173">
        <v>138.4</v>
      </c>
      <c r="X173">
        <v>134.19999999999999</v>
      </c>
      <c r="Y173">
        <v>121</v>
      </c>
      <c r="Z173">
        <v>133</v>
      </c>
      <c r="AA173">
        <v>140.1</v>
      </c>
      <c r="AB173">
        <v>127.4</v>
      </c>
      <c r="AC173">
        <v>130.69999999999999</v>
      </c>
      <c r="AD173">
        <v>138.30000000000001</v>
      </c>
      <c r="AE173" s="2">
        <f>DATE(B173, MATCH(C173,{"January","February","March","April","May","June","July","August","September","October","November","December"}, 0),1)</f>
        <v>43009</v>
      </c>
    </row>
    <row r="174" spans="1:31"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E174" s="2">
        <f>DATE(B174, MATCH(C174,{"January","February","March","April","May","June","July","August","September","October","November","December"}, 0),1)</f>
        <v>43009</v>
      </c>
    </row>
    <row r="175" spans="1:31"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s="2">
        <f>DATE(B175, MATCH(C175,{"January","February","March","April","May","June","July","August","September","October","November","December"}, 0),1)</f>
        <v>43009</v>
      </c>
    </row>
    <row r="176" spans="1:31"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s="87">
        <f>U177</f>
        <v>138.6</v>
      </c>
      <c r="V176">
        <v>141.1</v>
      </c>
      <c r="W176">
        <v>139.4</v>
      </c>
      <c r="X176">
        <v>135.80000000000001</v>
      </c>
      <c r="Y176">
        <v>121.6</v>
      </c>
      <c r="Z176">
        <v>133.69999999999999</v>
      </c>
      <c r="AA176">
        <v>141.5</v>
      </c>
      <c r="AB176">
        <v>128.1</v>
      </c>
      <c r="AC176">
        <v>131.69999999999999</v>
      </c>
      <c r="AD176">
        <v>140</v>
      </c>
      <c r="AE176" s="2">
        <f>DATE(B176, MATCH(C176,{"January","February","March","April","May","June","July","August","September","October","November","December"}, 0),1)</f>
        <v>43040</v>
      </c>
    </row>
    <row r="177" spans="1:31"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E177" s="2">
        <f>DATE(B177, MATCH(C177,{"January","February","March","April","May","June","July","August","September","October","November","December"}, 0),1)</f>
        <v>43040</v>
      </c>
    </row>
    <row r="178" spans="1:31"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s="2">
        <f>DATE(B178, MATCH(C178,{"January","February","March","April","May","June","July","August","September","October","November","December"}, 0),1)</f>
        <v>43040</v>
      </c>
    </row>
    <row r="179" spans="1:31"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s="87">
        <f>U180</f>
        <v>139.1</v>
      </c>
      <c r="V179">
        <v>142.6</v>
      </c>
      <c r="W179">
        <v>139.5</v>
      </c>
      <c r="X179">
        <v>136.1</v>
      </c>
      <c r="Y179">
        <v>122</v>
      </c>
      <c r="Z179">
        <v>133.4</v>
      </c>
      <c r="AA179">
        <v>141.1</v>
      </c>
      <c r="AB179">
        <v>127.8</v>
      </c>
      <c r="AC179">
        <v>131.9</v>
      </c>
      <c r="AD179">
        <v>139.80000000000001</v>
      </c>
      <c r="AE179" s="2">
        <f>DATE(B179, MATCH(C179,{"January","February","March","April","May","June","July","August","September","October","November","December"}, 0),1)</f>
        <v>43070</v>
      </c>
    </row>
    <row r="180" spans="1:31"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E180" s="2">
        <f>DATE(B180, MATCH(C180,{"January","February","March","April","May","June","July","August","September","October","November","December"}, 0),1)</f>
        <v>43070</v>
      </c>
    </row>
    <row r="181" spans="1:31"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s="2">
        <f>DATE(B181, MATCH(C181,{"January","February","March","April","May","June","July","August","September","October","November","December"}, 0),1)</f>
        <v>43070</v>
      </c>
    </row>
    <row r="182" spans="1:3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s="87">
        <f>U183</f>
        <v>140.4</v>
      </c>
      <c r="V182">
        <v>142.30000000000001</v>
      </c>
      <c r="W182">
        <v>139.80000000000001</v>
      </c>
      <c r="X182">
        <v>136</v>
      </c>
      <c r="Y182">
        <v>122.7</v>
      </c>
      <c r="Z182">
        <v>134.30000000000001</v>
      </c>
      <c r="AA182">
        <v>141.6</v>
      </c>
      <c r="AB182">
        <v>128.6</v>
      </c>
      <c r="AC182">
        <v>132.30000000000001</v>
      </c>
      <c r="AD182">
        <v>139.30000000000001</v>
      </c>
      <c r="AE182" s="2">
        <f>DATE(B182, MATCH(C182,{"January","February","March","April","May","June","July","August","September","October","November","December"}, 0),1)</f>
        <v>43101</v>
      </c>
    </row>
    <row r="183" spans="1:31"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E183" s="2">
        <f>DATE(B183, MATCH(C183,{"January","February","March","April","May","June","July","August","September","October","November","December"}, 0),1)</f>
        <v>43101</v>
      </c>
    </row>
    <row r="184" spans="1:31"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s="2">
        <f>DATE(B184, MATCH(C184,{"January","February","March","April","May","June","July","August","September","October","November","December"}, 0),1)</f>
        <v>43101</v>
      </c>
    </row>
    <row r="185" spans="1:31"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s="87">
        <f>U186</f>
        <v>141.30000000000001</v>
      </c>
      <c r="V185">
        <v>142.4</v>
      </c>
      <c r="W185">
        <v>139.9</v>
      </c>
      <c r="X185">
        <v>136.19999999999999</v>
      </c>
      <c r="Y185">
        <v>123.3</v>
      </c>
      <c r="Z185">
        <v>134.30000000000001</v>
      </c>
      <c r="AA185">
        <v>141.5</v>
      </c>
      <c r="AB185">
        <v>128.80000000000001</v>
      </c>
      <c r="AC185">
        <v>132.5</v>
      </c>
      <c r="AD185">
        <v>138.5</v>
      </c>
      <c r="AE185" s="2">
        <f>DATE(B185, MATCH(C185,{"January","February","March","April","May","June","July","August","September","October","November","December"}, 0),1)</f>
        <v>43132</v>
      </c>
    </row>
    <row r="186" spans="1:31"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E186" s="2">
        <f>DATE(B186, MATCH(C186,{"January","February","March","April","May","June","July","August","September","October","November","December"}, 0),1)</f>
        <v>43132</v>
      </c>
    </row>
    <row r="187" spans="1:31"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s="2">
        <f>DATE(B187, MATCH(C187,{"January","February","March","April","May","June","July","August","September","October","November","December"}, 0),1)</f>
        <v>43132</v>
      </c>
    </row>
    <row r="188" spans="1:31"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s="87">
        <f>U189</f>
        <v>142</v>
      </c>
      <c r="V188">
        <v>142.6</v>
      </c>
      <c r="W188">
        <v>139.9</v>
      </c>
      <c r="X188">
        <v>136.69999999999999</v>
      </c>
      <c r="Y188">
        <v>124.6</v>
      </c>
      <c r="Z188">
        <v>135.1</v>
      </c>
      <c r="AA188">
        <v>142.69999999999999</v>
      </c>
      <c r="AB188">
        <v>129.30000000000001</v>
      </c>
      <c r="AC188">
        <v>133.30000000000001</v>
      </c>
      <c r="AD188">
        <v>138.69999999999999</v>
      </c>
      <c r="AE188" s="2">
        <f>DATE(B188, MATCH(C188,{"January","February","March","April","May","June","July","August","September","October","November","December"}, 0),1)</f>
        <v>43160</v>
      </c>
    </row>
    <row r="189" spans="1:31"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E189" s="2">
        <f>DATE(B189, MATCH(C189,{"January","February","March","April","May","June","July","August","September","October","November","December"}, 0),1)</f>
        <v>43160</v>
      </c>
    </row>
    <row r="190" spans="1:31"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s="2">
        <f>DATE(B190, MATCH(C190,{"January","February","March","April","May","June","July","August","September","October","November","December"}, 0),1)</f>
        <v>43160</v>
      </c>
    </row>
    <row r="191" spans="1:31"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s="87">
        <f>U192</f>
        <v>142.9</v>
      </c>
      <c r="V191">
        <v>143.80000000000001</v>
      </c>
      <c r="W191">
        <v>140.9</v>
      </c>
      <c r="X191">
        <v>137.6</v>
      </c>
      <c r="Y191">
        <v>125.3</v>
      </c>
      <c r="Z191">
        <v>136</v>
      </c>
      <c r="AA191">
        <v>143.69999999999999</v>
      </c>
      <c r="AB191">
        <v>130.4</v>
      </c>
      <c r="AC191">
        <v>134.19999999999999</v>
      </c>
      <c r="AD191">
        <v>139.1</v>
      </c>
      <c r="AE191" s="2">
        <f>DATE(B191, MATCH(C191,{"January","February","March","April","May","June","July","August","September","October","November","December"}, 0),1)</f>
        <v>43191</v>
      </c>
    </row>
    <row r="192" spans="1:31"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E192" s="2">
        <f>DATE(B192, MATCH(C192,{"January","February","March","April","May","June","July","August","September","October","November","December"}, 0),1)</f>
        <v>43191</v>
      </c>
    </row>
    <row r="193" spans="1:31"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s="2">
        <f>DATE(B193, MATCH(C193,{"January","February","March","April","May","June","July","August","September","October","November","December"}, 0),1)</f>
        <v>43191</v>
      </c>
    </row>
    <row r="194" spans="1:31"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s="87">
        <f>U195</f>
        <v>143.19999999999999</v>
      </c>
      <c r="V194">
        <v>144.30000000000001</v>
      </c>
      <c r="W194">
        <v>141.80000000000001</v>
      </c>
      <c r="X194">
        <v>138.4</v>
      </c>
      <c r="Y194">
        <v>126.4</v>
      </c>
      <c r="Z194">
        <v>136.80000000000001</v>
      </c>
      <c r="AA194">
        <v>144.4</v>
      </c>
      <c r="AB194">
        <v>131.19999999999999</v>
      </c>
      <c r="AC194">
        <v>135.1</v>
      </c>
      <c r="AD194">
        <v>139.80000000000001</v>
      </c>
      <c r="AE194" s="2">
        <f>DATE(B194, MATCH(C194,{"January","February","March","April","May","June","July","August","September","October","November","December"}, 0),1)</f>
        <v>43221</v>
      </c>
    </row>
    <row r="195" spans="1:31"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E195" s="2">
        <f>DATE(B195, MATCH(C195,{"January","February","March","April","May","June","July","August","September","October","November","December"}, 0),1)</f>
        <v>43221</v>
      </c>
    </row>
    <row r="196" spans="1:31"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s="2">
        <f>DATE(B196, MATCH(C196,{"January","February","March","April","May","June","July","August","September","October","November","December"}, 0),1)</f>
        <v>43221</v>
      </c>
    </row>
    <row r="197" spans="1:31"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s="87">
        <f>U198</f>
        <v>142.5</v>
      </c>
      <c r="V197">
        <v>145.1</v>
      </c>
      <c r="W197">
        <v>142.19999999999999</v>
      </c>
      <c r="X197">
        <v>138.4</v>
      </c>
      <c r="Y197">
        <v>127.4</v>
      </c>
      <c r="Z197">
        <v>137.80000000000001</v>
      </c>
      <c r="AA197">
        <v>145.1</v>
      </c>
      <c r="AB197">
        <v>131.4</v>
      </c>
      <c r="AC197">
        <v>135.6</v>
      </c>
      <c r="AD197">
        <v>140.5</v>
      </c>
      <c r="AE197" s="2">
        <f>DATE(B197, MATCH(C197,{"January","February","March","April","May","June","July","August","September","October","November","December"}, 0),1)</f>
        <v>43252</v>
      </c>
    </row>
    <row r="198" spans="1:31"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E198" s="2">
        <f>DATE(B198, MATCH(C198,{"January","February","March","April","May","June","July","August","September","October","November","December"}, 0),1)</f>
        <v>43252</v>
      </c>
    </row>
    <row r="199" spans="1:31"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s="2">
        <f>DATE(B199, MATCH(C199,{"January","February","March","April","May","June","July","August","September","October","November","December"}, 0),1)</f>
        <v>43252</v>
      </c>
    </row>
    <row r="200" spans="1:31"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s="87">
        <f>U201</f>
        <v>143.6</v>
      </c>
      <c r="V200">
        <v>146.80000000000001</v>
      </c>
      <c r="W200">
        <v>143.1</v>
      </c>
      <c r="X200">
        <v>139</v>
      </c>
      <c r="Y200">
        <v>127.5</v>
      </c>
      <c r="Z200">
        <v>138.4</v>
      </c>
      <c r="AA200">
        <v>145.80000000000001</v>
      </c>
      <c r="AB200">
        <v>131.4</v>
      </c>
      <c r="AC200">
        <v>136</v>
      </c>
      <c r="AD200">
        <v>141.80000000000001</v>
      </c>
      <c r="AE200" s="2">
        <f>DATE(B200, MATCH(C200,{"January","February","March","April","May","June","July","August","September","October","November","December"}, 0),1)</f>
        <v>43282</v>
      </c>
    </row>
    <row r="201" spans="1:31"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E201" s="2">
        <f>DATE(B201, MATCH(C201,{"January","February","March","April","May","June","July","August","September","October","November","December"}, 0),1)</f>
        <v>43282</v>
      </c>
    </row>
    <row r="202" spans="1:31"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s="2">
        <f>DATE(B202, MATCH(C202,{"January","February","March","April","May","June","July","August","September","October","November","December"}, 0),1)</f>
        <v>43282</v>
      </c>
    </row>
    <row r="203" spans="1:31"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s="87">
        <f>U204</f>
        <v>144.6</v>
      </c>
      <c r="V203">
        <v>147.69999999999999</v>
      </c>
      <c r="W203">
        <v>143.80000000000001</v>
      </c>
      <c r="X203">
        <v>139.4</v>
      </c>
      <c r="Y203">
        <v>128.30000000000001</v>
      </c>
      <c r="Z203">
        <v>138.6</v>
      </c>
      <c r="AA203">
        <v>146.9</v>
      </c>
      <c r="AB203">
        <v>131.30000000000001</v>
      </c>
      <c r="AC203">
        <v>136.6</v>
      </c>
      <c r="AD203">
        <v>142.5</v>
      </c>
      <c r="AE203" s="2">
        <f>DATE(B203, MATCH(C203,{"January","February","March","April","May","June","July","August","September","October","November","December"}, 0),1)</f>
        <v>43313</v>
      </c>
    </row>
    <row r="204" spans="1:31"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E204" s="2">
        <f>DATE(B204, MATCH(C204,{"January","February","March","April","May","June","July","August","September","October","November","December"}, 0),1)</f>
        <v>43313</v>
      </c>
    </row>
    <row r="205" spans="1:31"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s="2">
        <f>DATE(B205, MATCH(C205,{"January","February","March","April","May","June","July","August","September","October","November","December"}, 0),1)</f>
        <v>43313</v>
      </c>
    </row>
    <row r="206" spans="1:31"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s="87">
        <f>U207</f>
        <v>145.30000000000001</v>
      </c>
      <c r="V206">
        <v>149</v>
      </c>
      <c r="W206">
        <v>144</v>
      </c>
      <c r="X206">
        <v>140</v>
      </c>
      <c r="Y206">
        <v>129.9</v>
      </c>
      <c r="Z206">
        <v>140</v>
      </c>
      <c r="AA206">
        <v>147.6</v>
      </c>
      <c r="AB206">
        <v>132</v>
      </c>
      <c r="AC206">
        <v>137.4</v>
      </c>
      <c r="AD206">
        <v>142.1</v>
      </c>
      <c r="AE206" s="2">
        <f>DATE(B206, MATCH(C206,{"January","February","March","April","May","June","July","August","September","October","November","December"}, 0),1)</f>
        <v>43344</v>
      </c>
    </row>
    <row r="207" spans="1:31"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E207" s="2">
        <f>DATE(B207, MATCH(C207,{"January","February","March","April","May","June","July","August","September","October","November","December"}, 0),1)</f>
        <v>43344</v>
      </c>
    </row>
    <row r="208" spans="1:31"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s="2">
        <f>DATE(B208, MATCH(C208,{"January","February","March","April","May","June","July","August","September","October","November","December"}, 0),1)</f>
        <v>43344</v>
      </c>
    </row>
    <row r="209" spans="1:31"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s="87">
        <f>U210</f>
        <v>146.30000000000001</v>
      </c>
      <c r="V209">
        <v>149.69999999999999</v>
      </c>
      <c r="W209">
        <v>147.5</v>
      </c>
      <c r="X209">
        <v>144.80000000000001</v>
      </c>
      <c r="Y209">
        <v>130.80000000000001</v>
      </c>
      <c r="Z209">
        <v>140.1</v>
      </c>
      <c r="AA209">
        <v>148</v>
      </c>
      <c r="AB209">
        <v>134.4</v>
      </c>
      <c r="AC209">
        <v>139.80000000000001</v>
      </c>
      <c r="AD209">
        <v>142.19999999999999</v>
      </c>
      <c r="AE209" s="2">
        <f>DATE(B209, MATCH(C209,{"January","February","March","April","May","June","July","August","September","October","November","December"}, 0),1)</f>
        <v>43374</v>
      </c>
    </row>
    <row r="210" spans="1:31"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E210" s="2">
        <f>DATE(B210, MATCH(C210,{"January","February","March","April","May","June","July","August","September","October","November","December"}, 0),1)</f>
        <v>43374</v>
      </c>
    </row>
    <row r="211" spans="1:31"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s="2">
        <f>DATE(B211, MATCH(C211,{"January","February","March","April","May","June","July","August","September","October","November","December"}, 0),1)</f>
        <v>43374</v>
      </c>
    </row>
    <row r="212" spans="1:31"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s="87">
        <f>U213</f>
        <v>146.9</v>
      </c>
      <c r="V212">
        <v>150.30000000000001</v>
      </c>
      <c r="W212">
        <v>148</v>
      </c>
      <c r="X212">
        <v>145.4</v>
      </c>
      <c r="Y212">
        <v>130.30000000000001</v>
      </c>
      <c r="Z212">
        <v>143.1</v>
      </c>
      <c r="AA212">
        <v>150.19999999999999</v>
      </c>
      <c r="AB212">
        <v>133.1</v>
      </c>
      <c r="AC212">
        <v>140.1</v>
      </c>
      <c r="AD212">
        <v>142.4</v>
      </c>
      <c r="AE212" s="2">
        <f>DATE(B212, MATCH(C212,{"January","February","March","April","May","June","July","August","September","October","November","December"}, 0),1)</f>
        <v>43405</v>
      </c>
    </row>
    <row r="213" spans="1:31"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E213" s="2">
        <f>DATE(B213, MATCH(C213,{"January","February","March","April","May","June","July","August","September","October","November","December"}, 0),1)</f>
        <v>43405</v>
      </c>
    </row>
    <row r="214" spans="1:31"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s="2">
        <f>DATE(B214, MATCH(C214,{"January","February","March","April","May","June","July","August","September","October","November","December"}, 0),1)</f>
        <v>43405</v>
      </c>
    </row>
    <row r="215" spans="1:31"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s="87">
        <f>U216</f>
        <v>146.5</v>
      </c>
      <c r="V215">
        <v>149</v>
      </c>
      <c r="W215">
        <v>149.5</v>
      </c>
      <c r="X215">
        <v>149.6</v>
      </c>
      <c r="Y215">
        <v>128.9</v>
      </c>
      <c r="Z215">
        <v>143.30000000000001</v>
      </c>
      <c r="AA215">
        <v>155.1</v>
      </c>
      <c r="AB215">
        <v>133.19999999999999</v>
      </c>
      <c r="AC215">
        <v>141.6</v>
      </c>
      <c r="AD215">
        <v>141.9</v>
      </c>
      <c r="AE215" s="2">
        <f>DATE(B215, MATCH(C215,{"January","February","March","April","May","June","July","August","September","October","November","December"}, 0),1)</f>
        <v>43435</v>
      </c>
    </row>
    <row r="216" spans="1:31"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E216" s="2">
        <f>DATE(B216, MATCH(C216,{"January","February","March","April","May","June","July","August","September","October","November","December"}, 0),1)</f>
        <v>43435</v>
      </c>
    </row>
    <row r="217" spans="1:31"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s="2">
        <f>DATE(B217, MATCH(C217,{"January","February","March","April","May","June","July","August","September","October","November","December"}, 0),1)</f>
        <v>43435</v>
      </c>
    </row>
    <row r="218" spans="1:3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s="87">
        <f>U219</f>
        <v>147.69999999999999</v>
      </c>
      <c r="V218">
        <v>146.19999999999999</v>
      </c>
      <c r="W218">
        <v>150.1</v>
      </c>
      <c r="X218">
        <v>149.6</v>
      </c>
      <c r="Y218">
        <v>128.6</v>
      </c>
      <c r="Z218">
        <v>142.9</v>
      </c>
      <c r="AA218">
        <v>155.19999999999999</v>
      </c>
      <c r="AB218">
        <v>133.5</v>
      </c>
      <c r="AC218">
        <v>141.69999999999999</v>
      </c>
      <c r="AD218">
        <v>141</v>
      </c>
      <c r="AE218" s="2">
        <f>DATE(B218, MATCH(C218,{"January","February","March","April","May","June","July","August","September","October","November","December"}, 0),1)</f>
        <v>43466</v>
      </c>
    </row>
    <row r="219" spans="1:31"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E219" s="2">
        <f>DATE(B219, MATCH(C219,{"January","February","March","April","May","June","July","August","September","October","November","December"}, 0),1)</f>
        <v>43466</v>
      </c>
    </row>
    <row r="220" spans="1:31"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s="2">
        <f>DATE(B220, MATCH(C220,{"January","February","March","April","May","June","July","August","September","October","November","December"}, 0),1)</f>
        <v>43466</v>
      </c>
    </row>
    <row r="221" spans="1:31"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s="87">
        <f>U222</f>
        <v>148.5</v>
      </c>
      <c r="V221">
        <v>145.30000000000001</v>
      </c>
      <c r="W221">
        <v>150.1</v>
      </c>
      <c r="X221">
        <v>149.9</v>
      </c>
      <c r="Y221">
        <v>129.19999999999999</v>
      </c>
      <c r="Z221">
        <v>143.4</v>
      </c>
      <c r="AA221">
        <v>155.5</v>
      </c>
      <c r="AB221">
        <v>134.9</v>
      </c>
      <c r="AC221">
        <v>142.19999999999999</v>
      </c>
      <c r="AD221">
        <v>141</v>
      </c>
      <c r="AE221" s="2">
        <f>DATE(B221, MATCH(C221,{"January","February","March","April","May","June","July","August","September","October","November","December"}, 0),1)</f>
        <v>43497</v>
      </c>
    </row>
    <row r="222" spans="1:31"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E222" s="2">
        <f>DATE(B222, MATCH(C222,{"January","February","March","April","May","June","July","August","September","October","November","December"}, 0),1)</f>
        <v>43497</v>
      </c>
    </row>
    <row r="223" spans="1:31"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s="2">
        <f>DATE(B223, MATCH(C223,{"January","February","March","April","May","June","July","August","September","October","November","December"}, 0),1)</f>
        <v>43497</v>
      </c>
    </row>
    <row r="224" spans="1:31"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s="87">
        <f>U225</f>
        <v>149</v>
      </c>
      <c r="V224">
        <v>146.4</v>
      </c>
      <c r="W224">
        <v>150</v>
      </c>
      <c r="X224">
        <v>150.4</v>
      </c>
      <c r="Y224">
        <v>129.9</v>
      </c>
      <c r="Z224">
        <v>143.80000000000001</v>
      </c>
      <c r="AA224">
        <v>155.5</v>
      </c>
      <c r="AB224">
        <v>134</v>
      </c>
      <c r="AC224">
        <v>142.4</v>
      </c>
      <c r="AD224">
        <v>141.19999999999999</v>
      </c>
      <c r="AE224" s="2">
        <f>DATE(B224, MATCH(C224,{"January","February","March","April","May","June","July","August","September","October","November","December"}, 0),1)</f>
        <v>43525</v>
      </c>
    </row>
    <row r="225" spans="1:31"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E225" s="2">
        <f>DATE(B225, MATCH(C225,{"January","February","March","April","May","June","July","August","September","October","November","December"}, 0),1)</f>
        <v>43525</v>
      </c>
    </row>
    <row r="226" spans="1:31"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s="2">
        <f>DATE(B226, MATCH(C226,{"January","February","March","April","May","June","July","August","September","October","November","December"}, 0),1)</f>
        <v>43525</v>
      </c>
    </row>
    <row r="227" spans="1:31"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s="87">
        <f>U228</f>
        <v>150.1</v>
      </c>
      <c r="V227">
        <v>146.9</v>
      </c>
      <c r="W227">
        <v>149.5</v>
      </c>
      <c r="X227">
        <v>151.30000000000001</v>
      </c>
      <c r="Y227">
        <v>130.19999999999999</v>
      </c>
      <c r="Z227">
        <v>145.9</v>
      </c>
      <c r="AA227">
        <v>156.69999999999999</v>
      </c>
      <c r="AB227">
        <v>133.9</v>
      </c>
      <c r="AC227">
        <v>142.9</v>
      </c>
      <c r="AD227">
        <v>142.4</v>
      </c>
      <c r="AE227" s="2">
        <f>DATE(B227, MATCH(C227,{"January","February","March","April","May","June","July","August","September","October","November","December"}, 0),1)</f>
        <v>43586</v>
      </c>
    </row>
    <row r="228" spans="1:31"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c r="AE228" s="2">
        <f>DATE(B228, MATCH(C228,{"January","February","March","April","May","June","July","August","September","October","November","December"}, 0),1)</f>
        <v>43586</v>
      </c>
    </row>
    <row r="229" spans="1:31"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s="2">
        <f>DATE(B229, MATCH(C229,{"January","February","March","April","May","June","July","August","September","October","November","December"}, 0),1)</f>
        <v>43586</v>
      </c>
    </row>
    <row r="230" spans="1:31"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s="87">
        <f>U231</f>
        <v>149.4</v>
      </c>
      <c r="V230">
        <v>147.80000000000001</v>
      </c>
      <c r="W230">
        <v>149.6</v>
      </c>
      <c r="X230">
        <v>151.69999999999999</v>
      </c>
      <c r="Y230">
        <v>130.19999999999999</v>
      </c>
      <c r="Z230">
        <v>146.4</v>
      </c>
      <c r="AA230">
        <v>157.69999999999999</v>
      </c>
      <c r="AB230">
        <v>134.80000000000001</v>
      </c>
      <c r="AC230">
        <v>143.30000000000001</v>
      </c>
      <c r="AD230">
        <v>143.6</v>
      </c>
      <c r="AE230" s="2">
        <f>DATE(B230, MATCH(C230,{"January","February","March","April","May","June","July","August","September","October","November","December"}, 0),1)</f>
        <v>43617</v>
      </c>
    </row>
    <row r="231" spans="1:31"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c r="AE231" s="2">
        <f>DATE(B231, MATCH(C231,{"January","February","March","April","May","June","July","August","September","October","November","December"}, 0),1)</f>
        <v>43617</v>
      </c>
    </row>
    <row r="232" spans="1:31"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s="2">
        <f>DATE(B232, MATCH(C232,{"January","February","March","April","May","June","July","August","September","October","November","December"}, 0),1)</f>
        <v>43617</v>
      </c>
    </row>
    <row r="233" spans="1:31"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s="87">
        <f>U234</f>
        <v>150.6</v>
      </c>
      <c r="V233">
        <v>146.80000000000001</v>
      </c>
      <c r="W233">
        <v>150</v>
      </c>
      <c r="X233">
        <v>152.19999999999999</v>
      </c>
      <c r="Y233">
        <v>131.19999999999999</v>
      </c>
      <c r="Z233">
        <v>147.5</v>
      </c>
      <c r="AA233">
        <v>159.1</v>
      </c>
      <c r="AB233">
        <v>136.1</v>
      </c>
      <c r="AC233">
        <v>144.19999999999999</v>
      </c>
      <c r="AD233">
        <v>144.9</v>
      </c>
      <c r="AE233" s="2">
        <f>DATE(B233, MATCH(C233,{"January","February","March","April","May","June","July","August","September","October","November","December"}, 0),1)</f>
        <v>43647</v>
      </c>
    </row>
    <row r="234" spans="1:31"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c r="AE234" s="2">
        <f>DATE(B234, MATCH(C234,{"January","February","March","April","May","June","July","August","September","October","November","December"}, 0),1)</f>
        <v>43647</v>
      </c>
    </row>
    <row r="235" spans="1:31"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s="2">
        <f>DATE(B235, MATCH(C235,{"January","February","March","April","May","June","July","August","September","October","November","December"}, 0),1)</f>
        <v>43647</v>
      </c>
    </row>
    <row r="236" spans="1:31"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s="87">
        <f>U237</f>
        <v>151.6</v>
      </c>
      <c r="V236">
        <v>146.4</v>
      </c>
      <c r="W236">
        <v>150.19999999999999</v>
      </c>
      <c r="X236">
        <v>152.69999999999999</v>
      </c>
      <c r="Y236">
        <v>131.4</v>
      </c>
      <c r="Z236">
        <v>148</v>
      </c>
      <c r="AA236">
        <v>159.69999999999999</v>
      </c>
      <c r="AB236">
        <v>138.80000000000001</v>
      </c>
      <c r="AC236">
        <v>144.9</v>
      </c>
      <c r="AD236">
        <v>145.69999999999999</v>
      </c>
      <c r="AE236" s="2">
        <f>DATE(B236, MATCH(C236,{"January","February","March","April","May","June","July","August","September","October","November","December"}, 0),1)</f>
        <v>43678</v>
      </c>
    </row>
    <row r="237" spans="1:31"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c r="AE237" s="2">
        <f>DATE(B237, MATCH(C237,{"January","February","March","April","May","June","July","August","September","October","November","December"}, 0),1)</f>
        <v>43678</v>
      </c>
    </row>
    <row r="238" spans="1:31"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s="2">
        <f>DATE(B238, MATCH(C238,{"January","February","March","April","May","June","July","August","September","October","November","December"}, 0),1)</f>
        <v>43678</v>
      </c>
    </row>
    <row r="239" spans="1:31"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s="87">
        <f>U240</f>
        <v>152.19999999999999</v>
      </c>
      <c r="V239">
        <v>146.9</v>
      </c>
      <c r="W239">
        <v>150.30000000000001</v>
      </c>
      <c r="X239">
        <v>153.4</v>
      </c>
      <c r="Y239">
        <v>131.6</v>
      </c>
      <c r="Z239">
        <v>148.30000000000001</v>
      </c>
      <c r="AA239">
        <v>160.19999999999999</v>
      </c>
      <c r="AB239">
        <v>140.19999999999999</v>
      </c>
      <c r="AC239">
        <v>145.4</v>
      </c>
      <c r="AD239">
        <v>146.69999999999999</v>
      </c>
      <c r="AE239" s="2">
        <f>DATE(B239, MATCH(C239,{"January","February","March","April","May","June","July","August","September","October","November","December"}, 0),1)</f>
        <v>43709</v>
      </c>
    </row>
    <row r="240" spans="1:31"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c r="AE240" s="2">
        <f>DATE(B240, MATCH(C240,{"January","February","March","April","May","June","July","August","September","October","November","December"}, 0),1)</f>
        <v>43709</v>
      </c>
    </row>
    <row r="241" spans="1:31"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s="2">
        <f>DATE(B241, MATCH(C241,{"January","February","March","April","May","June","July","August","September","October","November","December"}, 0),1)</f>
        <v>43709</v>
      </c>
    </row>
    <row r="242" spans="1:31"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s="87">
        <f>U243</f>
        <v>153</v>
      </c>
      <c r="V242">
        <v>147.69999999999999</v>
      </c>
      <c r="W242">
        <v>150.6</v>
      </c>
      <c r="X242">
        <v>153.69999999999999</v>
      </c>
      <c r="Y242">
        <v>131.69999999999999</v>
      </c>
      <c r="Z242">
        <v>148.69999999999999</v>
      </c>
      <c r="AA242">
        <v>160.69999999999999</v>
      </c>
      <c r="AB242">
        <v>140.30000000000001</v>
      </c>
      <c r="AC242">
        <v>145.69999999999999</v>
      </c>
      <c r="AD242">
        <v>148.30000000000001</v>
      </c>
      <c r="AE242" s="2">
        <f>DATE(B242, MATCH(C242,{"January","February","March","April","May","June","July","August","September","October","November","December"}, 0),1)</f>
        <v>43739</v>
      </c>
    </row>
    <row r="243" spans="1:31"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c r="AE243" s="2">
        <f>DATE(B243, MATCH(C243,{"January","February","March","April","May","June","July","August","September","October","November","December"}, 0),1)</f>
        <v>43739</v>
      </c>
    </row>
    <row r="244" spans="1:31"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s="2">
        <f>DATE(B244, MATCH(C244,{"January","February","March","April","May","June","July","August","September","October","November","December"}, 0),1)</f>
        <v>43739</v>
      </c>
    </row>
    <row r="245" spans="1:31"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s="87">
        <f>U246</f>
        <v>153.5</v>
      </c>
      <c r="V245">
        <v>148.4</v>
      </c>
      <c r="W245">
        <v>150.9</v>
      </c>
      <c r="X245">
        <v>154.30000000000001</v>
      </c>
      <c r="Y245">
        <v>132.1</v>
      </c>
      <c r="Z245">
        <v>149.1</v>
      </c>
      <c r="AA245">
        <v>160.80000000000001</v>
      </c>
      <c r="AB245">
        <v>140.6</v>
      </c>
      <c r="AC245">
        <v>146.1</v>
      </c>
      <c r="AD245">
        <v>149.9</v>
      </c>
      <c r="AE245" s="2">
        <f>DATE(B245, MATCH(C245,{"January","February","March","April","May","June","July","August","September","October","November","December"}, 0),1)</f>
        <v>43770</v>
      </c>
    </row>
    <row r="246" spans="1:31"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c r="AE246" s="2">
        <f>DATE(B246, MATCH(C246,{"January","February","March","April","May","June","July","August","September","October","November","December"}, 0),1)</f>
        <v>43770</v>
      </c>
    </row>
    <row r="247" spans="1:31"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s="2">
        <f>DATE(B247, MATCH(C247,{"January","February","March","April","May","June","July","August","September","October","November","December"}, 0),1)</f>
        <v>43770</v>
      </c>
    </row>
    <row r="248" spans="1:31"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s="87">
        <f>U249</f>
        <v>152.80000000000001</v>
      </c>
      <c r="V248">
        <v>149.9</v>
      </c>
      <c r="W248">
        <v>151.19999999999999</v>
      </c>
      <c r="X248">
        <v>154.80000000000001</v>
      </c>
      <c r="Y248">
        <v>135</v>
      </c>
      <c r="Z248">
        <v>149.5</v>
      </c>
      <c r="AA248">
        <v>161.1</v>
      </c>
      <c r="AB248">
        <v>140.6</v>
      </c>
      <c r="AC248">
        <v>147.1</v>
      </c>
      <c r="AD248">
        <v>152.30000000000001</v>
      </c>
      <c r="AE248" s="2">
        <f>DATE(B248, MATCH(C248,{"January","February","March","April","May","June","July","August","September","October","November","December"}, 0),1)</f>
        <v>43800</v>
      </c>
    </row>
    <row r="249" spans="1:31"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c r="AE249" s="2">
        <f>DATE(B249, MATCH(C249,{"January","February","March","April","May","June","July","August","September","October","November","December"}, 0),1)</f>
        <v>43800</v>
      </c>
    </row>
    <row r="250" spans="1:31"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s="2">
        <f>DATE(B250, MATCH(C250,{"January","February","March","April","May","June","July","August","September","October","November","December"}, 0),1)</f>
        <v>43800</v>
      </c>
    </row>
    <row r="251" spans="1:3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s="87">
        <f>U252</f>
        <v>153.9</v>
      </c>
      <c r="V251">
        <v>150.4</v>
      </c>
      <c r="W251">
        <v>151.69999999999999</v>
      </c>
      <c r="X251">
        <v>155.69999999999999</v>
      </c>
      <c r="Y251">
        <v>136.30000000000001</v>
      </c>
      <c r="Z251">
        <v>150.1</v>
      </c>
      <c r="AA251">
        <v>161.69999999999999</v>
      </c>
      <c r="AB251">
        <v>142.5</v>
      </c>
      <c r="AC251">
        <v>148.1</v>
      </c>
      <c r="AD251">
        <v>151.9</v>
      </c>
      <c r="AE251" s="2">
        <f>DATE(B251, MATCH(C251,{"January","February","March","April","May","June","July","August","September","October","November","December"}, 0),1)</f>
        <v>43831</v>
      </c>
    </row>
    <row r="252" spans="1:31"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c r="AE252" s="2">
        <f>DATE(B252, MATCH(C252,{"January","February","March","April","May","June","July","August","September","October","November","December"}, 0),1)</f>
        <v>43831</v>
      </c>
    </row>
    <row r="253" spans="1:31"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s="2">
        <f>DATE(B253, MATCH(C253,{"January","February","March","April","May","June","July","August","September","October","November","December"}, 0),1)</f>
        <v>43831</v>
      </c>
    </row>
    <row r="254" spans="1:31"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s="87">
        <f>U255</f>
        <v>154.80000000000001</v>
      </c>
      <c r="V254">
        <v>152.30000000000001</v>
      </c>
      <c r="W254">
        <v>151.80000000000001</v>
      </c>
      <c r="X254">
        <v>156.19999999999999</v>
      </c>
      <c r="Y254">
        <v>136</v>
      </c>
      <c r="Z254">
        <v>150.4</v>
      </c>
      <c r="AA254">
        <v>161.9</v>
      </c>
      <c r="AB254">
        <v>143.4</v>
      </c>
      <c r="AC254">
        <v>148.4</v>
      </c>
      <c r="AD254">
        <v>150.4</v>
      </c>
      <c r="AE254" s="2">
        <f>DATE(B254, MATCH(C254,{"January","February","March","April","May","June","July","August","September","October","November","December"}, 0),1)</f>
        <v>43862</v>
      </c>
    </row>
    <row r="255" spans="1:31"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c r="AE255" s="2">
        <f>DATE(B255, MATCH(C255,{"January","February","March","April","May","June","July","August","September","October","November","December"}, 0),1)</f>
        <v>43862</v>
      </c>
    </row>
    <row r="256" spans="1:31"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s="2">
        <f>DATE(B256, MATCH(C256,{"January","February","March","April","May","June","July","August","September","October","November","December"}, 0),1)</f>
        <v>43862</v>
      </c>
    </row>
    <row r="257" spans="1:31"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s="87">
        <f>U258</f>
        <v>154.5</v>
      </c>
      <c r="V257">
        <v>153.4</v>
      </c>
      <c r="W257">
        <v>151.5</v>
      </c>
      <c r="X257">
        <v>156.69999999999999</v>
      </c>
      <c r="Y257">
        <v>135.80000000000001</v>
      </c>
      <c r="Z257">
        <v>151.19999999999999</v>
      </c>
      <c r="AA257">
        <v>161.19999999999999</v>
      </c>
      <c r="AB257">
        <v>145.1</v>
      </c>
      <c r="AC257">
        <v>148.6</v>
      </c>
      <c r="AD257">
        <v>149.80000000000001</v>
      </c>
      <c r="AE257" s="2">
        <f>DATE(B257, MATCH(C257,{"January","February","March","April","May","June","July","August","September","October","November","December"}, 0),1)</f>
        <v>43891</v>
      </c>
    </row>
    <row r="258" spans="1:31"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c r="AE258" s="2">
        <f>DATE(B258, MATCH(C258,{"January","February","March","April","May","June","July","August","September","October","November","December"}, 0),1)</f>
        <v>43891</v>
      </c>
    </row>
    <row r="259" spans="1:31"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s="2">
        <f>DATE(B259, MATCH(C259,{"January","February","March","April","May","June","July","August","September","October","November","December"}, 0),1)</f>
        <v>43891</v>
      </c>
    </row>
    <row r="260" spans="1:31" x14ac:dyDescent="0.3">
      <c r="A260" t="s">
        <v>30</v>
      </c>
      <c r="B260">
        <v>2020</v>
      </c>
      <c r="C260" t="s">
        <v>37</v>
      </c>
      <c r="D260">
        <v>147.19999999999999</v>
      </c>
      <c r="F260">
        <v>146.9</v>
      </c>
      <c r="G260">
        <v>155.6</v>
      </c>
      <c r="H260">
        <v>137.1</v>
      </c>
      <c r="I260">
        <v>147.30000000000001</v>
      </c>
      <c r="J260">
        <v>162.69999999999999</v>
      </c>
      <c r="K260">
        <v>150.19999999999999</v>
      </c>
      <c r="L260">
        <v>119.8</v>
      </c>
      <c r="M260">
        <v>158.69999999999999</v>
      </c>
      <c r="N260">
        <v>139.19999999999999</v>
      </c>
      <c r="P260">
        <v>150.1</v>
      </c>
      <c r="T260">
        <f t="shared" ref="T260:T262" si="0">T261</f>
        <v>0</v>
      </c>
      <c r="U260" s="87">
        <f>U261</f>
        <v>155.6</v>
      </c>
      <c r="V260">
        <v>148.4</v>
      </c>
      <c r="X260">
        <v>154.30000000000001</v>
      </c>
      <c r="Y260" s="9">
        <f>AVERAGE(Y257,Y254,Y251)</f>
        <v>136.03333333333333</v>
      </c>
      <c r="AE260" s="2">
        <f>DATE(B260, MATCH(C260,{"January","February","March","April","May","June","July","August","September","October","November","December"}, 0),1)</f>
        <v>43922</v>
      </c>
    </row>
    <row r="261" spans="1:31" x14ac:dyDescent="0.3">
      <c r="A261" t="s">
        <v>33</v>
      </c>
      <c r="B261">
        <v>2020</v>
      </c>
      <c r="C261" t="s">
        <v>37</v>
      </c>
      <c r="D261">
        <v>151.80000000000001</v>
      </c>
      <c r="E261">
        <v>167.6</v>
      </c>
      <c r="F261">
        <v>151.9</v>
      </c>
      <c r="G261">
        <v>155.5</v>
      </c>
      <c r="H261">
        <v>131.6</v>
      </c>
      <c r="I261">
        <v>152.9</v>
      </c>
      <c r="J261">
        <v>180</v>
      </c>
      <c r="K261">
        <v>150.80000000000001</v>
      </c>
      <c r="L261">
        <v>121.2</v>
      </c>
      <c r="M261">
        <v>154</v>
      </c>
      <c r="N261">
        <v>133.5</v>
      </c>
      <c r="P261">
        <v>153.5</v>
      </c>
      <c r="T261">
        <f t="shared" si="0"/>
        <v>0</v>
      </c>
      <c r="U261">
        <v>155.6</v>
      </c>
      <c r="V261">
        <v>137.1</v>
      </c>
      <c r="X261">
        <v>144.80000000000001</v>
      </c>
      <c r="Y261" s="9">
        <f>AVERAGE(Y258,Y255,Y252)</f>
        <v>125.3</v>
      </c>
      <c r="AE261" s="2">
        <f>DATE(B261, MATCH(C261,{"January","February","March","April","May","June","July","August","September","October","November","December"}, 0),1)</f>
        <v>43922</v>
      </c>
    </row>
    <row r="262" spans="1:31" x14ac:dyDescent="0.3">
      <c r="A262" t="s">
        <v>34</v>
      </c>
      <c r="B262">
        <v>2020</v>
      </c>
      <c r="C262" t="s">
        <v>37</v>
      </c>
      <c r="D262">
        <v>148.69999999999999</v>
      </c>
      <c r="F262">
        <v>148.80000000000001</v>
      </c>
      <c r="G262">
        <v>155.6</v>
      </c>
      <c r="H262">
        <v>135.1</v>
      </c>
      <c r="I262">
        <v>149.9</v>
      </c>
      <c r="J262">
        <v>168.6</v>
      </c>
      <c r="K262">
        <v>150.4</v>
      </c>
      <c r="L262">
        <v>120.3</v>
      </c>
      <c r="M262">
        <v>157.1</v>
      </c>
      <c r="N262">
        <v>136.80000000000001</v>
      </c>
      <c r="P262">
        <v>151.4</v>
      </c>
      <c r="T262">
        <f t="shared" si="0"/>
        <v>0</v>
      </c>
      <c r="U262">
        <v>155.6</v>
      </c>
      <c r="V262">
        <v>144.1</v>
      </c>
      <c r="X262">
        <v>150.69999999999999</v>
      </c>
      <c r="Y262" s="9">
        <f>AVERAGE(Y259,Y256,Y253)</f>
        <v>130.36666666666667</v>
      </c>
      <c r="AE262" s="2">
        <f>DATE(B262, MATCH(C262,{"January","February","March","April","May","June","July","August","September","October","November","December"}, 0),1)</f>
        <v>43922</v>
      </c>
    </row>
    <row r="263" spans="1:31" s="87" customFormat="1" x14ac:dyDescent="0.3">
      <c r="A263" s="87" t="s">
        <v>30</v>
      </c>
      <c r="B263" s="87">
        <v>2020</v>
      </c>
      <c r="C263" s="87" t="s">
        <v>38</v>
      </c>
      <c r="P263" s="88">
        <f>AVERAGE(P260,P257,P254,P266,P269,P272)</f>
        <v>151.33333333333334</v>
      </c>
      <c r="U263">
        <v>155.6</v>
      </c>
      <c r="V263" s="88">
        <f>AVERAGE(V260,V257,V254,V266,V269,V272)</f>
        <v>148.28333333333333</v>
      </c>
      <c r="X263" s="88">
        <f>AVERAGE(X260,X257,X254,X266,X269,X272)</f>
        <v>157.06666666666663</v>
      </c>
      <c r="Y263" s="88">
        <f>AVERAGE(Y266,Y269,Y272)</f>
        <v>142.13333333333333</v>
      </c>
      <c r="AE263" s="89">
        <f>DATE(B263, MATCH(C263,{"January","February","March","April","May","June","July","August","September","October","November","December"}, 0),1)</f>
        <v>43952</v>
      </c>
    </row>
    <row r="264" spans="1:31" s="87" customFormat="1" x14ac:dyDescent="0.3">
      <c r="A264" s="87" t="s">
        <v>33</v>
      </c>
      <c r="B264" s="87">
        <v>2020</v>
      </c>
      <c r="C264" s="87" t="s">
        <v>38</v>
      </c>
      <c r="D264" s="87">
        <v>152.30000000000001</v>
      </c>
      <c r="E264" s="87">
        <v>182.3</v>
      </c>
      <c r="P264" s="88">
        <f>AVERAGE(P261,P258,P255,P267,P270,P273)</f>
        <v>154.86666666666665</v>
      </c>
      <c r="U264">
        <v>155.6</v>
      </c>
      <c r="V264" s="88">
        <f>AVERAGE(V261,V258,V255,V267,V270,V273)</f>
        <v>138.31666666666669</v>
      </c>
      <c r="X264" s="88">
        <f>AVERAGE(X261,X258,X255,X267,X270,X273)</f>
        <v>146.51666666666668</v>
      </c>
      <c r="Y264" s="88">
        <f>AVERAGE(Y267,Y270,Y273)</f>
        <v>130.83333333333334</v>
      </c>
      <c r="AE264" s="89">
        <f>DATE(B264, MATCH(C264,{"January","February","March","April","May","June","July","August","September","October","November","December"}, 0),1)</f>
        <v>43952</v>
      </c>
    </row>
    <row r="265" spans="1:31" s="87" customFormat="1" x14ac:dyDescent="0.3">
      <c r="A265" s="87" t="s">
        <v>34</v>
      </c>
      <c r="B265" s="87">
        <v>2020</v>
      </c>
      <c r="C265" s="87" t="s">
        <v>38</v>
      </c>
      <c r="P265" s="88">
        <f>AVERAGE(P262,P259,P256,P268,P271,P274)</f>
        <v>152.63333333333333</v>
      </c>
      <c r="U265">
        <v>155.6</v>
      </c>
      <c r="V265" s="88">
        <f>AVERAGE(V262,V259,V256,V268,V271,V274)</f>
        <v>144.5</v>
      </c>
      <c r="X265" s="88">
        <f>AVERAGE(X262,X259,X256,X268,X271,X274)</f>
        <v>153.08333333333334</v>
      </c>
      <c r="Y265" s="88">
        <f>AVERAGE(Y268,Y271,Y274)</f>
        <v>136.16666666666666</v>
      </c>
      <c r="AE265" s="89">
        <f>DATE(B265, MATCH(C265,{"January","February","March","April","May","June","July","August","September","October","November","December"}, 0),1)</f>
        <v>43952</v>
      </c>
    </row>
    <row r="266" spans="1:31"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s="87">
        <f>U267</f>
        <v>154.69999999999999</v>
      </c>
      <c r="V266">
        <v>144.9</v>
      </c>
      <c r="W266">
        <v>151.69999999999999</v>
      </c>
      <c r="X266">
        <v>158.19999999999999</v>
      </c>
      <c r="Y266">
        <v>141.4</v>
      </c>
      <c r="Z266">
        <v>153.19999999999999</v>
      </c>
      <c r="AA266">
        <v>161.80000000000001</v>
      </c>
      <c r="AB266">
        <v>151.19999999999999</v>
      </c>
      <c r="AC266">
        <v>151.69999999999999</v>
      </c>
      <c r="AD266">
        <v>152.69999999999999</v>
      </c>
      <c r="AE266" s="2">
        <f>DATE(B266, MATCH(C266,{"January","February","March","April","May","June","July","August","September","October","November","December"}, 0),1)</f>
        <v>43983</v>
      </c>
    </row>
    <row r="267" spans="1:31"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c r="AE267" s="2">
        <f>DATE(B267, MATCH(C267,{"January","February","March","April","May","June","July","August","September","October","November","December"}, 0),1)</f>
        <v>43983</v>
      </c>
    </row>
    <row r="268" spans="1:31"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s="2">
        <f>DATE(B268, MATCH(C268,{"January","February","March","April","May","June","July","August","September","October","November","December"}, 0),1)</f>
        <v>43983</v>
      </c>
    </row>
    <row r="269" spans="1:31"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s="87">
        <f>U270</f>
        <v>154.69999999999999</v>
      </c>
      <c r="V269">
        <v>144.9</v>
      </c>
      <c r="W269">
        <v>151.69999999999999</v>
      </c>
      <c r="X269">
        <v>158.19999999999999</v>
      </c>
      <c r="Y269">
        <v>141.4</v>
      </c>
      <c r="Z269">
        <v>153.19999999999999</v>
      </c>
      <c r="AA269">
        <v>161.80000000000001</v>
      </c>
      <c r="AB269">
        <v>151.19999999999999</v>
      </c>
      <c r="AC269">
        <v>151.69999999999999</v>
      </c>
      <c r="AD269">
        <v>152.69999999999999</v>
      </c>
      <c r="AE269" s="2">
        <f>DATE(B269, MATCH(C269,{"January","February","March","April","May","June","July","August","September","October","November","December"}, 0),1)</f>
        <v>44013</v>
      </c>
    </row>
    <row r="270" spans="1:31"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c r="AE270" s="2">
        <f>DATE(B270, MATCH(C270,{"January","February","March","April","May","June","July","August","September","October","November","December"}, 0),1)</f>
        <v>44013</v>
      </c>
    </row>
    <row r="271" spans="1:31"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s="2">
        <f>DATE(B271, MATCH(C271,{"January","February","March","April","May","June","July","August","September","October","November","December"}, 0),1)</f>
        <v>44013</v>
      </c>
    </row>
    <row r="272" spans="1:31"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s="87">
        <f>U273</f>
        <v>155.5</v>
      </c>
      <c r="V272">
        <v>145.80000000000001</v>
      </c>
      <c r="W272">
        <v>151.9</v>
      </c>
      <c r="X272">
        <v>158.80000000000001</v>
      </c>
      <c r="Y272">
        <v>143.6</v>
      </c>
      <c r="Z272">
        <v>152.19999999999999</v>
      </c>
      <c r="AA272">
        <v>162.69999999999999</v>
      </c>
      <c r="AB272">
        <v>153.6</v>
      </c>
      <c r="AC272">
        <v>153</v>
      </c>
      <c r="AD272">
        <v>154.69999999999999</v>
      </c>
      <c r="AE272" s="2">
        <f>DATE(B272, MATCH(C272,{"January","February","March","April","May","June","July","August","September","October","November","December"}, 0),1)</f>
        <v>44044</v>
      </c>
    </row>
    <row r="273" spans="1:31"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c r="AE273" s="2">
        <f>DATE(B273, MATCH(C273,{"January","February","March","April","May","June","July","August","September","October","November","December"}, 0),1)</f>
        <v>44044</v>
      </c>
    </row>
    <row r="274" spans="1:31"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s="2">
        <f>DATE(B274, MATCH(C274,{"January","February","March","April","May","June","July","August","September","October","November","December"}, 0),1)</f>
        <v>44044</v>
      </c>
    </row>
    <row r="275" spans="1:31"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s="87">
        <f>U276</f>
        <v>156.30000000000001</v>
      </c>
      <c r="V275">
        <v>146.4</v>
      </c>
      <c r="W275">
        <v>151.6</v>
      </c>
      <c r="X275">
        <v>159.1</v>
      </c>
      <c r="Y275">
        <v>144.6</v>
      </c>
      <c r="Z275">
        <v>152.80000000000001</v>
      </c>
      <c r="AA275">
        <v>161.1</v>
      </c>
      <c r="AB275">
        <v>157.4</v>
      </c>
      <c r="AC275">
        <v>153.69999999999999</v>
      </c>
      <c r="AD275">
        <v>155.4</v>
      </c>
      <c r="AE275" s="2">
        <f>DATE(B275, MATCH(C275,{"January","February","March","April","May","June","July","August","September","October","November","December"}, 0),1)</f>
        <v>44075</v>
      </c>
    </row>
    <row r="276" spans="1:31"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c r="AE276" s="2">
        <f>DATE(B276, MATCH(C276,{"January","February","March","April","May","June","July","August","September","October","November","December"}, 0),1)</f>
        <v>44075</v>
      </c>
    </row>
    <row r="277" spans="1:31"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s="2">
        <f>DATE(B277, MATCH(C277,{"January","February","March","April","May","June","July","August","September","October","November","December"}, 0),1)</f>
        <v>44075</v>
      </c>
    </row>
    <row r="278" spans="1:31"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s="87">
        <f>U279</f>
        <v>156.5</v>
      </c>
      <c r="V278">
        <v>146.80000000000001</v>
      </c>
      <c r="W278">
        <v>152</v>
      </c>
      <c r="X278">
        <v>159.5</v>
      </c>
      <c r="Y278">
        <v>146.4</v>
      </c>
      <c r="Z278">
        <v>152.4</v>
      </c>
      <c r="AA278">
        <v>162.5</v>
      </c>
      <c r="AB278">
        <v>156.19999999999999</v>
      </c>
      <c r="AC278">
        <v>154.30000000000001</v>
      </c>
      <c r="AD278">
        <v>157.5</v>
      </c>
      <c r="AE278" s="2">
        <f>DATE(B278, MATCH(C278,{"January","February","March","April","May","June","July","August","September","October","November","December"}, 0),1)</f>
        <v>44105</v>
      </c>
    </row>
    <row r="279" spans="1:31"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c r="AE279" s="2">
        <f>DATE(B279, MATCH(C279,{"January","February","March","April","May","June","July","August","September","October","November","December"}, 0),1)</f>
        <v>44105</v>
      </c>
    </row>
    <row r="280" spans="1:31"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s="2">
        <f>DATE(B280, MATCH(C280,{"January","February","March","April","May","June","July","August","September","October","November","December"}, 0),1)</f>
        <v>44105</v>
      </c>
    </row>
    <row r="281" spans="1:31"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s="87">
        <f>U282</f>
        <v>158</v>
      </c>
      <c r="V281">
        <v>147.5</v>
      </c>
      <c r="W281">
        <v>152.80000000000001</v>
      </c>
      <c r="X281">
        <v>160.4</v>
      </c>
      <c r="Y281">
        <v>146.1</v>
      </c>
      <c r="Z281">
        <v>153.6</v>
      </c>
      <c r="AA281">
        <v>161.6</v>
      </c>
      <c r="AB281">
        <v>156.19999999999999</v>
      </c>
      <c r="AC281">
        <v>154.5</v>
      </c>
      <c r="AD281">
        <v>159.80000000000001</v>
      </c>
      <c r="AE281" s="2">
        <f>DATE(B281, MATCH(C281,{"January","February","March","April","May","June","July","August","September","October","November","December"}, 0),1)</f>
        <v>44136</v>
      </c>
    </row>
    <row r="282" spans="1:31"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c r="AE282" s="2">
        <f>DATE(B282, MATCH(C282,{"January","February","March","April","May","June","July","August","September","October","November","December"}, 0),1)</f>
        <v>44136</v>
      </c>
    </row>
    <row r="283" spans="1:31"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s="2">
        <f>DATE(B283, MATCH(C283,{"January","February","March","April","May","June","July","August","September","October","November","December"}, 0),1)</f>
        <v>44136</v>
      </c>
    </row>
    <row r="284" spans="1:31"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s="87">
        <f>U285</f>
        <v>158.4</v>
      </c>
      <c r="V284">
        <v>148.69999999999999</v>
      </c>
      <c r="W284">
        <v>153.4</v>
      </c>
      <c r="X284">
        <v>161.6</v>
      </c>
      <c r="Y284">
        <v>146.4</v>
      </c>
      <c r="Z284">
        <v>153.9</v>
      </c>
      <c r="AA284">
        <v>162.9</v>
      </c>
      <c r="AB284">
        <v>156.6</v>
      </c>
      <c r="AC284">
        <v>155.19999999999999</v>
      </c>
      <c r="AD284">
        <v>160.69999999999999</v>
      </c>
      <c r="AE284" s="2">
        <f>DATE(B284, MATCH(C284,{"January","February","March","April","May","June","July","August","September","October","November","December"}, 0),1)</f>
        <v>44166</v>
      </c>
    </row>
    <row r="285" spans="1:31"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c r="AE285" s="2">
        <f>DATE(B285, MATCH(C285,{"January","February","March","April","May","June","July","August","September","October","November","December"}, 0),1)</f>
        <v>44166</v>
      </c>
    </row>
    <row r="286" spans="1:31"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s="2">
        <f>DATE(B286, MATCH(C286,{"January","February","March","April","May","June","July","August","September","October","November","December"}, 0),1)</f>
        <v>44166</v>
      </c>
    </row>
    <row r="287" spans="1:31"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s="87">
        <f>U288</f>
        <v>157.69999999999999</v>
      </c>
      <c r="V287">
        <v>150.9</v>
      </c>
      <c r="W287">
        <v>153.9</v>
      </c>
      <c r="X287">
        <v>162.5</v>
      </c>
      <c r="Y287">
        <v>147.5</v>
      </c>
      <c r="Z287">
        <v>155.1</v>
      </c>
      <c r="AA287">
        <v>163.5</v>
      </c>
      <c r="AB287">
        <v>156.19999999999999</v>
      </c>
      <c r="AC287">
        <v>155.9</v>
      </c>
      <c r="AD287">
        <v>158.5</v>
      </c>
      <c r="AE287" s="2">
        <f>DATE(B287, MATCH(C287,{"January","February","March","April","May","June","July","August","September","October","November","December"}, 0),1)</f>
        <v>44197</v>
      </c>
    </row>
    <row r="288" spans="1:31"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c r="AE288" s="2">
        <f>DATE(B288, MATCH(C288,{"January","February","March","April","May","June","July","August","September","October","November","December"}, 0),1)</f>
        <v>44197</v>
      </c>
    </row>
    <row r="289" spans="1:31"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s="2">
        <f>DATE(B289, MATCH(C289,{"January","February","March","April","May","June","July","August","September","October","November","December"}, 0),1)</f>
        <v>44197</v>
      </c>
    </row>
    <row r="290" spans="1:31"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s="87">
        <f>U291</f>
        <v>159.80000000000001</v>
      </c>
      <c r="V290">
        <v>154.4</v>
      </c>
      <c r="W290">
        <v>154.80000000000001</v>
      </c>
      <c r="X290">
        <v>164.3</v>
      </c>
      <c r="Y290">
        <v>150.19999999999999</v>
      </c>
      <c r="Z290">
        <v>157</v>
      </c>
      <c r="AA290">
        <v>163.6</v>
      </c>
      <c r="AB290">
        <v>155.19999999999999</v>
      </c>
      <c r="AC290">
        <v>157.19999999999999</v>
      </c>
      <c r="AD290">
        <v>156.69999999999999</v>
      </c>
      <c r="AE290" s="2">
        <f>DATE(B290, MATCH(C290,{"January","February","March","April","May","June","July","August","September","October","November","December"}, 0),1)</f>
        <v>44228</v>
      </c>
    </row>
    <row r="291" spans="1:31"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c r="AE291" s="2">
        <f>DATE(B291, MATCH(C291,{"January","February","March","April","May","June","July","August","September","October","November","December"}, 0),1)</f>
        <v>44228</v>
      </c>
    </row>
    <row r="292" spans="1:31"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s="2">
        <f>DATE(B292, MATCH(C292,{"January","February","March","April","May","June","July","August","September","October","November","December"}, 0),1)</f>
        <v>44228</v>
      </c>
    </row>
    <row r="293" spans="1:31"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s="87">
        <f>U294</f>
        <v>159.9</v>
      </c>
      <c r="V293">
        <v>156</v>
      </c>
      <c r="W293">
        <v>154.80000000000001</v>
      </c>
      <c r="X293">
        <v>164.6</v>
      </c>
      <c r="Y293">
        <v>151.30000000000001</v>
      </c>
      <c r="Z293">
        <v>157.80000000000001</v>
      </c>
      <c r="AA293">
        <v>163.80000000000001</v>
      </c>
      <c r="AB293">
        <v>153.1</v>
      </c>
      <c r="AC293">
        <v>157.30000000000001</v>
      </c>
      <c r="AD293">
        <v>156.69999999999999</v>
      </c>
      <c r="AE293" s="2">
        <f>DATE(B293, MATCH(C293,{"January","February","March","April","May","June","July","August","September","October","November","December"}, 0),1)</f>
        <v>44256</v>
      </c>
    </row>
    <row r="294" spans="1:31"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c r="AE294" s="2">
        <f>DATE(B294, MATCH(C294,{"January","February","March","April","May","June","July","August","September","October","November","December"}, 0),1)</f>
        <v>44256</v>
      </c>
    </row>
    <row r="295" spans="1:31"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s="2">
        <f>DATE(B295, MATCH(C295,{"January","February","March","April","May","June","July","August","September","October","November","December"}, 0),1)</f>
        <v>44256</v>
      </c>
    </row>
    <row r="296" spans="1:31"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s="87">
        <f>U297</f>
        <v>161.4</v>
      </c>
      <c r="V296">
        <v>156</v>
      </c>
      <c r="W296">
        <v>155.5</v>
      </c>
      <c r="X296">
        <v>165.3</v>
      </c>
      <c r="Y296">
        <v>151.69999999999999</v>
      </c>
      <c r="Z296">
        <v>158.6</v>
      </c>
      <c r="AA296">
        <v>164.1</v>
      </c>
      <c r="AB296">
        <v>154.6</v>
      </c>
      <c r="AC296">
        <v>158</v>
      </c>
      <c r="AD296">
        <v>157.6</v>
      </c>
      <c r="AE296" s="2">
        <f>DATE(B296, MATCH(C296,{"January","February","March","April","May","June","July","August","September","October","November","December"}, 0),1)</f>
        <v>44287</v>
      </c>
    </row>
    <row r="297" spans="1:31"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c r="AE297" s="2">
        <f>DATE(B297, MATCH(C297,{"January","February","March","April","May","June","July","August","September","October","November","December"}, 0),1)</f>
        <v>44287</v>
      </c>
    </row>
    <row r="298" spans="1:31"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s="2">
        <f>DATE(B298, MATCH(C298,{"January","February","March","April","May","June","July","August","September","October","November","December"}, 0),1)</f>
        <v>44287</v>
      </c>
    </row>
    <row r="299" spans="1:31"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s="87">
        <f>U300</f>
        <v>161.6</v>
      </c>
      <c r="V299">
        <v>161.69999999999999</v>
      </c>
      <c r="W299">
        <v>158.80000000000001</v>
      </c>
      <c r="X299">
        <v>169.1</v>
      </c>
      <c r="Y299">
        <v>153.19999999999999</v>
      </c>
      <c r="Z299">
        <v>160</v>
      </c>
      <c r="AA299">
        <v>167.6</v>
      </c>
      <c r="AB299">
        <v>159.30000000000001</v>
      </c>
      <c r="AC299">
        <v>161.1</v>
      </c>
      <c r="AD299">
        <v>161.1</v>
      </c>
      <c r="AE299" s="2">
        <f>DATE(B299, MATCH(C299,{"January","February","March","April","May","June","July","August","September","October","November","December"}, 0),1)</f>
        <v>44317</v>
      </c>
    </row>
    <row r="300" spans="1:31"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c r="AE300" s="2">
        <f>DATE(B300, MATCH(C300,{"January","February","March","April","May","June","July","August","September","October","November","December"}, 0),1)</f>
        <v>44317</v>
      </c>
    </row>
    <row r="301" spans="1:31"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s="2">
        <f>DATE(B301, MATCH(C301,{"January","February","March","April","May","June","July","August","September","October","November","December"}, 0),1)</f>
        <v>44317</v>
      </c>
    </row>
    <row r="302" spans="1:31"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s="87">
        <f>U303</f>
        <v>160.5</v>
      </c>
      <c r="V302">
        <v>162.1</v>
      </c>
      <c r="W302">
        <v>159.19999999999999</v>
      </c>
      <c r="X302">
        <v>169.7</v>
      </c>
      <c r="Y302">
        <v>154.19999999999999</v>
      </c>
      <c r="Z302">
        <v>160.4</v>
      </c>
      <c r="AA302">
        <v>166.8</v>
      </c>
      <c r="AB302">
        <v>159.4</v>
      </c>
      <c r="AC302">
        <v>161.5</v>
      </c>
      <c r="AD302">
        <v>162.1</v>
      </c>
      <c r="AE302" s="2">
        <f>DATE(B302, MATCH(C302,{"January","February","March","April","May","June","July","August","September","October","November","December"}, 0),1)</f>
        <v>44348</v>
      </c>
    </row>
    <row r="303" spans="1:31"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c r="AE303" s="2">
        <f>DATE(B303, MATCH(C303,{"January","February","March","April","May","June","July","August","September","October","November","December"}, 0),1)</f>
        <v>44348</v>
      </c>
    </row>
    <row r="304" spans="1:31"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s="2">
        <f>DATE(B304, MATCH(C304,{"January","February","March","April","May","June","July","August","September","October","November","December"}, 0),1)</f>
        <v>44348</v>
      </c>
    </row>
    <row r="305" spans="1:31"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s="87">
        <f>U306</f>
        <v>161.5</v>
      </c>
      <c r="V305">
        <v>162.5</v>
      </c>
      <c r="W305">
        <v>160.30000000000001</v>
      </c>
      <c r="X305">
        <v>170.4</v>
      </c>
      <c r="Y305">
        <v>157.1</v>
      </c>
      <c r="Z305">
        <v>160.69999999999999</v>
      </c>
      <c r="AA305">
        <v>167.2</v>
      </c>
      <c r="AB305">
        <v>160.4</v>
      </c>
      <c r="AC305">
        <v>162.80000000000001</v>
      </c>
      <c r="AD305">
        <v>163.19999999999999</v>
      </c>
      <c r="AE305" s="2">
        <f>DATE(B305, MATCH(C305,{"January","February","March","April","May","June","July","August","September","October","November","December"}, 0),1)</f>
        <v>44378</v>
      </c>
    </row>
    <row r="306" spans="1:31"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c r="AE306" s="2">
        <f>DATE(B306, MATCH(C306,{"January","February","March","April","May","June","July","August","September","October","November","December"}, 0),1)</f>
        <v>44378</v>
      </c>
    </row>
    <row r="307" spans="1:31"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s="2">
        <f>DATE(B307, MATCH(C307,{"January","February","March","April","May","June","July","August","September","October","November","December"}, 0),1)</f>
        <v>44378</v>
      </c>
    </row>
    <row r="308" spans="1:31"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s="87">
        <f>U309</f>
        <v>162.1</v>
      </c>
      <c r="V308">
        <v>163.1</v>
      </c>
      <c r="W308">
        <v>160.9</v>
      </c>
      <c r="X308">
        <v>171.1</v>
      </c>
      <c r="Y308">
        <v>157.69999999999999</v>
      </c>
      <c r="Z308">
        <v>161.1</v>
      </c>
      <c r="AA308">
        <v>167.5</v>
      </c>
      <c r="AB308">
        <v>160.30000000000001</v>
      </c>
      <c r="AC308">
        <v>163.30000000000001</v>
      </c>
      <c r="AD308">
        <v>163.6</v>
      </c>
      <c r="AE308" s="2">
        <f>DATE(B308, MATCH(C308,{"January","February","March","April","May","June","July","August","September","October","November","December"}, 0),1)</f>
        <v>44409</v>
      </c>
    </row>
    <row r="309" spans="1:31"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c r="AE309" s="2">
        <f>DATE(B309, MATCH(C309,{"January","February","March","April","May","June","July","August","September","October","November","December"}, 0),1)</f>
        <v>44409</v>
      </c>
    </row>
    <row r="310" spans="1:31"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s="2">
        <f>DATE(B310, MATCH(C310,{"January","February","March","April","May","June","July","August","September","October","November","December"}, 0),1)</f>
        <v>44409</v>
      </c>
    </row>
    <row r="311" spans="1:31"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s="87">
        <f>U312</f>
        <v>162.1</v>
      </c>
      <c r="V311">
        <v>163.69999999999999</v>
      </c>
      <c r="W311">
        <v>161.30000000000001</v>
      </c>
      <c r="X311">
        <v>171.9</v>
      </c>
      <c r="Y311">
        <v>157.80000000000001</v>
      </c>
      <c r="Z311">
        <v>162.69999999999999</v>
      </c>
      <c r="AA311">
        <v>168.5</v>
      </c>
      <c r="AB311">
        <v>160.19999999999999</v>
      </c>
      <c r="AC311">
        <v>163.80000000000001</v>
      </c>
      <c r="AD311">
        <v>164</v>
      </c>
      <c r="AE311" s="2">
        <f>DATE(B311, MATCH(C311,{"January","February","March","April","May","June","July","August","September","October","November","December"}, 0),1)</f>
        <v>44440</v>
      </c>
    </row>
    <row r="312" spans="1:31"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c r="AE312" s="2">
        <f>DATE(B312, MATCH(C312,{"January","February","March","April","May","June","July","August","September","October","November","December"}, 0),1)</f>
        <v>44440</v>
      </c>
    </row>
    <row r="313" spans="1:31"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s="2">
        <f>DATE(B313, MATCH(C313,{"January","February","March","April","May","June","July","August","September","October","November","December"}, 0),1)</f>
        <v>44440</v>
      </c>
    </row>
    <row r="314" spans="1:31"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s="87">
        <f>U315</f>
        <v>163.6</v>
      </c>
      <c r="V314">
        <v>165.5</v>
      </c>
      <c r="W314">
        <v>162</v>
      </c>
      <c r="X314">
        <v>172.5</v>
      </c>
      <c r="Y314">
        <v>159.5</v>
      </c>
      <c r="Z314">
        <v>163.19999999999999</v>
      </c>
      <c r="AA314">
        <v>169</v>
      </c>
      <c r="AB314">
        <v>161.1</v>
      </c>
      <c r="AC314">
        <v>164.7</v>
      </c>
      <c r="AD314">
        <v>166.3</v>
      </c>
      <c r="AE314" s="2">
        <f>DATE(B314, MATCH(C314,{"January","February","March","April","May","June","July","August","September","October","November","December"}, 0),1)</f>
        <v>44470</v>
      </c>
    </row>
    <row r="315" spans="1:31"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c r="AE315" s="2">
        <f>DATE(B315, MATCH(C315,{"January","February","March","April","May","June","July","August","September","October","November","December"}, 0),1)</f>
        <v>44470</v>
      </c>
    </row>
    <row r="316" spans="1:31"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s="2">
        <f>DATE(B316, MATCH(C316,{"January","February","March","April","May","June","July","August","September","October","November","December"}, 0),1)</f>
        <v>44470</v>
      </c>
    </row>
    <row r="317" spans="1:31"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s="87">
        <f>U318</f>
        <v>164.2</v>
      </c>
      <c r="V317">
        <v>165.3</v>
      </c>
      <c r="W317">
        <v>162.9</v>
      </c>
      <c r="X317">
        <v>173.4</v>
      </c>
      <c r="Y317">
        <v>158.9</v>
      </c>
      <c r="Z317">
        <v>163.80000000000001</v>
      </c>
      <c r="AA317">
        <v>169.3</v>
      </c>
      <c r="AB317">
        <v>162.4</v>
      </c>
      <c r="AC317">
        <v>165.2</v>
      </c>
      <c r="AD317">
        <v>167.6</v>
      </c>
      <c r="AE317" s="2">
        <f>DATE(B317, MATCH(C317,{"January","February","March","April","May","June","July","August","September","October","November","December"}, 0),1)</f>
        <v>44501</v>
      </c>
    </row>
    <row r="318" spans="1:31"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c r="AE318" s="2">
        <f>DATE(B318, MATCH(C318,{"January","February","March","April","May","June","July","August","September","October","November","December"}, 0),1)</f>
        <v>44501</v>
      </c>
    </row>
    <row r="319" spans="1:31"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s="2">
        <f>DATE(B319, MATCH(C319,{"January","February","March","April","May","June","July","August","September","October","November","December"}, 0),1)</f>
        <v>44501</v>
      </c>
    </row>
    <row r="320" spans="1:31"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s="87">
        <f>U321</f>
        <v>163.4</v>
      </c>
      <c r="V320">
        <v>165.6</v>
      </c>
      <c r="W320">
        <v>163.9</v>
      </c>
      <c r="X320">
        <v>174</v>
      </c>
      <c r="Y320">
        <v>160.1</v>
      </c>
      <c r="Z320">
        <v>164.5</v>
      </c>
      <c r="AA320">
        <v>169.7</v>
      </c>
      <c r="AB320">
        <v>162.80000000000001</v>
      </c>
      <c r="AC320">
        <v>166</v>
      </c>
      <c r="AD320">
        <v>167</v>
      </c>
      <c r="AE320" s="2">
        <f>DATE(B320, MATCH(C320,{"January","February","March","April","May","June","July","August","September","October","November","December"}, 0),1)</f>
        <v>44531</v>
      </c>
    </row>
    <row r="321" spans="1:31"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c r="AE321" s="2">
        <f>DATE(B321, MATCH(C321,{"January","February","March","April","May","June","July","August","September","October","November","December"}, 0),1)</f>
        <v>44531</v>
      </c>
    </row>
    <row r="322" spans="1:31"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s="2">
        <f>DATE(B322, MATCH(C322,{"January","February","March","April","May","June","July","August","September","October","November","December"}, 0),1)</f>
        <v>44531</v>
      </c>
    </row>
    <row r="323" spans="1:31"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s="87">
        <f>U324</f>
        <v>164.5</v>
      </c>
      <c r="V323">
        <v>165.8</v>
      </c>
      <c r="W323">
        <v>164.9</v>
      </c>
      <c r="X323">
        <v>174.7</v>
      </c>
      <c r="Y323">
        <v>160.80000000000001</v>
      </c>
      <c r="Z323">
        <v>164.9</v>
      </c>
      <c r="AA323">
        <v>169.9</v>
      </c>
      <c r="AB323">
        <v>163.19999999999999</v>
      </c>
      <c r="AC323">
        <v>166.6</v>
      </c>
      <c r="AD323">
        <v>166.4</v>
      </c>
      <c r="AE323" s="2">
        <f>DATE(B323, MATCH(C323,{"January","February","March","April","May","June","July","August","September","October","November","December"}, 0),1)</f>
        <v>44562</v>
      </c>
    </row>
    <row r="324" spans="1:31"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c r="AE324" s="2">
        <f>DATE(B324, MATCH(C324,{"January","February","March","April","May","June","July","August","September","October","November","December"}, 0),1)</f>
        <v>44562</v>
      </c>
    </row>
    <row r="325" spans="1:31"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s="2">
        <f>DATE(B325, MATCH(C325,{"January","February","March","April","May","June","July","August","September","October","November","December"}, 0),1)</f>
        <v>44562</v>
      </c>
    </row>
    <row r="326" spans="1:31"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s="87">
        <f>U327</f>
        <v>165.5</v>
      </c>
      <c r="V326">
        <v>167.4</v>
      </c>
      <c r="W326">
        <v>165.7</v>
      </c>
      <c r="X326">
        <v>175.3</v>
      </c>
      <c r="Y326">
        <v>161.19999999999999</v>
      </c>
      <c r="Z326">
        <v>165.5</v>
      </c>
      <c r="AA326">
        <v>170.3</v>
      </c>
      <c r="AB326">
        <v>164.5</v>
      </c>
      <c r="AC326">
        <v>167.3</v>
      </c>
      <c r="AD326">
        <v>166.7</v>
      </c>
      <c r="AE326" s="2">
        <f>DATE(B326, MATCH(C326,{"January","February","March","April","May","June","July","August","September","October","November","December"}, 0),1)</f>
        <v>44593</v>
      </c>
    </row>
    <row r="327" spans="1:31"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c r="AE327" s="2">
        <f>DATE(B327, MATCH(C327,{"January","February","March","April","May","June","July","August","September","October","November","December"}, 0),1)</f>
        <v>44593</v>
      </c>
    </row>
    <row r="328" spans="1:31"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s="2">
        <f>DATE(B328, MATCH(C328,{"January","February","March","April","May","June","July","August","September","October","November","December"}, 0),1)</f>
        <v>44593</v>
      </c>
    </row>
    <row r="329" spans="1:31"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s="87">
        <f>U330</f>
        <v>165.3</v>
      </c>
      <c r="V329">
        <v>168.9</v>
      </c>
      <c r="W329">
        <v>166.5</v>
      </c>
      <c r="X329">
        <v>176</v>
      </c>
      <c r="Y329">
        <v>162</v>
      </c>
      <c r="Z329">
        <v>166.6</v>
      </c>
      <c r="AA329">
        <v>170.6</v>
      </c>
      <c r="AB329">
        <v>167.4</v>
      </c>
      <c r="AC329">
        <v>168.3</v>
      </c>
      <c r="AD329">
        <v>168.7</v>
      </c>
      <c r="AE329" s="2">
        <f>DATE(B329, MATCH(C329,{"January","February","March","April","May","June","July","August","September","October","November","December"}, 0),1)</f>
        <v>44621</v>
      </c>
    </row>
    <row r="330" spans="1:31"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c r="AE330" s="2">
        <f>DATE(B330, MATCH(C330,{"January","February","March","April","May","June","July","August","September","October","November","December"}, 0),1)</f>
        <v>44621</v>
      </c>
    </row>
    <row r="331" spans="1:31"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s="2">
        <f>DATE(B331, MATCH(C331,{"January","February","March","April","May","June","July","August","September","October","November","December"}, 0),1)</f>
        <v>44621</v>
      </c>
    </row>
    <row r="332" spans="1:31"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s="87">
        <f>U333</f>
        <v>167</v>
      </c>
      <c r="V332">
        <v>173.3</v>
      </c>
      <c r="W332">
        <v>167.7</v>
      </c>
      <c r="X332">
        <v>177</v>
      </c>
      <c r="Y332">
        <v>166.2</v>
      </c>
      <c r="Z332">
        <v>167.2</v>
      </c>
      <c r="AA332">
        <v>170.9</v>
      </c>
      <c r="AB332">
        <v>169</v>
      </c>
      <c r="AC332">
        <v>170.2</v>
      </c>
      <c r="AD332">
        <v>170.8</v>
      </c>
      <c r="AE332" s="2">
        <f>DATE(B332, MATCH(C332,{"January","February","March","April","May","June","July","August","September","October","November","December"}, 0),1)</f>
        <v>44652</v>
      </c>
    </row>
    <row r="333" spans="1:31"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c r="AE333" s="2">
        <f>DATE(B333, MATCH(C333,{"January","February","March","April","May","June","July","August","September","October","November","December"}, 0),1)</f>
        <v>44652</v>
      </c>
    </row>
    <row r="334" spans="1:31"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s="2">
        <f>DATE(B334, MATCH(C334,{"January","February","March","April","May","June","July","August","September","October","November","December"}, 0),1)</f>
        <v>44652</v>
      </c>
    </row>
    <row r="335" spans="1:31"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s="87">
        <f>U336</f>
        <v>167.5</v>
      </c>
      <c r="V335">
        <v>175.3</v>
      </c>
      <c r="W335">
        <v>168.9</v>
      </c>
      <c r="X335">
        <v>177.7</v>
      </c>
      <c r="Y335">
        <v>167.1</v>
      </c>
      <c r="Z335">
        <v>167.6</v>
      </c>
      <c r="AA335">
        <v>171.8</v>
      </c>
      <c r="AB335">
        <v>168.5</v>
      </c>
      <c r="AC335">
        <v>170.9</v>
      </c>
      <c r="AD335">
        <v>172.5</v>
      </c>
      <c r="AE335" s="2">
        <f>DATE(B335, MATCH(C335,{"January","February","March","April","May","June","July","August","September","October","November","December"}, 0),1)</f>
        <v>44682</v>
      </c>
    </row>
    <row r="336" spans="1:31"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c r="AE336" s="2">
        <f>DATE(B336, MATCH(C336,{"January","February","March","April","May","June","July","August","September","October","November","December"}, 0),1)</f>
        <v>44682</v>
      </c>
    </row>
    <row r="337" spans="1:31"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s="2">
        <f>DATE(B337, MATCH(C337,{"January","February","March","April","May","June","July","August","September","October","November","December"}, 0),1)</f>
        <v>44682</v>
      </c>
    </row>
    <row r="338" spans="1:31"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s="87">
        <f>U339</f>
        <v>166.8</v>
      </c>
      <c r="V338">
        <v>176.7</v>
      </c>
      <c r="W338">
        <v>170.3</v>
      </c>
      <c r="X338">
        <v>178.2</v>
      </c>
      <c r="Y338">
        <v>165.5</v>
      </c>
      <c r="Z338">
        <v>168</v>
      </c>
      <c r="AA338">
        <v>172.6</v>
      </c>
      <c r="AB338">
        <v>169.5</v>
      </c>
      <c r="AC338">
        <v>171</v>
      </c>
      <c r="AD338">
        <v>173.6</v>
      </c>
      <c r="AE338" s="2">
        <f>DATE(B338, MATCH(C338,{"January","February","March","April","May","June","July","August","September","October","November","December"}, 0),1)</f>
        <v>44713</v>
      </c>
    </row>
    <row r="339" spans="1:31"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c r="AE339" s="2">
        <f>DATE(B339, MATCH(C339,{"January","February","March","April","May","June","July","August","September","October","November","December"}, 0),1)</f>
        <v>44713</v>
      </c>
    </row>
    <row r="340" spans="1:31"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s="2">
        <f>DATE(B340, MATCH(C340,{"January","February","March","April","May","June","July","August","September","October","November","December"}, 0),1)</f>
        <v>44713</v>
      </c>
    </row>
    <row r="341" spans="1:31"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s="87">
        <f>U342</f>
        <v>167.8</v>
      </c>
      <c r="V341">
        <v>179.6</v>
      </c>
      <c r="W341">
        <v>171.3</v>
      </c>
      <c r="X341">
        <v>178.8</v>
      </c>
      <c r="Y341">
        <v>166.3</v>
      </c>
      <c r="Z341">
        <v>168.6</v>
      </c>
      <c r="AA341">
        <v>174.7</v>
      </c>
      <c r="AB341">
        <v>169.7</v>
      </c>
      <c r="AC341">
        <v>171.8</v>
      </c>
      <c r="AD341">
        <v>174.3</v>
      </c>
      <c r="AE341" s="2">
        <f>DATE(B341, MATCH(C341,{"January","February","March","April","May","June","July","August","September","October","November","December"}, 0),1)</f>
        <v>44743</v>
      </c>
    </row>
    <row r="342" spans="1:31"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c r="AE342" s="2">
        <f>DATE(B342, MATCH(C342,{"January","February","March","April","May","June","July","August","September","October","November","December"}, 0),1)</f>
        <v>44743</v>
      </c>
    </row>
    <row r="343" spans="1:31"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s="2">
        <f>DATE(B343, MATCH(C343,{"January","February","March","April","May","June","July","August","September","October","November","December"}, 0),1)</f>
        <v>44743</v>
      </c>
    </row>
    <row r="344" spans="1:31"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s="87">
        <f>U345</f>
        <v>169</v>
      </c>
      <c r="V344">
        <v>179.1</v>
      </c>
      <c r="W344">
        <v>172.3</v>
      </c>
      <c r="X344">
        <v>179.4</v>
      </c>
      <c r="Y344">
        <v>166.6</v>
      </c>
      <c r="Z344">
        <v>169.3</v>
      </c>
      <c r="AA344">
        <v>175.7</v>
      </c>
      <c r="AB344">
        <v>171.1</v>
      </c>
      <c r="AC344">
        <v>172.6</v>
      </c>
      <c r="AD344">
        <v>175.3</v>
      </c>
      <c r="AE344" s="2">
        <f>DATE(B344, MATCH(C344,{"January","February","March","April","May","June","July","August","September","October","November","December"}, 0),1)</f>
        <v>44774</v>
      </c>
    </row>
    <row r="345" spans="1:31"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c r="AE345" s="2">
        <f>DATE(B345, MATCH(C345,{"January","February","March","April","May","June","July","August","September","October","November","December"}, 0),1)</f>
        <v>44774</v>
      </c>
    </row>
    <row r="346" spans="1:31"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s="2">
        <f>DATE(B346, MATCH(C346,{"January","February","March","April","May","June","July","August","September","October","November","December"}, 0),1)</f>
        <v>44774</v>
      </c>
    </row>
    <row r="347" spans="1:31"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s="87">
        <f>U348</f>
        <v>169.5</v>
      </c>
      <c r="V347">
        <v>179.7</v>
      </c>
      <c r="W347">
        <v>173.6</v>
      </c>
      <c r="X347">
        <v>180.2</v>
      </c>
      <c r="Y347">
        <v>166.9</v>
      </c>
      <c r="Z347">
        <v>170</v>
      </c>
      <c r="AA347">
        <v>176.2</v>
      </c>
      <c r="AB347">
        <v>170.8</v>
      </c>
      <c r="AC347">
        <v>173.1</v>
      </c>
      <c r="AD347">
        <v>176.4</v>
      </c>
      <c r="AE347" s="2">
        <f>DATE(B347, MATCH(C347,{"January","February","March","April","May","June","July","August","September","October","November","December"}, 0),1)</f>
        <v>44805</v>
      </c>
    </row>
    <row r="348" spans="1:31"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c r="AE348" s="2">
        <f>DATE(B348, MATCH(C348,{"January","February","March","April","May","June","July","August","September","October","November","December"}, 0),1)</f>
        <v>44805</v>
      </c>
    </row>
    <row r="349" spans="1:31"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s="2">
        <f>DATE(B349, MATCH(C349,{"January","February","March","April","May","June","July","August","September","October","November","December"}, 0),1)</f>
        <v>44805</v>
      </c>
    </row>
    <row r="350" spans="1:31"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s="87">
        <f>U351</f>
        <v>171.2</v>
      </c>
      <c r="V350">
        <v>180.8</v>
      </c>
      <c r="W350">
        <v>174.4</v>
      </c>
      <c r="X350">
        <v>181.2</v>
      </c>
      <c r="Y350">
        <v>167.4</v>
      </c>
      <c r="Z350">
        <v>170.6</v>
      </c>
      <c r="AA350">
        <v>176.5</v>
      </c>
      <c r="AB350">
        <v>172</v>
      </c>
      <c r="AC350">
        <v>173.9</v>
      </c>
      <c r="AD350">
        <v>177.9</v>
      </c>
      <c r="AE350" s="2">
        <f>DATE(B350, MATCH(C350,{"January","February","March","April","May","June","July","August","September","October","November","December"}, 0),1)</f>
        <v>44835</v>
      </c>
    </row>
    <row r="351" spans="1:31"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c r="AE351" s="2">
        <f>DATE(B351, MATCH(C351,{"January","February","March","April","May","June","July","August","September","October","November","December"}, 0),1)</f>
        <v>44835</v>
      </c>
    </row>
    <row r="352" spans="1:31"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s="2">
        <f>DATE(B352, MATCH(C352,{"January","February","March","April","May","June","July","August","September","October","November","December"}, 0),1)</f>
        <v>44835</v>
      </c>
    </row>
    <row r="353" spans="1:31"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s="87">
        <f>U354</f>
        <v>171.8</v>
      </c>
      <c r="V353">
        <v>181.9</v>
      </c>
      <c r="W353">
        <v>175.5</v>
      </c>
      <c r="X353">
        <v>182.3</v>
      </c>
      <c r="Y353">
        <v>167.5</v>
      </c>
      <c r="Z353">
        <v>170.8</v>
      </c>
      <c r="AA353">
        <v>176.9</v>
      </c>
      <c r="AB353">
        <v>173.4</v>
      </c>
      <c r="AC353">
        <v>174.6</v>
      </c>
      <c r="AD353">
        <v>177.8</v>
      </c>
      <c r="AE353" s="2">
        <f>DATE(B353, MATCH(C353,{"January","February","March","April","May","June","July","August","September","October","November","December"}, 0),1)</f>
        <v>44866</v>
      </c>
    </row>
    <row r="354" spans="1:31"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c r="AE354" s="2">
        <f>DATE(B354, MATCH(C354,{"January","February","March","April","May","June","July","August","September","October","November","December"}, 0),1)</f>
        <v>44866</v>
      </c>
    </row>
    <row r="355" spans="1:31"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s="2">
        <f>DATE(B355, MATCH(C355,{"January","February","March","April","May","June","July","August","September","October","November","December"}, 0),1)</f>
        <v>44866</v>
      </c>
    </row>
    <row r="356" spans="1:31"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s="87">
        <f>U357</f>
        <v>170.7</v>
      </c>
      <c r="V356">
        <v>182.8</v>
      </c>
      <c r="W356">
        <v>176.4</v>
      </c>
      <c r="X356">
        <v>183.5</v>
      </c>
      <c r="Y356">
        <v>167.8</v>
      </c>
      <c r="Z356">
        <v>171.2</v>
      </c>
      <c r="AA356">
        <v>177.3</v>
      </c>
      <c r="AB356">
        <v>175.7</v>
      </c>
      <c r="AC356">
        <v>175.5</v>
      </c>
      <c r="AD356">
        <v>177.1</v>
      </c>
      <c r="AE356" s="2">
        <f>DATE(B356, MATCH(C356,{"January","February","March","April","May","June","July","August","September","October","November","December"}, 0),1)</f>
        <v>44896</v>
      </c>
    </row>
    <row r="357" spans="1:31"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c r="AE357" s="2">
        <f>DATE(B357, MATCH(C357,{"January","February","March","April","May","June","July","August","September","October","November","December"}, 0),1)</f>
        <v>44896</v>
      </c>
    </row>
    <row r="358" spans="1:31"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s="2">
        <f>DATE(B358, MATCH(C358,{"January","February","March","April","May","June","July","August","September","October","November","December"}, 0),1)</f>
        <v>44896</v>
      </c>
    </row>
    <row r="359" spans="1:31"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s="87">
        <f>U360</f>
        <v>172.1</v>
      </c>
      <c r="V359">
        <v>183.2</v>
      </c>
      <c r="W359">
        <v>177.2</v>
      </c>
      <c r="X359">
        <v>184.7</v>
      </c>
      <c r="Y359">
        <v>168.2</v>
      </c>
      <c r="Z359">
        <v>171.8</v>
      </c>
      <c r="AA359">
        <v>177.8</v>
      </c>
      <c r="AB359">
        <v>178.4</v>
      </c>
      <c r="AC359">
        <v>176.5</v>
      </c>
      <c r="AD359">
        <v>177.8</v>
      </c>
      <c r="AE359" s="2">
        <f>DATE(B359, MATCH(C359,{"January","February","March","April","May","June","July","August","September","October","November","December"}, 0),1)</f>
        <v>44927</v>
      </c>
    </row>
    <row r="360" spans="1:31"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c r="AE360" s="2">
        <f>DATE(B360, MATCH(C360,{"January","February","March","April","May","June","July","August","September","October","November","December"}, 0),1)</f>
        <v>44927</v>
      </c>
    </row>
    <row r="361" spans="1:31"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s="2">
        <f>DATE(B361, MATCH(C361,{"January","February","March","April","May","June","July","August","September","October","November","December"}, 0),1)</f>
        <v>44927</v>
      </c>
    </row>
    <row r="362" spans="1:31"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s="87">
        <f>U363</f>
        <v>173.5</v>
      </c>
      <c r="V362">
        <v>181.6</v>
      </c>
      <c r="W362">
        <v>178.6</v>
      </c>
      <c r="X362">
        <v>186.6</v>
      </c>
      <c r="Y362">
        <v>169</v>
      </c>
      <c r="Z362">
        <v>172.8</v>
      </c>
      <c r="AA362">
        <v>178.5</v>
      </c>
      <c r="AB362">
        <v>180.7</v>
      </c>
      <c r="AC362">
        <v>177.9</v>
      </c>
      <c r="AD362">
        <v>178</v>
      </c>
      <c r="AE362" s="2">
        <f>DATE(B362, MATCH(C362,{"January","February","March","April","May","June","July","August","September","October","November","December"}, 0),1)</f>
        <v>44958</v>
      </c>
    </row>
    <row r="363" spans="1:31"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c r="AE363" s="2">
        <f>DATE(B363, MATCH(C363,{"January","February","March","April","May","June","July","August","September","October","November","December"}, 0),1)</f>
        <v>44958</v>
      </c>
    </row>
    <row r="364" spans="1:31"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s="2">
        <f>DATE(B364, MATCH(C364,{"January","February","March","April","May","June","July","August","September","October","November","December"}, 0),1)</f>
        <v>44958</v>
      </c>
    </row>
    <row r="365" spans="1:31"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s="87">
        <f>U366</f>
        <v>173.5</v>
      </c>
      <c r="V365">
        <v>181.4</v>
      </c>
      <c r="W365">
        <v>178.6</v>
      </c>
      <c r="X365">
        <v>186.6</v>
      </c>
      <c r="Y365">
        <v>169</v>
      </c>
      <c r="Z365">
        <v>172.8</v>
      </c>
      <c r="AA365">
        <v>178.5</v>
      </c>
      <c r="AB365">
        <v>180.7</v>
      </c>
      <c r="AC365">
        <v>177.9</v>
      </c>
      <c r="AD365">
        <v>178</v>
      </c>
      <c r="AE365" s="2">
        <f>DATE(B365, MATCH(C365,{"January","February","March","April","May","June","July","August","September","October","November","December"}, 0),1)</f>
        <v>44986</v>
      </c>
    </row>
    <row r="366" spans="1:31"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c r="AE366" s="2">
        <f>DATE(B366, MATCH(C366,{"January","February","March","April","May","June","July","August","September","October","November","December"}, 0),1)</f>
        <v>44986</v>
      </c>
    </row>
    <row r="367" spans="1:31"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s="2">
        <f>DATE(B367, MATCH(C367,{"January","February","March","April","May","June","July","August","September","October","November","December"}, 0),1)</f>
        <v>44986</v>
      </c>
    </row>
    <row r="368" spans="1:31"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s="87">
        <f>U369</f>
        <v>175.2</v>
      </c>
      <c r="V368">
        <v>181.5</v>
      </c>
      <c r="W368">
        <v>179.1</v>
      </c>
      <c r="X368">
        <v>187.2</v>
      </c>
      <c r="Y368">
        <v>169.4</v>
      </c>
      <c r="Z368">
        <v>173.2</v>
      </c>
      <c r="AA368">
        <v>179.4</v>
      </c>
      <c r="AB368">
        <v>183.8</v>
      </c>
      <c r="AC368">
        <v>178.9</v>
      </c>
      <c r="AD368">
        <v>178.8</v>
      </c>
      <c r="AE368" s="2">
        <f>DATE(B368, MATCH(C368,{"January","February","March","April","May","June","July","August","September","October","November","December"}, 0),1)</f>
        <v>45017</v>
      </c>
    </row>
    <row r="369" spans="1:31"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c r="AE369" s="2">
        <f>DATE(B369, MATCH(C369,{"January","February","March","April","May","June","July","August","September","October","November","December"}, 0),1)</f>
        <v>45017</v>
      </c>
    </row>
    <row r="370" spans="1:31"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s="2">
        <f>DATE(B370, MATCH(C370,{"January","February","March","April","May","June","July","August","September","October","November","December"}, 0),1)</f>
        <v>45017</v>
      </c>
    </row>
    <row r="371" spans="1:31"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s="87">
        <f>U372</f>
        <v>175.6</v>
      </c>
      <c r="V371">
        <v>182.5</v>
      </c>
      <c r="W371">
        <v>179.8</v>
      </c>
      <c r="X371">
        <v>187.8</v>
      </c>
      <c r="Y371">
        <v>169.7</v>
      </c>
      <c r="Z371">
        <v>173.8</v>
      </c>
      <c r="AA371">
        <v>180.3</v>
      </c>
      <c r="AB371">
        <v>184.9</v>
      </c>
      <c r="AC371">
        <v>179.5</v>
      </c>
      <c r="AD371">
        <v>179.8</v>
      </c>
      <c r="AE371" s="2">
        <f>DATE(B371, MATCH(C371,{"January","February","March","April","May","June","July","August","September","October","November","December"}, 0),1)</f>
        <v>45047</v>
      </c>
    </row>
    <row r="372" spans="1:31"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c r="AE372" s="2">
        <f>DATE(B372, MATCH(C372,{"January","February","March","April","May","June","July","August","September","October","November","December"}, 0),1)</f>
        <v>45047</v>
      </c>
    </row>
    <row r="373" spans="1:31"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s="2">
        <f>DATE(B373, MATCH(C373,{"January","February","March","April","May","June","July","August","September","October","November","December"}, 0),1)</f>
        <v>45047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887D-A4D9-4666-8B0C-437EE0EA2505}">
  <dimension ref="A1:NI31"/>
  <sheetViews>
    <sheetView workbookViewId="0">
      <selection activeCell="B3" sqref="B3"/>
    </sheetView>
  </sheetViews>
  <sheetFormatPr defaultRowHeight="14.4" x14ac:dyDescent="0.3"/>
  <cols>
    <col min="1" max="1" width="31.33203125" bestFit="1" customWidth="1"/>
  </cols>
  <sheetData>
    <row r="1" spans="1:373" x14ac:dyDescent="0.3">
      <c r="A1" s="1" t="s">
        <v>0</v>
      </c>
      <c r="B1" t="s">
        <v>30</v>
      </c>
      <c r="C1" t="s">
        <v>33</v>
      </c>
      <c r="D1" t="s">
        <v>34</v>
      </c>
      <c r="E1" t="s">
        <v>30</v>
      </c>
      <c r="F1" t="s">
        <v>33</v>
      </c>
      <c r="G1" t="s">
        <v>34</v>
      </c>
      <c r="H1" t="s">
        <v>30</v>
      </c>
      <c r="I1" t="s">
        <v>33</v>
      </c>
      <c r="J1" t="s">
        <v>34</v>
      </c>
      <c r="K1" t="s">
        <v>30</v>
      </c>
      <c r="L1" t="s">
        <v>33</v>
      </c>
      <c r="M1" t="s">
        <v>34</v>
      </c>
      <c r="N1" t="s">
        <v>30</v>
      </c>
      <c r="O1" t="s">
        <v>33</v>
      </c>
      <c r="P1" t="s">
        <v>34</v>
      </c>
      <c r="Q1" t="s">
        <v>30</v>
      </c>
      <c r="R1" t="s">
        <v>33</v>
      </c>
      <c r="S1" t="s">
        <v>34</v>
      </c>
      <c r="T1" t="s">
        <v>30</v>
      </c>
      <c r="U1" t="s">
        <v>33</v>
      </c>
      <c r="V1" t="s">
        <v>34</v>
      </c>
      <c r="W1" t="s">
        <v>30</v>
      </c>
      <c r="X1" t="s">
        <v>33</v>
      </c>
      <c r="Y1" t="s">
        <v>34</v>
      </c>
      <c r="Z1" t="s">
        <v>30</v>
      </c>
      <c r="AA1" t="s">
        <v>33</v>
      </c>
      <c r="AB1" t="s">
        <v>34</v>
      </c>
      <c r="AC1" t="s">
        <v>30</v>
      </c>
      <c r="AD1" t="s">
        <v>33</v>
      </c>
      <c r="AE1" t="s">
        <v>34</v>
      </c>
      <c r="AF1" t="s">
        <v>30</v>
      </c>
      <c r="AG1" t="s">
        <v>33</v>
      </c>
      <c r="AH1" t="s">
        <v>34</v>
      </c>
      <c r="AI1" t="s">
        <v>30</v>
      </c>
      <c r="AJ1" t="s">
        <v>33</v>
      </c>
      <c r="AK1" t="s">
        <v>34</v>
      </c>
      <c r="AL1" t="s">
        <v>30</v>
      </c>
      <c r="AM1" t="s">
        <v>33</v>
      </c>
      <c r="AN1" t="s">
        <v>34</v>
      </c>
      <c r="AO1" t="s">
        <v>30</v>
      </c>
      <c r="AP1" t="s">
        <v>33</v>
      </c>
      <c r="AQ1" t="s">
        <v>34</v>
      </c>
      <c r="AR1" t="s">
        <v>30</v>
      </c>
      <c r="AS1" t="s">
        <v>33</v>
      </c>
      <c r="AT1" t="s">
        <v>34</v>
      </c>
      <c r="AU1" t="s">
        <v>30</v>
      </c>
      <c r="AV1" t="s">
        <v>33</v>
      </c>
      <c r="AW1" t="s">
        <v>34</v>
      </c>
      <c r="AX1" t="s">
        <v>30</v>
      </c>
      <c r="AY1" t="s">
        <v>33</v>
      </c>
      <c r="AZ1" t="s">
        <v>34</v>
      </c>
      <c r="BA1" t="s">
        <v>30</v>
      </c>
      <c r="BB1" t="s">
        <v>33</v>
      </c>
      <c r="BC1" t="s">
        <v>34</v>
      </c>
      <c r="BD1" t="s">
        <v>30</v>
      </c>
      <c r="BE1" t="s">
        <v>33</v>
      </c>
      <c r="BF1" t="s">
        <v>34</v>
      </c>
      <c r="BG1" t="s">
        <v>30</v>
      </c>
      <c r="BH1" t="s">
        <v>33</v>
      </c>
      <c r="BI1" t="s">
        <v>34</v>
      </c>
      <c r="BJ1" t="s">
        <v>30</v>
      </c>
      <c r="BK1" t="s">
        <v>33</v>
      </c>
      <c r="BL1" t="s">
        <v>34</v>
      </c>
      <c r="BM1" t="s">
        <v>30</v>
      </c>
      <c r="BN1" t="s">
        <v>33</v>
      </c>
      <c r="BO1" t="s">
        <v>34</v>
      </c>
      <c r="BP1" t="s">
        <v>30</v>
      </c>
      <c r="BQ1" t="s">
        <v>33</v>
      </c>
      <c r="BR1" t="s">
        <v>34</v>
      </c>
      <c r="BS1" t="s">
        <v>30</v>
      </c>
      <c r="BT1" t="s">
        <v>33</v>
      </c>
      <c r="BU1" t="s">
        <v>34</v>
      </c>
      <c r="BV1" t="s">
        <v>30</v>
      </c>
      <c r="BW1" t="s">
        <v>33</v>
      </c>
      <c r="BX1" t="s">
        <v>34</v>
      </c>
      <c r="BY1" t="s">
        <v>30</v>
      </c>
      <c r="BZ1" t="s">
        <v>33</v>
      </c>
      <c r="CA1" t="s">
        <v>34</v>
      </c>
      <c r="CB1" t="s">
        <v>30</v>
      </c>
      <c r="CC1" t="s">
        <v>33</v>
      </c>
      <c r="CD1" t="s">
        <v>34</v>
      </c>
      <c r="CE1" t="s">
        <v>30</v>
      </c>
      <c r="CF1" t="s">
        <v>33</v>
      </c>
      <c r="CG1" t="s">
        <v>34</v>
      </c>
      <c r="CH1" t="s">
        <v>30</v>
      </c>
      <c r="CI1" t="s">
        <v>33</v>
      </c>
      <c r="CJ1" t="s">
        <v>34</v>
      </c>
      <c r="CK1" t="s">
        <v>30</v>
      </c>
      <c r="CL1" t="s">
        <v>33</v>
      </c>
      <c r="CM1" t="s">
        <v>34</v>
      </c>
      <c r="CN1" t="s">
        <v>30</v>
      </c>
      <c r="CO1" t="s">
        <v>33</v>
      </c>
      <c r="CP1" t="s">
        <v>34</v>
      </c>
      <c r="CQ1" t="s">
        <v>30</v>
      </c>
      <c r="CR1" t="s">
        <v>33</v>
      </c>
      <c r="CS1" t="s">
        <v>34</v>
      </c>
      <c r="CT1" t="s">
        <v>30</v>
      </c>
      <c r="CU1" t="s">
        <v>33</v>
      </c>
      <c r="CV1" t="s">
        <v>34</v>
      </c>
      <c r="CW1" t="s">
        <v>30</v>
      </c>
      <c r="CX1" t="s">
        <v>33</v>
      </c>
      <c r="CY1" t="s">
        <v>34</v>
      </c>
      <c r="CZ1" t="s">
        <v>30</v>
      </c>
      <c r="DA1" t="s">
        <v>33</v>
      </c>
      <c r="DB1" t="s">
        <v>34</v>
      </c>
      <c r="DC1" t="s">
        <v>30</v>
      </c>
      <c r="DD1" t="s">
        <v>33</v>
      </c>
      <c r="DE1" t="s">
        <v>34</v>
      </c>
      <c r="DF1" t="s">
        <v>30</v>
      </c>
      <c r="DG1" t="s">
        <v>33</v>
      </c>
      <c r="DH1" t="s">
        <v>34</v>
      </c>
      <c r="DI1" t="s">
        <v>30</v>
      </c>
      <c r="DJ1" t="s">
        <v>33</v>
      </c>
      <c r="DK1" t="s">
        <v>34</v>
      </c>
      <c r="DL1" t="s">
        <v>30</v>
      </c>
      <c r="DM1" t="s">
        <v>33</v>
      </c>
      <c r="DN1" t="s">
        <v>34</v>
      </c>
      <c r="DO1" t="s">
        <v>30</v>
      </c>
      <c r="DP1" t="s">
        <v>33</v>
      </c>
      <c r="DQ1" t="s">
        <v>34</v>
      </c>
      <c r="DR1" t="s">
        <v>30</v>
      </c>
      <c r="DS1" t="s">
        <v>33</v>
      </c>
      <c r="DT1" t="s">
        <v>34</v>
      </c>
      <c r="DU1" t="s">
        <v>30</v>
      </c>
      <c r="DV1" t="s">
        <v>33</v>
      </c>
      <c r="DW1" t="s">
        <v>34</v>
      </c>
      <c r="DX1" t="s">
        <v>30</v>
      </c>
      <c r="DY1" t="s">
        <v>33</v>
      </c>
      <c r="DZ1" t="s">
        <v>34</v>
      </c>
      <c r="EA1" t="s">
        <v>30</v>
      </c>
      <c r="EB1" t="s">
        <v>33</v>
      </c>
      <c r="EC1" t="s">
        <v>34</v>
      </c>
      <c r="ED1" t="s">
        <v>30</v>
      </c>
      <c r="EE1" t="s">
        <v>33</v>
      </c>
      <c r="EF1" t="s">
        <v>34</v>
      </c>
      <c r="EG1" t="s">
        <v>30</v>
      </c>
      <c r="EH1" t="s">
        <v>33</v>
      </c>
      <c r="EI1" t="s">
        <v>34</v>
      </c>
      <c r="EJ1" t="s">
        <v>30</v>
      </c>
      <c r="EK1" t="s">
        <v>33</v>
      </c>
      <c r="EL1" t="s">
        <v>34</v>
      </c>
      <c r="EM1" t="s">
        <v>30</v>
      </c>
      <c r="EN1" t="s">
        <v>33</v>
      </c>
      <c r="EO1" t="s">
        <v>34</v>
      </c>
      <c r="EP1" t="s">
        <v>30</v>
      </c>
      <c r="EQ1" t="s">
        <v>33</v>
      </c>
      <c r="ER1" t="s">
        <v>34</v>
      </c>
      <c r="ES1" t="s">
        <v>30</v>
      </c>
      <c r="ET1" t="s">
        <v>33</v>
      </c>
      <c r="EU1" t="s">
        <v>34</v>
      </c>
      <c r="EV1" t="s">
        <v>30</v>
      </c>
      <c r="EW1" t="s">
        <v>33</v>
      </c>
      <c r="EX1" t="s">
        <v>34</v>
      </c>
      <c r="EY1" t="s">
        <v>30</v>
      </c>
      <c r="EZ1" t="s">
        <v>33</v>
      </c>
      <c r="FA1" t="s">
        <v>34</v>
      </c>
      <c r="FB1" t="s">
        <v>30</v>
      </c>
      <c r="FC1" t="s">
        <v>33</v>
      </c>
      <c r="FD1" t="s">
        <v>34</v>
      </c>
      <c r="FE1" t="s">
        <v>30</v>
      </c>
      <c r="FF1" t="s">
        <v>33</v>
      </c>
      <c r="FG1" t="s">
        <v>34</v>
      </c>
      <c r="FH1" t="s">
        <v>30</v>
      </c>
      <c r="FI1" t="s">
        <v>33</v>
      </c>
      <c r="FJ1" t="s">
        <v>34</v>
      </c>
      <c r="FK1" t="s">
        <v>30</v>
      </c>
      <c r="FL1" t="s">
        <v>33</v>
      </c>
      <c r="FM1" t="s">
        <v>34</v>
      </c>
      <c r="FN1" t="s">
        <v>30</v>
      </c>
      <c r="FO1" t="s">
        <v>33</v>
      </c>
      <c r="FP1" t="s">
        <v>34</v>
      </c>
      <c r="FQ1" t="s">
        <v>30</v>
      </c>
      <c r="FR1" t="s">
        <v>33</v>
      </c>
      <c r="FS1" t="s">
        <v>34</v>
      </c>
      <c r="FT1" t="s">
        <v>30</v>
      </c>
      <c r="FU1" t="s">
        <v>33</v>
      </c>
      <c r="FV1" t="s">
        <v>34</v>
      </c>
      <c r="FW1" t="s">
        <v>30</v>
      </c>
      <c r="FX1" t="s">
        <v>33</v>
      </c>
      <c r="FY1" t="s">
        <v>34</v>
      </c>
      <c r="FZ1" t="s">
        <v>30</v>
      </c>
      <c r="GA1" t="s">
        <v>33</v>
      </c>
      <c r="GB1" t="s">
        <v>34</v>
      </c>
      <c r="GC1" t="s">
        <v>30</v>
      </c>
      <c r="GD1" t="s">
        <v>33</v>
      </c>
      <c r="GE1" t="s">
        <v>34</v>
      </c>
      <c r="GF1" t="s">
        <v>30</v>
      </c>
      <c r="GG1" t="s">
        <v>33</v>
      </c>
      <c r="GH1" t="s">
        <v>34</v>
      </c>
      <c r="GI1" t="s">
        <v>30</v>
      </c>
      <c r="GJ1" t="s">
        <v>33</v>
      </c>
      <c r="GK1" t="s">
        <v>34</v>
      </c>
      <c r="GL1" t="s">
        <v>30</v>
      </c>
      <c r="GM1" t="s">
        <v>33</v>
      </c>
      <c r="GN1" t="s">
        <v>34</v>
      </c>
      <c r="GO1" t="s">
        <v>30</v>
      </c>
      <c r="GP1" t="s">
        <v>33</v>
      </c>
      <c r="GQ1" t="s">
        <v>34</v>
      </c>
      <c r="GR1" t="s">
        <v>30</v>
      </c>
      <c r="GS1" t="s">
        <v>33</v>
      </c>
      <c r="GT1" t="s">
        <v>34</v>
      </c>
      <c r="GU1" t="s">
        <v>30</v>
      </c>
      <c r="GV1" t="s">
        <v>33</v>
      </c>
      <c r="GW1" t="s">
        <v>34</v>
      </c>
      <c r="GX1" t="s">
        <v>30</v>
      </c>
      <c r="GY1" t="s">
        <v>33</v>
      </c>
      <c r="GZ1" t="s">
        <v>34</v>
      </c>
      <c r="HA1" t="s">
        <v>30</v>
      </c>
      <c r="HB1" t="s">
        <v>33</v>
      </c>
      <c r="HC1" t="s">
        <v>34</v>
      </c>
      <c r="HD1" t="s">
        <v>30</v>
      </c>
      <c r="HE1" t="s">
        <v>33</v>
      </c>
      <c r="HF1" t="s">
        <v>34</v>
      </c>
      <c r="HG1" t="s">
        <v>30</v>
      </c>
      <c r="HH1" t="s">
        <v>33</v>
      </c>
      <c r="HI1" t="s">
        <v>34</v>
      </c>
      <c r="HJ1" t="s">
        <v>30</v>
      </c>
      <c r="HK1" t="s">
        <v>33</v>
      </c>
      <c r="HL1" t="s">
        <v>34</v>
      </c>
      <c r="HM1" t="s">
        <v>30</v>
      </c>
      <c r="HN1" t="s">
        <v>33</v>
      </c>
      <c r="HO1" t="s">
        <v>34</v>
      </c>
      <c r="HP1" t="s">
        <v>30</v>
      </c>
      <c r="HQ1" t="s">
        <v>33</v>
      </c>
      <c r="HR1" t="s">
        <v>34</v>
      </c>
      <c r="HS1" t="s">
        <v>30</v>
      </c>
      <c r="HT1" t="s">
        <v>33</v>
      </c>
      <c r="HU1" t="s">
        <v>34</v>
      </c>
      <c r="HV1" t="s">
        <v>30</v>
      </c>
      <c r="HW1" t="s">
        <v>33</v>
      </c>
      <c r="HX1" t="s">
        <v>34</v>
      </c>
      <c r="HY1" t="s">
        <v>30</v>
      </c>
      <c r="HZ1" t="s">
        <v>33</v>
      </c>
      <c r="IA1" t="s">
        <v>34</v>
      </c>
      <c r="IB1" t="s">
        <v>30</v>
      </c>
      <c r="IC1" t="s">
        <v>33</v>
      </c>
      <c r="ID1" t="s">
        <v>34</v>
      </c>
      <c r="IE1" t="s">
        <v>30</v>
      </c>
      <c r="IF1" t="s">
        <v>33</v>
      </c>
      <c r="IG1" t="s">
        <v>34</v>
      </c>
      <c r="IH1" t="s">
        <v>30</v>
      </c>
      <c r="II1" t="s">
        <v>33</v>
      </c>
      <c r="IJ1" t="s">
        <v>34</v>
      </c>
      <c r="IK1" t="s">
        <v>30</v>
      </c>
      <c r="IL1" t="s">
        <v>33</v>
      </c>
      <c r="IM1" t="s">
        <v>34</v>
      </c>
      <c r="IN1" t="s">
        <v>30</v>
      </c>
      <c r="IO1" t="s">
        <v>33</v>
      </c>
      <c r="IP1" t="s">
        <v>34</v>
      </c>
      <c r="IQ1" t="s">
        <v>30</v>
      </c>
      <c r="IR1" t="s">
        <v>33</v>
      </c>
      <c r="IS1" t="s">
        <v>34</v>
      </c>
      <c r="IT1" t="s">
        <v>30</v>
      </c>
      <c r="IU1" t="s">
        <v>33</v>
      </c>
      <c r="IV1" t="s">
        <v>34</v>
      </c>
      <c r="IW1" t="s">
        <v>30</v>
      </c>
      <c r="IX1" t="s">
        <v>33</v>
      </c>
      <c r="IY1" t="s">
        <v>34</v>
      </c>
      <c r="IZ1" t="s">
        <v>30</v>
      </c>
      <c r="JA1" t="s">
        <v>33</v>
      </c>
      <c r="JB1" t="s">
        <v>34</v>
      </c>
      <c r="JC1" t="s">
        <v>30</v>
      </c>
      <c r="JD1" t="s">
        <v>33</v>
      </c>
      <c r="JE1" t="s">
        <v>34</v>
      </c>
      <c r="JF1" t="s">
        <v>30</v>
      </c>
      <c r="JG1" t="s">
        <v>33</v>
      </c>
      <c r="JH1" t="s">
        <v>34</v>
      </c>
      <c r="JI1" t="s">
        <v>30</v>
      </c>
      <c r="JJ1" t="s">
        <v>33</v>
      </c>
      <c r="JK1" t="s">
        <v>34</v>
      </c>
      <c r="JL1" t="s">
        <v>30</v>
      </c>
      <c r="JM1" t="s">
        <v>33</v>
      </c>
      <c r="JN1" t="s">
        <v>34</v>
      </c>
      <c r="JO1" t="s">
        <v>30</v>
      </c>
      <c r="JP1" t="s">
        <v>33</v>
      </c>
      <c r="JQ1" t="s">
        <v>34</v>
      </c>
      <c r="JR1" t="s">
        <v>30</v>
      </c>
      <c r="JS1" t="s">
        <v>33</v>
      </c>
      <c r="JT1" t="s">
        <v>34</v>
      </c>
      <c r="JU1" t="s">
        <v>30</v>
      </c>
      <c r="JV1" t="s">
        <v>33</v>
      </c>
      <c r="JW1" t="s">
        <v>34</v>
      </c>
      <c r="JX1" t="s">
        <v>30</v>
      </c>
      <c r="JY1" t="s">
        <v>33</v>
      </c>
      <c r="JZ1" t="s">
        <v>34</v>
      </c>
      <c r="KA1" t="s">
        <v>30</v>
      </c>
      <c r="KB1" t="s">
        <v>33</v>
      </c>
      <c r="KC1" t="s">
        <v>34</v>
      </c>
      <c r="KD1" t="s">
        <v>30</v>
      </c>
      <c r="KE1" t="s">
        <v>33</v>
      </c>
      <c r="KF1" t="s">
        <v>34</v>
      </c>
      <c r="KG1" t="s">
        <v>30</v>
      </c>
      <c r="KH1" t="s">
        <v>33</v>
      </c>
      <c r="KI1" t="s">
        <v>34</v>
      </c>
      <c r="KJ1" t="s">
        <v>30</v>
      </c>
      <c r="KK1" t="s">
        <v>33</v>
      </c>
      <c r="KL1" t="s">
        <v>34</v>
      </c>
      <c r="KM1" t="s">
        <v>30</v>
      </c>
      <c r="KN1" t="s">
        <v>33</v>
      </c>
      <c r="KO1" t="s">
        <v>34</v>
      </c>
      <c r="KP1" t="s">
        <v>30</v>
      </c>
      <c r="KQ1" t="s">
        <v>33</v>
      </c>
      <c r="KR1" t="s">
        <v>34</v>
      </c>
      <c r="KS1" t="s">
        <v>30</v>
      </c>
      <c r="KT1" t="s">
        <v>33</v>
      </c>
      <c r="KU1" t="s">
        <v>34</v>
      </c>
      <c r="KV1" t="s">
        <v>30</v>
      </c>
      <c r="KW1" t="s">
        <v>33</v>
      </c>
      <c r="KX1" t="s">
        <v>34</v>
      </c>
      <c r="KY1" t="s">
        <v>30</v>
      </c>
      <c r="KZ1" t="s">
        <v>33</v>
      </c>
      <c r="LA1" t="s">
        <v>34</v>
      </c>
      <c r="LB1" t="s">
        <v>30</v>
      </c>
      <c r="LC1" t="s">
        <v>33</v>
      </c>
      <c r="LD1" t="s">
        <v>34</v>
      </c>
      <c r="LE1" t="s">
        <v>30</v>
      </c>
      <c r="LF1" t="s">
        <v>33</v>
      </c>
      <c r="LG1" t="s">
        <v>34</v>
      </c>
      <c r="LH1" t="s">
        <v>30</v>
      </c>
      <c r="LI1" t="s">
        <v>33</v>
      </c>
      <c r="LJ1" t="s">
        <v>34</v>
      </c>
      <c r="LK1" t="s">
        <v>30</v>
      </c>
      <c r="LL1" t="s">
        <v>33</v>
      </c>
      <c r="LM1" t="s">
        <v>34</v>
      </c>
      <c r="LN1" t="s">
        <v>30</v>
      </c>
      <c r="LO1" t="s">
        <v>33</v>
      </c>
      <c r="LP1" t="s">
        <v>34</v>
      </c>
      <c r="LQ1" t="s">
        <v>30</v>
      </c>
      <c r="LR1" t="s">
        <v>33</v>
      </c>
      <c r="LS1" t="s">
        <v>34</v>
      </c>
      <c r="LT1" t="s">
        <v>30</v>
      </c>
      <c r="LU1" t="s">
        <v>33</v>
      </c>
      <c r="LV1" t="s">
        <v>34</v>
      </c>
      <c r="LW1" t="s">
        <v>30</v>
      </c>
      <c r="LX1" t="s">
        <v>33</v>
      </c>
      <c r="LY1" t="s">
        <v>34</v>
      </c>
      <c r="LZ1" t="s">
        <v>30</v>
      </c>
      <c r="MA1" t="s">
        <v>33</v>
      </c>
      <c r="MB1" t="s">
        <v>34</v>
      </c>
      <c r="MC1" t="s">
        <v>30</v>
      </c>
      <c r="MD1" t="s">
        <v>33</v>
      </c>
      <c r="ME1" t="s">
        <v>34</v>
      </c>
      <c r="MF1" t="s">
        <v>30</v>
      </c>
      <c r="MG1" t="s">
        <v>33</v>
      </c>
      <c r="MH1" t="s">
        <v>34</v>
      </c>
      <c r="MI1" t="s">
        <v>30</v>
      </c>
      <c r="MJ1" t="s">
        <v>33</v>
      </c>
      <c r="MK1" t="s">
        <v>34</v>
      </c>
      <c r="ML1" t="s">
        <v>30</v>
      </c>
      <c r="MM1" t="s">
        <v>33</v>
      </c>
      <c r="MN1" t="s">
        <v>34</v>
      </c>
      <c r="MO1" t="s">
        <v>30</v>
      </c>
      <c r="MP1" t="s">
        <v>33</v>
      </c>
      <c r="MQ1" t="s">
        <v>34</v>
      </c>
      <c r="MR1" t="s">
        <v>30</v>
      </c>
      <c r="MS1" t="s">
        <v>33</v>
      </c>
      <c r="MT1" t="s">
        <v>34</v>
      </c>
      <c r="MU1" t="s">
        <v>30</v>
      </c>
      <c r="MV1" t="s">
        <v>33</v>
      </c>
      <c r="MW1" t="s">
        <v>34</v>
      </c>
      <c r="MX1" t="s">
        <v>30</v>
      </c>
      <c r="MY1" t="s">
        <v>33</v>
      </c>
      <c r="MZ1" t="s">
        <v>34</v>
      </c>
      <c r="NA1" t="s">
        <v>30</v>
      </c>
      <c r="NB1" t="s">
        <v>33</v>
      </c>
      <c r="NC1" t="s">
        <v>34</v>
      </c>
      <c r="ND1" t="s">
        <v>30</v>
      </c>
      <c r="NE1" t="s">
        <v>33</v>
      </c>
      <c r="NF1" t="s">
        <v>34</v>
      </c>
      <c r="NG1" t="s">
        <v>30</v>
      </c>
      <c r="NH1" t="s">
        <v>33</v>
      </c>
      <c r="NI1" t="s">
        <v>34</v>
      </c>
    </row>
    <row r="2" spans="1:373" x14ac:dyDescent="0.3">
      <c r="A2" s="1" t="s">
        <v>1</v>
      </c>
      <c r="B2">
        <v>2013</v>
      </c>
      <c r="C2">
        <v>2013</v>
      </c>
      <c r="D2">
        <v>2013</v>
      </c>
      <c r="E2">
        <v>2013</v>
      </c>
      <c r="F2">
        <v>2013</v>
      </c>
      <c r="G2">
        <v>2013</v>
      </c>
      <c r="H2">
        <v>2013</v>
      </c>
      <c r="I2">
        <v>2013</v>
      </c>
      <c r="J2">
        <v>2013</v>
      </c>
      <c r="K2">
        <v>2013</v>
      </c>
      <c r="L2">
        <v>2013</v>
      </c>
      <c r="M2">
        <v>2013</v>
      </c>
      <c r="N2">
        <v>2013</v>
      </c>
      <c r="O2">
        <v>2013</v>
      </c>
      <c r="P2">
        <v>2013</v>
      </c>
      <c r="Q2">
        <v>2013</v>
      </c>
      <c r="R2">
        <v>2013</v>
      </c>
      <c r="S2">
        <v>2013</v>
      </c>
      <c r="T2">
        <v>2013</v>
      </c>
      <c r="U2">
        <v>2013</v>
      </c>
      <c r="V2">
        <v>2013</v>
      </c>
      <c r="W2">
        <v>2013</v>
      </c>
      <c r="X2">
        <v>2013</v>
      </c>
      <c r="Y2">
        <v>2013</v>
      </c>
      <c r="Z2">
        <v>2013</v>
      </c>
      <c r="AA2">
        <v>2013</v>
      </c>
      <c r="AB2">
        <v>2013</v>
      </c>
      <c r="AC2">
        <v>2013</v>
      </c>
      <c r="AD2">
        <v>2013</v>
      </c>
      <c r="AE2">
        <v>2013</v>
      </c>
      <c r="AF2">
        <v>2013</v>
      </c>
      <c r="AG2">
        <v>2013</v>
      </c>
      <c r="AH2">
        <v>2013</v>
      </c>
      <c r="AI2">
        <v>2013</v>
      </c>
      <c r="AJ2">
        <v>2013</v>
      </c>
      <c r="AK2">
        <v>2013</v>
      </c>
      <c r="AL2">
        <v>2014</v>
      </c>
      <c r="AM2">
        <v>2014</v>
      </c>
      <c r="AN2">
        <v>2014</v>
      </c>
      <c r="AO2">
        <v>2014</v>
      </c>
      <c r="AP2">
        <v>2014</v>
      </c>
      <c r="AQ2">
        <v>2014</v>
      </c>
      <c r="AR2">
        <v>2014</v>
      </c>
      <c r="AS2">
        <v>2014</v>
      </c>
      <c r="AT2">
        <v>2014</v>
      </c>
      <c r="AU2">
        <v>2014</v>
      </c>
      <c r="AV2">
        <v>2014</v>
      </c>
      <c r="AW2">
        <v>2014</v>
      </c>
      <c r="AX2">
        <v>2014</v>
      </c>
      <c r="AY2">
        <v>2014</v>
      </c>
      <c r="AZ2">
        <v>2014</v>
      </c>
      <c r="BA2">
        <v>2014</v>
      </c>
      <c r="BB2">
        <v>2014</v>
      </c>
      <c r="BC2">
        <v>2014</v>
      </c>
      <c r="BD2">
        <v>2014</v>
      </c>
      <c r="BE2">
        <v>2014</v>
      </c>
      <c r="BF2">
        <v>2014</v>
      </c>
      <c r="BG2">
        <v>2014</v>
      </c>
      <c r="BH2">
        <v>2014</v>
      </c>
      <c r="BI2">
        <v>2014</v>
      </c>
      <c r="BJ2">
        <v>2014</v>
      </c>
      <c r="BK2">
        <v>2014</v>
      </c>
      <c r="BL2">
        <v>2014</v>
      </c>
      <c r="BM2">
        <v>2014</v>
      </c>
      <c r="BN2">
        <v>2014</v>
      </c>
      <c r="BO2">
        <v>2014</v>
      </c>
      <c r="BP2">
        <v>2014</v>
      </c>
      <c r="BQ2">
        <v>2014</v>
      </c>
      <c r="BR2">
        <v>2014</v>
      </c>
      <c r="BS2">
        <v>2014</v>
      </c>
      <c r="BT2">
        <v>2014</v>
      </c>
      <c r="BU2">
        <v>2014</v>
      </c>
      <c r="BV2">
        <v>2015</v>
      </c>
      <c r="BW2">
        <v>2015</v>
      </c>
      <c r="BX2">
        <v>2015</v>
      </c>
      <c r="BY2">
        <v>2015</v>
      </c>
      <c r="BZ2">
        <v>2015</v>
      </c>
      <c r="CA2">
        <v>2015</v>
      </c>
      <c r="CB2">
        <v>2015</v>
      </c>
      <c r="CC2">
        <v>2015</v>
      </c>
      <c r="CD2">
        <v>2015</v>
      </c>
      <c r="CE2">
        <v>2015</v>
      </c>
      <c r="CF2">
        <v>2015</v>
      </c>
      <c r="CG2">
        <v>2015</v>
      </c>
      <c r="CH2">
        <v>2015</v>
      </c>
      <c r="CI2">
        <v>2015</v>
      </c>
      <c r="CJ2">
        <v>2015</v>
      </c>
      <c r="CK2">
        <v>2015</v>
      </c>
      <c r="CL2">
        <v>2015</v>
      </c>
      <c r="CM2">
        <v>2015</v>
      </c>
      <c r="CN2">
        <v>2015</v>
      </c>
      <c r="CO2">
        <v>2015</v>
      </c>
      <c r="CP2">
        <v>2015</v>
      </c>
      <c r="CQ2">
        <v>2015</v>
      </c>
      <c r="CR2">
        <v>2015</v>
      </c>
      <c r="CS2">
        <v>2015</v>
      </c>
      <c r="CT2">
        <v>2015</v>
      </c>
      <c r="CU2">
        <v>2015</v>
      </c>
      <c r="CV2">
        <v>2015</v>
      </c>
      <c r="CW2">
        <v>2015</v>
      </c>
      <c r="CX2">
        <v>2015</v>
      </c>
      <c r="CY2">
        <v>2015</v>
      </c>
      <c r="CZ2">
        <v>2015</v>
      </c>
      <c r="DA2">
        <v>2015</v>
      </c>
      <c r="DB2">
        <v>2015</v>
      </c>
      <c r="DC2">
        <v>2015</v>
      </c>
      <c r="DD2">
        <v>2015</v>
      </c>
      <c r="DE2">
        <v>2015</v>
      </c>
      <c r="DF2">
        <v>2016</v>
      </c>
      <c r="DG2">
        <v>2016</v>
      </c>
      <c r="DH2">
        <v>2016</v>
      </c>
      <c r="DI2">
        <v>2016</v>
      </c>
      <c r="DJ2">
        <v>2016</v>
      </c>
      <c r="DK2">
        <v>2016</v>
      </c>
      <c r="DL2">
        <v>2016</v>
      </c>
      <c r="DM2">
        <v>2016</v>
      </c>
      <c r="DN2">
        <v>2016</v>
      </c>
      <c r="DO2">
        <v>2016</v>
      </c>
      <c r="DP2">
        <v>2016</v>
      </c>
      <c r="DQ2">
        <v>2016</v>
      </c>
      <c r="DR2">
        <v>2016</v>
      </c>
      <c r="DS2">
        <v>2016</v>
      </c>
      <c r="DT2">
        <v>2016</v>
      </c>
      <c r="DU2">
        <v>2016</v>
      </c>
      <c r="DV2">
        <v>2016</v>
      </c>
      <c r="DW2">
        <v>2016</v>
      </c>
      <c r="DX2">
        <v>2016</v>
      </c>
      <c r="DY2">
        <v>2016</v>
      </c>
      <c r="DZ2">
        <v>2016</v>
      </c>
      <c r="EA2">
        <v>2016</v>
      </c>
      <c r="EB2">
        <v>2016</v>
      </c>
      <c r="EC2">
        <v>2016</v>
      </c>
      <c r="ED2">
        <v>2016</v>
      </c>
      <c r="EE2">
        <v>2016</v>
      </c>
      <c r="EF2">
        <v>2016</v>
      </c>
      <c r="EG2">
        <v>2016</v>
      </c>
      <c r="EH2">
        <v>2016</v>
      </c>
      <c r="EI2">
        <v>2016</v>
      </c>
      <c r="EJ2">
        <v>2016</v>
      </c>
      <c r="EK2">
        <v>2016</v>
      </c>
      <c r="EL2">
        <v>2016</v>
      </c>
      <c r="EM2">
        <v>2016</v>
      </c>
      <c r="EN2">
        <v>2016</v>
      </c>
      <c r="EO2">
        <v>2016</v>
      </c>
      <c r="EP2">
        <v>2017</v>
      </c>
      <c r="EQ2">
        <v>2017</v>
      </c>
      <c r="ER2">
        <v>2017</v>
      </c>
      <c r="ES2">
        <v>2017</v>
      </c>
      <c r="ET2">
        <v>2017</v>
      </c>
      <c r="EU2">
        <v>2017</v>
      </c>
      <c r="EV2">
        <v>2017</v>
      </c>
      <c r="EW2">
        <v>2017</v>
      </c>
      <c r="EX2">
        <v>2017</v>
      </c>
      <c r="EY2">
        <v>2017</v>
      </c>
      <c r="EZ2">
        <v>2017</v>
      </c>
      <c r="FA2">
        <v>2017</v>
      </c>
      <c r="FB2">
        <v>2017</v>
      </c>
      <c r="FC2">
        <v>2017</v>
      </c>
      <c r="FD2">
        <v>2017</v>
      </c>
      <c r="FE2">
        <v>2017</v>
      </c>
      <c r="FF2">
        <v>2017</v>
      </c>
      <c r="FG2">
        <v>2017</v>
      </c>
      <c r="FH2">
        <v>2017</v>
      </c>
      <c r="FI2">
        <v>2017</v>
      </c>
      <c r="FJ2">
        <v>2017</v>
      </c>
      <c r="FK2">
        <v>2017</v>
      </c>
      <c r="FL2">
        <v>2017</v>
      </c>
      <c r="FM2">
        <v>2017</v>
      </c>
      <c r="FN2">
        <v>2017</v>
      </c>
      <c r="FO2">
        <v>2017</v>
      </c>
      <c r="FP2">
        <v>2017</v>
      </c>
      <c r="FQ2">
        <v>2017</v>
      </c>
      <c r="FR2">
        <v>2017</v>
      </c>
      <c r="FS2">
        <v>2017</v>
      </c>
      <c r="FT2">
        <v>2017</v>
      </c>
      <c r="FU2">
        <v>2017</v>
      </c>
      <c r="FV2">
        <v>2017</v>
      </c>
      <c r="FW2">
        <v>2017</v>
      </c>
      <c r="FX2">
        <v>2017</v>
      </c>
      <c r="FY2">
        <v>2017</v>
      </c>
      <c r="FZ2">
        <v>2018</v>
      </c>
      <c r="GA2">
        <v>2018</v>
      </c>
      <c r="GB2">
        <v>2018</v>
      </c>
      <c r="GC2">
        <v>2018</v>
      </c>
      <c r="GD2">
        <v>2018</v>
      </c>
      <c r="GE2">
        <v>2018</v>
      </c>
      <c r="GF2">
        <v>2018</v>
      </c>
      <c r="GG2">
        <v>2018</v>
      </c>
      <c r="GH2">
        <v>2018</v>
      </c>
      <c r="GI2">
        <v>2018</v>
      </c>
      <c r="GJ2">
        <v>2018</v>
      </c>
      <c r="GK2">
        <v>2018</v>
      </c>
      <c r="GL2">
        <v>2018</v>
      </c>
      <c r="GM2">
        <v>2018</v>
      </c>
      <c r="GN2">
        <v>2018</v>
      </c>
      <c r="GO2">
        <v>2018</v>
      </c>
      <c r="GP2">
        <v>2018</v>
      </c>
      <c r="GQ2">
        <v>2018</v>
      </c>
      <c r="GR2">
        <v>2018</v>
      </c>
      <c r="GS2">
        <v>2018</v>
      </c>
      <c r="GT2">
        <v>2018</v>
      </c>
      <c r="GU2">
        <v>2018</v>
      </c>
      <c r="GV2">
        <v>2018</v>
      </c>
      <c r="GW2">
        <v>2018</v>
      </c>
      <c r="GX2">
        <v>2018</v>
      </c>
      <c r="GY2">
        <v>2018</v>
      </c>
      <c r="GZ2">
        <v>2018</v>
      </c>
      <c r="HA2">
        <v>2018</v>
      </c>
      <c r="HB2">
        <v>2018</v>
      </c>
      <c r="HC2">
        <v>2018</v>
      </c>
      <c r="HD2">
        <v>2018</v>
      </c>
      <c r="HE2">
        <v>2018</v>
      </c>
      <c r="HF2">
        <v>2018</v>
      </c>
      <c r="HG2">
        <v>2018</v>
      </c>
      <c r="HH2">
        <v>2018</v>
      </c>
      <c r="HI2">
        <v>2018</v>
      </c>
      <c r="HJ2">
        <v>2019</v>
      </c>
      <c r="HK2">
        <v>2019</v>
      </c>
      <c r="HL2">
        <v>2019</v>
      </c>
      <c r="HM2">
        <v>2019</v>
      </c>
      <c r="HN2">
        <v>2019</v>
      </c>
      <c r="HO2">
        <v>2019</v>
      </c>
      <c r="HP2">
        <v>2019</v>
      </c>
      <c r="HQ2">
        <v>2019</v>
      </c>
      <c r="HR2">
        <v>2019</v>
      </c>
      <c r="HS2">
        <v>2019</v>
      </c>
      <c r="HT2">
        <v>2019</v>
      </c>
      <c r="HU2">
        <v>2019</v>
      </c>
      <c r="HV2">
        <v>2019</v>
      </c>
      <c r="HW2">
        <v>2019</v>
      </c>
      <c r="HX2">
        <v>2019</v>
      </c>
      <c r="HY2">
        <v>2019</v>
      </c>
      <c r="HZ2">
        <v>2019</v>
      </c>
      <c r="IA2">
        <v>2019</v>
      </c>
      <c r="IB2">
        <v>2019</v>
      </c>
      <c r="IC2">
        <v>2019</v>
      </c>
      <c r="ID2">
        <v>2019</v>
      </c>
      <c r="IE2">
        <v>2019</v>
      </c>
      <c r="IF2">
        <v>2019</v>
      </c>
      <c r="IG2">
        <v>2019</v>
      </c>
      <c r="IH2">
        <v>2019</v>
      </c>
      <c r="II2">
        <v>2019</v>
      </c>
      <c r="IJ2">
        <v>2019</v>
      </c>
      <c r="IK2">
        <v>2019</v>
      </c>
      <c r="IL2">
        <v>2019</v>
      </c>
      <c r="IM2">
        <v>2019</v>
      </c>
      <c r="IN2">
        <v>2019</v>
      </c>
      <c r="IO2">
        <v>2019</v>
      </c>
      <c r="IP2">
        <v>2019</v>
      </c>
      <c r="IQ2">
        <v>2020</v>
      </c>
      <c r="IR2">
        <v>2020</v>
      </c>
      <c r="IS2">
        <v>2020</v>
      </c>
      <c r="IT2">
        <v>2020</v>
      </c>
      <c r="IU2">
        <v>2020</v>
      </c>
      <c r="IV2">
        <v>2020</v>
      </c>
      <c r="IW2">
        <v>2020</v>
      </c>
      <c r="IX2">
        <v>2020</v>
      </c>
      <c r="IY2">
        <v>2020</v>
      </c>
      <c r="IZ2">
        <v>2020</v>
      </c>
      <c r="JA2">
        <v>2020</v>
      </c>
      <c r="JB2">
        <v>2020</v>
      </c>
      <c r="JC2">
        <v>2020</v>
      </c>
      <c r="JD2">
        <v>2020</v>
      </c>
      <c r="JE2">
        <v>2020</v>
      </c>
      <c r="JF2">
        <v>2020</v>
      </c>
      <c r="JG2">
        <v>2020</v>
      </c>
      <c r="JH2">
        <v>2020</v>
      </c>
      <c r="JI2">
        <v>2020</v>
      </c>
      <c r="JJ2">
        <v>2020</v>
      </c>
      <c r="JK2">
        <v>2020</v>
      </c>
      <c r="JL2">
        <v>2020</v>
      </c>
      <c r="JM2">
        <v>2020</v>
      </c>
      <c r="JN2">
        <v>2020</v>
      </c>
      <c r="JO2">
        <v>2020</v>
      </c>
      <c r="JP2">
        <v>2020</v>
      </c>
      <c r="JQ2">
        <v>2020</v>
      </c>
      <c r="JR2">
        <v>2020</v>
      </c>
      <c r="JS2">
        <v>2020</v>
      </c>
      <c r="JT2">
        <v>2020</v>
      </c>
      <c r="JU2">
        <v>2020</v>
      </c>
      <c r="JV2">
        <v>2020</v>
      </c>
      <c r="JW2">
        <v>2020</v>
      </c>
      <c r="JX2">
        <v>2020</v>
      </c>
      <c r="JY2">
        <v>2020</v>
      </c>
      <c r="JZ2">
        <v>2020</v>
      </c>
      <c r="KA2">
        <v>2021</v>
      </c>
      <c r="KB2">
        <v>2021</v>
      </c>
      <c r="KC2">
        <v>2021</v>
      </c>
      <c r="KD2">
        <v>2021</v>
      </c>
      <c r="KE2">
        <v>2021</v>
      </c>
      <c r="KF2">
        <v>2021</v>
      </c>
      <c r="KG2">
        <v>2021</v>
      </c>
      <c r="KH2">
        <v>2021</v>
      </c>
      <c r="KI2">
        <v>2021</v>
      </c>
      <c r="KJ2">
        <v>2021</v>
      </c>
      <c r="KK2">
        <v>2021</v>
      </c>
      <c r="KL2">
        <v>2021</v>
      </c>
      <c r="KM2">
        <v>2021</v>
      </c>
      <c r="KN2">
        <v>2021</v>
      </c>
      <c r="KO2">
        <v>2021</v>
      </c>
      <c r="KP2">
        <v>2021</v>
      </c>
      <c r="KQ2">
        <v>2021</v>
      </c>
      <c r="KR2">
        <v>2021</v>
      </c>
      <c r="KS2">
        <v>2021</v>
      </c>
      <c r="KT2">
        <v>2021</v>
      </c>
      <c r="KU2">
        <v>2021</v>
      </c>
      <c r="KV2">
        <v>2021</v>
      </c>
      <c r="KW2">
        <v>2021</v>
      </c>
      <c r="KX2">
        <v>2021</v>
      </c>
      <c r="KY2">
        <v>2021</v>
      </c>
      <c r="KZ2">
        <v>2021</v>
      </c>
      <c r="LA2">
        <v>2021</v>
      </c>
      <c r="LB2">
        <v>2021</v>
      </c>
      <c r="LC2">
        <v>2021</v>
      </c>
      <c r="LD2">
        <v>2021</v>
      </c>
      <c r="LE2">
        <v>2021</v>
      </c>
      <c r="LF2">
        <v>2021</v>
      </c>
      <c r="LG2">
        <v>2021</v>
      </c>
      <c r="LH2">
        <v>2021</v>
      </c>
      <c r="LI2">
        <v>2021</v>
      </c>
      <c r="LJ2">
        <v>2021</v>
      </c>
      <c r="LK2">
        <v>2022</v>
      </c>
      <c r="LL2">
        <v>2022</v>
      </c>
      <c r="LM2">
        <v>2022</v>
      </c>
      <c r="LN2">
        <v>2022</v>
      </c>
      <c r="LO2">
        <v>2022</v>
      </c>
      <c r="LP2">
        <v>2022</v>
      </c>
      <c r="LQ2">
        <v>2022</v>
      </c>
      <c r="LR2">
        <v>2022</v>
      </c>
      <c r="LS2">
        <v>2022</v>
      </c>
      <c r="LT2">
        <v>2022</v>
      </c>
      <c r="LU2">
        <v>2022</v>
      </c>
      <c r="LV2">
        <v>2022</v>
      </c>
      <c r="LW2">
        <v>2022</v>
      </c>
      <c r="LX2">
        <v>2022</v>
      </c>
      <c r="LY2">
        <v>2022</v>
      </c>
      <c r="LZ2">
        <v>2022</v>
      </c>
      <c r="MA2">
        <v>2022</v>
      </c>
      <c r="MB2">
        <v>2022</v>
      </c>
      <c r="MC2">
        <v>2022</v>
      </c>
      <c r="MD2">
        <v>2022</v>
      </c>
      <c r="ME2">
        <v>2022</v>
      </c>
      <c r="MF2">
        <v>2022</v>
      </c>
      <c r="MG2">
        <v>2022</v>
      </c>
      <c r="MH2">
        <v>2022</v>
      </c>
      <c r="MI2">
        <v>2022</v>
      </c>
      <c r="MJ2">
        <v>2022</v>
      </c>
      <c r="MK2">
        <v>2022</v>
      </c>
      <c r="ML2">
        <v>2022</v>
      </c>
      <c r="MM2">
        <v>2022</v>
      </c>
      <c r="MN2">
        <v>2022</v>
      </c>
      <c r="MO2">
        <v>2022</v>
      </c>
      <c r="MP2">
        <v>2022</v>
      </c>
      <c r="MQ2">
        <v>2022</v>
      </c>
      <c r="MR2">
        <v>2022</v>
      </c>
      <c r="MS2">
        <v>2022</v>
      </c>
      <c r="MT2">
        <v>2022</v>
      </c>
      <c r="MU2">
        <v>2023</v>
      </c>
      <c r="MV2">
        <v>2023</v>
      </c>
      <c r="MW2">
        <v>2023</v>
      </c>
      <c r="MX2">
        <v>2023</v>
      </c>
      <c r="MY2">
        <v>2023</v>
      </c>
      <c r="MZ2">
        <v>2023</v>
      </c>
      <c r="NA2">
        <v>2023</v>
      </c>
      <c r="NB2">
        <v>2023</v>
      </c>
      <c r="NC2">
        <v>2023</v>
      </c>
      <c r="ND2">
        <v>2023</v>
      </c>
      <c r="NE2">
        <v>2023</v>
      </c>
      <c r="NF2">
        <v>2023</v>
      </c>
      <c r="NG2">
        <v>2023</v>
      </c>
      <c r="NH2">
        <v>2023</v>
      </c>
      <c r="NI2">
        <v>2023</v>
      </c>
    </row>
    <row r="3" spans="1:373" x14ac:dyDescent="0.3">
      <c r="A3" s="1" t="s">
        <v>2</v>
      </c>
      <c r="B3" t="s">
        <v>31</v>
      </c>
      <c r="C3" t="s">
        <v>31</v>
      </c>
      <c r="D3" t="s">
        <v>31</v>
      </c>
      <c r="E3" t="s">
        <v>35</v>
      </c>
      <c r="F3" t="s">
        <v>35</v>
      </c>
      <c r="G3" t="s">
        <v>35</v>
      </c>
      <c r="H3" t="s">
        <v>36</v>
      </c>
      <c r="I3" t="s">
        <v>36</v>
      </c>
      <c r="J3" t="s">
        <v>36</v>
      </c>
      <c r="K3" t="s">
        <v>37</v>
      </c>
      <c r="L3" t="s">
        <v>37</v>
      </c>
      <c r="M3" t="s">
        <v>37</v>
      </c>
      <c r="N3" t="s">
        <v>38</v>
      </c>
      <c r="O3" t="s">
        <v>38</v>
      </c>
      <c r="P3" t="s">
        <v>38</v>
      </c>
      <c r="Q3" t="s">
        <v>39</v>
      </c>
      <c r="R3" t="s">
        <v>39</v>
      </c>
      <c r="S3" t="s">
        <v>39</v>
      </c>
      <c r="T3" t="s">
        <v>40</v>
      </c>
      <c r="U3" t="s">
        <v>40</v>
      </c>
      <c r="V3" t="s">
        <v>40</v>
      </c>
      <c r="W3" t="s">
        <v>41</v>
      </c>
      <c r="X3" t="s">
        <v>41</v>
      </c>
      <c r="Y3" t="s">
        <v>41</v>
      </c>
      <c r="Z3" t="s">
        <v>42</v>
      </c>
      <c r="AA3" t="s">
        <v>42</v>
      </c>
      <c r="AB3" t="s">
        <v>42</v>
      </c>
      <c r="AC3" t="s">
        <v>43</v>
      </c>
      <c r="AD3" t="s">
        <v>43</v>
      </c>
      <c r="AE3" t="s">
        <v>43</v>
      </c>
      <c r="AF3" t="s">
        <v>44</v>
      </c>
      <c r="AG3" t="s">
        <v>45</v>
      </c>
      <c r="AH3" t="s">
        <v>45</v>
      </c>
      <c r="AI3" t="s">
        <v>46</v>
      </c>
      <c r="AJ3" t="s">
        <v>46</v>
      </c>
      <c r="AK3" t="s">
        <v>46</v>
      </c>
      <c r="AL3" t="s">
        <v>31</v>
      </c>
      <c r="AM3" t="s">
        <v>31</v>
      </c>
      <c r="AN3" t="s">
        <v>31</v>
      </c>
      <c r="AO3" t="s">
        <v>35</v>
      </c>
      <c r="AP3" t="s">
        <v>35</v>
      </c>
      <c r="AQ3" t="s">
        <v>35</v>
      </c>
      <c r="AR3" t="s">
        <v>36</v>
      </c>
      <c r="AS3" t="s">
        <v>36</v>
      </c>
      <c r="AT3" t="s">
        <v>36</v>
      </c>
      <c r="AU3" t="s">
        <v>37</v>
      </c>
      <c r="AV3" t="s">
        <v>37</v>
      </c>
      <c r="AW3" t="s">
        <v>37</v>
      </c>
      <c r="AX3" t="s">
        <v>38</v>
      </c>
      <c r="AY3" t="s">
        <v>38</v>
      </c>
      <c r="AZ3" t="s">
        <v>38</v>
      </c>
      <c r="BA3" t="s">
        <v>39</v>
      </c>
      <c r="BB3" t="s">
        <v>39</v>
      </c>
      <c r="BC3" t="s">
        <v>39</v>
      </c>
      <c r="BD3" t="s">
        <v>40</v>
      </c>
      <c r="BE3" t="s">
        <v>40</v>
      </c>
      <c r="BF3" t="s">
        <v>40</v>
      </c>
      <c r="BG3" t="s">
        <v>41</v>
      </c>
      <c r="BH3" t="s">
        <v>41</v>
      </c>
      <c r="BI3" t="s">
        <v>41</v>
      </c>
      <c r="BJ3" t="s">
        <v>42</v>
      </c>
      <c r="BK3" t="s">
        <v>42</v>
      </c>
      <c r="BL3" t="s">
        <v>42</v>
      </c>
      <c r="BM3" t="s">
        <v>43</v>
      </c>
      <c r="BN3" t="s">
        <v>43</v>
      </c>
      <c r="BO3" t="s">
        <v>43</v>
      </c>
      <c r="BP3" t="s">
        <v>45</v>
      </c>
      <c r="BQ3" t="s">
        <v>45</v>
      </c>
      <c r="BR3" t="s">
        <v>45</v>
      </c>
      <c r="BS3" t="s">
        <v>46</v>
      </c>
      <c r="BT3" t="s">
        <v>46</v>
      </c>
      <c r="BU3" t="s">
        <v>46</v>
      </c>
      <c r="BV3" t="s">
        <v>31</v>
      </c>
      <c r="BW3" t="s">
        <v>31</v>
      </c>
      <c r="BX3" t="s">
        <v>31</v>
      </c>
      <c r="BY3" t="s">
        <v>35</v>
      </c>
      <c r="BZ3" t="s">
        <v>35</v>
      </c>
      <c r="CA3" t="s">
        <v>35</v>
      </c>
      <c r="CB3" t="s">
        <v>36</v>
      </c>
      <c r="CC3" t="s">
        <v>36</v>
      </c>
      <c r="CD3" t="s">
        <v>36</v>
      </c>
      <c r="CE3" t="s">
        <v>37</v>
      </c>
      <c r="CF3" t="s">
        <v>37</v>
      </c>
      <c r="CG3" t="s">
        <v>37</v>
      </c>
      <c r="CH3" t="s">
        <v>38</v>
      </c>
      <c r="CI3" t="s">
        <v>38</v>
      </c>
      <c r="CJ3" t="s">
        <v>38</v>
      </c>
      <c r="CK3" t="s">
        <v>39</v>
      </c>
      <c r="CL3" t="s">
        <v>39</v>
      </c>
      <c r="CM3" t="s">
        <v>39</v>
      </c>
      <c r="CN3" t="s">
        <v>40</v>
      </c>
      <c r="CO3" t="s">
        <v>40</v>
      </c>
      <c r="CP3" t="s">
        <v>40</v>
      </c>
      <c r="CQ3" t="s">
        <v>41</v>
      </c>
      <c r="CR3" t="s">
        <v>41</v>
      </c>
      <c r="CS3" t="s">
        <v>41</v>
      </c>
      <c r="CT3" t="s">
        <v>42</v>
      </c>
      <c r="CU3" t="s">
        <v>42</v>
      </c>
      <c r="CV3" t="s">
        <v>42</v>
      </c>
      <c r="CW3" t="s">
        <v>43</v>
      </c>
      <c r="CX3" t="s">
        <v>43</v>
      </c>
      <c r="CY3" t="s">
        <v>43</v>
      </c>
      <c r="CZ3" t="s">
        <v>45</v>
      </c>
      <c r="DA3" t="s">
        <v>45</v>
      </c>
      <c r="DB3" t="s">
        <v>45</v>
      </c>
      <c r="DC3" t="s">
        <v>46</v>
      </c>
      <c r="DD3" t="s">
        <v>46</v>
      </c>
      <c r="DE3" t="s">
        <v>46</v>
      </c>
      <c r="DF3" t="s">
        <v>31</v>
      </c>
      <c r="DG3" t="s">
        <v>31</v>
      </c>
      <c r="DH3" t="s">
        <v>31</v>
      </c>
      <c r="DI3" t="s">
        <v>35</v>
      </c>
      <c r="DJ3" t="s">
        <v>35</v>
      </c>
      <c r="DK3" t="s">
        <v>35</v>
      </c>
      <c r="DL3" t="s">
        <v>36</v>
      </c>
      <c r="DM3" t="s">
        <v>36</v>
      </c>
      <c r="DN3" t="s">
        <v>36</v>
      </c>
      <c r="DO3" t="s">
        <v>37</v>
      </c>
      <c r="DP3" t="s">
        <v>37</v>
      </c>
      <c r="DQ3" t="s">
        <v>37</v>
      </c>
      <c r="DR3" t="s">
        <v>38</v>
      </c>
      <c r="DS3" t="s">
        <v>38</v>
      </c>
      <c r="DT3" t="s">
        <v>38</v>
      </c>
      <c r="DU3" t="s">
        <v>39</v>
      </c>
      <c r="DV3" t="s">
        <v>39</v>
      </c>
      <c r="DW3" t="s">
        <v>39</v>
      </c>
      <c r="DX3" t="s">
        <v>40</v>
      </c>
      <c r="DY3" t="s">
        <v>40</v>
      </c>
      <c r="DZ3" t="s">
        <v>40</v>
      </c>
      <c r="EA3" t="s">
        <v>41</v>
      </c>
      <c r="EB3" t="s">
        <v>41</v>
      </c>
      <c r="EC3" t="s">
        <v>41</v>
      </c>
      <c r="ED3" t="s">
        <v>42</v>
      </c>
      <c r="EE3" t="s">
        <v>42</v>
      </c>
      <c r="EF3" t="s">
        <v>42</v>
      </c>
      <c r="EG3" t="s">
        <v>43</v>
      </c>
      <c r="EH3" t="s">
        <v>43</v>
      </c>
      <c r="EI3" t="s">
        <v>43</v>
      </c>
      <c r="EJ3" t="s">
        <v>45</v>
      </c>
      <c r="EK3" t="s">
        <v>45</v>
      </c>
      <c r="EL3" t="s">
        <v>45</v>
      </c>
      <c r="EM3" t="s">
        <v>46</v>
      </c>
      <c r="EN3" t="s">
        <v>46</v>
      </c>
      <c r="EO3" t="s">
        <v>46</v>
      </c>
      <c r="EP3" t="s">
        <v>31</v>
      </c>
      <c r="EQ3" t="s">
        <v>31</v>
      </c>
      <c r="ER3" t="s">
        <v>31</v>
      </c>
      <c r="ES3" t="s">
        <v>35</v>
      </c>
      <c r="ET3" t="s">
        <v>35</v>
      </c>
      <c r="EU3" t="s">
        <v>35</v>
      </c>
      <c r="EV3" t="s">
        <v>36</v>
      </c>
      <c r="EW3" t="s">
        <v>36</v>
      </c>
      <c r="EX3" t="s">
        <v>36</v>
      </c>
      <c r="EY3" t="s">
        <v>37</v>
      </c>
      <c r="EZ3" t="s">
        <v>37</v>
      </c>
      <c r="FA3" t="s">
        <v>37</v>
      </c>
      <c r="FB3" t="s">
        <v>38</v>
      </c>
      <c r="FC3" t="s">
        <v>38</v>
      </c>
      <c r="FD3" t="s">
        <v>38</v>
      </c>
      <c r="FE3" t="s">
        <v>39</v>
      </c>
      <c r="FF3" t="s">
        <v>39</v>
      </c>
      <c r="FG3" t="s">
        <v>39</v>
      </c>
      <c r="FH3" t="s">
        <v>40</v>
      </c>
      <c r="FI3" t="s">
        <v>40</v>
      </c>
      <c r="FJ3" t="s">
        <v>40</v>
      </c>
      <c r="FK3" t="s">
        <v>41</v>
      </c>
      <c r="FL3" t="s">
        <v>41</v>
      </c>
      <c r="FM3" t="s">
        <v>41</v>
      </c>
      <c r="FN3" t="s">
        <v>42</v>
      </c>
      <c r="FO3" t="s">
        <v>42</v>
      </c>
      <c r="FP3" t="s">
        <v>42</v>
      </c>
      <c r="FQ3" t="s">
        <v>43</v>
      </c>
      <c r="FR3" t="s">
        <v>43</v>
      </c>
      <c r="FS3" t="s">
        <v>43</v>
      </c>
      <c r="FT3" t="s">
        <v>45</v>
      </c>
      <c r="FU3" t="s">
        <v>45</v>
      </c>
      <c r="FV3" t="s">
        <v>45</v>
      </c>
      <c r="FW3" t="s">
        <v>46</v>
      </c>
      <c r="FX3" t="s">
        <v>46</v>
      </c>
      <c r="FY3" t="s">
        <v>46</v>
      </c>
      <c r="FZ3" t="s">
        <v>31</v>
      </c>
      <c r="GA3" t="s">
        <v>31</v>
      </c>
      <c r="GB3" t="s">
        <v>31</v>
      </c>
      <c r="GC3" t="s">
        <v>35</v>
      </c>
      <c r="GD3" t="s">
        <v>35</v>
      </c>
      <c r="GE3" t="s">
        <v>35</v>
      </c>
      <c r="GF3" t="s">
        <v>36</v>
      </c>
      <c r="GG3" t="s">
        <v>36</v>
      </c>
      <c r="GH3" t="s">
        <v>36</v>
      </c>
      <c r="GI3" t="s">
        <v>37</v>
      </c>
      <c r="GJ3" t="s">
        <v>37</v>
      </c>
      <c r="GK3" t="s">
        <v>37</v>
      </c>
      <c r="GL3" t="s">
        <v>38</v>
      </c>
      <c r="GM3" t="s">
        <v>38</v>
      </c>
      <c r="GN3" t="s">
        <v>38</v>
      </c>
      <c r="GO3" t="s">
        <v>39</v>
      </c>
      <c r="GP3" t="s">
        <v>39</v>
      </c>
      <c r="GQ3" t="s">
        <v>39</v>
      </c>
      <c r="GR3" t="s">
        <v>40</v>
      </c>
      <c r="GS3" t="s">
        <v>40</v>
      </c>
      <c r="GT3" t="s">
        <v>40</v>
      </c>
      <c r="GU3" t="s">
        <v>41</v>
      </c>
      <c r="GV3" t="s">
        <v>41</v>
      </c>
      <c r="GW3" t="s">
        <v>41</v>
      </c>
      <c r="GX3" t="s">
        <v>42</v>
      </c>
      <c r="GY3" t="s">
        <v>42</v>
      </c>
      <c r="GZ3" t="s">
        <v>42</v>
      </c>
      <c r="HA3" t="s">
        <v>43</v>
      </c>
      <c r="HB3" t="s">
        <v>43</v>
      </c>
      <c r="HC3" t="s">
        <v>43</v>
      </c>
      <c r="HD3" t="s">
        <v>45</v>
      </c>
      <c r="HE3" t="s">
        <v>45</v>
      </c>
      <c r="HF3" t="s">
        <v>45</v>
      </c>
      <c r="HG3" t="s">
        <v>46</v>
      </c>
      <c r="HH3" t="s">
        <v>46</v>
      </c>
      <c r="HI3" t="s">
        <v>46</v>
      </c>
      <c r="HJ3" t="s">
        <v>31</v>
      </c>
      <c r="HK3" t="s">
        <v>31</v>
      </c>
      <c r="HL3" t="s">
        <v>31</v>
      </c>
      <c r="HM3" t="s">
        <v>35</v>
      </c>
      <c r="HN3" t="s">
        <v>35</v>
      </c>
      <c r="HO3" t="s">
        <v>35</v>
      </c>
      <c r="HP3" t="s">
        <v>36</v>
      </c>
      <c r="HQ3" t="s">
        <v>36</v>
      </c>
      <c r="HR3" t="s">
        <v>36</v>
      </c>
      <c r="HS3" t="s">
        <v>38</v>
      </c>
      <c r="HT3" t="s">
        <v>38</v>
      </c>
      <c r="HU3" t="s">
        <v>38</v>
      </c>
      <c r="HV3" t="s">
        <v>39</v>
      </c>
      <c r="HW3" t="s">
        <v>39</v>
      </c>
      <c r="HX3" t="s">
        <v>39</v>
      </c>
      <c r="HY3" t="s">
        <v>40</v>
      </c>
      <c r="HZ3" t="s">
        <v>40</v>
      </c>
      <c r="IA3" t="s">
        <v>40</v>
      </c>
      <c r="IB3" t="s">
        <v>41</v>
      </c>
      <c r="IC3" t="s">
        <v>41</v>
      </c>
      <c r="ID3" t="s">
        <v>41</v>
      </c>
      <c r="IE3" t="s">
        <v>42</v>
      </c>
      <c r="IF3" t="s">
        <v>42</v>
      </c>
      <c r="IG3" t="s">
        <v>42</v>
      </c>
      <c r="IH3" t="s">
        <v>43</v>
      </c>
      <c r="II3" t="s">
        <v>43</v>
      </c>
      <c r="IJ3" t="s">
        <v>43</v>
      </c>
      <c r="IK3" t="s">
        <v>45</v>
      </c>
      <c r="IL3" t="s">
        <v>45</v>
      </c>
      <c r="IM3" t="s">
        <v>45</v>
      </c>
      <c r="IN3" t="s">
        <v>46</v>
      </c>
      <c r="IO3" t="s">
        <v>46</v>
      </c>
      <c r="IP3" t="s">
        <v>46</v>
      </c>
      <c r="IQ3" t="s">
        <v>31</v>
      </c>
      <c r="IR3" t="s">
        <v>31</v>
      </c>
      <c r="IS3" t="s">
        <v>31</v>
      </c>
      <c r="IT3" t="s">
        <v>35</v>
      </c>
      <c r="IU3" t="s">
        <v>35</v>
      </c>
      <c r="IV3" t="s">
        <v>35</v>
      </c>
      <c r="IW3" t="s">
        <v>36</v>
      </c>
      <c r="IX3" t="s">
        <v>36</v>
      </c>
      <c r="IY3" t="s">
        <v>36</v>
      </c>
      <c r="IZ3" t="s">
        <v>37</v>
      </c>
      <c r="JA3" t="s">
        <v>37</v>
      </c>
      <c r="JB3" t="s">
        <v>37</v>
      </c>
      <c r="JC3" t="s">
        <v>38</v>
      </c>
      <c r="JD3" t="s">
        <v>38</v>
      </c>
      <c r="JE3" t="s">
        <v>38</v>
      </c>
      <c r="JF3" t="s">
        <v>39</v>
      </c>
      <c r="JG3" t="s">
        <v>39</v>
      </c>
      <c r="JH3" t="s">
        <v>39</v>
      </c>
      <c r="JI3" t="s">
        <v>40</v>
      </c>
      <c r="JJ3" t="s">
        <v>40</v>
      </c>
      <c r="JK3" t="s">
        <v>40</v>
      </c>
      <c r="JL3" t="s">
        <v>41</v>
      </c>
      <c r="JM3" t="s">
        <v>41</v>
      </c>
      <c r="JN3" t="s">
        <v>41</v>
      </c>
      <c r="JO3" t="s">
        <v>42</v>
      </c>
      <c r="JP3" t="s">
        <v>42</v>
      </c>
      <c r="JQ3" t="s">
        <v>42</v>
      </c>
      <c r="JR3" t="s">
        <v>43</v>
      </c>
      <c r="JS3" t="s">
        <v>43</v>
      </c>
      <c r="JT3" t="s">
        <v>43</v>
      </c>
      <c r="JU3" t="s">
        <v>45</v>
      </c>
      <c r="JV3" t="s">
        <v>45</v>
      </c>
      <c r="JW3" t="s">
        <v>45</v>
      </c>
      <c r="JX3" t="s">
        <v>46</v>
      </c>
      <c r="JY3" t="s">
        <v>46</v>
      </c>
      <c r="JZ3" t="s">
        <v>46</v>
      </c>
      <c r="KA3" t="s">
        <v>31</v>
      </c>
      <c r="KB3" t="s">
        <v>31</v>
      </c>
      <c r="KC3" t="s">
        <v>31</v>
      </c>
      <c r="KD3" t="s">
        <v>35</v>
      </c>
      <c r="KE3" t="s">
        <v>35</v>
      </c>
      <c r="KF3" t="s">
        <v>35</v>
      </c>
      <c r="KG3" t="s">
        <v>36</v>
      </c>
      <c r="KH3" t="s">
        <v>36</v>
      </c>
      <c r="KI3" t="s">
        <v>36</v>
      </c>
      <c r="KJ3" t="s">
        <v>37</v>
      </c>
      <c r="KK3" t="s">
        <v>37</v>
      </c>
      <c r="KL3" t="s">
        <v>37</v>
      </c>
      <c r="KM3" t="s">
        <v>38</v>
      </c>
      <c r="KN3" t="s">
        <v>38</v>
      </c>
      <c r="KO3" t="s">
        <v>38</v>
      </c>
      <c r="KP3" t="s">
        <v>39</v>
      </c>
      <c r="KQ3" t="s">
        <v>39</v>
      </c>
      <c r="KR3" t="s">
        <v>39</v>
      </c>
      <c r="KS3" t="s">
        <v>40</v>
      </c>
      <c r="KT3" t="s">
        <v>40</v>
      </c>
      <c r="KU3" t="s">
        <v>40</v>
      </c>
      <c r="KV3" t="s">
        <v>41</v>
      </c>
      <c r="KW3" t="s">
        <v>41</v>
      </c>
      <c r="KX3" t="s">
        <v>41</v>
      </c>
      <c r="KY3" t="s">
        <v>42</v>
      </c>
      <c r="KZ3" t="s">
        <v>42</v>
      </c>
      <c r="LA3" t="s">
        <v>42</v>
      </c>
      <c r="LB3" t="s">
        <v>43</v>
      </c>
      <c r="LC3" t="s">
        <v>43</v>
      </c>
      <c r="LD3" t="s">
        <v>43</v>
      </c>
      <c r="LE3" t="s">
        <v>45</v>
      </c>
      <c r="LF3" t="s">
        <v>45</v>
      </c>
      <c r="LG3" t="s">
        <v>45</v>
      </c>
      <c r="LH3" t="s">
        <v>46</v>
      </c>
      <c r="LI3" t="s">
        <v>46</v>
      </c>
      <c r="LJ3" t="s">
        <v>46</v>
      </c>
      <c r="LK3" t="s">
        <v>31</v>
      </c>
      <c r="LL3" t="s">
        <v>31</v>
      </c>
      <c r="LM3" t="s">
        <v>31</v>
      </c>
      <c r="LN3" t="s">
        <v>35</v>
      </c>
      <c r="LO3" t="s">
        <v>35</v>
      </c>
      <c r="LP3" t="s">
        <v>35</v>
      </c>
      <c r="LQ3" t="s">
        <v>36</v>
      </c>
      <c r="LR3" t="s">
        <v>36</v>
      </c>
      <c r="LS3" t="s">
        <v>36</v>
      </c>
      <c r="LT3" t="s">
        <v>37</v>
      </c>
      <c r="LU3" t="s">
        <v>37</v>
      </c>
      <c r="LV3" t="s">
        <v>37</v>
      </c>
      <c r="LW3" t="s">
        <v>38</v>
      </c>
      <c r="LX3" t="s">
        <v>38</v>
      </c>
      <c r="LY3" t="s">
        <v>38</v>
      </c>
      <c r="LZ3" t="s">
        <v>39</v>
      </c>
      <c r="MA3" t="s">
        <v>39</v>
      </c>
      <c r="MB3" t="s">
        <v>39</v>
      </c>
      <c r="MC3" t="s">
        <v>40</v>
      </c>
      <c r="MD3" t="s">
        <v>40</v>
      </c>
      <c r="ME3" t="s">
        <v>40</v>
      </c>
      <c r="MF3" t="s">
        <v>41</v>
      </c>
      <c r="MG3" t="s">
        <v>41</v>
      </c>
      <c r="MH3" t="s">
        <v>41</v>
      </c>
      <c r="MI3" t="s">
        <v>42</v>
      </c>
      <c r="MJ3" t="s">
        <v>42</v>
      </c>
      <c r="MK3" t="s">
        <v>42</v>
      </c>
      <c r="ML3" t="s">
        <v>43</v>
      </c>
      <c r="MM3" t="s">
        <v>43</v>
      </c>
      <c r="MN3" t="s">
        <v>43</v>
      </c>
      <c r="MO3" t="s">
        <v>45</v>
      </c>
      <c r="MP3" t="s">
        <v>45</v>
      </c>
      <c r="MQ3" t="s">
        <v>45</v>
      </c>
      <c r="MR3" t="s">
        <v>46</v>
      </c>
      <c r="MS3" t="s">
        <v>46</v>
      </c>
      <c r="MT3" t="s">
        <v>46</v>
      </c>
      <c r="MU3" t="s">
        <v>31</v>
      </c>
      <c r="MV3" t="s">
        <v>31</v>
      </c>
      <c r="MW3" t="s">
        <v>31</v>
      </c>
      <c r="MX3" t="s">
        <v>35</v>
      </c>
      <c r="MY3" t="s">
        <v>35</v>
      </c>
      <c r="MZ3" t="s">
        <v>35</v>
      </c>
      <c r="NA3" t="s">
        <v>36</v>
      </c>
      <c r="NB3" t="s">
        <v>36</v>
      </c>
      <c r="NC3" t="s">
        <v>36</v>
      </c>
      <c r="ND3" t="s">
        <v>37</v>
      </c>
      <c r="NE3" t="s">
        <v>37</v>
      </c>
      <c r="NF3" t="s">
        <v>37</v>
      </c>
      <c r="NG3" t="s">
        <v>38</v>
      </c>
      <c r="NH3" t="s">
        <v>38</v>
      </c>
      <c r="NI3" t="s">
        <v>38</v>
      </c>
    </row>
    <row r="4" spans="1:373" x14ac:dyDescent="0.3">
      <c r="A4" s="1" t="s">
        <v>3</v>
      </c>
      <c r="B4">
        <v>107.5</v>
      </c>
      <c r="C4">
        <v>110.5</v>
      </c>
      <c r="D4">
        <v>108.4</v>
      </c>
      <c r="E4">
        <v>109.2</v>
      </c>
      <c r="F4">
        <v>112.9</v>
      </c>
      <c r="G4">
        <v>110.4</v>
      </c>
      <c r="H4">
        <v>110.2</v>
      </c>
      <c r="I4">
        <v>113.9</v>
      </c>
      <c r="J4">
        <v>111.4</v>
      </c>
      <c r="K4">
        <v>110.2</v>
      </c>
      <c r="L4">
        <v>114.6</v>
      </c>
      <c r="M4">
        <v>111.6</v>
      </c>
      <c r="N4">
        <v>110.9</v>
      </c>
      <c r="O4">
        <v>115.4</v>
      </c>
      <c r="P4">
        <v>112.3</v>
      </c>
      <c r="Q4">
        <v>112.3</v>
      </c>
      <c r="R4">
        <v>117</v>
      </c>
      <c r="S4">
        <v>113.8</v>
      </c>
      <c r="T4">
        <v>113.4</v>
      </c>
      <c r="U4">
        <v>117.8</v>
      </c>
      <c r="V4">
        <v>114.8</v>
      </c>
      <c r="W4">
        <v>114.3</v>
      </c>
      <c r="X4">
        <v>118.3</v>
      </c>
      <c r="Y4">
        <v>115.6</v>
      </c>
      <c r="Z4">
        <v>115.4</v>
      </c>
      <c r="AA4">
        <v>118.6</v>
      </c>
      <c r="AB4">
        <v>116.4</v>
      </c>
      <c r="AC4">
        <v>116.3</v>
      </c>
      <c r="AD4">
        <v>118.9</v>
      </c>
      <c r="AE4">
        <v>117.1</v>
      </c>
      <c r="AF4">
        <v>117.3</v>
      </c>
      <c r="AG4">
        <v>119.8</v>
      </c>
      <c r="AH4">
        <v>118.1</v>
      </c>
      <c r="AI4">
        <v>118.4</v>
      </c>
      <c r="AJ4">
        <v>120.5</v>
      </c>
      <c r="AK4">
        <v>119.1</v>
      </c>
      <c r="AL4">
        <v>118.9</v>
      </c>
      <c r="AM4">
        <v>121.2</v>
      </c>
      <c r="AN4">
        <v>119.6</v>
      </c>
      <c r="AO4">
        <v>119.4</v>
      </c>
      <c r="AP4">
        <v>121.9</v>
      </c>
      <c r="AQ4">
        <v>120.2</v>
      </c>
      <c r="AR4">
        <v>120.1</v>
      </c>
      <c r="AS4">
        <v>122.1</v>
      </c>
      <c r="AT4">
        <v>120.7</v>
      </c>
      <c r="AU4">
        <v>120.2</v>
      </c>
      <c r="AV4">
        <v>122.5</v>
      </c>
      <c r="AW4">
        <v>120.9</v>
      </c>
      <c r="AX4">
        <v>120.3</v>
      </c>
      <c r="AY4">
        <v>122.7</v>
      </c>
      <c r="AZ4">
        <v>121.1</v>
      </c>
      <c r="BA4">
        <v>120.7</v>
      </c>
      <c r="BB4">
        <v>123.1</v>
      </c>
      <c r="BC4">
        <v>121.5</v>
      </c>
      <c r="BD4">
        <v>121.7</v>
      </c>
      <c r="BE4">
        <v>123.8</v>
      </c>
      <c r="BF4">
        <v>122.4</v>
      </c>
      <c r="BG4">
        <v>121.8</v>
      </c>
      <c r="BH4">
        <v>124.8</v>
      </c>
      <c r="BI4">
        <v>122.7</v>
      </c>
      <c r="BJ4">
        <v>122.3</v>
      </c>
      <c r="BK4">
        <v>124.2</v>
      </c>
      <c r="BL4">
        <v>122.9</v>
      </c>
      <c r="BM4">
        <v>122.6</v>
      </c>
      <c r="BN4">
        <v>124.6</v>
      </c>
      <c r="BO4">
        <v>123.2</v>
      </c>
      <c r="BP4">
        <v>122.7</v>
      </c>
      <c r="BQ4">
        <v>124.5</v>
      </c>
      <c r="BR4">
        <v>123.3</v>
      </c>
      <c r="BS4">
        <v>122.4</v>
      </c>
      <c r="BT4">
        <v>124</v>
      </c>
      <c r="BU4">
        <v>122.9</v>
      </c>
      <c r="BV4">
        <v>123.1</v>
      </c>
      <c r="BW4">
        <v>124</v>
      </c>
      <c r="BX4">
        <v>123.4</v>
      </c>
      <c r="BY4">
        <v>123.4</v>
      </c>
      <c r="BZ4">
        <v>124.3</v>
      </c>
      <c r="CA4">
        <v>123.7</v>
      </c>
      <c r="CB4">
        <v>123.3</v>
      </c>
      <c r="CC4">
        <v>124</v>
      </c>
      <c r="CD4">
        <v>123.5</v>
      </c>
      <c r="CE4">
        <v>123.3</v>
      </c>
      <c r="CF4">
        <v>123.8</v>
      </c>
      <c r="CG4">
        <v>123.5</v>
      </c>
      <c r="CH4">
        <v>123.5</v>
      </c>
      <c r="CI4">
        <v>123.8</v>
      </c>
      <c r="CJ4">
        <v>123.6</v>
      </c>
      <c r="CK4">
        <v>124.1</v>
      </c>
      <c r="CL4">
        <v>123.6</v>
      </c>
      <c r="CM4">
        <v>123.9</v>
      </c>
      <c r="CN4">
        <v>124</v>
      </c>
      <c r="CO4">
        <v>123.2</v>
      </c>
      <c r="CP4">
        <v>123.7</v>
      </c>
      <c r="CQ4">
        <v>124.7</v>
      </c>
      <c r="CR4">
        <v>123.1</v>
      </c>
      <c r="CS4">
        <v>124.2</v>
      </c>
      <c r="CT4">
        <v>125.1</v>
      </c>
      <c r="CU4">
        <v>123.4</v>
      </c>
      <c r="CV4">
        <v>124.6</v>
      </c>
      <c r="CW4">
        <v>125.6</v>
      </c>
      <c r="CX4">
        <v>123.6</v>
      </c>
      <c r="CY4">
        <v>125</v>
      </c>
      <c r="CZ4">
        <v>126.1</v>
      </c>
      <c r="DA4">
        <v>124</v>
      </c>
      <c r="DB4">
        <v>125.4</v>
      </c>
      <c r="DC4">
        <v>126.3</v>
      </c>
      <c r="DD4">
        <v>124.3</v>
      </c>
      <c r="DE4">
        <v>125.7</v>
      </c>
      <c r="DF4">
        <v>126.8</v>
      </c>
      <c r="DG4">
        <v>124.7</v>
      </c>
      <c r="DH4">
        <v>126.1</v>
      </c>
      <c r="DI4">
        <v>127.1</v>
      </c>
      <c r="DJ4">
        <v>124.8</v>
      </c>
      <c r="DK4">
        <v>126.4</v>
      </c>
      <c r="DL4">
        <v>127.3</v>
      </c>
      <c r="DM4">
        <v>124.8</v>
      </c>
      <c r="DN4">
        <v>126.5</v>
      </c>
      <c r="DO4">
        <v>127.4</v>
      </c>
      <c r="DP4">
        <v>124.9</v>
      </c>
      <c r="DQ4">
        <v>126.6</v>
      </c>
      <c r="DR4">
        <v>127.6</v>
      </c>
      <c r="DS4">
        <v>125</v>
      </c>
      <c r="DT4">
        <v>126.8</v>
      </c>
      <c r="DU4">
        <v>128.6</v>
      </c>
      <c r="DV4">
        <v>125.9</v>
      </c>
      <c r="DW4">
        <v>127.7</v>
      </c>
      <c r="DX4">
        <v>129.30000000000001</v>
      </c>
      <c r="DY4">
        <v>126.8</v>
      </c>
      <c r="DZ4">
        <v>128.5</v>
      </c>
      <c r="EA4">
        <v>130.1</v>
      </c>
      <c r="EB4">
        <v>127.6</v>
      </c>
      <c r="EC4">
        <v>129.30000000000001</v>
      </c>
      <c r="ED4">
        <v>130.80000000000001</v>
      </c>
      <c r="EE4">
        <v>128.1</v>
      </c>
      <c r="EF4">
        <v>129.9</v>
      </c>
      <c r="EG4">
        <v>131.30000000000001</v>
      </c>
      <c r="EH4">
        <v>128.69999999999999</v>
      </c>
      <c r="EI4">
        <v>130.5</v>
      </c>
      <c r="EJ4">
        <v>132</v>
      </c>
      <c r="EK4">
        <v>130.19999999999999</v>
      </c>
      <c r="EL4">
        <v>131.4</v>
      </c>
      <c r="EM4">
        <v>132.6</v>
      </c>
      <c r="EN4">
        <v>131.6</v>
      </c>
      <c r="EO4">
        <v>132.30000000000001</v>
      </c>
      <c r="EP4">
        <v>133.1</v>
      </c>
      <c r="EQ4">
        <v>132.19999999999999</v>
      </c>
      <c r="ER4">
        <v>132.80000000000001</v>
      </c>
      <c r="ES4">
        <v>133.30000000000001</v>
      </c>
      <c r="ET4">
        <v>132.80000000000001</v>
      </c>
      <c r="EU4">
        <v>133.1</v>
      </c>
      <c r="EV4">
        <v>133.6</v>
      </c>
      <c r="EW4">
        <v>132.69999999999999</v>
      </c>
      <c r="EX4">
        <v>133.30000000000001</v>
      </c>
      <c r="EY4">
        <v>133.19999999999999</v>
      </c>
      <c r="EZ4">
        <v>132.69999999999999</v>
      </c>
      <c r="FA4">
        <v>133</v>
      </c>
      <c r="FB4">
        <v>133.1</v>
      </c>
      <c r="FC4">
        <v>132.6</v>
      </c>
      <c r="FD4">
        <v>132.9</v>
      </c>
      <c r="FE4">
        <v>133.5</v>
      </c>
      <c r="FF4">
        <v>132.9</v>
      </c>
      <c r="FG4">
        <v>133.30000000000001</v>
      </c>
      <c r="FH4">
        <v>134</v>
      </c>
      <c r="FI4">
        <v>132.80000000000001</v>
      </c>
      <c r="FJ4">
        <v>133.6</v>
      </c>
      <c r="FK4">
        <v>134.80000000000001</v>
      </c>
      <c r="FL4">
        <v>133.19999999999999</v>
      </c>
      <c r="FM4">
        <v>134.30000000000001</v>
      </c>
      <c r="FN4">
        <v>135.19999999999999</v>
      </c>
      <c r="FO4">
        <v>133.6</v>
      </c>
      <c r="FP4">
        <v>134.69999999999999</v>
      </c>
      <c r="FQ4">
        <v>135.9</v>
      </c>
      <c r="FR4">
        <v>133.9</v>
      </c>
      <c r="FS4">
        <v>135.30000000000001</v>
      </c>
      <c r="FT4">
        <v>136.30000000000001</v>
      </c>
      <c r="FU4">
        <v>134.30000000000001</v>
      </c>
      <c r="FV4">
        <v>135.69999999999999</v>
      </c>
      <c r="FW4">
        <v>136.4</v>
      </c>
      <c r="FX4">
        <v>134.4</v>
      </c>
      <c r="FY4">
        <v>135.80000000000001</v>
      </c>
      <c r="FZ4">
        <v>136.6</v>
      </c>
      <c r="GA4">
        <v>134.6</v>
      </c>
      <c r="GB4">
        <v>136</v>
      </c>
      <c r="GC4">
        <v>136.4</v>
      </c>
      <c r="GD4">
        <v>134.80000000000001</v>
      </c>
      <c r="GE4">
        <v>135.9</v>
      </c>
      <c r="GF4">
        <v>136.80000000000001</v>
      </c>
      <c r="GG4">
        <v>135</v>
      </c>
      <c r="GH4">
        <v>136.19999999999999</v>
      </c>
      <c r="GI4">
        <v>137.1</v>
      </c>
      <c r="GJ4">
        <v>135</v>
      </c>
      <c r="GK4">
        <v>136.4</v>
      </c>
      <c r="GL4">
        <v>137.4</v>
      </c>
      <c r="GM4">
        <v>135</v>
      </c>
      <c r="GN4">
        <v>136.6</v>
      </c>
      <c r="GO4">
        <v>137.6</v>
      </c>
      <c r="GP4">
        <v>135.30000000000001</v>
      </c>
      <c r="GQ4">
        <v>136.9</v>
      </c>
      <c r="GR4">
        <v>138.4</v>
      </c>
      <c r="GS4">
        <v>135.6</v>
      </c>
      <c r="GT4">
        <v>137.5</v>
      </c>
      <c r="GU4">
        <v>139.19999999999999</v>
      </c>
      <c r="GV4">
        <v>136.5</v>
      </c>
      <c r="GW4">
        <v>138.30000000000001</v>
      </c>
      <c r="GX4">
        <v>139.4</v>
      </c>
      <c r="GY4">
        <v>137</v>
      </c>
      <c r="GZ4">
        <v>138.6</v>
      </c>
      <c r="HA4">
        <v>139.30000000000001</v>
      </c>
      <c r="HB4">
        <v>137.6</v>
      </c>
      <c r="HC4">
        <v>137.4</v>
      </c>
      <c r="HD4">
        <v>137.1</v>
      </c>
      <c r="HE4">
        <v>138.1</v>
      </c>
      <c r="HF4">
        <v>137.4</v>
      </c>
      <c r="HG4">
        <v>137.1</v>
      </c>
      <c r="HH4">
        <v>138.5</v>
      </c>
      <c r="HI4">
        <v>137.5</v>
      </c>
      <c r="HJ4">
        <v>136.6</v>
      </c>
      <c r="HK4">
        <v>138.30000000000001</v>
      </c>
      <c r="HL4">
        <v>137.1</v>
      </c>
      <c r="HM4">
        <v>136.80000000000001</v>
      </c>
      <c r="HN4">
        <v>139.4</v>
      </c>
      <c r="HO4">
        <v>137.6</v>
      </c>
      <c r="HP4">
        <v>136.9</v>
      </c>
      <c r="HQ4">
        <v>139.69999999999999</v>
      </c>
      <c r="HR4">
        <v>137.80000000000001</v>
      </c>
      <c r="HS4">
        <v>137.4</v>
      </c>
      <c r="HT4">
        <v>140.4</v>
      </c>
      <c r="HU4">
        <v>138.30000000000001</v>
      </c>
      <c r="HV4">
        <v>137.80000000000001</v>
      </c>
      <c r="HW4">
        <v>140.69999999999999</v>
      </c>
      <c r="HX4">
        <v>138.69999999999999</v>
      </c>
      <c r="HY4">
        <v>138.4</v>
      </c>
      <c r="HZ4">
        <v>141.4</v>
      </c>
      <c r="IA4">
        <v>139.30000000000001</v>
      </c>
      <c r="IB4">
        <v>139.19999999999999</v>
      </c>
      <c r="IC4">
        <v>142.1</v>
      </c>
      <c r="ID4">
        <v>140.1</v>
      </c>
      <c r="IE4">
        <v>140.1</v>
      </c>
      <c r="IF4">
        <v>142.69999999999999</v>
      </c>
      <c r="IG4">
        <v>140.9</v>
      </c>
      <c r="IH4">
        <v>141</v>
      </c>
      <c r="II4">
        <v>143.5</v>
      </c>
      <c r="IJ4">
        <v>141.80000000000001</v>
      </c>
      <c r="IK4">
        <v>141.80000000000001</v>
      </c>
      <c r="IL4">
        <v>144.1</v>
      </c>
      <c r="IM4">
        <v>142.5</v>
      </c>
      <c r="IN4">
        <v>142.80000000000001</v>
      </c>
      <c r="IO4">
        <v>144.9</v>
      </c>
      <c r="IP4">
        <v>143.5</v>
      </c>
      <c r="IQ4">
        <v>143.69999999999999</v>
      </c>
      <c r="IR4">
        <v>145.6</v>
      </c>
      <c r="IS4">
        <v>144.30000000000001</v>
      </c>
      <c r="IT4">
        <v>144.19999999999999</v>
      </c>
      <c r="IU4">
        <v>146.19999999999999</v>
      </c>
      <c r="IV4">
        <v>144.80000000000001</v>
      </c>
      <c r="IW4">
        <v>144.4</v>
      </c>
      <c r="IX4">
        <v>146.5</v>
      </c>
      <c r="IY4">
        <v>145.1</v>
      </c>
      <c r="IZ4">
        <v>147.19999999999999</v>
      </c>
      <c r="JA4">
        <v>151.80000000000001</v>
      </c>
      <c r="JB4">
        <v>148.69999999999999</v>
      </c>
      <c r="JF4">
        <v>148.19999999999999</v>
      </c>
      <c r="JG4">
        <v>152.69999999999999</v>
      </c>
      <c r="JH4">
        <v>149.6</v>
      </c>
      <c r="JI4">
        <v>148.19999999999999</v>
      </c>
      <c r="JJ4">
        <v>152.69999999999999</v>
      </c>
      <c r="JK4">
        <v>149.6</v>
      </c>
      <c r="JL4">
        <v>147.6</v>
      </c>
      <c r="JM4">
        <v>151.6</v>
      </c>
      <c r="JN4">
        <v>148.9</v>
      </c>
      <c r="JO4">
        <v>146.9</v>
      </c>
      <c r="JP4">
        <v>151.5</v>
      </c>
      <c r="JQ4">
        <v>148.4</v>
      </c>
      <c r="JR4">
        <v>146</v>
      </c>
      <c r="JS4">
        <v>150.6</v>
      </c>
      <c r="JT4">
        <v>147.5</v>
      </c>
      <c r="JU4">
        <v>145.4</v>
      </c>
      <c r="JV4">
        <v>149.69999999999999</v>
      </c>
      <c r="JW4">
        <v>146.80000000000001</v>
      </c>
      <c r="JX4">
        <v>144.6</v>
      </c>
      <c r="JY4">
        <v>149</v>
      </c>
      <c r="JZ4">
        <v>146</v>
      </c>
      <c r="KA4">
        <v>143.4</v>
      </c>
      <c r="KB4">
        <v>148</v>
      </c>
      <c r="KC4">
        <v>144.9</v>
      </c>
      <c r="KD4">
        <v>142.80000000000001</v>
      </c>
      <c r="KE4">
        <v>147.6</v>
      </c>
      <c r="KF4">
        <v>144.30000000000001</v>
      </c>
      <c r="KG4">
        <v>142.5</v>
      </c>
      <c r="KH4">
        <v>147.5</v>
      </c>
      <c r="KI4">
        <v>144.1</v>
      </c>
      <c r="KJ4">
        <v>142.69999999999999</v>
      </c>
      <c r="KK4">
        <v>147.6</v>
      </c>
      <c r="KL4">
        <v>144.30000000000001</v>
      </c>
      <c r="KM4">
        <v>145.1</v>
      </c>
      <c r="KN4">
        <v>148.80000000000001</v>
      </c>
      <c r="KO4">
        <v>146.30000000000001</v>
      </c>
      <c r="KP4">
        <v>145.6</v>
      </c>
      <c r="KQ4">
        <v>149.19999999999999</v>
      </c>
      <c r="KR4">
        <v>146.69999999999999</v>
      </c>
      <c r="KS4">
        <v>145.1</v>
      </c>
      <c r="KT4">
        <v>149.1</v>
      </c>
      <c r="KU4">
        <v>146.4</v>
      </c>
      <c r="KV4">
        <v>144.9</v>
      </c>
      <c r="KW4">
        <v>149.30000000000001</v>
      </c>
      <c r="KX4">
        <v>146.6</v>
      </c>
      <c r="KY4">
        <v>145.4</v>
      </c>
      <c r="KZ4">
        <v>149.30000000000001</v>
      </c>
      <c r="LA4">
        <v>146.6</v>
      </c>
      <c r="LB4">
        <v>146.1</v>
      </c>
      <c r="LC4">
        <v>150.1</v>
      </c>
      <c r="LD4">
        <v>147.4</v>
      </c>
      <c r="LE4">
        <v>146.9</v>
      </c>
      <c r="LF4">
        <v>151</v>
      </c>
      <c r="LG4">
        <v>148.19999999999999</v>
      </c>
      <c r="LH4">
        <v>147.4</v>
      </c>
      <c r="LI4">
        <v>151.6</v>
      </c>
      <c r="LJ4">
        <v>148.69999999999999</v>
      </c>
      <c r="LK4">
        <v>148.30000000000001</v>
      </c>
      <c r="LL4">
        <v>152.19999999999999</v>
      </c>
      <c r="LM4">
        <v>149.5</v>
      </c>
      <c r="LN4">
        <v>148.80000000000001</v>
      </c>
      <c r="LO4">
        <v>152.5</v>
      </c>
      <c r="LP4">
        <v>150</v>
      </c>
      <c r="LQ4">
        <v>150.19999999999999</v>
      </c>
      <c r="LR4">
        <v>153.69999999999999</v>
      </c>
      <c r="LS4">
        <v>151.30000000000001</v>
      </c>
      <c r="LT4">
        <v>151.80000000000001</v>
      </c>
      <c r="LU4">
        <v>155.4</v>
      </c>
      <c r="LV4">
        <v>152.9</v>
      </c>
      <c r="LW4">
        <v>152.9</v>
      </c>
      <c r="LX4">
        <v>156.69999999999999</v>
      </c>
      <c r="LY4">
        <v>154.1</v>
      </c>
      <c r="LZ4">
        <v>153.80000000000001</v>
      </c>
      <c r="MA4">
        <v>157.5</v>
      </c>
      <c r="MB4">
        <v>155</v>
      </c>
      <c r="MC4">
        <v>155.19999999999999</v>
      </c>
      <c r="MD4">
        <v>159.30000000000001</v>
      </c>
      <c r="ME4">
        <v>156.5</v>
      </c>
      <c r="MF4">
        <v>159.5</v>
      </c>
      <c r="MG4">
        <v>162.1</v>
      </c>
      <c r="MH4">
        <v>160.30000000000001</v>
      </c>
      <c r="MI4">
        <v>162.9</v>
      </c>
      <c r="MJ4">
        <v>164.9</v>
      </c>
      <c r="MK4">
        <v>163.5</v>
      </c>
      <c r="ML4">
        <v>164.7</v>
      </c>
      <c r="MM4">
        <v>166.4</v>
      </c>
      <c r="MN4">
        <v>165.2</v>
      </c>
      <c r="MO4">
        <v>166.9</v>
      </c>
      <c r="MP4">
        <v>168.4</v>
      </c>
      <c r="MQ4">
        <v>167.4</v>
      </c>
      <c r="MR4">
        <v>168.8</v>
      </c>
      <c r="MS4">
        <v>170.2</v>
      </c>
      <c r="MT4">
        <v>169.2</v>
      </c>
      <c r="MU4">
        <v>174</v>
      </c>
      <c r="MV4">
        <v>173.3</v>
      </c>
      <c r="MW4">
        <v>173.8</v>
      </c>
      <c r="MX4">
        <v>174.2</v>
      </c>
      <c r="MY4">
        <v>174.7</v>
      </c>
      <c r="MZ4">
        <v>174.4</v>
      </c>
      <c r="NA4">
        <v>174.3</v>
      </c>
      <c r="NB4">
        <v>174.7</v>
      </c>
      <c r="NC4">
        <v>174.4</v>
      </c>
      <c r="ND4">
        <v>173.3</v>
      </c>
      <c r="NE4">
        <v>174.8</v>
      </c>
      <c r="NF4">
        <v>173.8</v>
      </c>
      <c r="NG4">
        <v>173.2</v>
      </c>
      <c r="NH4">
        <v>174.7</v>
      </c>
      <c r="NI4">
        <v>173.7</v>
      </c>
    </row>
    <row r="5" spans="1:373" x14ac:dyDescent="0.3">
      <c r="A5" s="1" t="s">
        <v>4</v>
      </c>
      <c r="B5">
        <v>106.3</v>
      </c>
      <c r="C5">
        <v>109.1</v>
      </c>
      <c r="D5">
        <v>107.3</v>
      </c>
      <c r="E5">
        <v>108.7</v>
      </c>
      <c r="F5">
        <v>112.9</v>
      </c>
      <c r="G5">
        <v>110.2</v>
      </c>
      <c r="H5">
        <v>108.8</v>
      </c>
      <c r="I5">
        <v>111.4</v>
      </c>
      <c r="J5">
        <v>109.7</v>
      </c>
      <c r="K5">
        <v>109.5</v>
      </c>
      <c r="L5">
        <v>113.4</v>
      </c>
      <c r="M5">
        <v>110.9</v>
      </c>
      <c r="N5">
        <v>109.8</v>
      </c>
      <c r="O5">
        <v>114.2</v>
      </c>
      <c r="P5">
        <v>111.3</v>
      </c>
      <c r="Q5">
        <v>112.1</v>
      </c>
      <c r="R5">
        <v>120.1</v>
      </c>
      <c r="S5">
        <v>114.9</v>
      </c>
      <c r="T5">
        <v>114.9</v>
      </c>
      <c r="U5">
        <v>119.2</v>
      </c>
      <c r="V5">
        <v>116.4</v>
      </c>
      <c r="W5">
        <v>115.4</v>
      </c>
      <c r="X5">
        <v>120.4</v>
      </c>
      <c r="Y5">
        <v>117.2</v>
      </c>
      <c r="Z5">
        <v>115.7</v>
      </c>
      <c r="AA5">
        <v>119.1</v>
      </c>
      <c r="AB5">
        <v>116.9</v>
      </c>
      <c r="AC5">
        <v>115.4</v>
      </c>
      <c r="AD5">
        <v>118.1</v>
      </c>
      <c r="AE5">
        <v>116.3</v>
      </c>
      <c r="AF5">
        <v>114.9</v>
      </c>
      <c r="AG5">
        <v>116.3</v>
      </c>
      <c r="AH5">
        <v>115.4</v>
      </c>
      <c r="AI5">
        <v>115.9</v>
      </c>
      <c r="AJ5">
        <v>118.1</v>
      </c>
      <c r="AK5">
        <v>116.7</v>
      </c>
      <c r="AL5">
        <v>117.1</v>
      </c>
      <c r="AM5">
        <v>122</v>
      </c>
      <c r="AN5">
        <v>118.8</v>
      </c>
      <c r="AO5">
        <v>117.7</v>
      </c>
      <c r="AP5">
        <v>122</v>
      </c>
      <c r="AQ5">
        <v>119.2</v>
      </c>
      <c r="AR5">
        <v>118.1</v>
      </c>
      <c r="AS5">
        <v>121.4</v>
      </c>
      <c r="AT5">
        <v>119.3</v>
      </c>
      <c r="AU5">
        <v>118.9</v>
      </c>
      <c r="AV5">
        <v>121.7</v>
      </c>
      <c r="AW5">
        <v>119.9</v>
      </c>
      <c r="AX5">
        <v>120.2</v>
      </c>
      <c r="AY5">
        <v>124.1</v>
      </c>
      <c r="AZ5">
        <v>121.6</v>
      </c>
      <c r="BA5">
        <v>121.6</v>
      </c>
      <c r="BB5">
        <v>125.9</v>
      </c>
      <c r="BC5">
        <v>123.1</v>
      </c>
      <c r="BD5">
        <v>122.5</v>
      </c>
      <c r="BE5">
        <v>126.4</v>
      </c>
      <c r="BF5">
        <v>123.9</v>
      </c>
      <c r="BG5">
        <v>122.8</v>
      </c>
      <c r="BH5">
        <v>127.3</v>
      </c>
      <c r="BI5">
        <v>124.4</v>
      </c>
      <c r="BJ5">
        <v>122.4</v>
      </c>
      <c r="BK5">
        <v>125.4</v>
      </c>
      <c r="BL5">
        <v>123.5</v>
      </c>
      <c r="BM5">
        <v>122.5</v>
      </c>
      <c r="BN5">
        <v>126.1</v>
      </c>
      <c r="BO5">
        <v>123.8</v>
      </c>
      <c r="BP5">
        <v>122.6</v>
      </c>
      <c r="BQ5">
        <v>125.6</v>
      </c>
      <c r="BR5">
        <v>123.7</v>
      </c>
      <c r="BS5">
        <v>122.4</v>
      </c>
      <c r="BT5">
        <v>124.7</v>
      </c>
      <c r="BU5">
        <v>123.2</v>
      </c>
      <c r="BV5">
        <v>123.1</v>
      </c>
      <c r="BW5">
        <v>125.5</v>
      </c>
      <c r="BX5">
        <v>123.9</v>
      </c>
      <c r="BY5">
        <v>124.4</v>
      </c>
      <c r="BZ5">
        <v>126.5</v>
      </c>
      <c r="CA5">
        <v>125.1</v>
      </c>
      <c r="CB5">
        <v>124.7</v>
      </c>
      <c r="CC5">
        <v>126.7</v>
      </c>
      <c r="CD5">
        <v>125.4</v>
      </c>
      <c r="CE5">
        <v>125.5</v>
      </c>
      <c r="CF5">
        <v>128.19999999999999</v>
      </c>
      <c r="CG5">
        <v>126.4</v>
      </c>
      <c r="CH5">
        <v>127.1</v>
      </c>
      <c r="CI5">
        <v>129.69999999999999</v>
      </c>
      <c r="CJ5">
        <v>128</v>
      </c>
      <c r="CK5">
        <v>130.4</v>
      </c>
      <c r="CL5">
        <v>134.4</v>
      </c>
      <c r="CM5">
        <v>131.80000000000001</v>
      </c>
      <c r="CN5">
        <v>131.5</v>
      </c>
      <c r="CO5">
        <v>134.30000000000001</v>
      </c>
      <c r="CP5">
        <v>132.5</v>
      </c>
      <c r="CQ5">
        <v>131.30000000000001</v>
      </c>
      <c r="CR5">
        <v>131.69999999999999</v>
      </c>
      <c r="CS5">
        <v>131.4</v>
      </c>
      <c r="CT5">
        <v>131.1</v>
      </c>
      <c r="CU5">
        <v>129</v>
      </c>
      <c r="CV5">
        <v>130.4</v>
      </c>
      <c r="CW5">
        <v>130.4</v>
      </c>
      <c r="CX5">
        <v>128.6</v>
      </c>
      <c r="CY5">
        <v>129.80000000000001</v>
      </c>
      <c r="CZ5">
        <v>130.6</v>
      </c>
      <c r="DA5">
        <v>129.80000000000001</v>
      </c>
      <c r="DB5">
        <v>130.30000000000001</v>
      </c>
      <c r="DC5">
        <v>131.30000000000001</v>
      </c>
      <c r="DD5">
        <v>131.69999999999999</v>
      </c>
      <c r="DE5">
        <v>131.4</v>
      </c>
      <c r="DF5">
        <v>133.19999999999999</v>
      </c>
      <c r="DG5">
        <v>135.9</v>
      </c>
      <c r="DH5">
        <v>134.1</v>
      </c>
      <c r="DI5">
        <v>133.69999999999999</v>
      </c>
      <c r="DJ5">
        <v>135.1</v>
      </c>
      <c r="DK5">
        <v>134.19999999999999</v>
      </c>
      <c r="DL5">
        <v>134.4</v>
      </c>
      <c r="DM5">
        <v>136.30000000000001</v>
      </c>
      <c r="DN5">
        <v>135.1</v>
      </c>
      <c r="DO5">
        <v>135.4</v>
      </c>
      <c r="DP5">
        <v>139.30000000000001</v>
      </c>
      <c r="DQ5">
        <v>136.80000000000001</v>
      </c>
      <c r="DR5">
        <v>137.5</v>
      </c>
      <c r="DS5">
        <v>142.1</v>
      </c>
      <c r="DT5">
        <v>139.1</v>
      </c>
      <c r="DU5">
        <v>138.6</v>
      </c>
      <c r="DV5">
        <v>143.9</v>
      </c>
      <c r="DW5">
        <v>140.5</v>
      </c>
      <c r="DX5">
        <v>139.5</v>
      </c>
      <c r="DY5">
        <v>144.19999999999999</v>
      </c>
      <c r="DZ5">
        <v>141.19999999999999</v>
      </c>
      <c r="EA5">
        <v>138.80000000000001</v>
      </c>
      <c r="EB5">
        <v>140.30000000000001</v>
      </c>
      <c r="EC5">
        <v>139.30000000000001</v>
      </c>
      <c r="ED5">
        <v>138.19999999999999</v>
      </c>
      <c r="EE5">
        <v>137.69999999999999</v>
      </c>
      <c r="EF5">
        <v>138</v>
      </c>
      <c r="EG5">
        <v>137.6</v>
      </c>
      <c r="EH5">
        <v>138.4</v>
      </c>
      <c r="EI5">
        <v>137.9</v>
      </c>
      <c r="EJ5">
        <v>137.4</v>
      </c>
      <c r="EK5">
        <v>138.5</v>
      </c>
      <c r="EL5">
        <v>137.80000000000001</v>
      </c>
      <c r="EM5">
        <v>137.30000000000001</v>
      </c>
      <c r="EN5">
        <v>138.19999999999999</v>
      </c>
      <c r="EO5">
        <v>137.6</v>
      </c>
      <c r="EP5">
        <v>137.80000000000001</v>
      </c>
      <c r="EQ5">
        <v>138.9</v>
      </c>
      <c r="ER5">
        <v>138.19999999999999</v>
      </c>
      <c r="ES5">
        <v>138.30000000000001</v>
      </c>
      <c r="ET5">
        <v>139.80000000000001</v>
      </c>
      <c r="EU5">
        <v>138.80000000000001</v>
      </c>
      <c r="EV5">
        <v>138.80000000000001</v>
      </c>
      <c r="EW5">
        <v>139.4</v>
      </c>
      <c r="EX5">
        <v>139</v>
      </c>
      <c r="EY5">
        <v>138.69999999999999</v>
      </c>
      <c r="EZ5">
        <v>140.6</v>
      </c>
      <c r="FA5">
        <v>139.4</v>
      </c>
      <c r="FB5">
        <v>140.30000000000001</v>
      </c>
      <c r="FC5">
        <v>144.1</v>
      </c>
      <c r="FD5">
        <v>141.6</v>
      </c>
      <c r="FE5">
        <v>143.69999999999999</v>
      </c>
      <c r="FF5">
        <v>148.69999999999999</v>
      </c>
      <c r="FG5">
        <v>145.5</v>
      </c>
      <c r="FH5">
        <v>144.19999999999999</v>
      </c>
      <c r="FI5">
        <v>148.4</v>
      </c>
      <c r="FJ5">
        <v>145.69999999999999</v>
      </c>
      <c r="FK5">
        <v>143.1</v>
      </c>
      <c r="FL5">
        <v>143.9</v>
      </c>
      <c r="FM5">
        <v>143.4</v>
      </c>
      <c r="FN5">
        <v>142</v>
      </c>
      <c r="FO5">
        <v>143</v>
      </c>
      <c r="FP5">
        <v>142.4</v>
      </c>
      <c r="FQ5">
        <v>141.9</v>
      </c>
      <c r="FR5">
        <v>142.80000000000001</v>
      </c>
      <c r="FS5">
        <v>142.19999999999999</v>
      </c>
      <c r="FT5">
        <v>142.5</v>
      </c>
      <c r="FU5">
        <v>142.1</v>
      </c>
      <c r="FV5">
        <v>142.4</v>
      </c>
      <c r="FW5">
        <v>143.69999999999999</v>
      </c>
      <c r="FX5">
        <v>142.6</v>
      </c>
      <c r="FY5">
        <v>143.30000000000001</v>
      </c>
      <c r="FZ5">
        <v>144.4</v>
      </c>
      <c r="GA5">
        <v>143.69999999999999</v>
      </c>
      <c r="GB5">
        <v>144.19999999999999</v>
      </c>
      <c r="GC5">
        <v>143.69999999999999</v>
      </c>
      <c r="GD5">
        <v>143</v>
      </c>
      <c r="GE5">
        <v>143.5</v>
      </c>
      <c r="GF5">
        <v>143.80000000000001</v>
      </c>
      <c r="GG5">
        <v>143.1</v>
      </c>
      <c r="GH5">
        <v>143.6</v>
      </c>
      <c r="GI5">
        <v>144.5</v>
      </c>
      <c r="GJ5">
        <v>144.30000000000001</v>
      </c>
      <c r="GK5">
        <v>144.4</v>
      </c>
      <c r="GL5">
        <v>145.69999999999999</v>
      </c>
      <c r="GM5">
        <v>148.19999999999999</v>
      </c>
      <c r="GN5">
        <v>146.6</v>
      </c>
      <c r="GO5">
        <v>148.1</v>
      </c>
      <c r="GP5">
        <v>149.69999999999999</v>
      </c>
      <c r="GQ5">
        <v>148.69999999999999</v>
      </c>
      <c r="GR5">
        <v>149.30000000000001</v>
      </c>
      <c r="GS5">
        <v>148.6</v>
      </c>
      <c r="GT5">
        <v>149.1</v>
      </c>
      <c r="GU5">
        <v>148.80000000000001</v>
      </c>
      <c r="GV5">
        <v>146.4</v>
      </c>
      <c r="GW5">
        <v>148</v>
      </c>
      <c r="GX5">
        <v>147.19999999999999</v>
      </c>
      <c r="GY5">
        <v>143.1</v>
      </c>
      <c r="GZ5">
        <v>145.80000000000001</v>
      </c>
      <c r="HA5">
        <v>147.6</v>
      </c>
      <c r="HB5">
        <v>144.9</v>
      </c>
      <c r="HC5">
        <v>149.5</v>
      </c>
      <c r="HD5">
        <v>150.80000000000001</v>
      </c>
      <c r="HE5">
        <v>146.30000000000001</v>
      </c>
      <c r="HF5">
        <v>149.19999999999999</v>
      </c>
      <c r="HG5">
        <v>151.9</v>
      </c>
      <c r="HH5">
        <v>147.80000000000001</v>
      </c>
      <c r="HI5">
        <v>150.5</v>
      </c>
      <c r="HJ5">
        <v>152.5</v>
      </c>
      <c r="HK5">
        <v>149.4</v>
      </c>
      <c r="HL5">
        <v>151.4</v>
      </c>
      <c r="HM5">
        <v>153</v>
      </c>
      <c r="HN5">
        <v>150.1</v>
      </c>
      <c r="HO5">
        <v>152</v>
      </c>
      <c r="HP5">
        <v>154.1</v>
      </c>
      <c r="HQ5">
        <v>151.1</v>
      </c>
      <c r="HR5">
        <v>153</v>
      </c>
      <c r="HS5">
        <v>159.5</v>
      </c>
      <c r="HT5">
        <v>156.69999999999999</v>
      </c>
      <c r="HU5">
        <v>158.5</v>
      </c>
      <c r="HV5">
        <v>163.5</v>
      </c>
      <c r="HW5">
        <v>159.6</v>
      </c>
      <c r="HX5">
        <v>162.1</v>
      </c>
      <c r="HY5">
        <v>164</v>
      </c>
      <c r="HZ5">
        <v>160.19999999999999</v>
      </c>
      <c r="IA5">
        <v>162.69999999999999</v>
      </c>
      <c r="IB5">
        <v>161.9</v>
      </c>
      <c r="IC5">
        <v>158.30000000000001</v>
      </c>
      <c r="ID5">
        <v>160.6</v>
      </c>
      <c r="IE5">
        <v>161.9</v>
      </c>
      <c r="IF5">
        <v>158.69999999999999</v>
      </c>
      <c r="IG5">
        <v>160.80000000000001</v>
      </c>
      <c r="IH5">
        <v>161.6</v>
      </c>
      <c r="II5">
        <v>159.80000000000001</v>
      </c>
      <c r="IJ5">
        <v>161</v>
      </c>
      <c r="IK5">
        <v>163.69999999999999</v>
      </c>
      <c r="IL5">
        <v>162.4</v>
      </c>
      <c r="IM5">
        <v>163.19999999999999</v>
      </c>
      <c r="IN5">
        <v>165.3</v>
      </c>
      <c r="IO5">
        <v>164.5</v>
      </c>
      <c r="IP5">
        <v>165</v>
      </c>
      <c r="IQ5">
        <v>167.3</v>
      </c>
      <c r="IR5">
        <v>167.6</v>
      </c>
      <c r="IS5">
        <v>167.4</v>
      </c>
      <c r="IT5">
        <v>167.5</v>
      </c>
      <c r="IU5">
        <v>167.6</v>
      </c>
      <c r="IV5">
        <v>167.5</v>
      </c>
      <c r="IW5">
        <v>166.8</v>
      </c>
      <c r="IX5">
        <v>167.5</v>
      </c>
      <c r="IY5">
        <v>167</v>
      </c>
      <c r="JF5">
        <v>190.3</v>
      </c>
      <c r="JG5">
        <v>197</v>
      </c>
      <c r="JH5">
        <v>192.7</v>
      </c>
      <c r="JI5">
        <v>190.3</v>
      </c>
      <c r="JJ5">
        <v>197</v>
      </c>
      <c r="JK5">
        <v>192.7</v>
      </c>
      <c r="JL5">
        <v>187.2</v>
      </c>
      <c r="JM5">
        <v>197.8</v>
      </c>
      <c r="JN5">
        <v>190.9</v>
      </c>
      <c r="JO5">
        <v>183.9</v>
      </c>
      <c r="JP5">
        <v>193.1</v>
      </c>
      <c r="JQ5">
        <v>187.1</v>
      </c>
      <c r="JR5">
        <v>186.3</v>
      </c>
      <c r="JS5">
        <v>193.7</v>
      </c>
      <c r="JT5">
        <v>188.9</v>
      </c>
      <c r="JU5">
        <v>188.6</v>
      </c>
      <c r="JV5">
        <v>195.5</v>
      </c>
      <c r="JW5">
        <v>191</v>
      </c>
      <c r="JX5">
        <v>188.5</v>
      </c>
      <c r="JY5">
        <v>195.7</v>
      </c>
      <c r="JZ5">
        <v>191</v>
      </c>
      <c r="KA5">
        <v>187.5</v>
      </c>
      <c r="KB5">
        <v>194.8</v>
      </c>
      <c r="KC5">
        <v>190.1</v>
      </c>
      <c r="KD5">
        <v>184</v>
      </c>
      <c r="KE5">
        <v>191.2</v>
      </c>
      <c r="KF5">
        <v>186.5</v>
      </c>
      <c r="KG5">
        <v>189.4</v>
      </c>
      <c r="KH5">
        <v>197.5</v>
      </c>
      <c r="KI5">
        <v>192.2</v>
      </c>
      <c r="KJ5">
        <v>195.5</v>
      </c>
      <c r="KK5">
        <v>202.5</v>
      </c>
      <c r="KL5">
        <v>198</v>
      </c>
      <c r="KM5">
        <v>198.5</v>
      </c>
      <c r="KN5">
        <v>204.3</v>
      </c>
      <c r="KO5">
        <v>200.5</v>
      </c>
      <c r="KP5">
        <v>200.1</v>
      </c>
      <c r="KQ5">
        <v>205.5</v>
      </c>
      <c r="KR5">
        <v>202</v>
      </c>
      <c r="KS5">
        <v>204.5</v>
      </c>
      <c r="KT5">
        <v>210.9</v>
      </c>
      <c r="KU5">
        <v>206.8</v>
      </c>
      <c r="KV5">
        <v>202.3</v>
      </c>
      <c r="KW5">
        <v>207.4</v>
      </c>
      <c r="KX5">
        <v>204</v>
      </c>
      <c r="KY5">
        <v>202.1</v>
      </c>
      <c r="KZ5">
        <v>207.4</v>
      </c>
      <c r="LA5">
        <v>204</v>
      </c>
      <c r="LB5">
        <v>202.5</v>
      </c>
      <c r="LC5">
        <v>208.4</v>
      </c>
      <c r="LD5">
        <v>204.6</v>
      </c>
      <c r="LE5">
        <v>199.8</v>
      </c>
      <c r="LF5">
        <v>204.9</v>
      </c>
      <c r="LG5">
        <v>201.6</v>
      </c>
      <c r="LH5">
        <v>197</v>
      </c>
      <c r="LI5">
        <v>202.2</v>
      </c>
      <c r="LJ5">
        <v>198.8</v>
      </c>
      <c r="LK5">
        <v>196.9</v>
      </c>
      <c r="LL5">
        <v>202.1</v>
      </c>
      <c r="LM5">
        <v>198.7</v>
      </c>
      <c r="LN5">
        <v>198.1</v>
      </c>
      <c r="LO5">
        <v>205.2</v>
      </c>
      <c r="LP5">
        <v>200.6</v>
      </c>
      <c r="LQ5">
        <v>208</v>
      </c>
      <c r="LR5">
        <v>215.8</v>
      </c>
      <c r="LS5">
        <v>210.7</v>
      </c>
      <c r="LT5">
        <v>209.7</v>
      </c>
      <c r="LU5">
        <v>215.8</v>
      </c>
      <c r="LV5">
        <v>211.8</v>
      </c>
      <c r="LW5">
        <v>214.7</v>
      </c>
      <c r="LX5">
        <v>221.2</v>
      </c>
      <c r="LY5">
        <v>217</v>
      </c>
      <c r="LZ5">
        <v>217.2</v>
      </c>
      <c r="MA5">
        <v>223.4</v>
      </c>
      <c r="MB5">
        <v>219.4</v>
      </c>
      <c r="MC5">
        <v>210.8</v>
      </c>
      <c r="MD5">
        <v>217.1</v>
      </c>
      <c r="ME5">
        <v>213</v>
      </c>
      <c r="MF5">
        <v>204.1</v>
      </c>
      <c r="MG5">
        <v>210.9</v>
      </c>
      <c r="MH5">
        <v>206.5</v>
      </c>
      <c r="MI5">
        <v>206.7</v>
      </c>
      <c r="MJ5">
        <v>213.7</v>
      </c>
      <c r="MK5">
        <v>209.2</v>
      </c>
      <c r="ML5">
        <v>208.8</v>
      </c>
      <c r="MM5">
        <v>214.9</v>
      </c>
      <c r="MN5">
        <v>210.9</v>
      </c>
      <c r="MO5">
        <v>207.2</v>
      </c>
      <c r="MP5">
        <v>213.4</v>
      </c>
      <c r="MQ5">
        <v>209.4</v>
      </c>
      <c r="MR5">
        <v>206.9</v>
      </c>
      <c r="MS5">
        <v>212.9</v>
      </c>
      <c r="MT5">
        <v>209</v>
      </c>
      <c r="MU5">
        <v>208.3</v>
      </c>
      <c r="MV5">
        <v>215.2</v>
      </c>
      <c r="MW5">
        <v>210.7</v>
      </c>
      <c r="MX5">
        <v>205.2</v>
      </c>
      <c r="MY5">
        <v>212.2</v>
      </c>
      <c r="MZ5">
        <v>207.7</v>
      </c>
      <c r="NA5">
        <v>205.2</v>
      </c>
      <c r="NB5">
        <v>212.2</v>
      </c>
      <c r="NC5">
        <v>207.7</v>
      </c>
      <c r="ND5">
        <v>206.9</v>
      </c>
      <c r="NE5">
        <v>213.7</v>
      </c>
      <c r="NF5">
        <v>209.3</v>
      </c>
      <c r="NG5">
        <v>211.5</v>
      </c>
      <c r="NH5">
        <v>219.4</v>
      </c>
      <c r="NI5">
        <v>214.3</v>
      </c>
    </row>
    <row r="6" spans="1:373" x14ac:dyDescent="0.3">
      <c r="A6" s="1" t="s">
        <v>5</v>
      </c>
      <c r="B6">
        <v>108.1</v>
      </c>
      <c r="C6">
        <v>113</v>
      </c>
      <c r="D6">
        <v>110</v>
      </c>
      <c r="E6">
        <v>110.2</v>
      </c>
      <c r="F6">
        <v>116.9</v>
      </c>
      <c r="G6">
        <v>112.8</v>
      </c>
      <c r="H6">
        <v>109.9</v>
      </c>
      <c r="I6">
        <v>113.2</v>
      </c>
      <c r="J6">
        <v>111.2</v>
      </c>
      <c r="K6">
        <v>106.9</v>
      </c>
      <c r="L6">
        <v>106</v>
      </c>
      <c r="M6">
        <v>106.6</v>
      </c>
      <c r="N6">
        <v>105.9</v>
      </c>
      <c r="O6">
        <v>102.7</v>
      </c>
      <c r="P6">
        <v>104.7</v>
      </c>
      <c r="Q6">
        <v>108.1</v>
      </c>
      <c r="R6">
        <v>112.5</v>
      </c>
      <c r="S6">
        <v>109.8</v>
      </c>
      <c r="T6">
        <v>110.5</v>
      </c>
      <c r="U6">
        <v>114</v>
      </c>
      <c r="V6">
        <v>111.9</v>
      </c>
      <c r="W6">
        <v>111.1</v>
      </c>
      <c r="X6">
        <v>112.7</v>
      </c>
      <c r="Y6">
        <v>111.7</v>
      </c>
      <c r="Z6">
        <v>111.7</v>
      </c>
      <c r="AA6">
        <v>113.2</v>
      </c>
      <c r="AB6">
        <v>112.3</v>
      </c>
      <c r="AC6">
        <v>112.6</v>
      </c>
      <c r="AD6">
        <v>114.5</v>
      </c>
      <c r="AE6">
        <v>113.3</v>
      </c>
      <c r="AF6">
        <v>116.2</v>
      </c>
      <c r="AG6">
        <v>122.6</v>
      </c>
      <c r="AH6">
        <v>118.7</v>
      </c>
      <c r="AI6">
        <v>120.4</v>
      </c>
      <c r="AJ6">
        <v>128.5</v>
      </c>
      <c r="AK6">
        <v>123.5</v>
      </c>
      <c r="AL6">
        <v>120.5</v>
      </c>
      <c r="AM6">
        <v>129.9</v>
      </c>
      <c r="AN6">
        <v>124.1</v>
      </c>
      <c r="AO6">
        <v>121.2</v>
      </c>
      <c r="AP6">
        <v>124.5</v>
      </c>
      <c r="AQ6">
        <v>122.5</v>
      </c>
      <c r="AR6">
        <v>120.7</v>
      </c>
      <c r="AS6">
        <v>121.5</v>
      </c>
      <c r="AT6">
        <v>121</v>
      </c>
      <c r="AU6">
        <v>118.1</v>
      </c>
      <c r="AV6">
        <v>113.3</v>
      </c>
      <c r="AW6">
        <v>116.2</v>
      </c>
      <c r="AX6">
        <v>116.9</v>
      </c>
      <c r="AY6">
        <v>114.2</v>
      </c>
      <c r="AZ6">
        <v>115.9</v>
      </c>
      <c r="BA6">
        <v>116.1</v>
      </c>
      <c r="BB6">
        <v>115.4</v>
      </c>
      <c r="BC6">
        <v>115.8</v>
      </c>
      <c r="BD6">
        <v>117.7</v>
      </c>
      <c r="BE6">
        <v>118</v>
      </c>
      <c r="BF6">
        <v>117.8</v>
      </c>
      <c r="BG6">
        <v>117.8</v>
      </c>
      <c r="BH6">
        <v>116.5</v>
      </c>
      <c r="BI6">
        <v>117.3</v>
      </c>
      <c r="BJ6">
        <v>117.8</v>
      </c>
      <c r="BK6">
        <v>116.4</v>
      </c>
      <c r="BL6">
        <v>117.3</v>
      </c>
      <c r="BM6">
        <v>118.3</v>
      </c>
      <c r="BN6">
        <v>117.8</v>
      </c>
      <c r="BO6">
        <v>118.1</v>
      </c>
      <c r="BP6">
        <v>119.9</v>
      </c>
      <c r="BQ6">
        <v>122.7</v>
      </c>
      <c r="BR6">
        <v>121</v>
      </c>
      <c r="BS6">
        <v>121.8</v>
      </c>
      <c r="BT6">
        <v>126.3</v>
      </c>
      <c r="BU6">
        <v>123.5</v>
      </c>
      <c r="BV6">
        <v>122.1</v>
      </c>
      <c r="BW6">
        <v>126.6</v>
      </c>
      <c r="BX6">
        <v>123.8</v>
      </c>
      <c r="BY6">
        <v>122.1</v>
      </c>
      <c r="BZ6">
        <v>119.5</v>
      </c>
      <c r="CA6">
        <v>121.1</v>
      </c>
      <c r="CB6">
        <v>118.9</v>
      </c>
      <c r="CC6">
        <v>113.5</v>
      </c>
      <c r="CD6">
        <v>116.8</v>
      </c>
      <c r="CE6">
        <v>117.2</v>
      </c>
      <c r="CF6">
        <v>110</v>
      </c>
      <c r="CG6">
        <v>114.4</v>
      </c>
      <c r="CH6">
        <v>117.3</v>
      </c>
      <c r="CI6">
        <v>111.3</v>
      </c>
      <c r="CJ6">
        <v>115</v>
      </c>
      <c r="CK6">
        <v>122.1</v>
      </c>
      <c r="CL6">
        <v>120.9</v>
      </c>
      <c r="CM6">
        <v>121.6</v>
      </c>
      <c r="CN6">
        <v>122</v>
      </c>
      <c r="CO6">
        <v>119.5</v>
      </c>
      <c r="CP6">
        <v>121</v>
      </c>
      <c r="CQ6">
        <v>121.3</v>
      </c>
      <c r="CR6">
        <v>118.1</v>
      </c>
      <c r="CS6">
        <v>120.1</v>
      </c>
      <c r="CT6">
        <v>120.7</v>
      </c>
      <c r="CU6">
        <v>115.6</v>
      </c>
      <c r="CV6">
        <v>118.7</v>
      </c>
      <c r="CW6">
        <v>120.8</v>
      </c>
      <c r="CX6">
        <v>115.9</v>
      </c>
      <c r="CY6">
        <v>118.9</v>
      </c>
      <c r="CZ6">
        <v>121.7</v>
      </c>
      <c r="DA6">
        <v>121.5</v>
      </c>
      <c r="DB6">
        <v>121.6</v>
      </c>
      <c r="DC6">
        <v>123.3</v>
      </c>
      <c r="DD6">
        <v>127.1</v>
      </c>
      <c r="DE6">
        <v>124.8</v>
      </c>
      <c r="DF6">
        <v>126.5</v>
      </c>
      <c r="DG6">
        <v>132</v>
      </c>
      <c r="DH6">
        <v>128.6</v>
      </c>
      <c r="DI6">
        <v>127.7</v>
      </c>
      <c r="DJ6">
        <v>130.30000000000001</v>
      </c>
      <c r="DK6">
        <v>128.69999999999999</v>
      </c>
      <c r="DL6">
        <v>125.1</v>
      </c>
      <c r="DM6">
        <v>123.7</v>
      </c>
      <c r="DN6">
        <v>124.6</v>
      </c>
      <c r="DO6">
        <v>123.4</v>
      </c>
      <c r="DP6">
        <v>119.9</v>
      </c>
      <c r="DQ6">
        <v>122</v>
      </c>
      <c r="DR6">
        <v>124.4</v>
      </c>
      <c r="DS6">
        <v>127</v>
      </c>
      <c r="DT6">
        <v>125.4</v>
      </c>
      <c r="DU6">
        <v>126.6</v>
      </c>
      <c r="DV6">
        <v>130.9</v>
      </c>
      <c r="DW6">
        <v>128.30000000000001</v>
      </c>
      <c r="DX6">
        <v>129.6</v>
      </c>
      <c r="DY6">
        <v>136.6</v>
      </c>
      <c r="DZ6">
        <v>132.30000000000001</v>
      </c>
      <c r="EA6">
        <v>130.30000000000001</v>
      </c>
      <c r="EB6">
        <v>133.69999999999999</v>
      </c>
      <c r="EC6">
        <v>131.6</v>
      </c>
      <c r="ED6">
        <v>130.5</v>
      </c>
      <c r="EE6">
        <v>130.6</v>
      </c>
      <c r="EF6">
        <v>130.5</v>
      </c>
      <c r="EG6">
        <v>130.1</v>
      </c>
      <c r="EH6">
        <v>130.30000000000001</v>
      </c>
      <c r="EI6">
        <v>130.19999999999999</v>
      </c>
      <c r="EJ6">
        <v>130.6</v>
      </c>
      <c r="EK6">
        <v>134.1</v>
      </c>
      <c r="EL6">
        <v>132</v>
      </c>
      <c r="EM6">
        <v>131.6</v>
      </c>
      <c r="EN6">
        <v>134.9</v>
      </c>
      <c r="EO6">
        <v>132.9</v>
      </c>
      <c r="EP6">
        <v>131.9</v>
      </c>
      <c r="EQ6">
        <v>132.6</v>
      </c>
      <c r="ER6">
        <v>132.19999999999999</v>
      </c>
      <c r="ES6">
        <v>129.30000000000001</v>
      </c>
      <c r="ET6">
        <v>129.30000000000001</v>
      </c>
      <c r="EU6">
        <v>129.30000000000001</v>
      </c>
      <c r="EV6">
        <v>128.80000000000001</v>
      </c>
      <c r="EW6">
        <v>128.4</v>
      </c>
      <c r="EX6">
        <v>128.6</v>
      </c>
      <c r="EY6">
        <v>127.1</v>
      </c>
      <c r="EZ6">
        <v>124.5</v>
      </c>
      <c r="FA6">
        <v>126.1</v>
      </c>
      <c r="FB6">
        <v>126.8</v>
      </c>
      <c r="FC6">
        <v>125.6</v>
      </c>
      <c r="FD6">
        <v>126.3</v>
      </c>
      <c r="FE6">
        <v>128</v>
      </c>
      <c r="FF6">
        <v>128.30000000000001</v>
      </c>
      <c r="FG6">
        <v>128.1</v>
      </c>
      <c r="FH6">
        <v>129.80000000000001</v>
      </c>
      <c r="FI6">
        <v>129.4</v>
      </c>
      <c r="FJ6">
        <v>129.6</v>
      </c>
      <c r="FK6">
        <v>130</v>
      </c>
      <c r="FL6">
        <v>128.30000000000001</v>
      </c>
      <c r="FM6">
        <v>129.30000000000001</v>
      </c>
      <c r="FN6">
        <v>130.5</v>
      </c>
      <c r="FO6">
        <v>129.69999999999999</v>
      </c>
      <c r="FP6">
        <v>130.19999999999999</v>
      </c>
      <c r="FQ6">
        <v>131</v>
      </c>
      <c r="FR6">
        <v>131.4</v>
      </c>
      <c r="FS6">
        <v>131.19999999999999</v>
      </c>
      <c r="FT6">
        <v>140.5</v>
      </c>
      <c r="FU6">
        <v>146.69999999999999</v>
      </c>
      <c r="FV6">
        <v>142.9</v>
      </c>
      <c r="FW6">
        <v>144.80000000000001</v>
      </c>
      <c r="FX6">
        <v>145.9</v>
      </c>
      <c r="FY6">
        <v>145.19999999999999</v>
      </c>
      <c r="FZ6">
        <v>143.80000000000001</v>
      </c>
      <c r="GA6">
        <v>143.6</v>
      </c>
      <c r="GB6">
        <v>143.69999999999999</v>
      </c>
      <c r="GC6">
        <v>140.6</v>
      </c>
      <c r="GD6">
        <v>139.9</v>
      </c>
      <c r="GE6">
        <v>140.30000000000001</v>
      </c>
      <c r="GF6">
        <v>140</v>
      </c>
      <c r="GG6">
        <v>135.5</v>
      </c>
      <c r="GH6">
        <v>138.30000000000001</v>
      </c>
      <c r="GI6">
        <v>135.9</v>
      </c>
      <c r="GJ6">
        <v>130.80000000000001</v>
      </c>
      <c r="GK6">
        <v>133.9</v>
      </c>
      <c r="GL6">
        <v>135.5</v>
      </c>
      <c r="GM6">
        <v>130.5</v>
      </c>
      <c r="GN6">
        <v>133.6</v>
      </c>
      <c r="GO6">
        <v>136.69999999999999</v>
      </c>
      <c r="GP6">
        <v>133.9</v>
      </c>
      <c r="GQ6">
        <v>135.6</v>
      </c>
      <c r="GR6">
        <v>139.30000000000001</v>
      </c>
      <c r="GS6">
        <v>139.1</v>
      </c>
      <c r="GT6">
        <v>139.19999999999999</v>
      </c>
      <c r="GU6">
        <v>139.1</v>
      </c>
      <c r="GV6">
        <v>136.6</v>
      </c>
      <c r="GW6">
        <v>138.1</v>
      </c>
      <c r="GX6">
        <v>136.6</v>
      </c>
      <c r="GY6">
        <v>132.80000000000001</v>
      </c>
      <c r="GZ6">
        <v>135.1</v>
      </c>
      <c r="HA6">
        <v>134.6</v>
      </c>
      <c r="HB6">
        <v>133.5</v>
      </c>
      <c r="HC6">
        <v>137.30000000000001</v>
      </c>
      <c r="HD6">
        <v>136.69999999999999</v>
      </c>
      <c r="HE6">
        <v>137.80000000000001</v>
      </c>
      <c r="HF6">
        <v>137.1</v>
      </c>
      <c r="HG6">
        <v>137.4</v>
      </c>
      <c r="HH6">
        <v>141.1</v>
      </c>
      <c r="HI6">
        <v>138.80000000000001</v>
      </c>
      <c r="HJ6">
        <v>138.19999999999999</v>
      </c>
      <c r="HK6">
        <v>143.5</v>
      </c>
      <c r="HL6">
        <v>140.19999999999999</v>
      </c>
      <c r="HM6">
        <v>139.1</v>
      </c>
      <c r="HN6">
        <v>145.30000000000001</v>
      </c>
      <c r="HO6">
        <v>141.5</v>
      </c>
      <c r="HP6">
        <v>138.69999999999999</v>
      </c>
      <c r="HQ6">
        <v>142.9</v>
      </c>
      <c r="HR6">
        <v>140.30000000000001</v>
      </c>
      <c r="HS6">
        <v>134.5</v>
      </c>
      <c r="HT6">
        <v>138.30000000000001</v>
      </c>
      <c r="HU6">
        <v>136</v>
      </c>
      <c r="HV6">
        <v>136.19999999999999</v>
      </c>
      <c r="HW6">
        <v>140.4</v>
      </c>
      <c r="HX6">
        <v>137.80000000000001</v>
      </c>
      <c r="HY6">
        <v>138.4</v>
      </c>
      <c r="HZ6">
        <v>142.5</v>
      </c>
      <c r="IA6">
        <v>140</v>
      </c>
      <c r="IB6">
        <v>137.1</v>
      </c>
      <c r="IC6">
        <v>140.80000000000001</v>
      </c>
      <c r="ID6">
        <v>138.5</v>
      </c>
      <c r="IE6">
        <v>138.30000000000001</v>
      </c>
      <c r="IF6">
        <v>141.6</v>
      </c>
      <c r="IG6">
        <v>139.6</v>
      </c>
      <c r="IH6">
        <v>141.19999999999999</v>
      </c>
      <c r="II6">
        <v>144.69999999999999</v>
      </c>
      <c r="IJ6">
        <v>142.6</v>
      </c>
      <c r="IK6">
        <v>143.80000000000001</v>
      </c>
      <c r="IL6">
        <v>148.4</v>
      </c>
      <c r="IM6">
        <v>145.6</v>
      </c>
      <c r="IN6">
        <v>149.5</v>
      </c>
      <c r="IO6">
        <v>153.69999999999999</v>
      </c>
      <c r="IP6">
        <v>151.1</v>
      </c>
      <c r="IQ6">
        <v>153.5</v>
      </c>
      <c r="IR6">
        <v>157</v>
      </c>
      <c r="IS6">
        <v>154.9</v>
      </c>
      <c r="IT6">
        <v>150.9</v>
      </c>
      <c r="IU6">
        <v>153.1</v>
      </c>
      <c r="IV6">
        <v>151.80000000000001</v>
      </c>
      <c r="IW6">
        <v>147.6</v>
      </c>
      <c r="IX6">
        <v>148.9</v>
      </c>
      <c r="IY6">
        <v>148.1</v>
      </c>
      <c r="IZ6">
        <v>146.9</v>
      </c>
      <c r="JA6">
        <v>151.9</v>
      </c>
      <c r="JB6">
        <v>148.80000000000001</v>
      </c>
      <c r="JF6">
        <v>149.4</v>
      </c>
      <c r="JG6">
        <v>154.6</v>
      </c>
      <c r="JH6">
        <v>151.4</v>
      </c>
      <c r="JI6">
        <v>149.4</v>
      </c>
      <c r="JJ6">
        <v>154.6</v>
      </c>
      <c r="JK6">
        <v>151.4</v>
      </c>
      <c r="JL6">
        <v>148.4</v>
      </c>
      <c r="JM6">
        <v>154.5</v>
      </c>
      <c r="JN6">
        <v>150.80000000000001</v>
      </c>
      <c r="JO6">
        <v>149.5</v>
      </c>
      <c r="JP6">
        <v>157.30000000000001</v>
      </c>
      <c r="JQ6">
        <v>152.5</v>
      </c>
      <c r="JR6">
        <v>159.19999999999999</v>
      </c>
      <c r="JS6">
        <v>164.8</v>
      </c>
      <c r="JT6">
        <v>161.4</v>
      </c>
      <c r="JU6">
        <v>171.6</v>
      </c>
      <c r="JV6">
        <v>176.9</v>
      </c>
      <c r="JW6">
        <v>173.6</v>
      </c>
      <c r="JX6">
        <v>173.4</v>
      </c>
      <c r="JY6">
        <v>178.3</v>
      </c>
      <c r="JZ6">
        <v>175.3</v>
      </c>
      <c r="KA6">
        <v>173.4</v>
      </c>
      <c r="KB6">
        <v>178.4</v>
      </c>
      <c r="KC6">
        <v>175.3</v>
      </c>
      <c r="KD6">
        <v>168</v>
      </c>
      <c r="KE6">
        <v>169.9</v>
      </c>
      <c r="KF6">
        <v>168.7</v>
      </c>
      <c r="KG6">
        <v>163.19999999999999</v>
      </c>
      <c r="KH6">
        <v>164.7</v>
      </c>
      <c r="KI6">
        <v>163.80000000000001</v>
      </c>
      <c r="KJ6">
        <v>163.4</v>
      </c>
      <c r="KK6">
        <v>166.4</v>
      </c>
      <c r="KL6">
        <v>164.6</v>
      </c>
      <c r="KM6">
        <v>168.6</v>
      </c>
      <c r="KN6">
        <v>173</v>
      </c>
      <c r="KO6">
        <v>170.3</v>
      </c>
      <c r="KP6">
        <v>179.3</v>
      </c>
      <c r="KQ6">
        <v>182.8</v>
      </c>
      <c r="KR6">
        <v>180.7</v>
      </c>
      <c r="KS6">
        <v>180.4</v>
      </c>
      <c r="KT6">
        <v>185</v>
      </c>
      <c r="KU6">
        <v>182.2</v>
      </c>
      <c r="KV6">
        <v>176.5</v>
      </c>
      <c r="KW6">
        <v>174.1</v>
      </c>
      <c r="KX6">
        <v>172.8</v>
      </c>
      <c r="KY6">
        <v>172</v>
      </c>
      <c r="KZ6">
        <v>174.1</v>
      </c>
      <c r="LA6">
        <v>172.8</v>
      </c>
      <c r="LB6">
        <v>170.1</v>
      </c>
      <c r="LC6">
        <v>173</v>
      </c>
      <c r="LD6">
        <v>171.2</v>
      </c>
      <c r="LE6">
        <v>171.5</v>
      </c>
      <c r="LF6">
        <v>175.4</v>
      </c>
      <c r="LG6">
        <v>173</v>
      </c>
      <c r="LH6">
        <v>176.5</v>
      </c>
      <c r="LI6">
        <v>180</v>
      </c>
      <c r="LJ6">
        <v>177.9</v>
      </c>
      <c r="LK6">
        <v>178</v>
      </c>
      <c r="LL6">
        <v>180.1</v>
      </c>
      <c r="LM6">
        <v>178.8</v>
      </c>
      <c r="LN6">
        <v>175.5</v>
      </c>
      <c r="LO6">
        <v>176.4</v>
      </c>
      <c r="LP6">
        <v>175.8</v>
      </c>
      <c r="LQ6">
        <v>167.9</v>
      </c>
      <c r="LR6">
        <v>167.7</v>
      </c>
      <c r="LS6">
        <v>167.8</v>
      </c>
      <c r="LT6">
        <v>164.5</v>
      </c>
      <c r="LU6">
        <v>164.6</v>
      </c>
      <c r="LV6">
        <v>164.5</v>
      </c>
      <c r="LW6">
        <v>161.4</v>
      </c>
      <c r="LX6">
        <v>164.1</v>
      </c>
      <c r="LY6">
        <v>162.4</v>
      </c>
      <c r="LZ6">
        <v>169.6</v>
      </c>
      <c r="MA6">
        <v>172.8</v>
      </c>
      <c r="MB6">
        <v>170.8</v>
      </c>
      <c r="MC6">
        <v>174.3</v>
      </c>
      <c r="MD6">
        <v>176.6</v>
      </c>
      <c r="ME6">
        <v>175.2</v>
      </c>
      <c r="MF6">
        <v>168.3</v>
      </c>
      <c r="MG6">
        <v>170.6</v>
      </c>
      <c r="MH6">
        <v>169.2</v>
      </c>
      <c r="MI6">
        <v>169</v>
      </c>
      <c r="MJ6">
        <v>170.9</v>
      </c>
      <c r="MK6">
        <v>169.7</v>
      </c>
      <c r="ML6">
        <v>170.3</v>
      </c>
      <c r="MM6">
        <v>171.9</v>
      </c>
      <c r="MN6">
        <v>170.9</v>
      </c>
      <c r="MO6">
        <v>180.2</v>
      </c>
      <c r="MP6">
        <v>183.2</v>
      </c>
      <c r="MQ6">
        <v>181.4</v>
      </c>
      <c r="MR6">
        <v>189.1</v>
      </c>
      <c r="MS6">
        <v>191.9</v>
      </c>
      <c r="MT6">
        <v>190.2</v>
      </c>
      <c r="MU6">
        <v>192.9</v>
      </c>
      <c r="MV6">
        <v>197</v>
      </c>
      <c r="MW6">
        <v>194.5</v>
      </c>
      <c r="MX6">
        <v>173.9</v>
      </c>
      <c r="MY6">
        <v>177.2</v>
      </c>
      <c r="MZ6">
        <v>175.2</v>
      </c>
      <c r="NA6">
        <v>173.9</v>
      </c>
      <c r="NB6">
        <v>177.2</v>
      </c>
      <c r="NC6">
        <v>175.2</v>
      </c>
      <c r="ND6">
        <v>167.9</v>
      </c>
      <c r="NE6">
        <v>172.4</v>
      </c>
      <c r="NF6">
        <v>169.6</v>
      </c>
      <c r="NG6">
        <v>171</v>
      </c>
      <c r="NH6">
        <v>176.7</v>
      </c>
      <c r="NI6">
        <v>173.2</v>
      </c>
    </row>
    <row r="7" spans="1:373" x14ac:dyDescent="0.3">
      <c r="A7" s="1" t="s">
        <v>6</v>
      </c>
      <c r="B7">
        <v>104.9</v>
      </c>
      <c r="C7">
        <v>103.6</v>
      </c>
      <c r="D7">
        <v>104.4</v>
      </c>
      <c r="E7">
        <v>105.4</v>
      </c>
      <c r="F7">
        <v>104</v>
      </c>
      <c r="G7">
        <v>104.9</v>
      </c>
      <c r="H7">
        <v>105.6</v>
      </c>
      <c r="I7">
        <v>104.3</v>
      </c>
      <c r="J7">
        <v>105.1</v>
      </c>
      <c r="K7">
        <v>106.3</v>
      </c>
      <c r="L7">
        <v>104.7</v>
      </c>
      <c r="M7">
        <v>105.7</v>
      </c>
      <c r="N7">
        <v>107.5</v>
      </c>
      <c r="O7">
        <v>105.5</v>
      </c>
      <c r="P7">
        <v>106.8</v>
      </c>
      <c r="Q7">
        <v>108.3</v>
      </c>
      <c r="R7">
        <v>107.3</v>
      </c>
      <c r="S7">
        <v>107.9</v>
      </c>
      <c r="T7">
        <v>109.3</v>
      </c>
      <c r="U7">
        <v>108.3</v>
      </c>
      <c r="V7">
        <v>108.9</v>
      </c>
      <c r="W7">
        <v>110</v>
      </c>
      <c r="X7">
        <v>108.9</v>
      </c>
      <c r="Y7">
        <v>109.6</v>
      </c>
      <c r="Z7">
        <v>111</v>
      </c>
      <c r="AA7">
        <v>109.6</v>
      </c>
      <c r="AB7">
        <v>110.5</v>
      </c>
      <c r="AC7">
        <v>111.7</v>
      </c>
      <c r="AD7">
        <v>110.4</v>
      </c>
      <c r="AE7">
        <v>111.2</v>
      </c>
      <c r="AF7">
        <v>112.8</v>
      </c>
      <c r="AG7">
        <v>112</v>
      </c>
      <c r="AH7">
        <v>112.5</v>
      </c>
      <c r="AI7">
        <v>113.8</v>
      </c>
      <c r="AJ7">
        <v>112.8</v>
      </c>
      <c r="AK7">
        <v>113.4</v>
      </c>
      <c r="AL7">
        <v>114.4</v>
      </c>
      <c r="AM7">
        <v>113.6</v>
      </c>
      <c r="AN7">
        <v>114.1</v>
      </c>
      <c r="AO7">
        <v>115</v>
      </c>
      <c r="AP7">
        <v>115.2</v>
      </c>
      <c r="AQ7">
        <v>115.1</v>
      </c>
      <c r="AR7">
        <v>116.1</v>
      </c>
      <c r="AS7">
        <v>116.2</v>
      </c>
      <c r="AT7">
        <v>116.1</v>
      </c>
      <c r="AU7">
        <v>117</v>
      </c>
      <c r="AV7">
        <v>117</v>
      </c>
      <c r="AW7">
        <v>117</v>
      </c>
      <c r="AX7">
        <v>118</v>
      </c>
      <c r="AY7">
        <v>119.1</v>
      </c>
      <c r="AZ7">
        <v>118.4</v>
      </c>
      <c r="BA7">
        <v>119.3</v>
      </c>
      <c r="BB7">
        <v>120.4</v>
      </c>
      <c r="BC7">
        <v>119.7</v>
      </c>
      <c r="BD7">
        <v>120.6</v>
      </c>
      <c r="BE7">
        <v>121.6</v>
      </c>
      <c r="BF7">
        <v>121</v>
      </c>
      <c r="BG7">
        <v>121.9</v>
      </c>
      <c r="BH7">
        <v>122.2</v>
      </c>
      <c r="BI7">
        <v>122</v>
      </c>
      <c r="BJ7">
        <v>122.7</v>
      </c>
      <c r="BK7">
        <v>122.7</v>
      </c>
      <c r="BL7">
        <v>122.7</v>
      </c>
      <c r="BM7">
        <v>123.2</v>
      </c>
      <c r="BN7">
        <v>123.1</v>
      </c>
      <c r="BO7">
        <v>123.2</v>
      </c>
      <c r="BP7">
        <v>124</v>
      </c>
      <c r="BQ7">
        <v>124.6</v>
      </c>
      <c r="BR7">
        <v>124.2</v>
      </c>
      <c r="BS7">
        <v>124.2</v>
      </c>
      <c r="BT7">
        <v>124.9</v>
      </c>
      <c r="BU7">
        <v>124.5</v>
      </c>
      <c r="BV7">
        <v>124.9</v>
      </c>
      <c r="BW7">
        <v>125.2</v>
      </c>
      <c r="BX7">
        <v>125</v>
      </c>
      <c r="BY7">
        <v>125.8</v>
      </c>
      <c r="BZ7">
        <v>125.6</v>
      </c>
      <c r="CA7">
        <v>125.7</v>
      </c>
      <c r="CB7">
        <v>126</v>
      </c>
      <c r="CC7">
        <v>125.9</v>
      </c>
      <c r="CD7">
        <v>126</v>
      </c>
      <c r="CE7">
        <v>126.8</v>
      </c>
      <c r="CF7">
        <v>126.3</v>
      </c>
      <c r="CG7">
        <v>126.6</v>
      </c>
      <c r="CH7">
        <v>127.7</v>
      </c>
      <c r="CI7">
        <v>126.6</v>
      </c>
      <c r="CJ7">
        <v>127.3</v>
      </c>
      <c r="CK7">
        <v>128.69999999999999</v>
      </c>
      <c r="CL7">
        <v>127.3</v>
      </c>
      <c r="CM7">
        <v>128.19999999999999</v>
      </c>
      <c r="CN7">
        <v>128.69999999999999</v>
      </c>
      <c r="CO7">
        <v>127.7</v>
      </c>
      <c r="CP7">
        <v>128.30000000000001</v>
      </c>
      <c r="CQ7">
        <v>128.80000000000001</v>
      </c>
      <c r="CR7">
        <v>128</v>
      </c>
      <c r="CS7">
        <v>128.5</v>
      </c>
      <c r="CT7">
        <v>129.19999999999999</v>
      </c>
      <c r="CU7">
        <v>128.30000000000001</v>
      </c>
      <c r="CV7">
        <v>128.9</v>
      </c>
      <c r="CW7">
        <v>129.4</v>
      </c>
      <c r="CX7">
        <v>128.5</v>
      </c>
      <c r="CY7">
        <v>129.1</v>
      </c>
      <c r="CZ7">
        <v>129.5</v>
      </c>
      <c r="DA7">
        <v>128.6</v>
      </c>
      <c r="DB7">
        <v>129.19999999999999</v>
      </c>
      <c r="DC7">
        <v>129.80000000000001</v>
      </c>
      <c r="DD7">
        <v>128.6</v>
      </c>
      <c r="DE7">
        <v>129.4</v>
      </c>
      <c r="DF7">
        <v>130.30000000000001</v>
      </c>
      <c r="DG7">
        <v>129.19999999999999</v>
      </c>
      <c r="DH7">
        <v>129.9</v>
      </c>
      <c r="DI7">
        <v>130.69999999999999</v>
      </c>
      <c r="DJ7">
        <v>129.6</v>
      </c>
      <c r="DK7">
        <v>130.30000000000001</v>
      </c>
      <c r="DL7">
        <v>130.5</v>
      </c>
      <c r="DM7">
        <v>129.69999999999999</v>
      </c>
      <c r="DN7">
        <v>130.19999999999999</v>
      </c>
      <c r="DO7">
        <v>131.30000000000001</v>
      </c>
      <c r="DP7">
        <v>130.19999999999999</v>
      </c>
      <c r="DQ7">
        <v>130.9</v>
      </c>
      <c r="DR7">
        <v>132.4</v>
      </c>
      <c r="DS7">
        <v>130.4</v>
      </c>
      <c r="DT7">
        <v>131.69999999999999</v>
      </c>
      <c r="DU7">
        <v>133.6</v>
      </c>
      <c r="DV7">
        <v>131</v>
      </c>
      <c r="DW7">
        <v>132.6</v>
      </c>
      <c r="DX7">
        <v>134.5</v>
      </c>
      <c r="DY7">
        <v>131.80000000000001</v>
      </c>
      <c r="DZ7">
        <v>133.5</v>
      </c>
      <c r="EA7">
        <v>135.30000000000001</v>
      </c>
      <c r="EB7">
        <v>132.19999999999999</v>
      </c>
      <c r="EC7">
        <v>134.1</v>
      </c>
      <c r="ED7">
        <v>135.5</v>
      </c>
      <c r="EE7">
        <v>132.6</v>
      </c>
      <c r="EF7">
        <v>134.4</v>
      </c>
      <c r="EG7">
        <v>136</v>
      </c>
      <c r="EH7">
        <v>132.69999999999999</v>
      </c>
      <c r="EI7">
        <v>134.80000000000001</v>
      </c>
      <c r="EJ7">
        <v>136.19999999999999</v>
      </c>
      <c r="EK7">
        <v>132.9</v>
      </c>
      <c r="EL7">
        <v>135</v>
      </c>
      <c r="EM7">
        <v>136.30000000000001</v>
      </c>
      <c r="EN7">
        <v>133.1</v>
      </c>
      <c r="EO7">
        <v>135.1</v>
      </c>
      <c r="EP7">
        <v>136.69999999999999</v>
      </c>
      <c r="EQ7">
        <v>133.1</v>
      </c>
      <c r="ER7">
        <v>135.4</v>
      </c>
      <c r="ES7">
        <v>137.19999999999999</v>
      </c>
      <c r="ET7">
        <v>133.5</v>
      </c>
      <c r="EU7">
        <v>135.80000000000001</v>
      </c>
      <c r="EV7">
        <v>137.19999999999999</v>
      </c>
      <c r="EW7">
        <v>134.9</v>
      </c>
      <c r="EX7">
        <v>136.30000000000001</v>
      </c>
      <c r="EY7">
        <v>137.69999999999999</v>
      </c>
      <c r="EZ7">
        <v>136.30000000000001</v>
      </c>
      <c r="FA7">
        <v>137.19999999999999</v>
      </c>
      <c r="FB7">
        <v>138.19999999999999</v>
      </c>
      <c r="FC7">
        <v>136.80000000000001</v>
      </c>
      <c r="FD7">
        <v>137.69999999999999</v>
      </c>
      <c r="FE7">
        <v>138.6</v>
      </c>
      <c r="FF7">
        <v>137.30000000000001</v>
      </c>
      <c r="FG7">
        <v>138.1</v>
      </c>
      <c r="FH7">
        <v>139</v>
      </c>
      <c r="FI7">
        <v>137.69999999999999</v>
      </c>
      <c r="FJ7">
        <v>138.5</v>
      </c>
      <c r="FK7">
        <v>139.4</v>
      </c>
      <c r="FL7">
        <v>138.30000000000001</v>
      </c>
      <c r="FM7">
        <v>139</v>
      </c>
      <c r="FN7">
        <v>140.19999999999999</v>
      </c>
      <c r="FO7">
        <v>138.69999999999999</v>
      </c>
      <c r="FP7">
        <v>139.6</v>
      </c>
      <c r="FQ7">
        <v>141.5</v>
      </c>
      <c r="FR7">
        <v>139.1</v>
      </c>
      <c r="FS7">
        <v>140.6</v>
      </c>
      <c r="FT7">
        <v>141.5</v>
      </c>
      <c r="FU7">
        <v>139.5</v>
      </c>
      <c r="FV7">
        <v>140.80000000000001</v>
      </c>
      <c r="FW7">
        <v>141.9</v>
      </c>
      <c r="FX7">
        <v>139.5</v>
      </c>
      <c r="FY7">
        <v>141</v>
      </c>
      <c r="FZ7">
        <v>142</v>
      </c>
      <c r="GA7">
        <v>139.6</v>
      </c>
      <c r="GB7">
        <v>141.1</v>
      </c>
      <c r="GC7">
        <v>141.5</v>
      </c>
      <c r="GD7">
        <v>139.9</v>
      </c>
      <c r="GE7">
        <v>140.9</v>
      </c>
      <c r="GF7">
        <v>142</v>
      </c>
      <c r="GG7">
        <v>139.9</v>
      </c>
      <c r="GH7">
        <v>141.19999999999999</v>
      </c>
      <c r="GI7">
        <v>142.4</v>
      </c>
      <c r="GJ7">
        <v>140.30000000000001</v>
      </c>
      <c r="GK7">
        <v>141.6</v>
      </c>
      <c r="GL7">
        <v>142.9</v>
      </c>
      <c r="GM7">
        <v>140.69999999999999</v>
      </c>
      <c r="GN7">
        <v>142.1</v>
      </c>
      <c r="GO7">
        <v>143.19999999999999</v>
      </c>
      <c r="GP7">
        <v>140.80000000000001</v>
      </c>
      <c r="GQ7">
        <v>142.30000000000001</v>
      </c>
      <c r="GR7">
        <v>143.4</v>
      </c>
      <c r="GS7">
        <v>141</v>
      </c>
      <c r="GT7">
        <v>142.5</v>
      </c>
      <c r="GU7">
        <v>143.5</v>
      </c>
      <c r="GV7">
        <v>141.19999999999999</v>
      </c>
      <c r="GW7">
        <v>142.6</v>
      </c>
      <c r="GX7">
        <v>143.69999999999999</v>
      </c>
      <c r="GY7">
        <v>141.5</v>
      </c>
      <c r="GZ7">
        <v>142.9</v>
      </c>
      <c r="HA7">
        <v>141.9</v>
      </c>
      <c r="HB7">
        <v>141.5</v>
      </c>
      <c r="HC7">
        <v>141.9</v>
      </c>
      <c r="HD7">
        <v>141.9</v>
      </c>
      <c r="HE7">
        <v>141.6</v>
      </c>
      <c r="HF7">
        <v>141.80000000000001</v>
      </c>
      <c r="HG7">
        <v>142.4</v>
      </c>
      <c r="HH7">
        <v>141.6</v>
      </c>
      <c r="HI7">
        <v>142.1</v>
      </c>
      <c r="HJ7">
        <v>142.4</v>
      </c>
      <c r="HK7">
        <v>141.69999999999999</v>
      </c>
      <c r="HL7">
        <v>142.1</v>
      </c>
      <c r="HM7">
        <v>142.5</v>
      </c>
      <c r="HN7">
        <v>141.69999999999999</v>
      </c>
      <c r="HO7">
        <v>142.19999999999999</v>
      </c>
      <c r="HP7">
        <v>142.5</v>
      </c>
      <c r="HQ7">
        <v>141.9</v>
      </c>
      <c r="HR7">
        <v>142.30000000000001</v>
      </c>
      <c r="HS7">
        <v>142.6</v>
      </c>
      <c r="HT7">
        <v>142.4</v>
      </c>
      <c r="HU7">
        <v>142.5</v>
      </c>
      <c r="HV7">
        <v>143.19999999999999</v>
      </c>
      <c r="HW7">
        <v>143.4</v>
      </c>
      <c r="HX7">
        <v>143.30000000000001</v>
      </c>
      <c r="HY7">
        <v>143.9</v>
      </c>
      <c r="HZ7">
        <v>144.1</v>
      </c>
      <c r="IA7">
        <v>144</v>
      </c>
      <c r="IB7">
        <v>144.6</v>
      </c>
      <c r="IC7">
        <v>144.9</v>
      </c>
      <c r="ID7">
        <v>144.69999999999999</v>
      </c>
      <c r="IE7">
        <v>145.69999999999999</v>
      </c>
      <c r="IF7">
        <v>144.9</v>
      </c>
      <c r="IG7">
        <v>145.4</v>
      </c>
      <c r="IH7">
        <v>146.5</v>
      </c>
      <c r="II7">
        <v>145.6</v>
      </c>
      <c r="IJ7">
        <v>146.19999999999999</v>
      </c>
      <c r="IK7">
        <v>147.1</v>
      </c>
      <c r="IL7">
        <v>145.9</v>
      </c>
      <c r="IM7">
        <v>146.69999999999999</v>
      </c>
      <c r="IN7">
        <v>148.69999999999999</v>
      </c>
      <c r="IO7">
        <v>147.5</v>
      </c>
      <c r="IP7">
        <v>148.30000000000001</v>
      </c>
      <c r="IQ7">
        <v>150.5</v>
      </c>
      <c r="IR7">
        <v>149.30000000000001</v>
      </c>
      <c r="IS7">
        <v>150.1</v>
      </c>
      <c r="IT7">
        <v>150.9</v>
      </c>
      <c r="IU7">
        <v>150.69999999999999</v>
      </c>
      <c r="IV7">
        <v>150.80000000000001</v>
      </c>
      <c r="IW7">
        <v>151.69999999999999</v>
      </c>
      <c r="IX7">
        <v>151.1</v>
      </c>
      <c r="IY7">
        <v>151.5</v>
      </c>
      <c r="IZ7">
        <v>155.6</v>
      </c>
      <c r="JA7">
        <v>155.5</v>
      </c>
      <c r="JB7">
        <v>155.6</v>
      </c>
      <c r="JF7">
        <v>153.30000000000001</v>
      </c>
      <c r="JG7">
        <v>153.4</v>
      </c>
      <c r="JH7">
        <v>153.30000000000001</v>
      </c>
      <c r="JI7">
        <v>153.30000000000001</v>
      </c>
      <c r="JJ7">
        <v>153.4</v>
      </c>
      <c r="JK7">
        <v>153.30000000000001</v>
      </c>
      <c r="JL7">
        <v>153.30000000000001</v>
      </c>
      <c r="JM7">
        <v>153.4</v>
      </c>
      <c r="JN7">
        <v>153.30000000000001</v>
      </c>
      <c r="JO7">
        <v>153.4</v>
      </c>
      <c r="JP7">
        <v>153.9</v>
      </c>
      <c r="JQ7">
        <v>153.6</v>
      </c>
      <c r="JR7">
        <v>153.6</v>
      </c>
      <c r="JS7">
        <v>153.69999999999999</v>
      </c>
      <c r="JT7">
        <v>153.6</v>
      </c>
      <c r="JU7">
        <v>153.80000000000001</v>
      </c>
      <c r="JV7">
        <v>153.9</v>
      </c>
      <c r="JW7">
        <v>153.80000000000001</v>
      </c>
      <c r="JX7">
        <v>154</v>
      </c>
      <c r="JY7">
        <v>154.19999999999999</v>
      </c>
      <c r="JZ7">
        <v>154.1</v>
      </c>
      <c r="KA7">
        <v>154</v>
      </c>
      <c r="KB7">
        <v>154.4</v>
      </c>
      <c r="KC7">
        <v>154.1</v>
      </c>
      <c r="KD7">
        <v>154.4</v>
      </c>
      <c r="KE7">
        <v>155.1</v>
      </c>
      <c r="KF7">
        <v>154.69999999999999</v>
      </c>
      <c r="KG7">
        <v>154.5</v>
      </c>
      <c r="KH7">
        <v>155.6</v>
      </c>
      <c r="KI7">
        <v>154.9</v>
      </c>
      <c r="KJ7">
        <v>155</v>
      </c>
      <c r="KK7">
        <v>156</v>
      </c>
      <c r="KL7">
        <v>155.4</v>
      </c>
      <c r="KM7">
        <v>155.80000000000001</v>
      </c>
      <c r="KN7">
        <v>156.5</v>
      </c>
      <c r="KO7">
        <v>156.1</v>
      </c>
      <c r="KP7">
        <v>156.1</v>
      </c>
      <c r="KQ7">
        <v>156.5</v>
      </c>
      <c r="KR7">
        <v>156.19999999999999</v>
      </c>
      <c r="KS7">
        <v>157.1</v>
      </c>
      <c r="KT7">
        <v>158.19999999999999</v>
      </c>
      <c r="KU7">
        <v>157.5</v>
      </c>
      <c r="KV7">
        <v>157.5</v>
      </c>
      <c r="KW7">
        <v>159.19999999999999</v>
      </c>
      <c r="KX7">
        <v>158.4</v>
      </c>
      <c r="KY7">
        <v>158</v>
      </c>
      <c r="KZ7">
        <v>159.1</v>
      </c>
      <c r="LA7">
        <v>158.4</v>
      </c>
      <c r="LB7">
        <v>158.4</v>
      </c>
      <c r="LC7">
        <v>159.19999999999999</v>
      </c>
      <c r="LD7">
        <v>158.69999999999999</v>
      </c>
      <c r="LE7">
        <v>159.1</v>
      </c>
      <c r="LF7">
        <v>159.6</v>
      </c>
      <c r="LG7">
        <v>159.30000000000001</v>
      </c>
      <c r="LH7">
        <v>159.80000000000001</v>
      </c>
      <c r="LI7">
        <v>160</v>
      </c>
      <c r="LJ7">
        <v>159.9</v>
      </c>
      <c r="LK7">
        <v>160.5</v>
      </c>
      <c r="LL7">
        <v>160.4</v>
      </c>
      <c r="LM7">
        <v>160.5</v>
      </c>
      <c r="LN7">
        <v>160.69999999999999</v>
      </c>
      <c r="LO7">
        <v>160.6</v>
      </c>
      <c r="LP7">
        <v>160.69999999999999</v>
      </c>
      <c r="LQ7">
        <v>162</v>
      </c>
      <c r="LR7">
        <v>162.6</v>
      </c>
      <c r="LS7">
        <v>162.19999999999999</v>
      </c>
      <c r="LT7">
        <v>163.80000000000001</v>
      </c>
      <c r="LU7">
        <v>164.2</v>
      </c>
      <c r="LV7">
        <v>163.9</v>
      </c>
      <c r="LW7">
        <v>164.6</v>
      </c>
      <c r="LX7">
        <v>165.4</v>
      </c>
      <c r="LY7">
        <v>164.9</v>
      </c>
      <c r="LZ7">
        <v>165.4</v>
      </c>
      <c r="MA7">
        <v>166.4</v>
      </c>
      <c r="MB7">
        <v>165.8</v>
      </c>
      <c r="MC7">
        <v>166.3</v>
      </c>
      <c r="MD7">
        <v>167.1</v>
      </c>
      <c r="ME7">
        <v>166.6</v>
      </c>
      <c r="MF7">
        <v>167.9</v>
      </c>
      <c r="MG7">
        <v>168.4</v>
      </c>
      <c r="MH7">
        <v>168.1</v>
      </c>
      <c r="MI7">
        <v>169.5</v>
      </c>
      <c r="MJ7">
        <v>170.1</v>
      </c>
      <c r="MK7">
        <v>169.7</v>
      </c>
      <c r="ML7">
        <v>170.9</v>
      </c>
      <c r="MM7">
        <v>171</v>
      </c>
      <c r="MN7">
        <v>170.9</v>
      </c>
      <c r="MO7">
        <v>172.3</v>
      </c>
      <c r="MP7">
        <v>172.3</v>
      </c>
      <c r="MQ7">
        <v>172.3</v>
      </c>
      <c r="MR7">
        <v>173.4</v>
      </c>
      <c r="MS7">
        <v>173.9</v>
      </c>
      <c r="MT7">
        <v>173.6</v>
      </c>
      <c r="MU7">
        <v>174.3</v>
      </c>
      <c r="MV7">
        <v>175.2</v>
      </c>
      <c r="MW7">
        <v>174.6</v>
      </c>
      <c r="MX7">
        <v>177</v>
      </c>
      <c r="MY7">
        <v>177.9</v>
      </c>
      <c r="MZ7">
        <v>177.3</v>
      </c>
      <c r="NA7">
        <v>177</v>
      </c>
      <c r="NB7">
        <v>177.9</v>
      </c>
      <c r="NC7">
        <v>177.3</v>
      </c>
      <c r="ND7">
        <v>178.2</v>
      </c>
      <c r="NE7">
        <v>178.8</v>
      </c>
      <c r="NF7">
        <v>178.4</v>
      </c>
      <c r="NG7">
        <v>179.6</v>
      </c>
      <c r="NH7">
        <v>179.4</v>
      </c>
      <c r="NI7">
        <v>179.5</v>
      </c>
    </row>
    <row r="8" spans="1:373" x14ac:dyDescent="0.3">
      <c r="A8" s="1" t="s">
        <v>7</v>
      </c>
      <c r="B8">
        <v>106.1</v>
      </c>
      <c r="C8">
        <v>103.4</v>
      </c>
      <c r="D8">
        <v>105.1</v>
      </c>
      <c r="E8">
        <v>106.7</v>
      </c>
      <c r="F8">
        <v>103.5</v>
      </c>
      <c r="G8">
        <v>105.5</v>
      </c>
      <c r="H8">
        <v>106.2</v>
      </c>
      <c r="I8">
        <v>102.7</v>
      </c>
      <c r="J8">
        <v>104.9</v>
      </c>
      <c r="K8">
        <v>105.7</v>
      </c>
      <c r="L8">
        <v>102.1</v>
      </c>
      <c r="M8">
        <v>104.4</v>
      </c>
      <c r="N8">
        <v>105.3</v>
      </c>
      <c r="O8">
        <v>101.5</v>
      </c>
      <c r="P8">
        <v>103.9</v>
      </c>
      <c r="Q8">
        <v>105.9</v>
      </c>
      <c r="R8">
        <v>101.3</v>
      </c>
      <c r="S8">
        <v>104.2</v>
      </c>
      <c r="T8">
        <v>106.2</v>
      </c>
      <c r="U8">
        <v>101.1</v>
      </c>
      <c r="V8">
        <v>104.3</v>
      </c>
      <c r="W8">
        <v>106.4</v>
      </c>
      <c r="X8">
        <v>101.1</v>
      </c>
      <c r="Y8">
        <v>104.5</v>
      </c>
      <c r="Z8">
        <v>107.4</v>
      </c>
      <c r="AA8">
        <v>101.7</v>
      </c>
      <c r="AB8">
        <v>105.3</v>
      </c>
      <c r="AC8">
        <v>107.7</v>
      </c>
      <c r="AD8">
        <v>102.3</v>
      </c>
      <c r="AE8">
        <v>105.7</v>
      </c>
      <c r="AF8">
        <v>108.9</v>
      </c>
      <c r="AG8">
        <v>103.2</v>
      </c>
      <c r="AH8">
        <v>106.8</v>
      </c>
      <c r="AI8">
        <v>109.5</v>
      </c>
      <c r="AJ8">
        <v>103.4</v>
      </c>
      <c r="AK8">
        <v>107.3</v>
      </c>
      <c r="AL8">
        <v>109</v>
      </c>
      <c r="AM8">
        <v>102.9</v>
      </c>
      <c r="AN8">
        <v>106.8</v>
      </c>
      <c r="AO8">
        <v>109</v>
      </c>
      <c r="AP8">
        <v>102.5</v>
      </c>
      <c r="AQ8">
        <v>106.6</v>
      </c>
      <c r="AR8">
        <v>109.3</v>
      </c>
      <c r="AS8">
        <v>102.8</v>
      </c>
      <c r="AT8">
        <v>106.9</v>
      </c>
      <c r="AU8">
        <v>109.7</v>
      </c>
      <c r="AV8">
        <v>103.1</v>
      </c>
      <c r="AW8">
        <v>107.3</v>
      </c>
      <c r="AX8">
        <v>110.1</v>
      </c>
      <c r="AY8">
        <v>103.5</v>
      </c>
      <c r="AZ8">
        <v>107.7</v>
      </c>
      <c r="BA8">
        <v>110.3</v>
      </c>
      <c r="BB8">
        <v>103.4</v>
      </c>
      <c r="BC8">
        <v>107.8</v>
      </c>
      <c r="BD8">
        <v>110.4</v>
      </c>
      <c r="BE8">
        <v>103.5</v>
      </c>
      <c r="BF8">
        <v>107.9</v>
      </c>
      <c r="BG8">
        <v>110.6</v>
      </c>
      <c r="BH8">
        <v>103.6</v>
      </c>
      <c r="BI8">
        <v>108</v>
      </c>
      <c r="BJ8">
        <v>110.4</v>
      </c>
      <c r="BK8">
        <v>103.5</v>
      </c>
      <c r="BL8">
        <v>107.9</v>
      </c>
      <c r="BM8">
        <v>110.5</v>
      </c>
      <c r="BN8">
        <v>103.5</v>
      </c>
      <c r="BO8">
        <v>107.9</v>
      </c>
      <c r="BP8">
        <v>110.5</v>
      </c>
      <c r="BQ8">
        <v>103.2</v>
      </c>
      <c r="BR8">
        <v>107.8</v>
      </c>
      <c r="BS8">
        <v>110.2</v>
      </c>
      <c r="BT8">
        <v>103</v>
      </c>
      <c r="BU8">
        <v>107.6</v>
      </c>
      <c r="BV8">
        <v>111</v>
      </c>
      <c r="BW8">
        <v>104.3</v>
      </c>
      <c r="BX8">
        <v>108.5</v>
      </c>
      <c r="BY8">
        <v>111.5</v>
      </c>
      <c r="BZ8">
        <v>104.9</v>
      </c>
      <c r="CA8">
        <v>109.1</v>
      </c>
      <c r="CB8">
        <v>111.8</v>
      </c>
      <c r="CC8">
        <v>104.8</v>
      </c>
      <c r="CD8">
        <v>109.2</v>
      </c>
      <c r="CE8">
        <v>111.9</v>
      </c>
      <c r="CF8">
        <v>104.5</v>
      </c>
      <c r="CG8">
        <v>109.2</v>
      </c>
      <c r="CH8">
        <v>112.5</v>
      </c>
      <c r="CI8">
        <v>105.2</v>
      </c>
      <c r="CJ8">
        <v>109.8</v>
      </c>
      <c r="CK8">
        <v>114.1</v>
      </c>
      <c r="CL8">
        <v>106</v>
      </c>
      <c r="CM8">
        <v>111.1</v>
      </c>
      <c r="CN8">
        <v>113.5</v>
      </c>
      <c r="CO8">
        <v>106.3</v>
      </c>
      <c r="CP8">
        <v>110.9</v>
      </c>
      <c r="CQ8">
        <v>114</v>
      </c>
      <c r="CR8">
        <v>106.8</v>
      </c>
      <c r="CS8">
        <v>111.4</v>
      </c>
      <c r="CT8">
        <v>114.7</v>
      </c>
      <c r="CU8">
        <v>107</v>
      </c>
      <c r="CV8">
        <v>111.9</v>
      </c>
      <c r="CW8">
        <v>115.8</v>
      </c>
      <c r="CX8">
        <v>109</v>
      </c>
      <c r="CY8">
        <v>113.3</v>
      </c>
      <c r="CZ8">
        <v>117.8</v>
      </c>
      <c r="DA8">
        <v>110</v>
      </c>
      <c r="DB8">
        <v>114.9</v>
      </c>
      <c r="DC8">
        <v>118.3</v>
      </c>
      <c r="DD8">
        <v>110</v>
      </c>
      <c r="DE8">
        <v>115.3</v>
      </c>
      <c r="DF8">
        <v>118.9</v>
      </c>
      <c r="DG8">
        <v>109.7</v>
      </c>
      <c r="DH8">
        <v>115.5</v>
      </c>
      <c r="DI8">
        <v>118.5</v>
      </c>
      <c r="DJ8">
        <v>108.4</v>
      </c>
      <c r="DK8">
        <v>114.8</v>
      </c>
      <c r="DL8">
        <v>118.3</v>
      </c>
      <c r="DM8">
        <v>107.9</v>
      </c>
      <c r="DN8">
        <v>114.5</v>
      </c>
      <c r="DO8">
        <v>118.2</v>
      </c>
      <c r="DP8">
        <v>108.9</v>
      </c>
      <c r="DQ8">
        <v>114.8</v>
      </c>
      <c r="DR8">
        <v>118.2</v>
      </c>
      <c r="DS8">
        <v>109.6</v>
      </c>
      <c r="DT8">
        <v>115</v>
      </c>
      <c r="DU8">
        <v>118.6</v>
      </c>
      <c r="DV8">
        <v>110.2</v>
      </c>
      <c r="DW8">
        <v>115.5</v>
      </c>
      <c r="DX8">
        <v>119.5</v>
      </c>
      <c r="DY8">
        <v>111</v>
      </c>
      <c r="DZ8">
        <v>116.4</v>
      </c>
      <c r="EA8">
        <v>119.9</v>
      </c>
      <c r="EB8">
        <v>111.8</v>
      </c>
      <c r="EC8">
        <v>116.9</v>
      </c>
      <c r="ED8">
        <v>120.2</v>
      </c>
      <c r="EE8">
        <v>111.9</v>
      </c>
      <c r="EF8">
        <v>117.2</v>
      </c>
      <c r="EG8">
        <v>120.8</v>
      </c>
      <c r="EH8">
        <v>112.5</v>
      </c>
      <c r="EI8">
        <v>117.8</v>
      </c>
      <c r="EJ8">
        <v>121.1</v>
      </c>
      <c r="EK8">
        <v>112.6</v>
      </c>
      <c r="EL8">
        <v>118</v>
      </c>
      <c r="EM8">
        <v>121.6</v>
      </c>
      <c r="EN8">
        <v>113.5</v>
      </c>
      <c r="EO8">
        <v>118.6</v>
      </c>
      <c r="EP8">
        <v>122</v>
      </c>
      <c r="EQ8">
        <v>114</v>
      </c>
      <c r="ER8">
        <v>119.1</v>
      </c>
      <c r="ES8">
        <v>122.1</v>
      </c>
      <c r="ET8">
        <v>114.3</v>
      </c>
      <c r="EU8">
        <v>119.2</v>
      </c>
      <c r="EV8">
        <v>121.6</v>
      </c>
      <c r="EW8">
        <v>114</v>
      </c>
      <c r="EX8">
        <v>118.8</v>
      </c>
      <c r="EY8">
        <v>121.3</v>
      </c>
      <c r="EZ8">
        <v>113.5</v>
      </c>
      <c r="FA8">
        <v>118.4</v>
      </c>
      <c r="FB8">
        <v>120.8</v>
      </c>
      <c r="FC8">
        <v>113.4</v>
      </c>
      <c r="FD8">
        <v>118.1</v>
      </c>
      <c r="FE8">
        <v>120.9</v>
      </c>
      <c r="FF8">
        <v>113.5</v>
      </c>
      <c r="FG8">
        <v>118.2</v>
      </c>
      <c r="FH8">
        <v>120.9</v>
      </c>
      <c r="FI8">
        <v>113.4</v>
      </c>
      <c r="FJ8">
        <v>118.1</v>
      </c>
      <c r="FK8">
        <v>120.5</v>
      </c>
      <c r="FL8">
        <v>114.1</v>
      </c>
      <c r="FM8">
        <v>118.1</v>
      </c>
      <c r="FN8">
        <v>120.7</v>
      </c>
      <c r="FO8">
        <v>114.5</v>
      </c>
      <c r="FP8">
        <v>118.4</v>
      </c>
      <c r="FQ8">
        <v>121.4</v>
      </c>
      <c r="FR8">
        <v>114.9</v>
      </c>
      <c r="FS8">
        <v>119</v>
      </c>
      <c r="FT8">
        <v>121.6</v>
      </c>
      <c r="FU8">
        <v>115.2</v>
      </c>
      <c r="FV8">
        <v>119.2</v>
      </c>
      <c r="FW8">
        <v>123.1</v>
      </c>
      <c r="FX8">
        <v>115.9</v>
      </c>
      <c r="FY8">
        <v>120.5</v>
      </c>
      <c r="FZ8">
        <v>123.2</v>
      </c>
      <c r="GA8">
        <v>116.4</v>
      </c>
      <c r="GB8">
        <v>120.7</v>
      </c>
      <c r="GC8">
        <v>122.9</v>
      </c>
      <c r="GD8">
        <v>116.2</v>
      </c>
      <c r="GE8">
        <v>120.4</v>
      </c>
      <c r="GF8">
        <v>123.2</v>
      </c>
      <c r="GG8">
        <v>116.5</v>
      </c>
      <c r="GH8">
        <v>120.7</v>
      </c>
      <c r="GI8">
        <v>123.5</v>
      </c>
      <c r="GJ8">
        <v>116.6</v>
      </c>
      <c r="GK8">
        <v>121</v>
      </c>
      <c r="GL8">
        <v>123.6</v>
      </c>
      <c r="GM8">
        <v>116.4</v>
      </c>
      <c r="GN8">
        <v>121</v>
      </c>
      <c r="GO8">
        <v>124</v>
      </c>
      <c r="GP8">
        <v>116.6</v>
      </c>
      <c r="GQ8">
        <v>121.3</v>
      </c>
      <c r="GR8">
        <v>124.1</v>
      </c>
      <c r="GS8">
        <v>116.7</v>
      </c>
      <c r="GT8">
        <v>121.4</v>
      </c>
      <c r="GU8">
        <v>125</v>
      </c>
      <c r="GV8">
        <v>117.4</v>
      </c>
      <c r="GW8">
        <v>122.2</v>
      </c>
      <c r="GX8">
        <v>124.6</v>
      </c>
      <c r="GY8">
        <v>117.8</v>
      </c>
      <c r="GZ8">
        <v>122.1</v>
      </c>
      <c r="HA8">
        <v>123.5</v>
      </c>
      <c r="HB8">
        <v>118</v>
      </c>
      <c r="HC8">
        <v>121.1</v>
      </c>
      <c r="HD8">
        <v>122.8</v>
      </c>
      <c r="HE8">
        <v>118.1</v>
      </c>
      <c r="HF8">
        <v>121.1</v>
      </c>
      <c r="HG8">
        <v>124.2</v>
      </c>
      <c r="HH8">
        <v>118.1</v>
      </c>
      <c r="HI8">
        <v>122</v>
      </c>
      <c r="HJ8">
        <v>123.9</v>
      </c>
      <c r="HK8">
        <v>118.1</v>
      </c>
      <c r="HL8">
        <v>121.8</v>
      </c>
      <c r="HM8">
        <v>124.1</v>
      </c>
      <c r="HN8">
        <v>118.4</v>
      </c>
      <c r="HO8">
        <v>122</v>
      </c>
      <c r="HP8">
        <v>124.1</v>
      </c>
      <c r="HQ8">
        <v>118.4</v>
      </c>
      <c r="HR8">
        <v>122</v>
      </c>
      <c r="HS8">
        <v>124</v>
      </c>
      <c r="HT8">
        <v>118.6</v>
      </c>
      <c r="HU8">
        <v>122</v>
      </c>
      <c r="HV8">
        <v>124.3</v>
      </c>
      <c r="HW8">
        <v>118.6</v>
      </c>
      <c r="HX8">
        <v>122.2</v>
      </c>
      <c r="HY8">
        <v>124.4</v>
      </c>
      <c r="HZ8">
        <v>119.3</v>
      </c>
      <c r="IA8">
        <v>122.5</v>
      </c>
      <c r="IB8">
        <v>124.7</v>
      </c>
      <c r="IC8">
        <v>119.9</v>
      </c>
      <c r="ID8">
        <v>122.9</v>
      </c>
      <c r="IE8">
        <v>125.1</v>
      </c>
      <c r="IF8">
        <v>120.8</v>
      </c>
      <c r="IG8">
        <v>123.5</v>
      </c>
      <c r="IH8">
        <v>125.6</v>
      </c>
      <c r="II8">
        <v>121.1</v>
      </c>
      <c r="IJ8">
        <v>123.9</v>
      </c>
      <c r="IK8">
        <v>126</v>
      </c>
      <c r="IL8">
        <v>121.5</v>
      </c>
      <c r="IM8">
        <v>124.3</v>
      </c>
      <c r="IN8">
        <v>127.5</v>
      </c>
      <c r="IO8">
        <v>122.7</v>
      </c>
      <c r="IP8">
        <v>125.7</v>
      </c>
      <c r="IQ8">
        <v>132</v>
      </c>
      <c r="IR8">
        <v>126.3</v>
      </c>
      <c r="IS8">
        <v>129.9</v>
      </c>
      <c r="IT8">
        <v>133.69999999999999</v>
      </c>
      <c r="IU8">
        <v>127.4</v>
      </c>
      <c r="IV8">
        <v>131.4</v>
      </c>
      <c r="IW8">
        <v>133.30000000000001</v>
      </c>
      <c r="IX8">
        <v>127.5</v>
      </c>
      <c r="IY8">
        <v>131.19999999999999</v>
      </c>
      <c r="IZ8">
        <v>137.1</v>
      </c>
      <c r="JA8">
        <v>131.6</v>
      </c>
      <c r="JB8">
        <v>135.1</v>
      </c>
      <c r="JF8">
        <v>138.19999999999999</v>
      </c>
      <c r="JG8">
        <v>132.9</v>
      </c>
      <c r="JH8">
        <v>136.30000000000001</v>
      </c>
      <c r="JI8">
        <v>138.19999999999999</v>
      </c>
      <c r="JJ8">
        <v>132.9</v>
      </c>
      <c r="JK8">
        <v>136.30000000000001</v>
      </c>
      <c r="JL8">
        <v>139.80000000000001</v>
      </c>
      <c r="JM8">
        <v>133.4</v>
      </c>
      <c r="JN8">
        <v>137.4</v>
      </c>
      <c r="JO8">
        <v>140.4</v>
      </c>
      <c r="JP8">
        <v>134.4</v>
      </c>
      <c r="JQ8">
        <v>138.19999999999999</v>
      </c>
      <c r="JR8">
        <v>142.6</v>
      </c>
      <c r="JS8">
        <v>135.69999999999999</v>
      </c>
      <c r="JT8">
        <v>140.1</v>
      </c>
      <c r="JU8">
        <v>145.4</v>
      </c>
      <c r="JV8">
        <v>138</v>
      </c>
      <c r="JW8">
        <v>142.69999999999999</v>
      </c>
      <c r="JX8">
        <v>150</v>
      </c>
      <c r="JY8">
        <v>140.69999999999999</v>
      </c>
      <c r="JZ8">
        <v>146.6</v>
      </c>
      <c r="KA8">
        <v>154.80000000000001</v>
      </c>
      <c r="KB8">
        <v>144.1</v>
      </c>
      <c r="KC8">
        <v>150.9</v>
      </c>
      <c r="KD8">
        <v>163</v>
      </c>
      <c r="KE8">
        <v>151.4</v>
      </c>
      <c r="KF8">
        <v>158.69999999999999</v>
      </c>
      <c r="KG8">
        <v>168.2</v>
      </c>
      <c r="KH8">
        <v>156.4</v>
      </c>
      <c r="KI8">
        <v>163.9</v>
      </c>
      <c r="KJ8">
        <v>175.2</v>
      </c>
      <c r="KK8">
        <v>161.4</v>
      </c>
      <c r="KL8">
        <v>170.1</v>
      </c>
      <c r="KM8">
        <v>184.4</v>
      </c>
      <c r="KN8">
        <v>168.8</v>
      </c>
      <c r="KO8">
        <v>178.7</v>
      </c>
      <c r="KP8">
        <v>190.4</v>
      </c>
      <c r="KQ8">
        <v>172.2</v>
      </c>
      <c r="KR8">
        <v>183.7</v>
      </c>
      <c r="KS8">
        <v>188.7</v>
      </c>
      <c r="KT8">
        <v>170.6</v>
      </c>
      <c r="KU8">
        <v>182.1</v>
      </c>
      <c r="KV8">
        <v>190.9</v>
      </c>
      <c r="KW8">
        <v>175</v>
      </c>
      <c r="KX8">
        <v>188</v>
      </c>
      <c r="KY8">
        <v>195.5</v>
      </c>
      <c r="KZ8">
        <v>175</v>
      </c>
      <c r="LA8">
        <v>188</v>
      </c>
      <c r="LB8">
        <v>198.8</v>
      </c>
      <c r="LC8">
        <v>176.6</v>
      </c>
      <c r="LD8">
        <v>190.6</v>
      </c>
      <c r="LE8">
        <v>198.4</v>
      </c>
      <c r="LF8">
        <v>175.8</v>
      </c>
      <c r="LG8">
        <v>190.1</v>
      </c>
      <c r="LH8">
        <v>195.8</v>
      </c>
      <c r="LI8">
        <v>173.5</v>
      </c>
      <c r="LJ8">
        <v>187.6</v>
      </c>
      <c r="LK8">
        <v>192.6</v>
      </c>
      <c r="LL8">
        <v>171</v>
      </c>
      <c r="LM8">
        <v>184.7</v>
      </c>
      <c r="LN8">
        <v>192.6</v>
      </c>
      <c r="LO8">
        <v>171.5</v>
      </c>
      <c r="LP8">
        <v>184.9</v>
      </c>
      <c r="LQ8">
        <v>203.1</v>
      </c>
      <c r="LR8">
        <v>180</v>
      </c>
      <c r="LS8">
        <v>194.6</v>
      </c>
      <c r="LT8">
        <v>207.4</v>
      </c>
      <c r="LU8">
        <v>186</v>
      </c>
      <c r="LV8">
        <v>199.5</v>
      </c>
      <c r="LW8">
        <v>209.9</v>
      </c>
      <c r="LX8">
        <v>189.5</v>
      </c>
      <c r="LY8">
        <v>202.4</v>
      </c>
      <c r="LZ8">
        <v>208.1</v>
      </c>
      <c r="MA8">
        <v>188.6</v>
      </c>
      <c r="MB8">
        <v>200.9</v>
      </c>
      <c r="MC8">
        <v>202.2</v>
      </c>
      <c r="MD8">
        <v>184.8</v>
      </c>
      <c r="ME8">
        <v>195.8</v>
      </c>
      <c r="MF8">
        <v>198.1</v>
      </c>
      <c r="MG8">
        <v>182.5</v>
      </c>
      <c r="MH8">
        <v>192.4</v>
      </c>
      <c r="MI8">
        <v>194.1</v>
      </c>
      <c r="MJ8">
        <v>179.3</v>
      </c>
      <c r="MK8">
        <v>188.7</v>
      </c>
      <c r="ML8">
        <v>191.6</v>
      </c>
      <c r="MM8">
        <v>177.7</v>
      </c>
      <c r="MN8">
        <v>186.5</v>
      </c>
      <c r="MO8">
        <v>194</v>
      </c>
      <c r="MP8">
        <v>180</v>
      </c>
      <c r="MQ8">
        <v>188.9</v>
      </c>
      <c r="MR8">
        <v>193.9</v>
      </c>
      <c r="MS8">
        <v>179.1</v>
      </c>
      <c r="MT8">
        <v>188.5</v>
      </c>
      <c r="MU8">
        <v>192.6</v>
      </c>
      <c r="MV8">
        <v>178</v>
      </c>
      <c r="MW8">
        <v>187.2</v>
      </c>
      <c r="MX8">
        <v>183.4</v>
      </c>
      <c r="MY8">
        <v>172.2</v>
      </c>
      <c r="MZ8">
        <v>179.3</v>
      </c>
      <c r="NA8">
        <v>183.3</v>
      </c>
      <c r="NB8">
        <v>172.2</v>
      </c>
      <c r="NC8">
        <v>179.2</v>
      </c>
      <c r="ND8">
        <v>178.5</v>
      </c>
      <c r="NE8">
        <v>168.7</v>
      </c>
      <c r="NF8">
        <v>174.9</v>
      </c>
      <c r="NG8">
        <v>173.3</v>
      </c>
      <c r="NH8">
        <v>164.4</v>
      </c>
      <c r="NI8">
        <v>170</v>
      </c>
    </row>
    <row r="9" spans="1:373" x14ac:dyDescent="0.3">
      <c r="A9" s="1" t="s">
        <v>8</v>
      </c>
      <c r="B9">
        <v>103.9</v>
      </c>
      <c r="C9">
        <v>102.3</v>
      </c>
      <c r="D9">
        <v>103.2</v>
      </c>
      <c r="E9">
        <v>104</v>
      </c>
      <c r="F9">
        <v>103.1</v>
      </c>
      <c r="G9">
        <v>103.6</v>
      </c>
      <c r="H9">
        <v>105.7</v>
      </c>
      <c r="I9">
        <v>104.9</v>
      </c>
      <c r="J9">
        <v>105.3</v>
      </c>
      <c r="K9">
        <v>108.3</v>
      </c>
      <c r="L9">
        <v>109.5</v>
      </c>
      <c r="M9">
        <v>108.9</v>
      </c>
      <c r="N9">
        <v>108.1</v>
      </c>
      <c r="O9">
        <v>110.6</v>
      </c>
      <c r="P9">
        <v>109.3</v>
      </c>
      <c r="Q9">
        <v>109.2</v>
      </c>
      <c r="R9">
        <v>112.4</v>
      </c>
      <c r="S9">
        <v>110.7</v>
      </c>
      <c r="T9">
        <v>110.3</v>
      </c>
      <c r="U9">
        <v>113.2</v>
      </c>
      <c r="V9">
        <v>111.7</v>
      </c>
      <c r="W9">
        <v>110.8</v>
      </c>
      <c r="X9">
        <v>108.7</v>
      </c>
      <c r="Y9">
        <v>109.8</v>
      </c>
      <c r="Z9">
        <v>110.9</v>
      </c>
      <c r="AA9">
        <v>103.2</v>
      </c>
      <c r="AB9">
        <v>107.3</v>
      </c>
      <c r="AC9">
        <v>113.2</v>
      </c>
      <c r="AD9">
        <v>106.2</v>
      </c>
      <c r="AE9">
        <v>109.9</v>
      </c>
      <c r="AF9">
        <v>116.6</v>
      </c>
      <c r="AG9">
        <v>110</v>
      </c>
      <c r="AH9">
        <v>113.5</v>
      </c>
      <c r="AI9">
        <v>115.5</v>
      </c>
      <c r="AJ9">
        <v>110.7</v>
      </c>
      <c r="AK9">
        <v>113.3</v>
      </c>
      <c r="AL9">
        <v>115.5</v>
      </c>
      <c r="AM9">
        <v>112.1</v>
      </c>
      <c r="AN9">
        <v>113.9</v>
      </c>
      <c r="AO9">
        <v>116.6</v>
      </c>
      <c r="AP9">
        <v>114.1</v>
      </c>
      <c r="AQ9">
        <v>115.4</v>
      </c>
      <c r="AR9">
        <v>119.6</v>
      </c>
      <c r="AS9">
        <v>117.7</v>
      </c>
      <c r="AT9">
        <v>118.7</v>
      </c>
      <c r="AU9">
        <v>125.5</v>
      </c>
      <c r="AV9">
        <v>126.7</v>
      </c>
      <c r="AW9">
        <v>126.1</v>
      </c>
      <c r="AX9">
        <v>126.3</v>
      </c>
      <c r="AY9">
        <v>129.19999999999999</v>
      </c>
      <c r="AZ9">
        <v>127.7</v>
      </c>
      <c r="BA9">
        <v>125.8</v>
      </c>
      <c r="BB9">
        <v>131.19999999999999</v>
      </c>
      <c r="BC9">
        <v>128.30000000000001</v>
      </c>
      <c r="BD9">
        <v>129.1</v>
      </c>
      <c r="BE9">
        <v>133.69999999999999</v>
      </c>
      <c r="BF9">
        <v>131.19999999999999</v>
      </c>
      <c r="BG9">
        <v>129.69999999999999</v>
      </c>
      <c r="BH9">
        <v>132.69999999999999</v>
      </c>
      <c r="BI9">
        <v>131.1</v>
      </c>
      <c r="BJ9">
        <v>129.80000000000001</v>
      </c>
      <c r="BK9">
        <v>124.5</v>
      </c>
      <c r="BL9">
        <v>127.3</v>
      </c>
      <c r="BM9">
        <v>128.9</v>
      </c>
      <c r="BN9">
        <v>123.5</v>
      </c>
      <c r="BO9">
        <v>126.4</v>
      </c>
      <c r="BP9">
        <v>128.80000000000001</v>
      </c>
      <c r="BQ9">
        <v>122.2</v>
      </c>
      <c r="BR9">
        <v>125.7</v>
      </c>
      <c r="BS9">
        <v>128.6</v>
      </c>
      <c r="BT9">
        <v>122.3</v>
      </c>
      <c r="BU9">
        <v>125.7</v>
      </c>
      <c r="BV9">
        <v>130.4</v>
      </c>
      <c r="BW9">
        <v>121.3</v>
      </c>
      <c r="BX9">
        <v>126.2</v>
      </c>
      <c r="BY9">
        <v>129.4</v>
      </c>
      <c r="BZ9">
        <v>121.6</v>
      </c>
      <c r="CA9">
        <v>125.8</v>
      </c>
      <c r="CB9">
        <v>130.9</v>
      </c>
      <c r="CC9">
        <v>123.8</v>
      </c>
      <c r="CD9">
        <v>127.6</v>
      </c>
      <c r="CE9">
        <v>134.19999999999999</v>
      </c>
      <c r="CF9">
        <v>130.6</v>
      </c>
      <c r="CG9">
        <v>132.5</v>
      </c>
      <c r="CH9">
        <v>134.1</v>
      </c>
      <c r="CI9">
        <v>130.80000000000001</v>
      </c>
      <c r="CJ9">
        <v>132.6</v>
      </c>
      <c r="CK9">
        <v>133.19999999999999</v>
      </c>
      <c r="CL9">
        <v>132.30000000000001</v>
      </c>
      <c r="CM9">
        <v>132.80000000000001</v>
      </c>
      <c r="CN9">
        <v>133.30000000000001</v>
      </c>
      <c r="CO9">
        <v>132.80000000000001</v>
      </c>
      <c r="CP9">
        <v>133.1</v>
      </c>
      <c r="CQ9">
        <v>134.19999999999999</v>
      </c>
      <c r="CR9">
        <v>130.1</v>
      </c>
      <c r="CS9">
        <v>132.30000000000001</v>
      </c>
      <c r="CT9">
        <v>132.30000000000001</v>
      </c>
      <c r="CU9">
        <v>124</v>
      </c>
      <c r="CV9">
        <v>128.4</v>
      </c>
      <c r="CW9">
        <v>133.19999999999999</v>
      </c>
      <c r="CX9">
        <v>124.1</v>
      </c>
      <c r="CY9">
        <v>129</v>
      </c>
      <c r="CZ9">
        <v>132.1</v>
      </c>
      <c r="DA9">
        <v>123.7</v>
      </c>
      <c r="DB9">
        <v>128.19999999999999</v>
      </c>
      <c r="DC9">
        <v>131.6</v>
      </c>
      <c r="DD9">
        <v>120.8</v>
      </c>
      <c r="DE9">
        <v>126.6</v>
      </c>
      <c r="DF9">
        <v>131.6</v>
      </c>
      <c r="DG9">
        <v>119</v>
      </c>
      <c r="DH9">
        <v>125.7</v>
      </c>
      <c r="DI9">
        <v>130.4</v>
      </c>
      <c r="DJ9">
        <v>118.6</v>
      </c>
      <c r="DK9">
        <v>124.9</v>
      </c>
      <c r="DL9">
        <v>131.69999999999999</v>
      </c>
      <c r="DM9">
        <v>119.9</v>
      </c>
      <c r="DN9">
        <v>126.2</v>
      </c>
      <c r="DO9">
        <v>138.1</v>
      </c>
      <c r="DP9">
        <v>131.1</v>
      </c>
      <c r="DQ9">
        <v>134.80000000000001</v>
      </c>
      <c r="DR9">
        <v>138.1</v>
      </c>
      <c r="DS9">
        <v>133.5</v>
      </c>
      <c r="DT9">
        <v>136</v>
      </c>
      <c r="DU9">
        <v>137.4</v>
      </c>
      <c r="DV9">
        <v>135.5</v>
      </c>
      <c r="DW9">
        <v>136.5</v>
      </c>
      <c r="DX9">
        <v>138.5</v>
      </c>
      <c r="DY9">
        <v>137</v>
      </c>
      <c r="DZ9">
        <v>137.80000000000001</v>
      </c>
      <c r="EA9">
        <v>140.19999999999999</v>
      </c>
      <c r="EB9">
        <v>135.80000000000001</v>
      </c>
      <c r="EC9">
        <v>138.1</v>
      </c>
      <c r="ED9">
        <v>139.19999999999999</v>
      </c>
      <c r="EE9">
        <v>132.5</v>
      </c>
      <c r="EF9">
        <v>136.1</v>
      </c>
      <c r="EG9">
        <v>138.4</v>
      </c>
      <c r="EH9">
        <v>130.4</v>
      </c>
      <c r="EI9">
        <v>134.69999999999999</v>
      </c>
      <c r="EJ9">
        <v>136.9</v>
      </c>
      <c r="EK9">
        <v>130.80000000000001</v>
      </c>
      <c r="EL9">
        <v>134.1</v>
      </c>
      <c r="EM9">
        <v>135.6</v>
      </c>
      <c r="EN9">
        <v>129.30000000000001</v>
      </c>
      <c r="EO9">
        <v>132.69999999999999</v>
      </c>
      <c r="EP9">
        <v>136</v>
      </c>
      <c r="EQ9">
        <v>129.6</v>
      </c>
      <c r="ER9">
        <v>133</v>
      </c>
      <c r="ES9">
        <v>138.69999999999999</v>
      </c>
      <c r="ET9">
        <v>131.4</v>
      </c>
      <c r="EU9">
        <v>135.30000000000001</v>
      </c>
      <c r="EV9">
        <v>139.69999999999999</v>
      </c>
      <c r="EW9">
        <v>136.80000000000001</v>
      </c>
      <c r="EX9">
        <v>138.30000000000001</v>
      </c>
      <c r="EY9">
        <v>141.80000000000001</v>
      </c>
      <c r="EZ9">
        <v>137.69999999999999</v>
      </c>
      <c r="FA9">
        <v>139.9</v>
      </c>
      <c r="FB9">
        <v>140.19999999999999</v>
      </c>
      <c r="FC9">
        <v>135.19999999999999</v>
      </c>
      <c r="FD9">
        <v>137.9</v>
      </c>
      <c r="FE9">
        <v>140.9</v>
      </c>
      <c r="FF9">
        <v>137.19999999999999</v>
      </c>
      <c r="FG9">
        <v>139.19999999999999</v>
      </c>
      <c r="FH9">
        <v>143.9</v>
      </c>
      <c r="FI9">
        <v>139.4</v>
      </c>
      <c r="FJ9">
        <v>141.80000000000001</v>
      </c>
      <c r="FK9">
        <v>148</v>
      </c>
      <c r="FL9">
        <v>142.69999999999999</v>
      </c>
      <c r="FM9">
        <v>145.5</v>
      </c>
      <c r="FN9">
        <v>147.80000000000001</v>
      </c>
      <c r="FO9">
        <v>137.5</v>
      </c>
      <c r="FP9">
        <v>143</v>
      </c>
      <c r="FQ9">
        <v>146.69999999999999</v>
      </c>
      <c r="FR9">
        <v>135.6</v>
      </c>
      <c r="FS9">
        <v>141.5</v>
      </c>
      <c r="FT9">
        <v>147.30000000000001</v>
      </c>
      <c r="FU9">
        <v>136.4</v>
      </c>
      <c r="FV9">
        <v>142.19999999999999</v>
      </c>
      <c r="FW9">
        <v>147.19999999999999</v>
      </c>
      <c r="FX9">
        <v>135</v>
      </c>
      <c r="FY9">
        <v>141.5</v>
      </c>
      <c r="FZ9">
        <v>147.9</v>
      </c>
      <c r="GA9">
        <v>133.80000000000001</v>
      </c>
      <c r="GB9">
        <v>141.30000000000001</v>
      </c>
      <c r="GC9">
        <v>149.4</v>
      </c>
      <c r="GD9">
        <v>135.5</v>
      </c>
      <c r="GE9">
        <v>142.9</v>
      </c>
      <c r="GF9">
        <v>152.9</v>
      </c>
      <c r="GG9">
        <v>138.5</v>
      </c>
      <c r="GH9">
        <v>146.19999999999999</v>
      </c>
      <c r="GI9">
        <v>156.4</v>
      </c>
      <c r="GJ9">
        <v>150.1</v>
      </c>
      <c r="GK9">
        <v>153.5</v>
      </c>
      <c r="GL9">
        <v>157.5</v>
      </c>
      <c r="GM9">
        <v>151.30000000000001</v>
      </c>
      <c r="GN9">
        <v>154.6</v>
      </c>
      <c r="GO9">
        <v>154.1</v>
      </c>
      <c r="GP9">
        <v>152.19999999999999</v>
      </c>
      <c r="GQ9">
        <v>153.19999999999999</v>
      </c>
      <c r="GR9">
        <v>153.30000000000001</v>
      </c>
      <c r="GS9">
        <v>149.69999999999999</v>
      </c>
      <c r="GT9">
        <v>151.6</v>
      </c>
      <c r="GU9">
        <v>154.4</v>
      </c>
      <c r="GV9">
        <v>146.30000000000001</v>
      </c>
      <c r="GW9">
        <v>150.6</v>
      </c>
      <c r="GX9">
        <v>150.1</v>
      </c>
      <c r="GY9">
        <v>140</v>
      </c>
      <c r="GZ9">
        <v>145.4</v>
      </c>
      <c r="HA9">
        <v>144.5</v>
      </c>
      <c r="HB9">
        <v>139.5</v>
      </c>
      <c r="HC9">
        <v>142.5</v>
      </c>
      <c r="HD9">
        <v>143.9</v>
      </c>
      <c r="HE9">
        <v>141.5</v>
      </c>
      <c r="HF9">
        <v>142.80000000000001</v>
      </c>
      <c r="HG9">
        <v>140.19999999999999</v>
      </c>
      <c r="HH9">
        <v>138.5</v>
      </c>
      <c r="HI9">
        <v>139.4</v>
      </c>
      <c r="HJ9">
        <v>135.5</v>
      </c>
      <c r="HK9">
        <v>135.19999999999999</v>
      </c>
      <c r="HL9">
        <v>135.4</v>
      </c>
      <c r="HM9">
        <v>135.80000000000001</v>
      </c>
      <c r="HN9">
        <v>137</v>
      </c>
      <c r="HO9">
        <v>136.4</v>
      </c>
      <c r="HP9">
        <v>136.1</v>
      </c>
      <c r="HQ9">
        <v>139.4</v>
      </c>
      <c r="HR9">
        <v>137.6</v>
      </c>
      <c r="HS9">
        <v>143.69999999999999</v>
      </c>
      <c r="HT9">
        <v>149.69999999999999</v>
      </c>
      <c r="HU9">
        <v>146.5</v>
      </c>
      <c r="HV9">
        <v>143.30000000000001</v>
      </c>
      <c r="HW9">
        <v>150.9</v>
      </c>
      <c r="HX9">
        <v>146.80000000000001</v>
      </c>
      <c r="HY9">
        <v>146.4</v>
      </c>
      <c r="HZ9">
        <v>154.69999999999999</v>
      </c>
      <c r="IA9">
        <v>150.30000000000001</v>
      </c>
      <c r="IB9">
        <v>145.5</v>
      </c>
      <c r="IC9">
        <v>153.9</v>
      </c>
      <c r="ID9">
        <v>149.4</v>
      </c>
      <c r="IE9">
        <v>143.80000000000001</v>
      </c>
      <c r="IF9">
        <v>149.80000000000001</v>
      </c>
      <c r="IG9">
        <v>146.6</v>
      </c>
      <c r="IH9">
        <v>145.69999999999999</v>
      </c>
      <c r="II9">
        <v>150.6</v>
      </c>
      <c r="IJ9">
        <v>148</v>
      </c>
      <c r="IK9">
        <v>146.19999999999999</v>
      </c>
      <c r="IL9">
        <v>148.80000000000001</v>
      </c>
      <c r="IM9">
        <v>147.4</v>
      </c>
      <c r="IN9">
        <v>144.30000000000001</v>
      </c>
      <c r="IO9">
        <v>147.19999999999999</v>
      </c>
      <c r="IP9">
        <v>145.69999999999999</v>
      </c>
      <c r="IQ9">
        <v>142.19999999999999</v>
      </c>
      <c r="IR9">
        <v>144.4</v>
      </c>
      <c r="IS9">
        <v>143.19999999999999</v>
      </c>
      <c r="IT9">
        <v>140.69999999999999</v>
      </c>
      <c r="IU9">
        <v>143.1</v>
      </c>
      <c r="IV9">
        <v>141.80000000000001</v>
      </c>
      <c r="IW9">
        <v>141.80000000000001</v>
      </c>
      <c r="IX9">
        <v>143.30000000000001</v>
      </c>
      <c r="IY9">
        <v>142.5</v>
      </c>
      <c r="IZ9">
        <v>147.30000000000001</v>
      </c>
      <c r="JA9">
        <v>152.9</v>
      </c>
      <c r="JB9">
        <v>149.9</v>
      </c>
      <c r="JF9">
        <v>143.19999999999999</v>
      </c>
      <c r="JG9">
        <v>151.80000000000001</v>
      </c>
      <c r="JH9">
        <v>147.19999999999999</v>
      </c>
      <c r="JI9">
        <v>143.19999999999999</v>
      </c>
      <c r="JJ9">
        <v>151.80000000000001</v>
      </c>
      <c r="JK9">
        <v>147.19999999999999</v>
      </c>
      <c r="JL9">
        <v>146.9</v>
      </c>
      <c r="JM9">
        <v>154.5</v>
      </c>
      <c r="JN9">
        <v>150.4</v>
      </c>
      <c r="JO9">
        <v>147</v>
      </c>
      <c r="JP9">
        <v>155.4</v>
      </c>
      <c r="JQ9">
        <v>150.9</v>
      </c>
      <c r="JR9">
        <v>147.19999999999999</v>
      </c>
      <c r="JS9">
        <v>155.69999999999999</v>
      </c>
      <c r="JT9">
        <v>151.19999999999999</v>
      </c>
      <c r="JU9">
        <v>146.5</v>
      </c>
      <c r="JV9">
        <v>150.5</v>
      </c>
      <c r="JW9">
        <v>148.4</v>
      </c>
      <c r="JX9">
        <v>145.9</v>
      </c>
      <c r="JY9">
        <v>149.69999999999999</v>
      </c>
      <c r="JZ9">
        <v>147.69999999999999</v>
      </c>
      <c r="KA9">
        <v>147</v>
      </c>
      <c r="KB9">
        <v>152.6</v>
      </c>
      <c r="KC9">
        <v>149.6</v>
      </c>
      <c r="KD9">
        <v>147.80000000000001</v>
      </c>
      <c r="KE9">
        <v>154</v>
      </c>
      <c r="KF9">
        <v>150.69999999999999</v>
      </c>
      <c r="KG9">
        <v>150.5</v>
      </c>
      <c r="KH9">
        <v>157.30000000000001</v>
      </c>
      <c r="KI9">
        <v>153.69999999999999</v>
      </c>
      <c r="KJ9">
        <v>160.6</v>
      </c>
      <c r="KK9">
        <v>168.8</v>
      </c>
      <c r="KL9">
        <v>164.4</v>
      </c>
      <c r="KM9">
        <v>162.30000000000001</v>
      </c>
      <c r="KN9">
        <v>172.5</v>
      </c>
      <c r="KO9">
        <v>167.1</v>
      </c>
      <c r="KP9">
        <v>158.6</v>
      </c>
      <c r="KQ9">
        <v>171.5</v>
      </c>
      <c r="KR9">
        <v>164.6</v>
      </c>
      <c r="KS9">
        <v>157.69999999999999</v>
      </c>
      <c r="KT9">
        <v>170.9</v>
      </c>
      <c r="KU9">
        <v>163.9</v>
      </c>
      <c r="KV9">
        <v>155.69999999999999</v>
      </c>
      <c r="KW9">
        <v>161.30000000000001</v>
      </c>
      <c r="KX9">
        <v>156.80000000000001</v>
      </c>
      <c r="KY9">
        <v>152.69999999999999</v>
      </c>
      <c r="KZ9">
        <v>161.19999999999999</v>
      </c>
      <c r="LA9">
        <v>156.69999999999999</v>
      </c>
      <c r="LB9">
        <v>152.6</v>
      </c>
      <c r="LC9">
        <v>159.30000000000001</v>
      </c>
      <c r="LD9">
        <v>155.69999999999999</v>
      </c>
      <c r="LE9">
        <v>153.19999999999999</v>
      </c>
      <c r="LF9">
        <v>160.30000000000001</v>
      </c>
      <c r="LG9">
        <v>156.5</v>
      </c>
      <c r="LH9">
        <v>152</v>
      </c>
      <c r="LI9">
        <v>158.30000000000001</v>
      </c>
      <c r="LJ9">
        <v>154.9</v>
      </c>
      <c r="LK9">
        <v>151.19999999999999</v>
      </c>
      <c r="LL9">
        <v>156.5</v>
      </c>
      <c r="LM9">
        <v>153.69999999999999</v>
      </c>
      <c r="LN9">
        <v>151.4</v>
      </c>
      <c r="LO9">
        <v>156.4</v>
      </c>
      <c r="LP9">
        <v>153.69999999999999</v>
      </c>
      <c r="LQ9">
        <v>155.9</v>
      </c>
      <c r="LR9">
        <v>159.6</v>
      </c>
      <c r="LS9">
        <v>157.6</v>
      </c>
      <c r="LT9">
        <v>169.7</v>
      </c>
      <c r="LU9">
        <v>175.9</v>
      </c>
      <c r="LV9">
        <v>172.6</v>
      </c>
      <c r="LW9">
        <v>168</v>
      </c>
      <c r="LX9">
        <v>174.5</v>
      </c>
      <c r="LY9">
        <v>171</v>
      </c>
      <c r="LZ9">
        <v>165.8</v>
      </c>
      <c r="MA9">
        <v>174.1</v>
      </c>
      <c r="MB9">
        <v>169.7</v>
      </c>
      <c r="MC9">
        <v>169.6</v>
      </c>
      <c r="MD9">
        <v>179.5</v>
      </c>
      <c r="ME9">
        <v>174.2</v>
      </c>
      <c r="MF9">
        <v>169.2</v>
      </c>
      <c r="MG9">
        <v>177.1</v>
      </c>
      <c r="MH9">
        <v>172.9</v>
      </c>
      <c r="MI9">
        <v>164.1</v>
      </c>
      <c r="MJ9">
        <v>167.5</v>
      </c>
      <c r="MK9">
        <v>165.7</v>
      </c>
      <c r="ML9">
        <v>162.19999999999999</v>
      </c>
      <c r="MM9">
        <v>165.7</v>
      </c>
      <c r="MN9">
        <v>163.80000000000001</v>
      </c>
      <c r="MO9">
        <v>159.1</v>
      </c>
      <c r="MP9">
        <v>162.6</v>
      </c>
      <c r="MQ9">
        <v>160.69999999999999</v>
      </c>
      <c r="MR9">
        <v>156.69999999999999</v>
      </c>
      <c r="MS9">
        <v>159.5</v>
      </c>
      <c r="MT9">
        <v>158</v>
      </c>
      <c r="MU9">
        <v>156.30000000000001</v>
      </c>
      <c r="MV9">
        <v>160.5</v>
      </c>
      <c r="MW9">
        <v>158.30000000000001</v>
      </c>
      <c r="MX9">
        <v>167.2</v>
      </c>
      <c r="MY9">
        <v>172.1</v>
      </c>
      <c r="MZ9">
        <v>169.5</v>
      </c>
      <c r="NA9">
        <v>167.2</v>
      </c>
      <c r="NB9">
        <v>172.1</v>
      </c>
      <c r="NC9">
        <v>169.5</v>
      </c>
      <c r="ND9">
        <v>173.7</v>
      </c>
      <c r="NE9">
        <v>179.2</v>
      </c>
      <c r="NF9">
        <v>176.3</v>
      </c>
      <c r="NG9">
        <v>169</v>
      </c>
      <c r="NH9">
        <v>175.8</v>
      </c>
      <c r="NI9">
        <v>172.2</v>
      </c>
    </row>
    <row r="10" spans="1:373" x14ac:dyDescent="0.3">
      <c r="A10" s="1" t="s">
        <v>9</v>
      </c>
      <c r="B10">
        <v>101.9</v>
      </c>
      <c r="C10">
        <v>102.9</v>
      </c>
      <c r="D10">
        <v>102.2</v>
      </c>
      <c r="E10">
        <v>102.4</v>
      </c>
      <c r="F10">
        <v>104.9</v>
      </c>
      <c r="G10">
        <v>103.2</v>
      </c>
      <c r="H10">
        <v>101.4</v>
      </c>
      <c r="I10">
        <v>103.8</v>
      </c>
      <c r="J10">
        <v>102.2</v>
      </c>
      <c r="K10">
        <v>103.4</v>
      </c>
      <c r="L10">
        <v>109.7</v>
      </c>
      <c r="M10">
        <v>105.5</v>
      </c>
      <c r="N10">
        <v>107.3</v>
      </c>
      <c r="O10">
        <v>123.7</v>
      </c>
      <c r="P10">
        <v>112.9</v>
      </c>
      <c r="Q10">
        <v>118</v>
      </c>
      <c r="R10">
        <v>143.6</v>
      </c>
      <c r="S10">
        <v>126.7</v>
      </c>
      <c r="T10">
        <v>129.19999999999999</v>
      </c>
      <c r="U10">
        <v>160.9</v>
      </c>
      <c r="V10">
        <v>140</v>
      </c>
      <c r="W10">
        <v>138.9</v>
      </c>
      <c r="X10">
        <v>177</v>
      </c>
      <c r="Y10">
        <v>151.80000000000001</v>
      </c>
      <c r="Z10">
        <v>154</v>
      </c>
      <c r="AA10">
        <v>174.3</v>
      </c>
      <c r="AB10">
        <v>160.9</v>
      </c>
      <c r="AC10">
        <v>164.9</v>
      </c>
      <c r="AD10">
        <v>183.5</v>
      </c>
      <c r="AE10">
        <v>171.2</v>
      </c>
      <c r="AF10">
        <v>178.1</v>
      </c>
      <c r="AG10">
        <v>192.8</v>
      </c>
      <c r="AH10">
        <v>183.1</v>
      </c>
      <c r="AI10">
        <v>145.69999999999999</v>
      </c>
      <c r="AJ10">
        <v>144.80000000000001</v>
      </c>
      <c r="AK10">
        <v>145.4</v>
      </c>
      <c r="AL10">
        <v>123.9</v>
      </c>
      <c r="AM10">
        <v>118.9</v>
      </c>
      <c r="AN10">
        <v>122.2</v>
      </c>
      <c r="AO10">
        <v>116</v>
      </c>
      <c r="AP10">
        <v>111.5</v>
      </c>
      <c r="AQ10">
        <v>114.5</v>
      </c>
      <c r="AR10">
        <v>117.9</v>
      </c>
      <c r="AS10">
        <v>113.3</v>
      </c>
      <c r="AT10">
        <v>116.3</v>
      </c>
      <c r="AU10">
        <v>120.5</v>
      </c>
      <c r="AV10">
        <v>121.2</v>
      </c>
      <c r="AW10">
        <v>120.7</v>
      </c>
      <c r="AX10">
        <v>123.9</v>
      </c>
      <c r="AY10">
        <v>127</v>
      </c>
      <c r="AZ10">
        <v>125</v>
      </c>
      <c r="BA10">
        <v>129.30000000000001</v>
      </c>
      <c r="BB10">
        <v>137.5</v>
      </c>
      <c r="BC10">
        <v>132.1</v>
      </c>
      <c r="BD10">
        <v>150.1</v>
      </c>
      <c r="BE10">
        <v>172.4</v>
      </c>
      <c r="BF10">
        <v>157.69999999999999</v>
      </c>
      <c r="BG10">
        <v>161.1</v>
      </c>
      <c r="BH10">
        <v>181.9</v>
      </c>
      <c r="BI10">
        <v>168.2</v>
      </c>
      <c r="BJ10">
        <v>158.80000000000001</v>
      </c>
      <c r="BK10">
        <v>168.6</v>
      </c>
      <c r="BL10">
        <v>162.1</v>
      </c>
      <c r="BM10">
        <v>155.30000000000001</v>
      </c>
      <c r="BN10">
        <v>159.6</v>
      </c>
      <c r="BO10">
        <v>156.80000000000001</v>
      </c>
      <c r="BP10">
        <v>152</v>
      </c>
      <c r="BQ10">
        <v>153.19999999999999</v>
      </c>
      <c r="BR10">
        <v>152.4</v>
      </c>
      <c r="BS10">
        <v>140.30000000000001</v>
      </c>
      <c r="BT10">
        <v>141</v>
      </c>
      <c r="BU10">
        <v>140.5</v>
      </c>
      <c r="BV10">
        <v>132.30000000000001</v>
      </c>
      <c r="BW10">
        <v>134.4</v>
      </c>
      <c r="BX10">
        <v>133</v>
      </c>
      <c r="BY10">
        <v>128.19999999999999</v>
      </c>
      <c r="BZ10">
        <v>131.80000000000001</v>
      </c>
      <c r="CA10">
        <v>129.4</v>
      </c>
      <c r="CB10">
        <v>128</v>
      </c>
      <c r="CC10">
        <v>131.4</v>
      </c>
      <c r="CD10">
        <v>129.19999999999999</v>
      </c>
      <c r="CE10">
        <v>127.5</v>
      </c>
      <c r="CF10">
        <v>130.80000000000001</v>
      </c>
      <c r="CG10">
        <v>128.6</v>
      </c>
      <c r="CH10">
        <v>128.5</v>
      </c>
      <c r="CI10">
        <v>135.6</v>
      </c>
      <c r="CJ10">
        <v>130.9</v>
      </c>
      <c r="CK10">
        <v>135.19999999999999</v>
      </c>
      <c r="CL10">
        <v>146.69999999999999</v>
      </c>
      <c r="CM10">
        <v>139.1</v>
      </c>
      <c r="CN10">
        <v>140.80000000000001</v>
      </c>
      <c r="CO10">
        <v>153.5</v>
      </c>
      <c r="CP10">
        <v>145.1</v>
      </c>
      <c r="CQ10">
        <v>153.6</v>
      </c>
      <c r="CR10">
        <v>165.5</v>
      </c>
      <c r="CS10">
        <v>157.6</v>
      </c>
      <c r="CT10">
        <v>158.9</v>
      </c>
      <c r="CU10">
        <v>168.5</v>
      </c>
      <c r="CV10">
        <v>162.19999999999999</v>
      </c>
      <c r="CW10">
        <v>157.69999999999999</v>
      </c>
      <c r="CX10">
        <v>165.8</v>
      </c>
      <c r="CY10">
        <v>160.4</v>
      </c>
      <c r="CZ10">
        <v>155.19999999999999</v>
      </c>
      <c r="DA10">
        <v>164.6</v>
      </c>
      <c r="DB10">
        <v>158.4</v>
      </c>
      <c r="DC10">
        <v>145.5</v>
      </c>
      <c r="DD10">
        <v>149</v>
      </c>
      <c r="DE10">
        <v>146.69999999999999</v>
      </c>
      <c r="DF10">
        <v>140.1</v>
      </c>
      <c r="DG10">
        <v>144.1</v>
      </c>
      <c r="DH10">
        <v>141.5</v>
      </c>
      <c r="DI10">
        <v>130.9</v>
      </c>
      <c r="DJ10">
        <v>129.19999999999999</v>
      </c>
      <c r="DK10">
        <v>130.30000000000001</v>
      </c>
      <c r="DL10">
        <v>130.69999999999999</v>
      </c>
      <c r="DM10">
        <v>128.1</v>
      </c>
      <c r="DN10">
        <v>129.80000000000001</v>
      </c>
      <c r="DO10">
        <v>134.1</v>
      </c>
      <c r="DP10">
        <v>136.80000000000001</v>
      </c>
      <c r="DQ10">
        <v>135</v>
      </c>
      <c r="DR10">
        <v>141.80000000000001</v>
      </c>
      <c r="DS10">
        <v>151.4</v>
      </c>
      <c r="DT10">
        <v>145.1</v>
      </c>
      <c r="DU10">
        <v>152.5</v>
      </c>
      <c r="DV10">
        <v>173.7</v>
      </c>
      <c r="DW10">
        <v>159.69999999999999</v>
      </c>
      <c r="DX10">
        <v>158.19999999999999</v>
      </c>
      <c r="DY10">
        <v>179.5</v>
      </c>
      <c r="DZ10">
        <v>165.4</v>
      </c>
      <c r="EA10">
        <v>156.9</v>
      </c>
      <c r="EB10">
        <v>163.5</v>
      </c>
      <c r="EC10">
        <v>159.1</v>
      </c>
      <c r="ED10">
        <v>149.5</v>
      </c>
      <c r="EE10">
        <v>152.9</v>
      </c>
      <c r="EF10">
        <v>150.69999999999999</v>
      </c>
      <c r="EG10">
        <v>149.19999999999999</v>
      </c>
      <c r="EH10">
        <v>155.1</v>
      </c>
      <c r="EI10">
        <v>151.19999999999999</v>
      </c>
      <c r="EJ10">
        <v>141.80000000000001</v>
      </c>
      <c r="EK10">
        <v>142</v>
      </c>
      <c r="EL10">
        <v>141.9</v>
      </c>
      <c r="EM10">
        <v>127.5</v>
      </c>
      <c r="EN10">
        <v>121.1</v>
      </c>
      <c r="EO10">
        <v>125.3</v>
      </c>
      <c r="EP10">
        <v>119.8</v>
      </c>
      <c r="EQ10">
        <v>118.7</v>
      </c>
      <c r="ER10">
        <v>119.4</v>
      </c>
      <c r="ES10">
        <v>119.1</v>
      </c>
      <c r="ET10">
        <v>120.2</v>
      </c>
      <c r="EU10">
        <v>119.5</v>
      </c>
      <c r="EV10">
        <v>119.7</v>
      </c>
      <c r="EW10">
        <v>122.2</v>
      </c>
      <c r="EX10">
        <v>120.5</v>
      </c>
      <c r="EY10">
        <v>121.5</v>
      </c>
      <c r="EZ10">
        <v>127.1</v>
      </c>
      <c r="FA10">
        <v>123.4</v>
      </c>
      <c r="FB10">
        <v>123.8</v>
      </c>
      <c r="FC10">
        <v>129.19999999999999</v>
      </c>
      <c r="FD10">
        <v>125.6</v>
      </c>
      <c r="FE10">
        <v>128.80000000000001</v>
      </c>
      <c r="FF10">
        <v>142.19999999999999</v>
      </c>
      <c r="FG10">
        <v>133.30000000000001</v>
      </c>
      <c r="FH10">
        <v>151.5</v>
      </c>
      <c r="FI10">
        <v>175.1</v>
      </c>
      <c r="FJ10">
        <v>159.5</v>
      </c>
      <c r="FK10">
        <v>162.9</v>
      </c>
      <c r="FL10">
        <v>179.8</v>
      </c>
      <c r="FM10">
        <v>168.6</v>
      </c>
      <c r="FN10">
        <v>154.5</v>
      </c>
      <c r="FO10">
        <v>160.69999999999999</v>
      </c>
      <c r="FP10">
        <v>156.6</v>
      </c>
      <c r="FQ10">
        <v>157.1</v>
      </c>
      <c r="FR10">
        <v>173.2</v>
      </c>
      <c r="FS10">
        <v>162.6</v>
      </c>
      <c r="FT10">
        <v>168</v>
      </c>
      <c r="FU10">
        <v>185.2</v>
      </c>
      <c r="FV10">
        <v>173.8</v>
      </c>
      <c r="FW10">
        <v>161</v>
      </c>
      <c r="FX10">
        <v>163.19999999999999</v>
      </c>
      <c r="FY10">
        <v>161.69999999999999</v>
      </c>
      <c r="FZ10">
        <v>152.1</v>
      </c>
      <c r="GA10">
        <v>150.5</v>
      </c>
      <c r="GB10">
        <v>151.6</v>
      </c>
      <c r="GC10">
        <v>142.4</v>
      </c>
      <c r="GD10">
        <v>136.9</v>
      </c>
      <c r="GE10">
        <v>140.5</v>
      </c>
      <c r="GF10">
        <v>138</v>
      </c>
      <c r="GG10">
        <v>128</v>
      </c>
      <c r="GH10">
        <v>134.6</v>
      </c>
      <c r="GI10">
        <v>135.1</v>
      </c>
      <c r="GJ10">
        <v>127.6</v>
      </c>
      <c r="GK10">
        <v>132.6</v>
      </c>
      <c r="GL10">
        <v>137.80000000000001</v>
      </c>
      <c r="GM10">
        <v>131.4</v>
      </c>
      <c r="GN10">
        <v>135.6</v>
      </c>
      <c r="GO10">
        <v>143.5</v>
      </c>
      <c r="GP10">
        <v>144</v>
      </c>
      <c r="GQ10">
        <v>143.69999999999999</v>
      </c>
      <c r="GR10">
        <v>154.19999999999999</v>
      </c>
      <c r="GS10">
        <v>159.19999999999999</v>
      </c>
      <c r="GT10">
        <v>155.9</v>
      </c>
      <c r="GU10">
        <v>156.30000000000001</v>
      </c>
      <c r="GV10">
        <v>157.30000000000001</v>
      </c>
      <c r="GW10">
        <v>156.6</v>
      </c>
      <c r="GX10">
        <v>149.4</v>
      </c>
      <c r="GY10">
        <v>151.30000000000001</v>
      </c>
      <c r="GZ10">
        <v>150</v>
      </c>
      <c r="HA10">
        <v>147.6</v>
      </c>
      <c r="HB10">
        <v>153</v>
      </c>
      <c r="HC10">
        <v>146.69999999999999</v>
      </c>
      <c r="HD10">
        <v>147.5</v>
      </c>
      <c r="HE10">
        <v>145.19999999999999</v>
      </c>
      <c r="HF10">
        <v>146.69999999999999</v>
      </c>
      <c r="HG10">
        <v>136.6</v>
      </c>
      <c r="HH10">
        <v>132.4</v>
      </c>
      <c r="HI10">
        <v>135.19999999999999</v>
      </c>
      <c r="HJ10">
        <v>131.69999999999999</v>
      </c>
      <c r="HK10">
        <v>130.5</v>
      </c>
      <c r="HL10">
        <v>131.30000000000001</v>
      </c>
      <c r="HM10">
        <v>128.69999999999999</v>
      </c>
      <c r="HN10">
        <v>131.6</v>
      </c>
      <c r="HO10">
        <v>129.69999999999999</v>
      </c>
      <c r="HP10">
        <v>128.19999999999999</v>
      </c>
      <c r="HQ10">
        <v>141.19999999999999</v>
      </c>
      <c r="HR10">
        <v>132.6</v>
      </c>
      <c r="HS10">
        <v>133.4</v>
      </c>
      <c r="HT10">
        <v>161.6</v>
      </c>
      <c r="HU10">
        <v>143</v>
      </c>
      <c r="HV10">
        <v>140.6</v>
      </c>
      <c r="HW10">
        <v>169.8</v>
      </c>
      <c r="HX10">
        <v>150.5</v>
      </c>
      <c r="HY10">
        <v>150.1</v>
      </c>
      <c r="HZ10">
        <v>180.1</v>
      </c>
      <c r="IA10">
        <v>160.30000000000001</v>
      </c>
      <c r="IB10">
        <v>156.19999999999999</v>
      </c>
      <c r="IC10">
        <v>189.1</v>
      </c>
      <c r="ID10">
        <v>167.4</v>
      </c>
      <c r="IE10">
        <v>163.4</v>
      </c>
      <c r="IF10">
        <v>192.4</v>
      </c>
      <c r="IG10">
        <v>173.2</v>
      </c>
      <c r="IH10">
        <v>178.8</v>
      </c>
      <c r="II10">
        <v>207.2</v>
      </c>
      <c r="IJ10">
        <v>188.4</v>
      </c>
      <c r="IK10">
        <v>191.4</v>
      </c>
      <c r="IL10">
        <v>215.7</v>
      </c>
      <c r="IM10">
        <v>199.6</v>
      </c>
      <c r="IN10">
        <v>209.5</v>
      </c>
      <c r="IO10">
        <v>231.5</v>
      </c>
      <c r="IP10">
        <v>217</v>
      </c>
      <c r="IQ10">
        <v>191.5</v>
      </c>
      <c r="IR10">
        <v>207.8</v>
      </c>
      <c r="IS10">
        <v>197</v>
      </c>
      <c r="IT10">
        <v>165.1</v>
      </c>
      <c r="IU10">
        <v>181.7</v>
      </c>
      <c r="IV10">
        <v>170.7</v>
      </c>
      <c r="IW10">
        <v>152.30000000000001</v>
      </c>
      <c r="IX10">
        <v>167</v>
      </c>
      <c r="IY10">
        <v>157.30000000000001</v>
      </c>
      <c r="IZ10">
        <v>162.69999999999999</v>
      </c>
      <c r="JA10">
        <v>180</v>
      </c>
      <c r="JB10">
        <v>168.6</v>
      </c>
      <c r="JF10">
        <v>148.9</v>
      </c>
      <c r="JG10">
        <v>171.2</v>
      </c>
      <c r="JH10">
        <v>156.5</v>
      </c>
      <c r="JI10">
        <v>148.9</v>
      </c>
      <c r="JJ10">
        <v>171.2</v>
      </c>
      <c r="JK10">
        <v>156.5</v>
      </c>
      <c r="JL10">
        <v>171</v>
      </c>
      <c r="JM10">
        <v>191.9</v>
      </c>
      <c r="JN10">
        <v>178.1</v>
      </c>
      <c r="JO10">
        <v>178.8</v>
      </c>
      <c r="JP10">
        <v>202</v>
      </c>
      <c r="JQ10">
        <v>186.7</v>
      </c>
      <c r="JR10">
        <v>200.6</v>
      </c>
      <c r="JS10">
        <v>226</v>
      </c>
      <c r="JT10">
        <v>209.2</v>
      </c>
      <c r="JU10">
        <v>222.2</v>
      </c>
      <c r="JV10">
        <v>245.3</v>
      </c>
      <c r="JW10">
        <v>230</v>
      </c>
      <c r="JX10">
        <v>225.2</v>
      </c>
      <c r="JY10">
        <v>240.9</v>
      </c>
      <c r="JZ10">
        <v>230.5</v>
      </c>
      <c r="KA10">
        <v>187.8</v>
      </c>
      <c r="KB10">
        <v>206.8</v>
      </c>
      <c r="KC10">
        <v>194.2</v>
      </c>
      <c r="KD10">
        <v>149.69999999999999</v>
      </c>
      <c r="KE10">
        <v>180.2</v>
      </c>
      <c r="KF10">
        <v>160</v>
      </c>
      <c r="KG10">
        <v>141</v>
      </c>
      <c r="KH10">
        <v>166.1</v>
      </c>
      <c r="KI10">
        <v>149.5</v>
      </c>
      <c r="KJ10">
        <v>135.1</v>
      </c>
      <c r="KK10">
        <v>161.6</v>
      </c>
      <c r="KL10">
        <v>144.1</v>
      </c>
      <c r="KM10">
        <v>138.4</v>
      </c>
      <c r="KN10">
        <v>166.5</v>
      </c>
      <c r="KO10">
        <v>147.9</v>
      </c>
      <c r="KP10">
        <v>144.69999999999999</v>
      </c>
      <c r="KQ10">
        <v>176.2</v>
      </c>
      <c r="KR10">
        <v>155.4</v>
      </c>
      <c r="KS10">
        <v>152.80000000000001</v>
      </c>
      <c r="KT10">
        <v>186.4</v>
      </c>
      <c r="KU10">
        <v>164.2</v>
      </c>
      <c r="KV10">
        <v>153.9</v>
      </c>
      <c r="KW10">
        <v>183.3</v>
      </c>
      <c r="KX10">
        <v>162.19999999999999</v>
      </c>
      <c r="KY10">
        <v>151.4</v>
      </c>
      <c r="KZ10">
        <v>183.5</v>
      </c>
      <c r="LA10">
        <v>162.30000000000001</v>
      </c>
      <c r="LB10">
        <v>170.4</v>
      </c>
      <c r="LC10">
        <v>214.4</v>
      </c>
      <c r="LD10">
        <v>185.3</v>
      </c>
      <c r="LE10">
        <v>183.9</v>
      </c>
      <c r="LF10">
        <v>229.1</v>
      </c>
      <c r="LG10">
        <v>199.2</v>
      </c>
      <c r="LH10">
        <v>172.3</v>
      </c>
      <c r="LI10">
        <v>219.5</v>
      </c>
      <c r="LJ10">
        <v>188.3</v>
      </c>
      <c r="LK10">
        <v>159.19999999999999</v>
      </c>
      <c r="LL10">
        <v>203.6</v>
      </c>
      <c r="LM10">
        <v>174.3</v>
      </c>
      <c r="LN10">
        <v>155.19999999999999</v>
      </c>
      <c r="LO10">
        <v>198</v>
      </c>
      <c r="LP10">
        <v>169.7</v>
      </c>
      <c r="LQ10">
        <v>155.80000000000001</v>
      </c>
      <c r="LR10">
        <v>188.4</v>
      </c>
      <c r="LS10">
        <v>166.9</v>
      </c>
      <c r="LT10">
        <v>153.6</v>
      </c>
      <c r="LU10">
        <v>190.7</v>
      </c>
      <c r="LV10">
        <v>166.2</v>
      </c>
      <c r="LW10">
        <v>160.4</v>
      </c>
      <c r="LX10">
        <v>203.2</v>
      </c>
      <c r="LY10">
        <v>174.9</v>
      </c>
      <c r="LZ10">
        <v>167.3</v>
      </c>
      <c r="MA10">
        <v>211.5</v>
      </c>
      <c r="MB10">
        <v>182.3</v>
      </c>
      <c r="MC10">
        <v>168.6</v>
      </c>
      <c r="MD10">
        <v>208.5</v>
      </c>
      <c r="ME10">
        <v>182.1</v>
      </c>
      <c r="MF10">
        <v>173.1</v>
      </c>
      <c r="MG10">
        <v>213.1</v>
      </c>
      <c r="MH10">
        <v>186.7</v>
      </c>
      <c r="MI10">
        <v>176.9</v>
      </c>
      <c r="MJ10">
        <v>220.8</v>
      </c>
      <c r="MK10">
        <v>191.8</v>
      </c>
      <c r="ML10">
        <v>184.8</v>
      </c>
      <c r="MM10">
        <v>228.6</v>
      </c>
      <c r="MN10">
        <v>199.7</v>
      </c>
      <c r="MO10">
        <v>171.6</v>
      </c>
      <c r="MP10">
        <v>205.5</v>
      </c>
      <c r="MQ10">
        <v>183.1</v>
      </c>
      <c r="MR10">
        <v>150.19999999999999</v>
      </c>
      <c r="MS10">
        <v>178.7</v>
      </c>
      <c r="MT10">
        <v>159.9</v>
      </c>
      <c r="MU10">
        <v>142.9</v>
      </c>
      <c r="MV10">
        <v>175.3</v>
      </c>
      <c r="MW10">
        <v>153.9</v>
      </c>
      <c r="MX10">
        <v>140.9</v>
      </c>
      <c r="MY10">
        <v>175.8</v>
      </c>
      <c r="MZ10">
        <v>152.69999999999999</v>
      </c>
      <c r="NA10">
        <v>140.9</v>
      </c>
      <c r="NB10">
        <v>175.9</v>
      </c>
      <c r="NC10">
        <v>152.80000000000001</v>
      </c>
      <c r="ND10">
        <v>142.80000000000001</v>
      </c>
      <c r="NE10">
        <v>179.9</v>
      </c>
      <c r="NF10">
        <v>155.4</v>
      </c>
      <c r="NG10">
        <v>148.69999999999999</v>
      </c>
      <c r="NH10">
        <v>185</v>
      </c>
      <c r="NI10">
        <v>161</v>
      </c>
    </row>
    <row r="11" spans="1:373" x14ac:dyDescent="0.3">
      <c r="A11" s="1" t="s">
        <v>10</v>
      </c>
      <c r="B11">
        <v>106.1</v>
      </c>
      <c r="C11">
        <v>105.8</v>
      </c>
      <c r="D11">
        <v>106</v>
      </c>
      <c r="E11">
        <v>105.9</v>
      </c>
      <c r="F11">
        <v>104.1</v>
      </c>
      <c r="G11">
        <v>105.3</v>
      </c>
      <c r="H11">
        <v>105.7</v>
      </c>
      <c r="I11">
        <v>103.5</v>
      </c>
      <c r="J11">
        <v>105</v>
      </c>
      <c r="K11">
        <v>105.7</v>
      </c>
      <c r="L11">
        <v>104.6</v>
      </c>
      <c r="M11">
        <v>105.3</v>
      </c>
      <c r="N11">
        <v>106.1</v>
      </c>
      <c r="O11">
        <v>105.2</v>
      </c>
      <c r="P11">
        <v>105.8</v>
      </c>
      <c r="Q11">
        <v>106.8</v>
      </c>
      <c r="R11">
        <v>105.4</v>
      </c>
      <c r="S11">
        <v>106.3</v>
      </c>
      <c r="T11">
        <v>107.1</v>
      </c>
      <c r="U11">
        <v>105.1</v>
      </c>
      <c r="V11">
        <v>106.4</v>
      </c>
      <c r="W11">
        <v>107.4</v>
      </c>
      <c r="X11">
        <v>104.7</v>
      </c>
      <c r="Y11">
        <v>106.5</v>
      </c>
      <c r="Z11">
        <v>108.1</v>
      </c>
      <c r="AA11">
        <v>105.1</v>
      </c>
      <c r="AB11">
        <v>107.1</v>
      </c>
      <c r="AC11">
        <v>108.3</v>
      </c>
      <c r="AD11">
        <v>105.3</v>
      </c>
      <c r="AE11">
        <v>107.3</v>
      </c>
      <c r="AF11">
        <v>109.1</v>
      </c>
      <c r="AG11">
        <v>106.3</v>
      </c>
      <c r="AH11">
        <v>108.2</v>
      </c>
      <c r="AI11">
        <v>109.5</v>
      </c>
      <c r="AJ11">
        <v>107.1</v>
      </c>
      <c r="AK11">
        <v>108.7</v>
      </c>
      <c r="AL11">
        <v>109.6</v>
      </c>
      <c r="AM11">
        <v>107.5</v>
      </c>
      <c r="AN11">
        <v>108.9</v>
      </c>
      <c r="AO11">
        <v>109.8</v>
      </c>
      <c r="AP11">
        <v>108.2</v>
      </c>
      <c r="AQ11">
        <v>109.3</v>
      </c>
      <c r="AR11">
        <v>110.2</v>
      </c>
      <c r="AS11">
        <v>108.9</v>
      </c>
      <c r="AT11">
        <v>109.8</v>
      </c>
      <c r="AU11">
        <v>111</v>
      </c>
      <c r="AV11">
        <v>111</v>
      </c>
      <c r="AW11">
        <v>111</v>
      </c>
      <c r="AX11">
        <v>111.5</v>
      </c>
      <c r="AY11">
        <v>112.6</v>
      </c>
      <c r="AZ11">
        <v>111.9</v>
      </c>
      <c r="BA11">
        <v>112.2</v>
      </c>
      <c r="BB11">
        <v>112.8</v>
      </c>
      <c r="BC11">
        <v>112.4</v>
      </c>
      <c r="BD11">
        <v>113.2</v>
      </c>
      <c r="BE11">
        <v>113.1</v>
      </c>
      <c r="BF11">
        <v>113.2</v>
      </c>
      <c r="BG11">
        <v>114.1</v>
      </c>
      <c r="BH11">
        <v>115.2</v>
      </c>
      <c r="BI11">
        <v>114.5</v>
      </c>
      <c r="BJ11">
        <v>115</v>
      </c>
      <c r="BK11">
        <v>116.9</v>
      </c>
      <c r="BL11">
        <v>115.6</v>
      </c>
      <c r="BM11">
        <v>115.5</v>
      </c>
      <c r="BN11">
        <v>117.4</v>
      </c>
      <c r="BO11">
        <v>116.1</v>
      </c>
      <c r="BP11">
        <v>116.2</v>
      </c>
      <c r="BQ11">
        <v>119.3</v>
      </c>
      <c r="BR11">
        <v>117.2</v>
      </c>
      <c r="BS11">
        <v>116.3</v>
      </c>
      <c r="BT11">
        <v>120.1</v>
      </c>
      <c r="BU11">
        <v>117.6</v>
      </c>
      <c r="BV11">
        <v>117.2</v>
      </c>
      <c r="BW11">
        <v>122.9</v>
      </c>
      <c r="BX11">
        <v>119.1</v>
      </c>
      <c r="BY11">
        <v>118.8</v>
      </c>
      <c r="BZ11">
        <v>125.1</v>
      </c>
      <c r="CA11">
        <v>120.9</v>
      </c>
      <c r="CB11">
        <v>119.9</v>
      </c>
      <c r="CC11">
        <v>127.2</v>
      </c>
      <c r="CD11">
        <v>122.4</v>
      </c>
      <c r="CE11">
        <v>121.5</v>
      </c>
      <c r="CF11">
        <v>131.30000000000001</v>
      </c>
      <c r="CG11">
        <v>124.8</v>
      </c>
      <c r="CH11">
        <v>124.3</v>
      </c>
      <c r="CI11">
        <v>142.6</v>
      </c>
      <c r="CJ11">
        <v>130.5</v>
      </c>
      <c r="CK11">
        <v>131.9</v>
      </c>
      <c r="CL11">
        <v>148.1</v>
      </c>
      <c r="CM11">
        <v>137.4</v>
      </c>
      <c r="CN11">
        <v>133.80000000000001</v>
      </c>
      <c r="CO11">
        <v>149.5</v>
      </c>
      <c r="CP11">
        <v>139.1</v>
      </c>
      <c r="CQ11">
        <v>137.9</v>
      </c>
      <c r="CR11">
        <v>156</v>
      </c>
      <c r="CS11">
        <v>144</v>
      </c>
      <c r="CT11">
        <v>142.1</v>
      </c>
      <c r="CU11">
        <v>165.4</v>
      </c>
      <c r="CV11">
        <v>150</v>
      </c>
      <c r="CW11">
        <v>154.19999999999999</v>
      </c>
      <c r="CX11">
        <v>187.2</v>
      </c>
      <c r="CY11">
        <v>165.3</v>
      </c>
      <c r="CZ11">
        <v>160.80000000000001</v>
      </c>
      <c r="DA11">
        <v>191.6</v>
      </c>
      <c r="DB11">
        <v>171.2</v>
      </c>
      <c r="DC11">
        <v>162.1</v>
      </c>
      <c r="DD11">
        <v>190.1</v>
      </c>
      <c r="DE11">
        <v>171.5</v>
      </c>
      <c r="DF11">
        <v>163.80000000000001</v>
      </c>
      <c r="DG11">
        <v>184.2</v>
      </c>
      <c r="DH11">
        <v>170.7</v>
      </c>
      <c r="DI11">
        <v>162.80000000000001</v>
      </c>
      <c r="DJ11">
        <v>176.4</v>
      </c>
      <c r="DK11">
        <v>167.4</v>
      </c>
      <c r="DL11">
        <v>161.19999999999999</v>
      </c>
      <c r="DM11">
        <v>170.3</v>
      </c>
      <c r="DN11">
        <v>164.3</v>
      </c>
      <c r="DO11">
        <v>162.69999999999999</v>
      </c>
      <c r="DP11">
        <v>176.9</v>
      </c>
      <c r="DQ11">
        <v>167.5</v>
      </c>
      <c r="DR11">
        <v>166</v>
      </c>
      <c r="DS11">
        <v>182.8</v>
      </c>
      <c r="DT11">
        <v>171.7</v>
      </c>
      <c r="DU11">
        <v>169.2</v>
      </c>
      <c r="DV11">
        <v>184.4</v>
      </c>
      <c r="DW11">
        <v>174.3</v>
      </c>
      <c r="DX11">
        <v>171.8</v>
      </c>
      <c r="DY11">
        <v>188.4</v>
      </c>
      <c r="DZ11">
        <v>177.4</v>
      </c>
      <c r="EA11">
        <v>172.2</v>
      </c>
      <c r="EB11">
        <v>182.3</v>
      </c>
      <c r="EC11">
        <v>175.6</v>
      </c>
      <c r="ED11">
        <v>170.4</v>
      </c>
      <c r="EE11">
        <v>173.6</v>
      </c>
      <c r="EF11">
        <v>171.5</v>
      </c>
      <c r="EG11">
        <v>170.2</v>
      </c>
      <c r="EH11">
        <v>175.7</v>
      </c>
      <c r="EI11">
        <v>172.1</v>
      </c>
      <c r="EJ11">
        <v>170</v>
      </c>
      <c r="EK11">
        <v>174.9</v>
      </c>
      <c r="EL11">
        <v>171.7</v>
      </c>
      <c r="EM11">
        <v>167.9</v>
      </c>
      <c r="EN11">
        <v>170.3</v>
      </c>
      <c r="EO11">
        <v>168.7</v>
      </c>
      <c r="EP11">
        <v>161.69999999999999</v>
      </c>
      <c r="EQ11">
        <v>155.1</v>
      </c>
      <c r="ER11">
        <v>159.5</v>
      </c>
      <c r="ES11">
        <v>156.9</v>
      </c>
      <c r="ET11">
        <v>143.1</v>
      </c>
      <c r="EU11">
        <v>152.19999999999999</v>
      </c>
      <c r="EV11">
        <v>148</v>
      </c>
      <c r="EW11">
        <v>135.80000000000001</v>
      </c>
      <c r="EX11">
        <v>143.9</v>
      </c>
      <c r="EY11">
        <v>144.5</v>
      </c>
      <c r="EZ11">
        <v>133.80000000000001</v>
      </c>
      <c r="FA11">
        <v>140.9</v>
      </c>
      <c r="FB11">
        <v>141.80000000000001</v>
      </c>
      <c r="FC11">
        <v>131.5</v>
      </c>
      <c r="FD11">
        <v>138.30000000000001</v>
      </c>
      <c r="FE11">
        <v>140.19999999999999</v>
      </c>
      <c r="FF11">
        <v>128.19999999999999</v>
      </c>
      <c r="FG11">
        <v>136.19999999999999</v>
      </c>
      <c r="FH11">
        <v>138.1</v>
      </c>
      <c r="FI11">
        <v>124.7</v>
      </c>
      <c r="FJ11">
        <v>133.6</v>
      </c>
      <c r="FK11">
        <v>137.4</v>
      </c>
      <c r="FL11">
        <v>123.5</v>
      </c>
      <c r="FM11">
        <v>132.69999999999999</v>
      </c>
      <c r="FN11">
        <v>137.1</v>
      </c>
      <c r="FO11">
        <v>124.5</v>
      </c>
      <c r="FP11">
        <v>132.9</v>
      </c>
      <c r="FQ11">
        <v>136.4</v>
      </c>
      <c r="FR11">
        <v>124.1</v>
      </c>
      <c r="FS11">
        <v>132.30000000000001</v>
      </c>
      <c r="FT11">
        <v>135.80000000000001</v>
      </c>
      <c r="FU11">
        <v>122.2</v>
      </c>
      <c r="FV11">
        <v>131.19999999999999</v>
      </c>
      <c r="FW11">
        <v>133.80000000000001</v>
      </c>
      <c r="FX11">
        <v>119.8</v>
      </c>
      <c r="FY11">
        <v>129.1</v>
      </c>
      <c r="FZ11">
        <v>131.80000000000001</v>
      </c>
      <c r="GA11">
        <v>118.4</v>
      </c>
      <c r="GB11">
        <v>127.3</v>
      </c>
      <c r="GC11">
        <v>130.19999999999999</v>
      </c>
      <c r="GD11">
        <v>117</v>
      </c>
      <c r="GE11">
        <v>125.8</v>
      </c>
      <c r="GF11">
        <v>129.30000000000001</v>
      </c>
      <c r="GG11">
        <v>115.5</v>
      </c>
      <c r="GH11">
        <v>124.6</v>
      </c>
      <c r="GI11">
        <v>128.4</v>
      </c>
      <c r="GJ11">
        <v>114</v>
      </c>
      <c r="GK11">
        <v>123.5</v>
      </c>
      <c r="GL11">
        <v>127.2</v>
      </c>
      <c r="GM11">
        <v>112.8</v>
      </c>
      <c r="GN11">
        <v>122.3</v>
      </c>
      <c r="GO11">
        <v>126</v>
      </c>
      <c r="GP11">
        <v>112.3</v>
      </c>
      <c r="GQ11">
        <v>121.4</v>
      </c>
      <c r="GR11">
        <v>126.4</v>
      </c>
      <c r="GS11">
        <v>112.6</v>
      </c>
      <c r="GT11">
        <v>121.7</v>
      </c>
      <c r="GU11">
        <v>126.8</v>
      </c>
      <c r="GV11">
        <v>113.6</v>
      </c>
      <c r="GW11">
        <v>122.4</v>
      </c>
      <c r="GX11">
        <v>125.4</v>
      </c>
      <c r="GY11">
        <v>113.5</v>
      </c>
      <c r="GZ11">
        <v>121.4</v>
      </c>
      <c r="HA11">
        <v>121.4</v>
      </c>
      <c r="HB11">
        <v>113.2</v>
      </c>
      <c r="HC11">
        <v>119.1</v>
      </c>
      <c r="HD11">
        <v>121</v>
      </c>
      <c r="HE11">
        <v>115.3</v>
      </c>
      <c r="HF11">
        <v>119.1</v>
      </c>
      <c r="HG11">
        <v>120.9</v>
      </c>
      <c r="HH11">
        <v>117.5</v>
      </c>
      <c r="HI11">
        <v>119.8</v>
      </c>
      <c r="HJ11">
        <v>121.3</v>
      </c>
      <c r="HK11">
        <v>118.2</v>
      </c>
      <c r="HL11">
        <v>120.3</v>
      </c>
      <c r="HM11">
        <v>121.5</v>
      </c>
      <c r="HN11">
        <v>119.9</v>
      </c>
      <c r="HO11">
        <v>121</v>
      </c>
      <c r="HP11">
        <v>122.3</v>
      </c>
      <c r="HQ11">
        <v>120.7</v>
      </c>
      <c r="HR11">
        <v>121.8</v>
      </c>
      <c r="HS11">
        <v>125.1</v>
      </c>
      <c r="HT11">
        <v>124.4</v>
      </c>
      <c r="HU11">
        <v>124.9</v>
      </c>
      <c r="HV11">
        <v>128.69999999999999</v>
      </c>
      <c r="HW11">
        <v>127.4</v>
      </c>
      <c r="HX11">
        <v>128.30000000000001</v>
      </c>
      <c r="HY11">
        <v>130.6</v>
      </c>
      <c r="HZ11">
        <v>128.9</v>
      </c>
      <c r="IA11">
        <v>130</v>
      </c>
      <c r="IB11">
        <v>131.5</v>
      </c>
      <c r="IC11">
        <v>129.80000000000001</v>
      </c>
      <c r="ID11">
        <v>130.9</v>
      </c>
      <c r="IE11">
        <v>132.19999999999999</v>
      </c>
      <c r="IF11">
        <v>130.30000000000001</v>
      </c>
      <c r="IG11">
        <v>131.6</v>
      </c>
      <c r="IH11">
        <v>133.1</v>
      </c>
      <c r="II11">
        <v>131.19999999999999</v>
      </c>
      <c r="IJ11">
        <v>132.5</v>
      </c>
      <c r="IK11">
        <v>136.19999999999999</v>
      </c>
      <c r="IL11">
        <v>134.6</v>
      </c>
      <c r="IM11">
        <v>135.69999999999999</v>
      </c>
      <c r="IN11">
        <v>138.80000000000001</v>
      </c>
      <c r="IO11">
        <v>137.19999999999999</v>
      </c>
      <c r="IP11">
        <v>138.30000000000001</v>
      </c>
      <c r="IQ11">
        <v>141.1</v>
      </c>
      <c r="IR11">
        <v>139.1</v>
      </c>
      <c r="IS11">
        <v>140.4</v>
      </c>
      <c r="IT11">
        <v>141.80000000000001</v>
      </c>
      <c r="IU11">
        <v>139.6</v>
      </c>
      <c r="IV11">
        <v>141.1</v>
      </c>
      <c r="IW11">
        <v>141.80000000000001</v>
      </c>
      <c r="IX11">
        <v>139.69999999999999</v>
      </c>
      <c r="IY11">
        <v>141.1</v>
      </c>
      <c r="IZ11">
        <v>150.19999999999999</v>
      </c>
      <c r="JA11">
        <v>150.80000000000001</v>
      </c>
      <c r="JB11">
        <v>150.4</v>
      </c>
      <c r="JF11">
        <v>150.30000000000001</v>
      </c>
      <c r="JG11">
        <v>152</v>
      </c>
      <c r="JH11">
        <v>150.9</v>
      </c>
      <c r="JI11">
        <v>150.30000000000001</v>
      </c>
      <c r="JJ11">
        <v>152</v>
      </c>
      <c r="JK11">
        <v>150.9</v>
      </c>
      <c r="JL11">
        <v>149.9</v>
      </c>
      <c r="JM11">
        <v>151.30000000000001</v>
      </c>
      <c r="JN11">
        <v>150.4</v>
      </c>
      <c r="JO11">
        <v>149.30000000000001</v>
      </c>
      <c r="JP11">
        <v>150.80000000000001</v>
      </c>
      <c r="JQ11">
        <v>149.80000000000001</v>
      </c>
      <c r="JR11">
        <v>150.30000000000001</v>
      </c>
      <c r="JS11">
        <v>152.19999999999999</v>
      </c>
      <c r="JT11">
        <v>150.9</v>
      </c>
      <c r="JU11">
        <v>155.9</v>
      </c>
      <c r="JV11">
        <v>158.69999999999999</v>
      </c>
      <c r="JW11">
        <v>156.80000000000001</v>
      </c>
      <c r="JX11">
        <v>159.5</v>
      </c>
      <c r="JY11">
        <v>161.5</v>
      </c>
      <c r="JZ11">
        <v>160.19999999999999</v>
      </c>
      <c r="KA11">
        <v>159.5</v>
      </c>
      <c r="KB11">
        <v>162.1</v>
      </c>
      <c r="KC11">
        <v>160.4</v>
      </c>
      <c r="KD11">
        <v>158.30000000000001</v>
      </c>
      <c r="KE11">
        <v>159.80000000000001</v>
      </c>
      <c r="KF11">
        <v>158.80000000000001</v>
      </c>
      <c r="KG11">
        <v>159.19999999999999</v>
      </c>
      <c r="KH11">
        <v>161.1</v>
      </c>
      <c r="KI11">
        <v>159.80000000000001</v>
      </c>
      <c r="KJ11">
        <v>161.1</v>
      </c>
      <c r="KK11">
        <v>162.80000000000001</v>
      </c>
      <c r="KL11">
        <v>161.69999999999999</v>
      </c>
      <c r="KM11">
        <v>165.1</v>
      </c>
      <c r="KN11">
        <v>165.9</v>
      </c>
      <c r="KO11">
        <v>165.4</v>
      </c>
      <c r="KP11">
        <v>165.5</v>
      </c>
      <c r="KQ11">
        <v>166.9</v>
      </c>
      <c r="KR11">
        <v>166</v>
      </c>
      <c r="KS11">
        <v>163.6</v>
      </c>
      <c r="KT11">
        <v>164.7</v>
      </c>
      <c r="KU11">
        <v>164</v>
      </c>
      <c r="KV11">
        <v>162.80000000000001</v>
      </c>
      <c r="KW11">
        <v>164.5</v>
      </c>
      <c r="KX11">
        <v>164.1</v>
      </c>
      <c r="KY11">
        <v>163.9</v>
      </c>
      <c r="KZ11">
        <v>164.5</v>
      </c>
      <c r="LA11">
        <v>164.1</v>
      </c>
      <c r="LB11">
        <v>165.2</v>
      </c>
      <c r="LC11">
        <v>165.3</v>
      </c>
      <c r="LD11">
        <v>165.2</v>
      </c>
      <c r="LE11">
        <v>165.4</v>
      </c>
      <c r="LF11">
        <v>165.1</v>
      </c>
      <c r="LG11">
        <v>165.3</v>
      </c>
      <c r="LH11">
        <v>164.5</v>
      </c>
      <c r="LI11">
        <v>164.2</v>
      </c>
      <c r="LJ11">
        <v>164.4</v>
      </c>
      <c r="LK11">
        <v>164</v>
      </c>
      <c r="LL11">
        <v>163.80000000000001</v>
      </c>
      <c r="LM11">
        <v>163.9</v>
      </c>
      <c r="LN11">
        <v>163.9</v>
      </c>
      <c r="LO11">
        <v>163.19999999999999</v>
      </c>
      <c r="LP11">
        <v>163.69999999999999</v>
      </c>
      <c r="LQ11">
        <v>164.2</v>
      </c>
      <c r="LR11">
        <v>163.4</v>
      </c>
      <c r="LS11">
        <v>163.9</v>
      </c>
      <c r="LT11">
        <v>165.1</v>
      </c>
      <c r="LU11">
        <v>164</v>
      </c>
      <c r="LV11">
        <v>164.7</v>
      </c>
      <c r="LW11">
        <v>165</v>
      </c>
      <c r="LX11">
        <v>164.1</v>
      </c>
      <c r="LY11">
        <v>164.7</v>
      </c>
      <c r="LZ11">
        <v>164.6</v>
      </c>
      <c r="MA11">
        <v>163.6</v>
      </c>
      <c r="MB11">
        <v>164.3</v>
      </c>
      <c r="MC11">
        <v>164.4</v>
      </c>
      <c r="MD11">
        <v>164</v>
      </c>
      <c r="ME11">
        <v>164.3</v>
      </c>
      <c r="MF11">
        <v>167.1</v>
      </c>
      <c r="MG11">
        <v>167.3</v>
      </c>
      <c r="MH11">
        <v>167.2</v>
      </c>
      <c r="MI11">
        <v>169</v>
      </c>
      <c r="MJ11">
        <v>169.2</v>
      </c>
      <c r="MK11">
        <v>169.1</v>
      </c>
      <c r="ML11">
        <v>169.7</v>
      </c>
      <c r="MM11">
        <v>169.9</v>
      </c>
      <c r="MN11">
        <v>169.8</v>
      </c>
      <c r="MO11">
        <v>170.2</v>
      </c>
      <c r="MP11">
        <v>171</v>
      </c>
      <c r="MQ11">
        <v>170.5</v>
      </c>
      <c r="MR11">
        <v>170.5</v>
      </c>
      <c r="MS11">
        <v>171.3</v>
      </c>
      <c r="MT11">
        <v>170.8</v>
      </c>
      <c r="MU11">
        <v>170.7</v>
      </c>
      <c r="MV11">
        <v>171.2</v>
      </c>
      <c r="MW11">
        <v>170.9</v>
      </c>
      <c r="MX11">
        <v>170.4</v>
      </c>
      <c r="MY11">
        <v>172.2</v>
      </c>
      <c r="MZ11">
        <v>171</v>
      </c>
      <c r="NA11">
        <v>170.5</v>
      </c>
      <c r="NB11">
        <v>172.2</v>
      </c>
      <c r="NC11">
        <v>171.1</v>
      </c>
      <c r="ND11">
        <v>172.8</v>
      </c>
      <c r="NE11">
        <v>174.7</v>
      </c>
      <c r="NF11">
        <v>173.4</v>
      </c>
      <c r="NG11">
        <v>174.9</v>
      </c>
      <c r="NH11">
        <v>176.9</v>
      </c>
      <c r="NI11">
        <v>175.6</v>
      </c>
    </row>
    <row r="12" spans="1:373" x14ac:dyDescent="0.3">
      <c r="A12" s="1" t="s">
        <v>11</v>
      </c>
      <c r="B12">
        <v>106.8</v>
      </c>
      <c r="C12">
        <v>105.1</v>
      </c>
      <c r="D12">
        <v>106.2</v>
      </c>
      <c r="E12">
        <v>105.7</v>
      </c>
      <c r="F12">
        <v>103.8</v>
      </c>
      <c r="G12">
        <v>105.1</v>
      </c>
      <c r="H12">
        <v>105</v>
      </c>
      <c r="I12">
        <v>102.6</v>
      </c>
      <c r="J12">
        <v>104.2</v>
      </c>
      <c r="K12">
        <v>104.2</v>
      </c>
      <c r="L12">
        <v>102</v>
      </c>
      <c r="M12">
        <v>103.5</v>
      </c>
      <c r="N12">
        <v>103.7</v>
      </c>
      <c r="O12">
        <v>101.9</v>
      </c>
      <c r="P12">
        <v>103.1</v>
      </c>
      <c r="Q12">
        <v>104.1</v>
      </c>
      <c r="R12">
        <v>101.4</v>
      </c>
      <c r="S12">
        <v>103.2</v>
      </c>
      <c r="T12">
        <v>104.3</v>
      </c>
      <c r="U12">
        <v>101.3</v>
      </c>
      <c r="V12">
        <v>103.3</v>
      </c>
      <c r="W12">
        <v>104.1</v>
      </c>
      <c r="X12">
        <v>101</v>
      </c>
      <c r="Y12">
        <v>103.1</v>
      </c>
      <c r="Z12">
        <v>104.2</v>
      </c>
      <c r="AA12">
        <v>100.8</v>
      </c>
      <c r="AB12">
        <v>103.1</v>
      </c>
      <c r="AC12">
        <v>103.9</v>
      </c>
      <c r="AD12">
        <v>100.2</v>
      </c>
      <c r="AE12">
        <v>102.7</v>
      </c>
      <c r="AF12">
        <v>103.6</v>
      </c>
      <c r="AG12">
        <v>99.5</v>
      </c>
      <c r="AH12">
        <v>102.2</v>
      </c>
      <c r="AI12">
        <v>102.9</v>
      </c>
      <c r="AJ12">
        <v>98.6</v>
      </c>
      <c r="AK12">
        <v>101.5</v>
      </c>
      <c r="AL12">
        <v>101.8</v>
      </c>
      <c r="AM12">
        <v>96.9</v>
      </c>
      <c r="AN12">
        <v>100.2</v>
      </c>
      <c r="AO12">
        <v>101.1</v>
      </c>
      <c r="AP12">
        <v>95.4</v>
      </c>
      <c r="AQ12">
        <v>99.2</v>
      </c>
      <c r="AR12">
        <v>101.2</v>
      </c>
      <c r="AS12">
        <v>96.3</v>
      </c>
      <c r="AT12">
        <v>99.6</v>
      </c>
      <c r="AU12">
        <v>102.6</v>
      </c>
      <c r="AV12">
        <v>100.3</v>
      </c>
      <c r="AW12">
        <v>101.8</v>
      </c>
      <c r="AX12">
        <v>103.5</v>
      </c>
      <c r="AY12">
        <v>101.3</v>
      </c>
      <c r="AZ12">
        <v>102.8</v>
      </c>
      <c r="BA12">
        <v>103.6</v>
      </c>
      <c r="BB12">
        <v>101.4</v>
      </c>
      <c r="BC12">
        <v>102.9</v>
      </c>
      <c r="BD12">
        <v>104.8</v>
      </c>
      <c r="BE12">
        <v>102.7</v>
      </c>
      <c r="BF12">
        <v>104.1</v>
      </c>
      <c r="BG12">
        <v>105.1</v>
      </c>
      <c r="BH12">
        <v>102.7</v>
      </c>
      <c r="BI12">
        <v>104.3</v>
      </c>
      <c r="BJ12">
        <v>104.7</v>
      </c>
      <c r="BK12">
        <v>101.9</v>
      </c>
      <c r="BL12">
        <v>103.8</v>
      </c>
      <c r="BM12">
        <v>104</v>
      </c>
      <c r="BN12">
        <v>101.2</v>
      </c>
      <c r="BO12">
        <v>103.1</v>
      </c>
      <c r="BP12">
        <v>103.3</v>
      </c>
      <c r="BQ12">
        <v>99.8</v>
      </c>
      <c r="BR12">
        <v>102.1</v>
      </c>
      <c r="BS12">
        <v>102</v>
      </c>
      <c r="BT12">
        <v>97.8</v>
      </c>
      <c r="BU12">
        <v>100.6</v>
      </c>
      <c r="BV12">
        <v>100.5</v>
      </c>
      <c r="BW12">
        <v>96.1</v>
      </c>
      <c r="BX12">
        <v>99</v>
      </c>
      <c r="BY12">
        <v>100</v>
      </c>
      <c r="BZ12">
        <v>95</v>
      </c>
      <c r="CA12">
        <v>98.3</v>
      </c>
      <c r="CB12">
        <v>98.9</v>
      </c>
      <c r="CC12">
        <v>93.2</v>
      </c>
      <c r="CD12">
        <v>97</v>
      </c>
      <c r="CE12">
        <v>97.8</v>
      </c>
      <c r="CF12">
        <v>91.6</v>
      </c>
      <c r="CG12">
        <v>95.7</v>
      </c>
      <c r="CH12">
        <v>97.6</v>
      </c>
      <c r="CI12">
        <v>90.8</v>
      </c>
      <c r="CJ12">
        <v>95.3</v>
      </c>
      <c r="CK12">
        <v>96.3</v>
      </c>
      <c r="CL12">
        <v>89.8</v>
      </c>
      <c r="CM12">
        <v>94.1</v>
      </c>
      <c r="CN12">
        <v>94.1</v>
      </c>
      <c r="CO12">
        <v>85.7</v>
      </c>
      <c r="CP12">
        <v>91.3</v>
      </c>
      <c r="CQ12">
        <v>93.1</v>
      </c>
      <c r="CR12">
        <v>85.3</v>
      </c>
      <c r="CS12">
        <v>90.5</v>
      </c>
      <c r="CT12">
        <v>92.5</v>
      </c>
      <c r="CU12">
        <v>86.3</v>
      </c>
      <c r="CV12">
        <v>90.4</v>
      </c>
      <c r="CW12">
        <v>93.7</v>
      </c>
      <c r="CX12">
        <v>89.4</v>
      </c>
      <c r="CY12">
        <v>92.3</v>
      </c>
      <c r="CZ12">
        <v>94.5</v>
      </c>
      <c r="DA12">
        <v>90.8</v>
      </c>
      <c r="DB12">
        <v>93.3</v>
      </c>
      <c r="DC12">
        <v>95.4</v>
      </c>
      <c r="DD12">
        <v>92.7</v>
      </c>
      <c r="DE12">
        <v>94.5</v>
      </c>
      <c r="DF12">
        <v>97.7</v>
      </c>
      <c r="DG12">
        <v>96.7</v>
      </c>
      <c r="DH12">
        <v>97.4</v>
      </c>
      <c r="DI12">
        <v>98.7</v>
      </c>
      <c r="DJ12">
        <v>99.1</v>
      </c>
      <c r="DK12">
        <v>98.8</v>
      </c>
      <c r="DL12">
        <v>100.4</v>
      </c>
      <c r="DM12">
        <v>101.8</v>
      </c>
      <c r="DN12">
        <v>100.9</v>
      </c>
      <c r="DO12">
        <v>105</v>
      </c>
      <c r="DP12">
        <v>109.1</v>
      </c>
      <c r="DQ12">
        <v>106.4</v>
      </c>
      <c r="DR12">
        <v>107.5</v>
      </c>
      <c r="DS12">
        <v>111.1</v>
      </c>
      <c r="DT12">
        <v>108.7</v>
      </c>
      <c r="DU12">
        <v>108.8</v>
      </c>
      <c r="DV12">
        <v>112</v>
      </c>
      <c r="DW12">
        <v>109.9</v>
      </c>
      <c r="DX12">
        <v>110.3</v>
      </c>
      <c r="DY12">
        <v>113.3</v>
      </c>
      <c r="DZ12">
        <v>111.3</v>
      </c>
      <c r="EA12">
        <v>112.1</v>
      </c>
      <c r="EB12">
        <v>114.6</v>
      </c>
      <c r="EC12">
        <v>112.9</v>
      </c>
      <c r="ED12">
        <v>113.1</v>
      </c>
      <c r="EE12">
        <v>115.1</v>
      </c>
      <c r="EF12">
        <v>113.8</v>
      </c>
      <c r="EG12">
        <v>113.4</v>
      </c>
      <c r="EH12">
        <v>115.4</v>
      </c>
      <c r="EI12">
        <v>114.1</v>
      </c>
      <c r="EJ12">
        <v>113.4</v>
      </c>
      <c r="EK12">
        <v>115.6</v>
      </c>
      <c r="EL12">
        <v>114.1</v>
      </c>
      <c r="EM12">
        <v>113.8</v>
      </c>
      <c r="EN12">
        <v>115.5</v>
      </c>
      <c r="EO12">
        <v>114.4</v>
      </c>
      <c r="EP12">
        <v>114.8</v>
      </c>
      <c r="EQ12">
        <v>117.3</v>
      </c>
      <c r="ER12">
        <v>115.6</v>
      </c>
      <c r="ES12">
        <v>116.2</v>
      </c>
      <c r="ET12">
        <v>119.5</v>
      </c>
      <c r="EU12">
        <v>117.3</v>
      </c>
      <c r="EV12">
        <v>116.9</v>
      </c>
      <c r="EW12">
        <v>120.3</v>
      </c>
      <c r="EX12">
        <v>118</v>
      </c>
      <c r="EY12">
        <v>117.4</v>
      </c>
      <c r="EZ12">
        <v>120.8</v>
      </c>
      <c r="FA12">
        <v>118.5</v>
      </c>
      <c r="FB12">
        <v>118.6</v>
      </c>
      <c r="FC12">
        <v>121</v>
      </c>
      <c r="FD12">
        <v>119.4</v>
      </c>
      <c r="FE12">
        <v>118.9</v>
      </c>
      <c r="FF12">
        <v>120.9</v>
      </c>
      <c r="FG12">
        <v>119.6</v>
      </c>
      <c r="FH12">
        <v>120</v>
      </c>
      <c r="FI12">
        <v>121.5</v>
      </c>
      <c r="FJ12">
        <v>120.5</v>
      </c>
      <c r="FK12">
        <v>120.8</v>
      </c>
      <c r="FL12">
        <v>122.1</v>
      </c>
      <c r="FM12">
        <v>121.2</v>
      </c>
      <c r="FN12">
        <v>121</v>
      </c>
      <c r="FO12">
        <v>122.4</v>
      </c>
      <c r="FP12">
        <v>121.5</v>
      </c>
      <c r="FQ12">
        <v>121.4</v>
      </c>
      <c r="FR12">
        <v>122.6</v>
      </c>
      <c r="FS12">
        <v>121.8</v>
      </c>
      <c r="FT12">
        <v>122.5</v>
      </c>
      <c r="FU12">
        <v>123.9</v>
      </c>
      <c r="FV12">
        <v>123</v>
      </c>
      <c r="FW12">
        <v>121.9</v>
      </c>
      <c r="FX12">
        <v>120.7</v>
      </c>
      <c r="FY12">
        <v>121.5</v>
      </c>
      <c r="FZ12">
        <v>119.5</v>
      </c>
      <c r="GA12">
        <v>117.3</v>
      </c>
      <c r="GB12">
        <v>118.8</v>
      </c>
      <c r="GC12">
        <v>117.9</v>
      </c>
      <c r="GD12">
        <v>115.4</v>
      </c>
      <c r="GE12">
        <v>117.1</v>
      </c>
      <c r="GF12">
        <v>117.1</v>
      </c>
      <c r="GG12">
        <v>114.2</v>
      </c>
      <c r="GH12">
        <v>116.1</v>
      </c>
      <c r="GI12">
        <v>115.2</v>
      </c>
      <c r="GJ12">
        <v>110.6</v>
      </c>
      <c r="GK12">
        <v>113.7</v>
      </c>
      <c r="GL12">
        <v>111.8</v>
      </c>
      <c r="GM12">
        <v>105.3</v>
      </c>
      <c r="GN12">
        <v>109.6</v>
      </c>
      <c r="GO12">
        <v>112.4</v>
      </c>
      <c r="GP12">
        <v>108.4</v>
      </c>
      <c r="GQ12">
        <v>111.1</v>
      </c>
      <c r="GR12">
        <v>114.3</v>
      </c>
      <c r="GS12">
        <v>111.8</v>
      </c>
      <c r="GT12">
        <v>113.5</v>
      </c>
      <c r="GU12">
        <v>115.4</v>
      </c>
      <c r="GV12">
        <v>113.3</v>
      </c>
      <c r="GW12">
        <v>114.7</v>
      </c>
      <c r="GX12">
        <v>114.4</v>
      </c>
      <c r="GY12">
        <v>112.3</v>
      </c>
      <c r="GZ12">
        <v>113.7</v>
      </c>
      <c r="HA12">
        <v>112.3</v>
      </c>
      <c r="HB12">
        <v>112.8</v>
      </c>
      <c r="HC12">
        <v>111.9</v>
      </c>
      <c r="HD12">
        <v>111.6</v>
      </c>
      <c r="HE12">
        <v>112.5</v>
      </c>
      <c r="HF12">
        <v>111.9</v>
      </c>
      <c r="HG12">
        <v>109.9</v>
      </c>
      <c r="HH12">
        <v>111</v>
      </c>
      <c r="HI12">
        <v>110.3</v>
      </c>
      <c r="HJ12">
        <v>108.4</v>
      </c>
      <c r="HK12">
        <v>110.4</v>
      </c>
      <c r="HL12">
        <v>109.1</v>
      </c>
      <c r="HM12">
        <v>108.3</v>
      </c>
      <c r="HN12">
        <v>110.4</v>
      </c>
      <c r="HO12">
        <v>109</v>
      </c>
      <c r="HP12">
        <v>108.3</v>
      </c>
      <c r="HQ12">
        <v>110.4</v>
      </c>
      <c r="HR12">
        <v>109</v>
      </c>
      <c r="HS12">
        <v>109.3</v>
      </c>
      <c r="HT12">
        <v>111.2</v>
      </c>
      <c r="HU12">
        <v>109.9</v>
      </c>
      <c r="HV12">
        <v>110.6</v>
      </c>
      <c r="HW12">
        <v>111.8</v>
      </c>
      <c r="HX12">
        <v>111</v>
      </c>
      <c r="HY12">
        <v>110.8</v>
      </c>
      <c r="HZ12">
        <v>111.8</v>
      </c>
      <c r="IA12">
        <v>111.1</v>
      </c>
      <c r="IB12">
        <v>111.7</v>
      </c>
      <c r="IC12">
        <v>112.7</v>
      </c>
      <c r="ID12">
        <v>112</v>
      </c>
      <c r="IE12">
        <v>112.8</v>
      </c>
      <c r="IF12">
        <v>114</v>
      </c>
      <c r="IG12">
        <v>113.2</v>
      </c>
      <c r="IH12">
        <v>113.6</v>
      </c>
      <c r="II12">
        <v>114.8</v>
      </c>
      <c r="IJ12">
        <v>114</v>
      </c>
      <c r="IK12">
        <v>113.8</v>
      </c>
      <c r="IL12">
        <v>115</v>
      </c>
      <c r="IM12">
        <v>114.2</v>
      </c>
      <c r="IN12">
        <v>113.6</v>
      </c>
      <c r="IO12">
        <v>114.7</v>
      </c>
      <c r="IP12">
        <v>114</v>
      </c>
      <c r="IQ12">
        <v>113.8</v>
      </c>
      <c r="IR12">
        <v>114.8</v>
      </c>
      <c r="IS12">
        <v>114.1</v>
      </c>
      <c r="IT12">
        <v>113.1</v>
      </c>
      <c r="IU12">
        <v>114.6</v>
      </c>
      <c r="IV12">
        <v>113.6</v>
      </c>
      <c r="IW12">
        <v>112.6</v>
      </c>
      <c r="IX12">
        <v>114.4</v>
      </c>
      <c r="IY12">
        <v>113.2</v>
      </c>
      <c r="IZ12">
        <v>119.8</v>
      </c>
      <c r="JA12">
        <v>121.2</v>
      </c>
      <c r="JB12">
        <v>120.3</v>
      </c>
      <c r="JF12">
        <v>113.2</v>
      </c>
      <c r="JG12">
        <v>116.3</v>
      </c>
      <c r="JH12">
        <v>114.2</v>
      </c>
      <c r="JI12">
        <v>113.2</v>
      </c>
      <c r="JJ12">
        <v>116.3</v>
      </c>
      <c r="JK12">
        <v>114.2</v>
      </c>
      <c r="JL12">
        <v>114.2</v>
      </c>
      <c r="JM12">
        <v>116.8</v>
      </c>
      <c r="JN12">
        <v>115.1</v>
      </c>
      <c r="JO12">
        <v>115.1</v>
      </c>
      <c r="JP12">
        <v>118.9</v>
      </c>
      <c r="JQ12">
        <v>116.4</v>
      </c>
      <c r="JR12">
        <v>115.3</v>
      </c>
      <c r="JS12">
        <v>118.1</v>
      </c>
      <c r="JT12">
        <v>116.2</v>
      </c>
      <c r="JU12">
        <v>114.9</v>
      </c>
      <c r="JV12">
        <v>117.2</v>
      </c>
      <c r="JW12">
        <v>115.7</v>
      </c>
      <c r="JX12">
        <v>114.4</v>
      </c>
      <c r="JY12">
        <v>117.1</v>
      </c>
      <c r="JZ12">
        <v>115.3</v>
      </c>
      <c r="KA12">
        <v>113.8</v>
      </c>
      <c r="KB12">
        <v>116.3</v>
      </c>
      <c r="KC12">
        <v>114.6</v>
      </c>
      <c r="KD12">
        <v>111.8</v>
      </c>
      <c r="KE12">
        <v>114.9</v>
      </c>
      <c r="KF12">
        <v>112.8</v>
      </c>
      <c r="KG12">
        <v>111.7</v>
      </c>
      <c r="KH12">
        <v>114.3</v>
      </c>
      <c r="KI12">
        <v>112.6</v>
      </c>
      <c r="KJ12">
        <v>112.2</v>
      </c>
      <c r="KK12">
        <v>114.8</v>
      </c>
      <c r="KL12">
        <v>113.1</v>
      </c>
      <c r="KM12">
        <v>114.3</v>
      </c>
      <c r="KN12">
        <v>115.9</v>
      </c>
      <c r="KO12">
        <v>114.8</v>
      </c>
      <c r="KP12">
        <v>114.6</v>
      </c>
      <c r="KQ12">
        <v>116.1</v>
      </c>
      <c r="KR12">
        <v>115.1</v>
      </c>
      <c r="KS12">
        <v>113.9</v>
      </c>
      <c r="KT12">
        <v>115.7</v>
      </c>
      <c r="KU12">
        <v>114.5</v>
      </c>
      <c r="KV12">
        <v>115.2</v>
      </c>
      <c r="KW12">
        <v>120.4</v>
      </c>
      <c r="KX12">
        <v>119.7</v>
      </c>
      <c r="KY12">
        <v>119.3</v>
      </c>
      <c r="KZ12">
        <v>120.4</v>
      </c>
      <c r="LA12">
        <v>119.7</v>
      </c>
      <c r="LB12">
        <v>121.6</v>
      </c>
      <c r="LC12">
        <v>122.5</v>
      </c>
      <c r="LD12">
        <v>121.9</v>
      </c>
      <c r="LE12">
        <v>122.1</v>
      </c>
      <c r="LF12">
        <v>123.1</v>
      </c>
      <c r="LG12">
        <v>122.4</v>
      </c>
      <c r="LH12">
        <v>120.6</v>
      </c>
      <c r="LI12">
        <v>121.9</v>
      </c>
      <c r="LJ12">
        <v>121</v>
      </c>
      <c r="LK12">
        <v>119.3</v>
      </c>
      <c r="LL12">
        <v>121.3</v>
      </c>
      <c r="LM12">
        <v>120</v>
      </c>
      <c r="LN12">
        <v>118.1</v>
      </c>
      <c r="LO12">
        <v>120.6</v>
      </c>
      <c r="LP12">
        <v>118.9</v>
      </c>
      <c r="LQ12">
        <v>118.1</v>
      </c>
      <c r="LR12">
        <v>120.3</v>
      </c>
      <c r="LS12">
        <v>118.8</v>
      </c>
      <c r="LT12">
        <v>118.2</v>
      </c>
      <c r="LU12">
        <v>120.5</v>
      </c>
      <c r="LV12">
        <v>119</v>
      </c>
      <c r="LW12">
        <v>118.9</v>
      </c>
      <c r="LX12">
        <v>121.2</v>
      </c>
      <c r="LY12">
        <v>119.7</v>
      </c>
      <c r="LZ12">
        <v>119.1</v>
      </c>
      <c r="MA12">
        <v>121.4</v>
      </c>
      <c r="MB12">
        <v>119.9</v>
      </c>
      <c r="MC12">
        <v>119.2</v>
      </c>
      <c r="MD12">
        <v>121.5</v>
      </c>
      <c r="ME12">
        <v>120</v>
      </c>
      <c r="MF12">
        <v>120.2</v>
      </c>
      <c r="MG12">
        <v>122.2</v>
      </c>
      <c r="MH12">
        <v>120.9</v>
      </c>
      <c r="MI12">
        <v>120.8</v>
      </c>
      <c r="MJ12">
        <v>123.1</v>
      </c>
      <c r="MK12">
        <v>121.6</v>
      </c>
      <c r="ML12">
        <v>121.1</v>
      </c>
      <c r="MM12">
        <v>123.4</v>
      </c>
      <c r="MN12">
        <v>121.9</v>
      </c>
      <c r="MO12">
        <v>121.5</v>
      </c>
      <c r="MP12">
        <v>123.4</v>
      </c>
      <c r="MQ12">
        <v>122.1</v>
      </c>
      <c r="MR12">
        <v>121.2</v>
      </c>
      <c r="MS12">
        <v>123.1</v>
      </c>
      <c r="MT12">
        <v>121.8</v>
      </c>
      <c r="MU12">
        <v>120.3</v>
      </c>
      <c r="MV12">
        <v>122.7</v>
      </c>
      <c r="MW12">
        <v>121.1</v>
      </c>
      <c r="MX12">
        <v>119.1</v>
      </c>
      <c r="MY12">
        <v>121.9</v>
      </c>
      <c r="MZ12">
        <v>120</v>
      </c>
      <c r="NA12">
        <v>119.1</v>
      </c>
      <c r="NB12">
        <v>121.9</v>
      </c>
      <c r="NC12">
        <v>120</v>
      </c>
      <c r="ND12">
        <v>120.4</v>
      </c>
      <c r="NE12">
        <v>123.1</v>
      </c>
      <c r="NF12">
        <v>121.3</v>
      </c>
      <c r="NG12">
        <v>121.9</v>
      </c>
      <c r="NH12">
        <v>124.2</v>
      </c>
      <c r="NI12">
        <v>122.7</v>
      </c>
    </row>
    <row r="13" spans="1:373" x14ac:dyDescent="0.3">
      <c r="A13" s="1" t="s">
        <v>12</v>
      </c>
      <c r="B13">
        <v>103.1</v>
      </c>
      <c r="C13">
        <v>101.8</v>
      </c>
      <c r="D13">
        <v>102.7</v>
      </c>
      <c r="E13">
        <v>103.1</v>
      </c>
      <c r="F13">
        <v>102.3</v>
      </c>
      <c r="G13">
        <v>102.8</v>
      </c>
      <c r="H13">
        <v>103.3</v>
      </c>
      <c r="I13">
        <v>102.4</v>
      </c>
      <c r="J13">
        <v>103</v>
      </c>
      <c r="K13">
        <v>103.2</v>
      </c>
      <c r="L13">
        <v>103.5</v>
      </c>
      <c r="M13">
        <v>103.3</v>
      </c>
      <c r="N13">
        <v>104</v>
      </c>
      <c r="O13">
        <v>105</v>
      </c>
      <c r="P13">
        <v>104.3</v>
      </c>
      <c r="Q13">
        <v>105.4</v>
      </c>
      <c r="R13">
        <v>106.4</v>
      </c>
      <c r="S13">
        <v>105.7</v>
      </c>
      <c r="T13">
        <v>106.4</v>
      </c>
      <c r="U13">
        <v>107.5</v>
      </c>
      <c r="V13">
        <v>106.8</v>
      </c>
      <c r="W13">
        <v>106.9</v>
      </c>
      <c r="X13">
        <v>108.5</v>
      </c>
      <c r="Y13">
        <v>107.4</v>
      </c>
      <c r="Z13">
        <v>107.9</v>
      </c>
      <c r="AA13">
        <v>109.1</v>
      </c>
      <c r="AB13">
        <v>108.3</v>
      </c>
      <c r="AC13">
        <v>108.2</v>
      </c>
      <c r="AD13">
        <v>109.6</v>
      </c>
      <c r="AE13">
        <v>108.7</v>
      </c>
      <c r="AF13">
        <v>109</v>
      </c>
      <c r="AG13">
        <v>110.3</v>
      </c>
      <c r="AH13">
        <v>109.4</v>
      </c>
      <c r="AI13">
        <v>109.8</v>
      </c>
      <c r="AJ13">
        <v>111.9</v>
      </c>
      <c r="AK13">
        <v>110.5</v>
      </c>
      <c r="AL13">
        <v>110.2</v>
      </c>
      <c r="AM13">
        <v>112.7</v>
      </c>
      <c r="AN13">
        <v>111</v>
      </c>
      <c r="AO13">
        <v>110.4</v>
      </c>
      <c r="AP13">
        <v>113.5</v>
      </c>
      <c r="AQ13">
        <v>111.4</v>
      </c>
      <c r="AR13">
        <v>110.7</v>
      </c>
      <c r="AS13">
        <v>114.1</v>
      </c>
      <c r="AT13">
        <v>111.8</v>
      </c>
      <c r="AU13">
        <v>111.2</v>
      </c>
      <c r="AV13">
        <v>115.3</v>
      </c>
      <c r="AW13">
        <v>112.6</v>
      </c>
      <c r="AX13">
        <v>111.6</v>
      </c>
      <c r="AY13">
        <v>117</v>
      </c>
      <c r="AZ13">
        <v>113.4</v>
      </c>
      <c r="BA13">
        <v>112.3</v>
      </c>
      <c r="BB13">
        <v>118.3</v>
      </c>
      <c r="BC13">
        <v>114.3</v>
      </c>
      <c r="BD13">
        <v>113.3</v>
      </c>
      <c r="BE13">
        <v>120</v>
      </c>
      <c r="BF13">
        <v>115.5</v>
      </c>
      <c r="BG13">
        <v>114.6</v>
      </c>
      <c r="BH13">
        <v>122.1</v>
      </c>
      <c r="BI13">
        <v>117.1</v>
      </c>
      <c r="BJ13">
        <v>114.9</v>
      </c>
      <c r="BK13">
        <v>122.9</v>
      </c>
      <c r="BL13">
        <v>117.6</v>
      </c>
      <c r="BM13">
        <v>115.3</v>
      </c>
      <c r="BN13">
        <v>123.8</v>
      </c>
      <c r="BO13">
        <v>118.1</v>
      </c>
      <c r="BP13">
        <v>115.8</v>
      </c>
      <c r="BQ13">
        <v>124.6</v>
      </c>
      <c r="BR13">
        <v>118.7</v>
      </c>
      <c r="BS13">
        <v>116</v>
      </c>
      <c r="BT13">
        <v>125.4</v>
      </c>
      <c r="BU13">
        <v>119.1</v>
      </c>
      <c r="BV13">
        <v>117.2</v>
      </c>
      <c r="BW13">
        <v>126.6</v>
      </c>
      <c r="BX13">
        <v>120.3</v>
      </c>
      <c r="BY13">
        <v>118.6</v>
      </c>
      <c r="BZ13">
        <v>127.7</v>
      </c>
      <c r="CA13">
        <v>121.6</v>
      </c>
      <c r="CB13">
        <v>119.4</v>
      </c>
      <c r="CC13">
        <v>127.4</v>
      </c>
      <c r="CD13">
        <v>122.1</v>
      </c>
      <c r="CE13">
        <v>119.8</v>
      </c>
      <c r="CF13">
        <v>127.7</v>
      </c>
      <c r="CG13">
        <v>122.4</v>
      </c>
      <c r="CH13">
        <v>120.7</v>
      </c>
      <c r="CI13">
        <v>128.80000000000001</v>
      </c>
      <c r="CJ13">
        <v>123.4</v>
      </c>
      <c r="CK13">
        <v>123</v>
      </c>
      <c r="CL13">
        <v>130.5</v>
      </c>
      <c r="CM13">
        <v>125.5</v>
      </c>
      <c r="CN13">
        <v>123.4</v>
      </c>
      <c r="CO13">
        <v>131.5</v>
      </c>
      <c r="CP13">
        <v>126.1</v>
      </c>
      <c r="CQ13">
        <v>123.9</v>
      </c>
      <c r="CR13">
        <v>132.69999999999999</v>
      </c>
      <c r="CS13">
        <v>126.8</v>
      </c>
      <c r="CT13">
        <v>125.4</v>
      </c>
      <c r="CU13">
        <v>134.4</v>
      </c>
      <c r="CV13">
        <v>128.4</v>
      </c>
      <c r="CW13">
        <v>126.6</v>
      </c>
      <c r="CX13">
        <v>135.80000000000001</v>
      </c>
      <c r="CY13">
        <v>129.69999999999999</v>
      </c>
      <c r="CZ13">
        <v>128.30000000000001</v>
      </c>
      <c r="DA13">
        <v>137.1</v>
      </c>
      <c r="DB13">
        <v>131.19999999999999</v>
      </c>
      <c r="DC13">
        <v>128.9</v>
      </c>
      <c r="DD13">
        <v>138.6</v>
      </c>
      <c r="DE13">
        <v>132.1</v>
      </c>
      <c r="DF13">
        <v>129.6</v>
      </c>
      <c r="DG13">
        <v>139.5</v>
      </c>
      <c r="DH13">
        <v>132.9</v>
      </c>
      <c r="DI13">
        <v>130.6</v>
      </c>
      <c r="DJ13">
        <v>139.69999999999999</v>
      </c>
      <c r="DK13">
        <v>133.6</v>
      </c>
      <c r="DL13">
        <v>130.80000000000001</v>
      </c>
      <c r="DM13">
        <v>140.1</v>
      </c>
      <c r="DN13">
        <v>133.9</v>
      </c>
      <c r="DO13">
        <v>131.4</v>
      </c>
      <c r="DP13">
        <v>140.4</v>
      </c>
      <c r="DQ13">
        <v>134.4</v>
      </c>
      <c r="DR13">
        <v>132.19999999999999</v>
      </c>
      <c r="DS13">
        <v>141.5</v>
      </c>
      <c r="DT13">
        <v>135.30000000000001</v>
      </c>
      <c r="DU13">
        <v>133.1</v>
      </c>
      <c r="DV13">
        <v>142.80000000000001</v>
      </c>
      <c r="DW13">
        <v>136.30000000000001</v>
      </c>
      <c r="DX13">
        <v>134.30000000000001</v>
      </c>
      <c r="DY13">
        <v>143.9</v>
      </c>
      <c r="DZ13">
        <v>137.5</v>
      </c>
      <c r="EA13">
        <v>134.9</v>
      </c>
      <c r="EB13">
        <v>144.6</v>
      </c>
      <c r="EC13">
        <v>138.1</v>
      </c>
      <c r="ED13">
        <v>135.80000000000001</v>
      </c>
      <c r="EE13">
        <v>144.80000000000001</v>
      </c>
      <c r="EF13">
        <v>138.80000000000001</v>
      </c>
      <c r="EG13">
        <v>136.30000000000001</v>
      </c>
      <c r="EH13">
        <v>145.30000000000001</v>
      </c>
      <c r="EI13">
        <v>139.30000000000001</v>
      </c>
      <c r="EJ13">
        <v>136.80000000000001</v>
      </c>
      <c r="EK13">
        <v>145.4</v>
      </c>
      <c r="EL13">
        <v>139.69999999999999</v>
      </c>
      <c r="EM13">
        <v>137.5</v>
      </c>
      <c r="EN13">
        <v>145.5</v>
      </c>
      <c r="EO13">
        <v>140.19999999999999</v>
      </c>
      <c r="EP13">
        <v>136.9</v>
      </c>
      <c r="EQ13">
        <v>144.9</v>
      </c>
      <c r="ER13">
        <v>139.6</v>
      </c>
      <c r="ES13">
        <v>136</v>
      </c>
      <c r="ET13">
        <v>144</v>
      </c>
      <c r="EU13">
        <v>138.69999999999999</v>
      </c>
      <c r="EV13">
        <v>135.6</v>
      </c>
      <c r="EW13">
        <v>142.6</v>
      </c>
      <c r="EX13">
        <v>137.9</v>
      </c>
      <c r="EY13">
        <v>134.1</v>
      </c>
      <c r="EZ13">
        <v>141.30000000000001</v>
      </c>
      <c r="FA13">
        <v>136.5</v>
      </c>
      <c r="FB13">
        <v>134</v>
      </c>
      <c r="FC13">
        <v>139.9</v>
      </c>
      <c r="FD13">
        <v>136</v>
      </c>
      <c r="FE13">
        <v>133.5</v>
      </c>
      <c r="FF13">
        <v>138.80000000000001</v>
      </c>
      <c r="FG13">
        <v>135.30000000000001</v>
      </c>
      <c r="FH13">
        <v>133.9</v>
      </c>
      <c r="FI13">
        <v>137.80000000000001</v>
      </c>
      <c r="FJ13">
        <v>135.19999999999999</v>
      </c>
      <c r="FK13">
        <v>134.69999999999999</v>
      </c>
      <c r="FL13">
        <v>137.5</v>
      </c>
      <c r="FM13">
        <v>135.6</v>
      </c>
      <c r="FN13">
        <v>134.69999999999999</v>
      </c>
      <c r="FO13">
        <v>137.30000000000001</v>
      </c>
      <c r="FP13">
        <v>135.6</v>
      </c>
      <c r="FQ13">
        <v>135.6</v>
      </c>
      <c r="FR13">
        <v>137.80000000000001</v>
      </c>
      <c r="FS13">
        <v>136.30000000000001</v>
      </c>
      <c r="FT13">
        <v>136</v>
      </c>
      <c r="FU13">
        <v>138.30000000000001</v>
      </c>
      <c r="FV13">
        <v>136.80000000000001</v>
      </c>
      <c r="FW13">
        <v>135.80000000000001</v>
      </c>
      <c r="FX13">
        <v>139.69999999999999</v>
      </c>
      <c r="FY13">
        <v>137.1</v>
      </c>
      <c r="FZ13">
        <v>136</v>
      </c>
      <c r="GA13">
        <v>140.5</v>
      </c>
      <c r="GB13">
        <v>137.5</v>
      </c>
      <c r="GC13">
        <v>135.6</v>
      </c>
      <c r="GD13">
        <v>140.69999999999999</v>
      </c>
      <c r="GE13">
        <v>137.30000000000001</v>
      </c>
      <c r="GF13">
        <v>136.30000000000001</v>
      </c>
      <c r="GG13">
        <v>140.69999999999999</v>
      </c>
      <c r="GH13">
        <v>137.80000000000001</v>
      </c>
      <c r="GI13">
        <v>137.19999999999999</v>
      </c>
      <c r="GJ13">
        <v>140.19999999999999</v>
      </c>
      <c r="GK13">
        <v>138.19999999999999</v>
      </c>
      <c r="GL13">
        <v>137.4</v>
      </c>
      <c r="GM13">
        <v>139.6</v>
      </c>
      <c r="GN13">
        <v>138.1</v>
      </c>
      <c r="GO13">
        <v>137.6</v>
      </c>
      <c r="GP13">
        <v>140</v>
      </c>
      <c r="GQ13">
        <v>138.4</v>
      </c>
      <c r="GR13">
        <v>138.19999999999999</v>
      </c>
      <c r="GS13">
        <v>140.30000000000001</v>
      </c>
      <c r="GT13">
        <v>138.9</v>
      </c>
      <c r="GU13">
        <v>138.6</v>
      </c>
      <c r="GV13">
        <v>141.1</v>
      </c>
      <c r="GW13">
        <v>139.4</v>
      </c>
      <c r="GX13">
        <v>138.69999999999999</v>
      </c>
      <c r="GY13">
        <v>141.19999999999999</v>
      </c>
      <c r="GZ13">
        <v>139.5</v>
      </c>
      <c r="HA13">
        <v>139.5</v>
      </c>
      <c r="HB13">
        <v>141.1</v>
      </c>
      <c r="HC13">
        <v>141</v>
      </c>
      <c r="HD13">
        <v>140.6</v>
      </c>
      <c r="HE13">
        <v>141.4</v>
      </c>
      <c r="HF13">
        <v>140.9</v>
      </c>
      <c r="HG13">
        <v>140.19999999999999</v>
      </c>
      <c r="HH13">
        <v>141.5</v>
      </c>
      <c r="HI13">
        <v>140.6</v>
      </c>
      <c r="HJ13">
        <v>138.9</v>
      </c>
      <c r="HK13">
        <v>140.4</v>
      </c>
      <c r="HL13">
        <v>139.4</v>
      </c>
      <c r="HM13">
        <v>139.19999999999999</v>
      </c>
      <c r="HN13">
        <v>140.80000000000001</v>
      </c>
      <c r="HO13">
        <v>139.69999999999999</v>
      </c>
      <c r="HP13">
        <v>138.9</v>
      </c>
      <c r="HQ13">
        <v>140.69999999999999</v>
      </c>
      <c r="HR13">
        <v>139.5</v>
      </c>
      <c r="HS13">
        <v>139.30000000000001</v>
      </c>
      <c r="HT13">
        <v>141</v>
      </c>
      <c r="HU13">
        <v>139.9</v>
      </c>
      <c r="HV13">
        <v>140.4</v>
      </c>
      <c r="HW13">
        <v>141</v>
      </c>
      <c r="HX13">
        <v>140.6</v>
      </c>
      <c r="HY13">
        <v>141.69999999999999</v>
      </c>
      <c r="HZ13">
        <v>141.6</v>
      </c>
      <c r="IA13">
        <v>141.69999999999999</v>
      </c>
      <c r="IB13">
        <v>142.69999999999999</v>
      </c>
      <c r="IC13">
        <v>142.5</v>
      </c>
      <c r="ID13">
        <v>142.6</v>
      </c>
      <c r="IE13">
        <v>144.19999999999999</v>
      </c>
      <c r="IF13">
        <v>143.80000000000001</v>
      </c>
      <c r="IG13">
        <v>144.1</v>
      </c>
      <c r="IH13">
        <v>145.5</v>
      </c>
      <c r="II13">
        <v>145.19999999999999</v>
      </c>
      <c r="IJ13">
        <v>145.4</v>
      </c>
      <c r="IK13">
        <v>147.30000000000001</v>
      </c>
      <c r="IL13">
        <v>146.30000000000001</v>
      </c>
      <c r="IM13">
        <v>147</v>
      </c>
      <c r="IN13">
        <v>149.1</v>
      </c>
      <c r="IO13">
        <v>148</v>
      </c>
      <c r="IP13">
        <v>148.69999999999999</v>
      </c>
      <c r="IQ13">
        <v>151.6</v>
      </c>
      <c r="IR13">
        <v>149.5</v>
      </c>
      <c r="IS13">
        <v>150.9</v>
      </c>
      <c r="IT13">
        <v>152.80000000000001</v>
      </c>
      <c r="IU13">
        <v>150.4</v>
      </c>
      <c r="IV13">
        <v>152</v>
      </c>
      <c r="IW13">
        <v>154</v>
      </c>
      <c r="IX13">
        <v>151.5</v>
      </c>
      <c r="IY13">
        <v>153.19999999999999</v>
      </c>
      <c r="IZ13">
        <v>158.69999999999999</v>
      </c>
      <c r="JA13">
        <v>154</v>
      </c>
      <c r="JB13">
        <v>157.1</v>
      </c>
      <c r="JF13">
        <v>159.80000000000001</v>
      </c>
      <c r="JG13">
        <v>158.80000000000001</v>
      </c>
      <c r="JH13">
        <v>159.5</v>
      </c>
      <c r="JI13">
        <v>159.80000000000001</v>
      </c>
      <c r="JJ13">
        <v>158.80000000000001</v>
      </c>
      <c r="JK13">
        <v>159.5</v>
      </c>
      <c r="JL13">
        <v>160</v>
      </c>
      <c r="JM13">
        <v>160</v>
      </c>
      <c r="JN13">
        <v>160</v>
      </c>
      <c r="JO13">
        <v>160</v>
      </c>
      <c r="JP13">
        <v>160.9</v>
      </c>
      <c r="JQ13">
        <v>160.30000000000001</v>
      </c>
      <c r="JR13">
        <v>160.9</v>
      </c>
      <c r="JS13">
        <v>161.30000000000001</v>
      </c>
      <c r="JT13">
        <v>161</v>
      </c>
      <c r="JU13">
        <v>162</v>
      </c>
      <c r="JV13">
        <v>161.4</v>
      </c>
      <c r="JW13">
        <v>161.80000000000001</v>
      </c>
      <c r="JX13">
        <v>163.5</v>
      </c>
      <c r="JY13">
        <v>161.9</v>
      </c>
      <c r="JZ13">
        <v>163</v>
      </c>
      <c r="KA13">
        <v>164.5</v>
      </c>
      <c r="KB13">
        <v>163</v>
      </c>
      <c r="KC13">
        <v>164</v>
      </c>
      <c r="KD13">
        <v>165</v>
      </c>
      <c r="KE13">
        <v>162.5</v>
      </c>
      <c r="KF13">
        <v>164.2</v>
      </c>
      <c r="KG13">
        <v>164</v>
      </c>
      <c r="KH13">
        <v>162.6</v>
      </c>
      <c r="KI13">
        <v>163.5</v>
      </c>
      <c r="KJ13">
        <v>164.4</v>
      </c>
      <c r="KK13">
        <v>162.80000000000001</v>
      </c>
      <c r="KL13">
        <v>163.9</v>
      </c>
      <c r="KM13">
        <v>169.7</v>
      </c>
      <c r="KN13">
        <v>165.2</v>
      </c>
      <c r="KO13">
        <v>168.2</v>
      </c>
      <c r="KP13">
        <v>170</v>
      </c>
      <c r="KQ13">
        <v>165.5</v>
      </c>
      <c r="KR13">
        <v>168.5</v>
      </c>
      <c r="KS13">
        <v>169.7</v>
      </c>
      <c r="KT13">
        <v>165.5</v>
      </c>
      <c r="KU13">
        <v>168.3</v>
      </c>
      <c r="KV13">
        <v>169.8</v>
      </c>
      <c r="KW13">
        <v>166.2</v>
      </c>
      <c r="KX13">
        <v>168.8</v>
      </c>
      <c r="KY13">
        <v>170.1</v>
      </c>
      <c r="KZ13">
        <v>166.2</v>
      </c>
      <c r="LA13">
        <v>168.8</v>
      </c>
      <c r="LB13">
        <v>170.6</v>
      </c>
      <c r="LC13">
        <v>166.8</v>
      </c>
      <c r="LD13">
        <v>169.3</v>
      </c>
      <c r="LE13">
        <v>170.8</v>
      </c>
      <c r="LF13">
        <v>167.2</v>
      </c>
      <c r="LG13">
        <v>169.6</v>
      </c>
      <c r="LH13">
        <v>171.7</v>
      </c>
      <c r="LI13">
        <v>168.2</v>
      </c>
      <c r="LJ13">
        <v>170.5</v>
      </c>
      <c r="LK13">
        <v>173.3</v>
      </c>
      <c r="LL13">
        <v>169.8</v>
      </c>
      <c r="LM13">
        <v>172.1</v>
      </c>
      <c r="LN13">
        <v>175.4</v>
      </c>
      <c r="LO13">
        <v>172.2</v>
      </c>
      <c r="LP13">
        <v>174.3</v>
      </c>
      <c r="LQ13">
        <v>178.7</v>
      </c>
      <c r="LR13">
        <v>174.7</v>
      </c>
      <c r="LS13">
        <v>177.4</v>
      </c>
      <c r="LT13">
        <v>182.9</v>
      </c>
      <c r="LU13">
        <v>178</v>
      </c>
      <c r="LV13">
        <v>181.3</v>
      </c>
      <c r="LW13">
        <v>186.6</v>
      </c>
      <c r="LX13">
        <v>181.4</v>
      </c>
      <c r="LY13">
        <v>184.9</v>
      </c>
      <c r="LZ13">
        <v>188.9</v>
      </c>
      <c r="MA13">
        <v>183.5</v>
      </c>
      <c r="MB13">
        <v>187.1</v>
      </c>
      <c r="MC13">
        <v>191.8</v>
      </c>
      <c r="MD13">
        <v>186.3</v>
      </c>
      <c r="ME13">
        <v>190</v>
      </c>
      <c r="MF13">
        <v>195.6</v>
      </c>
      <c r="MG13">
        <v>189.7</v>
      </c>
      <c r="MH13">
        <v>193.6</v>
      </c>
      <c r="MI13">
        <v>199.1</v>
      </c>
      <c r="MJ13">
        <v>193.6</v>
      </c>
      <c r="MK13">
        <v>197.3</v>
      </c>
      <c r="ML13">
        <v>201.6</v>
      </c>
      <c r="MM13">
        <v>196.4</v>
      </c>
      <c r="MN13">
        <v>199.9</v>
      </c>
      <c r="MO13">
        <v>204.8</v>
      </c>
      <c r="MP13">
        <v>198.8</v>
      </c>
      <c r="MQ13">
        <v>202.8</v>
      </c>
      <c r="MR13">
        <v>207.5</v>
      </c>
      <c r="MS13">
        <v>200.5</v>
      </c>
      <c r="MT13">
        <v>205.2</v>
      </c>
      <c r="MU13">
        <v>210.5</v>
      </c>
      <c r="MV13">
        <v>204.3</v>
      </c>
      <c r="MW13">
        <v>208.4</v>
      </c>
      <c r="MX13">
        <v>212.1</v>
      </c>
      <c r="MY13">
        <v>204.8</v>
      </c>
      <c r="MZ13">
        <v>209.7</v>
      </c>
      <c r="NA13">
        <v>212.1</v>
      </c>
      <c r="NB13">
        <v>204.8</v>
      </c>
      <c r="NC13">
        <v>209.7</v>
      </c>
      <c r="ND13">
        <v>215.5</v>
      </c>
      <c r="NE13">
        <v>207.8</v>
      </c>
      <c r="NF13">
        <v>212.9</v>
      </c>
      <c r="NG13">
        <v>221</v>
      </c>
      <c r="NH13">
        <v>211.9</v>
      </c>
      <c r="NI13">
        <v>218</v>
      </c>
    </row>
    <row r="14" spans="1:373" x14ac:dyDescent="0.3">
      <c r="A14" s="1" t="s">
        <v>13</v>
      </c>
      <c r="B14">
        <v>104.8</v>
      </c>
      <c r="C14">
        <v>105.1</v>
      </c>
      <c r="D14">
        <v>104.9</v>
      </c>
      <c r="E14">
        <v>105.1</v>
      </c>
      <c r="F14">
        <v>106</v>
      </c>
      <c r="G14">
        <v>105.5</v>
      </c>
      <c r="H14">
        <v>105.6</v>
      </c>
      <c r="I14">
        <v>107</v>
      </c>
      <c r="J14">
        <v>106.2</v>
      </c>
      <c r="K14">
        <v>106.5</v>
      </c>
      <c r="L14">
        <v>108.2</v>
      </c>
      <c r="M14">
        <v>107.2</v>
      </c>
      <c r="N14">
        <v>107.4</v>
      </c>
      <c r="O14">
        <v>109.1</v>
      </c>
      <c r="P14">
        <v>108.1</v>
      </c>
      <c r="Q14">
        <v>108.2</v>
      </c>
      <c r="R14">
        <v>110</v>
      </c>
      <c r="S14">
        <v>109</v>
      </c>
      <c r="T14">
        <v>109.1</v>
      </c>
      <c r="U14">
        <v>110.4</v>
      </c>
      <c r="V14">
        <v>109.6</v>
      </c>
      <c r="W14">
        <v>109.7</v>
      </c>
      <c r="X14">
        <v>110.9</v>
      </c>
      <c r="Y14">
        <v>110.2</v>
      </c>
      <c r="Z14">
        <v>110.4</v>
      </c>
      <c r="AA14">
        <v>111.1</v>
      </c>
      <c r="AB14">
        <v>110.7</v>
      </c>
      <c r="AC14">
        <v>111.1</v>
      </c>
      <c r="AD14">
        <v>111.4</v>
      </c>
      <c r="AE14">
        <v>111.2</v>
      </c>
      <c r="AF14">
        <v>111.8</v>
      </c>
      <c r="AG14">
        <v>111.8</v>
      </c>
      <c r="AH14">
        <v>111.8</v>
      </c>
      <c r="AI14">
        <v>112.1</v>
      </c>
      <c r="AJ14">
        <v>112.1</v>
      </c>
      <c r="AK14">
        <v>112.1</v>
      </c>
      <c r="AL14">
        <v>112.4</v>
      </c>
      <c r="AM14">
        <v>112.1</v>
      </c>
      <c r="AN14">
        <v>112.3</v>
      </c>
      <c r="AO14">
        <v>112.9</v>
      </c>
      <c r="AP14">
        <v>112.1</v>
      </c>
      <c r="AQ14">
        <v>112.6</v>
      </c>
      <c r="AR14">
        <v>113</v>
      </c>
      <c r="AS14">
        <v>112.2</v>
      </c>
      <c r="AT14">
        <v>112.7</v>
      </c>
      <c r="AU14">
        <v>113.5</v>
      </c>
      <c r="AV14">
        <v>112.7</v>
      </c>
      <c r="AW14">
        <v>113.2</v>
      </c>
      <c r="AX14">
        <v>114.2</v>
      </c>
      <c r="AY14">
        <v>112.9</v>
      </c>
      <c r="AZ14">
        <v>113.7</v>
      </c>
      <c r="BA14">
        <v>114.9</v>
      </c>
      <c r="BB14">
        <v>113.2</v>
      </c>
      <c r="BC14">
        <v>114.2</v>
      </c>
      <c r="BD14">
        <v>115.6</v>
      </c>
      <c r="BE14">
        <v>113.8</v>
      </c>
      <c r="BF14">
        <v>114.8</v>
      </c>
      <c r="BG14">
        <v>115.8</v>
      </c>
      <c r="BH14">
        <v>114.4</v>
      </c>
      <c r="BI14">
        <v>115.2</v>
      </c>
      <c r="BJ14">
        <v>116.5</v>
      </c>
      <c r="BK14">
        <v>114.8</v>
      </c>
      <c r="BL14">
        <v>115.8</v>
      </c>
      <c r="BM14">
        <v>116.8</v>
      </c>
      <c r="BN14">
        <v>115.2</v>
      </c>
      <c r="BO14">
        <v>116.1</v>
      </c>
      <c r="BP14">
        <v>116.8</v>
      </c>
      <c r="BQ14">
        <v>115.8</v>
      </c>
      <c r="BR14">
        <v>116.4</v>
      </c>
      <c r="BS14">
        <v>117.3</v>
      </c>
      <c r="BT14">
        <v>116.1</v>
      </c>
      <c r="BU14">
        <v>116.8</v>
      </c>
      <c r="BV14">
        <v>117.9</v>
      </c>
      <c r="BW14">
        <v>116.5</v>
      </c>
      <c r="BX14">
        <v>117.3</v>
      </c>
      <c r="BY14">
        <v>118.8</v>
      </c>
      <c r="BZ14">
        <v>116.8</v>
      </c>
      <c r="CA14">
        <v>118</v>
      </c>
      <c r="CB14">
        <v>118.9</v>
      </c>
      <c r="CC14">
        <v>117</v>
      </c>
      <c r="CD14">
        <v>118.1</v>
      </c>
      <c r="CE14">
        <v>119.4</v>
      </c>
      <c r="CF14">
        <v>117.2</v>
      </c>
      <c r="CG14">
        <v>118.5</v>
      </c>
      <c r="CH14">
        <v>120.2</v>
      </c>
      <c r="CI14">
        <v>117.7</v>
      </c>
      <c r="CJ14">
        <v>119.2</v>
      </c>
      <c r="CK14">
        <v>121.1</v>
      </c>
      <c r="CL14">
        <v>118</v>
      </c>
      <c r="CM14">
        <v>119.8</v>
      </c>
      <c r="CN14">
        <v>121</v>
      </c>
      <c r="CO14">
        <v>118.3</v>
      </c>
      <c r="CP14">
        <v>119.9</v>
      </c>
      <c r="CQ14">
        <v>121.5</v>
      </c>
      <c r="CR14">
        <v>118.8</v>
      </c>
      <c r="CS14">
        <v>120.4</v>
      </c>
      <c r="CT14">
        <v>121.9</v>
      </c>
      <c r="CU14">
        <v>119.1</v>
      </c>
      <c r="CV14">
        <v>120.7</v>
      </c>
      <c r="CW14">
        <v>122.3</v>
      </c>
      <c r="CX14">
        <v>119.4</v>
      </c>
      <c r="CY14">
        <v>121.1</v>
      </c>
      <c r="CZ14">
        <v>123.1</v>
      </c>
      <c r="DA14">
        <v>119.8</v>
      </c>
      <c r="DB14">
        <v>121.7</v>
      </c>
      <c r="DC14">
        <v>123.3</v>
      </c>
      <c r="DD14">
        <v>120.2</v>
      </c>
      <c r="DE14">
        <v>122</v>
      </c>
      <c r="DF14">
        <v>124.3</v>
      </c>
      <c r="DG14">
        <v>120.5</v>
      </c>
      <c r="DH14">
        <v>122.7</v>
      </c>
      <c r="DI14">
        <v>124.8</v>
      </c>
      <c r="DJ14">
        <v>120.6</v>
      </c>
      <c r="DK14">
        <v>123</v>
      </c>
      <c r="DL14">
        <v>124.9</v>
      </c>
      <c r="DM14">
        <v>120.7</v>
      </c>
      <c r="DN14">
        <v>123.1</v>
      </c>
      <c r="DO14">
        <v>125.4</v>
      </c>
      <c r="DP14">
        <v>121.1</v>
      </c>
      <c r="DQ14">
        <v>123.6</v>
      </c>
      <c r="DR14">
        <v>126.1</v>
      </c>
      <c r="DS14">
        <v>121.5</v>
      </c>
      <c r="DT14">
        <v>124.2</v>
      </c>
      <c r="DU14">
        <v>126.4</v>
      </c>
      <c r="DV14">
        <v>121.6</v>
      </c>
      <c r="DW14">
        <v>124.4</v>
      </c>
      <c r="DX14">
        <v>127.3</v>
      </c>
      <c r="DY14">
        <v>121.7</v>
      </c>
      <c r="DZ14">
        <v>125</v>
      </c>
      <c r="EA14">
        <v>128.1</v>
      </c>
      <c r="EB14">
        <v>121.9</v>
      </c>
      <c r="EC14">
        <v>125.5</v>
      </c>
      <c r="ED14">
        <v>128.80000000000001</v>
      </c>
      <c r="EE14">
        <v>122.1</v>
      </c>
      <c r="EF14">
        <v>126</v>
      </c>
      <c r="EG14">
        <v>128.69999999999999</v>
      </c>
      <c r="EH14">
        <v>122.5</v>
      </c>
      <c r="EI14">
        <v>126.1</v>
      </c>
      <c r="EJ14">
        <v>128.69999999999999</v>
      </c>
      <c r="EK14">
        <v>122.7</v>
      </c>
      <c r="EL14">
        <v>126.2</v>
      </c>
      <c r="EM14">
        <v>129.1</v>
      </c>
      <c r="EN14">
        <v>123.1</v>
      </c>
      <c r="EO14">
        <v>126.6</v>
      </c>
      <c r="EP14">
        <v>129</v>
      </c>
      <c r="EQ14">
        <v>123.2</v>
      </c>
      <c r="ER14">
        <v>126.6</v>
      </c>
      <c r="ES14">
        <v>129.4</v>
      </c>
      <c r="ET14">
        <v>123.4</v>
      </c>
      <c r="EU14">
        <v>126.9</v>
      </c>
      <c r="EV14">
        <v>129.80000000000001</v>
      </c>
      <c r="EW14">
        <v>123.6</v>
      </c>
      <c r="EX14">
        <v>127.2</v>
      </c>
      <c r="EY14">
        <v>130</v>
      </c>
      <c r="EZ14">
        <v>123.8</v>
      </c>
      <c r="FA14">
        <v>127.4</v>
      </c>
      <c r="FB14">
        <v>130.30000000000001</v>
      </c>
      <c r="FC14">
        <v>123.8</v>
      </c>
      <c r="FD14">
        <v>127.6</v>
      </c>
      <c r="FE14">
        <v>130.4</v>
      </c>
      <c r="FF14">
        <v>124.2</v>
      </c>
      <c r="FG14">
        <v>127.8</v>
      </c>
      <c r="FH14">
        <v>131.4</v>
      </c>
      <c r="FI14">
        <v>124.4</v>
      </c>
      <c r="FJ14">
        <v>128.5</v>
      </c>
      <c r="FK14">
        <v>131.6</v>
      </c>
      <c r="FL14">
        <v>124.6</v>
      </c>
      <c r="FM14">
        <v>128.69999999999999</v>
      </c>
      <c r="FN14">
        <v>131.69999999999999</v>
      </c>
      <c r="FO14">
        <v>124.8</v>
      </c>
      <c r="FP14">
        <v>128.80000000000001</v>
      </c>
      <c r="FQ14">
        <v>131.30000000000001</v>
      </c>
      <c r="FR14">
        <v>125.1</v>
      </c>
      <c r="FS14">
        <v>128.69999999999999</v>
      </c>
      <c r="FT14">
        <v>131.9</v>
      </c>
      <c r="FU14">
        <v>125.4</v>
      </c>
      <c r="FV14">
        <v>129.19999999999999</v>
      </c>
      <c r="FW14">
        <v>131.1</v>
      </c>
      <c r="FX14">
        <v>125.7</v>
      </c>
      <c r="FY14">
        <v>128.80000000000001</v>
      </c>
      <c r="FZ14">
        <v>131.19999999999999</v>
      </c>
      <c r="GA14">
        <v>125.9</v>
      </c>
      <c r="GB14">
        <v>129</v>
      </c>
      <c r="GC14">
        <v>130.5</v>
      </c>
      <c r="GD14">
        <v>125.9</v>
      </c>
      <c r="GE14">
        <v>128.6</v>
      </c>
      <c r="GF14">
        <v>131.19999999999999</v>
      </c>
      <c r="GG14">
        <v>126.2</v>
      </c>
      <c r="GH14">
        <v>129.1</v>
      </c>
      <c r="GI14">
        <v>131.9</v>
      </c>
      <c r="GJ14">
        <v>126.5</v>
      </c>
      <c r="GK14">
        <v>129.6</v>
      </c>
      <c r="GL14">
        <v>132.19999999999999</v>
      </c>
      <c r="GM14">
        <v>126.6</v>
      </c>
      <c r="GN14">
        <v>129.9</v>
      </c>
      <c r="GO14">
        <v>132.80000000000001</v>
      </c>
      <c r="GP14">
        <v>126.7</v>
      </c>
      <c r="GQ14">
        <v>130.30000000000001</v>
      </c>
      <c r="GR14">
        <v>132.80000000000001</v>
      </c>
      <c r="GS14">
        <v>126.8</v>
      </c>
      <c r="GT14">
        <v>130.30000000000001</v>
      </c>
      <c r="GU14">
        <v>133.80000000000001</v>
      </c>
      <c r="GV14">
        <v>127.4</v>
      </c>
      <c r="GW14">
        <v>131.1</v>
      </c>
      <c r="GX14">
        <v>133.1</v>
      </c>
      <c r="GY14">
        <v>127.7</v>
      </c>
      <c r="GZ14">
        <v>130.80000000000001</v>
      </c>
      <c r="HA14">
        <v>134.6</v>
      </c>
      <c r="HB14">
        <v>127.6</v>
      </c>
      <c r="HC14">
        <v>133.6</v>
      </c>
      <c r="HD14">
        <v>137.5</v>
      </c>
      <c r="HE14">
        <v>128</v>
      </c>
      <c r="HF14">
        <v>133.5</v>
      </c>
      <c r="HG14">
        <v>137.80000000000001</v>
      </c>
      <c r="HH14">
        <v>128.1</v>
      </c>
      <c r="HI14">
        <v>133.80000000000001</v>
      </c>
      <c r="HJ14">
        <v>137</v>
      </c>
      <c r="HK14">
        <v>128.1</v>
      </c>
      <c r="HL14">
        <v>133.30000000000001</v>
      </c>
      <c r="HM14">
        <v>137.4</v>
      </c>
      <c r="HN14">
        <v>128.30000000000001</v>
      </c>
      <c r="HO14">
        <v>133.6</v>
      </c>
      <c r="HP14">
        <v>137.4</v>
      </c>
      <c r="HQ14">
        <v>128.5</v>
      </c>
      <c r="HR14">
        <v>133.69999999999999</v>
      </c>
      <c r="HS14">
        <v>137.69999999999999</v>
      </c>
      <c r="HT14">
        <v>128.9</v>
      </c>
      <c r="HU14">
        <v>134</v>
      </c>
      <c r="HV14">
        <v>138</v>
      </c>
      <c r="HW14">
        <v>129</v>
      </c>
      <c r="HX14">
        <v>134.19999999999999</v>
      </c>
      <c r="HY14">
        <v>138.5</v>
      </c>
      <c r="HZ14">
        <v>129.5</v>
      </c>
      <c r="IA14">
        <v>134.69999999999999</v>
      </c>
      <c r="IB14">
        <v>138.5</v>
      </c>
      <c r="IC14">
        <v>129.80000000000001</v>
      </c>
      <c r="ID14">
        <v>134.9</v>
      </c>
      <c r="IE14">
        <v>138.5</v>
      </c>
      <c r="IF14">
        <v>130</v>
      </c>
      <c r="IG14">
        <v>135</v>
      </c>
      <c r="IH14">
        <v>138.6</v>
      </c>
      <c r="II14">
        <v>130.19999999999999</v>
      </c>
      <c r="IJ14">
        <v>135.1</v>
      </c>
      <c r="IK14">
        <v>138.69999999999999</v>
      </c>
      <c r="IL14">
        <v>130.5</v>
      </c>
      <c r="IM14">
        <v>135.30000000000001</v>
      </c>
      <c r="IN14">
        <v>139.30000000000001</v>
      </c>
      <c r="IO14">
        <v>130.80000000000001</v>
      </c>
      <c r="IP14">
        <v>135.80000000000001</v>
      </c>
      <c r="IQ14">
        <v>139.69999999999999</v>
      </c>
      <c r="IR14">
        <v>131.1</v>
      </c>
      <c r="IS14">
        <v>136.1</v>
      </c>
      <c r="IT14">
        <v>140.1</v>
      </c>
      <c r="IU14">
        <v>131.5</v>
      </c>
      <c r="IV14">
        <v>136.5</v>
      </c>
      <c r="IW14">
        <v>140.1</v>
      </c>
      <c r="IX14">
        <v>131.9</v>
      </c>
      <c r="IY14">
        <v>136.69999999999999</v>
      </c>
      <c r="IZ14">
        <v>139.19999999999999</v>
      </c>
      <c r="JA14">
        <v>133.5</v>
      </c>
      <c r="JB14">
        <v>136.80000000000001</v>
      </c>
      <c r="JF14">
        <v>142.1</v>
      </c>
      <c r="JG14">
        <v>135.6</v>
      </c>
      <c r="JH14">
        <v>139.4</v>
      </c>
      <c r="JI14">
        <v>142.1</v>
      </c>
      <c r="JJ14">
        <v>135.6</v>
      </c>
      <c r="JK14">
        <v>139.4</v>
      </c>
      <c r="JL14">
        <v>143.5</v>
      </c>
      <c r="JM14">
        <v>136.5</v>
      </c>
      <c r="JN14">
        <v>140.6</v>
      </c>
      <c r="JO14">
        <v>145.4</v>
      </c>
      <c r="JP14">
        <v>137.69999999999999</v>
      </c>
      <c r="JQ14">
        <v>142.19999999999999</v>
      </c>
      <c r="JR14">
        <v>147.4</v>
      </c>
      <c r="JS14">
        <v>139.19999999999999</v>
      </c>
      <c r="JT14">
        <v>144</v>
      </c>
      <c r="JU14">
        <v>150</v>
      </c>
      <c r="JV14">
        <v>141.5</v>
      </c>
      <c r="JW14">
        <v>146.5</v>
      </c>
      <c r="JX14">
        <v>153.4</v>
      </c>
      <c r="JY14">
        <v>143.30000000000001</v>
      </c>
      <c r="JZ14">
        <v>149.19999999999999</v>
      </c>
      <c r="KA14">
        <v>156.1</v>
      </c>
      <c r="KB14">
        <v>145.9</v>
      </c>
      <c r="KC14">
        <v>151.80000000000001</v>
      </c>
      <c r="KD14">
        <v>160</v>
      </c>
      <c r="KE14">
        <v>149.19999999999999</v>
      </c>
      <c r="KF14">
        <v>155.5</v>
      </c>
      <c r="KG14">
        <v>160.6</v>
      </c>
      <c r="KH14">
        <v>150.69999999999999</v>
      </c>
      <c r="KI14">
        <v>156.5</v>
      </c>
      <c r="KJ14">
        <v>161.9</v>
      </c>
      <c r="KK14">
        <v>151.5</v>
      </c>
      <c r="KL14">
        <v>157.6</v>
      </c>
      <c r="KM14">
        <v>164.6</v>
      </c>
      <c r="KN14">
        <v>152</v>
      </c>
      <c r="KO14">
        <v>159.30000000000001</v>
      </c>
      <c r="KP14">
        <v>165.5</v>
      </c>
      <c r="KQ14">
        <v>152.30000000000001</v>
      </c>
      <c r="KR14">
        <v>160</v>
      </c>
      <c r="KS14">
        <v>166.2</v>
      </c>
      <c r="KT14">
        <v>153.4</v>
      </c>
      <c r="KU14">
        <v>160.9</v>
      </c>
      <c r="KV14">
        <v>167.6</v>
      </c>
      <c r="KW14">
        <v>154.80000000000001</v>
      </c>
      <c r="KX14">
        <v>162.69999999999999</v>
      </c>
      <c r="KY14">
        <v>168.3</v>
      </c>
      <c r="KZ14">
        <v>154.80000000000001</v>
      </c>
      <c r="LA14">
        <v>162.69999999999999</v>
      </c>
      <c r="LB14">
        <v>168.8</v>
      </c>
      <c r="LC14">
        <v>155.4</v>
      </c>
      <c r="LD14">
        <v>163.19999999999999</v>
      </c>
      <c r="LE14">
        <v>169.1</v>
      </c>
      <c r="LF14">
        <v>156.1</v>
      </c>
      <c r="LG14">
        <v>163.69999999999999</v>
      </c>
      <c r="LH14">
        <v>169.7</v>
      </c>
      <c r="LI14">
        <v>156.5</v>
      </c>
      <c r="LJ14">
        <v>164.2</v>
      </c>
      <c r="LK14">
        <v>169.8</v>
      </c>
      <c r="LL14">
        <v>156.6</v>
      </c>
      <c r="LM14">
        <v>164.3</v>
      </c>
      <c r="LN14">
        <v>170.5</v>
      </c>
      <c r="LO14">
        <v>156.69999999999999</v>
      </c>
      <c r="LP14">
        <v>164.7</v>
      </c>
      <c r="LQ14">
        <v>171.2</v>
      </c>
      <c r="LR14">
        <v>157.1</v>
      </c>
      <c r="LS14">
        <v>165.3</v>
      </c>
      <c r="LT14">
        <v>172.4</v>
      </c>
      <c r="LU14">
        <v>157.5</v>
      </c>
      <c r="LV14">
        <v>166.2</v>
      </c>
      <c r="LW14">
        <v>173.2</v>
      </c>
      <c r="LX14">
        <v>158.5</v>
      </c>
      <c r="LY14">
        <v>167.1</v>
      </c>
      <c r="LZ14">
        <v>174.2</v>
      </c>
      <c r="MA14">
        <v>159.1</v>
      </c>
      <c r="MB14">
        <v>167.9</v>
      </c>
      <c r="MC14">
        <v>174.5</v>
      </c>
      <c r="MD14">
        <v>159.80000000000001</v>
      </c>
      <c r="ME14">
        <v>168.4</v>
      </c>
      <c r="MF14">
        <v>174.8</v>
      </c>
      <c r="MG14">
        <v>160.5</v>
      </c>
      <c r="MH14">
        <v>168.8</v>
      </c>
      <c r="MI14">
        <v>175.4</v>
      </c>
      <c r="MJ14">
        <v>161.1</v>
      </c>
      <c r="MK14">
        <v>169.4</v>
      </c>
      <c r="ML14">
        <v>175.8</v>
      </c>
      <c r="MM14">
        <v>161.6</v>
      </c>
      <c r="MN14">
        <v>169.9</v>
      </c>
      <c r="MO14">
        <v>176.4</v>
      </c>
      <c r="MP14">
        <v>162.1</v>
      </c>
      <c r="MQ14">
        <v>170.4</v>
      </c>
      <c r="MR14">
        <v>176.8</v>
      </c>
      <c r="MS14">
        <v>162.80000000000001</v>
      </c>
      <c r="MT14">
        <v>171</v>
      </c>
      <c r="MU14">
        <v>176.9</v>
      </c>
      <c r="MV14">
        <v>163.69999999999999</v>
      </c>
      <c r="MW14">
        <v>171.4</v>
      </c>
      <c r="MX14">
        <v>177.6</v>
      </c>
      <c r="MY14">
        <v>164.9</v>
      </c>
      <c r="MZ14">
        <v>172.3</v>
      </c>
      <c r="NA14">
        <v>177.6</v>
      </c>
      <c r="NB14">
        <v>164.9</v>
      </c>
      <c r="NC14">
        <v>172.3</v>
      </c>
      <c r="ND14">
        <v>178.2</v>
      </c>
      <c r="NE14">
        <v>165.5</v>
      </c>
      <c r="NF14">
        <v>172.9</v>
      </c>
      <c r="NG14">
        <v>178.7</v>
      </c>
      <c r="NH14">
        <v>165.9</v>
      </c>
      <c r="NI14">
        <v>173.4</v>
      </c>
    </row>
    <row r="15" spans="1:373" x14ac:dyDescent="0.3">
      <c r="A15" s="1" t="s">
        <v>14</v>
      </c>
      <c r="B15">
        <v>106.7</v>
      </c>
      <c r="C15">
        <v>107.9</v>
      </c>
      <c r="D15">
        <v>107.3</v>
      </c>
      <c r="E15">
        <v>107.7</v>
      </c>
      <c r="F15">
        <v>109</v>
      </c>
      <c r="G15">
        <v>108.3</v>
      </c>
      <c r="H15">
        <v>108.2</v>
      </c>
      <c r="I15">
        <v>109.8</v>
      </c>
      <c r="J15">
        <v>108.9</v>
      </c>
      <c r="K15">
        <v>108.8</v>
      </c>
      <c r="L15">
        <v>110.6</v>
      </c>
      <c r="M15">
        <v>109.6</v>
      </c>
      <c r="N15">
        <v>109.9</v>
      </c>
      <c r="O15">
        <v>111.3</v>
      </c>
      <c r="P15">
        <v>110.5</v>
      </c>
      <c r="Q15">
        <v>111</v>
      </c>
      <c r="R15">
        <v>112.2</v>
      </c>
      <c r="S15">
        <v>111.6</v>
      </c>
      <c r="T15">
        <v>112.1</v>
      </c>
      <c r="U15">
        <v>113.1</v>
      </c>
      <c r="V15">
        <v>112.6</v>
      </c>
      <c r="W15">
        <v>112.6</v>
      </c>
      <c r="X15">
        <v>114.3</v>
      </c>
      <c r="Y15">
        <v>113.4</v>
      </c>
      <c r="Z15">
        <v>114</v>
      </c>
      <c r="AA15">
        <v>115.4</v>
      </c>
      <c r="AB15">
        <v>114.6</v>
      </c>
      <c r="AC15">
        <v>114.9</v>
      </c>
      <c r="AD15">
        <v>116</v>
      </c>
      <c r="AE15">
        <v>115.4</v>
      </c>
      <c r="AF15">
        <v>116</v>
      </c>
      <c r="AG15">
        <v>117.1</v>
      </c>
      <c r="AH15">
        <v>116.5</v>
      </c>
      <c r="AI15">
        <v>116.8</v>
      </c>
      <c r="AJ15">
        <v>118.1</v>
      </c>
      <c r="AK15">
        <v>117.4</v>
      </c>
      <c r="AL15">
        <v>117.3</v>
      </c>
      <c r="AM15">
        <v>119</v>
      </c>
      <c r="AN15">
        <v>118.1</v>
      </c>
      <c r="AO15">
        <v>117.8</v>
      </c>
      <c r="AP15">
        <v>119.9</v>
      </c>
      <c r="AQ15">
        <v>118.8</v>
      </c>
      <c r="AR15">
        <v>118.3</v>
      </c>
      <c r="AS15">
        <v>120.5</v>
      </c>
      <c r="AT15">
        <v>119.3</v>
      </c>
      <c r="AU15">
        <v>118.7</v>
      </c>
      <c r="AV15">
        <v>121</v>
      </c>
      <c r="AW15">
        <v>119.8</v>
      </c>
      <c r="AX15">
        <v>119.2</v>
      </c>
      <c r="AY15">
        <v>121.7</v>
      </c>
      <c r="AZ15">
        <v>120.4</v>
      </c>
      <c r="BA15">
        <v>120.1</v>
      </c>
      <c r="BB15">
        <v>122.4</v>
      </c>
      <c r="BC15">
        <v>121.2</v>
      </c>
      <c r="BD15">
        <v>120.9</v>
      </c>
      <c r="BE15">
        <v>123.4</v>
      </c>
      <c r="BF15">
        <v>122.1</v>
      </c>
      <c r="BG15">
        <v>121.7</v>
      </c>
      <c r="BH15">
        <v>124.7</v>
      </c>
      <c r="BI15">
        <v>123.1</v>
      </c>
      <c r="BJ15">
        <v>122.6</v>
      </c>
      <c r="BK15">
        <v>125.2</v>
      </c>
      <c r="BL15">
        <v>123.8</v>
      </c>
      <c r="BM15">
        <v>123.2</v>
      </c>
      <c r="BN15">
        <v>125.9</v>
      </c>
      <c r="BO15">
        <v>124.5</v>
      </c>
      <c r="BP15">
        <v>124.5</v>
      </c>
      <c r="BQ15">
        <v>126.9</v>
      </c>
      <c r="BR15">
        <v>125.6</v>
      </c>
      <c r="BS15">
        <v>124.8</v>
      </c>
      <c r="BT15">
        <v>127.6</v>
      </c>
      <c r="BU15">
        <v>126.1</v>
      </c>
      <c r="BV15">
        <v>125.6</v>
      </c>
      <c r="BW15">
        <v>128</v>
      </c>
      <c r="BX15">
        <v>126.7</v>
      </c>
      <c r="BY15">
        <v>126.8</v>
      </c>
      <c r="BZ15">
        <v>128.6</v>
      </c>
      <c r="CA15">
        <v>127.6</v>
      </c>
      <c r="CB15">
        <v>127.7</v>
      </c>
      <c r="CC15">
        <v>129.19999999999999</v>
      </c>
      <c r="CD15">
        <v>128.4</v>
      </c>
      <c r="CE15">
        <v>128.69999999999999</v>
      </c>
      <c r="CF15">
        <v>129.5</v>
      </c>
      <c r="CG15">
        <v>129.1</v>
      </c>
      <c r="CH15">
        <v>129.80000000000001</v>
      </c>
      <c r="CI15">
        <v>129.9</v>
      </c>
      <c r="CJ15">
        <v>129.80000000000001</v>
      </c>
      <c r="CK15">
        <v>131.19999999999999</v>
      </c>
      <c r="CL15">
        <v>130.5</v>
      </c>
      <c r="CM15">
        <v>130.9</v>
      </c>
      <c r="CN15">
        <v>131.69999999999999</v>
      </c>
      <c r="CO15">
        <v>131.1</v>
      </c>
      <c r="CP15">
        <v>131.4</v>
      </c>
      <c r="CQ15">
        <v>132.5</v>
      </c>
      <c r="CR15">
        <v>131.69999999999999</v>
      </c>
      <c r="CS15">
        <v>132.1</v>
      </c>
      <c r="CT15">
        <v>132.69999999999999</v>
      </c>
      <c r="CU15">
        <v>132.30000000000001</v>
      </c>
      <c r="CV15">
        <v>132.5</v>
      </c>
      <c r="CW15">
        <v>133.1</v>
      </c>
      <c r="CX15">
        <v>132.9</v>
      </c>
      <c r="CY15">
        <v>133</v>
      </c>
      <c r="CZ15">
        <v>134.19999999999999</v>
      </c>
      <c r="DA15">
        <v>133.69999999999999</v>
      </c>
      <c r="DB15">
        <v>134</v>
      </c>
      <c r="DC15">
        <v>135.1</v>
      </c>
      <c r="DD15">
        <v>134.19999999999999</v>
      </c>
      <c r="DE15">
        <v>134.69999999999999</v>
      </c>
      <c r="DF15">
        <v>135.9</v>
      </c>
      <c r="DG15">
        <v>134.69999999999999</v>
      </c>
      <c r="DH15">
        <v>135.30000000000001</v>
      </c>
      <c r="DI15">
        <v>136.4</v>
      </c>
      <c r="DJ15">
        <v>135.19999999999999</v>
      </c>
      <c r="DK15">
        <v>135.80000000000001</v>
      </c>
      <c r="DL15">
        <v>137</v>
      </c>
      <c r="DM15">
        <v>135.4</v>
      </c>
      <c r="DN15">
        <v>136.30000000000001</v>
      </c>
      <c r="DO15">
        <v>137.4</v>
      </c>
      <c r="DP15">
        <v>135.9</v>
      </c>
      <c r="DQ15">
        <v>136.69999999999999</v>
      </c>
      <c r="DR15">
        <v>138.30000000000001</v>
      </c>
      <c r="DS15">
        <v>136.30000000000001</v>
      </c>
      <c r="DT15">
        <v>137.4</v>
      </c>
      <c r="DU15">
        <v>139.19999999999999</v>
      </c>
      <c r="DV15">
        <v>136.9</v>
      </c>
      <c r="DW15">
        <v>138.1</v>
      </c>
      <c r="DX15">
        <v>139.9</v>
      </c>
      <c r="DY15">
        <v>137.5</v>
      </c>
      <c r="DZ15">
        <v>138.80000000000001</v>
      </c>
      <c r="EA15">
        <v>140.69999999999999</v>
      </c>
      <c r="EB15">
        <v>138.1</v>
      </c>
      <c r="EC15">
        <v>139.5</v>
      </c>
      <c r="ED15">
        <v>141.5</v>
      </c>
      <c r="EE15">
        <v>138.80000000000001</v>
      </c>
      <c r="EF15">
        <v>140.19999999999999</v>
      </c>
      <c r="EG15">
        <v>142.4</v>
      </c>
      <c r="EH15">
        <v>139.6</v>
      </c>
      <c r="EI15">
        <v>141.1</v>
      </c>
      <c r="EJ15">
        <v>143.1</v>
      </c>
      <c r="EK15">
        <v>140.30000000000001</v>
      </c>
      <c r="EL15">
        <v>141.80000000000001</v>
      </c>
      <c r="EM15">
        <v>143.6</v>
      </c>
      <c r="EN15">
        <v>140.9</v>
      </c>
      <c r="EO15">
        <v>142.30000000000001</v>
      </c>
      <c r="EP15">
        <v>143.9</v>
      </c>
      <c r="EQ15">
        <v>141.6</v>
      </c>
      <c r="ER15">
        <v>142.80000000000001</v>
      </c>
      <c r="ES15">
        <v>144.4</v>
      </c>
      <c r="ET15">
        <v>141.9</v>
      </c>
      <c r="EU15">
        <v>143.19999999999999</v>
      </c>
      <c r="EV15">
        <v>145.4</v>
      </c>
      <c r="EW15">
        <v>142.4</v>
      </c>
      <c r="EX15">
        <v>144</v>
      </c>
      <c r="EY15">
        <v>145.5</v>
      </c>
      <c r="EZ15">
        <v>142.6</v>
      </c>
      <c r="FA15">
        <v>144.19999999999999</v>
      </c>
      <c r="FB15">
        <v>145.80000000000001</v>
      </c>
      <c r="FC15">
        <v>142.9</v>
      </c>
      <c r="FD15">
        <v>144.5</v>
      </c>
      <c r="FE15">
        <v>146.5</v>
      </c>
      <c r="FF15">
        <v>143.1</v>
      </c>
      <c r="FG15">
        <v>144.9</v>
      </c>
      <c r="FH15">
        <v>147.69999999999999</v>
      </c>
      <c r="FI15">
        <v>143.69999999999999</v>
      </c>
      <c r="FJ15">
        <v>145.80000000000001</v>
      </c>
      <c r="FK15">
        <v>148.69999999999999</v>
      </c>
      <c r="FL15">
        <v>144.5</v>
      </c>
      <c r="FM15">
        <v>146.80000000000001</v>
      </c>
      <c r="FN15">
        <v>149.30000000000001</v>
      </c>
      <c r="FO15">
        <v>145</v>
      </c>
      <c r="FP15">
        <v>147.30000000000001</v>
      </c>
      <c r="FQ15">
        <v>150.30000000000001</v>
      </c>
      <c r="FR15">
        <v>145.5</v>
      </c>
      <c r="FS15">
        <v>148.1</v>
      </c>
      <c r="FT15">
        <v>151.4</v>
      </c>
      <c r="FU15">
        <v>146</v>
      </c>
      <c r="FV15">
        <v>148.9</v>
      </c>
      <c r="FW15">
        <v>151.4</v>
      </c>
      <c r="FX15">
        <v>146.30000000000001</v>
      </c>
      <c r="FY15">
        <v>149</v>
      </c>
      <c r="FZ15">
        <v>151.80000000000001</v>
      </c>
      <c r="GA15">
        <v>146.80000000000001</v>
      </c>
      <c r="GB15">
        <v>149.5</v>
      </c>
      <c r="GC15">
        <v>151.69999999999999</v>
      </c>
      <c r="GD15">
        <v>147.1</v>
      </c>
      <c r="GE15">
        <v>149.6</v>
      </c>
      <c r="GF15">
        <v>152.80000000000001</v>
      </c>
      <c r="GG15">
        <v>147.6</v>
      </c>
      <c r="GH15">
        <v>150.4</v>
      </c>
      <c r="GI15">
        <v>153.80000000000001</v>
      </c>
      <c r="GJ15">
        <v>148.30000000000001</v>
      </c>
      <c r="GK15">
        <v>151.19999999999999</v>
      </c>
      <c r="GL15">
        <v>154.30000000000001</v>
      </c>
      <c r="GM15">
        <v>148.69999999999999</v>
      </c>
      <c r="GN15">
        <v>151.69999999999999</v>
      </c>
      <c r="GO15">
        <v>154.30000000000001</v>
      </c>
      <c r="GP15">
        <v>149</v>
      </c>
      <c r="GQ15">
        <v>151.80000000000001</v>
      </c>
      <c r="GR15">
        <v>154.80000000000001</v>
      </c>
      <c r="GS15">
        <v>149.4</v>
      </c>
      <c r="GT15">
        <v>152.30000000000001</v>
      </c>
      <c r="GU15">
        <v>155.19999999999999</v>
      </c>
      <c r="GV15">
        <v>150.4</v>
      </c>
      <c r="GW15">
        <v>153</v>
      </c>
      <c r="GX15">
        <v>155.9</v>
      </c>
      <c r="GY15">
        <v>151.30000000000001</v>
      </c>
      <c r="GZ15">
        <v>153.80000000000001</v>
      </c>
      <c r="HA15">
        <v>155.19999999999999</v>
      </c>
      <c r="HB15">
        <v>152</v>
      </c>
      <c r="HC15">
        <v>154.5</v>
      </c>
      <c r="HD15">
        <v>156.1</v>
      </c>
      <c r="HE15">
        <v>152.6</v>
      </c>
      <c r="HF15">
        <v>154.5</v>
      </c>
      <c r="HG15">
        <v>156</v>
      </c>
      <c r="HH15">
        <v>152.9</v>
      </c>
      <c r="HI15">
        <v>154.6</v>
      </c>
      <c r="HJ15">
        <v>155.80000000000001</v>
      </c>
      <c r="HK15">
        <v>153.19999999999999</v>
      </c>
      <c r="HL15">
        <v>154.6</v>
      </c>
      <c r="HM15">
        <v>156.19999999999999</v>
      </c>
      <c r="HN15">
        <v>153.5</v>
      </c>
      <c r="HO15">
        <v>154.9</v>
      </c>
      <c r="HP15">
        <v>156.4</v>
      </c>
      <c r="HQ15">
        <v>153.9</v>
      </c>
      <c r="HR15">
        <v>155.19999999999999</v>
      </c>
      <c r="HS15">
        <v>156.4</v>
      </c>
      <c r="HT15">
        <v>154.5</v>
      </c>
      <c r="HU15">
        <v>155.5</v>
      </c>
      <c r="HV15">
        <v>156.6</v>
      </c>
      <c r="HW15">
        <v>155.1</v>
      </c>
      <c r="HX15">
        <v>155.9</v>
      </c>
      <c r="HY15">
        <v>156.69999999999999</v>
      </c>
      <c r="HZ15">
        <v>155.6</v>
      </c>
      <c r="IA15">
        <v>156.19999999999999</v>
      </c>
      <c r="IB15">
        <v>156.9</v>
      </c>
      <c r="IC15">
        <v>156.19999999999999</v>
      </c>
      <c r="ID15">
        <v>156.6</v>
      </c>
      <c r="IE15">
        <v>157.19999999999999</v>
      </c>
      <c r="IF15">
        <v>156.4</v>
      </c>
      <c r="IG15">
        <v>156.80000000000001</v>
      </c>
      <c r="IH15">
        <v>157.4</v>
      </c>
      <c r="II15">
        <v>156.80000000000001</v>
      </c>
      <c r="IJ15">
        <v>157.1</v>
      </c>
      <c r="IK15">
        <v>157.69999999999999</v>
      </c>
      <c r="IL15">
        <v>157.19999999999999</v>
      </c>
      <c r="IM15">
        <v>157.5</v>
      </c>
      <c r="IN15">
        <v>158.30000000000001</v>
      </c>
      <c r="IO15">
        <v>157.69999999999999</v>
      </c>
      <c r="IP15">
        <v>158</v>
      </c>
      <c r="IQ15">
        <v>158.69999999999999</v>
      </c>
      <c r="IR15">
        <v>158.5</v>
      </c>
      <c r="IS15">
        <v>158.6</v>
      </c>
      <c r="IT15">
        <v>159.19999999999999</v>
      </c>
      <c r="IU15">
        <v>159</v>
      </c>
      <c r="IV15">
        <v>159.1</v>
      </c>
      <c r="IW15">
        <v>160</v>
      </c>
      <c r="IX15">
        <v>159.1</v>
      </c>
      <c r="IY15">
        <v>159.6</v>
      </c>
      <c r="JF15">
        <v>161.80000000000001</v>
      </c>
      <c r="JG15">
        <v>161.69999999999999</v>
      </c>
      <c r="JH15">
        <v>161.80000000000001</v>
      </c>
      <c r="JI15">
        <v>161.80000000000001</v>
      </c>
      <c r="JJ15">
        <v>161.69999999999999</v>
      </c>
      <c r="JK15">
        <v>161.80000000000001</v>
      </c>
      <c r="JL15">
        <v>161.5</v>
      </c>
      <c r="JM15">
        <v>163.30000000000001</v>
      </c>
      <c r="JN15">
        <v>162.30000000000001</v>
      </c>
      <c r="JO15">
        <v>161.6</v>
      </c>
      <c r="JP15">
        <v>164.4</v>
      </c>
      <c r="JQ15">
        <v>162.9</v>
      </c>
      <c r="JR15">
        <v>161.9</v>
      </c>
      <c r="JS15">
        <v>164.8</v>
      </c>
      <c r="JT15">
        <v>163.19999999999999</v>
      </c>
      <c r="JU15">
        <v>162.69999999999999</v>
      </c>
      <c r="JV15">
        <v>165.1</v>
      </c>
      <c r="JW15">
        <v>163.80000000000001</v>
      </c>
      <c r="JX15">
        <v>163.6</v>
      </c>
      <c r="JY15">
        <v>166.1</v>
      </c>
      <c r="JZ15">
        <v>164.8</v>
      </c>
      <c r="KA15">
        <v>164.3</v>
      </c>
      <c r="KB15">
        <v>167.2</v>
      </c>
      <c r="KC15">
        <v>165.6</v>
      </c>
      <c r="KD15">
        <v>165.8</v>
      </c>
      <c r="KE15">
        <v>169.4</v>
      </c>
      <c r="KF15">
        <v>167.5</v>
      </c>
      <c r="KG15">
        <v>166.4</v>
      </c>
      <c r="KH15">
        <v>170.3</v>
      </c>
      <c r="KI15">
        <v>168.2</v>
      </c>
      <c r="KJ15">
        <v>166.8</v>
      </c>
      <c r="KK15">
        <v>171.4</v>
      </c>
      <c r="KL15">
        <v>168.9</v>
      </c>
      <c r="KM15">
        <v>169.8</v>
      </c>
      <c r="KN15">
        <v>171.1</v>
      </c>
      <c r="KO15">
        <v>170.4</v>
      </c>
      <c r="KP15">
        <v>171.7</v>
      </c>
      <c r="KQ15">
        <v>173.3</v>
      </c>
      <c r="KR15">
        <v>172.4</v>
      </c>
      <c r="KS15">
        <v>171</v>
      </c>
      <c r="KT15">
        <v>173.5</v>
      </c>
      <c r="KU15">
        <v>172.2</v>
      </c>
      <c r="KV15">
        <v>171.9</v>
      </c>
      <c r="KW15">
        <v>175.1</v>
      </c>
      <c r="KX15">
        <v>173.9</v>
      </c>
      <c r="KY15">
        <v>172.8</v>
      </c>
      <c r="KZ15">
        <v>175.1</v>
      </c>
      <c r="LA15">
        <v>173.9</v>
      </c>
      <c r="LB15">
        <v>173.6</v>
      </c>
      <c r="LC15">
        <v>175.9</v>
      </c>
      <c r="LD15">
        <v>174.7</v>
      </c>
      <c r="LE15">
        <v>174.3</v>
      </c>
      <c r="LF15">
        <v>176.8</v>
      </c>
      <c r="LG15">
        <v>175.5</v>
      </c>
      <c r="LH15">
        <v>175.1</v>
      </c>
      <c r="LI15">
        <v>178.2</v>
      </c>
      <c r="LJ15">
        <v>176.5</v>
      </c>
      <c r="LK15">
        <v>175.8</v>
      </c>
      <c r="LL15">
        <v>179</v>
      </c>
      <c r="LM15">
        <v>177.3</v>
      </c>
      <c r="LN15">
        <v>176.3</v>
      </c>
      <c r="LO15">
        <v>180</v>
      </c>
      <c r="LP15">
        <v>178</v>
      </c>
      <c r="LQ15">
        <v>177.4</v>
      </c>
      <c r="LR15">
        <v>181.5</v>
      </c>
      <c r="LS15">
        <v>179.3</v>
      </c>
      <c r="LT15">
        <v>178.9</v>
      </c>
      <c r="LU15">
        <v>183.3</v>
      </c>
      <c r="LV15">
        <v>180.9</v>
      </c>
      <c r="LW15">
        <v>180.4</v>
      </c>
      <c r="LX15">
        <v>184.9</v>
      </c>
      <c r="LY15">
        <v>182.5</v>
      </c>
      <c r="LZ15">
        <v>181.9</v>
      </c>
      <c r="MA15">
        <v>186.3</v>
      </c>
      <c r="MB15">
        <v>183.9</v>
      </c>
      <c r="MC15">
        <v>183.1</v>
      </c>
      <c r="MD15">
        <v>187.7</v>
      </c>
      <c r="ME15">
        <v>185.2</v>
      </c>
      <c r="MF15">
        <v>184</v>
      </c>
      <c r="MG15">
        <v>188.9</v>
      </c>
      <c r="MH15">
        <v>186.3</v>
      </c>
      <c r="MI15">
        <v>184.8</v>
      </c>
      <c r="MJ15">
        <v>190.4</v>
      </c>
      <c r="MK15">
        <v>187.4</v>
      </c>
      <c r="ML15">
        <v>185.6</v>
      </c>
      <c r="MM15">
        <v>191.5</v>
      </c>
      <c r="MN15">
        <v>188.3</v>
      </c>
      <c r="MO15">
        <v>186.9</v>
      </c>
      <c r="MP15">
        <v>192.4</v>
      </c>
      <c r="MQ15">
        <v>189.5</v>
      </c>
      <c r="MR15">
        <v>187.7</v>
      </c>
      <c r="MS15">
        <v>193.3</v>
      </c>
      <c r="MT15">
        <v>190.3</v>
      </c>
      <c r="MU15">
        <v>188.5</v>
      </c>
      <c r="MV15">
        <v>194.3</v>
      </c>
      <c r="MW15">
        <v>191.2</v>
      </c>
      <c r="MX15">
        <v>189.9</v>
      </c>
      <c r="MY15">
        <v>196.6</v>
      </c>
      <c r="MZ15">
        <v>193</v>
      </c>
      <c r="NA15">
        <v>189.9</v>
      </c>
      <c r="NB15">
        <v>196.6</v>
      </c>
      <c r="NC15">
        <v>193</v>
      </c>
      <c r="ND15">
        <v>190.5</v>
      </c>
      <c r="NE15">
        <v>197</v>
      </c>
      <c r="NF15">
        <v>193.5</v>
      </c>
      <c r="NG15">
        <v>191.1</v>
      </c>
      <c r="NH15">
        <v>197.7</v>
      </c>
      <c r="NI15">
        <v>194.2</v>
      </c>
    </row>
    <row r="16" spans="1:373" x14ac:dyDescent="0.3">
      <c r="A16" s="1" t="s">
        <v>15</v>
      </c>
      <c r="B16">
        <v>105.5</v>
      </c>
      <c r="C16">
        <v>105.9</v>
      </c>
      <c r="D16">
        <v>105.6</v>
      </c>
      <c r="E16">
        <v>106.3</v>
      </c>
      <c r="F16">
        <v>107.2</v>
      </c>
      <c r="G16">
        <v>106.6</v>
      </c>
      <c r="H16">
        <v>106.6</v>
      </c>
      <c r="I16">
        <v>107.3</v>
      </c>
      <c r="J16">
        <v>106.9</v>
      </c>
      <c r="K16">
        <v>107.1</v>
      </c>
      <c r="L16">
        <v>108.8</v>
      </c>
      <c r="M16">
        <v>107.7</v>
      </c>
      <c r="N16">
        <v>108.1</v>
      </c>
      <c r="O16">
        <v>111.1</v>
      </c>
      <c r="P16">
        <v>109.2</v>
      </c>
      <c r="Q16">
        <v>110.6</v>
      </c>
      <c r="R16">
        <v>115</v>
      </c>
      <c r="S16">
        <v>112.2</v>
      </c>
      <c r="T16">
        <v>113.1</v>
      </c>
      <c r="U16">
        <v>117.5</v>
      </c>
      <c r="V16">
        <v>114.7</v>
      </c>
      <c r="W16">
        <v>114.9</v>
      </c>
      <c r="X16">
        <v>119.6</v>
      </c>
      <c r="Y16">
        <v>116.6</v>
      </c>
      <c r="Z16">
        <v>117.8</v>
      </c>
      <c r="AA16">
        <v>119.2</v>
      </c>
      <c r="AB16">
        <v>118.3</v>
      </c>
      <c r="AC16">
        <v>119.8</v>
      </c>
      <c r="AD16">
        <v>120.8</v>
      </c>
      <c r="AE16">
        <v>120.2</v>
      </c>
      <c r="AF16">
        <v>122.5</v>
      </c>
      <c r="AG16">
        <v>122.9</v>
      </c>
      <c r="AH16">
        <v>122.6</v>
      </c>
      <c r="AI16">
        <v>118.7</v>
      </c>
      <c r="AJ16">
        <v>117.8</v>
      </c>
      <c r="AK16">
        <v>118.4</v>
      </c>
      <c r="AL16">
        <v>116</v>
      </c>
      <c r="AM16">
        <v>115.5</v>
      </c>
      <c r="AN16">
        <v>115.8</v>
      </c>
      <c r="AO16">
        <v>115.3</v>
      </c>
      <c r="AP16">
        <v>115.2</v>
      </c>
      <c r="AQ16">
        <v>115.3</v>
      </c>
      <c r="AR16">
        <v>116.2</v>
      </c>
      <c r="AS16">
        <v>116</v>
      </c>
      <c r="AT16">
        <v>116.1</v>
      </c>
      <c r="AU16">
        <v>117.2</v>
      </c>
      <c r="AV16">
        <v>118.2</v>
      </c>
      <c r="AW16">
        <v>117.6</v>
      </c>
      <c r="AX16">
        <v>118.2</v>
      </c>
      <c r="AY16">
        <v>120</v>
      </c>
      <c r="AZ16">
        <v>118.9</v>
      </c>
      <c r="BA16">
        <v>119.5</v>
      </c>
      <c r="BB16">
        <v>122</v>
      </c>
      <c r="BC16">
        <v>120.4</v>
      </c>
      <c r="BD16">
        <v>123.3</v>
      </c>
      <c r="BE16">
        <v>127.1</v>
      </c>
      <c r="BF16">
        <v>124.7</v>
      </c>
      <c r="BG16">
        <v>125.3</v>
      </c>
      <c r="BH16">
        <v>128.9</v>
      </c>
      <c r="BI16">
        <v>126.6</v>
      </c>
      <c r="BJ16">
        <v>125.3</v>
      </c>
      <c r="BK16">
        <v>126.7</v>
      </c>
      <c r="BL16">
        <v>125.8</v>
      </c>
      <c r="BM16">
        <v>125.1</v>
      </c>
      <c r="BN16">
        <v>125.8</v>
      </c>
      <c r="BO16">
        <v>125.4</v>
      </c>
      <c r="BP16">
        <v>124.9</v>
      </c>
      <c r="BQ16">
        <v>125.4</v>
      </c>
      <c r="BR16">
        <v>125.1</v>
      </c>
      <c r="BS16">
        <v>123.3</v>
      </c>
      <c r="BT16">
        <v>124</v>
      </c>
      <c r="BU16">
        <v>123.6</v>
      </c>
      <c r="BV16">
        <v>122.8</v>
      </c>
      <c r="BW16">
        <v>123.5</v>
      </c>
      <c r="BX16">
        <v>123.1</v>
      </c>
      <c r="BY16">
        <v>122.8</v>
      </c>
      <c r="BZ16">
        <v>123.7</v>
      </c>
      <c r="CA16">
        <v>123.1</v>
      </c>
      <c r="CB16">
        <v>123.1</v>
      </c>
      <c r="CC16">
        <v>123.9</v>
      </c>
      <c r="CD16">
        <v>123.4</v>
      </c>
      <c r="CE16">
        <v>123.6</v>
      </c>
      <c r="CF16">
        <v>124.6</v>
      </c>
      <c r="CG16">
        <v>124</v>
      </c>
      <c r="CH16">
        <v>124.4</v>
      </c>
      <c r="CI16">
        <v>126.1</v>
      </c>
      <c r="CJ16">
        <v>125</v>
      </c>
      <c r="CK16">
        <v>126.6</v>
      </c>
      <c r="CL16">
        <v>128.5</v>
      </c>
      <c r="CM16">
        <v>127.3</v>
      </c>
      <c r="CN16">
        <v>127.5</v>
      </c>
      <c r="CO16">
        <v>129.5</v>
      </c>
      <c r="CP16">
        <v>128.19999999999999</v>
      </c>
      <c r="CQ16">
        <v>129.80000000000001</v>
      </c>
      <c r="CR16">
        <v>131.1</v>
      </c>
      <c r="CS16">
        <v>130.30000000000001</v>
      </c>
      <c r="CT16">
        <v>131</v>
      </c>
      <c r="CU16">
        <v>131.5</v>
      </c>
      <c r="CV16">
        <v>131.19999999999999</v>
      </c>
      <c r="CW16">
        <v>131.80000000000001</v>
      </c>
      <c r="CX16">
        <v>132.6</v>
      </c>
      <c r="CY16">
        <v>132.1</v>
      </c>
      <c r="CZ16">
        <v>132.4</v>
      </c>
      <c r="DA16">
        <v>133.30000000000001</v>
      </c>
      <c r="DB16">
        <v>132.69999999999999</v>
      </c>
      <c r="DC16">
        <v>131.4</v>
      </c>
      <c r="DD16">
        <v>131.5</v>
      </c>
      <c r="DE16">
        <v>131.4</v>
      </c>
      <c r="DF16">
        <v>131.4</v>
      </c>
      <c r="DG16">
        <v>131.19999999999999</v>
      </c>
      <c r="DH16">
        <v>131.30000000000001</v>
      </c>
      <c r="DI16">
        <v>130.30000000000001</v>
      </c>
      <c r="DJ16">
        <v>129.1</v>
      </c>
      <c r="DK16">
        <v>129.9</v>
      </c>
      <c r="DL16">
        <v>130.4</v>
      </c>
      <c r="DM16">
        <v>128.9</v>
      </c>
      <c r="DN16">
        <v>129.80000000000001</v>
      </c>
      <c r="DO16">
        <v>131.80000000000001</v>
      </c>
      <c r="DP16">
        <v>131.80000000000001</v>
      </c>
      <c r="DQ16">
        <v>131.80000000000001</v>
      </c>
      <c r="DR16">
        <v>133.6</v>
      </c>
      <c r="DS16">
        <v>134.6</v>
      </c>
      <c r="DT16">
        <v>134</v>
      </c>
      <c r="DU16">
        <v>136</v>
      </c>
      <c r="DV16">
        <v>138.19999999999999</v>
      </c>
      <c r="DW16">
        <v>136.80000000000001</v>
      </c>
      <c r="DX16">
        <v>137.6</v>
      </c>
      <c r="DY16">
        <v>139.80000000000001</v>
      </c>
      <c r="DZ16">
        <v>138.4</v>
      </c>
      <c r="EA16">
        <v>138</v>
      </c>
      <c r="EB16">
        <v>137.6</v>
      </c>
      <c r="EC16">
        <v>137.9</v>
      </c>
      <c r="ED16">
        <v>137.19999999999999</v>
      </c>
      <c r="EE16">
        <v>135.69999999999999</v>
      </c>
      <c r="EF16">
        <v>136.6</v>
      </c>
      <c r="EG16">
        <v>137.4</v>
      </c>
      <c r="EH16">
        <v>136.30000000000001</v>
      </c>
      <c r="EI16">
        <v>137</v>
      </c>
      <c r="EJ16">
        <v>136.6</v>
      </c>
      <c r="EK16">
        <v>135.19999999999999</v>
      </c>
      <c r="EL16">
        <v>136.1</v>
      </c>
      <c r="EM16">
        <v>134.69999999999999</v>
      </c>
      <c r="EN16">
        <v>132.80000000000001</v>
      </c>
      <c r="EO16">
        <v>134</v>
      </c>
      <c r="EP16">
        <v>133.69999999999999</v>
      </c>
      <c r="EQ16">
        <v>132</v>
      </c>
      <c r="ER16">
        <v>133.1</v>
      </c>
      <c r="ES16">
        <v>133.6</v>
      </c>
      <c r="ET16">
        <v>132.1</v>
      </c>
      <c r="EU16">
        <v>133</v>
      </c>
      <c r="EV16">
        <v>133.4</v>
      </c>
      <c r="EW16">
        <v>132.6</v>
      </c>
      <c r="EX16">
        <v>133.1</v>
      </c>
      <c r="EY16">
        <v>133.5</v>
      </c>
      <c r="EZ16">
        <v>133.4</v>
      </c>
      <c r="FA16">
        <v>133.5</v>
      </c>
      <c r="FB16">
        <v>133.80000000000001</v>
      </c>
      <c r="FC16">
        <v>133.6</v>
      </c>
      <c r="FD16">
        <v>133.69999999999999</v>
      </c>
      <c r="FE16">
        <v>134.9</v>
      </c>
      <c r="FF16">
        <v>135.69999999999999</v>
      </c>
      <c r="FG16">
        <v>135.19999999999999</v>
      </c>
      <c r="FH16">
        <v>138.5</v>
      </c>
      <c r="FI16">
        <v>139.80000000000001</v>
      </c>
      <c r="FJ16">
        <v>139</v>
      </c>
      <c r="FK16">
        <v>140.6</v>
      </c>
      <c r="FL16">
        <v>140.5</v>
      </c>
      <c r="FM16">
        <v>140.6</v>
      </c>
      <c r="FN16">
        <v>139.6</v>
      </c>
      <c r="FO16">
        <v>138</v>
      </c>
      <c r="FP16">
        <v>139</v>
      </c>
      <c r="FQ16">
        <v>140.4</v>
      </c>
      <c r="FR16">
        <v>139.69999999999999</v>
      </c>
      <c r="FS16">
        <v>140.1</v>
      </c>
      <c r="FT16">
        <v>142.4</v>
      </c>
      <c r="FU16">
        <v>141.5</v>
      </c>
      <c r="FV16">
        <v>142.1</v>
      </c>
      <c r="FW16">
        <v>141.5</v>
      </c>
      <c r="FX16">
        <v>138.80000000000001</v>
      </c>
      <c r="FY16">
        <v>140.5</v>
      </c>
      <c r="FZ16">
        <v>140.4</v>
      </c>
      <c r="GA16">
        <v>137.19999999999999</v>
      </c>
      <c r="GB16">
        <v>139.19999999999999</v>
      </c>
      <c r="GC16">
        <v>138.69999999999999</v>
      </c>
      <c r="GD16">
        <v>135.6</v>
      </c>
      <c r="GE16">
        <v>137.6</v>
      </c>
      <c r="GF16">
        <v>138.6</v>
      </c>
      <c r="GG16">
        <v>134.80000000000001</v>
      </c>
      <c r="GH16">
        <v>137.19999999999999</v>
      </c>
      <c r="GI16">
        <v>138.6</v>
      </c>
      <c r="GJ16">
        <v>135.69999999999999</v>
      </c>
      <c r="GK16">
        <v>137.5</v>
      </c>
      <c r="GL16">
        <v>139.1</v>
      </c>
      <c r="GM16">
        <v>136.4</v>
      </c>
      <c r="GN16">
        <v>138.1</v>
      </c>
      <c r="GO16">
        <v>140</v>
      </c>
      <c r="GP16">
        <v>138.4</v>
      </c>
      <c r="GQ16">
        <v>139.4</v>
      </c>
      <c r="GR16">
        <v>142</v>
      </c>
      <c r="GS16">
        <v>140.30000000000001</v>
      </c>
      <c r="GT16">
        <v>141.4</v>
      </c>
      <c r="GU16">
        <v>142.69999999999999</v>
      </c>
      <c r="GV16">
        <v>140.1</v>
      </c>
      <c r="GW16">
        <v>141.69999999999999</v>
      </c>
      <c r="GX16">
        <v>141.30000000000001</v>
      </c>
      <c r="GY16">
        <v>138.9</v>
      </c>
      <c r="GZ16">
        <v>140.4</v>
      </c>
      <c r="HA16">
        <v>140.19999999999999</v>
      </c>
      <c r="HB16">
        <v>139.4</v>
      </c>
      <c r="HC16">
        <v>139.69999999999999</v>
      </c>
      <c r="HD16">
        <v>140</v>
      </c>
      <c r="HE16">
        <v>139.1</v>
      </c>
      <c r="HF16">
        <v>139.69999999999999</v>
      </c>
      <c r="HG16">
        <v>138.5</v>
      </c>
      <c r="HH16">
        <v>137.6</v>
      </c>
      <c r="HI16">
        <v>138.19999999999999</v>
      </c>
      <c r="HJ16">
        <v>137.4</v>
      </c>
      <c r="HK16">
        <v>137.30000000000001</v>
      </c>
      <c r="HL16">
        <v>137.4</v>
      </c>
      <c r="HM16">
        <v>137.19999999999999</v>
      </c>
      <c r="HN16">
        <v>138</v>
      </c>
      <c r="HO16">
        <v>137.5</v>
      </c>
      <c r="HP16">
        <v>137.30000000000001</v>
      </c>
      <c r="HQ16">
        <v>139.6</v>
      </c>
      <c r="HR16">
        <v>138.1</v>
      </c>
      <c r="HS16">
        <v>139.19999999999999</v>
      </c>
      <c r="HT16">
        <v>143.80000000000001</v>
      </c>
      <c r="HU16">
        <v>140.9</v>
      </c>
      <c r="HV16">
        <v>141</v>
      </c>
      <c r="HW16">
        <v>145.6</v>
      </c>
      <c r="HX16">
        <v>142.69999999999999</v>
      </c>
      <c r="HY16">
        <v>143</v>
      </c>
      <c r="HZ16">
        <v>147.69999999999999</v>
      </c>
      <c r="IA16">
        <v>144.69999999999999</v>
      </c>
      <c r="IB16">
        <v>144</v>
      </c>
      <c r="IC16">
        <v>149.1</v>
      </c>
      <c r="ID16">
        <v>145.9</v>
      </c>
      <c r="IE16">
        <v>145.5</v>
      </c>
      <c r="IF16">
        <v>149.5</v>
      </c>
      <c r="IG16">
        <v>147</v>
      </c>
      <c r="IH16">
        <v>148.30000000000001</v>
      </c>
      <c r="II16">
        <v>151.9</v>
      </c>
      <c r="IJ16">
        <v>149.6</v>
      </c>
      <c r="IK16">
        <v>150.9</v>
      </c>
      <c r="IL16">
        <v>153.6</v>
      </c>
      <c r="IM16">
        <v>151.9</v>
      </c>
      <c r="IN16">
        <v>154.30000000000001</v>
      </c>
      <c r="IO16">
        <v>156.30000000000001</v>
      </c>
      <c r="IP16">
        <v>155</v>
      </c>
      <c r="IQ16">
        <v>153</v>
      </c>
      <c r="IR16">
        <v>154.4</v>
      </c>
      <c r="IS16">
        <v>153.5</v>
      </c>
      <c r="IT16">
        <v>149.80000000000001</v>
      </c>
      <c r="IU16">
        <v>151.69999999999999</v>
      </c>
      <c r="IV16">
        <v>150.5</v>
      </c>
      <c r="IW16">
        <v>148.19999999999999</v>
      </c>
      <c r="IX16">
        <v>150.1</v>
      </c>
      <c r="IY16">
        <v>148.9</v>
      </c>
      <c r="IZ16">
        <v>150.1</v>
      </c>
      <c r="JA16">
        <v>153.5</v>
      </c>
      <c r="JB16">
        <v>151.4</v>
      </c>
      <c r="JC16" s="9">
        <f>AVERAGE(IZ16,IW16,IT16,JF16,JI16,JL16)</f>
        <v>151.33333333333334</v>
      </c>
      <c r="JD16" s="9">
        <f>AVERAGE(JA16,IX16,IU16,JG16,JJ16,JM16)</f>
        <v>154.86666666666665</v>
      </c>
      <c r="JE16" s="9">
        <f>AVERAGE(JB16,IY16,IV16,JH16,JK16,JN16)</f>
        <v>152.63333333333333</v>
      </c>
      <c r="JF16">
        <v>152.30000000000001</v>
      </c>
      <c r="JG16">
        <v>157</v>
      </c>
      <c r="JH16">
        <v>154</v>
      </c>
      <c r="JI16">
        <v>152.30000000000001</v>
      </c>
      <c r="JJ16">
        <v>157</v>
      </c>
      <c r="JK16">
        <v>154</v>
      </c>
      <c r="JL16">
        <v>155.30000000000001</v>
      </c>
      <c r="JM16">
        <v>159.9</v>
      </c>
      <c r="JN16">
        <v>157</v>
      </c>
      <c r="JO16">
        <v>156.1</v>
      </c>
      <c r="JP16">
        <v>161.30000000000001</v>
      </c>
      <c r="JQ16">
        <v>158</v>
      </c>
      <c r="JR16">
        <v>159.6</v>
      </c>
      <c r="JS16">
        <v>164.4</v>
      </c>
      <c r="JT16">
        <v>161.4</v>
      </c>
      <c r="JU16">
        <v>163.4</v>
      </c>
      <c r="JV16">
        <v>167</v>
      </c>
      <c r="JW16">
        <v>164.7</v>
      </c>
      <c r="JX16">
        <v>164.5</v>
      </c>
      <c r="JY16">
        <v>167</v>
      </c>
      <c r="JZ16">
        <v>165.4</v>
      </c>
      <c r="KA16">
        <v>159.6</v>
      </c>
      <c r="KB16">
        <v>163.4</v>
      </c>
      <c r="KC16">
        <v>161</v>
      </c>
      <c r="KD16">
        <v>154.69999999999999</v>
      </c>
      <c r="KE16">
        <v>160.80000000000001</v>
      </c>
      <c r="KF16">
        <v>156.9</v>
      </c>
      <c r="KG16">
        <v>154.5</v>
      </c>
      <c r="KH16">
        <v>160.4</v>
      </c>
      <c r="KI16">
        <v>156.69999999999999</v>
      </c>
      <c r="KJ16">
        <v>155.6</v>
      </c>
      <c r="KK16">
        <v>162</v>
      </c>
      <c r="KL16">
        <v>158</v>
      </c>
      <c r="KM16">
        <v>158.69999999999999</v>
      </c>
      <c r="KN16">
        <v>164.2</v>
      </c>
      <c r="KO16">
        <v>160.69999999999999</v>
      </c>
      <c r="KP16">
        <v>160.5</v>
      </c>
      <c r="KQ16">
        <v>166.2</v>
      </c>
      <c r="KR16">
        <v>162.6</v>
      </c>
      <c r="KS16">
        <v>161.69999999999999</v>
      </c>
      <c r="KT16">
        <v>167.9</v>
      </c>
      <c r="KU16">
        <v>164</v>
      </c>
      <c r="KV16">
        <v>161.80000000000001</v>
      </c>
      <c r="KW16">
        <v>167.3</v>
      </c>
      <c r="KX16">
        <v>164</v>
      </c>
      <c r="KY16">
        <v>162.1</v>
      </c>
      <c r="KZ16">
        <v>167.3</v>
      </c>
      <c r="LA16">
        <v>164</v>
      </c>
      <c r="LB16">
        <v>165.5</v>
      </c>
      <c r="LC16">
        <v>171.5</v>
      </c>
      <c r="LD16">
        <v>167.7</v>
      </c>
      <c r="LE16">
        <v>167.5</v>
      </c>
      <c r="LF16">
        <v>173.5</v>
      </c>
      <c r="LG16">
        <v>169.7</v>
      </c>
      <c r="LH16">
        <v>165.8</v>
      </c>
      <c r="LI16">
        <v>172.2</v>
      </c>
      <c r="LJ16">
        <v>168.2</v>
      </c>
      <c r="LK16">
        <v>164.1</v>
      </c>
      <c r="LL16">
        <v>170.3</v>
      </c>
      <c r="LM16">
        <v>166.4</v>
      </c>
      <c r="LN16">
        <v>163.9</v>
      </c>
      <c r="LO16">
        <v>170.2</v>
      </c>
      <c r="LP16">
        <v>166.2</v>
      </c>
      <c r="LQ16">
        <v>166.6</v>
      </c>
      <c r="LR16">
        <v>171.5</v>
      </c>
      <c r="LS16">
        <v>168.4</v>
      </c>
      <c r="LT16">
        <v>168.6</v>
      </c>
      <c r="LU16">
        <v>174.5</v>
      </c>
      <c r="LV16">
        <v>170.8</v>
      </c>
      <c r="LW16">
        <v>170.8</v>
      </c>
      <c r="LX16">
        <v>177.5</v>
      </c>
      <c r="LY16">
        <v>173.3</v>
      </c>
      <c r="LZ16">
        <v>172.4</v>
      </c>
      <c r="MA16">
        <v>179.3</v>
      </c>
      <c r="MB16">
        <v>174.9</v>
      </c>
      <c r="MC16">
        <v>172.5</v>
      </c>
      <c r="MD16">
        <v>179.4</v>
      </c>
      <c r="ME16">
        <v>175</v>
      </c>
      <c r="MF16">
        <v>173.9</v>
      </c>
      <c r="MG16">
        <v>180.4</v>
      </c>
      <c r="MH16">
        <v>176.3</v>
      </c>
      <c r="MI16">
        <v>175.5</v>
      </c>
      <c r="MJ16">
        <v>181.8</v>
      </c>
      <c r="MK16">
        <v>177.8</v>
      </c>
      <c r="ML16">
        <v>177.4</v>
      </c>
      <c r="MM16">
        <v>183.3</v>
      </c>
      <c r="MN16">
        <v>179.6</v>
      </c>
      <c r="MO16">
        <v>176.6</v>
      </c>
      <c r="MP16">
        <v>181.3</v>
      </c>
      <c r="MQ16">
        <v>178.3</v>
      </c>
      <c r="MR16">
        <v>174.4</v>
      </c>
      <c r="MS16">
        <v>178.6</v>
      </c>
      <c r="MT16">
        <v>175.9</v>
      </c>
      <c r="MU16">
        <v>175</v>
      </c>
      <c r="MV16">
        <v>179.5</v>
      </c>
      <c r="MW16">
        <v>176.7</v>
      </c>
      <c r="MX16">
        <v>174.8</v>
      </c>
      <c r="MY16">
        <v>180.7</v>
      </c>
      <c r="MZ16">
        <v>177</v>
      </c>
      <c r="NA16">
        <v>174.8</v>
      </c>
      <c r="NB16">
        <v>180.8</v>
      </c>
      <c r="NC16">
        <v>177</v>
      </c>
      <c r="ND16">
        <v>175.5</v>
      </c>
      <c r="NE16">
        <v>182.1</v>
      </c>
      <c r="NF16">
        <v>177.9</v>
      </c>
      <c r="NG16">
        <v>176.8</v>
      </c>
      <c r="NH16">
        <v>183.1</v>
      </c>
      <c r="NI16">
        <v>179.1</v>
      </c>
    </row>
    <row r="17" spans="1:373" x14ac:dyDescent="0.3">
      <c r="A17" s="1" t="s">
        <v>16</v>
      </c>
      <c r="B17">
        <v>105.1</v>
      </c>
      <c r="C17">
        <v>105.2</v>
      </c>
      <c r="D17">
        <v>105.1</v>
      </c>
      <c r="E17">
        <v>105.6</v>
      </c>
      <c r="F17">
        <v>106</v>
      </c>
      <c r="G17">
        <v>105.7</v>
      </c>
      <c r="H17">
        <v>106.5</v>
      </c>
      <c r="I17">
        <v>106.8</v>
      </c>
      <c r="J17">
        <v>106.6</v>
      </c>
      <c r="K17">
        <v>107.1</v>
      </c>
      <c r="L17">
        <v>108.5</v>
      </c>
      <c r="M17">
        <v>107.5</v>
      </c>
      <c r="N17">
        <v>108.1</v>
      </c>
      <c r="O17">
        <v>109.8</v>
      </c>
      <c r="P17">
        <v>108.6</v>
      </c>
      <c r="Q17">
        <v>109</v>
      </c>
      <c r="R17">
        <v>110.9</v>
      </c>
      <c r="S17">
        <v>109.5</v>
      </c>
      <c r="T17">
        <v>109.8</v>
      </c>
      <c r="U17">
        <v>111.7</v>
      </c>
      <c r="V17">
        <v>110.3</v>
      </c>
      <c r="W17">
        <v>110.7</v>
      </c>
      <c r="X17">
        <v>112.4</v>
      </c>
      <c r="Y17">
        <v>111.2</v>
      </c>
      <c r="Z17">
        <v>111.7</v>
      </c>
      <c r="AA17">
        <v>112.9</v>
      </c>
      <c r="AB17">
        <v>112</v>
      </c>
      <c r="AC17">
        <v>112.2</v>
      </c>
      <c r="AD17">
        <v>113.5</v>
      </c>
      <c r="AE17">
        <v>112.5</v>
      </c>
      <c r="AF17">
        <v>112.8</v>
      </c>
      <c r="AG17">
        <v>114.1</v>
      </c>
      <c r="AH17">
        <v>113.1</v>
      </c>
      <c r="AI17">
        <v>113.6</v>
      </c>
      <c r="AJ17">
        <v>115</v>
      </c>
      <c r="AK17">
        <v>114</v>
      </c>
      <c r="AL17">
        <v>114</v>
      </c>
      <c r="AM17">
        <v>115.7</v>
      </c>
      <c r="AN17">
        <v>114.5</v>
      </c>
      <c r="AO17">
        <v>114.2</v>
      </c>
      <c r="AP17">
        <v>116.2</v>
      </c>
      <c r="AQ17">
        <v>114.7</v>
      </c>
      <c r="AR17">
        <v>114.6</v>
      </c>
      <c r="AS17">
        <v>116.7</v>
      </c>
      <c r="AT17">
        <v>115.2</v>
      </c>
      <c r="AU17">
        <v>115.4</v>
      </c>
      <c r="AV17">
        <v>117.6</v>
      </c>
      <c r="AW17">
        <v>116</v>
      </c>
      <c r="AX17">
        <v>116.3</v>
      </c>
      <c r="AY17">
        <v>118.3</v>
      </c>
      <c r="AZ17">
        <v>116.8</v>
      </c>
      <c r="BA17">
        <v>117.3</v>
      </c>
      <c r="BB17">
        <v>119</v>
      </c>
      <c r="BC17">
        <v>117.8</v>
      </c>
      <c r="BD17">
        <v>118</v>
      </c>
      <c r="BE17">
        <v>121</v>
      </c>
      <c r="BF17">
        <v>118.8</v>
      </c>
      <c r="BG17">
        <v>118.8</v>
      </c>
      <c r="BH17">
        <v>123</v>
      </c>
      <c r="BI17">
        <v>119.9</v>
      </c>
      <c r="BJ17">
        <v>119.5</v>
      </c>
      <c r="BK17">
        <v>124.3</v>
      </c>
      <c r="BL17">
        <v>120.8</v>
      </c>
      <c r="BM17">
        <v>120</v>
      </c>
      <c r="BN17">
        <v>124.3</v>
      </c>
      <c r="BO17">
        <v>121.1</v>
      </c>
      <c r="BP17">
        <v>120.8</v>
      </c>
      <c r="BQ17">
        <v>125.8</v>
      </c>
      <c r="BR17">
        <v>122.1</v>
      </c>
      <c r="BS17">
        <v>121.7</v>
      </c>
      <c r="BT17">
        <v>126.4</v>
      </c>
      <c r="BU17">
        <v>123</v>
      </c>
      <c r="BV17">
        <v>122.7</v>
      </c>
      <c r="BW17">
        <v>127.4</v>
      </c>
      <c r="BX17">
        <v>124</v>
      </c>
      <c r="BY17">
        <v>124.2</v>
      </c>
      <c r="BZ17">
        <v>128.1</v>
      </c>
      <c r="CA17">
        <v>125.2</v>
      </c>
      <c r="CB17">
        <v>124.7</v>
      </c>
      <c r="CC17">
        <v>128.80000000000001</v>
      </c>
      <c r="CD17">
        <v>125.8</v>
      </c>
      <c r="CE17">
        <v>125.7</v>
      </c>
      <c r="CF17">
        <v>130.1</v>
      </c>
      <c r="CG17">
        <v>126.9</v>
      </c>
      <c r="CH17">
        <v>126.7</v>
      </c>
      <c r="CI17">
        <v>131.30000000000001</v>
      </c>
      <c r="CJ17">
        <v>127.9</v>
      </c>
      <c r="CK17">
        <v>128.19999999999999</v>
      </c>
      <c r="CL17">
        <v>132.1</v>
      </c>
      <c r="CM17">
        <v>129.19999999999999</v>
      </c>
      <c r="CN17">
        <v>129.4</v>
      </c>
      <c r="CO17">
        <v>133.1</v>
      </c>
      <c r="CP17">
        <v>130.4</v>
      </c>
      <c r="CQ17">
        <v>130.1</v>
      </c>
      <c r="CR17">
        <v>134.19999999999999</v>
      </c>
      <c r="CS17">
        <v>131.19999999999999</v>
      </c>
      <c r="CT17">
        <v>131</v>
      </c>
      <c r="CU17">
        <v>134.69999999999999</v>
      </c>
      <c r="CV17">
        <v>132</v>
      </c>
      <c r="CW17">
        <v>131.5</v>
      </c>
      <c r="CX17">
        <v>135.30000000000001</v>
      </c>
      <c r="CY17">
        <v>132.5</v>
      </c>
      <c r="CZ17">
        <v>132.19999999999999</v>
      </c>
      <c r="DA17">
        <v>137.6</v>
      </c>
      <c r="DB17">
        <v>133.6</v>
      </c>
      <c r="DC17">
        <v>133.1</v>
      </c>
      <c r="DD17">
        <v>138.19999999999999</v>
      </c>
      <c r="DE17">
        <v>134.5</v>
      </c>
      <c r="DF17">
        <v>133.6</v>
      </c>
      <c r="DG17">
        <v>139.5</v>
      </c>
      <c r="DH17">
        <v>135.19999999999999</v>
      </c>
      <c r="DI17">
        <v>134.4</v>
      </c>
      <c r="DJ17">
        <v>140</v>
      </c>
      <c r="DK17">
        <v>135.9</v>
      </c>
      <c r="DL17">
        <v>135</v>
      </c>
      <c r="DM17">
        <v>140.6</v>
      </c>
      <c r="DN17">
        <v>136.5</v>
      </c>
      <c r="DO17">
        <v>135.5</v>
      </c>
      <c r="DP17">
        <v>141.5</v>
      </c>
      <c r="DQ17">
        <v>137.1</v>
      </c>
      <c r="DR17">
        <v>136</v>
      </c>
      <c r="DS17">
        <v>142.19999999999999</v>
      </c>
      <c r="DT17">
        <v>137.69999999999999</v>
      </c>
      <c r="DU17">
        <v>137.19999999999999</v>
      </c>
      <c r="DV17">
        <v>142.69999999999999</v>
      </c>
      <c r="DW17">
        <v>138.69999999999999</v>
      </c>
      <c r="DX17">
        <v>138</v>
      </c>
      <c r="DY17">
        <v>142.9</v>
      </c>
      <c r="DZ17">
        <v>139.30000000000001</v>
      </c>
      <c r="EA17">
        <v>138.9</v>
      </c>
      <c r="EB17">
        <v>143.6</v>
      </c>
      <c r="EC17">
        <v>140.19999999999999</v>
      </c>
      <c r="ED17">
        <v>139.9</v>
      </c>
      <c r="EE17">
        <v>143.9</v>
      </c>
      <c r="EF17">
        <v>141</v>
      </c>
      <c r="EG17">
        <v>140.9</v>
      </c>
      <c r="EH17">
        <v>144.30000000000001</v>
      </c>
      <c r="EI17">
        <v>141.80000000000001</v>
      </c>
      <c r="EJ17">
        <v>141.19999999999999</v>
      </c>
      <c r="EK17">
        <v>144.30000000000001</v>
      </c>
      <c r="EL17">
        <v>142</v>
      </c>
      <c r="EM17">
        <v>142.4</v>
      </c>
      <c r="EN17">
        <v>145</v>
      </c>
      <c r="EO17">
        <v>143.1</v>
      </c>
      <c r="EP17">
        <v>143.1</v>
      </c>
      <c r="EQ17">
        <v>145.6</v>
      </c>
      <c r="ER17">
        <v>143.80000000000001</v>
      </c>
      <c r="ES17">
        <v>143.69999999999999</v>
      </c>
      <c r="ET17">
        <v>146.30000000000001</v>
      </c>
      <c r="EU17">
        <v>144.4</v>
      </c>
      <c r="EV17">
        <v>144.19999999999999</v>
      </c>
      <c r="EW17">
        <v>147.5</v>
      </c>
      <c r="EX17">
        <v>145.1</v>
      </c>
      <c r="EY17">
        <v>144.4</v>
      </c>
      <c r="EZ17">
        <v>148</v>
      </c>
      <c r="FA17">
        <v>145.4</v>
      </c>
      <c r="FB17">
        <v>145.5</v>
      </c>
      <c r="FC17">
        <v>148.30000000000001</v>
      </c>
      <c r="FD17">
        <v>146.19999999999999</v>
      </c>
      <c r="FE17">
        <v>145.80000000000001</v>
      </c>
      <c r="FF17">
        <v>148.6</v>
      </c>
      <c r="FG17">
        <v>146.5</v>
      </c>
      <c r="FH17">
        <v>147.4</v>
      </c>
      <c r="FI17">
        <v>150.5</v>
      </c>
      <c r="FJ17">
        <v>148.19999999999999</v>
      </c>
      <c r="FK17">
        <v>149</v>
      </c>
      <c r="FL17">
        <v>152.1</v>
      </c>
      <c r="FM17">
        <v>149.80000000000001</v>
      </c>
      <c r="FN17">
        <v>149.80000000000001</v>
      </c>
      <c r="FO17">
        <v>153.6</v>
      </c>
      <c r="FP17">
        <v>150.80000000000001</v>
      </c>
      <c r="FQ17">
        <v>150.5</v>
      </c>
      <c r="FR17">
        <v>154.6</v>
      </c>
      <c r="FS17">
        <v>151.6</v>
      </c>
      <c r="FT17">
        <v>152.1</v>
      </c>
      <c r="FU17">
        <v>156.19999999999999</v>
      </c>
      <c r="FV17">
        <v>153.19999999999999</v>
      </c>
      <c r="FW17">
        <v>153.19999999999999</v>
      </c>
      <c r="FX17">
        <v>157</v>
      </c>
      <c r="FY17">
        <v>154.19999999999999</v>
      </c>
      <c r="FZ17">
        <v>153.6</v>
      </c>
      <c r="GA17">
        <v>157.69999999999999</v>
      </c>
      <c r="GB17">
        <v>154.69999999999999</v>
      </c>
      <c r="GC17">
        <v>153.30000000000001</v>
      </c>
      <c r="GD17">
        <v>159.30000000000001</v>
      </c>
      <c r="GE17">
        <v>154.9</v>
      </c>
      <c r="GF17">
        <v>155.1</v>
      </c>
      <c r="GG17">
        <v>159.69999999999999</v>
      </c>
      <c r="GH17">
        <v>156.30000000000001</v>
      </c>
      <c r="GI17">
        <v>156.1</v>
      </c>
      <c r="GJ17">
        <v>159.19999999999999</v>
      </c>
      <c r="GK17">
        <v>156.9</v>
      </c>
      <c r="GL17">
        <v>157</v>
      </c>
      <c r="GM17">
        <v>160.30000000000001</v>
      </c>
      <c r="GN17">
        <v>157.9</v>
      </c>
      <c r="GO17">
        <v>157.30000000000001</v>
      </c>
      <c r="GP17">
        <v>161</v>
      </c>
      <c r="GQ17">
        <v>158.30000000000001</v>
      </c>
      <c r="GR17">
        <v>156.1</v>
      </c>
      <c r="GS17">
        <v>161.4</v>
      </c>
      <c r="GT17">
        <v>157.5</v>
      </c>
      <c r="GU17">
        <v>156.4</v>
      </c>
      <c r="GV17">
        <v>162.1</v>
      </c>
      <c r="GW17">
        <v>157.9</v>
      </c>
      <c r="GX17">
        <v>157.69999999999999</v>
      </c>
      <c r="GY17">
        <v>163.30000000000001</v>
      </c>
      <c r="GZ17">
        <v>159.19999999999999</v>
      </c>
      <c r="HA17">
        <v>159.6</v>
      </c>
      <c r="HB17">
        <v>164</v>
      </c>
      <c r="HC17">
        <v>162.6</v>
      </c>
      <c r="HD17">
        <v>161.9</v>
      </c>
      <c r="HE17">
        <v>164.4</v>
      </c>
      <c r="HF17">
        <v>162.6</v>
      </c>
      <c r="HG17">
        <v>162.4</v>
      </c>
      <c r="HH17">
        <v>164.6</v>
      </c>
      <c r="HI17">
        <v>163</v>
      </c>
      <c r="HJ17">
        <v>162.69999999999999</v>
      </c>
      <c r="HK17">
        <v>164.7</v>
      </c>
      <c r="HL17">
        <v>163.19999999999999</v>
      </c>
      <c r="HM17">
        <v>162.80000000000001</v>
      </c>
      <c r="HN17">
        <v>164.9</v>
      </c>
      <c r="HO17">
        <v>163.4</v>
      </c>
      <c r="HP17">
        <v>162.9</v>
      </c>
      <c r="HQ17">
        <v>165.3</v>
      </c>
      <c r="HR17">
        <v>163.5</v>
      </c>
      <c r="HS17">
        <v>163.30000000000001</v>
      </c>
      <c r="HT17">
        <v>166.2</v>
      </c>
      <c r="HU17">
        <v>164.1</v>
      </c>
      <c r="HV17">
        <v>164.2</v>
      </c>
      <c r="HW17">
        <v>166.7</v>
      </c>
      <c r="HX17">
        <v>164.9</v>
      </c>
      <c r="HY17">
        <v>164.5</v>
      </c>
      <c r="HZ17">
        <v>167.2</v>
      </c>
      <c r="IA17">
        <v>165.2</v>
      </c>
      <c r="IB17">
        <v>165.1</v>
      </c>
      <c r="IC17">
        <v>167.9</v>
      </c>
      <c r="ID17">
        <v>165.8</v>
      </c>
      <c r="IE17">
        <v>165.7</v>
      </c>
      <c r="IF17">
        <v>168.6</v>
      </c>
      <c r="IG17">
        <v>166.5</v>
      </c>
      <c r="IH17">
        <v>166.3</v>
      </c>
      <c r="II17">
        <v>169.3</v>
      </c>
      <c r="IJ17">
        <v>167.1</v>
      </c>
      <c r="IK17">
        <v>167.2</v>
      </c>
      <c r="IL17">
        <v>169.9</v>
      </c>
      <c r="IM17">
        <v>167.9</v>
      </c>
      <c r="IN17">
        <v>167.8</v>
      </c>
      <c r="IO17">
        <v>170.4</v>
      </c>
      <c r="IP17">
        <v>168.5</v>
      </c>
      <c r="IQ17">
        <v>168.6</v>
      </c>
      <c r="IR17">
        <v>170.8</v>
      </c>
      <c r="IS17">
        <v>169.2</v>
      </c>
      <c r="IT17">
        <v>169.4</v>
      </c>
      <c r="IU17">
        <v>172</v>
      </c>
      <c r="IV17">
        <v>170.1</v>
      </c>
      <c r="IW17">
        <v>170.5</v>
      </c>
      <c r="IX17">
        <v>173.3</v>
      </c>
      <c r="IY17">
        <v>171.2</v>
      </c>
      <c r="JF17">
        <v>182.4</v>
      </c>
      <c r="JG17">
        <v>186.7</v>
      </c>
      <c r="JH17">
        <v>183.5</v>
      </c>
      <c r="JI17">
        <v>182.4</v>
      </c>
      <c r="JJ17">
        <v>186.7</v>
      </c>
      <c r="JK17">
        <v>183.5</v>
      </c>
      <c r="JL17">
        <v>180.9</v>
      </c>
      <c r="JM17">
        <v>187.2</v>
      </c>
      <c r="JN17">
        <v>182.6</v>
      </c>
      <c r="JO17">
        <v>182.9</v>
      </c>
      <c r="JP17">
        <v>188.7</v>
      </c>
      <c r="JQ17">
        <v>184.4</v>
      </c>
      <c r="JR17">
        <v>182.7</v>
      </c>
      <c r="JS17">
        <v>188.7</v>
      </c>
      <c r="JT17">
        <v>184.3</v>
      </c>
      <c r="JU17">
        <v>183.4</v>
      </c>
      <c r="JV17">
        <v>188.8</v>
      </c>
      <c r="JW17">
        <v>184.8</v>
      </c>
      <c r="JX17">
        <v>183.6</v>
      </c>
      <c r="JY17">
        <v>190.2</v>
      </c>
      <c r="JZ17">
        <v>185.4</v>
      </c>
      <c r="KA17">
        <v>184.6</v>
      </c>
      <c r="KB17">
        <v>191.8</v>
      </c>
      <c r="KC17">
        <v>186.5</v>
      </c>
      <c r="KD17">
        <v>186.5</v>
      </c>
      <c r="KE17">
        <v>193.3</v>
      </c>
      <c r="KF17">
        <v>188.3</v>
      </c>
      <c r="KG17">
        <v>186.1</v>
      </c>
      <c r="KH17">
        <v>193.5</v>
      </c>
      <c r="KI17">
        <v>188.1</v>
      </c>
      <c r="KJ17">
        <v>186.8</v>
      </c>
      <c r="KK17">
        <v>194.4</v>
      </c>
      <c r="KL17">
        <v>188.8</v>
      </c>
      <c r="KM17">
        <v>189.6</v>
      </c>
      <c r="KN17">
        <v>198.2</v>
      </c>
      <c r="KO17">
        <v>191.9</v>
      </c>
      <c r="KP17">
        <v>189.1</v>
      </c>
      <c r="KQ17">
        <v>195.6</v>
      </c>
      <c r="KR17">
        <v>190.8</v>
      </c>
      <c r="KS17">
        <v>189.7</v>
      </c>
      <c r="KT17">
        <v>195.5</v>
      </c>
      <c r="KU17">
        <v>191.2</v>
      </c>
      <c r="KV17">
        <v>190.2</v>
      </c>
      <c r="KW17">
        <v>196.5</v>
      </c>
      <c r="KX17">
        <v>192.1</v>
      </c>
      <c r="KY17">
        <v>190.5</v>
      </c>
      <c r="KZ17">
        <v>196.5</v>
      </c>
      <c r="LA17">
        <v>192.1</v>
      </c>
      <c r="LB17">
        <v>191.2</v>
      </c>
      <c r="LC17">
        <v>197</v>
      </c>
      <c r="LD17">
        <v>192.7</v>
      </c>
      <c r="LE17">
        <v>191.4</v>
      </c>
      <c r="LF17">
        <v>197</v>
      </c>
      <c r="LG17">
        <v>192.9</v>
      </c>
      <c r="LH17">
        <v>190.8</v>
      </c>
      <c r="LI17">
        <v>196.8</v>
      </c>
      <c r="LJ17">
        <v>192.4</v>
      </c>
      <c r="LK17">
        <v>190.7</v>
      </c>
      <c r="LL17">
        <v>196.4</v>
      </c>
      <c r="LM17">
        <v>192.2</v>
      </c>
      <c r="LN17">
        <v>191.5</v>
      </c>
      <c r="LO17">
        <v>196.5</v>
      </c>
      <c r="LP17">
        <v>192.8</v>
      </c>
      <c r="LQ17">
        <v>192.3</v>
      </c>
      <c r="LR17">
        <v>197.5</v>
      </c>
      <c r="LS17">
        <v>193.7</v>
      </c>
      <c r="LT17">
        <v>192.8</v>
      </c>
      <c r="LU17">
        <v>197.1</v>
      </c>
      <c r="LV17">
        <v>193.9</v>
      </c>
      <c r="LW17">
        <v>192.9</v>
      </c>
      <c r="LX17">
        <v>197.5</v>
      </c>
      <c r="LY17">
        <v>194.1</v>
      </c>
      <c r="LZ17">
        <v>192.9</v>
      </c>
      <c r="MA17">
        <v>198.3</v>
      </c>
      <c r="MB17">
        <v>194.3</v>
      </c>
      <c r="MC17">
        <v>193.2</v>
      </c>
      <c r="MD17">
        <v>198.6</v>
      </c>
      <c r="ME17">
        <v>194.6</v>
      </c>
      <c r="MF17">
        <v>193.7</v>
      </c>
      <c r="MG17">
        <v>198.7</v>
      </c>
      <c r="MH17">
        <v>195</v>
      </c>
      <c r="MI17">
        <v>194.5</v>
      </c>
      <c r="MJ17">
        <v>199.7</v>
      </c>
      <c r="MK17">
        <v>195.9</v>
      </c>
      <c r="ML17">
        <v>194.9</v>
      </c>
      <c r="MM17">
        <v>200.1</v>
      </c>
      <c r="MN17">
        <v>196.3</v>
      </c>
      <c r="MO17">
        <v>195.5</v>
      </c>
      <c r="MP17">
        <v>200.6</v>
      </c>
      <c r="MQ17">
        <v>196.9</v>
      </c>
      <c r="MR17">
        <v>195.9</v>
      </c>
      <c r="MS17">
        <v>201.1</v>
      </c>
      <c r="MT17">
        <v>197.3</v>
      </c>
      <c r="MU17">
        <v>196.9</v>
      </c>
      <c r="MV17">
        <v>201.6</v>
      </c>
      <c r="MW17">
        <v>198.2</v>
      </c>
      <c r="MX17">
        <v>198.3</v>
      </c>
      <c r="MY17">
        <v>202.7</v>
      </c>
      <c r="MZ17">
        <v>199.5</v>
      </c>
      <c r="NA17">
        <v>198.4</v>
      </c>
      <c r="NB17">
        <v>202.7</v>
      </c>
      <c r="NC17">
        <v>199.5</v>
      </c>
      <c r="ND17">
        <v>199.5</v>
      </c>
      <c r="NE17">
        <v>203.5</v>
      </c>
      <c r="NF17">
        <v>200.6</v>
      </c>
      <c r="NG17">
        <v>199.9</v>
      </c>
      <c r="NH17">
        <v>204.2</v>
      </c>
      <c r="NI17">
        <v>201</v>
      </c>
    </row>
    <row r="18" spans="1:373" x14ac:dyDescent="0.3">
      <c r="A18" s="1" t="s">
        <v>17</v>
      </c>
      <c r="B18">
        <v>106.5</v>
      </c>
      <c r="C18">
        <v>105.9</v>
      </c>
      <c r="D18">
        <v>106.3</v>
      </c>
      <c r="E18">
        <v>107.1</v>
      </c>
      <c r="F18">
        <v>106.6</v>
      </c>
      <c r="G18">
        <v>106.9</v>
      </c>
      <c r="H18">
        <v>107.6</v>
      </c>
      <c r="I18">
        <v>107.2</v>
      </c>
      <c r="J18">
        <v>107.4</v>
      </c>
      <c r="K18">
        <v>108.1</v>
      </c>
      <c r="L18">
        <v>107.9</v>
      </c>
      <c r="M18">
        <v>108</v>
      </c>
      <c r="N18">
        <v>108.8</v>
      </c>
      <c r="O18">
        <v>108.5</v>
      </c>
      <c r="P18">
        <v>108.7</v>
      </c>
      <c r="Q18">
        <v>109.7</v>
      </c>
      <c r="R18">
        <v>109.2</v>
      </c>
      <c r="S18">
        <v>109.5</v>
      </c>
      <c r="T18">
        <v>110.5</v>
      </c>
      <c r="U18">
        <v>109.8</v>
      </c>
      <c r="V18">
        <v>110.2</v>
      </c>
      <c r="W18">
        <v>111.3</v>
      </c>
      <c r="X18">
        <v>110.6</v>
      </c>
      <c r="Y18">
        <v>111</v>
      </c>
      <c r="Z18">
        <v>112.7</v>
      </c>
      <c r="AA18">
        <v>111.4</v>
      </c>
      <c r="AB18">
        <v>112.2</v>
      </c>
      <c r="AC18">
        <v>113.6</v>
      </c>
      <c r="AD18">
        <v>112.5</v>
      </c>
      <c r="AE18">
        <v>113.2</v>
      </c>
      <c r="AF18">
        <v>114.6</v>
      </c>
      <c r="AG18">
        <v>113.5</v>
      </c>
      <c r="AH18">
        <v>114.2</v>
      </c>
      <c r="AI18">
        <v>115.8</v>
      </c>
      <c r="AJ18">
        <v>114.2</v>
      </c>
      <c r="AK18">
        <v>115.2</v>
      </c>
      <c r="AL18">
        <v>116.5</v>
      </c>
      <c r="AM18">
        <v>114.8</v>
      </c>
      <c r="AN18">
        <v>115.8</v>
      </c>
      <c r="AO18">
        <v>117.1</v>
      </c>
      <c r="AP18">
        <v>115.3</v>
      </c>
      <c r="AQ18">
        <v>116.4</v>
      </c>
      <c r="AR18">
        <v>117.5</v>
      </c>
      <c r="AS18">
        <v>115.8</v>
      </c>
      <c r="AT18">
        <v>116.8</v>
      </c>
      <c r="AU18">
        <v>118.1</v>
      </c>
      <c r="AV18">
        <v>116.3</v>
      </c>
      <c r="AW18">
        <v>117.4</v>
      </c>
      <c r="AX18">
        <v>118.7</v>
      </c>
      <c r="AY18">
        <v>116.8</v>
      </c>
      <c r="AZ18">
        <v>118</v>
      </c>
      <c r="BA18">
        <v>119.7</v>
      </c>
      <c r="BB18">
        <v>117.4</v>
      </c>
      <c r="BC18">
        <v>118.8</v>
      </c>
      <c r="BD18">
        <v>120.7</v>
      </c>
      <c r="BE18">
        <v>118</v>
      </c>
      <c r="BF18">
        <v>119.6</v>
      </c>
      <c r="BG18">
        <v>120.9</v>
      </c>
      <c r="BH18">
        <v>118.6</v>
      </c>
      <c r="BI18">
        <v>120</v>
      </c>
      <c r="BJ18">
        <v>121.7</v>
      </c>
      <c r="BK18">
        <v>119.2</v>
      </c>
      <c r="BL18">
        <v>120.7</v>
      </c>
      <c r="BM18">
        <v>122.7</v>
      </c>
      <c r="BN18">
        <v>119.6</v>
      </c>
      <c r="BO18">
        <v>121.5</v>
      </c>
      <c r="BP18">
        <v>123.3</v>
      </c>
      <c r="BQ18">
        <v>120.3</v>
      </c>
      <c r="BR18">
        <v>122.1</v>
      </c>
      <c r="BS18">
        <v>123.8</v>
      </c>
      <c r="BT18">
        <v>120.7</v>
      </c>
      <c r="BU18">
        <v>122.6</v>
      </c>
      <c r="BV18">
        <v>124.4</v>
      </c>
      <c r="BW18">
        <v>121</v>
      </c>
      <c r="BX18">
        <v>123.1</v>
      </c>
      <c r="BY18">
        <v>125.4</v>
      </c>
      <c r="BZ18">
        <v>121.3</v>
      </c>
      <c r="CA18">
        <v>123.8</v>
      </c>
      <c r="CB18">
        <v>126</v>
      </c>
      <c r="CC18">
        <v>121.7</v>
      </c>
      <c r="CD18">
        <v>124.3</v>
      </c>
      <c r="CE18">
        <v>126.4</v>
      </c>
      <c r="CF18">
        <v>122.1</v>
      </c>
      <c r="CG18">
        <v>124.7</v>
      </c>
      <c r="CH18">
        <v>127.3</v>
      </c>
      <c r="CI18">
        <v>122.4</v>
      </c>
      <c r="CJ18">
        <v>125.4</v>
      </c>
      <c r="CK18">
        <v>128.4</v>
      </c>
      <c r="CL18">
        <v>123.2</v>
      </c>
      <c r="CM18">
        <v>126.4</v>
      </c>
      <c r="CN18">
        <v>128.80000000000001</v>
      </c>
      <c r="CO18">
        <v>123.5</v>
      </c>
      <c r="CP18">
        <v>126.7</v>
      </c>
      <c r="CQ18">
        <v>129.5</v>
      </c>
      <c r="CR18">
        <v>123.7</v>
      </c>
      <c r="CS18">
        <v>127.2</v>
      </c>
      <c r="CT18">
        <v>130.4</v>
      </c>
      <c r="CU18">
        <v>124</v>
      </c>
      <c r="CV18">
        <v>127.9</v>
      </c>
      <c r="CW18">
        <v>131.1</v>
      </c>
      <c r="CX18">
        <v>124.4</v>
      </c>
      <c r="CY18">
        <v>128.5</v>
      </c>
      <c r="CZ18">
        <v>132.1</v>
      </c>
      <c r="DA18">
        <v>125</v>
      </c>
      <c r="DB18">
        <v>129.30000000000001</v>
      </c>
      <c r="DC18">
        <v>132.5</v>
      </c>
      <c r="DD18">
        <v>125.4</v>
      </c>
      <c r="DE18">
        <v>129.69999999999999</v>
      </c>
      <c r="DF18">
        <v>133.19999999999999</v>
      </c>
      <c r="DG18">
        <v>125.8</v>
      </c>
      <c r="DH18">
        <v>130.30000000000001</v>
      </c>
      <c r="DI18">
        <v>133.9</v>
      </c>
      <c r="DJ18">
        <v>126.2</v>
      </c>
      <c r="DK18">
        <v>130.9</v>
      </c>
      <c r="DL18">
        <v>134.4</v>
      </c>
      <c r="DM18">
        <v>126.4</v>
      </c>
      <c r="DN18">
        <v>131.30000000000001</v>
      </c>
      <c r="DO18">
        <v>135</v>
      </c>
      <c r="DP18">
        <v>126.8</v>
      </c>
      <c r="DQ18">
        <v>131.80000000000001</v>
      </c>
      <c r="DR18">
        <v>135.4</v>
      </c>
      <c r="DS18">
        <v>127.2</v>
      </c>
      <c r="DT18">
        <v>132.19999999999999</v>
      </c>
      <c r="DU18">
        <v>136.30000000000001</v>
      </c>
      <c r="DV18">
        <v>127.6</v>
      </c>
      <c r="DW18">
        <v>132.9</v>
      </c>
      <c r="DX18">
        <v>137.19999999999999</v>
      </c>
      <c r="DY18">
        <v>127.9</v>
      </c>
      <c r="DZ18">
        <v>133.5</v>
      </c>
      <c r="EA18">
        <v>137.80000000000001</v>
      </c>
      <c r="EB18">
        <v>128.30000000000001</v>
      </c>
      <c r="EC18">
        <v>134.1</v>
      </c>
      <c r="ED18">
        <v>138.5</v>
      </c>
      <c r="EE18">
        <v>128.69999999999999</v>
      </c>
      <c r="EF18">
        <v>134.6</v>
      </c>
      <c r="EG18">
        <v>139.6</v>
      </c>
      <c r="EH18">
        <v>129.1</v>
      </c>
      <c r="EI18">
        <v>135.5</v>
      </c>
      <c r="EJ18">
        <v>139.9</v>
      </c>
      <c r="EK18">
        <v>129.6</v>
      </c>
      <c r="EL18">
        <v>135.80000000000001</v>
      </c>
      <c r="EM18">
        <v>140.4</v>
      </c>
      <c r="EN18">
        <v>130</v>
      </c>
      <c r="EO18">
        <v>136.30000000000001</v>
      </c>
      <c r="EP18">
        <v>140.69999999999999</v>
      </c>
      <c r="EQ18">
        <v>130.19999999999999</v>
      </c>
      <c r="ER18">
        <v>136.6</v>
      </c>
      <c r="ES18">
        <v>140.9</v>
      </c>
      <c r="ET18">
        <v>130.5</v>
      </c>
      <c r="EU18">
        <v>136.80000000000001</v>
      </c>
      <c r="EV18">
        <v>141.6</v>
      </c>
      <c r="EW18">
        <v>130.80000000000001</v>
      </c>
      <c r="EX18">
        <v>137.30000000000001</v>
      </c>
      <c r="EY18">
        <v>142.4</v>
      </c>
      <c r="EZ18">
        <v>131.19999999999999</v>
      </c>
      <c r="FA18">
        <v>138</v>
      </c>
      <c r="FB18">
        <v>142.5</v>
      </c>
      <c r="FC18">
        <v>131.5</v>
      </c>
      <c r="FD18">
        <v>138.19999999999999</v>
      </c>
      <c r="FE18">
        <v>143.1</v>
      </c>
      <c r="FF18">
        <v>131.5</v>
      </c>
      <c r="FG18">
        <v>138.5</v>
      </c>
      <c r="FH18">
        <v>144.30000000000001</v>
      </c>
      <c r="FI18">
        <v>131.6</v>
      </c>
      <c r="FJ18">
        <v>139.30000000000001</v>
      </c>
      <c r="FK18">
        <v>145.30000000000001</v>
      </c>
      <c r="FL18">
        <v>132.69999999999999</v>
      </c>
      <c r="FM18">
        <v>140.30000000000001</v>
      </c>
      <c r="FN18">
        <v>146.1</v>
      </c>
      <c r="FO18">
        <v>133.30000000000001</v>
      </c>
      <c r="FP18">
        <v>141.1</v>
      </c>
      <c r="FQ18">
        <v>147.19999999999999</v>
      </c>
      <c r="FR18">
        <v>134</v>
      </c>
      <c r="FS18">
        <v>142</v>
      </c>
      <c r="FT18">
        <v>148.19999999999999</v>
      </c>
      <c r="FU18">
        <v>135</v>
      </c>
      <c r="FV18">
        <v>143</v>
      </c>
      <c r="FW18">
        <v>148</v>
      </c>
      <c r="FX18">
        <v>135.6</v>
      </c>
      <c r="FY18">
        <v>143.1</v>
      </c>
      <c r="FZ18">
        <v>148.30000000000001</v>
      </c>
      <c r="GA18">
        <v>136</v>
      </c>
      <c r="GB18">
        <v>143.5</v>
      </c>
      <c r="GC18">
        <v>148.69999999999999</v>
      </c>
      <c r="GD18">
        <v>136.30000000000001</v>
      </c>
      <c r="GE18">
        <v>143.80000000000001</v>
      </c>
      <c r="GF18">
        <v>149.19999999999999</v>
      </c>
      <c r="GG18">
        <v>136.69999999999999</v>
      </c>
      <c r="GH18">
        <v>144.30000000000001</v>
      </c>
      <c r="GI18">
        <v>150.1</v>
      </c>
      <c r="GJ18">
        <v>137.80000000000001</v>
      </c>
      <c r="GK18">
        <v>145.30000000000001</v>
      </c>
      <c r="GL18">
        <v>150.80000000000001</v>
      </c>
      <c r="GM18">
        <v>138.6</v>
      </c>
      <c r="GN18">
        <v>146</v>
      </c>
      <c r="GO18">
        <v>151.30000000000001</v>
      </c>
      <c r="GP18">
        <v>138.9</v>
      </c>
      <c r="GQ18">
        <v>146.4</v>
      </c>
      <c r="GR18">
        <v>151.5</v>
      </c>
      <c r="GS18">
        <v>139.6</v>
      </c>
      <c r="GT18">
        <v>146.80000000000001</v>
      </c>
      <c r="GU18">
        <v>152.1</v>
      </c>
      <c r="GV18">
        <v>140</v>
      </c>
      <c r="GW18">
        <v>147.30000000000001</v>
      </c>
      <c r="GX18">
        <v>152.1</v>
      </c>
      <c r="GY18">
        <v>140.80000000000001</v>
      </c>
      <c r="GZ18">
        <v>147.69999999999999</v>
      </c>
      <c r="HA18">
        <v>150.69999999999999</v>
      </c>
      <c r="HB18">
        <v>141.5</v>
      </c>
      <c r="HC18">
        <v>148</v>
      </c>
      <c r="HD18">
        <v>151.69999999999999</v>
      </c>
      <c r="HE18">
        <v>142.4</v>
      </c>
      <c r="HF18">
        <v>148</v>
      </c>
      <c r="HG18">
        <v>151.6</v>
      </c>
      <c r="HH18">
        <v>142.69999999999999</v>
      </c>
      <c r="HI18">
        <v>148.1</v>
      </c>
      <c r="HJ18">
        <v>150.6</v>
      </c>
      <c r="HK18">
        <v>143</v>
      </c>
      <c r="HL18">
        <v>147.6</v>
      </c>
      <c r="HM18">
        <v>150.5</v>
      </c>
      <c r="HN18">
        <v>143.30000000000001</v>
      </c>
      <c r="HO18">
        <v>147.69999999999999</v>
      </c>
      <c r="HP18">
        <v>150.80000000000001</v>
      </c>
      <c r="HQ18">
        <v>143.5</v>
      </c>
      <c r="HR18">
        <v>147.9</v>
      </c>
      <c r="HS18">
        <v>151.30000000000001</v>
      </c>
      <c r="HT18">
        <v>144</v>
      </c>
      <c r="HU18">
        <v>148.4</v>
      </c>
      <c r="HV18">
        <v>151.4</v>
      </c>
      <c r="HW18">
        <v>144.30000000000001</v>
      </c>
      <c r="HX18">
        <v>148.6</v>
      </c>
      <c r="HY18">
        <v>151.6</v>
      </c>
      <c r="HZ18">
        <v>144.69999999999999</v>
      </c>
      <c r="IA18">
        <v>148.9</v>
      </c>
      <c r="IB18">
        <v>151.80000000000001</v>
      </c>
      <c r="IC18">
        <v>145</v>
      </c>
      <c r="ID18">
        <v>149.1</v>
      </c>
      <c r="IE18">
        <v>151.69999999999999</v>
      </c>
      <c r="IF18">
        <v>145.30000000000001</v>
      </c>
      <c r="IG18">
        <v>149.19999999999999</v>
      </c>
      <c r="IH18">
        <v>151.69999999999999</v>
      </c>
      <c r="II18">
        <v>145.9</v>
      </c>
      <c r="IJ18">
        <v>149.4</v>
      </c>
      <c r="IK18">
        <v>152.30000000000001</v>
      </c>
      <c r="IL18">
        <v>146.30000000000001</v>
      </c>
      <c r="IM18">
        <v>149.9</v>
      </c>
      <c r="IN18">
        <v>152.6</v>
      </c>
      <c r="IO18">
        <v>146.80000000000001</v>
      </c>
      <c r="IP18">
        <v>150.30000000000001</v>
      </c>
      <c r="IQ18">
        <v>152.80000000000001</v>
      </c>
      <c r="IR18">
        <v>147</v>
      </c>
      <c r="IS18">
        <v>150.5</v>
      </c>
      <c r="IT18">
        <v>153</v>
      </c>
      <c r="IU18">
        <v>147.30000000000001</v>
      </c>
      <c r="IV18">
        <v>150.80000000000001</v>
      </c>
      <c r="IW18">
        <v>153.4</v>
      </c>
      <c r="IX18">
        <v>147.69999999999999</v>
      </c>
      <c r="IY18">
        <v>151.19999999999999</v>
      </c>
      <c r="JF18">
        <v>154.69999999999999</v>
      </c>
      <c r="JG18">
        <v>149.1</v>
      </c>
      <c r="JH18">
        <v>152.5</v>
      </c>
      <c r="JI18">
        <v>154.69999999999999</v>
      </c>
      <c r="JJ18">
        <v>149.1</v>
      </c>
      <c r="JK18">
        <v>152.5</v>
      </c>
      <c r="JL18">
        <v>155.1</v>
      </c>
      <c r="JM18">
        <v>150</v>
      </c>
      <c r="JN18">
        <v>153.1</v>
      </c>
      <c r="JO18">
        <v>155.4</v>
      </c>
      <c r="JP18">
        <v>150.19999999999999</v>
      </c>
      <c r="JQ18">
        <v>153.4</v>
      </c>
      <c r="JR18">
        <v>155.69999999999999</v>
      </c>
      <c r="JS18">
        <v>150.5</v>
      </c>
      <c r="JT18">
        <v>153.69999999999999</v>
      </c>
      <c r="JU18">
        <v>156.30000000000001</v>
      </c>
      <c r="JV18">
        <v>151.1</v>
      </c>
      <c r="JW18">
        <v>154.30000000000001</v>
      </c>
      <c r="JX18">
        <v>157</v>
      </c>
      <c r="JY18">
        <v>151.9</v>
      </c>
      <c r="JZ18">
        <v>155</v>
      </c>
      <c r="KA18">
        <v>157.5</v>
      </c>
      <c r="KB18">
        <v>152.5</v>
      </c>
      <c r="KC18">
        <v>155.5</v>
      </c>
      <c r="KD18">
        <v>159.1</v>
      </c>
      <c r="KE18">
        <v>154.19999999999999</v>
      </c>
      <c r="KF18">
        <v>157.19999999999999</v>
      </c>
      <c r="KG18">
        <v>159.6</v>
      </c>
      <c r="KH18">
        <v>155.1</v>
      </c>
      <c r="KI18">
        <v>157.80000000000001</v>
      </c>
      <c r="KJ18">
        <v>160.69999999999999</v>
      </c>
      <c r="KK18">
        <v>155.9</v>
      </c>
      <c r="KL18">
        <v>158.80000000000001</v>
      </c>
      <c r="KM18">
        <v>165.3</v>
      </c>
      <c r="KN18">
        <v>156.5</v>
      </c>
      <c r="KO18">
        <v>161.80000000000001</v>
      </c>
      <c r="KP18">
        <v>165.3</v>
      </c>
      <c r="KQ18">
        <v>157.30000000000001</v>
      </c>
      <c r="KR18">
        <v>162.19999999999999</v>
      </c>
      <c r="KS18">
        <v>166</v>
      </c>
      <c r="KT18">
        <v>157.9</v>
      </c>
      <c r="KU18">
        <v>162.80000000000001</v>
      </c>
      <c r="KV18">
        <v>167</v>
      </c>
      <c r="KW18">
        <v>159.80000000000001</v>
      </c>
      <c r="KX18">
        <v>164.5</v>
      </c>
      <c r="KY18">
        <v>167.7</v>
      </c>
      <c r="KZ18">
        <v>159.80000000000001</v>
      </c>
      <c r="LA18">
        <v>164.6</v>
      </c>
      <c r="LB18">
        <v>168.9</v>
      </c>
      <c r="LC18">
        <v>160.80000000000001</v>
      </c>
      <c r="LD18">
        <v>165.7</v>
      </c>
      <c r="LE18">
        <v>170.4</v>
      </c>
      <c r="LF18">
        <v>162.30000000000001</v>
      </c>
      <c r="LG18">
        <v>167.2</v>
      </c>
      <c r="LH18">
        <v>171.8</v>
      </c>
      <c r="LI18">
        <v>163.30000000000001</v>
      </c>
      <c r="LJ18">
        <v>168.5</v>
      </c>
      <c r="LK18">
        <v>173.2</v>
      </c>
      <c r="LL18">
        <v>164.7</v>
      </c>
      <c r="LM18">
        <v>169.9</v>
      </c>
      <c r="LN18">
        <v>174.1</v>
      </c>
      <c r="LO18">
        <v>165.7</v>
      </c>
      <c r="LP18">
        <v>170.8</v>
      </c>
      <c r="LQ18">
        <v>175.4</v>
      </c>
      <c r="LR18">
        <v>167.1</v>
      </c>
      <c r="LS18">
        <v>172.1</v>
      </c>
      <c r="LT18">
        <v>177.5</v>
      </c>
      <c r="LU18">
        <v>168.4</v>
      </c>
      <c r="LV18">
        <v>173.9</v>
      </c>
      <c r="LW18">
        <v>179.3</v>
      </c>
      <c r="LX18">
        <v>170</v>
      </c>
      <c r="LY18">
        <v>175.6</v>
      </c>
      <c r="LZ18">
        <v>180.7</v>
      </c>
      <c r="MA18">
        <v>171.6</v>
      </c>
      <c r="MB18">
        <v>177.1</v>
      </c>
      <c r="MC18">
        <v>182</v>
      </c>
      <c r="MD18">
        <v>172.7</v>
      </c>
      <c r="ME18">
        <v>178.3</v>
      </c>
      <c r="MF18">
        <v>183.2</v>
      </c>
      <c r="MG18">
        <v>173.7</v>
      </c>
      <c r="MH18">
        <v>179.5</v>
      </c>
      <c r="MI18">
        <v>184.7</v>
      </c>
      <c r="MJ18">
        <v>175</v>
      </c>
      <c r="MK18">
        <v>180.9</v>
      </c>
      <c r="ML18">
        <v>186.1</v>
      </c>
      <c r="MM18">
        <v>175.5</v>
      </c>
      <c r="MN18">
        <v>181.9</v>
      </c>
      <c r="MO18">
        <v>187.2</v>
      </c>
      <c r="MP18">
        <v>176.7</v>
      </c>
      <c r="MQ18">
        <v>183.1</v>
      </c>
      <c r="MR18">
        <v>188.1</v>
      </c>
      <c r="MS18">
        <v>177.7</v>
      </c>
      <c r="MT18">
        <v>184</v>
      </c>
      <c r="MU18">
        <v>189</v>
      </c>
      <c r="MV18">
        <v>178.7</v>
      </c>
      <c r="MW18">
        <v>184.9</v>
      </c>
      <c r="MX18">
        <v>190</v>
      </c>
      <c r="MY18">
        <v>180.3</v>
      </c>
      <c r="MZ18">
        <v>186.2</v>
      </c>
      <c r="NA18">
        <v>190</v>
      </c>
      <c r="NB18">
        <v>180.2</v>
      </c>
      <c r="NC18">
        <v>186.1</v>
      </c>
      <c r="ND18">
        <v>190.7</v>
      </c>
      <c r="NE18">
        <v>181</v>
      </c>
      <c r="NF18">
        <v>186.9</v>
      </c>
      <c r="NG18">
        <v>191.2</v>
      </c>
      <c r="NH18">
        <v>181.3</v>
      </c>
      <c r="NI18">
        <v>187.3</v>
      </c>
    </row>
    <row r="19" spans="1:373" x14ac:dyDescent="0.3">
      <c r="A19" s="1" t="s">
        <v>18</v>
      </c>
      <c r="B19">
        <v>105.8</v>
      </c>
      <c r="C19">
        <v>105</v>
      </c>
      <c r="D19">
        <v>105.5</v>
      </c>
      <c r="E19">
        <v>106.3</v>
      </c>
      <c r="F19">
        <v>105.5</v>
      </c>
      <c r="G19">
        <v>106</v>
      </c>
      <c r="H19">
        <v>106.8</v>
      </c>
      <c r="I19">
        <v>106</v>
      </c>
      <c r="J19">
        <v>106.5</v>
      </c>
      <c r="K19">
        <v>107.4</v>
      </c>
      <c r="L19">
        <v>106.4</v>
      </c>
      <c r="M19">
        <v>107</v>
      </c>
      <c r="N19">
        <v>107.9</v>
      </c>
      <c r="O19">
        <v>106.7</v>
      </c>
      <c r="P19">
        <v>107.4</v>
      </c>
      <c r="Q19">
        <v>108.8</v>
      </c>
      <c r="R19">
        <v>107.2</v>
      </c>
      <c r="S19">
        <v>108.1</v>
      </c>
      <c r="T19">
        <v>109.5</v>
      </c>
      <c r="U19">
        <v>107.8</v>
      </c>
      <c r="V19">
        <v>108.8</v>
      </c>
      <c r="W19">
        <v>110.2</v>
      </c>
      <c r="X19">
        <v>108.3</v>
      </c>
      <c r="Y19">
        <v>109.4</v>
      </c>
      <c r="Z19">
        <v>111.4</v>
      </c>
      <c r="AA19">
        <v>109</v>
      </c>
      <c r="AB19">
        <v>110.4</v>
      </c>
      <c r="AC19">
        <v>112.3</v>
      </c>
      <c r="AD19">
        <v>109.7</v>
      </c>
      <c r="AE19">
        <v>111.2</v>
      </c>
      <c r="AF19">
        <v>113.1</v>
      </c>
      <c r="AG19">
        <v>110.3</v>
      </c>
      <c r="AH19">
        <v>111.9</v>
      </c>
      <c r="AI19">
        <v>114</v>
      </c>
      <c r="AJ19">
        <v>110.9</v>
      </c>
      <c r="AK19">
        <v>112.7</v>
      </c>
      <c r="AL19">
        <v>114.5</v>
      </c>
      <c r="AM19">
        <v>111.3</v>
      </c>
      <c r="AN19">
        <v>113.2</v>
      </c>
      <c r="AO19">
        <v>114.5</v>
      </c>
      <c r="AP19">
        <v>111.7</v>
      </c>
      <c r="AQ19">
        <v>113.3</v>
      </c>
      <c r="AR19">
        <v>114.9</v>
      </c>
      <c r="AS19">
        <v>112.1</v>
      </c>
      <c r="AT19">
        <v>113.7</v>
      </c>
      <c r="AU19">
        <v>116.1</v>
      </c>
      <c r="AV19">
        <v>112.5</v>
      </c>
      <c r="AW19">
        <v>114.6</v>
      </c>
      <c r="AX19">
        <v>116.8</v>
      </c>
      <c r="AY19">
        <v>112.9</v>
      </c>
      <c r="AZ19">
        <v>115.2</v>
      </c>
      <c r="BA19">
        <v>117.3</v>
      </c>
      <c r="BB19">
        <v>113.2</v>
      </c>
      <c r="BC19">
        <v>115.6</v>
      </c>
      <c r="BD19">
        <v>118.3</v>
      </c>
      <c r="BE19">
        <v>113.6</v>
      </c>
      <c r="BF19">
        <v>116.3</v>
      </c>
      <c r="BG19">
        <v>118.8</v>
      </c>
      <c r="BH19">
        <v>114.1</v>
      </c>
      <c r="BI19">
        <v>116.8</v>
      </c>
      <c r="BJ19">
        <v>119.2</v>
      </c>
      <c r="BK19">
        <v>114.5</v>
      </c>
      <c r="BL19">
        <v>117.2</v>
      </c>
      <c r="BM19">
        <v>120.3</v>
      </c>
      <c r="BN19">
        <v>114.9</v>
      </c>
      <c r="BO19">
        <v>118.1</v>
      </c>
      <c r="BP19">
        <v>120.5</v>
      </c>
      <c r="BQ19">
        <v>115.4</v>
      </c>
      <c r="BR19">
        <v>118.4</v>
      </c>
      <c r="BS19">
        <v>120.6</v>
      </c>
      <c r="BT19">
        <v>115.8</v>
      </c>
      <c r="BU19">
        <v>118.6</v>
      </c>
      <c r="BV19">
        <v>121.6</v>
      </c>
      <c r="BW19">
        <v>116.1</v>
      </c>
      <c r="BX19">
        <v>119.3</v>
      </c>
      <c r="BY19">
        <v>122.7</v>
      </c>
      <c r="BZ19">
        <v>116.5</v>
      </c>
      <c r="CA19">
        <v>120.1</v>
      </c>
      <c r="CB19">
        <v>122.9</v>
      </c>
      <c r="CC19">
        <v>116.9</v>
      </c>
      <c r="CD19">
        <v>120.4</v>
      </c>
      <c r="CE19">
        <v>123.3</v>
      </c>
      <c r="CF19">
        <v>117.2</v>
      </c>
      <c r="CG19">
        <v>120.8</v>
      </c>
      <c r="CH19">
        <v>124.1</v>
      </c>
      <c r="CI19">
        <v>117.4</v>
      </c>
      <c r="CJ19">
        <v>121.3</v>
      </c>
      <c r="CK19">
        <v>125.1</v>
      </c>
      <c r="CL19">
        <v>117.6</v>
      </c>
      <c r="CM19">
        <v>122</v>
      </c>
      <c r="CN19">
        <v>125.5</v>
      </c>
      <c r="CO19">
        <v>117.9</v>
      </c>
      <c r="CP19">
        <v>122.3</v>
      </c>
      <c r="CQ19">
        <v>126.3</v>
      </c>
      <c r="CR19">
        <v>118.2</v>
      </c>
      <c r="CS19">
        <v>122.9</v>
      </c>
      <c r="CT19">
        <v>126.8</v>
      </c>
      <c r="CU19">
        <v>118.6</v>
      </c>
      <c r="CV19">
        <v>123.4</v>
      </c>
      <c r="CW19">
        <v>127.3</v>
      </c>
      <c r="CX19">
        <v>118.8</v>
      </c>
      <c r="CY19">
        <v>123.8</v>
      </c>
      <c r="CZ19">
        <v>128.19999999999999</v>
      </c>
      <c r="DA19">
        <v>119.3</v>
      </c>
      <c r="DB19">
        <v>124.5</v>
      </c>
      <c r="DC19">
        <v>128.5</v>
      </c>
      <c r="DD19">
        <v>119.5</v>
      </c>
      <c r="DE19">
        <v>124.8</v>
      </c>
      <c r="DF19">
        <v>128.9</v>
      </c>
      <c r="DG19">
        <v>119.8</v>
      </c>
      <c r="DH19">
        <v>125.1</v>
      </c>
      <c r="DI19">
        <v>129.80000000000001</v>
      </c>
      <c r="DJ19">
        <v>120.1</v>
      </c>
      <c r="DK19">
        <v>125.8</v>
      </c>
      <c r="DL19">
        <v>130.19999999999999</v>
      </c>
      <c r="DM19">
        <v>120.3</v>
      </c>
      <c r="DN19">
        <v>126.1</v>
      </c>
      <c r="DO19">
        <v>130.6</v>
      </c>
      <c r="DP19">
        <v>120.5</v>
      </c>
      <c r="DQ19">
        <v>126.4</v>
      </c>
      <c r="DR19">
        <v>131.1</v>
      </c>
      <c r="DS19">
        <v>120.7</v>
      </c>
      <c r="DT19">
        <v>126.8</v>
      </c>
      <c r="DU19">
        <v>131.6</v>
      </c>
      <c r="DV19">
        <v>121.1</v>
      </c>
      <c r="DW19">
        <v>127.2</v>
      </c>
      <c r="DX19">
        <v>132.19999999999999</v>
      </c>
      <c r="DY19">
        <v>121.1</v>
      </c>
      <c r="DZ19">
        <v>127.6</v>
      </c>
      <c r="EA19">
        <v>133</v>
      </c>
      <c r="EB19">
        <v>121.4</v>
      </c>
      <c r="EC19">
        <v>128.19999999999999</v>
      </c>
      <c r="ED19">
        <v>133.5</v>
      </c>
      <c r="EE19">
        <v>121.6</v>
      </c>
      <c r="EF19">
        <v>128.6</v>
      </c>
      <c r="EG19">
        <v>134.30000000000001</v>
      </c>
      <c r="EH19">
        <v>121.9</v>
      </c>
      <c r="EI19">
        <v>129.1</v>
      </c>
      <c r="EJ19">
        <v>134.5</v>
      </c>
      <c r="EK19">
        <v>122.1</v>
      </c>
      <c r="EL19">
        <v>129.30000000000001</v>
      </c>
      <c r="EM19">
        <v>135.19999999999999</v>
      </c>
      <c r="EN19">
        <v>122.2</v>
      </c>
      <c r="EO19">
        <v>129.80000000000001</v>
      </c>
      <c r="EP19">
        <v>135.80000000000001</v>
      </c>
      <c r="EQ19">
        <v>122.3</v>
      </c>
      <c r="ER19">
        <v>130.19999999999999</v>
      </c>
      <c r="ES19">
        <v>135.80000000000001</v>
      </c>
      <c r="ET19">
        <v>122.5</v>
      </c>
      <c r="EU19">
        <v>130.30000000000001</v>
      </c>
      <c r="EV19">
        <v>136.19999999999999</v>
      </c>
      <c r="EW19">
        <v>122.8</v>
      </c>
      <c r="EX19">
        <v>130.6</v>
      </c>
      <c r="EY19">
        <v>136.80000000000001</v>
      </c>
      <c r="EZ19">
        <v>123</v>
      </c>
      <c r="FA19">
        <v>131.1</v>
      </c>
      <c r="FB19">
        <v>137.30000000000001</v>
      </c>
      <c r="FC19">
        <v>123.2</v>
      </c>
      <c r="FD19">
        <v>131.4</v>
      </c>
      <c r="FE19">
        <v>137.69999999999999</v>
      </c>
      <c r="FF19">
        <v>123.2</v>
      </c>
      <c r="FG19">
        <v>131.69999999999999</v>
      </c>
      <c r="FH19">
        <v>138.1</v>
      </c>
      <c r="FI19">
        <v>123.7</v>
      </c>
      <c r="FJ19">
        <v>132.1</v>
      </c>
      <c r="FK19">
        <v>139.19999999999999</v>
      </c>
      <c r="FL19">
        <v>124.3</v>
      </c>
      <c r="FM19">
        <v>133</v>
      </c>
      <c r="FN19">
        <v>139.69999999999999</v>
      </c>
      <c r="FO19">
        <v>124.6</v>
      </c>
      <c r="FP19">
        <v>133.4</v>
      </c>
      <c r="FQ19">
        <v>140.6</v>
      </c>
      <c r="FR19">
        <v>124.9</v>
      </c>
      <c r="FS19">
        <v>134.1</v>
      </c>
      <c r="FT19">
        <v>141.5</v>
      </c>
      <c r="FU19">
        <v>125.4</v>
      </c>
      <c r="FV19">
        <v>134.80000000000001</v>
      </c>
      <c r="FW19">
        <v>141.9</v>
      </c>
      <c r="FX19">
        <v>125.6</v>
      </c>
      <c r="FY19">
        <v>135.1</v>
      </c>
      <c r="FZ19">
        <v>142.30000000000001</v>
      </c>
      <c r="GA19">
        <v>125.9</v>
      </c>
      <c r="GB19">
        <v>135.5</v>
      </c>
      <c r="GC19">
        <v>142.4</v>
      </c>
      <c r="GD19">
        <v>126.1</v>
      </c>
      <c r="GE19">
        <v>135.6</v>
      </c>
      <c r="GF19">
        <v>143</v>
      </c>
      <c r="GG19">
        <v>126.7</v>
      </c>
      <c r="GH19">
        <v>136.19999999999999</v>
      </c>
      <c r="GI19">
        <v>143.30000000000001</v>
      </c>
      <c r="GJ19">
        <v>127.4</v>
      </c>
      <c r="GK19">
        <v>136.69999999999999</v>
      </c>
      <c r="GL19">
        <v>144.1</v>
      </c>
      <c r="GM19">
        <v>127.9</v>
      </c>
      <c r="GN19">
        <v>137.4</v>
      </c>
      <c r="GO19">
        <v>144.69999999999999</v>
      </c>
      <c r="GP19">
        <v>128.69999999999999</v>
      </c>
      <c r="GQ19">
        <v>138.1</v>
      </c>
      <c r="GR19">
        <v>145.1</v>
      </c>
      <c r="GS19">
        <v>128.9</v>
      </c>
      <c r="GT19">
        <v>138.4</v>
      </c>
      <c r="GU19">
        <v>145.80000000000001</v>
      </c>
      <c r="GV19">
        <v>129</v>
      </c>
      <c r="GW19">
        <v>138.80000000000001</v>
      </c>
      <c r="GX19">
        <v>146.1</v>
      </c>
      <c r="GY19">
        <v>129.30000000000001</v>
      </c>
      <c r="GZ19">
        <v>139.1</v>
      </c>
      <c r="HA19">
        <v>144.5</v>
      </c>
      <c r="HB19">
        <v>129.80000000000001</v>
      </c>
      <c r="HC19">
        <v>139.19999999999999</v>
      </c>
      <c r="HD19">
        <v>145.5</v>
      </c>
      <c r="HE19">
        <v>130.19999999999999</v>
      </c>
      <c r="HF19">
        <v>139.1</v>
      </c>
      <c r="HG19">
        <v>145.9</v>
      </c>
      <c r="HH19">
        <v>130.30000000000001</v>
      </c>
      <c r="HI19">
        <v>139.4</v>
      </c>
      <c r="HJ19">
        <v>145.1</v>
      </c>
      <c r="HK19">
        <v>130.4</v>
      </c>
      <c r="HL19">
        <v>139</v>
      </c>
      <c r="HM19">
        <v>146.1</v>
      </c>
      <c r="HN19">
        <v>130.80000000000001</v>
      </c>
      <c r="HO19">
        <v>139.69999999999999</v>
      </c>
      <c r="HP19">
        <v>146.1</v>
      </c>
      <c r="HQ19">
        <v>131.19999999999999</v>
      </c>
      <c r="HR19">
        <v>139.9</v>
      </c>
      <c r="HS19">
        <v>146.6</v>
      </c>
      <c r="HT19">
        <v>131.69999999999999</v>
      </c>
      <c r="HU19">
        <v>140.4</v>
      </c>
      <c r="HV19">
        <v>146.5</v>
      </c>
      <c r="HW19">
        <v>131.69999999999999</v>
      </c>
      <c r="HX19">
        <v>140.4</v>
      </c>
      <c r="HY19">
        <v>146.6</v>
      </c>
      <c r="HZ19">
        <v>131.9</v>
      </c>
      <c r="IA19">
        <v>140.5</v>
      </c>
      <c r="IB19">
        <v>146.6</v>
      </c>
      <c r="IC19">
        <v>132.19999999999999</v>
      </c>
      <c r="ID19">
        <v>140.6</v>
      </c>
      <c r="IE19">
        <v>146.6</v>
      </c>
      <c r="IF19">
        <v>132.19999999999999</v>
      </c>
      <c r="IG19">
        <v>140.6</v>
      </c>
      <c r="IH19">
        <v>146.69999999999999</v>
      </c>
      <c r="II19">
        <v>132.4</v>
      </c>
      <c r="IJ19">
        <v>140.80000000000001</v>
      </c>
      <c r="IK19">
        <v>147</v>
      </c>
      <c r="IL19">
        <v>132.6</v>
      </c>
      <c r="IM19">
        <v>141</v>
      </c>
      <c r="IN19">
        <v>147.30000000000001</v>
      </c>
      <c r="IO19">
        <v>132.80000000000001</v>
      </c>
      <c r="IP19">
        <v>141.30000000000001</v>
      </c>
      <c r="IQ19">
        <v>147.4</v>
      </c>
      <c r="IR19">
        <v>133.19999999999999</v>
      </c>
      <c r="IS19">
        <v>141.5</v>
      </c>
      <c r="IT19">
        <v>147.5</v>
      </c>
      <c r="IU19">
        <v>133.5</v>
      </c>
      <c r="IV19">
        <v>141.69999999999999</v>
      </c>
      <c r="IW19">
        <v>147.6</v>
      </c>
      <c r="IX19">
        <v>133.80000000000001</v>
      </c>
      <c r="IY19">
        <v>141.9</v>
      </c>
      <c r="JF19">
        <v>150</v>
      </c>
      <c r="JG19">
        <v>136.6</v>
      </c>
      <c r="JH19">
        <v>144.4</v>
      </c>
      <c r="JI19">
        <v>150</v>
      </c>
      <c r="JJ19">
        <v>136.6</v>
      </c>
      <c r="JK19">
        <v>144.4</v>
      </c>
      <c r="JL19">
        <v>149.30000000000001</v>
      </c>
      <c r="JM19">
        <v>135.19999999999999</v>
      </c>
      <c r="JN19">
        <v>143.4</v>
      </c>
      <c r="JO19">
        <v>149.9</v>
      </c>
      <c r="JP19">
        <v>136.30000000000001</v>
      </c>
      <c r="JQ19">
        <v>144.30000000000001</v>
      </c>
      <c r="JR19">
        <v>150.6</v>
      </c>
      <c r="JS19">
        <v>136.1</v>
      </c>
      <c r="JT19">
        <v>144.6</v>
      </c>
      <c r="JU19">
        <v>151</v>
      </c>
      <c r="JV19">
        <v>136.4</v>
      </c>
      <c r="JW19">
        <v>144.9</v>
      </c>
      <c r="JX19">
        <v>151.6</v>
      </c>
      <c r="JY19">
        <v>136.69999999999999</v>
      </c>
      <c r="JZ19">
        <v>145.4</v>
      </c>
      <c r="KA19">
        <v>152.4</v>
      </c>
      <c r="KB19">
        <v>137.30000000000001</v>
      </c>
      <c r="KC19">
        <v>146.1</v>
      </c>
      <c r="KD19">
        <v>153.9</v>
      </c>
      <c r="KE19">
        <v>138.19999999999999</v>
      </c>
      <c r="KF19">
        <v>147.4</v>
      </c>
      <c r="KG19">
        <v>154.4</v>
      </c>
      <c r="KH19">
        <v>138.69999999999999</v>
      </c>
      <c r="KI19">
        <v>147.9</v>
      </c>
      <c r="KJ19">
        <v>155.1</v>
      </c>
      <c r="KK19">
        <v>139.30000000000001</v>
      </c>
      <c r="KL19">
        <v>148.5</v>
      </c>
      <c r="KM19">
        <v>160.6</v>
      </c>
      <c r="KN19">
        <v>140.19999999999999</v>
      </c>
      <c r="KO19">
        <v>152.1</v>
      </c>
      <c r="KP19">
        <v>159.9</v>
      </c>
      <c r="KQ19">
        <v>140.5</v>
      </c>
      <c r="KR19">
        <v>151.80000000000001</v>
      </c>
      <c r="KS19">
        <v>161.1</v>
      </c>
      <c r="KT19">
        <v>141.9</v>
      </c>
      <c r="KU19">
        <v>153.1</v>
      </c>
      <c r="KV19">
        <v>162.6</v>
      </c>
      <c r="KW19">
        <v>143.6</v>
      </c>
      <c r="KX19">
        <v>155.30000000000001</v>
      </c>
      <c r="KY19">
        <v>163.6</v>
      </c>
      <c r="KZ19">
        <v>143.6</v>
      </c>
      <c r="LA19">
        <v>155.30000000000001</v>
      </c>
      <c r="LB19">
        <v>164.8</v>
      </c>
      <c r="LC19">
        <v>144.4</v>
      </c>
      <c r="LD19">
        <v>156.30000000000001</v>
      </c>
      <c r="LE19">
        <v>166</v>
      </c>
      <c r="LF19">
        <v>145.30000000000001</v>
      </c>
      <c r="LG19">
        <v>157.4</v>
      </c>
      <c r="LH19">
        <v>167.3</v>
      </c>
      <c r="LI19">
        <v>146.69999999999999</v>
      </c>
      <c r="LJ19">
        <v>158.69999999999999</v>
      </c>
      <c r="LK19">
        <v>169.3</v>
      </c>
      <c r="LL19">
        <v>148.5</v>
      </c>
      <c r="LM19">
        <v>160.69999999999999</v>
      </c>
      <c r="LN19">
        <v>171</v>
      </c>
      <c r="LO19">
        <v>150.4</v>
      </c>
      <c r="LP19">
        <v>162.4</v>
      </c>
      <c r="LQ19">
        <v>173.2</v>
      </c>
      <c r="LR19">
        <v>152.6</v>
      </c>
      <c r="LS19">
        <v>164.6</v>
      </c>
      <c r="LT19">
        <v>175.1</v>
      </c>
      <c r="LU19">
        <v>154.5</v>
      </c>
      <c r="LV19">
        <v>166.5</v>
      </c>
      <c r="LW19">
        <v>177.2</v>
      </c>
      <c r="LX19">
        <v>155.9</v>
      </c>
      <c r="LY19">
        <v>168.4</v>
      </c>
      <c r="LZ19">
        <v>178.7</v>
      </c>
      <c r="MA19">
        <v>157.4</v>
      </c>
      <c r="MB19">
        <v>169.9</v>
      </c>
      <c r="MC19">
        <v>180.3</v>
      </c>
      <c r="MD19">
        <v>158.69999999999999</v>
      </c>
      <c r="ME19">
        <v>171.3</v>
      </c>
      <c r="MF19">
        <v>181.7</v>
      </c>
      <c r="MG19">
        <v>160</v>
      </c>
      <c r="MH19">
        <v>172.7</v>
      </c>
      <c r="MI19">
        <v>183.3</v>
      </c>
      <c r="MJ19">
        <v>161.69999999999999</v>
      </c>
      <c r="MK19">
        <v>174.3</v>
      </c>
      <c r="ML19">
        <v>184.4</v>
      </c>
      <c r="MM19">
        <v>162.6</v>
      </c>
      <c r="MN19">
        <v>175.3</v>
      </c>
      <c r="MO19">
        <v>185.2</v>
      </c>
      <c r="MP19">
        <v>163.5</v>
      </c>
      <c r="MQ19">
        <v>176.2</v>
      </c>
      <c r="MR19">
        <v>185.9</v>
      </c>
      <c r="MS19">
        <v>164.5</v>
      </c>
      <c r="MT19">
        <v>177</v>
      </c>
      <c r="MU19">
        <v>186.3</v>
      </c>
      <c r="MV19">
        <v>165.3</v>
      </c>
      <c r="MW19">
        <v>177.6</v>
      </c>
      <c r="MX19">
        <v>187</v>
      </c>
      <c r="MY19">
        <v>167</v>
      </c>
      <c r="MZ19">
        <v>178.7</v>
      </c>
      <c r="NA19">
        <v>187</v>
      </c>
      <c r="NB19">
        <v>167</v>
      </c>
      <c r="NC19">
        <v>178.7</v>
      </c>
      <c r="ND19">
        <v>187.3</v>
      </c>
      <c r="NE19">
        <v>167.7</v>
      </c>
      <c r="NF19">
        <v>179.2</v>
      </c>
      <c r="NG19">
        <v>187.9</v>
      </c>
      <c r="NH19">
        <v>168.1</v>
      </c>
      <c r="NI19">
        <v>179.7</v>
      </c>
    </row>
    <row r="20" spans="1:373" x14ac:dyDescent="0.3">
      <c r="A20" s="1" t="s">
        <v>19</v>
      </c>
      <c r="B20">
        <v>106.4</v>
      </c>
      <c r="C20">
        <v>105.8</v>
      </c>
      <c r="D20">
        <v>106.2</v>
      </c>
      <c r="E20">
        <v>107</v>
      </c>
      <c r="F20">
        <v>106.4</v>
      </c>
      <c r="G20">
        <v>106.8</v>
      </c>
      <c r="H20">
        <v>107.5</v>
      </c>
      <c r="I20">
        <v>107</v>
      </c>
      <c r="J20">
        <v>107.3</v>
      </c>
      <c r="K20">
        <v>108</v>
      </c>
      <c r="L20">
        <v>107.7</v>
      </c>
      <c r="M20">
        <v>107.9</v>
      </c>
      <c r="N20">
        <v>108.6</v>
      </c>
      <c r="O20">
        <v>108.3</v>
      </c>
      <c r="P20">
        <v>108.5</v>
      </c>
      <c r="Q20">
        <v>109.5</v>
      </c>
      <c r="R20">
        <v>108.9</v>
      </c>
      <c r="S20">
        <v>109.3</v>
      </c>
      <c r="T20">
        <v>110.3</v>
      </c>
      <c r="U20">
        <v>109.5</v>
      </c>
      <c r="V20">
        <v>110</v>
      </c>
      <c r="W20">
        <v>111.1</v>
      </c>
      <c r="X20">
        <v>110.2</v>
      </c>
      <c r="Y20">
        <v>110.7</v>
      </c>
      <c r="Z20">
        <v>112.5</v>
      </c>
      <c r="AA20">
        <v>111.1</v>
      </c>
      <c r="AB20">
        <v>111.9</v>
      </c>
      <c r="AC20">
        <v>113.4</v>
      </c>
      <c r="AD20">
        <v>112</v>
      </c>
      <c r="AE20">
        <v>112.8</v>
      </c>
      <c r="AF20">
        <v>114.4</v>
      </c>
      <c r="AG20">
        <v>113</v>
      </c>
      <c r="AH20">
        <v>113.8</v>
      </c>
      <c r="AI20">
        <v>115.5</v>
      </c>
      <c r="AJ20">
        <v>113.7</v>
      </c>
      <c r="AK20">
        <v>114.8</v>
      </c>
      <c r="AL20">
        <v>116.2</v>
      </c>
      <c r="AM20">
        <v>114.3</v>
      </c>
      <c r="AN20">
        <v>115.4</v>
      </c>
      <c r="AO20">
        <v>116.7</v>
      </c>
      <c r="AP20">
        <v>114.7</v>
      </c>
      <c r="AQ20">
        <v>115.9</v>
      </c>
      <c r="AR20">
        <v>117.2</v>
      </c>
      <c r="AS20">
        <v>115.2</v>
      </c>
      <c r="AT20">
        <v>116.4</v>
      </c>
      <c r="AU20">
        <v>117.8</v>
      </c>
      <c r="AV20">
        <v>115.7</v>
      </c>
      <c r="AW20">
        <v>117</v>
      </c>
      <c r="AX20">
        <v>118.5</v>
      </c>
      <c r="AY20">
        <v>116.2</v>
      </c>
      <c r="AZ20">
        <v>117.6</v>
      </c>
      <c r="BA20">
        <v>119.3</v>
      </c>
      <c r="BB20">
        <v>116.7</v>
      </c>
      <c r="BC20">
        <v>118.3</v>
      </c>
      <c r="BD20">
        <v>120.3</v>
      </c>
      <c r="BE20">
        <v>117.4</v>
      </c>
      <c r="BF20">
        <v>119.1</v>
      </c>
      <c r="BG20">
        <v>120.7</v>
      </c>
      <c r="BH20">
        <v>117.9</v>
      </c>
      <c r="BI20">
        <v>119.6</v>
      </c>
      <c r="BJ20">
        <v>121.3</v>
      </c>
      <c r="BK20">
        <v>118.4</v>
      </c>
      <c r="BL20">
        <v>120.1</v>
      </c>
      <c r="BM20">
        <v>122.3</v>
      </c>
      <c r="BN20">
        <v>118.9</v>
      </c>
      <c r="BO20">
        <v>121</v>
      </c>
      <c r="BP20">
        <v>122.9</v>
      </c>
      <c r="BQ20">
        <v>119.5</v>
      </c>
      <c r="BR20">
        <v>121.6</v>
      </c>
      <c r="BS20">
        <v>123.3</v>
      </c>
      <c r="BT20">
        <v>120</v>
      </c>
      <c r="BU20">
        <v>122</v>
      </c>
      <c r="BV20">
        <v>124</v>
      </c>
      <c r="BW20">
        <v>120.2</v>
      </c>
      <c r="BX20">
        <v>122.5</v>
      </c>
      <c r="BY20">
        <v>125</v>
      </c>
      <c r="BZ20">
        <v>120.6</v>
      </c>
      <c r="CA20">
        <v>123.3</v>
      </c>
      <c r="CB20">
        <v>125.5</v>
      </c>
      <c r="CC20">
        <v>120.9</v>
      </c>
      <c r="CD20">
        <v>123.7</v>
      </c>
      <c r="CE20">
        <v>126</v>
      </c>
      <c r="CF20">
        <v>121.3</v>
      </c>
      <c r="CG20">
        <v>124.1</v>
      </c>
      <c r="CH20">
        <v>126.8</v>
      </c>
      <c r="CI20">
        <v>121.6</v>
      </c>
      <c r="CJ20">
        <v>124.7</v>
      </c>
      <c r="CK20">
        <v>128</v>
      </c>
      <c r="CL20">
        <v>122.3</v>
      </c>
      <c r="CM20">
        <v>125.7</v>
      </c>
      <c r="CN20">
        <v>128.30000000000001</v>
      </c>
      <c r="CO20">
        <v>122.7</v>
      </c>
      <c r="CP20">
        <v>126.1</v>
      </c>
      <c r="CQ20">
        <v>129</v>
      </c>
      <c r="CR20">
        <v>122.9</v>
      </c>
      <c r="CS20">
        <v>126.6</v>
      </c>
      <c r="CT20">
        <v>129.9</v>
      </c>
      <c r="CU20">
        <v>123.2</v>
      </c>
      <c r="CV20">
        <v>127.2</v>
      </c>
      <c r="CW20">
        <v>130.6</v>
      </c>
      <c r="CX20">
        <v>123.6</v>
      </c>
      <c r="CY20">
        <v>127.8</v>
      </c>
      <c r="CZ20">
        <v>131.5</v>
      </c>
      <c r="DA20">
        <v>124.2</v>
      </c>
      <c r="DB20">
        <v>128.6</v>
      </c>
      <c r="DC20">
        <v>131.9</v>
      </c>
      <c r="DD20">
        <v>124.5</v>
      </c>
      <c r="DE20">
        <v>129</v>
      </c>
      <c r="DF20">
        <v>132.6</v>
      </c>
      <c r="DG20">
        <v>124.9</v>
      </c>
      <c r="DH20">
        <v>129.5</v>
      </c>
      <c r="DI20">
        <v>133.4</v>
      </c>
      <c r="DJ20">
        <v>125.3</v>
      </c>
      <c r="DK20">
        <v>130.19999999999999</v>
      </c>
      <c r="DL20">
        <v>133.80000000000001</v>
      </c>
      <c r="DM20">
        <v>125.5</v>
      </c>
      <c r="DN20">
        <v>130.5</v>
      </c>
      <c r="DO20">
        <v>134.4</v>
      </c>
      <c r="DP20">
        <v>125.8</v>
      </c>
      <c r="DQ20">
        <v>131</v>
      </c>
      <c r="DR20">
        <v>134.80000000000001</v>
      </c>
      <c r="DS20">
        <v>126.2</v>
      </c>
      <c r="DT20">
        <v>131.4</v>
      </c>
      <c r="DU20">
        <v>135.6</v>
      </c>
      <c r="DV20">
        <v>126.6</v>
      </c>
      <c r="DW20">
        <v>132</v>
      </c>
      <c r="DX20">
        <v>136.5</v>
      </c>
      <c r="DY20">
        <v>126.9</v>
      </c>
      <c r="DZ20">
        <v>132.69999999999999</v>
      </c>
      <c r="EA20">
        <v>137.1</v>
      </c>
      <c r="EB20">
        <v>127.3</v>
      </c>
      <c r="EC20">
        <v>133.19999999999999</v>
      </c>
      <c r="ED20">
        <v>137.80000000000001</v>
      </c>
      <c r="EE20">
        <v>127.7</v>
      </c>
      <c r="EF20">
        <v>133.80000000000001</v>
      </c>
      <c r="EG20">
        <v>138.80000000000001</v>
      </c>
      <c r="EH20">
        <v>128</v>
      </c>
      <c r="EI20">
        <v>134.5</v>
      </c>
      <c r="EJ20">
        <v>139.19999999999999</v>
      </c>
      <c r="EK20">
        <v>128.5</v>
      </c>
      <c r="EL20">
        <v>135</v>
      </c>
      <c r="EM20">
        <v>139.69999999999999</v>
      </c>
      <c r="EN20">
        <v>128.80000000000001</v>
      </c>
      <c r="EO20">
        <v>135.4</v>
      </c>
      <c r="EP20">
        <v>140</v>
      </c>
      <c r="EQ20">
        <v>129</v>
      </c>
      <c r="ER20">
        <v>135.6</v>
      </c>
      <c r="ES20">
        <v>140.19999999999999</v>
      </c>
      <c r="ET20">
        <v>129.30000000000001</v>
      </c>
      <c r="EU20">
        <v>135.9</v>
      </c>
      <c r="EV20">
        <v>140.80000000000001</v>
      </c>
      <c r="EW20">
        <v>129.6</v>
      </c>
      <c r="EX20">
        <v>136.4</v>
      </c>
      <c r="EY20">
        <v>141.6</v>
      </c>
      <c r="EZ20">
        <v>130</v>
      </c>
      <c r="FA20">
        <v>137</v>
      </c>
      <c r="FB20">
        <v>141.80000000000001</v>
      </c>
      <c r="FC20">
        <v>130.19999999999999</v>
      </c>
      <c r="FD20">
        <v>137.19999999999999</v>
      </c>
      <c r="FE20">
        <v>142.30000000000001</v>
      </c>
      <c r="FF20">
        <v>130.19999999999999</v>
      </c>
      <c r="FG20">
        <v>137.5</v>
      </c>
      <c r="FH20">
        <v>143.5</v>
      </c>
      <c r="FI20">
        <v>130.4</v>
      </c>
      <c r="FJ20">
        <v>138.30000000000001</v>
      </c>
      <c r="FK20">
        <v>144.5</v>
      </c>
      <c r="FL20">
        <v>131.4</v>
      </c>
      <c r="FM20">
        <v>139.30000000000001</v>
      </c>
      <c r="FN20">
        <v>145.19999999999999</v>
      </c>
      <c r="FO20">
        <v>132</v>
      </c>
      <c r="FP20">
        <v>140</v>
      </c>
      <c r="FQ20">
        <v>146.19999999999999</v>
      </c>
      <c r="FR20">
        <v>132.6</v>
      </c>
      <c r="FS20">
        <v>140.80000000000001</v>
      </c>
      <c r="FT20">
        <v>147.30000000000001</v>
      </c>
      <c r="FU20">
        <v>133.5</v>
      </c>
      <c r="FV20">
        <v>141.80000000000001</v>
      </c>
      <c r="FW20">
        <v>147.19999999999999</v>
      </c>
      <c r="FX20">
        <v>134</v>
      </c>
      <c r="FY20">
        <v>142</v>
      </c>
      <c r="FZ20">
        <v>147.5</v>
      </c>
      <c r="GA20">
        <v>134.4</v>
      </c>
      <c r="GB20">
        <v>142.30000000000001</v>
      </c>
      <c r="GC20">
        <v>147.80000000000001</v>
      </c>
      <c r="GD20">
        <v>134.69999999999999</v>
      </c>
      <c r="GE20">
        <v>142.6</v>
      </c>
      <c r="GF20">
        <v>148.30000000000001</v>
      </c>
      <c r="GG20">
        <v>135.19999999999999</v>
      </c>
      <c r="GH20">
        <v>143.1</v>
      </c>
      <c r="GI20">
        <v>149.1</v>
      </c>
      <c r="GJ20">
        <v>136.19999999999999</v>
      </c>
      <c r="GK20">
        <v>144</v>
      </c>
      <c r="GL20">
        <v>149.80000000000001</v>
      </c>
      <c r="GM20">
        <v>137</v>
      </c>
      <c r="GN20">
        <v>144.69999999999999</v>
      </c>
      <c r="GO20">
        <v>150.30000000000001</v>
      </c>
      <c r="GP20">
        <v>137.4</v>
      </c>
      <c r="GQ20">
        <v>145.19999999999999</v>
      </c>
      <c r="GR20">
        <v>150.6</v>
      </c>
      <c r="GS20">
        <v>137.9</v>
      </c>
      <c r="GT20">
        <v>145.6</v>
      </c>
      <c r="GU20">
        <v>151.30000000000001</v>
      </c>
      <c r="GV20">
        <v>138.30000000000001</v>
      </c>
      <c r="GW20">
        <v>146.1</v>
      </c>
      <c r="GX20">
        <v>151.30000000000001</v>
      </c>
      <c r="GY20">
        <v>139.1</v>
      </c>
      <c r="GZ20">
        <v>146.5</v>
      </c>
      <c r="HA20">
        <v>149.80000000000001</v>
      </c>
      <c r="HB20">
        <v>139.69999999999999</v>
      </c>
      <c r="HC20">
        <v>146.80000000000001</v>
      </c>
      <c r="HD20">
        <v>150.80000000000001</v>
      </c>
      <c r="HE20">
        <v>140.5</v>
      </c>
      <c r="HF20">
        <v>146.69999999999999</v>
      </c>
      <c r="HG20">
        <v>150.80000000000001</v>
      </c>
      <c r="HH20">
        <v>140.80000000000001</v>
      </c>
      <c r="HI20">
        <v>146.80000000000001</v>
      </c>
      <c r="HJ20">
        <v>149.9</v>
      </c>
      <c r="HK20">
        <v>141.1</v>
      </c>
      <c r="HL20">
        <v>146.4</v>
      </c>
      <c r="HM20">
        <v>149.9</v>
      </c>
      <c r="HN20">
        <v>141.4</v>
      </c>
      <c r="HO20">
        <v>146.5</v>
      </c>
      <c r="HP20">
        <v>150.1</v>
      </c>
      <c r="HQ20">
        <v>141.6</v>
      </c>
      <c r="HR20">
        <v>146.69999999999999</v>
      </c>
      <c r="HS20">
        <v>150.69999999999999</v>
      </c>
      <c r="HT20">
        <v>142.19999999999999</v>
      </c>
      <c r="HU20">
        <v>147.30000000000001</v>
      </c>
      <c r="HV20">
        <v>150.69999999999999</v>
      </c>
      <c r="HW20">
        <v>142.4</v>
      </c>
      <c r="HX20">
        <v>147.4</v>
      </c>
      <c r="HY20">
        <v>150.9</v>
      </c>
      <c r="HZ20">
        <v>142.69999999999999</v>
      </c>
      <c r="IA20">
        <v>147.6</v>
      </c>
      <c r="IB20">
        <v>151.1</v>
      </c>
      <c r="IC20">
        <v>143</v>
      </c>
      <c r="ID20">
        <v>147.9</v>
      </c>
      <c r="IE20">
        <v>151</v>
      </c>
      <c r="IF20">
        <v>143.30000000000001</v>
      </c>
      <c r="IG20">
        <v>147.9</v>
      </c>
      <c r="IH20">
        <v>151</v>
      </c>
      <c r="II20">
        <v>143.9</v>
      </c>
      <c r="IJ20">
        <v>148.19999999999999</v>
      </c>
      <c r="IK20">
        <v>151.5</v>
      </c>
      <c r="IL20">
        <v>144.19999999999999</v>
      </c>
      <c r="IM20">
        <v>148.6</v>
      </c>
      <c r="IN20">
        <v>151.9</v>
      </c>
      <c r="IO20">
        <v>144.6</v>
      </c>
      <c r="IP20">
        <v>149</v>
      </c>
      <c r="IQ20">
        <v>152.1</v>
      </c>
      <c r="IR20">
        <v>144.9</v>
      </c>
      <c r="IS20">
        <v>149.19999999999999</v>
      </c>
      <c r="IT20">
        <v>152.30000000000001</v>
      </c>
      <c r="IU20">
        <v>145.19999999999999</v>
      </c>
      <c r="IV20">
        <v>149.5</v>
      </c>
      <c r="IW20">
        <v>152.5</v>
      </c>
      <c r="IX20">
        <v>145.6</v>
      </c>
      <c r="IY20">
        <v>149.80000000000001</v>
      </c>
      <c r="JF20">
        <v>154.1</v>
      </c>
      <c r="JG20">
        <v>147.19999999999999</v>
      </c>
      <c r="JH20">
        <v>151.4</v>
      </c>
      <c r="JI20">
        <v>154.1</v>
      </c>
      <c r="JJ20">
        <v>147.19999999999999</v>
      </c>
      <c r="JK20">
        <v>151.4</v>
      </c>
      <c r="JL20">
        <v>154.30000000000001</v>
      </c>
      <c r="JM20">
        <v>147.80000000000001</v>
      </c>
      <c r="JN20">
        <v>151.69999999999999</v>
      </c>
      <c r="JO20">
        <v>154.6</v>
      </c>
      <c r="JP20">
        <v>148.1</v>
      </c>
      <c r="JQ20">
        <v>152</v>
      </c>
      <c r="JR20">
        <v>155</v>
      </c>
      <c r="JS20">
        <v>148.30000000000001</v>
      </c>
      <c r="JT20">
        <v>152.30000000000001</v>
      </c>
      <c r="JU20">
        <v>155.5</v>
      </c>
      <c r="JV20">
        <v>148.80000000000001</v>
      </c>
      <c r="JW20">
        <v>152.80000000000001</v>
      </c>
      <c r="JX20">
        <v>156.30000000000001</v>
      </c>
      <c r="JY20">
        <v>149.6</v>
      </c>
      <c r="JZ20">
        <v>153.6</v>
      </c>
      <c r="KA20">
        <v>156.80000000000001</v>
      </c>
      <c r="KB20">
        <v>150.19999999999999</v>
      </c>
      <c r="KC20">
        <v>154.19999999999999</v>
      </c>
      <c r="KD20">
        <v>158.4</v>
      </c>
      <c r="KE20">
        <v>151.80000000000001</v>
      </c>
      <c r="KF20">
        <v>155.80000000000001</v>
      </c>
      <c r="KG20">
        <v>158.9</v>
      </c>
      <c r="KH20">
        <v>152.6</v>
      </c>
      <c r="KI20">
        <v>156.4</v>
      </c>
      <c r="KJ20">
        <v>159.9</v>
      </c>
      <c r="KK20">
        <v>153.4</v>
      </c>
      <c r="KL20">
        <v>157.30000000000001</v>
      </c>
      <c r="KM20">
        <v>164.5</v>
      </c>
      <c r="KN20">
        <v>154.1</v>
      </c>
      <c r="KO20">
        <v>160.4</v>
      </c>
      <c r="KP20">
        <v>164.6</v>
      </c>
      <c r="KQ20">
        <v>154.80000000000001</v>
      </c>
      <c r="KR20">
        <v>160.69999999999999</v>
      </c>
      <c r="KS20">
        <v>165.3</v>
      </c>
      <c r="KT20">
        <v>155.5</v>
      </c>
      <c r="KU20">
        <v>161.4</v>
      </c>
      <c r="KV20">
        <v>166.3</v>
      </c>
      <c r="KW20">
        <v>157.30000000000001</v>
      </c>
      <c r="KX20">
        <v>163.19999999999999</v>
      </c>
      <c r="KY20">
        <v>167.1</v>
      </c>
      <c r="KZ20">
        <v>157.4</v>
      </c>
      <c r="LA20">
        <v>163.30000000000001</v>
      </c>
      <c r="LB20">
        <v>168.3</v>
      </c>
      <c r="LC20">
        <v>158.30000000000001</v>
      </c>
      <c r="LD20">
        <v>164.3</v>
      </c>
      <c r="LE20">
        <v>169.8</v>
      </c>
      <c r="LF20">
        <v>159.69999999999999</v>
      </c>
      <c r="LG20">
        <v>165.8</v>
      </c>
      <c r="LH20">
        <v>171.2</v>
      </c>
      <c r="LI20">
        <v>160.69999999999999</v>
      </c>
      <c r="LJ20">
        <v>167</v>
      </c>
      <c r="LK20">
        <v>172.7</v>
      </c>
      <c r="LL20">
        <v>162.19999999999999</v>
      </c>
      <c r="LM20">
        <v>168.5</v>
      </c>
      <c r="LN20">
        <v>173.7</v>
      </c>
      <c r="LO20">
        <v>163.4</v>
      </c>
      <c r="LP20">
        <v>169.6</v>
      </c>
      <c r="LQ20">
        <v>175.1</v>
      </c>
      <c r="LR20">
        <v>164.9</v>
      </c>
      <c r="LS20">
        <v>171.1</v>
      </c>
      <c r="LT20">
        <v>177.1</v>
      </c>
      <c r="LU20">
        <v>166.3</v>
      </c>
      <c r="LV20">
        <v>172.8</v>
      </c>
      <c r="LW20">
        <v>179</v>
      </c>
      <c r="LX20">
        <v>167.8</v>
      </c>
      <c r="LY20">
        <v>174.6</v>
      </c>
      <c r="LZ20">
        <v>180.4</v>
      </c>
      <c r="MA20">
        <v>169.4</v>
      </c>
      <c r="MB20">
        <v>176</v>
      </c>
      <c r="MC20">
        <v>181.7</v>
      </c>
      <c r="MD20">
        <v>170.6</v>
      </c>
      <c r="ME20">
        <v>177.3</v>
      </c>
      <c r="MF20">
        <v>183</v>
      </c>
      <c r="MG20">
        <v>171.6</v>
      </c>
      <c r="MH20">
        <v>178.5</v>
      </c>
      <c r="MI20">
        <v>184.5</v>
      </c>
      <c r="MJ20">
        <v>173</v>
      </c>
      <c r="MK20">
        <v>179.9</v>
      </c>
      <c r="ML20">
        <v>185.9</v>
      </c>
      <c r="MM20">
        <v>173.6</v>
      </c>
      <c r="MN20">
        <v>181</v>
      </c>
      <c r="MO20">
        <v>186.9</v>
      </c>
      <c r="MP20">
        <v>174.7</v>
      </c>
      <c r="MQ20">
        <v>182.1</v>
      </c>
      <c r="MR20">
        <v>187.8</v>
      </c>
      <c r="MS20">
        <v>175.7</v>
      </c>
      <c r="MT20">
        <v>183</v>
      </c>
      <c r="MU20">
        <v>188.6</v>
      </c>
      <c r="MV20">
        <v>176.6</v>
      </c>
      <c r="MW20">
        <v>183.8</v>
      </c>
      <c r="MX20">
        <v>189.6</v>
      </c>
      <c r="MY20">
        <v>178.2</v>
      </c>
      <c r="MZ20">
        <v>185.1</v>
      </c>
      <c r="NA20">
        <v>189.6</v>
      </c>
      <c r="NB20">
        <v>178.2</v>
      </c>
      <c r="NC20">
        <v>185.1</v>
      </c>
      <c r="ND20">
        <v>190.2</v>
      </c>
      <c r="NE20">
        <v>178.9</v>
      </c>
      <c r="NF20">
        <v>185.7</v>
      </c>
      <c r="NG20">
        <v>190.8</v>
      </c>
      <c r="NH20">
        <v>179.3</v>
      </c>
      <c r="NI20">
        <v>186.2</v>
      </c>
    </row>
    <row r="21" spans="1:373" x14ac:dyDescent="0.3">
      <c r="A21" s="1" t="s">
        <v>20</v>
      </c>
      <c r="C21">
        <v>100.3</v>
      </c>
      <c r="D21">
        <v>100.3</v>
      </c>
      <c r="F21">
        <v>100.4</v>
      </c>
      <c r="G21">
        <v>100.4</v>
      </c>
      <c r="I21">
        <v>100.4</v>
      </c>
      <c r="J21">
        <v>100.4</v>
      </c>
      <c r="L21">
        <v>100.5</v>
      </c>
      <c r="M21">
        <v>100.5</v>
      </c>
      <c r="O21">
        <v>100.5</v>
      </c>
      <c r="P21">
        <v>100.5</v>
      </c>
      <c r="R21">
        <v>106.6</v>
      </c>
      <c r="S21">
        <v>106.6</v>
      </c>
      <c r="U21">
        <v>107.7</v>
      </c>
      <c r="V21">
        <v>107.7</v>
      </c>
      <c r="X21">
        <v>108.9</v>
      </c>
      <c r="Y21">
        <v>108.9</v>
      </c>
      <c r="AA21">
        <v>109.7</v>
      </c>
      <c r="AB21">
        <v>109.7</v>
      </c>
      <c r="AD21">
        <v>110.5</v>
      </c>
      <c r="AE21">
        <v>110.5</v>
      </c>
      <c r="AG21">
        <v>111.1</v>
      </c>
      <c r="AH21">
        <v>111.1</v>
      </c>
      <c r="AJ21">
        <v>110.7</v>
      </c>
      <c r="AK21">
        <v>110.7</v>
      </c>
      <c r="AM21">
        <v>111.6</v>
      </c>
      <c r="AN21">
        <v>111.6</v>
      </c>
      <c r="AP21">
        <v>112.5</v>
      </c>
      <c r="AQ21">
        <v>112.5</v>
      </c>
      <c r="AS21">
        <v>113.2</v>
      </c>
      <c r="AT21">
        <v>113.2</v>
      </c>
      <c r="AV21">
        <v>113.9</v>
      </c>
      <c r="AW21">
        <v>113.9</v>
      </c>
      <c r="AY21">
        <v>114.3</v>
      </c>
      <c r="AZ21">
        <v>114.3</v>
      </c>
      <c r="BB21">
        <v>113.9</v>
      </c>
      <c r="BC21">
        <v>113.9</v>
      </c>
      <c r="BE21">
        <v>114.8</v>
      </c>
      <c r="BF21">
        <v>114.8</v>
      </c>
      <c r="BH21">
        <v>115.5</v>
      </c>
      <c r="BI21">
        <v>115.5</v>
      </c>
      <c r="BK21">
        <v>116.1</v>
      </c>
      <c r="BL21">
        <v>116.1</v>
      </c>
      <c r="BN21">
        <v>116.7</v>
      </c>
      <c r="BO21">
        <v>116.7</v>
      </c>
      <c r="BQ21">
        <v>117.1</v>
      </c>
      <c r="BR21">
        <v>117.1</v>
      </c>
      <c r="BT21">
        <v>116.5</v>
      </c>
      <c r="BU21">
        <v>116.5</v>
      </c>
      <c r="BW21">
        <v>117.3</v>
      </c>
      <c r="BX21">
        <v>117.3</v>
      </c>
      <c r="BZ21">
        <v>118.1</v>
      </c>
      <c r="CA21">
        <v>118.1</v>
      </c>
      <c r="CC21">
        <v>118.6</v>
      </c>
      <c r="CD21">
        <v>118.6</v>
      </c>
      <c r="CF21">
        <v>119.2</v>
      </c>
      <c r="CG21">
        <v>119.2</v>
      </c>
      <c r="CI21">
        <v>119.6</v>
      </c>
      <c r="CJ21">
        <v>119.6</v>
      </c>
      <c r="CL21">
        <v>119</v>
      </c>
      <c r="CM21">
        <v>119</v>
      </c>
      <c r="CO21">
        <v>119.9</v>
      </c>
      <c r="CP21">
        <v>119.9</v>
      </c>
      <c r="CR21">
        <v>120.9</v>
      </c>
      <c r="CS21">
        <v>120.9</v>
      </c>
      <c r="CU21">
        <v>121.6</v>
      </c>
      <c r="CV21">
        <v>121.6</v>
      </c>
      <c r="CX21">
        <v>122.4</v>
      </c>
      <c r="CY21">
        <v>122.4</v>
      </c>
      <c r="DA21">
        <v>122.9</v>
      </c>
      <c r="DB21">
        <v>122.9</v>
      </c>
      <c r="DD21">
        <v>122.4</v>
      </c>
      <c r="DE21">
        <v>122.4</v>
      </c>
      <c r="DG21">
        <v>123.4</v>
      </c>
      <c r="DH21">
        <v>123.4</v>
      </c>
      <c r="DJ21">
        <v>124.4</v>
      </c>
      <c r="DK21">
        <v>124.4</v>
      </c>
      <c r="DM21">
        <v>124.9</v>
      </c>
      <c r="DN21">
        <v>124.9</v>
      </c>
      <c r="DP21">
        <v>125.6</v>
      </c>
      <c r="DQ21">
        <v>125.6</v>
      </c>
      <c r="DS21">
        <v>126</v>
      </c>
      <c r="DT21">
        <v>126</v>
      </c>
      <c r="DV21">
        <v>125.5</v>
      </c>
      <c r="DW21">
        <v>125.5</v>
      </c>
      <c r="DY21">
        <v>126.4</v>
      </c>
      <c r="DZ21">
        <v>126.4</v>
      </c>
      <c r="EB21">
        <v>127.3</v>
      </c>
      <c r="EC21">
        <v>127.3</v>
      </c>
      <c r="EE21">
        <v>127.9</v>
      </c>
      <c r="EF21">
        <v>127.9</v>
      </c>
      <c r="EH21">
        <v>128.69999999999999</v>
      </c>
      <c r="EI21">
        <v>128.69999999999999</v>
      </c>
      <c r="EK21">
        <v>129.1</v>
      </c>
      <c r="EL21">
        <v>129.1</v>
      </c>
      <c r="EN21">
        <v>128.5</v>
      </c>
      <c r="EO21">
        <v>128.5</v>
      </c>
      <c r="EQ21">
        <v>129.6</v>
      </c>
      <c r="ER21">
        <v>129.6</v>
      </c>
      <c r="ET21">
        <v>130.5</v>
      </c>
      <c r="EU21">
        <v>130.5</v>
      </c>
      <c r="EW21">
        <v>131.1</v>
      </c>
      <c r="EX21">
        <v>131.1</v>
      </c>
      <c r="EZ21">
        <v>131.69999999999999</v>
      </c>
      <c r="FA21">
        <v>131.69999999999999</v>
      </c>
      <c r="FC21">
        <v>132.1</v>
      </c>
      <c r="FD21">
        <v>132.1</v>
      </c>
      <c r="FF21">
        <v>131.4</v>
      </c>
      <c r="FG21">
        <v>131.4</v>
      </c>
      <c r="FI21">
        <v>132.6</v>
      </c>
      <c r="FJ21">
        <v>132.6</v>
      </c>
      <c r="FL21">
        <v>134.4</v>
      </c>
      <c r="FM21">
        <v>134.4</v>
      </c>
      <c r="FO21">
        <v>135.69999999999999</v>
      </c>
      <c r="FP21">
        <v>135.69999999999999</v>
      </c>
      <c r="FR21">
        <v>137.30000000000001</v>
      </c>
      <c r="FS21">
        <v>137.30000000000001</v>
      </c>
      <c r="FU21">
        <v>138.6</v>
      </c>
      <c r="FV21">
        <v>138.6</v>
      </c>
      <c r="FX21">
        <v>139.1</v>
      </c>
      <c r="FY21">
        <v>139.1</v>
      </c>
      <c r="GA21">
        <v>140.4</v>
      </c>
      <c r="GB21">
        <v>140.4</v>
      </c>
      <c r="GD21">
        <v>141.30000000000001</v>
      </c>
      <c r="GE21">
        <v>141.30000000000001</v>
      </c>
      <c r="GG21">
        <v>142</v>
      </c>
      <c r="GH21">
        <v>142</v>
      </c>
      <c r="GJ21">
        <v>142.9</v>
      </c>
      <c r="GK21">
        <v>142.9</v>
      </c>
      <c r="GM21">
        <v>143.19999999999999</v>
      </c>
      <c r="GN21">
        <v>143.19999999999999</v>
      </c>
      <c r="GP21">
        <v>142.5</v>
      </c>
      <c r="GQ21">
        <v>142.5</v>
      </c>
      <c r="GS21">
        <v>143.6</v>
      </c>
      <c r="GT21">
        <v>143.6</v>
      </c>
      <c r="GV21">
        <v>144.6</v>
      </c>
      <c r="GW21">
        <v>144.6</v>
      </c>
      <c r="GY21">
        <v>145.30000000000001</v>
      </c>
      <c r="GZ21">
        <v>145.30000000000001</v>
      </c>
      <c r="HB21">
        <v>146.30000000000001</v>
      </c>
      <c r="HC21">
        <v>146.9</v>
      </c>
      <c r="HE21">
        <v>146.9</v>
      </c>
      <c r="HF21">
        <v>146.9</v>
      </c>
      <c r="HH21">
        <v>146.5</v>
      </c>
      <c r="HI21">
        <v>146.5</v>
      </c>
      <c r="HK21">
        <v>147.69999999999999</v>
      </c>
      <c r="HL21">
        <v>147.69999999999999</v>
      </c>
      <c r="HN21">
        <v>148.5</v>
      </c>
      <c r="HO21">
        <v>148.5</v>
      </c>
      <c r="HQ21">
        <v>149</v>
      </c>
      <c r="HR21">
        <v>149</v>
      </c>
      <c r="HT21">
        <v>150.1</v>
      </c>
      <c r="HU21">
        <v>150.1</v>
      </c>
      <c r="HW21">
        <v>149.4</v>
      </c>
      <c r="HX21">
        <v>149.4</v>
      </c>
      <c r="HZ21">
        <v>150.6</v>
      </c>
      <c r="IA21">
        <v>150.6</v>
      </c>
      <c r="IC21">
        <v>151.6</v>
      </c>
      <c r="ID21">
        <v>151.6</v>
      </c>
      <c r="IF21">
        <v>152.19999999999999</v>
      </c>
      <c r="IG21">
        <v>152.19999999999999</v>
      </c>
      <c r="II21">
        <v>153</v>
      </c>
      <c r="IJ21">
        <v>153</v>
      </c>
      <c r="IL21">
        <v>153.5</v>
      </c>
      <c r="IM21">
        <v>153.5</v>
      </c>
      <c r="IO21">
        <v>152.80000000000001</v>
      </c>
      <c r="IP21">
        <v>152.80000000000001</v>
      </c>
      <c r="IR21">
        <v>153.9</v>
      </c>
      <c r="IS21">
        <v>153.9</v>
      </c>
      <c r="IU21">
        <v>154.80000000000001</v>
      </c>
      <c r="IV21">
        <v>154.80000000000001</v>
      </c>
      <c r="IX21">
        <v>154.5</v>
      </c>
      <c r="IY21">
        <v>154.5</v>
      </c>
      <c r="JA21">
        <v>155.6</v>
      </c>
      <c r="JB21">
        <v>155.6</v>
      </c>
      <c r="JG21">
        <v>154.69999999999999</v>
      </c>
      <c r="JH21">
        <v>154.69999999999999</v>
      </c>
      <c r="JJ21">
        <v>154.69999999999999</v>
      </c>
      <c r="JK21">
        <v>154.69999999999999</v>
      </c>
      <c r="JM21">
        <v>155.5</v>
      </c>
      <c r="JN21">
        <v>155.5</v>
      </c>
      <c r="JP21">
        <v>156.30000000000001</v>
      </c>
      <c r="JQ21">
        <v>156.30000000000001</v>
      </c>
      <c r="JS21">
        <v>156.5</v>
      </c>
      <c r="JT21">
        <v>156.5</v>
      </c>
      <c r="JV21">
        <v>158</v>
      </c>
      <c r="JW21">
        <v>158</v>
      </c>
      <c r="JY21">
        <v>158.4</v>
      </c>
      <c r="JZ21">
        <v>158.4</v>
      </c>
      <c r="KB21">
        <v>157.69999999999999</v>
      </c>
      <c r="KC21">
        <v>157.69999999999999</v>
      </c>
      <c r="KE21">
        <v>159.80000000000001</v>
      </c>
      <c r="KF21">
        <v>159.80000000000001</v>
      </c>
      <c r="KH21">
        <v>159.9</v>
      </c>
      <c r="KI21">
        <v>159.9</v>
      </c>
      <c r="KK21">
        <v>161.4</v>
      </c>
      <c r="KL21">
        <v>161.4</v>
      </c>
      <c r="KN21">
        <v>161.6</v>
      </c>
      <c r="KO21">
        <v>161.6</v>
      </c>
      <c r="KQ21">
        <v>160.5</v>
      </c>
      <c r="KR21">
        <v>160.5</v>
      </c>
      <c r="KT21">
        <v>161.5</v>
      </c>
      <c r="KU21">
        <v>161.5</v>
      </c>
      <c r="KW21">
        <v>162.1</v>
      </c>
      <c r="KX21">
        <v>162.1</v>
      </c>
      <c r="KZ21">
        <v>162.1</v>
      </c>
      <c r="LA21">
        <v>162.1</v>
      </c>
      <c r="LC21">
        <v>163.6</v>
      </c>
      <c r="LD21">
        <v>163.6</v>
      </c>
      <c r="LF21">
        <v>164.2</v>
      </c>
      <c r="LG21">
        <v>164.2</v>
      </c>
      <c r="LI21">
        <v>163.4</v>
      </c>
      <c r="LJ21">
        <v>163.4</v>
      </c>
      <c r="LL21">
        <v>164.5</v>
      </c>
      <c r="LM21">
        <v>164.5</v>
      </c>
      <c r="LO21">
        <v>165.5</v>
      </c>
      <c r="LP21">
        <v>165.5</v>
      </c>
      <c r="LR21">
        <v>165.3</v>
      </c>
      <c r="LS21">
        <v>165.3</v>
      </c>
      <c r="LU21">
        <v>167</v>
      </c>
      <c r="LV21">
        <v>167</v>
      </c>
      <c r="LX21">
        <v>167.5</v>
      </c>
      <c r="LY21">
        <v>167.5</v>
      </c>
      <c r="MA21">
        <v>166.8</v>
      </c>
      <c r="MB21">
        <v>166.8</v>
      </c>
      <c r="MD21">
        <v>167.8</v>
      </c>
      <c r="ME21">
        <v>167.8</v>
      </c>
      <c r="MG21">
        <v>169</v>
      </c>
      <c r="MH21">
        <v>169</v>
      </c>
      <c r="MJ21">
        <v>169.5</v>
      </c>
      <c r="MK21">
        <v>169.5</v>
      </c>
      <c r="MM21">
        <v>171.2</v>
      </c>
      <c r="MN21">
        <v>171.2</v>
      </c>
      <c r="MP21">
        <v>171.8</v>
      </c>
      <c r="MQ21">
        <v>171.8</v>
      </c>
      <c r="MS21">
        <v>170.7</v>
      </c>
      <c r="MT21">
        <v>170.7</v>
      </c>
      <c r="MV21">
        <v>172.1</v>
      </c>
      <c r="MW21">
        <v>172.1</v>
      </c>
      <c r="MY21">
        <v>173.5</v>
      </c>
      <c r="MZ21">
        <v>173.5</v>
      </c>
      <c r="NB21">
        <v>173.5</v>
      </c>
      <c r="NC21">
        <v>173.5</v>
      </c>
      <c r="NE21">
        <v>175.2</v>
      </c>
      <c r="NF21">
        <v>175.2</v>
      </c>
      <c r="NH21">
        <v>175.6</v>
      </c>
      <c r="NI21">
        <v>175.6</v>
      </c>
    </row>
    <row r="22" spans="1:373" x14ac:dyDescent="0.3">
      <c r="A22" s="1" t="s">
        <v>21</v>
      </c>
      <c r="B22">
        <v>105.5</v>
      </c>
      <c r="C22">
        <v>105.4</v>
      </c>
      <c r="D22">
        <v>105.5</v>
      </c>
      <c r="E22">
        <v>106.2</v>
      </c>
      <c r="F22">
        <v>105.7</v>
      </c>
      <c r="G22">
        <v>106</v>
      </c>
      <c r="H22">
        <v>106.1</v>
      </c>
      <c r="I22">
        <v>106</v>
      </c>
      <c r="J22">
        <v>106.1</v>
      </c>
      <c r="K22">
        <v>106.5</v>
      </c>
      <c r="L22">
        <v>106.4</v>
      </c>
      <c r="M22">
        <v>106.5</v>
      </c>
      <c r="N22">
        <v>107.5</v>
      </c>
      <c r="O22">
        <v>107.2</v>
      </c>
      <c r="P22">
        <v>107.4</v>
      </c>
      <c r="Q22">
        <v>108.5</v>
      </c>
      <c r="R22">
        <v>108</v>
      </c>
      <c r="S22">
        <v>108.3</v>
      </c>
      <c r="T22">
        <v>109.5</v>
      </c>
      <c r="U22">
        <v>108.6</v>
      </c>
      <c r="V22">
        <v>109.2</v>
      </c>
      <c r="W22">
        <v>109.9</v>
      </c>
      <c r="X22">
        <v>109.3</v>
      </c>
      <c r="Y22">
        <v>109.7</v>
      </c>
      <c r="Z22">
        <v>111.1</v>
      </c>
      <c r="AA22">
        <v>109.5</v>
      </c>
      <c r="AB22">
        <v>110.5</v>
      </c>
      <c r="AC22">
        <v>111.6</v>
      </c>
      <c r="AD22">
        <v>109.7</v>
      </c>
      <c r="AE22">
        <v>110.9</v>
      </c>
      <c r="AF22">
        <v>112.6</v>
      </c>
      <c r="AG22">
        <v>110</v>
      </c>
      <c r="AH22">
        <v>111.6</v>
      </c>
      <c r="AI22">
        <v>112.8</v>
      </c>
      <c r="AJ22">
        <v>110.4</v>
      </c>
      <c r="AK22">
        <v>111.9</v>
      </c>
      <c r="AL22">
        <v>113</v>
      </c>
      <c r="AM22">
        <v>111</v>
      </c>
      <c r="AN22">
        <v>112.2</v>
      </c>
      <c r="AO22">
        <v>113.2</v>
      </c>
      <c r="AP22">
        <v>111.1</v>
      </c>
      <c r="AQ22">
        <v>112.4</v>
      </c>
      <c r="AR22">
        <v>113.4</v>
      </c>
      <c r="AS22">
        <v>110.9</v>
      </c>
      <c r="AT22">
        <v>112.5</v>
      </c>
      <c r="AU22">
        <v>113.4</v>
      </c>
      <c r="AV22">
        <v>110.9</v>
      </c>
      <c r="AW22">
        <v>112.5</v>
      </c>
      <c r="AX22">
        <v>113.4</v>
      </c>
      <c r="AY22">
        <v>111.1</v>
      </c>
      <c r="AZ22">
        <v>112.5</v>
      </c>
      <c r="BA22">
        <v>114.4</v>
      </c>
      <c r="BB22">
        <v>111.2</v>
      </c>
      <c r="BC22">
        <v>113.2</v>
      </c>
      <c r="BD22">
        <v>115.3</v>
      </c>
      <c r="BE22">
        <v>111.6</v>
      </c>
      <c r="BF22">
        <v>113.9</v>
      </c>
      <c r="BG22">
        <v>115.4</v>
      </c>
      <c r="BH22">
        <v>111.8</v>
      </c>
      <c r="BI22">
        <v>114</v>
      </c>
      <c r="BJ22">
        <v>115.8</v>
      </c>
      <c r="BK22">
        <v>111.8</v>
      </c>
      <c r="BL22">
        <v>114.3</v>
      </c>
      <c r="BM22">
        <v>116.4</v>
      </c>
      <c r="BN22">
        <v>112</v>
      </c>
      <c r="BO22">
        <v>114.7</v>
      </c>
      <c r="BP22">
        <v>117.3</v>
      </c>
      <c r="BQ22">
        <v>112.6</v>
      </c>
      <c r="BR22">
        <v>115.5</v>
      </c>
      <c r="BS22">
        <v>117.4</v>
      </c>
      <c r="BT22">
        <v>113</v>
      </c>
      <c r="BU22">
        <v>115.7</v>
      </c>
      <c r="BV22">
        <v>118.4</v>
      </c>
      <c r="BW22">
        <v>113.4</v>
      </c>
      <c r="BX22">
        <v>116.5</v>
      </c>
      <c r="BY22">
        <v>120</v>
      </c>
      <c r="BZ22">
        <v>114</v>
      </c>
      <c r="CA22">
        <v>117.7</v>
      </c>
      <c r="CB22">
        <v>120.6</v>
      </c>
      <c r="CC22">
        <v>114.4</v>
      </c>
      <c r="CD22">
        <v>118.3</v>
      </c>
      <c r="CE22">
        <v>121.2</v>
      </c>
      <c r="CF22">
        <v>114.7</v>
      </c>
      <c r="CG22">
        <v>118.7</v>
      </c>
      <c r="CH22">
        <v>121.9</v>
      </c>
      <c r="CI22">
        <v>114.9</v>
      </c>
      <c r="CJ22">
        <v>119.2</v>
      </c>
      <c r="CK22">
        <v>122.6</v>
      </c>
      <c r="CL22">
        <v>115.1</v>
      </c>
      <c r="CM22">
        <v>119.8</v>
      </c>
      <c r="CN22">
        <v>123</v>
      </c>
      <c r="CO22">
        <v>115.3</v>
      </c>
      <c r="CP22">
        <v>120.1</v>
      </c>
      <c r="CQ22">
        <v>123.8</v>
      </c>
      <c r="CR22">
        <v>115.3</v>
      </c>
      <c r="CS22">
        <v>120.6</v>
      </c>
      <c r="CT22">
        <v>123.7</v>
      </c>
      <c r="CU22">
        <v>115.1</v>
      </c>
      <c r="CV22">
        <v>120.4</v>
      </c>
      <c r="CW22">
        <v>124.4</v>
      </c>
      <c r="CX22">
        <v>114.9</v>
      </c>
      <c r="CY22">
        <v>120.8</v>
      </c>
      <c r="CZ22">
        <v>125.6</v>
      </c>
      <c r="DA22">
        <v>115.1</v>
      </c>
      <c r="DB22">
        <v>121.6</v>
      </c>
      <c r="DC22">
        <v>125.7</v>
      </c>
      <c r="DD22">
        <v>116</v>
      </c>
      <c r="DE22">
        <v>122</v>
      </c>
      <c r="DF22">
        <v>126.2</v>
      </c>
      <c r="DG22">
        <v>116.9</v>
      </c>
      <c r="DH22">
        <v>122.7</v>
      </c>
      <c r="DI22">
        <v>127.5</v>
      </c>
      <c r="DJ22">
        <v>116</v>
      </c>
      <c r="DK22">
        <v>123.1</v>
      </c>
      <c r="DL22">
        <v>127</v>
      </c>
      <c r="DM22">
        <v>114.8</v>
      </c>
      <c r="DN22">
        <v>122.4</v>
      </c>
      <c r="DO22">
        <v>127</v>
      </c>
      <c r="DP22">
        <v>114.6</v>
      </c>
      <c r="DQ22">
        <v>122.3</v>
      </c>
      <c r="DR22">
        <v>127.4</v>
      </c>
      <c r="DS22">
        <v>115</v>
      </c>
      <c r="DT22">
        <v>122.7</v>
      </c>
      <c r="DU22">
        <v>128</v>
      </c>
      <c r="DV22">
        <v>115.5</v>
      </c>
      <c r="DW22">
        <v>123.3</v>
      </c>
      <c r="DX22">
        <v>128.19999999999999</v>
      </c>
      <c r="DY22">
        <v>115.5</v>
      </c>
      <c r="DZ22">
        <v>123.4</v>
      </c>
      <c r="EA22">
        <v>129.1</v>
      </c>
      <c r="EB22">
        <v>114.7</v>
      </c>
      <c r="EC22">
        <v>123.6</v>
      </c>
      <c r="ED22">
        <v>129.69999999999999</v>
      </c>
      <c r="EE22">
        <v>114.8</v>
      </c>
      <c r="EF22">
        <v>124.1</v>
      </c>
      <c r="EG22">
        <v>129.80000000000001</v>
      </c>
      <c r="EH22">
        <v>115.2</v>
      </c>
      <c r="EI22">
        <v>124.3</v>
      </c>
      <c r="EJ22">
        <v>130.30000000000001</v>
      </c>
      <c r="EK22">
        <v>116.2</v>
      </c>
      <c r="EL22">
        <v>125</v>
      </c>
      <c r="EM22">
        <v>132</v>
      </c>
      <c r="EN22">
        <v>117.8</v>
      </c>
      <c r="EO22">
        <v>126.6</v>
      </c>
      <c r="EP22">
        <v>132.1</v>
      </c>
      <c r="EQ22">
        <v>118</v>
      </c>
      <c r="ER22">
        <v>126.8</v>
      </c>
      <c r="ES22">
        <v>133.19999999999999</v>
      </c>
      <c r="ET22">
        <v>119.2</v>
      </c>
      <c r="EU22">
        <v>127.9</v>
      </c>
      <c r="EV22">
        <v>134.19999999999999</v>
      </c>
      <c r="EW22">
        <v>120.8</v>
      </c>
      <c r="EX22">
        <v>129.1</v>
      </c>
      <c r="EY22">
        <v>135</v>
      </c>
      <c r="EZ22">
        <v>121.4</v>
      </c>
      <c r="FA22">
        <v>129.80000000000001</v>
      </c>
      <c r="FB22">
        <v>135</v>
      </c>
      <c r="FC22">
        <v>120.1</v>
      </c>
      <c r="FD22">
        <v>129.4</v>
      </c>
      <c r="FE22">
        <v>134.80000000000001</v>
      </c>
      <c r="FF22">
        <v>119</v>
      </c>
      <c r="FG22">
        <v>128.80000000000001</v>
      </c>
      <c r="FH22">
        <v>135.30000000000001</v>
      </c>
      <c r="FI22">
        <v>119.7</v>
      </c>
      <c r="FJ22">
        <v>129.4</v>
      </c>
      <c r="FK22">
        <v>136.4</v>
      </c>
      <c r="FL22">
        <v>118.9</v>
      </c>
      <c r="FM22">
        <v>129.80000000000001</v>
      </c>
      <c r="FN22">
        <v>137.4</v>
      </c>
      <c r="FO22">
        <v>120.6</v>
      </c>
      <c r="FP22">
        <v>131</v>
      </c>
      <c r="FQ22">
        <v>138.1</v>
      </c>
      <c r="FR22">
        <v>122.6</v>
      </c>
      <c r="FS22">
        <v>132.19999999999999</v>
      </c>
      <c r="FT22">
        <v>141.1</v>
      </c>
      <c r="FU22">
        <v>125.7</v>
      </c>
      <c r="FV22">
        <v>135.30000000000001</v>
      </c>
      <c r="FW22">
        <v>142.6</v>
      </c>
      <c r="FX22">
        <v>126.8</v>
      </c>
      <c r="FY22">
        <v>136.6</v>
      </c>
      <c r="FZ22">
        <v>142.30000000000001</v>
      </c>
      <c r="GA22">
        <v>127.3</v>
      </c>
      <c r="GB22">
        <v>136.6</v>
      </c>
      <c r="GC22">
        <v>142.4</v>
      </c>
      <c r="GD22">
        <v>127.3</v>
      </c>
      <c r="GE22">
        <v>136.69999999999999</v>
      </c>
      <c r="GF22">
        <v>142.6</v>
      </c>
      <c r="GG22">
        <v>126.4</v>
      </c>
      <c r="GH22">
        <v>136.5</v>
      </c>
      <c r="GI22">
        <v>143.80000000000001</v>
      </c>
      <c r="GJ22">
        <v>124.6</v>
      </c>
      <c r="GK22">
        <v>136.5</v>
      </c>
      <c r="GL22">
        <v>144.30000000000001</v>
      </c>
      <c r="GM22">
        <v>124.7</v>
      </c>
      <c r="GN22">
        <v>136.9</v>
      </c>
      <c r="GO22">
        <v>145.1</v>
      </c>
      <c r="GP22">
        <v>126.5</v>
      </c>
      <c r="GQ22">
        <v>138.1</v>
      </c>
      <c r="GR22">
        <v>146.80000000000001</v>
      </c>
      <c r="GS22">
        <v>128.1</v>
      </c>
      <c r="GT22">
        <v>139.69999999999999</v>
      </c>
      <c r="GU22">
        <v>147.69999999999999</v>
      </c>
      <c r="GV22">
        <v>129.80000000000001</v>
      </c>
      <c r="GW22">
        <v>140.9</v>
      </c>
      <c r="GX22">
        <v>149</v>
      </c>
      <c r="GY22">
        <v>131.19999999999999</v>
      </c>
      <c r="GZ22">
        <v>142.30000000000001</v>
      </c>
      <c r="HA22">
        <v>149.69999999999999</v>
      </c>
      <c r="HB22">
        <v>133.4</v>
      </c>
      <c r="HC22">
        <v>145.30000000000001</v>
      </c>
      <c r="HD22">
        <v>150.30000000000001</v>
      </c>
      <c r="HE22">
        <v>136.69999999999999</v>
      </c>
      <c r="HF22">
        <v>145.1</v>
      </c>
      <c r="HG22">
        <v>149</v>
      </c>
      <c r="HH22">
        <v>132.4</v>
      </c>
      <c r="HI22">
        <v>142.69999999999999</v>
      </c>
      <c r="HJ22">
        <v>146.19999999999999</v>
      </c>
      <c r="HK22">
        <v>128.6</v>
      </c>
      <c r="HL22">
        <v>139.5</v>
      </c>
      <c r="HM22">
        <v>145.30000000000001</v>
      </c>
      <c r="HN22">
        <v>127.1</v>
      </c>
      <c r="HO22">
        <v>138.4</v>
      </c>
      <c r="HP22">
        <v>146.4</v>
      </c>
      <c r="HQ22">
        <v>128.80000000000001</v>
      </c>
      <c r="HR22">
        <v>139.69999999999999</v>
      </c>
      <c r="HS22">
        <v>146.9</v>
      </c>
      <c r="HT22">
        <v>129.4</v>
      </c>
      <c r="HU22">
        <v>140.30000000000001</v>
      </c>
      <c r="HV22">
        <v>147.80000000000001</v>
      </c>
      <c r="HW22">
        <v>130.5</v>
      </c>
      <c r="HX22">
        <v>141.19999999999999</v>
      </c>
      <c r="HY22">
        <v>146.80000000000001</v>
      </c>
      <c r="HZ22">
        <v>127</v>
      </c>
      <c r="IA22">
        <v>139.30000000000001</v>
      </c>
      <c r="IB22">
        <v>146.4</v>
      </c>
      <c r="IC22">
        <v>125.5</v>
      </c>
      <c r="ID22">
        <v>138.5</v>
      </c>
      <c r="IE22">
        <v>146.9</v>
      </c>
      <c r="IF22">
        <v>126.6</v>
      </c>
      <c r="IG22">
        <v>139.19999999999999</v>
      </c>
      <c r="IH22">
        <v>147.69999999999999</v>
      </c>
      <c r="II22">
        <v>128.9</v>
      </c>
      <c r="IJ22">
        <v>140.6</v>
      </c>
      <c r="IK22">
        <v>148.4</v>
      </c>
      <c r="IL22">
        <v>132.19999999999999</v>
      </c>
      <c r="IM22">
        <v>142.30000000000001</v>
      </c>
      <c r="IN22">
        <v>149.9</v>
      </c>
      <c r="IO22">
        <v>133.6</v>
      </c>
      <c r="IP22">
        <v>143.69999999999999</v>
      </c>
      <c r="IQ22">
        <v>150.4</v>
      </c>
      <c r="IR22">
        <v>135.1</v>
      </c>
      <c r="IS22">
        <v>144.6</v>
      </c>
      <c r="IT22">
        <v>152.30000000000001</v>
      </c>
      <c r="IU22">
        <v>138.9</v>
      </c>
      <c r="IV22">
        <v>147.19999999999999</v>
      </c>
      <c r="IW22">
        <v>153.4</v>
      </c>
      <c r="IX22">
        <v>141.4</v>
      </c>
      <c r="IY22">
        <v>148.9</v>
      </c>
      <c r="IZ22">
        <v>148.4</v>
      </c>
      <c r="JA22">
        <v>137.1</v>
      </c>
      <c r="JB22">
        <v>144.1</v>
      </c>
      <c r="JC22" s="9">
        <f>AVERAGE(IZ22,IW22,IT22,JF22,JI22,JL22)</f>
        <v>148.28333333333333</v>
      </c>
      <c r="JD22" s="9">
        <f>AVERAGE(JA22,IX22,IU22,JG22,JJ22,JM22)</f>
        <v>138.31666666666669</v>
      </c>
      <c r="JE22" s="9">
        <f>AVERAGE(JB22,IY22,IV22,JH22,JK22,JN22)</f>
        <v>144.5</v>
      </c>
      <c r="JF22">
        <v>144.9</v>
      </c>
      <c r="JG22">
        <v>137.1</v>
      </c>
      <c r="JH22">
        <v>141.9</v>
      </c>
      <c r="JI22">
        <v>144.9</v>
      </c>
      <c r="JJ22">
        <v>137.1</v>
      </c>
      <c r="JK22">
        <v>141.9</v>
      </c>
      <c r="JL22">
        <v>145.80000000000001</v>
      </c>
      <c r="JM22">
        <v>138.30000000000001</v>
      </c>
      <c r="JN22">
        <v>143</v>
      </c>
      <c r="JO22">
        <v>146.4</v>
      </c>
      <c r="JP22">
        <v>137.19999999999999</v>
      </c>
      <c r="JQ22">
        <v>142.9</v>
      </c>
      <c r="JR22">
        <v>146.80000000000001</v>
      </c>
      <c r="JS22">
        <v>137.1</v>
      </c>
      <c r="JT22">
        <v>143.1</v>
      </c>
      <c r="JU22">
        <v>147.5</v>
      </c>
      <c r="JV22">
        <v>137.30000000000001</v>
      </c>
      <c r="JW22">
        <v>143.6</v>
      </c>
      <c r="JX22">
        <v>148.69999999999999</v>
      </c>
      <c r="JY22">
        <v>137.9</v>
      </c>
      <c r="JZ22">
        <v>144.6</v>
      </c>
      <c r="KA22">
        <v>150.9</v>
      </c>
      <c r="KB22">
        <v>142.9</v>
      </c>
      <c r="KC22">
        <v>147.9</v>
      </c>
      <c r="KD22">
        <v>154.4</v>
      </c>
      <c r="KE22">
        <v>149.1</v>
      </c>
      <c r="KF22">
        <v>152.4</v>
      </c>
      <c r="KG22">
        <v>156</v>
      </c>
      <c r="KH22">
        <v>154.80000000000001</v>
      </c>
      <c r="KI22">
        <v>155.5</v>
      </c>
      <c r="KJ22">
        <v>156</v>
      </c>
      <c r="KK22">
        <v>154.9</v>
      </c>
      <c r="KL22">
        <v>155.6</v>
      </c>
      <c r="KM22">
        <v>161.69999999999999</v>
      </c>
      <c r="KN22">
        <v>155.5</v>
      </c>
      <c r="KO22">
        <v>159.4</v>
      </c>
      <c r="KP22">
        <v>162.1</v>
      </c>
      <c r="KQ22">
        <v>156.1</v>
      </c>
      <c r="KR22">
        <v>159.80000000000001</v>
      </c>
      <c r="KS22">
        <v>162.5</v>
      </c>
      <c r="KT22">
        <v>157.69999999999999</v>
      </c>
      <c r="KU22">
        <v>160.69999999999999</v>
      </c>
      <c r="KV22">
        <v>163.1</v>
      </c>
      <c r="KW22">
        <v>160.69999999999999</v>
      </c>
      <c r="KX22">
        <v>162.6</v>
      </c>
      <c r="KY22">
        <v>163.69999999999999</v>
      </c>
      <c r="KZ22">
        <v>160.80000000000001</v>
      </c>
      <c r="LA22">
        <v>162.6</v>
      </c>
      <c r="LB22">
        <v>165.5</v>
      </c>
      <c r="LC22">
        <v>162.19999999999999</v>
      </c>
      <c r="LD22">
        <v>164.2</v>
      </c>
      <c r="LE22">
        <v>165.3</v>
      </c>
      <c r="LF22">
        <v>161.6</v>
      </c>
      <c r="LG22">
        <v>163.9</v>
      </c>
      <c r="LH22">
        <v>165.6</v>
      </c>
      <c r="LI22">
        <v>161.69999999999999</v>
      </c>
      <c r="LJ22">
        <v>164.1</v>
      </c>
      <c r="LK22">
        <v>165.8</v>
      </c>
      <c r="LL22">
        <v>161.6</v>
      </c>
      <c r="LM22">
        <v>164.2</v>
      </c>
      <c r="LN22">
        <v>167.4</v>
      </c>
      <c r="LO22">
        <v>163</v>
      </c>
      <c r="LP22">
        <v>165.7</v>
      </c>
      <c r="LQ22">
        <v>168.9</v>
      </c>
      <c r="LR22">
        <v>164.5</v>
      </c>
      <c r="LS22">
        <v>167.2</v>
      </c>
      <c r="LT22">
        <v>173.3</v>
      </c>
      <c r="LU22">
        <v>170.5</v>
      </c>
      <c r="LV22">
        <v>172.2</v>
      </c>
      <c r="LW22">
        <v>175.3</v>
      </c>
      <c r="LX22">
        <v>173.5</v>
      </c>
      <c r="LY22">
        <v>174.6</v>
      </c>
      <c r="LZ22">
        <v>176.7</v>
      </c>
      <c r="MA22">
        <v>174.9</v>
      </c>
      <c r="MB22">
        <v>176</v>
      </c>
      <c r="MC22">
        <v>179.6</v>
      </c>
      <c r="MD22">
        <v>179.5</v>
      </c>
      <c r="ME22">
        <v>179.6</v>
      </c>
      <c r="MF22">
        <v>179.1</v>
      </c>
      <c r="MG22">
        <v>178.4</v>
      </c>
      <c r="MH22">
        <v>178.8</v>
      </c>
      <c r="MI22">
        <v>179.7</v>
      </c>
      <c r="MJ22">
        <v>179.2</v>
      </c>
      <c r="MK22">
        <v>179.5</v>
      </c>
      <c r="ML22">
        <v>180.8</v>
      </c>
      <c r="MM22">
        <v>180</v>
      </c>
      <c r="MN22">
        <v>180.5</v>
      </c>
      <c r="MO22">
        <v>181.9</v>
      </c>
      <c r="MP22">
        <v>180.3</v>
      </c>
      <c r="MQ22">
        <v>181.3</v>
      </c>
      <c r="MR22">
        <v>182.8</v>
      </c>
      <c r="MS22">
        <v>180.6</v>
      </c>
      <c r="MT22">
        <v>182</v>
      </c>
      <c r="MU22">
        <v>183.2</v>
      </c>
      <c r="MV22">
        <v>180.1</v>
      </c>
      <c r="MW22">
        <v>182</v>
      </c>
      <c r="MX22">
        <v>181.6</v>
      </c>
      <c r="MY22">
        <v>182.8</v>
      </c>
      <c r="MZ22">
        <v>182.1</v>
      </c>
      <c r="NA22">
        <v>181.4</v>
      </c>
      <c r="NB22">
        <v>182.6</v>
      </c>
      <c r="NC22">
        <v>181.9</v>
      </c>
      <c r="ND22">
        <v>181.5</v>
      </c>
      <c r="NE22">
        <v>182.1</v>
      </c>
      <c r="NF22">
        <v>181.7</v>
      </c>
      <c r="NG22">
        <v>182.5</v>
      </c>
      <c r="NH22">
        <v>183.4</v>
      </c>
      <c r="NI22">
        <v>182.8</v>
      </c>
    </row>
    <row r="23" spans="1:373" x14ac:dyDescent="0.3">
      <c r="A23" s="1" t="s">
        <v>22</v>
      </c>
      <c r="B23">
        <v>104.8</v>
      </c>
      <c r="C23">
        <v>104.8</v>
      </c>
      <c r="D23">
        <v>104.8</v>
      </c>
      <c r="E23">
        <v>105.2</v>
      </c>
      <c r="F23">
        <v>105.2</v>
      </c>
      <c r="G23">
        <v>105.2</v>
      </c>
      <c r="H23">
        <v>105.6</v>
      </c>
      <c r="I23">
        <v>105.7</v>
      </c>
      <c r="J23">
        <v>105.6</v>
      </c>
      <c r="K23">
        <v>106.1</v>
      </c>
      <c r="L23">
        <v>106.5</v>
      </c>
      <c r="M23">
        <v>106.3</v>
      </c>
      <c r="N23">
        <v>106.8</v>
      </c>
      <c r="O23">
        <v>107.1</v>
      </c>
      <c r="P23">
        <v>106.9</v>
      </c>
      <c r="Q23">
        <v>107.5</v>
      </c>
      <c r="R23">
        <v>107.7</v>
      </c>
      <c r="S23">
        <v>107.6</v>
      </c>
      <c r="T23">
        <v>108.3</v>
      </c>
      <c r="U23">
        <v>108.1</v>
      </c>
      <c r="V23">
        <v>108.2</v>
      </c>
      <c r="W23">
        <v>108.7</v>
      </c>
      <c r="X23">
        <v>108.7</v>
      </c>
      <c r="Y23">
        <v>108.7</v>
      </c>
      <c r="Z23">
        <v>109.6</v>
      </c>
      <c r="AA23">
        <v>109.6</v>
      </c>
      <c r="AB23">
        <v>109.6</v>
      </c>
      <c r="AC23">
        <v>110.4</v>
      </c>
      <c r="AD23">
        <v>110.2</v>
      </c>
      <c r="AE23">
        <v>110.3</v>
      </c>
      <c r="AF23">
        <v>111.3</v>
      </c>
      <c r="AG23">
        <v>110.9</v>
      </c>
      <c r="AH23">
        <v>111.1</v>
      </c>
      <c r="AI23">
        <v>112.1</v>
      </c>
      <c r="AJ23">
        <v>111.3</v>
      </c>
      <c r="AK23">
        <v>111.7</v>
      </c>
      <c r="AL23">
        <v>112.6</v>
      </c>
      <c r="AM23">
        <v>111.9</v>
      </c>
      <c r="AN23">
        <v>112.3</v>
      </c>
      <c r="AO23">
        <v>112.9</v>
      </c>
      <c r="AP23">
        <v>112.6</v>
      </c>
      <c r="AQ23">
        <v>112.8</v>
      </c>
      <c r="AR23">
        <v>113.4</v>
      </c>
      <c r="AS23">
        <v>113</v>
      </c>
      <c r="AT23">
        <v>113.2</v>
      </c>
      <c r="AU23">
        <v>113.7</v>
      </c>
      <c r="AV23">
        <v>113.4</v>
      </c>
      <c r="AW23">
        <v>113.6</v>
      </c>
      <c r="AX23">
        <v>114.1</v>
      </c>
      <c r="AY23">
        <v>114.1</v>
      </c>
      <c r="AZ23">
        <v>114.1</v>
      </c>
      <c r="BA23">
        <v>114.9</v>
      </c>
      <c r="BB23">
        <v>114.3</v>
      </c>
      <c r="BC23">
        <v>114.6</v>
      </c>
      <c r="BD23">
        <v>115.4</v>
      </c>
      <c r="BE23">
        <v>114.9</v>
      </c>
      <c r="BF23">
        <v>115.2</v>
      </c>
      <c r="BG23">
        <v>115.9</v>
      </c>
      <c r="BH23">
        <v>115.3</v>
      </c>
      <c r="BI23">
        <v>115.6</v>
      </c>
      <c r="BJ23">
        <v>116.7</v>
      </c>
      <c r="BK23">
        <v>115.5</v>
      </c>
      <c r="BL23">
        <v>116.1</v>
      </c>
      <c r="BM23">
        <v>117.5</v>
      </c>
      <c r="BN23">
        <v>115.8</v>
      </c>
      <c r="BO23">
        <v>116.7</v>
      </c>
      <c r="BP23">
        <v>118.1</v>
      </c>
      <c r="BQ23">
        <v>116.4</v>
      </c>
      <c r="BR23">
        <v>117.3</v>
      </c>
      <c r="BS23">
        <v>118.2</v>
      </c>
      <c r="BT23">
        <v>116.8</v>
      </c>
      <c r="BU23">
        <v>117.5</v>
      </c>
      <c r="BV23">
        <v>118.9</v>
      </c>
      <c r="BW23">
        <v>117.2</v>
      </c>
      <c r="BX23">
        <v>118.1</v>
      </c>
      <c r="BY23">
        <v>119.6</v>
      </c>
      <c r="BZ23">
        <v>117.7</v>
      </c>
      <c r="CA23">
        <v>118.7</v>
      </c>
      <c r="CB23">
        <v>120.2</v>
      </c>
      <c r="CC23">
        <v>118</v>
      </c>
      <c r="CD23">
        <v>119.2</v>
      </c>
      <c r="CE23">
        <v>120.9</v>
      </c>
      <c r="CF23">
        <v>118.4</v>
      </c>
      <c r="CG23">
        <v>119.7</v>
      </c>
      <c r="CH23">
        <v>121.5</v>
      </c>
      <c r="CI23">
        <v>118.7</v>
      </c>
      <c r="CJ23">
        <v>120.2</v>
      </c>
      <c r="CK23">
        <v>122.8</v>
      </c>
      <c r="CL23">
        <v>119.2</v>
      </c>
      <c r="CM23">
        <v>121.1</v>
      </c>
      <c r="CN23">
        <v>123</v>
      </c>
      <c r="CO23">
        <v>119.5</v>
      </c>
      <c r="CP23">
        <v>121.3</v>
      </c>
      <c r="CQ23">
        <v>123.7</v>
      </c>
      <c r="CR23">
        <v>120</v>
      </c>
      <c r="CS23">
        <v>122</v>
      </c>
      <c r="CT23">
        <v>124.5</v>
      </c>
      <c r="CU23">
        <v>120.4</v>
      </c>
      <c r="CV23">
        <v>122.6</v>
      </c>
      <c r="CW23">
        <v>125.1</v>
      </c>
      <c r="CX23">
        <v>120.7</v>
      </c>
      <c r="CY23">
        <v>123</v>
      </c>
      <c r="CZ23">
        <v>125.6</v>
      </c>
      <c r="DA23">
        <v>121</v>
      </c>
      <c r="DB23">
        <v>123.4</v>
      </c>
      <c r="DC23">
        <v>126</v>
      </c>
      <c r="DD23">
        <v>121</v>
      </c>
      <c r="DE23">
        <v>123.6</v>
      </c>
      <c r="DF23">
        <v>126.6</v>
      </c>
      <c r="DG23">
        <v>121.6</v>
      </c>
      <c r="DH23">
        <v>124.2</v>
      </c>
      <c r="DI23">
        <v>127.1</v>
      </c>
      <c r="DJ23">
        <v>121.8</v>
      </c>
      <c r="DK23">
        <v>124.6</v>
      </c>
      <c r="DL23">
        <v>127.7</v>
      </c>
      <c r="DM23">
        <v>122.3</v>
      </c>
      <c r="DN23">
        <v>125.1</v>
      </c>
      <c r="DO23">
        <v>128</v>
      </c>
      <c r="DP23">
        <v>122.8</v>
      </c>
      <c r="DQ23">
        <v>125.5</v>
      </c>
      <c r="DR23">
        <v>128.5</v>
      </c>
      <c r="DS23">
        <v>123.2</v>
      </c>
      <c r="DT23">
        <v>126</v>
      </c>
      <c r="DU23">
        <v>129.30000000000001</v>
      </c>
      <c r="DV23">
        <v>123.2</v>
      </c>
      <c r="DW23">
        <v>126.4</v>
      </c>
      <c r="DX23">
        <v>130</v>
      </c>
      <c r="DY23">
        <v>123.5</v>
      </c>
      <c r="DZ23">
        <v>126.9</v>
      </c>
      <c r="EA23">
        <v>130.6</v>
      </c>
      <c r="EB23">
        <v>123.9</v>
      </c>
      <c r="EC23">
        <v>127.4</v>
      </c>
      <c r="ED23">
        <v>131.1</v>
      </c>
      <c r="EE23">
        <v>124.3</v>
      </c>
      <c r="EF23">
        <v>127.9</v>
      </c>
      <c r="EG23">
        <v>131.80000000000001</v>
      </c>
      <c r="EH23">
        <v>124.5</v>
      </c>
      <c r="EI23">
        <v>128.4</v>
      </c>
      <c r="EJ23">
        <v>132.1</v>
      </c>
      <c r="EK23">
        <v>124.7</v>
      </c>
      <c r="EL23">
        <v>128.6</v>
      </c>
      <c r="EM23">
        <v>132.9</v>
      </c>
      <c r="EN23">
        <v>125</v>
      </c>
      <c r="EO23">
        <v>129.19999999999999</v>
      </c>
      <c r="EP23">
        <v>133.19999999999999</v>
      </c>
      <c r="EQ23">
        <v>125.1</v>
      </c>
      <c r="ER23">
        <v>129.4</v>
      </c>
      <c r="ES23">
        <v>133.6</v>
      </c>
      <c r="ET23">
        <v>125.3</v>
      </c>
      <c r="EU23">
        <v>129.69999999999999</v>
      </c>
      <c r="EV23">
        <v>134.1</v>
      </c>
      <c r="EW23">
        <v>125.6</v>
      </c>
      <c r="EX23">
        <v>130.1</v>
      </c>
      <c r="EY23">
        <v>134.30000000000001</v>
      </c>
      <c r="EZ23">
        <v>126</v>
      </c>
      <c r="FA23">
        <v>130.4</v>
      </c>
      <c r="FB23">
        <v>134.9</v>
      </c>
      <c r="FC23">
        <v>126.5</v>
      </c>
      <c r="FD23">
        <v>130.9</v>
      </c>
      <c r="FE23">
        <v>135.19999999999999</v>
      </c>
      <c r="FF23">
        <v>126.8</v>
      </c>
      <c r="FG23">
        <v>131.19999999999999</v>
      </c>
      <c r="FH23">
        <v>136.1</v>
      </c>
      <c r="FI23">
        <v>127.2</v>
      </c>
      <c r="FJ23">
        <v>131.9</v>
      </c>
      <c r="FK23">
        <v>137.30000000000001</v>
      </c>
      <c r="FL23">
        <v>127.7</v>
      </c>
      <c r="FM23">
        <v>132.80000000000001</v>
      </c>
      <c r="FN23">
        <v>137.9</v>
      </c>
      <c r="FO23">
        <v>128.1</v>
      </c>
      <c r="FP23">
        <v>133.30000000000001</v>
      </c>
      <c r="FQ23">
        <v>138.4</v>
      </c>
      <c r="FR23">
        <v>128.30000000000001</v>
      </c>
      <c r="FS23">
        <v>133.6</v>
      </c>
      <c r="FT23">
        <v>139.4</v>
      </c>
      <c r="FU23">
        <v>128.80000000000001</v>
      </c>
      <c r="FV23">
        <v>134.4</v>
      </c>
      <c r="FW23">
        <v>139.5</v>
      </c>
      <c r="FX23">
        <v>129.30000000000001</v>
      </c>
      <c r="FY23">
        <v>134.69999999999999</v>
      </c>
      <c r="FZ23">
        <v>139.80000000000001</v>
      </c>
      <c r="GA23">
        <v>129.5</v>
      </c>
      <c r="GB23">
        <v>134.9</v>
      </c>
      <c r="GC23">
        <v>139.9</v>
      </c>
      <c r="GD23">
        <v>129.9</v>
      </c>
      <c r="GE23">
        <v>135.19999999999999</v>
      </c>
      <c r="GF23">
        <v>139.9</v>
      </c>
      <c r="GG23">
        <v>130.80000000000001</v>
      </c>
      <c r="GH23">
        <v>135.6</v>
      </c>
      <c r="GI23">
        <v>140.9</v>
      </c>
      <c r="GJ23">
        <v>131.80000000000001</v>
      </c>
      <c r="GK23">
        <v>136.6</v>
      </c>
      <c r="GL23">
        <v>141.80000000000001</v>
      </c>
      <c r="GM23">
        <v>132.5</v>
      </c>
      <c r="GN23">
        <v>137.4</v>
      </c>
      <c r="GO23">
        <v>142.19999999999999</v>
      </c>
      <c r="GP23">
        <v>133.1</v>
      </c>
      <c r="GQ23">
        <v>137.9</v>
      </c>
      <c r="GR23">
        <v>143.1</v>
      </c>
      <c r="GS23">
        <v>133.6</v>
      </c>
      <c r="GT23">
        <v>138.6</v>
      </c>
      <c r="GU23">
        <v>143.80000000000001</v>
      </c>
      <c r="GV23">
        <v>134.4</v>
      </c>
      <c r="GW23">
        <v>139.4</v>
      </c>
      <c r="GX23">
        <v>144</v>
      </c>
      <c r="GY23">
        <v>134.9</v>
      </c>
      <c r="GZ23">
        <v>139.69999999999999</v>
      </c>
      <c r="HA23">
        <v>147.5</v>
      </c>
      <c r="HB23">
        <v>135.1</v>
      </c>
      <c r="HC23">
        <v>142.19999999999999</v>
      </c>
      <c r="HD23">
        <v>148</v>
      </c>
      <c r="HE23">
        <v>135.80000000000001</v>
      </c>
      <c r="HF23">
        <v>142.19999999999999</v>
      </c>
      <c r="HG23">
        <v>149.5</v>
      </c>
      <c r="HH23">
        <v>136.19999999999999</v>
      </c>
      <c r="HI23">
        <v>143.19999999999999</v>
      </c>
      <c r="HJ23">
        <v>150.1</v>
      </c>
      <c r="HK23">
        <v>136.30000000000001</v>
      </c>
      <c r="HL23">
        <v>143.6</v>
      </c>
      <c r="HM23">
        <v>150.1</v>
      </c>
      <c r="HN23">
        <v>136.6</v>
      </c>
      <c r="HO23">
        <v>143.69999999999999</v>
      </c>
      <c r="HP23">
        <v>150</v>
      </c>
      <c r="HQ23">
        <v>136.80000000000001</v>
      </c>
      <c r="HR23">
        <v>143.80000000000001</v>
      </c>
      <c r="HS23">
        <v>149.5</v>
      </c>
      <c r="HT23">
        <v>137.19999999999999</v>
      </c>
      <c r="HU23">
        <v>143.69999999999999</v>
      </c>
      <c r="HV23">
        <v>149.6</v>
      </c>
      <c r="HW23">
        <v>137.4</v>
      </c>
      <c r="HX23">
        <v>143.80000000000001</v>
      </c>
      <c r="HY23">
        <v>150</v>
      </c>
      <c r="HZ23">
        <v>137.69999999999999</v>
      </c>
      <c r="IA23">
        <v>144.19999999999999</v>
      </c>
      <c r="IB23">
        <v>150.19999999999999</v>
      </c>
      <c r="IC23">
        <v>138.1</v>
      </c>
      <c r="ID23">
        <v>144.5</v>
      </c>
      <c r="IE23">
        <v>150.30000000000001</v>
      </c>
      <c r="IF23">
        <v>138.30000000000001</v>
      </c>
      <c r="IG23">
        <v>144.6</v>
      </c>
      <c r="IH23">
        <v>150.6</v>
      </c>
      <c r="II23">
        <v>138.69999999999999</v>
      </c>
      <c r="IJ23">
        <v>145</v>
      </c>
      <c r="IK23">
        <v>150.9</v>
      </c>
      <c r="IL23">
        <v>139.1</v>
      </c>
      <c r="IM23">
        <v>145.30000000000001</v>
      </c>
      <c r="IN23">
        <v>151.19999999999999</v>
      </c>
      <c r="IO23">
        <v>139.80000000000001</v>
      </c>
      <c r="IP23">
        <v>145.80000000000001</v>
      </c>
      <c r="IQ23">
        <v>151.69999999999999</v>
      </c>
      <c r="IR23">
        <v>140.1</v>
      </c>
      <c r="IS23">
        <v>146.19999999999999</v>
      </c>
      <c r="IT23">
        <v>151.80000000000001</v>
      </c>
      <c r="IU23">
        <v>140.4</v>
      </c>
      <c r="IV23">
        <v>146.4</v>
      </c>
      <c r="IW23">
        <v>151.5</v>
      </c>
      <c r="IX23">
        <v>140.80000000000001</v>
      </c>
      <c r="IY23">
        <v>146.4</v>
      </c>
      <c r="JF23">
        <v>151.69999999999999</v>
      </c>
      <c r="JG23">
        <v>140.4</v>
      </c>
      <c r="JH23">
        <v>146.4</v>
      </c>
      <c r="JI23">
        <v>151.69999999999999</v>
      </c>
      <c r="JJ23">
        <v>140.4</v>
      </c>
      <c r="JK23">
        <v>146.4</v>
      </c>
      <c r="JL23">
        <v>151.9</v>
      </c>
      <c r="JM23">
        <v>144.5</v>
      </c>
      <c r="JN23">
        <v>148.4</v>
      </c>
      <c r="JO23">
        <v>151.6</v>
      </c>
      <c r="JP23">
        <v>145.4</v>
      </c>
      <c r="JQ23">
        <v>148.69999999999999</v>
      </c>
      <c r="JR23">
        <v>152</v>
      </c>
      <c r="JS23">
        <v>145.1</v>
      </c>
      <c r="JT23">
        <v>148.69999999999999</v>
      </c>
      <c r="JU23">
        <v>152.80000000000001</v>
      </c>
      <c r="JV23">
        <v>145.1</v>
      </c>
      <c r="JW23">
        <v>149.19999999999999</v>
      </c>
      <c r="JX23">
        <v>153.4</v>
      </c>
      <c r="JY23">
        <v>145.5</v>
      </c>
      <c r="JZ23">
        <v>149.69999999999999</v>
      </c>
      <c r="KA23">
        <v>153.9</v>
      </c>
      <c r="KB23">
        <v>145.69999999999999</v>
      </c>
      <c r="KC23">
        <v>150</v>
      </c>
      <c r="KD23">
        <v>154.80000000000001</v>
      </c>
      <c r="KE23">
        <v>146.5</v>
      </c>
      <c r="KF23">
        <v>150.9</v>
      </c>
      <c r="KG23">
        <v>154.80000000000001</v>
      </c>
      <c r="KH23">
        <v>147.19999999999999</v>
      </c>
      <c r="KI23">
        <v>151.19999999999999</v>
      </c>
      <c r="KJ23">
        <v>155.5</v>
      </c>
      <c r="KK23">
        <v>147.6</v>
      </c>
      <c r="KL23">
        <v>151.80000000000001</v>
      </c>
      <c r="KM23">
        <v>158.80000000000001</v>
      </c>
      <c r="KN23">
        <v>150.1</v>
      </c>
      <c r="KO23">
        <v>154.69999999999999</v>
      </c>
      <c r="KP23">
        <v>159.19999999999999</v>
      </c>
      <c r="KQ23">
        <v>149.80000000000001</v>
      </c>
      <c r="KR23">
        <v>154.80000000000001</v>
      </c>
      <c r="KS23">
        <v>160.30000000000001</v>
      </c>
      <c r="KT23">
        <v>150.69999999999999</v>
      </c>
      <c r="KU23">
        <v>155.80000000000001</v>
      </c>
      <c r="KV23">
        <v>160.9</v>
      </c>
      <c r="KW23">
        <v>153.19999999999999</v>
      </c>
      <c r="KX23">
        <v>157.5</v>
      </c>
      <c r="KY23">
        <v>161.30000000000001</v>
      </c>
      <c r="KZ23">
        <v>153.30000000000001</v>
      </c>
      <c r="LA23">
        <v>157.5</v>
      </c>
      <c r="LB23">
        <v>162</v>
      </c>
      <c r="LC23">
        <v>154.30000000000001</v>
      </c>
      <c r="LD23">
        <v>158.4</v>
      </c>
      <c r="LE23">
        <v>162.9</v>
      </c>
      <c r="LF23">
        <v>155.19999999999999</v>
      </c>
      <c r="LG23">
        <v>159.30000000000001</v>
      </c>
      <c r="LH23">
        <v>163.9</v>
      </c>
      <c r="LI23">
        <v>156</v>
      </c>
      <c r="LJ23">
        <v>160.19999999999999</v>
      </c>
      <c r="LK23">
        <v>164.9</v>
      </c>
      <c r="LL23">
        <v>156.80000000000001</v>
      </c>
      <c r="LM23">
        <v>161.1</v>
      </c>
      <c r="LN23">
        <v>165.7</v>
      </c>
      <c r="LO23">
        <v>157.4</v>
      </c>
      <c r="LP23">
        <v>161.80000000000001</v>
      </c>
      <c r="LQ23">
        <v>166.5</v>
      </c>
      <c r="LR23">
        <v>158.6</v>
      </c>
      <c r="LS23">
        <v>162.80000000000001</v>
      </c>
      <c r="LT23">
        <v>167.7</v>
      </c>
      <c r="LU23">
        <v>159.80000000000001</v>
      </c>
      <c r="LV23">
        <v>164</v>
      </c>
      <c r="LW23">
        <v>168.9</v>
      </c>
      <c r="LX23">
        <v>161.1</v>
      </c>
      <c r="LY23">
        <v>165.2</v>
      </c>
      <c r="LZ23">
        <v>170.3</v>
      </c>
      <c r="MA23">
        <v>162.1</v>
      </c>
      <c r="MB23">
        <v>166.4</v>
      </c>
      <c r="MC23">
        <v>171.3</v>
      </c>
      <c r="MD23">
        <v>163.1</v>
      </c>
      <c r="ME23">
        <v>167.4</v>
      </c>
      <c r="MF23">
        <v>172.3</v>
      </c>
      <c r="MG23">
        <v>164.2</v>
      </c>
      <c r="MH23">
        <v>168.5</v>
      </c>
      <c r="MI23">
        <v>173.6</v>
      </c>
      <c r="MJ23">
        <v>165</v>
      </c>
      <c r="MK23">
        <v>169.5</v>
      </c>
      <c r="ML23">
        <v>174.4</v>
      </c>
      <c r="MM23">
        <v>166</v>
      </c>
      <c r="MN23">
        <v>170.4</v>
      </c>
      <c r="MO23">
        <v>175.5</v>
      </c>
      <c r="MP23">
        <v>166.9</v>
      </c>
      <c r="MQ23">
        <v>171.4</v>
      </c>
      <c r="MR23">
        <v>176.4</v>
      </c>
      <c r="MS23">
        <v>167.3</v>
      </c>
      <c r="MT23">
        <v>172.1</v>
      </c>
      <c r="MU23">
        <v>177.2</v>
      </c>
      <c r="MV23">
        <v>168</v>
      </c>
      <c r="MW23">
        <v>172.9</v>
      </c>
      <c r="MX23">
        <v>178.6</v>
      </c>
      <c r="MY23">
        <v>169.2</v>
      </c>
      <c r="MZ23">
        <v>174.2</v>
      </c>
      <c r="NA23">
        <v>178.6</v>
      </c>
      <c r="NB23">
        <v>169.2</v>
      </c>
      <c r="NC23">
        <v>174.2</v>
      </c>
      <c r="ND23">
        <v>179.1</v>
      </c>
      <c r="NE23">
        <v>169.6</v>
      </c>
      <c r="NF23">
        <v>174.6</v>
      </c>
      <c r="NG23">
        <v>179.8</v>
      </c>
      <c r="NH23">
        <v>170.1</v>
      </c>
      <c r="NI23">
        <v>175.2</v>
      </c>
    </row>
    <row r="24" spans="1:373" x14ac:dyDescent="0.3">
      <c r="A24" s="1" t="s">
        <v>23</v>
      </c>
      <c r="B24">
        <v>104</v>
      </c>
      <c r="C24">
        <v>104.1</v>
      </c>
      <c r="D24">
        <v>104</v>
      </c>
      <c r="E24">
        <v>104.4</v>
      </c>
      <c r="F24">
        <v>104.7</v>
      </c>
      <c r="G24">
        <v>104.5</v>
      </c>
      <c r="H24">
        <v>104.7</v>
      </c>
      <c r="I24">
        <v>105.2</v>
      </c>
      <c r="J24">
        <v>104.9</v>
      </c>
      <c r="K24">
        <v>105.1</v>
      </c>
      <c r="L24">
        <v>105.7</v>
      </c>
      <c r="M24">
        <v>105.3</v>
      </c>
      <c r="N24">
        <v>105.7</v>
      </c>
      <c r="O24">
        <v>106.2</v>
      </c>
      <c r="P24">
        <v>105.9</v>
      </c>
      <c r="Q24">
        <v>106.3</v>
      </c>
      <c r="R24">
        <v>106.5</v>
      </c>
      <c r="S24">
        <v>106.4</v>
      </c>
      <c r="T24">
        <v>106.9</v>
      </c>
      <c r="U24">
        <v>107.1</v>
      </c>
      <c r="V24">
        <v>107</v>
      </c>
      <c r="W24">
        <v>107.5</v>
      </c>
      <c r="X24">
        <v>107.6</v>
      </c>
      <c r="Y24">
        <v>107.5</v>
      </c>
      <c r="Z24">
        <v>108.3</v>
      </c>
      <c r="AA24">
        <v>107.9</v>
      </c>
      <c r="AB24">
        <v>108.1</v>
      </c>
      <c r="AC24">
        <v>108.9</v>
      </c>
      <c r="AD24">
        <v>108.2</v>
      </c>
      <c r="AE24">
        <v>108.6</v>
      </c>
      <c r="AF24">
        <v>109.7</v>
      </c>
      <c r="AG24">
        <v>108.6</v>
      </c>
      <c r="AH24">
        <v>109.3</v>
      </c>
      <c r="AI24">
        <v>110.1</v>
      </c>
      <c r="AJ24">
        <v>109</v>
      </c>
      <c r="AK24">
        <v>109.7</v>
      </c>
      <c r="AL24">
        <v>110.6</v>
      </c>
      <c r="AM24">
        <v>109.7</v>
      </c>
      <c r="AN24">
        <v>110.3</v>
      </c>
      <c r="AO24">
        <v>110.9</v>
      </c>
      <c r="AP24">
        <v>110.4</v>
      </c>
      <c r="AQ24">
        <v>110.7</v>
      </c>
      <c r="AR24">
        <v>111.4</v>
      </c>
      <c r="AS24">
        <v>110.8</v>
      </c>
      <c r="AT24">
        <v>111.2</v>
      </c>
      <c r="AU24">
        <v>111.8</v>
      </c>
      <c r="AV24">
        <v>111</v>
      </c>
      <c r="AW24">
        <v>111.5</v>
      </c>
      <c r="AX24">
        <v>112.1</v>
      </c>
      <c r="AY24">
        <v>111.2</v>
      </c>
      <c r="AZ24">
        <v>111.8</v>
      </c>
      <c r="BA24">
        <v>112.8</v>
      </c>
      <c r="BB24">
        <v>111.4</v>
      </c>
      <c r="BC24">
        <v>112.3</v>
      </c>
      <c r="BD24">
        <v>113.4</v>
      </c>
      <c r="BE24">
        <v>111.5</v>
      </c>
      <c r="BF24">
        <v>112.7</v>
      </c>
      <c r="BG24">
        <v>114</v>
      </c>
      <c r="BH24">
        <v>112.2</v>
      </c>
      <c r="BI24">
        <v>113.3</v>
      </c>
      <c r="BJ24">
        <v>114.5</v>
      </c>
      <c r="BK24">
        <v>112.3</v>
      </c>
      <c r="BL24">
        <v>113.7</v>
      </c>
      <c r="BM24">
        <v>115.3</v>
      </c>
      <c r="BN24">
        <v>112.6</v>
      </c>
      <c r="BO24">
        <v>114.3</v>
      </c>
      <c r="BP24">
        <v>115.9</v>
      </c>
      <c r="BQ24">
        <v>113</v>
      </c>
      <c r="BR24">
        <v>114.8</v>
      </c>
      <c r="BS24">
        <v>116.2</v>
      </c>
      <c r="BT24">
        <v>113.2</v>
      </c>
      <c r="BU24">
        <v>115.1</v>
      </c>
      <c r="BV24">
        <v>116.6</v>
      </c>
      <c r="BW24">
        <v>113.7</v>
      </c>
      <c r="BX24">
        <v>115.5</v>
      </c>
      <c r="BY24">
        <v>117.7</v>
      </c>
      <c r="BZ24">
        <v>114.1</v>
      </c>
      <c r="CA24">
        <v>116.3</v>
      </c>
      <c r="CB24">
        <v>118.2</v>
      </c>
      <c r="CC24">
        <v>114.3</v>
      </c>
      <c r="CD24">
        <v>116.7</v>
      </c>
      <c r="CE24">
        <v>118.6</v>
      </c>
      <c r="CF24">
        <v>114.6</v>
      </c>
      <c r="CG24">
        <v>117.1</v>
      </c>
      <c r="CH24">
        <v>119.4</v>
      </c>
      <c r="CI24">
        <v>114.9</v>
      </c>
      <c r="CJ24">
        <v>117.7</v>
      </c>
      <c r="CK24">
        <v>120.4</v>
      </c>
      <c r="CL24">
        <v>115.4</v>
      </c>
      <c r="CM24">
        <v>118.5</v>
      </c>
      <c r="CN24">
        <v>120.8</v>
      </c>
      <c r="CO24">
        <v>116</v>
      </c>
      <c r="CP24">
        <v>119</v>
      </c>
      <c r="CQ24">
        <v>121.1</v>
      </c>
      <c r="CR24">
        <v>116.6</v>
      </c>
      <c r="CS24">
        <v>119.4</v>
      </c>
      <c r="CT24">
        <v>121.4</v>
      </c>
      <c r="CU24">
        <v>117.1</v>
      </c>
      <c r="CV24">
        <v>119.8</v>
      </c>
      <c r="CW24">
        <v>122</v>
      </c>
      <c r="CX24">
        <v>117.7</v>
      </c>
      <c r="CY24">
        <v>120.4</v>
      </c>
      <c r="CZ24">
        <v>122.6</v>
      </c>
      <c r="DA24">
        <v>118.1</v>
      </c>
      <c r="DB24">
        <v>120.9</v>
      </c>
      <c r="DC24">
        <v>123.1</v>
      </c>
      <c r="DD24">
        <v>118.6</v>
      </c>
      <c r="DE24">
        <v>121.4</v>
      </c>
      <c r="DF24">
        <v>123.7</v>
      </c>
      <c r="DG24">
        <v>119.1</v>
      </c>
      <c r="DH24">
        <v>122</v>
      </c>
      <c r="DI24">
        <v>124.3</v>
      </c>
      <c r="DJ24">
        <v>119.5</v>
      </c>
      <c r="DK24">
        <v>122.5</v>
      </c>
      <c r="DL24">
        <v>124.8</v>
      </c>
      <c r="DM24">
        <v>119.7</v>
      </c>
      <c r="DN24">
        <v>122.9</v>
      </c>
      <c r="DO24">
        <v>125.2</v>
      </c>
      <c r="DP24">
        <v>120</v>
      </c>
      <c r="DQ24">
        <v>123.2</v>
      </c>
      <c r="DR24">
        <v>125.8</v>
      </c>
      <c r="DS24">
        <v>120.3</v>
      </c>
      <c r="DT24">
        <v>123.7</v>
      </c>
      <c r="DU24">
        <v>126.2</v>
      </c>
      <c r="DV24">
        <v>120.6</v>
      </c>
      <c r="DW24">
        <v>124.1</v>
      </c>
      <c r="DX24">
        <v>126.7</v>
      </c>
      <c r="DY24">
        <v>120.9</v>
      </c>
      <c r="DZ24">
        <v>124.5</v>
      </c>
      <c r="EA24">
        <v>127</v>
      </c>
      <c r="EB24">
        <v>121.2</v>
      </c>
      <c r="EC24">
        <v>124.8</v>
      </c>
      <c r="ED24">
        <v>127.8</v>
      </c>
      <c r="EE24">
        <v>121.4</v>
      </c>
      <c r="EF24">
        <v>125.4</v>
      </c>
      <c r="EG24">
        <v>128.69999999999999</v>
      </c>
      <c r="EH24">
        <v>121.8</v>
      </c>
      <c r="EI24">
        <v>126.1</v>
      </c>
      <c r="EJ24">
        <v>129.1</v>
      </c>
      <c r="EK24">
        <v>122.1</v>
      </c>
      <c r="EL24">
        <v>126.4</v>
      </c>
      <c r="EM24">
        <v>129.69999999999999</v>
      </c>
      <c r="EN24">
        <v>122.3</v>
      </c>
      <c r="EO24">
        <v>126.9</v>
      </c>
      <c r="EP24">
        <v>129.9</v>
      </c>
      <c r="EQ24">
        <v>122.6</v>
      </c>
      <c r="ER24">
        <v>127.1</v>
      </c>
      <c r="ES24">
        <v>130.1</v>
      </c>
      <c r="ET24">
        <v>122.9</v>
      </c>
      <c r="EU24">
        <v>127.4</v>
      </c>
      <c r="EV24">
        <v>130.6</v>
      </c>
      <c r="EW24">
        <v>123.1</v>
      </c>
      <c r="EX24">
        <v>127.8</v>
      </c>
      <c r="EY24">
        <v>131</v>
      </c>
      <c r="EZ24">
        <v>123.4</v>
      </c>
      <c r="FA24">
        <v>128.1</v>
      </c>
      <c r="FB24">
        <v>131.4</v>
      </c>
      <c r="FC24">
        <v>123.6</v>
      </c>
      <c r="FD24">
        <v>128.4</v>
      </c>
      <c r="FE24">
        <v>131.30000000000001</v>
      </c>
      <c r="FF24">
        <v>123.8</v>
      </c>
      <c r="FG24">
        <v>128.5</v>
      </c>
      <c r="FH24">
        <v>132.1</v>
      </c>
      <c r="FI24">
        <v>125</v>
      </c>
      <c r="FJ24">
        <v>129.4</v>
      </c>
      <c r="FK24">
        <v>133</v>
      </c>
      <c r="FL24">
        <v>125.7</v>
      </c>
      <c r="FM24">
        <v>130.19999999999999</v>
      </c>
      <c r="FN24">
        <v>133.4</v>
      </c>
      <c r="FO24">
        <v>126.1</v>
      </c>
      <c r="FP24">
        <v>130.6</v>
      </c>
      <c r="FQ24">
        <v>134.19999999999999</v>
      </c>
      <c r="FR24">
        <v>126.6</v>
      </c>
      <c r="FS24">
        <v>131.30000000000001</v>
      </c>
      <c r="FT24">
        <v>135.80000000000001</v>
      </c>
      <c r="FU24">
        <v>127.4</v>
      </c>
      <c r="FV24">
        <v>132.6</v>
      </c>
      <c r="FW24">
        <v>136.1</v>
      </c>
      <c r="FX24">
        <v>128.19999999999999</v>
      </c>
      <c r="FY24">
        <v>133.1</v>
      </c>
      <c r="FZ24">
        <v>136</v>
      </c>
      <c r="GA24">
        <v>129</v>
      </c>
      <c r="GB24">
        <v>133.30000000000001</v>
      </c>
      <c r="GC24">
        <v>136.19999999999999</v>
      </c>
      <c r="GD24">
        <v>129.80000000000001</v>
      </c>
      <c r="GE24">
        <v>133.80000000000001</v>
      </c>
      <c r="GF24">
        <v>136.69999999999999</v>
      </c>
      <c r="GG24">
        <v>130.5</v>
      </c>
      <c r="GH24">
        <v>134.30000000000001</v>
      </c>
      <c r="GI24">
        <v>137.6</v>
      </c>
      <c r="GJ24">
        <v>131.30000000000001</v>
      </c>
      <c r="GK24">
        <v>135.19999999999999</v>
      </c>
      <c r="GL24">
        <v>138.4</v>
      </c>
      <c r="GM24">
        <v>132</v>
      </c>
      <c r="GN24">
        <v>136</v>
      </c>
      <c r="GO24">
        <v>138.4</v>
      </c>
      <c r="GP24">
        <v>132.6</v>
      </c>
      <c r="GQ24">
        <v>136.19999999999999</v>
      </c>
      <c r="GR24">
        <v>139</v>
      </c>
      <c r="GS24">
        <v>133.6</v>
      </c>
      <c r="GT24">
        <v>137</v>
      </c>
      <c r="GU24">
        <v>139.4</v>
      </c>
      <c r="GV24">
        <v>134.9</v>
      </c>
      <c r="GW24">
        <v>137.69999999999999</v>
      </c>
      <c r="GX24">
        <v>140</v>
      </c>
      <c r="GY24">
        <v>135.69999999999999</v>
      </c>
      <c r="GZ24">
        <v>138.4</v>
      </c>
      <c r="HA24">
        <v>144.80000000000001</v>
      </c>
      <c r="HB24">
        <v>136.19999999999999</v>
      </c>
      <c r="HC24">
        <v>142.1</v>
      </c>
      <c r="HD24">
        <v>145.4</v>
      </c>
      <c r="HE24">
        <v>136.80000000000001</v>
      </c>
      <c r="HF24">
        <v>142.1</v>
      </c>
      <c r="HG24">
        <v>149.6</v>
      </c>
      <c r="HH24">
        <v>137.30000000000001</v>
      </c>
      <c r="HI24">
        <v>144.9</v>
      </c>
      <c r="HJ24">
        <v>149.6</v>
      </c>
      <c r="HK24">
        <v>137.80000000000001</v>
      </c>
      <c r="HL24">
        <v>145.1</v>
      </c>
      <c r="HM24">
        <v>149.9</v>
      </c>
      <c r="HN24">
        <v>138.5</v>
      </c>
      <c r="HO24">
        <v>145.6</v>
      </c>
      <c r="HP24">
        <v>150.4</v>
      </c>
      <c r="HQ24">
        <v>139.19999999999999</v>
      </c>
      <c r="HR24">
        <v>146.19999999999999</v>
      </c>
      <c r="HS24">
        <v>151.30000000000001</v>
      </c>
      <c r="HT24">
        <v>139.80000000000001</v>
      </c>
      <c r="HU24">
        <v>146.9</v>
      </c>
      <c r="HV24">
        <v>151.69999999999999</v>
      </c>
      <c r="HW24">
        <v>140.30000000000001</v>
      </c>
      <c r="HX24">
        <v>147.4</v>
      </c>
      <c r="HY24">
        <v>152.19999999999999</v>
      </c>
      <c r="HZ24">
        <v>140.80000000000001</v>
      </c>
      <c r="IA24">
        <v>147.9</v>
      </c>
      <c r="IB24">
        <v>152.69999999999999</v>
      </c>
      <c r="IC24">
        <v>141.5</v>
      </c>
      <c r="ID24">
        <v>148.5</v>
      </c>
      <c r="IE24">
        <v>153.4</v>
      </c>
      <c r="IF24">
        <v>141.9</v>
      </c>
      <c r="IG24">
        <v>149</v>
      </c>
      <c r="IH24">
        <v>153.69999999999999</v>
      </c>
      <c r="II24">
        <v>142.4</v>
      </c>
      <c r="IJ24">
        <v>149.4</v>
      </c>
      <c r="IK24">
        <v>154.30000000000001</v>
      </c>
      <c r="IL24">
        <v>142.80000000000001</v>
      </c>
      <c r="IM24">
        <v>149.9</v>
      </c>
      <c r="IN24">
        <v>154.80000000000001</v>
      </c>
      <c r="IO24">
        <v>143.19999999999999</v>
      </c>
      <c r="IP24">
        <v>150.4</v>
      </c>
      <c r="IQ24">
        <v>155.69999999999999</v>
      </c>
      <c r="IR24">
        <v>143.80000000000001</v>
      </c>
      <c r="IS24">
        <v>151.19999999999999</v>
      </c>
      <c r="IT24">
        <v>156.19999999999999</v>
      </c>
      <c r="IU24">
        <v>144.4</v>
      </c>
      <c r="IV24">
        <v>151.69999999999999</v>
      </c>
      <c r="IW24">
        <v>156.69999999999999</v>
      </c>
      <c r="IX24">
        <v>145</v>
      </c>
      <c r="IY24">
        <v>152.30000000000001</v>
      </c>
      <c r="IZ24">
        <v>154.30000000000001</v>
      </c>
      <c r="JA24">
        <v>144.80000000000001</v>
      </c>
      <c r="JB24">
        <v>150.69999999999999</v>
      </c>
      <c r="JC24" s="9">
        <f>AVERAGE(IZ24,IW24,IT24,JF24,JI24,JL24)</f>
        <v>157.06666666666663</v>
      </c>
      <c r="JD24" s="9">
        <f>AVERAGE(JA24,IX24,IU24,JG24,JJ24,JM24)</f>
        <v>146.51666666666668</v>
      </c>
      <c r="JE24" s="9">
        <f>AVERAGE(JB24,IY24,IV24,JH24,JK24,JN24)</f>
        <v>153.08333333333334</v>
      </c>
      <c r="JF24">
        <v>158.19999999999999</v>
      </c>
      <c r="JG24">
        <v>148.1</v>
      </c>
      <c r="JH24">
        <v>154.4</v>
      </c>
      <c r="JI24">
        <v>158.19999999999999</v>
      </c>
      <c r="JJ24">
        <v>148.1</v>
      </c>
      <c r="JK24">
        <v>154.4</v>
      </c>
      <c r="JL24">
        <v>158.80000000000001</v>
      </c>
      <c r="JM24">
        <v>148.69999999999999</v>
      </c>
      <c r="JN24">
        <v>155</v>
      </c>
      <c r="JO24">
        <v>159.1</v>
      </c>
      <c r="JP24">
        <v>150</v>
      </c>
      <c r="JQ24">
        <v>155.6</v>
      </c>
      <c r="JR24">
        <v>159.5</v>
      </c>
      <c r="JS24">
        <v>151</v>
      </c>
      <c r="JT24">
        <v>156.30000000000001</v>
      </c>
      <c r="JU24">
        <v>160.4</v>
      </c>
      <c r="JV24">
        <v>152</v>
      </c>
      <c r="JW24">
        <v>157.19999999999999</v>
      </c>
      <c r="JX24">
        <v>161.6</v>
      </c>
      <c r="JY24">
        <v>152.9</v>
      </c>
      <c r="JZ24">
        <v>158.30000000000001</v>
      </c>
      <c r="KA24">
        <v>162.5</v>
      </c>
      <c r="KB24">
        <v>154.1</v>
      </c>
      <c r="KC24">
        <v>159.30000000000001</v>
      </c>
      <c r="KD24">
        <v>164.3</v>
      </c>
      <c r="KE24">
        <v>156.30000000000001</v>
      </c>
      <c r="KF24">
        <v>161.30000000000001</v>
      </c>
      <c r="KG24">
        <v>164.6</v>
      </c>
      <c r="KH24">
        <v>156.9</v>
      </c>
      <c r="KI24">
        <v>161.69999999999999</v>
      </c>
      <c r="KJ24">
        <v>165.3</v>
      </c>
      <c r="KK24">
        <v>157.5</v>
      </c>
      <c r="KL24">
        <v>162.30000000000001</v>
      </c>
      <c r="KM24">
        <v>169.1</v>
      </c>
      <c r="KN24">
        <v>160.4</v>
      </c>
      <c r="KO24">
        <v>165.8</v>
      </c>
      <c r="KP24">
        <v>169.7</v>
      </c>
      <c r="KQ24">
        <v>160.80000000000001</v>
      </c>
      <c r="KR24">
        <v>166.3</v>
      </c>
      <c r="KS24">
        <v>170.4</v>
      </c>
      <c r="KT24">
        <v>161.5</v>
      </c>
      <c r="KU24">
        <v>167</v>
      </c>
      <c r="KV24">
        <v>171.1</v>
      </c>
      <c r="KW24">
        <v>162.80000000000001</v>
      </c>
      <c r="KX24">
        <v>168.4</v>
      </c>
      <c r="KY24">
        <v>171.9</v>
      </c>
      <c r="KZ24">
        <v>162.80000000000001</v>
      </c>
      <c r="LA24">
        <v>168.4</v>
      </c>
      <c r="LB24">
        <v>172.5</v>
      </c>
      <c r="LC24">
        <v>163.5</v>
      </c>
      <c r="LD24">
        <v>169.1</v>
      </c>
      <c r="LE24">
        <v>173.4</v>
      </c>
      <c r="LF24">
        <v>164.2</v>
      </c>
      <c r="LG24">
        <v>169.9</v>
      </c>
      <c r="LH24">
        <v>174</v>
      </c>
      <c r="LI24">
        <v>165.1</v>
      </c>
      <c r="LJ24">
        <v>170.6</v>
      </c>
      <c r="LK24">
        <v>174.7</v>
      </c>
      <c r="LL24">
        <v>166.1</v>
      </c>
      <c r="LM24">
        <v>171.4</v>
      </c>
      <c r="LN24">
        <v>175.3</v>
      </c>
      <c r="LO24">
        <v>167.2</v>
      </c>
      <c r="LP24">
        <v>172.2</v>
      </c>
      <c r="LQ24">
        <v>176</v>
      </c>
      <c r="LR24">
        <v>168.2</v>
      </c>
      <c r="LS24">
        <v>173</v>
      </c>
      <c r="LT24">
        <v>177</v>
      </c>
      <c r="LU24">
        <v>169</v>
      </c>
      <c r="LV24">
        <v>174</v>
      </c>
      <c r="LW24">
        <v>177.7</v>
      </c>
      <c r="LX24">
        <v>170.1</v>
      </c>
      <c r="LY24">
        <v>174.8</v>
      </c>
      <c r="LZ24">
        <v>178.2</v>
      </c>
      <c r="MA24">
        <v>170.9</v>
      </c>
      <c r="MB24">
        <v>175.4</v>
      </c>
      <c r="MC24">
        <v>178.8</v>
      </c>
      <c r="MD24">
        <v>171.7</v>
      </c>
      <c r="ME24">
        <v>176.1</v>
      </c>
      <c r="MF24">
        <v>179.4</v>
      </c>
      <c r="MG24">
        <v>172.6</v>
      </c>
      <c r="MH24">
        <v>176.8</v>
      </c>
      <c r="MI24">
        <v>180.2</v>
      </c>
      <c r="MJ24">
        <v>173.8</v>
      </c>
      <c r="MK24">
        <v>177.8</v>
      </c>
      <c r="ML24">
        <v>181.2</v>
      </c>
      <c r="MM24">
        <v>174.7</v>
      </c>
      <c r="MN24">
        <v>178.7</v>
      </c>
      <c r="MO24">
        <v>182.3</v>
      </c>
      <c r="MP24">
        <v>175.8</v>
      </c>
      <c r="MQ24">
        <v>179.8</v>
      </c>
      <c r="MR24">
        <v>183.5</v>
      </c>
      <c r="MS24">
        <v>177.2</v>
      </c>
      <c r="MT24">
        <v>181.1</v>
      </c>
      <c r="MU24">
        <v>184.7</v>
      </c>
      <c r="MV24">
        <v>178.5</v>
      </c>
      <c r="MW24">
        <v>182.3</v>
      </c>
      <c r="MX24">
        <v>186.6</v>
      </c>
      <c r="MY24">
        <v>180.8</v>
      </c>
      <c r="MZ24">
        <v>184.4</v>
      </c>
      <c r="NA24">
        <v>186.6</v>
      </c>
      <c r="NB24">
        <v>180.8</v>
      </c>
      <c r="NC24">
        <v>184.4</v>
      </c>
      <c r="ND24">
        <v>187.2</v>
      </c>
      <c r="NE24">
        <v>181.5</v>
      </c>
      <c r="NF24">
        <v>185</v>
      </c>
      <c r="NG24">
        <v>187.8</v>
      </c>
      <c r="NH24">
        <v>182.2</v>
      </c>
      <c r="NI24">
        <v>185.7</v>
      </c>
    </row>
    <row r="25" spans="1:373" x14ac:dyDescent="0.3">
      <c r="A25" s="1" t="s">
        <v>24</v>
      </c>
      <c r="B25">
        <v>103.3</v>
      </c>
      <c r="C25">
        <v>103.2</v>
      </c>
      <c r="D25">
        <v>103.2</v>
      </c>
      <c r="E25">
        <v>103.9</v>
      </c>
      <c r="F25">
        <v>104.4</v>
      </c>
      <c r="G25">
        <v>104.2</v>
      </c>
      <c r="H25">
        <v>104.6</v>
      </c>
      <c r="I25">
        <v>105.5</v>
      </c>
      <c r="J25">
        <v>105.1</v>
      </c>
      <c r="K25">
        <v>104.4</v>
      </c>
      <c r="L25">
        <v>105</v>
      </c>
      <c r="M25">
        <v>104.7</v>
      </c>
      <c r="N25">
        <v>104.1</v>
      </c>
      <c r="O25">
        <v>103.9</v>
      </c>
      <c r="P25">
        <v>104</v>
      </c>
      <c r="Q25">
        <v>105</v>
      </c>
      <c r="R25">
        <v>105.2</v>
      </c>
      <c r="S25">
        <v>105.1</v>
      </c>
      <c r="T25">
        <v>106.8</v>
      </c>
      <c r="U25">
        <v>107.3</v>
      </c>
      <c r="V25">
        <v>107.1</v>
      </c>
      <c r="W25">
        <v>107.8</v>
      </c>
      <c r="X25">
        <v>108.1</v>
      </c>
      <c r="Y25">
        <v>108</v>
      </c>
      <c r="Z25">
        <v>109.3</v>
      </c>
      <c r="AA25">
        <v>110.4</v>
      </c>
      <c r="AB25">
        <v>109.9</v>
      </c>
      <c r="AC25">
        <v>109.3</v>
      </c>
      <c r="AD25">
        <v>109.7</v>
      </c>
      <c r="AE25">
        <v>109.5</v>
      </c>
      <c r="AF25">
        <v>109.6</v>
      </c>
      <c r="AG25">
        <v>109.5</v>
      </c>
      <c r="AH25">
        <v>109.5</v>
      </c>
      <c r="AI25">
        <v>109.9</v>
      </c>
      <c r="AJ25">
        <v>109.7</v>
      </c>
      <c r="AK25">
        <v>109.8</v>
      </c>
      <c r="AL25">
        <v>110.5</v>
      </c>
      <c r="AM25">
        <v>110.8</v>
      </c>
      <c r="AN25">
        <v>110.7</v>
      </c>
      <c r="AO25">
        <v>110.8</v>
      </c>
      <c r="AP25">
        <v>111.3</v>
      </c>
      <c r="AQ25">
        <v>111.1</v>
      </c>
      <c r="AR25">
        <v>111.2</v>
      </c>
      <c r="AS25">
        <v>111.6</v>
      </c>
      <c r="AT25">
        <v>111.4</v>
      </c>
      <c r="AU25">
        <v>111.2</v>
      </c>
      <c r="AV25">
        <v>111.2</v>
      </c>
      <c r="AW25">
        <v>111.2</v>
      </c>
      <c r="AX25">
        <v>111.4</v>
      </c>
      <c r="AY25">
        <v>111.3</v>
      </c>
      <c r="AZ25">
        <v>111.3</v>
      </c>
      <c r="BA25">
        <v>112.2</v>
      </c>
      <c r="BB25">
        <v>111.5</v>
      </c>
      <c r="BC25">
        <v>111.8</v>
      </c>
      <c r="BD25">
        <v>113.2</v>
      </c>
      <c r="BE25">
        <v>113</v>
      </c>
      <c r="BF25">
        <v>113.1</v>
      </c>
      <c r="BG25">
        <v>113.2</v>
      </c>
      <c r="BH25">
        <v>112.5</v>
      </c>
      <c r="BI25">
        <v>112.8</v>
      </c>
      <c r="BJ25">
        <v>112.8</v>
      </c>
      <c r="BK25">
        <v>111.2</v>
      </c>
      <c r="BL25">
        <v>112</v>
      </c>
      <c r="BM25">
        <v>112.6</v>
      </c>
      <c r="BN25">
        <v>111</v>
      </c>
      <c r="BO25">
        <v>111.8</v>
      </c>
      <c r="BP25">
        <v>112</v>
      </c>
      <c r="BQ25">
        <v>109.7</v>
      </c>
      <c r="BR25">
        <v>110.8</v>
      </c>
      <c r="BS25">
        <v>111.5</v>
      </c>
      <c r="BT25">
        <v>108.8</v>
      </c>
      <c r="BU25">
        <v>110.1</v>
      </c>
      <c r="BV25">
        <v>111</v>
      </c>
      <c r="BW25">
        <v>107.9</v>
      </c>
      <c r="BX25">
        <v>109.4</v>
      </c>
      <c r="BY25">
        <v>110.9</v>
      </c>
      <c r="BZ25">
        <v>106.8</v>
      </c>
      <c r="CA25">
        <v>108.7</v>
      </c>
      <c r="CB25">
        <v>111.6</v>
      </c>
      <c r="CC25">
        <v>108.4</v>
      </c>
      <c r="CD25">
        <v>109.9</v>
      </c>
      <c r="CE25">
        <v>111.9</v>
      </c>
      <c r="CF25">
        <v>108.4</v>
      </c>
      <c r="CG25">
        <v>110.1</v>
      </c>
      <c r="CH25">
        <v>113.3</v>
      </c>
      <c r="CI25">
        <v>110.8</v>
      </c>
      <c r="CJ25">
        <v>112</v>
      </c>
      <c r="CK25">
        <v>114.2</v>
      </c>
      <c r="CL25">
        <v>111.7</v>
      </c>
      <c r="CM25">
        <v>112.9</v>
      </c>
      <c r="CN25">
        <v>114.1</v>
      </c>
      <c r="CO25">
        <v>111.5</v>
      </c>
      <c r="CP25">
        <v>112.7</v>
      </c>
      <c r="CQ25">
        <v>113.6</v>
      </c>
      <c r="CR25">
        <v>109.9</v>
      </c>
      <c r="CS25">
        <v>111.7</v>
      </c>
      <c r="CT25">
        <v>113.8</v>
      </c>
      <c r="CU25">
        <v>109.1</v>
      </c>
      <c r="CV25">
        <v>111.3</v>
      </c>
      <c r="CW25">
        <v>113.8</v>
      </c>
      <c r="CX25">
        <v>109.3</v>
      </c>
      <c r="CY25">
        <v>111.4</v>
      </c>
      <c r="CZ25">
        <v>114</v>
      </c>
      <c r="DA25">
        <v>109.3</v>
      </c>
      <c r="DB25">
        <v>111.5</v>
      </c>
      <c r="DC25">
        <v>114</v>
      </c>
      <c r="DD25">
        <v>109.3</v>
      </c>
      <c r="DE25">
        <v>111.5</v>
      </c>
      <c r="DF25">
        <v>113.6</v>
      </c>
      <c r="DG25">
        <v>108.9</v>
      </c>
      <c r="DH25">
        <v>111.1</v>
      </c>
      <c r="DI25">
        <v>113.9</v>
      </c>
      <c r="DJ25">
        <v>109.1</v>
      </c>
      <c r="DK25">
        <v>111.4</v>
      </c>
      <c r="DL25">
        <v>113.6</v>
      </c>
      <c r="DM25">
        <v>108.5</v>
      </c>
      <c r="DN25">
        <v>110.9</v>
      </c>
      <c r="DO25">
        <v>114.4</v>
      </c>
      <c r="DP25">
        <v>110</v>
      </c>
      <c r="DQ25">
        <v>112.1</v>
      </c>
      <c r="DR25">
        <v>115.1</v>
      </c>
      <c r="DS25">
        <v>110.7</v>
      </c>
      <c r="DT25">
        <v>112.8</v>
      </c>
      <c r="DU25">
        <v>116.3</v>
      </c>
      <c r="DV25">
        <v>112.3</v>
      </c>
      <c r="DW25">
        <v>114.2</v>
      </c>
      <c r="DX25">
        <v>116.4</v>
      </c>
      <c r="DY25">
        <v>111.7</v>
      </c>
      <c r="DZ25">
        <v>113.9</v>
      </c>
      <c r="EA25">
        <v>116</v>
      </c>
      <c r="EB25">
        <v>110.4</v>
      </c>
      <c r="EC25">
        <v>113.1</v>
      </c>
      <c r="ED25">
        <v>117</v>
      </c>
      <c r="EE25">
        <v>111.8</v>
      </c>
      <c r="EF25">
        <v>114.3</v>
      </c>
      <c r="EG25">
        <v>117.8</v>
      </c>
      <c r="EH25">
        <v>112.8</v>
      </c>
      <c r="EI25">
        <v>115.2</v>
      </c>
      <c r="EJ25">
        <v>118.2</v>
      </c>
      <c r="EK25">
        <v>113.4</v>
      </c>
      <c r="EL25">
        <v>115.7</v>
      </c>
      <c r="EM25">
        <v>118.6</v>
      </c>
      <c r="EN25">
        <v>113.7</v>
      </c>
      <c r="EO25">
        <v>116</v>
      </c>
      <c r="EP25">
        <v>119.1</v>
      </c>
      <c r="EQ25">
        <v>115.2</v>
      </c>
      <c r="ER25">
        <v>117</v>
      </c>
      <c r="ES25">
        <v>119.5</v>
      </c>
      <c r="ET25">
        <v>115.5</v>
      </c>
      <c r="EU25">
        <v>117.4</v>
      </c>
      <c r="EV25">
        <v>119.8</v>
      </c>
      <c r="EW25">
        <v>115.6</v>
      </c>
      <c r="EX25">
        <v>117.6</v>
      </c>
      <c r="EY25">
        <v>119.2</v>
      </c>
      <c r="EZ25">
        <v>114.3</v>
      </c>
      <c r="FA25">
        <v>116.6</v>
      </c>
      <c r="FB25">
        <v>119.4</v>
      </c>
      <c r="FC25">
        <v>114.3</v>
      </c>
      <c r="FD25">
        <v>116.7</v>
      </c>
      <c r="FE25">
        <v>119.4</v>
      </c>
      <c r="FF25">
        <v>113.9</v>
      </c>
      <c r="FG25">
        <v>116.5</v>
      </c>
      <c r="FH25">
        <v>119.1</v>
      </c>
      <c r="FI25">
        <v>113.2</v>
      </c>
      <c r="FJ25">
        <v>116</v>
      </c>
      <c r="FK25">
        <v>120.3</v>
      </c>
      <c r="FL25">
        <v>114.6</v>
      </c>
      <c r="FM25">
        <v>117.3</v>
      </c>
      <c r="FN25">
        <v>121.2</v>
      </c>
      <c r="FO25">
        <v>115.7</v>
      </c>
      <c r="FP25">
        <v>118.3</v>
      </c>
      <c r="FQ25">
        <v>121</v>
      </c>
      <c r="FR25">
        <v>115</v>
      </c>
      <c r="FS25">
        <v>117.8</v>
      </c>
      <c r="FT25">
        <v>121.6</v>
      </c>
      <c r="FU25">
        <v>115.3</v>
      </c>
      <c r="FV25">
        <v>118.3</v>
      </c>
      <c r="FW25">
        <v>122</v>
      </c>
      <c r="FX25">
        <v>115.3</v>
      </c>
      <c r="FY25">
        <v>118.5</v>
      </c>
      <c r="FZ25">
        <v>122.7</v>
      </c>
      <c r="GA25">
        <v>116.3</v>
      </c>
      <c r="GB25">
        <v>119.3</v>
      </c>
      <c r="GC25">
        <v>123.3</v>
      </c>
      <c r="GD25">
        <v>117.4</v>
      </c>
      <c r="GE25">
        <v>120.2</v>
      </c>
      <c r="GF25">
        <v>124.6</v>
      </c>
      <c r="GG25">
        <v>117.8</v>
      </c>
      <c r="GH25">
        <v>121</v>
      </c>
      <c r="GI25">
        <v>125.3</v>
      </c>
      <c r="GJ25">
        <v>118.9</v>
      </c>
      <c r="GK25">
        <v>121.9</v>
      </c>
      <c r="GL25">
        <v>126.4</v>
      </c>
      <c r="GM25">
        <v>119.8</v>
      </c>
      <c r="GN25">
        <v>122.9</v>
      </c>
      <c r="GO25">
        <v>127.4</v>
      </c>
      <c r="GP25">
        <v>120.4</v>
      </c>
      <c r="GQ25">
        <v>123.7</v>
      </c>
      <c r="GR25">
        <v>127.5</v>
      </c>
      <c r="GS25">
        <v>120.1</v>
      </c>
      <c r="GT25">
        <v>123.6</v>
      </c>
      <c r="GU25">
        <v>128.30000000000001</v>
      </c>
      <c r="GV25">
        <v>120.7</v>
      </c>
      <c r="GW25">
        <v>124.3</v>
      </c>
      <c r="GX25">
        <v>129.9</v>
      </c>
      <c r="GY25">
        <v>122.5</v>
      </c>
      <c r="GZ25">
        <v>126</v>
      </c>
      <c r="HA25">
        <v>130.80000000000001</v>
      </c>
      <c r="HB25">
        <v>123.3</v>
      </c>
      <c r="HC25">
        <v>125.5</v>
      </c>
      <c r="HD25">
        <v>130.30000000000001</v>
      </c>
      <c r="HE25">
        <v>121.2</v>
      </c>
      <c r="HF25">
        <v>125.5</v>
      </c>
      <c r="HG25">
        <v>128.9</v>
      </c>
      <c r="HH25">
        <v>118.8</v>
      </c>
      <c r="HI25">
        <v>123.6</v>
      </c>
      <c r="HJ25">
        <v>128.6</v>
      </c>
      <c r="HK25">
        <v>118.6</v>
      </c>
      <c r="HL25">
        <v>123.3</v>
      </c>
      <c r="HM25">
        <v>129.19999999999999</v>
      </c>
      <c r="HN25">
        <v>119.2</v>
      </c>
      <c r="HO25">
        <v>123.9</v>
      </c>
      <c r="HP25">
        <v>129.9</v>
      </c>
      <c r="HQ25">
        <v>119.9</v>
      </c>
      <c r="HR25">
        <v>124.6</v>
      </c>
      <c r="HS25">
        <v>130.19999999999999</v>
      </c>
      <c r="HT25">
        <v>120.1</v>
      </c>
      <c r="HU25">
        <v>124.9</v>
      </c>
      <c r="HV25">
        <v>130.19999999999999</v>
      </c>
      <c r="HW25">
        <v>119.6</v>
      </c>
      <c r="HX25">
        <v>124.6</v>
      </c>
      <c r="HY25">
        <v>131.19999999999999</v>
      </c>
      <c r="HZ25">
        <v>120.6</v>
      </c>
      <c r="IA25">
        <v>125.6</v>
      </c>
      <c r="IB25">
        <v>131.4</v>
      </c>
      <c r="IC25">
        <v>120.8</v>
      </c>
      <c r="ID25">
        <v>125.8</v>
      </c>
      <c r="IE25">
        <v>131.6</v>
      </c>
      <c r="IF25">
        <v>121.2</v>
      </c>
      <c r="IG25">
        <v>126.1</v>
      </c>
      <c r="IH25">
        <v>131.69999999999999</v>
      </c>
      <c r="II25">
        <v>121.5</v>
      </c>
      <c r="IJ25">
        <v>126.3</v>
      </c>
      <c r="IK25">
        <v>132.1</v>
      </c>
      <c r="IL25">
        <v>121.7</v>
      </c>
      <c r="IM25">
        <v>126.6</v>
      </c>
      <c r="IN25">
        <v>135</v>
      </c>
      <c r="IO25">
        <v>125.2</v>
      </c>
      <c r="IP25">
        <v>129.80000000000001</v>
      </c>
      <c r="IQ25">
        <v>136.30000000000001</v>
      </c>
      <c r="IR25">
        <v>126.1</v>
      </c>
      <c r="IS25">
        <v>130.9</v>
      </c>
      <c r="IT25">
        <v>136</v>
      </c>
      <c r="IU25">
        <v>125.2</v>
      </c>
      <c r="IV25">
        <v>130.30000000000001</v>
      </c>
      <c r="IW25">
        <v>135.80000000000001</v>
      </c>
      <c r="IX25">
        <v>124.6</v>
      </c>
      <c r="IY25">
        <v>129.9</v>
      </c>
      <c r="IZ25" s="9">
        <f>AVERAGE(IW25,IT25,IQ25)</f>
        <v>136.03333333333333</v>
      </c>
      <c r="JA25" s="9">
        <f>AVERAGE(IX25,IU25,IR25)</f>
        <v>125.3</v>
      </c>
      <c r="JB25" s="9">
        <f>AVERAGE(IY25,IV25,IS25)</f>
        <v>130.36666666666667</v>
      </c>
      <c r="JC25" s="9">
        <f>AVERAGE(JF25,JI25,JL25)</f>
        <v>142.13333333333333</v>
      </c>
      <c r="JD25" s="9">
        <f>AVERAGE(JG25,JJ25,JM25)</f>
        <v>130.83333333333334</v>
      </c>
      <c r="JE25" s="9">
        <f>AVERAGE(JH25,JK25,JN25)</f>
        <v>136.16666666666666</v>
      </c>
      <c r="JF25">
        <v>141.4</v>
      </c>
      <c r="JG25">
        <v>129.30000000000001</v>
      </c>
      <c r="JH25">
        <v>135</v>
      </c>
      <c r="JI25">
        <v>141.4</v>
      </c>
      <c r="JJ25">
        <v>129.30000000000001</v>
      </c>
      <c r="JK25">
        <v>135</v>
      </c>
      <c r="JL25">
        <v>143.6</v>
      </c>
      <c r="JM25">
        <v>133.9</v>
      </c>
      <c r="JN25">
        <v>138.5</v>
      </c>
      <c r="JO25">
        <v>144.6</v>
      </c>
      <c r="JP25">
        <v>135.1</v>
      </c>
      <c r="JQ25">
        <v>139.6</v>
      </c>
      <c r="JR25">
        <v>146.4</v>
      </c>
      <c r="JS25">
        <v>135.4</v>
      </c>
      <c r="JT25">
        <v>140.6</v>
      </c>
      <c r="JU25">
        <v>146.1</v>
      </c>
      <c r="JV25">
        <v>135.19999999999999</v>
      </c>
      <c r="JW25">
        <v>140.4</v>
      </c>
      <c r="JX25">
        <v>146.4</v>
      </c>
      <c r="JY25">
        <v>135.5</v>
      </c>
      <c r="JZ25">
        <v>140.69999999999999</v>
      </c>
      <c r="KA25">
        <v>147.5</v>
      </c>
      <c r="KB25">
        <v>136.9</v>
      </c>
      <c r="KC25">
        <v>141.9</v>
      </c>
      <c r="KD25">
        <v>150.19999999999999</v>
      </c>
      <c r="KE25">
        <v>140.5</v>
      </c>
      <c r="KF25">
        <v>145.1</v>
      </c>
      <c r="KG25">
        <v>151.30000000000001</v>
      </c>
      <c r="KH25">
        <v>141.69999999999999</v>
      </c>
      <c r="KI25">
        <v>146.19999999999999</v>
      </c>
      <c r="KJ25">
        <v>151.69999999999999</v>
      </c>
      <c r="KK25">
        <v>142.1</v>
      </c>
      <c r="KL25">
        <v>146.6</v>
      </c>
      <c r="KM25">
        <v>153.19999999999999</v>
      </c>
      <c r="KN25">
        <v>145</v>
      </c>
      <c r="KO25">
        <v>148.9</v>
      </c>
      <c r="KP25">
        <v>154.19999999999999</v>
      </c>
      <c r="KQ25">
        <v>147.5</v>
      </c>
      <c r="KR25">
        <v>150.69999999999999</v>
      </c>
      <c r="KS25">
        <v>157.1</v>
      </c>
      <c r="KT25">
        <v>149.5</v>
      </c>
      <c r="KU25">
        <v>153.1</v>
      </c>
      <c r="KV25">
        <v>157.69999999999999</v>
      </c>
      <c r="KW25">
        <v>150.4</v>
      </c>
      <c r="KX25">
        <v>154</v>
      </c>
      <c r="KY25">
        <v>157.80000000000001</v>
      </c>
      <c r="KZ25">
        <v>150.5</v>
      </c>
      <c r="LA25">
        <v>154</v>
      </c>
      <c r="LB25">
        <v>159.5</v>
      </c>
      <c r="LC25">
        <v>152.19999999999999</v>
      </c>
      <c r="LD25">
        <v>155.69999999999999</v>
      </c>
      <c r="LE25">
        <v>158.9</v>
      </c>
      <c r="LF25">
        <v>151.19999999999999</v>
      </c>
      <c r="LG25">
        <v>154.80000000000001</v>
      </c>
      <c r="LH25">
        <v>160.1</v>
      </c>
      <c r="LI25">
        <v>151.80000000000001</v>
      </c>
      <c r="LJ25">
        <v>155.69999999999999</v>
      </c>
      <c r="LK25">
        <v>160.80000000000001</v>
      </c>
      <c r="LL25">
        <v>152.69999999999999</v>
      </c>
      <c r="LM25">
        <v>156.5</v>
      </c>
      <c r="LN25">
        <v>161.19999999999999</v>
      </c>
      <c r="LO25">
        <v>153.1</v>
      </c>
      <c r="LP25">
        <v>156.9</v>
      </c>
      <c r="LQ25">
        <v>162</v>
      </c>
      <c r="LR25">
        <v>154.19999999999999</v>
      </c>
      <c r="LS25">
        <v>157.9</v>
      </c>
      <c r="LT25">
        <v>166.2</v>
      </c>
      <c r="LU25">
        <v>159.30000000000001</v>
      </c>
      <c r="LV25">
        <v>162.6</v>
      </c>
      <c r="LW25">
        <v>167.1</v>
      </c>
      <c r="LX25">
        <v>159.4</v>
      </c>
      <c r="LY25">
        <v>163</v>
      </c>
      <c r="LZ25">
        <v>165.5</v>
      </c>
      <c r="MA25">
        <v>157.19999999999999</v>
      </c>
      <c r="MB25">
        <v>161.1</v>
      </c>
      <c r="MC25">
        <v>166.3</v>
      </c>
      <c r="MD25">
        <v>157.4</v>
      </c>
      <c r="ME25">
        <v>161.6</v>
      </c>
      <c r="MF25">
        <v>166.6</v>
      </c>
      <c r="MG25">
        <v>157.69999999999999</v>
      </c>
      <c r="MH25">
        <v>161.9</v>
      </c>
      <c r="MI25">
        <v>166.9</v>
      </c>
      <c r="MJ25">
        <v>158.19999999999999</v>
      </c>
      <c r="MK25">
        <v>162.30000000000001</v>
      </c>
      <c r="ML25">
        <v>167.4</v>
      </c>
      <c r="MM25">
        <v>158.80000000000001</v>
      </c>
      <c r="MN25">
        <v>162.9</v>
      </c>
      <c r="MO25">
        <v>167.5</v>
      </c>
      <c r="MP25">
        <v>158.9</v>
      </c>
      <c r="MQ25">
        <v>163</v>
      </c>
      <c r="MR25">
        <v>167.8</v>
      </c>
      <c r="MS25">
        <v>159.4</v>
      </c>
      <c r="MT25">
        <v>163.4</v>
      </c>
      <c r="MU25">
        <v>168.2</v>
      </c>
      <c r="MV25">
        <v>159.5</v>
      </c>
      <c r="MW25">
        <v>163.6</v>
      </c>
      <c r="MX25">
        <v>169</v>
      </c>
      <c r="MY25">
        <v>159.80000000000001</v>
      </c>
      <c r="MZ25">
        <v>164.2</v>
      </c>
      <c r="NA25">
        <v>169</v>
      </c>
      <c r="NB25">
        <v>159.80000000000001</v>
      </c>
      <c r="NC25">
        <v>164.2</v>
      </c>
      <c r="ND25">
        <v>169.4</v>
      </c>
      <c r="NE25">
        <v>160.1</v>
      </c>
      <c r="NF25">
        <v>164.5</v>
      </c>
      <c r="NG25">
        <v>169.7</v>
      </c>
      <c r="NH25">
        <v>160.4</v>
      </c>
      <c r="NI25">
        <v>164.8</v>
      </c>
    </row>
    <row r="26" spans="1:373" x14ac:dyDescent="0.3">
      <c r="A26" s="1" t="s">
        <v>25</v>
      </c>
      <c r="B26">
        <v>103.4</v>
      </c>
      <c r="C26">
        <v>102.9</v>
      </c>
      <c r="D26">
        <v>103.1</v>
      </c>
      <c r="E26">
        <v>104</v>
      </c>
      <c r="F26">
        <v>103.3</v>
      </c>
      <c r="G26">
        <v>103.6</v>
      </c>
      <c r="H26">
        <v>104</v>
      </c>
      <c r="I26">
        <v>103.5</v>
      </c>
      <c r="J26">
        <v>103.7</v>
      </c>
      <c r="K26">
        <v>104.5</v>
      </c>
      <c r="L26">
        <v>104</v>
      </c>
      <c r="M26">
        <v>104.2</v>
      </c>
      <c r="N26">
        <v>105</v>
      </c>
      <c r="O26">
        <v>104.6</v>
      </c>
      <c r="P26">
        <v>104.8</v>
      </c>
      <c r="Q26">
        <v>105.6</v>
      </c>
      <c r="R26">
        <v>105.2</v>
      </c>
      <c r="S26">
        <v>105.4</v>
      </c>
      <c r="T26">
        <v>106.4</v>
      </c>
      <c r="U26">
        <v>105.9</v>
      </c>
      <c r="V26">
        <v>106.1</v>
      </c>
      <c r="W26">
        <v>106.8</v>
      </c>
      <c r="X26">
        <v>106.5</v>
      </c>
      <c r="Y26">
        <v>106.6</v>
      </c>
      <c r="Z26">
        <v>107.7</v>
      </c>
      <c r="AA26">
        <v>107.4</v>
      </c>
      <c r="AB26">
        <v>107.5</v>
      </c>
      <c r="AC26">
        <v>108.3</v>
      </c>
      <c r="AD26">
        <v>108</v>
      </c>
      <c r="AE26">
        <v>108.1</v>
      </c>
      <c r="AF26">
        <v>108.7</v>
      </c>
      <c r="AG26">
        <v>108.5</v>
      </c>
      <c r="AH26">
        <v>108.6</v>
      </c>
      <c r="AI26">
        <v>109.2</v>
      </c>
      <c r="AJ26">
        <v>108.9</v>
      </c>
      <c r="AK26">
        <v>109</v>
      </c>
      <c r="AL26">
        <v>109.6</v>
      </c>
      <c r="AM26">
        <v>109.8</v>
      </c>
      <c r="AN26">
        <v>109.7</v>
      </c>
      <c r="AO26">
        <v>109.9</v>
      </c>
      <c r="AP26">
        <v>110.3</v>
      </c>
      <c r="AQ26">
        <v>110.1</v>
      </c>
      <c r="AR26">
        <v>110.2</v>
      </c>
      <c r="AS26">
        <v>110.9</v>
      </c>
      <c r="AT26">
        <v>110.6</v>
      </c>
      <c r="AU26">
        <v>110.5</v>
      </c>
      <c r="AV26">
        <v>111.2</v>
      </c>
      <c r="AW26">
        <v>110.9</v>
      </c>
      <c r="AX26">
        <v>110.9</v>
      </c>
      <c r="AY26">
        <v>111.5</v>
      </c>
      <c r="AZ26">
        <v>111.2</v>
      </c>
      <c r="BA26">
        <v>111.4</v>
      </c>
      <c r="BB26">
        <v>111.8</v>
      </c>
      <c r="BC26">
        <v>111.6</v>
      </c>
      <c r="BD26">
        <v>111.8</v>
      </c>
      <c r="BE26">
        <v>112.4</v>
      </c>
      <c r="BF26">
        <v>112.1</v>
      </c>
      <c r="BG26">
        <v>112.2</v>
      </c>
      <c r="BH26">
        <v>112.9</v>
      </c>
      <c r="BI26">
        <v>112.6</v>
      </c>
      <c r="BJ26">
        <v>112.6</v>
      </c>
      <c r="BK26">
        <v>113.4</v>
      </c>
      <c r="BL26">
        <v>113.1</v>
      </c>
      <c r="BM26">
        <v>113</v>
      </c>
      <c r="BN26">
        <v>113.6</v>
      </c>
      <c r="BO26">
        <v>113.3</v>
      </c>
      <c r="BP26">
        <v>113.3</v>
      </c>
      <c r="BQ26">
        <v>114</v>
      </c>
      <c r="BR26">
        <v>113.7</v>
      </c>
      <c r="BS26">
        <v>113.3</v>
      </c>
      <c r="BT26">
        <v>114.3</v>
      </c>
      <c r="BU26">
        <v>113.9</v>
      </c>
      <c r="BV26">
        <v>114</v>
      </c>
      <c r="BW26">
        <v>114.6</v>
      </c>
      <c r="BX26">
        <v>114.3</v>
      </c>
      <c r="BY26">
        <v>114.8</v>
      </c>
      <c r="BZ26">
        <v>114.9</v>
      </c>
      <c r="CA26">
        <v>114.9</v>
      </c>
      <c r="CB26">
        <v>115.5</v>
      </c>
      <c r="CC26">
        <v>115.4</v>
      </c>
      <c r="CD26">
        <v>115.4</v>
      </c>
      <c r="CE26">
        <v>116.2</v>
      </c>
      <c r="CF26">
        <v>115.6</v>
      </c>
      <c r="CG26">
        <v>115.9</v>
      </c>
      <c r="CH26">
        <v>116.7</v>
      </c>
      <c r="CI26">
        <v>116</v>
      </c>
      <c r="CJ26">
        <v>116.3</v>
      </c>
      <c r="CK26">
        <v>117.9</v>
      </c>
      <c r="CL26">
        <v>116.2</v>
      </c>
      <c r="CM26">
        <v>116.9</v>
      </c>
      <c r="CN26">
        <v>118</v>
      </c>
      <c r="CO26">
        <v>116.6</v>
      </c>
      <c r="CP26">
        <v>117.2</v>
      </c>
      <c r="CQ26">
        <v>118.5</v>
      </c>
      <c r="CR26">
        <v>117.2</v>
      </c>
      <c r="CS26">
        <v>117.8</v>
      </c>
      <c r="CT26">
        <v>119.6</v>
      </c>
      <c r="CU26">
        <v>117.3</v>
      </c>
      <c r="CV26">
        <v>118.3</v>
      </c>
      <c r="CW26">
        <v>120.1</v>
      </c>
      <c r="CX26">
        <v>117.7</v>
      </c>
      <c r="CY26">
        <v>118.7</v>
      </c>
      <c r="CZ26">
        <v>120.9</v>
      </c>
      <c r="DA26">
        <v>117.9</v>
      </c>
      <c r="DB26">
        <v>119.2</v>
      </c>
      <c r="DC26">
        <v>121.6</v>
      </c>
      <c r="DD26">
        <v>118.1</v>
      </c>
      <c r="DE26">
        <v>119.6</v>
      </c>
      <c r="DF26">
        <v>121.4</v>
      </c>
      <c r="DG26">
        <v>118.5</v>
      </c>
      <c r="DH26">
        <v>119.8</v>
      </c>
      <c r="DI26">
        <v>122.3</v>
      </c>
      <c r="DJ26">
        <v>118.8</v>
      </c>
      <c r="DK26">
        <v>120.3</v>
      </c>
      <c r="DL26">
        <v>122.5</v>
      </c>
      <c r="DM26">
        <v>119.1</v>
      </c>
      <c r="DN26">
        <v>120.6</v>
      </c>
      <c r="DO26">
        <v>123.2</v>
      </c>
      <c r="DP26">
        <v>119.5</v>
      </c>
      <c r="DQ26">
        <v>121.1</v>
      </c>
      <c r="DR26">
        <v>123.6</v>
      </c>
      <c r="DS26">
        <v>119.8</v>
      </c>
      <c r="DT26">
        <v>121.5</v>
      </c>
      <c r="DU26">
        <v>124.1</v>
      </c>
      <c r="DV26">
        <v>119.9</v>
      </c>
      <c r="DW26">
        <v>121.7</v>
      </c>
      <c r="DX26">
        <v>125.2</v>
      </c>
      <c r="DY26">
        <v>120.3</v>
      </c>
      <c r="DZ26">
        <v>122.4</v>
      </c>
      <c r="EA26">
        <v>125.5</v>
      </c>
      <c r="EB26">
        <v>120.6</v>
      </c>
      <c r="EC26">
        <v>122.7</v>
      </c>
      <c r="ED26">
        <v>125.7</v>
      </c>
      <c r="EE26">
        <v>120.8</v>
      </c>
      <c r="EF26">
        <v>122.9</v>
      </c>
      <c r="EG26">
        <v>126.5</v>
      </c>
      <c r="EH26">
        <v>121.2</v>
      </c>
      <c r="EI26">
        <v>123.5</v>
      </c>
      <c r="EJ26">
        <v>126.9</v>
      </c>
      <c r="EK26">
        <v>121.7</v>
      </c>
      <c r="EL26">
        <v>124</v>
      </c>
      <c r="EM26">
        <v>127.3</v>
      </c>
      <c r="EN26">
        <v>121.8</v>
      </c>
      <c r="EO26">
        <v>124.2</v>
      </c>
      <c r="EP26">
        <v>127</v>
      </c>
      <c r="EQ26">
        <v>122</v>
      </c>
      <c r="ER26">
        <v>124.2</v>
      </c>
      <c r="ES26">
        <v>127.7</v>
      </c>
      <c r="ET26">
        <v>122.2</v>
      </c>
      <c r="EU26">
        <v>124.6</v>
      </c>
      <c r="EV26">
        <v>128.30000000000001</v>
      </c>
      <c r="EW26">
        <v>122.4</v>
      </c>
      <c r="EX26">
        <v>125</v>
      </c>
      <c r="EY26">
        <v>128.30000000000001</v>
      </c>
      <c r="EZ26">
        <v>122.6</v>
      </c>
      <c r="FA26">
        <v>125.1</v>
      </c>
      <c r="FB26">
        <v>129.4</v>
      </c>
      <c r="FC26">
        <v>122.8</v>
      </c>
      <c r="FD26">
        <v>125.7</v>
      </c>
      <c r="FE26">
        <v>129.80000000000001</v>
      </c>
      <c r="FF26">
        <v>122.9</v>
      </c>
      <c r="FG26">
        <v>125.9</v>
      </c>
      <c r="FH26">
        <v>130.6</v>
      </c>
      <c r="FI26">
        <v>123.5</v>
      </c>
      <c r="FJ26">
        <v>126.6</v>
      </c>
      <c r="FK26">
        <v>131.5</v>
      </c>
      <c r="FL26">
        <v>124.1</v>
      </c>
      <c r="FM26">
        <v>127.3</v>
      </c>
      <c r="FN26">
        <v>132.30000000000001</v>
      </c>
      <c r="FO26">
        <v>124.5</v>
      </c>
      <c r="FP26">
        <v>127.9</v>
      </c>
      <c r="FQ26">
        <v>133</v>
      </c>
      <c r="FR26">
        <v>124.8</v>
      </c>
      <c r="FS26">
        <v>128.4</v>
      </c>
      <c r="FT26">
        <v>133.69999999999999</v>
      </c>
      <c r="FU26">
        <v>125.1</v>
      </c>
      <c r="FV26">
        <v>128.9</v>
      </c>
      <c r="FW26">
        <v>133.4</v>
      </c>
      <c r="FX26">
        <v>125.6</v>
      </c>
      <c r="FY26">
        <v>129</v>
      </c>
      <c r="FZ26">
        <v>134.30000000000001</v>
      </c>
      <c r="GA26">
        <v>126.2</v>
      </c>
      <c r="GB26">
        <v>129.69999999999999</v>
      </c>
      <c r="GC26">
        <v>134.30000000000001</v>
      </c>
      <c r="GD26">
        <v>126.5</v>
      </c>
      <c r="GE26">
        <v>129.9</v>
      </c>
      <c r="GF26">
        <v>135.1</v>
      </c>
      <c r="GG26">
        <v>126.8</v>
      </c>
      <c r="GH26">
        <v>130.4</v>
      </c>
      <c r="GI26">
        <v>136</v>
      </c>
      <c r="GJ26">
        <v>127.6</v>
      </c>
      <c r="GK26">
        <v>131.30000000000001</v>
      </c>
      <c r="GL26">
        <v>136.80000000000001</v>
      </c>
      <c r="GM26">
        <v>128</v>
      </c>
      <c r="GN26">
        <v>131.80000000000001</v>
      </c>
      <c r="GO26">
        <v>137.80000000000001</v>
      </c>
      <c r="GP26">
        <v>128.5</v>
      </c>
      <c r="GQ26">
        <v>132.6</v>
      </c>
      <c r="GR26">
        <v>138.4</v>
      </c>
      <c r="GS26">
        <v>129</v>
      </c>
      <c r="GT26">
        <v>133.1</v>
      </c>
      <c r="GU26">
        <v>138.6</v>
      </c>
      <c r="GV26">
        <v>129.80000000000001</v>
      </c>
      <c r="GW26">
        <v>133.6</v>
      </c>
      <c r="GX26">
        <v>140</v>
      </c>
      <c r="GY26">
        <v>130.19999999999999</v>
      </c>
      <c r="GZ26">
        <v>134.5</v>
      </c>
      <c r="HA26">
        <v>140.1</v>
      </c>
      <c r="HB26">
        <v>130.69999999999999</v>
      </c>
      <c r="HC26">
        <v>136.5</v>
      </c>
      <c r="HD26">
        <v>143.1</v>
      </c>
      <c r="HE26">
        <v>131.30000000000001</v>
      </c>
      <c r="HF26">
        <v>136.5</v>
      </c>
      <c r="HG26">
        <v>143.30000000000001</v>
      </c>
      <c r="HH26">
        <v>131.69999999999999</v>
      </c>
      <c r="HI26">
        <v>136.80000000000001</v>
      </c>
      <c r="HJ26">
        <v>142.9</v>
      </c>
      <c r="HK26">
        <v>131.9</v>
      </c>
      <c r="HL26">
        <v>136.69999999999999</v>
      </c>
      <c r="HM26">
        <v>143.4</v>
      </c>
      <c r="HN26">
        <v>132.19999999999999</v>
      </c>
      <c r="HO26">
        <v>137.1</v>
      </c>
      <c r="HP26">
        <v>143.80000000000001</v>
      </c>
      <c r="HQ26">
        <v>133</v>
      </c>
      <c r="HR26">
        <v>137.69999999999999</v>
      </c>
      <c r="HS26">
        <v>145.9</v>
      </c>
      <c r="HT26">
        <v>134</v>
      </c>
      <c r="HU26">
        <v>139.19999999999999</v>
      </c>
      <c r="HV26">
        <v>146.4</v>
      </c>
      <c r="HW26">
        <v>134.30000000000001</v>
      </c>
      <c r="HX26">
        <v>139.6</v>
      </c>
      <c r="HY26">
        <v>147.5</v>
      </c>
      <c r="HZ26">
        <v>135</v>
      </c>
      <c r="IA26">
        <v>140.5</v>
      </c>
      <c r="IB26">
        <v>148</v>
      </c>
      <c r="IC26">
        <v>135.4</v>
      </c>
      <c r="ID26">
        <v>140.9</v>
      </c>
      <c r="IE26">
        <v>148.30000000000001</v>
      </c>
      <c r="IF26">
        <v>135.9</v>
      </c>
      <c r="IG26">
        <v>141.30000000000001</v>
      </c>
      <c r="IH26">
        <v>148.69999999999999</v>
      </c>
      <c r="II26">
        <v>136.19999999999999</v>
      </c>
      <c r="IJ26">
        <v>141.69999999999999</v>
      </c>
      <c r="IK26">
        <v>149.1</v>
      </c>
      <c r="IL26">
        <v>136.69999999999999</v>
      </c>
      <c r="IM26">
        <v>142.1</v>
      </c>
      <c r="IN26">
        <v>149.5</v>
      </c>
      <c r="IO26">
        <v>136.80000000000001</v>
      </c>
      <c r="IP26">
        <v>142.30000000000001</v>
      </c>
      <c r="IQ26">
        <v>150.1</v>
      </c>
      <c r="IR26">
        <v>137.19999999999999</v>
      </c>
      <c r="IS26">
        <v>142.80000000000001</v>
      </c>
      <c r="IT26">
        <v>150.4</v>
      </c>
      <c r="IU26">
        <v>137.69999999999999</v>
      </c>
      <c r="IV26">
        <v>143.19999999999999</v>
      </c>
      <c r="IW26">
        <v>151.19999999999999</v>
      </c>
      <c r="IX26">
        <v>137.9</v>
      </c>
      <c r="IY26">
        <v>143.69999999999999</v>
      </c>
      <c r="JF26">
        <v>153.19999999999999</v>
      </c>
      <c r="JG26">
        <v>144.5</v>
      </c>
      <c r="JH26">
        <v>148.30000000000001</v>
      </c>
      <c r="JI26">
        <v>153.19999999999999</v>
      </c>
      <c r="JJ26">
        <v>144.5</v>
      </c>
      <c r="JK26">
        <v>148.30000000000001</v>
      </c>
      <c r="JL26">
        <v>152.19999999999999</v>
      </c>
      <c r="JM26">
        <v>141.19999999999999</v>
      </c>
      <c r="JN26">
        <v>146</v>
      </c>
      <c r="JO26">
        <v>152.80000000000001</v>
      </c>
      <c r="JP26">
        <v>141.80000000000001</v>
      </c>
      <c r="JQ26">
        <v>146.6</v>
      </c>
      <c r="JR26">
        <v>152.4</v>
      </c>
      <c r="JS26">
        <v>142</v>
      </c>
      <c r="JT26">
        <v>146.5</v>
      </c>
      <c r="JU26">
        <v>153.6</v>
      </c>
      <c r="JV26">
        <v>144.4</v>
      </c>
      <c r="JW26">
        <v>148.4</v>
      </c>
      <c r="JX26">
        <v>153.9</v>
      </c>
      <c r="JY26">
        <v>144.30000000000001</v>
      </c>
      <c r="JZ26">
        <v>148.5</v>
      </c>
      <c r="KA26">
        <v>155.1</v>
      </c>
      <c r="KB26">
        <v>145.4</v>
      </c>
      <c r="KC26">
        <v>149.6</v>
      </c>
      <c r="KD26">
        <v>157</v>
      </c>
      <c r="KE26">
        <v>147.30000000000001</v>
      </c>
      <c r="KF26">
        <v>151.5</v>
      </c>
      <c r="KG26">
        <v>157.80000000000001</v>
      </c>
      <c r="KH26">
        <v>148.6</v>
      </c>
      <c r="KI26">
        <v>152.6</v>
      </c>
      <c r="KJ26">
        <v>158.6</v>
      </c>
      <c r="KK26">
        <v>149.1</v>
      </c>
      <c r="KL26">
        <v>153.19999999999999</v>
      </c>
      <c r="KM26">
        <v>160</v>
      </c>
      <c r="KN26">
        <v>152.6</v>
      </c>
      <c r="KO26">
        <v>155.80000000000001</v>
      </c>
      <c r="KP26">
        <v>160.4</v>
      </c>
      <c r="KQ26">
        <v>150.69999999999999</v>
      </c>
      <c r="KR26">
        <v>154.9</v>
      </c>
      <c r="KS26">
        <v>160.69999999999999</v>
      </c>
      <c r="KT26">
        <v>151.19999999999999</v>
      </c>
      <c r="KU26">
        <v>155.30000000000001</v>
      </c>
      <c r="KV26">
        <v>161.1</v>
      </c>
      <c r="KW26">
        <v>153.69999999999999</v>
      </c>
      <c r="KX26">
        <v>157.6</v>
      </c>
      <c r="KY26">
        <v>162.69999999999999</v>
      </c>
      <c r="KZ26">
        <v>153.9</v>
      </c>
      <c r="LA26">
        <v>157.69999999999999</v>
      </c>
      <c r="LB26">
        <v>163.19999999999999</v>
      </c>
      <c r="LC26">
        <v>155.1</v>
      </c>
      <c r="LD26">
        <v>158.6</v>
      </c>
      <c r="LE26">
        <v>163.80000000000001</v>
      </c>
      <c r="LF26">
        <v>156.69999999999999</v>
      </c>
      <c r="LG26">
        <v>159.80000000000001</v>
      </c>
      <c r="LH26">
        <v>164.5</v>
      </c>
      <c r="LI26">
        <v>157.6</v>
      </c>
      <c r="LJ26">
        <v>160.6</v>
      </c>
      <c r="LK26">
        <v>164.9</v>
      </c>
      <c r="LL26">
        <v>158.4</v>
      </c>
      <c r="LM26">
        <v>161.19999999999999</v>
      </c>
      <c r="LN26">
        <v>165.5</v>
      </c>
      <c r="LO26">
        <v>159.5</v>
      </c>
      <c r="LP26">
        <v>162.1</v>
      </c>
      <c r="LQ26">
        <v>166.6</v>
      </c>
      <c r="LR26">
        <v>160.80000000000001</v>
      </c>
      <c r="LS26">
        <v>163.30000000000001</v>
      </c>
      <c r="LT26">
        <v>167.2</v>
      </c>
      <c r="LU26">
        <v>162.19999999999999</v>
      </c>
      <c r="LV26">
        <v>164.4</v>
      </c>
      <c r="LW26">
        <v>167.6</v>
      </c>
      <c r="LX26">
        <v>163.19999999999999</v>
      </c>
      <c r="LY26">
        <v>165.1</v>
      </c>
      <c r="LZ26">
        <v>168</v>
      </c>
      <c r="MA26">
        <v>164.1</v>
      </c>
      <c r="MB26">
        <v>165.8</v>
      </c>
      <c r="MC26">
        <v>168.6</v>
      </c>
      <c r="MD26">
        <v>164.6</v>
      </c>
      <c r="ME26">
        <v>166.3</v>
      </c>
      <c r="MF26">
        <v>169.3</v>
      </c>
      <c r="MG26">
        <v>165.1</v>
      </c>
      <c r="MH26">
        <v>166.9</v>
      </c>
      <c r="MI26">
        <v>170</v>
      </c>
      <c r="MJ26">
        <v>165.8</v>
      </c>
      <c r="MK26">
        <v>167.6</v>
      </c>
      <c r="ML26">
        <v>170.6</v>
      </c>
      <c r="MM26">
        <v>166.3</v>
      </c>
      <c r="MN26">
        <v>168.2</v>
      </c>
      <c r="MO26">
        <v>170.8</v>
      </c>
      <c r="MP26">
        <v>166.7</v>
      </c>
      <c r="MQ26">
        <v>168.5</v>
      </c>
      <c r="MR26">
        <v>171.2</v>
      </c>
      <c r="MS26">
        <v>167.1</v>
      </c>
      <c r="MT26">
        <v>168.9</v>
      </c>
      <c r="MU26">
        <v>171.8</v>
      </c>
      <c r="MV26">
        <v>167.8</v>
      </c>
      <c r="MW26">
        <v>169.5</v>
      </c>
      <c r="MX26">
        <v>172.8</v>
      </c>
      <c r="MY26">
        <v>168.4</v>
      </c>
      <c r="MZ26">
        <v>170.3</v>
      </c>
      <c r="NA26">
        <v>172.8</v>
      </c>
      <c r="NB26">
        <v>168.4</v>
      </c>
      <c r="NC26">
        <v>170.3</v>
      </c>
      <c r="ND26">
        <v>173.2</v>
      </c>
      <c r="NE26">
        <v>168.8</v>
      </c>
      <c r="NF26">
        <v>170.7</v>
      </c>
      <c r="NG26">
        <v>173.8</v>
      </c>
      <c r="NH26">
        <v>169.2</v>
      </c>
      <c r="NI26">
        <v>171.2</v>
      </c>
    </row>
    <row r="27" spans="1:373" x14ac:dyDescent="0.3">
      <c r="A27" s="1" t="s">
        <v>26</v>
      </c>
      <c r="B27">
        <v>103.8</v>
      </c>
      <c r="C27">
        <v>103.5</v>
      </c>
      <c r="D27">
        <v>103.6</v>
      </c>
      <c r="E27">
        <v>104.1</v>
      </c>
      <c r="F27">
        <v>103.7</v>
      </c>
      <c r="G27">
        <v>103.9</v>
      </c>
      <c r="H27">
        <v>104.3</v>
      </c>
      <c r="I27">
        <v>103.8</v>
      </c>
      <c r="J27">
        <v>104</v>
      </c>
      <c r="K27">
        <v>104.8</v>
      </c>
      <c r="L27">
        <v>105.2</v>
      </c>
      <c r="M27">
        <v>105</v>
      </c>
      <c r="N27">
        <v>105.5</v>
      </c>
      <c r="O27">
        <v>105.7</v>
      </c>
      <c r="P27">
        <v>105.6</v>
      </c>
      <c r="Q27">
        <v>106.5</v>
      </c>
      <c r="R27">
        <v>108.1</v>
      </c>
      <c r="S27">
        <v>107.4</v>
      </c>
      <c r="T27">
        <v>107.8</v>
      </c>
      <c r="U27">
        <v>110.1</v>
      </c>
      <c r="V27">
        <v>109.1</v>
      </c>
      <c r="W27">
        <v>108.7</v>
      </c>
      <c r="X27">
        <v>110.8</v>
      </c>
      <c r="Y27">
        <v>109.9</v>
      </c>
      <c r="Z27">
        <v>109.8</v>
      </c>
      <c r="AA27">
        <v>111.2</v>
      </c>
      <c r="AB27">
        <v>110.6</v>
      </c>
      <c r="AC27">
        <v>110.2</v>
      </c>
      <c r="AD27">
        <v>111.3</v>
      </c>
      <c r="AE27">
        <v>110.8</v>
      </c>
      <c r="AF27">
        <v>111</v>
      </c>
      <c r="AG27">
        <v>111.3</v>
      </c>
      <c r="AH27">
        <v>111.2</v>
      </c>
      <c r="AI27">
        <v>111.6</v>
      </c>
      <c r="AJ27">
        <v>111.4</v>
      </c>
      <c r="AK27">
        <v>111.5</v>
      </c>
      <c r="AL27">
        <v>111.8</v>
      </c>
      <c r="AM27">
        <v>111.5</v>
      </c>
      <c r="AN27">
        <v>111.6</v>
      </c>
      <c r="AO27">
        <v>112</v>
      </c>
      <c r="AP27">
        <v>111.6</v>
      </c>
      <c r="AQ27">
        <v>111.8</v>
      </c>
      <c r="AR27">
        <v>112.4</v>
      </c>
      <c r="AS27">
        <v>111.8</v>
      </c>
      <c r="AT27">
        <v>112</v>
      </c>
      <c r="AU27">
        <v>113</v>
      </c>
      <c r="AV27">
        <v>112.5</v>
      </c>
      <c r="AW27">
        <v>112.7</v>
      </c>
      <c r="AX27">
        <v>113.1</v>
      </c>
      <c r="AY27">
        <v>112.9</v>
      </c>
      <c r="AZ27">
        <v>113</v>
      </c>
      <c r="BA27">
        <v>114.3</v>
      </c>
      <c r="BB27">
        <v>115.1</v>
      </c>
      <c r="BC27">
        <v>114.8</v>
      </c>
      <c r="BD27">
        <v>115.5</v>
      </c>
      <c r="BE27">
        <v>117.8</v>
      </c>
      <c r="BF27">
        <v>116.8</v>
      </c>
      <c r="BG27">
        <v>116.2</v>
      </c>
      <c r="BH27">
        <v>119.2</v>
      </c>
      <c r="BI27">
        <v>118</v>
      </c>
      <c r="BJ27">
        <v>116.6</v>
      </c>
      <c r="BK27">
        <v>120</v>
      </c>
      <c r="BL27">
        <v>118.6</v>
      </c>
      <c r="BM27">
        <v>116.9</v>
      </c>
      <c r="BN27">
        <v>120.2</v>
      </c>
      <c r="BO27">
        <v>118.8</v>
      </c>
      <c r="BP27">
        <v>117.2</v>
      </c>
      <c r="BQ27">
        <v>120.3</v>
      </c>
      <c r="BR27">
        <v>119</v>
      </c>
      <c r="BS27">
        <v>117.7</v>
      </c>
      <c r="BT27">
        <v>120.7</v>
      </c>
      <c r="BU27">
        <v>119.5</v>
      </c>
      <c r="BV27">
        <v>118.2</v>
      </c>
      <c r="BW27">
        <v>120.8</v>
      </c>
      <c r="BX27">
        <v>119.7</v>
      </c>
      <c r="BY27">
        <v>118.7</v>
      </c>
      <c r="BZ27">
        <v>120.4</v>
      </c>
      <c r="CA27">
        <v>119.7</v>
      </c>
      <c r="CB27">
        <v>119.4</v>
      </c>
      <c r="CC27">
        <v>120.6</v>
      </c>
      <c r="CD27">
        <v>120.1</v>
      </c>
      <c r="CE27">
        <v>119.9</v>
      </c>
      <c r="CF27">
        <v>121.7</v>
      </c>
      <c r="CG27">
        <v>121</v>
      </c>
      <c r="CH27">
        <v>120.5</v>
      </c>
      <c r="CI27">
        <v>122</v>
      </c>
      <c r="CJ27">
        <v>121.4</v>
      </c>
      <c r="CK27">
        <v>122</v>
      </c>
      <c r="CL27">
        <v>123.8</v>
      </c>
      <c r="CM27">
        <v>123.1</v>
      </c>
      <c r="CN27">
        <v>122.9</v>
      </c>
      <c r="CO27">
        <v>125.4</v>
      </c>
      <c r="CP27">
        <v>124.4</v>
      </c>
      <c r="CQ27">
        <v>123.6</v>
      </c>
      <c r="CR27">
        <v>126.2</v>
      </c>
      <c r="CS27">
        <v>125.1</v>
      </c>
      <c r="CT27">
        <v>124.5</v>
      </c>
      <c r="CU27">
        <v>126.5</v>
      </c>
      <c r="CV27">
        <v>125.7</v>
      </c>
      <c r="CW27">
        <v>125.1</v>
      </c>
      <c r="CX27">
        <v>126.5</v>
      </c>
      <c r="CY27">
        <v>125.9</v>
      </c>
      <c r="CZ27">
        <v>125.8</v>
      </c>
      <c r="DA27">
        <v>126.6</v>
      </c>
      <c r="DB27">
        <v>126.3</v>
      </c>
      <c r="DC27">
        <v>125.6</v>
      </c>
      <c r="DD27">
        <v>126.6</v>
      </c>
      <c r="DE27">
        <v>126.2</v>
      </c>
      <c r="DF27">
        <v>126.2</v>
      </c>
      <c r="DG27">
        <v>126.4</v>
      </c>
      <c r="DH27">
        <v>126.3</v>
      </c>
      <c r="DI27">
        <v>127.1</v>
      </c>
      <c r="DJ27">
        <v>126.3</v>
      </c>
      <c r="DK27">
        <v>126.6</v>
      </c>
      <c r="DL27">
        <v>127.5</v>
      </c>
      <c r="DM27">
        <v>126.4</v>
      </c>
      <c r="DN27">
        <v>126.9</v>
      </c>
      <c r="DO27">
        <v>127.9</v>
      </c>
      <c r="DP27">
        <v>127.6</v>
      </c>
      <c r="DQ27">
        <v>127.7</v>
      </c>
      <c r="DR27">
        <v>129.1</v>
      </c>
      <c r="DS27">
        <v>128</v>
      </c>
      <c r="DT27">
        <v>128.5</v>
      </c>
      <c r="DU27">
        <v>130.19999999999999</v>
      </c>
      <c r="DV27">
        <v>129.30000000000001</v>
      </c>
      <c r="DW27">
        <v>129.69999999999999</v>
      </c>
      <c r="DX27">
        <v>130.80000000000001</v>
      </c>
      <c r="DY27">
        <v>130.80000000000001</v>
      </c>
      <c r="DZ27">
        <v>130.80000000000001</v>
      </c>
      <c r="EA27">
        <v>131.9</v>
      </c>
      <c r="EB27">
        <v>131.5</v>
      </c>
      <c r="EC27">
        <v>131.69999999999999</v>
      </c>
      <c r="ED27">
        <v>132.19999999999999</v>
      </c>
      <c r="EE27">
        <v>131.6</v>
      </c>
      <c r="EF27">
        <v>131.80000000000001</v>
      </c>
      <c r="EG27">
        <v>133</v>
      </c>
      <c r="EH27">
        <v>131.9</v>
      </c>
      <c r="EI27">
        <v>132.4</v>
      </c>
      <c r="EJ27">
        <v>133.69999999999999</v>
      </c>
      <c r="EK27">
        <v>132.1</v>
      </c>
      <c r="EL27">
        <v>132.80000000000001</v>
      </c>
      <c r="EM27">
        <v>134.19999999999999</v>
      </c>
      <c r="EN27">
        <v>132.30000000000001</v>
      </c>
      <c r="EO27">
        <v>133.1</v>
      </c>
      <c r="EP27">
        <v>134.6</v>
      </c>
      <c r="EQ27">
        <v>132.4</v>
      </c>
      <c r="ER27">
        <v>133.30000000000001</v>
      </c>
      <c r="ES27">
        <v>134.9</v>
      </c>
      <c r="ET27">
        <v>132.4</v>
      </c>
      <c r="EU27">
        <v>133.4</v>
      </c>
      <c r="EV27">
        <v>135.19999999999999</v>
      </c>
      <c r="EW27">
        <v>132.80000000000001</v>
      </c>
      <c r="EX27">
        <v>133.80000000000001</v>
      </c>
      <c r="EY27">
        <v>135.69999999999999</v>
      </c>
      <c r="EZ27">
        <v>133.6</v>
      </c>
      <c r="FA27">
        <v>134.5</v>
      </c>
      <c r="FB27">
        <v>136.30000000000001</v>
      </c>
      <c r="FC27">
        <v>133.80000000000001</v>
      </c>
      <c r="FD27">
        <v>134.80000000000001</v>
      </c>
      <c r="FE27">
        <v>136.9</v>
      </c>
      <c r="FF27">
        <v>134.30000000000001</v>
      </c>
      <c r="FG27">
        <v>135.4</v>
      </c>
      <c r="FH27">
        <v>138.6</v>
      </c>
      <c r="FI27">
        <v>135.5</v>
      </c>
      <c r="FJ27">
        <v>136.80000000000001</v>
      </c>
      <c r="FK27">
        <v>140.19999999999999</v>
      </c>
      <c r="FL27">
        <v>135.69999999999999</v>
      </c>
      <c r="FM27">
        <v>137.6</v>
      </c>
      <c r="FN27">
        <v>139.6</v>
      </c>
      <c r="FO27">
        <v>135.9</v>
      </c>
      <c r="FP27">
        <v>137.4</v>
      </c>
      <c r="FQ27">
        <v>140.1</v>
      </c>
      <c r="FR27">
        <v>136.30000000000001</v>
      </c>
      <c r="FS27">
        <v>137.9</v>
      </c>
      <c r="FT27">
        <v>141.5</v>
      </c>
      <c r="FU27">
        <v>136.6</v>
      </c>
      <c r="FV27">
        <v>138.6</v>
      </c>
      <c r="FW27">
        <v>141.1</v>
      </c>
      <c r="FX27">
        <v>136.69999999999999</v>
      </c>
      <c r="FY27">
        <v>138.5</v>
      </c>
      <c r="FZ27">
        <v>141.6</v>
      </c>
      <c r="GA27">
        <v>137.1</v>
      </c>
      <c r="GB27">
        <v>139</v>
      </c>
      <c r="GC27">
        <v>141.5</v>
      </c>
      <c r="GD27">
        <v>137.19999999999999</v>
      </c>
      <c r="GE27">
        <v>139</v>
      </c>
      <c r="GF27">
        <v>142.69999999999999</v>
      </c>
      <c r="GG27">
        <v>137.80000000000001</v>
      </c>
      <c r="GH27">
        <v>139.80000000000001</v>
      </c>
      <c r="GI27">
        <v>143.69999999999999</v>
      </c>
      <c r="GJ27">
        <v>139.69999999999999</v>
      </c>
      <c r="GK27">
        <v>141.4</v>
      </c>
      <c r="GL27">
        <v>144.4</v>
      </c>
      <c r="GM27">
        <v>140.4</v>
      </c>
      <c r="GN27">
        <v>142.1</v>
      </c>
      <c r="GO27">
        <v>145.1</v>
      </c>
      <c r="GP27">
        <v>141.19999999999999</v>
      </c>
      <c r="GQ27">
        <v>142.80000000000001</v>
      </c>
      <c r="GR27">
        <v>145.80000000000001</v>
      </c>
      <c r="GS27">
        <v>144</v>
      </c>
      <c r="GT27">
        <v>144.69999999999999</v>
      </c>
      <c r="GU27">
        <v>146.9</v>
      </c>
      <c r="GV27">
        <v>145.30000000000001</v>
      </c>
      <c r="GW27">
        <v>146</v>
      </c>
      <c r="GX27">
        <v>147.6</v>
      </c>
      <c r="GY27">
        <v>145.19999999999999</v>
      </c>
      <c r="GZ27">
        <v>146.19999999999999</v>
      </c>
      <c r="HA27">
        <v>148</v>
      </c>
      <c r="HB27">
        <v>145.5</v>
      </c>
      <c r="HC27">
        <v>147.80000000000001</v>
      </c>
      <c r="HD27">
        <v>150.19999999999999</v>
      </c>
      <c r="HE27">
        <v>146.1</v>
      </c>
      <c r="HF27">
        <v>147.80000000000001</v>
      </c>
      <c r="HG27">
        <v>155.1</v>
      </c>
      <c r="HH27">
        <v>146.5</v>
      </c>
      <c r="HI27">
        <v>150.1</v>
      </c>
      <c r="HJ27">
        <v>155.19999999999999</v>
      </c>
      <c r="HK27">
        <v>146.6</v>
      </c>
      <c r="HL27">
        <v>150.19999999999999</v>
      </c>
      <c r="HM27">
        <v>155.5</v>
      </c>
      <c r="HN27">
        <v>146.6</v>
      </c>
      <c r="HO27">
        <v>150.30000000000001</v>
      </c>
      <c r="HP27">
        <v>155.5</v>
      </c>
      <c r="HQ27">
        <v>146.69999999999999</v>
      </c>
      <c r="HR27">
        <v>150.30000000000001</v>
      </c>
      <c r="HS27">
        <v>156.69999999999999</v>
      </c>
      <c r="HT27">
        <v>148</v>
      </c>
      <c r="HU27">
        <v>151.6</v>
      </c>
      <c r="HV27">
        <v>157.69999999999999</v>
      </c>
      <c r="HW27">
        <v>148.9</v>
      </c>
      <c r="HX27">
        <v>152.5</v>
      </c>
      <c r="HY27">
        <v>159.1</v>
      </c>
      <c r="HZ27">
        <v>150.4</v>
      </c>
      <c r="IA27">
        <v>154</v>
      </c>
      <c r="IB27">
        <v>159.69999999999999</v>
      </c>
      <c r="IC27">
        <v>151.5</v>
      </c>
      <c r="ID27">
        <v>154.9</v>
      </c>
      <c r="IE27">
        <v>160.19999999999999</v>
      </c>
      <c r="IF27">
        <v>151.6</v>
      </c>
      <c r="IG27">
        <v>155.19999999999999</v>
      </c>
      <c r="IH27">
        <v>160.69999999999999</v>
      </c>
      <c r="II27">
        <v>151.69999999999999</v>
      </c>
      <c r="IJ27">
        <v>155.4</v>
      </c>
      <c r="IK27">
        <v>160.80000000000001</v>
      </c>
      <c r="IL27">
        <v>151.80000000000001</v>
      </c>
      <c r="IM27">
        <v>155.5</v>
      </c>
      <c r="IN27">
        <v>161.1</v>
      </c>
      <c r="IO27">
        <v>151.9</v>
      </c>
      <c r="IP27">
        <v>155.69999999999999</v>
      </c>
      <c r="IQ27">
        <v>161.69999999999999</v>
      </c>
      <c r="IR27">
        <v>152.1</v>
      </c>
      <c r="IS27">
        <v>156.1</v>
      </c>
      <c r="IT27">
        <v>161.9</v>
      </c>
      <c r="IU27">
        <v>152.19999999999999</v>
      </c>
      <c r="IV27">
        <v>156.19999999999999</v>
      </c>
      <c r="IW27">
        <v>161.19999999999999</v>
      </c>
      <c r="IX27">
        <v>152.5</v>
      </c>
      <c r="IY27">
        <v>156.1</v>
      </c>
      <c r="JF27">
        <v>161.80000000000001</v>
      </c>
      <c r="JG27">
        <v>152.5</v>
      </c>
      <c r="JH27">
        <v>156.4</v>
      </c>
      <c r="JI27">
        <v>161.80000000000001</v>
      </c>
      <c r="JJ27">
        <v>152.5</v>
      </c>
      <c r="JK27">
        <v>156.4</v>
      </c>
      <c r="JL27">
        <v>162.69999999999999</v>
      </c>
      <c r="JM27">
        <v>155.5</v>
      </c>
      <c r="JN27">
        <v>158.5</v>
      </c>
      <c r="JO27">
        <v>161.1</v>
      </c>
      <c r="JP27">
        <v>154.9</v>
      </c>
      <c r="JQ27">
        <v>157.5</v>
      </c>
      <c r="JR27">
        <v>162.5</v>
      </c>
      <c r="JS27">
        <v>155.69999999999999</v>
      </c>
      <c r="JT27">
        <v>158.5</v>
      </c>
      <c r="JU27">
        <v>161.6</v>
      </c>
      <c r="JV27">
        <v>156.4</v>
      </c>
      <c r="JW27">
        <v>158.6</v>
      </c>
      <c r="JX27">
        <v>162.9</v>
      </c>
      <c r="JY27">
        <v>156.9</v>
      </c>
      <c r="JZ27">
        <v>159.4</v>
      </c>
      <c r="KA27">
        <v>163.5</v>
      </c>
      <c r="KB27">
        <v>156.1</v>
      </c>
      <c r="KC27">
        <v>159.19999999999999</v>
      </c>
      <c r="KD27">
        <v>163.6</v>
      </c>
      <c r="KE27">
        <v>156.6</v>
      </c>
      <c r="KF27">
        <v>159.5</v>
      </c>
      <c r="KG27">
        <v>163.80000000000001</v>
      </c>
      <c r="KH27">
        <v>157.6</v>
      </c>
      <c r="KI27">
        <v>160.19999999999999</v>
      </c>
      <c r="KJ27">
        <v>164.1</v>
      </c>
      <c r="KK27">
        <v>157.6</v>
      </c>
      <c r="KL27">
        <v>160.30000000000001</v>
      </c>
      <c r="KM27">
        <v>167.6</v>
      </c>
      <c r="KN27">
        <v>156.6</v>
      </c>
      <c r="KO27">
        <v>161.19999999999999</v>
      </c>
      <c r="KP27">
        <v>166.8</v>
      </c>
      <c r="KQ27">
        <v>158.1</v>
      </c>
      <c r="KR27">
        <v>161.69999999999999</v>
      </c>
      <c r="KS27">
        <v>167.2</v>
      </c>
      <c r="KT27">
        <v>160.30000000000001</v>
      </c>
      <c r="KU27">
        <v>163.19999999999999</v>
      </c>
      <c r="KV27">
        <v>167.5</v>
      </c>
      <c r="KW27">
        <v>160.4</v>
      </c>
      <c r="KX27">
        <v>163.80000000000001</v>
      </c>
      <c r="KY27">
        <v>168.5</v>
      </c>
      <c r="KZ27">
        <v>160.30000000000001</v>
      </c>
      <c r="LA27">
        <v>163.69999999999999</v>
      </c>
      <c r="LB27">
        <v>169</v>
      </c>
      <c r="LC27">
        <v>160.30000000000001</v>
      </c>
      <c r="LD27">
        <v>163.9</v>
      </c>
      <c r="LE27">
        <v>169.3</v>
      </c>
      <c r="LF27">
        <v>160.80000000000001</v>
      </c>
      <c r="LG27">
        <v>164.3</v>
      </c>
      <c r="LH27">
        <v>169.7</v>
      </c>
      <c r="LI27">
        <v>160.6</v>
      </c>
      <c r="LJ27">
        <v>164.4</v>
      </c>
      <c r="LK27">
        <v>169.9</v>
      </c>
      <c r="LL27">
        <v>161</v>
      </c>
      <c r="LM27">
        <v>164.7</v>
      </c>
      <c r="LN27">
        <v>170.3</v>
      </c>
      <c r="LO27">
        <v>162</v>
      </c>
      <c r="LP27">
        <v>165.4</v>
      </c>
      <c r="LQ27">
        <v>170.6</v>
      </c>
      <c r="LR27">
        <v>162.69999999999999</v>
      </c>
      <c r="LS27">
        <v>166</v>
      </c>
      <c r="LT27">
        <v>170.9</v>
      </c>
      <c r="LU27">
        <v>164</v>
      </c>
      <c r="LV27">
        <v>166.9</v>
      </c>
      <c r="LW27">
        <v>171.8</v>
      </c>
      <c r="LX27">
        <v>165.2</v>
      </c>
      <c r="LY27">
        <v>167.9</v>
      </c>
      <c r="LZ27">
        <v>172.6</v>
      </c>
      <c r="MA27">
        <v>166.5</v>
      </c>
      <c r="MB27">
        <v>169</v>
      </c>
      <c r="MC27">
        <v>174.7</v>
      </c>
      <c r="MD27">
        <v>169.1</v>
      </c>
      <c r="ME27">
        <v>171.4</v>
      </c>
      <c r="MF27">
        <v>175.7</v>
      </c>
      <c r="MG27">
        <v>169.9</v>
      </c>
      <c r="MH27">
        <v>172.3</v>
      </c>
      <c r="MI27">
        <v>176.2</v>
      </c>
      <c r="MJ27">
        <v>170.9</v>
      </c>
      <c r="MK27">
        <v>173.1</v>
      </c>
      <c r="ML27">
        <v>176.5</v>
      </c>
      <c r="MM27">
        <v>171.2</v>
      </c>
      <c r="MN27">
        <v>173.4</v>
      </c>
      <c r="MO27">
        <v>176.9</v>
      </c>
      <c r="MP27">
        <v>171.5</v>
      </c>
      <c r="MQ27">
        <v>173.7</v>
      </c>
      <c r="MR27">
        <v>177.3</v>
      </c>
      <c r="MS27">
        <v>171.8</v>
      </c>
      <c r="MT27">
        <v>174.1</v>
      </c>
      <c r="MU27">
        <v>177.8</v>
      </c>
      <c r="MV27">
        <v>171.8</v>
      </c>
      <c r="MW27">
        <v>174.3</v>
      </c>
      <c r="MX27">
        <v>178.5</v>
      </c>
      <c r="MY27">
        <v>172.5</v>
      </c>
      <c r="MZ27">
        <v>175</v>
      </c>
      <c r="NA27">
        <v>178.5</v>
      </c>
      <c r="NB27">
        <v>172.5</v>
      </c>
      <c r="NC27">
        <v>175</v>
      </c>
      <c r="ND27">
        <v>179.4</v>
      </c>
      <c r="NE27">
        <v>174.2</v>
      </c>
      <c r="NF27">
        <v>176.4</v>
      </c>
      <c r="NG27">
        <v>180.3</v>
      </c>
      <c r="NH27">
        <v>174.8</v>
      </c>
      <c r="NI27">
        <v>177.1</v>
      </c>
    </row>
    <row r="28" spans="1:373" x14ac:dyDescent="0.3">
      <c r="A28" s="1" t="s">
        <v>27</v>
      </c>
      <c r="B28">
        <v>104.7</v>
      </c>
      <c r="C28">
        <v>104.3</v>
      </c>
      <c r="D28">
        <v>104.5</v>
      </c>
      <c r="E28">
        <v>104.6</v>
      </c>
      <c r="F28">
        <v>104.3</v>
      </c>
      <c r="G28">
        <v>104.5</v>
      </c>
      <c r="H28">
        <v>104.3</v>
      </c>
      <c r="I28">
        <v>104.2</v>
      </c>
      <c r="J28">
        <v>104.3</v>
      </c>
      <c r="K28">
        <v>102.7</v>
      </c>
      <c r="L28">
        <v>103.2</v>
      </c>
      <c r="M28">
        <v>102.9</v>
      </c>
      <c r="N28">
        <v>102.1</v>
      </c>
      <c r="O28">
        <v>102.6</v>
      </c>
      <c r="P28">
        <v>102.3</v>
      </c>
      <c r="Q28">
        <v>102.5</v>
      </c>
      <c r="R28">
        <v>103.3</v>
      </c>
      <c r="S28">
        <v>102.8</v>
      </c>
      <c r="T28">
        <v>102.5</v>
      </c>
      <c r="U28">
        <v>103.2</v>
      </c>
      <c r="V28">
        <v>102.8</v>
      </c>
      <c r="W28">
        <v>105</v>
      </c>
      <c r="X28">
        <v>106</v>
      </c>
      <c r="Y28">
        <v>105.4</v>
      </c>
      <c r="Z28">
        <v>106.7</v>
      </c>
      <c r="AA28">
        <v>106.9</v>
      </c>
      <c r="AB28">
        <v>106.8</v>
      </c>
      <c r="AC28">
        <v>107.5</v>
      </c>
      <c r="AD28">
        <v>107.3</v>
      </c>
      <c r="AE28">
        <v>107.4</v>
      </c>
      <c r="AF28">
        <v>108.2</v>
      </c>
      <c r="AG28">
        <v>107.9</v>
      </c>
      <c r="AH28">
        <v>108.1</v>
      </c>
      <c r="AI28">
        <v>108.1</v>
      </c>
      <c r="AJ28">
        <v>107.7</v>
      </c>
      <c r="AK28">
        <v>107.9</v>
      </c>
      <c r="AL28">
        <v>108.3</v>
      </c>
      <c r="AM28">
        <v>108</v>
      </c>
      <c r="AN28">
        <v>108.2</v>
      </c>
      <c r="AO28">
        <v>108.7</v>
      </c>
      <c r="AP28">
        <v>108.7</v>
      </c>
      <c r="AQ28">
        <v>108.7</v>
      </c>
      <c r="AR28">
        <v>108.9</v>
      </c>
      <c r="AS28">
        <v>109.2</v>
      </c>
      <c r="AT28">
        <v>109</v>
      </c>
      <c r="AU28">
        <v>108.9</v>
      </c>
      <c r="AV28">
        <v>109.1</v>
      </c>
      <c r="AW28">
        <v>109</v>
      </c>
      <c r="AX28">
        <v>108.9</v>
      </c>
      <c r="AY28">
        <v>109.3</v>
      </c>
      <c r="AZ28">
        <v>109.1</v>
      </c>
      <c r="BA28">
        <v>108</v>
      </c>
      <c r="BB28">
        <v>108.7</v>
      </c>
      <c r="BC28">
        <v>108.3</v>
      </c>
      <c r="BD28">
        <v>108.8</v>
      </c>
      <c r="BE28">
        <v>109.7</v>
      </c>
      <c r="BF28">
        <v>109.2</v>
      </c>
      <c r="BG28">
        <v>109.4</v>
      </c>
      <c r="BH28">
        <v>110.5</v>
      </c>
      <c r="BI28">
        <v>109.9</v>
      </c>
      <c r="BJ28">
        <v>109.1</v>
      </c>
      <c r="BK28">
        <v>110</v>
      </c>
      <c r="BL28">
        <v>109.5</v>
      </c>
      <c r="BM28">
        <v>109.3</v>
      </c>
      <c r="BN28">
        <v>110.1</v>
      </c>
      <c r="BO28">
        <v>109.6</v>
      </c>
      <c r="BP28">
        <v>108.8</v>
      </c>
      <c r="BQ28">
        <v>109.6</v>
      </c>
      <c r="BR28">
        <v>109.1</v>
      </c>
      <c r="BS28">
        <v>109.4</v>
      </c>
      <c r="BT28">
        <v>110.4</v>
      </c>
      <c r="BU28">
        <v>109.8</v>
      </c>
      <c r="BV28">
        <v>110.2</v>
      </c>
      <c r="BW28">
        <v>111.4</v>
      </c>
      <c r="BX28">
        <v>110.7</v>
      </c>
      <c r="BY28">
        <v>110.8</v>
      </c>
      <c r="BZ28">
        <v>111.7</v>
      </c>
      <c r="CA28">
        <v>111.2</v>
      </c>
      <c r="CB28">
        <v>110.8</v>
      </c>
      <c r="CC28">
        <v>111.3</v>
      </c>
      <c r="CD28">
        <v>111</v>
      </c>
      <c r="CE28">
        <v>111.6</v>
      </c>
      <c r="CF28">
        <v>111.8</v>
      </c>
      <c r="CG28">
        <v>111.7</v>
      </c>
      <c r="CH28">
        <v>112.3</v>
      </c>
      <c r="CI28">
        <v>112.4</v>
      </c>
      <c r="CJ28">
        <v>112.3</v>
      </c>
      <c r="CK28">
        <v>113</v>
      </c>
      <c r="CL28">
        <v>112.5</v>
      </c>
      <c r="CM28">
        <v>112.8</v>
      </c>
      <c r="CN28">
        <v>112.7</v>
      </c>
      <c r="CO28">
        <v>111.7</v>
      </c>
      <c r="CP28">
        <v>112.3</v>
      </c>
      <c r="CQ28">
        <v>112.5</v>
      </c>
      <c r="CR28">
        <v>112</v>
      </c>
      <c r="CS28">
        <v>112.3</v>
      </c>
      <c r="CT28">
        <v>113.7</v>
      </c>
      <c r="CU28">
        <v>112.9</v>
      </c>
      <c r="CV28">
        <v>113.4</v>
      </c>
      <c r="CW28">
        <v>114.2</v>
      </c>
      <c r="CX28">
        <v>113.5</v>
      </c>
      <c r="CY28">
        <v>113.9</v>
      </c>
      <c r="CZ28">
        <v>114.2</v>
      </c>
      <c r="DA28">
        <v>113.3</v>
      </c>
      <c r="DB28">
        <v>113.8</v>
      </c>
      <c r="DC28">
        <v>114.1</v>
      </c>
      <c r="DD28">
        <v>113.2</v>
      </c>
      <c r="DE28">
        <v>113.7</v>
      </c>
      <c r="DF28">
        <v>114.9</v>
      </c>
      <c r="DG28">
        <v>114</v>
      </c>
      <c r="DH28">
        <v>114.5</v>
      </c>
      <c r="DI28">
        <v>116.8</v>
      </c>
      <c r="DJ28">
        <v>116.2</v>
      </c>
      <c r="DK28">
        <v>116.6</v>
      </c>
      <c r="DL28">
        <v>117.4</v>
      </c>
      <c r="DM28">
        <v>117.1</v>
      </c>
      <c r="DN28">
        <v>117.3</v>
      </c>
      <c r="DO28">
        <v>118.4</v>
      </c>
      <c r="DP28">
        <v>117.6</v>
      </c>
      <c r="DQ28">
        <v>118.1</v>
      </c>
      <c r="DR28">
        <v>119.7</v>
      </c>
      <c r="DS28">
        <v>118.5</v>
      </c>
      <c r="DT28">
        <v>119.2</v>
      </c>
      <c r="DU28">
        <v>119.9</v>
      </c>
      <c r="DV28">
        <v>118.8</v>
      </c>
      <c r="DW28">
        <v>119.4</v>
      </c>
      <c r="DX28">
        <v>120.9</v>
      </c>
      <c r="DY28">
        <v>120</v>
      </c>
      <c r="DZ28">
        <v>120.5</v>
      </c>
      <c r="EA28">
        <v>122</v>
      </c>
      <c r="EB28">
        <v>120.9</v>
      </c>
      <c r="EC28">
        <v>121.5</v>
      </c>
      <c r="ED28">
        <v>122.8</v>
      </c>
      <c r="EE28">
        <v>121.2</v>
      </c>
      <c r="EF28">
        <v>122.1</v>
      </c>
      <c r="EG28">
        <v>123</v>
      </c>
      <c r="EH28">
        <v>120.8</v>
      </c>
      <c r="EI28">
        <v>122.1</v>
      </c>
      <c r="EJ28">
        <v>123.5</v>
      </c>
      <c r="EK28">
        <v>121.3</v>
      </c>
      <c r="EL28">
        <v>122.6</v>
      </c>
      <c r="EM28">
        <v>121.9</v>
      </c>
      <c r="EN28">
        <v>119.9</v>
      </c>
      <c r="EO28">
        <v>121.1</v>
      </c>
      <c r="EP28">
        <v>122.3</v>
      </c>
      <c r="EQ28">
        <v>120.9</v>
      </c>
      <c r="ER28">
        <v>121.7</v>
      </c>
      <c r="ES28">
        <v>123.2</v>
      </c>
      <c r="ET28">
        <v>121.7</v>
      </c>
      <c r="EU28">
        <v>122.6</v>
      </c>
      <c r="EV28">
        <v>123.3</v>
      </c>
      <c r="EW28">
        <v>121.7</v>
      </c>
      <c r="EX28">
        <v>122.6</v>
      </c>
      <c r="EY28">
        <v>123.7</v>
      </c>
      <c r="EZ28">
        <v>122.2</v>
      </c>
      <c r="FA28">
        <v>123.1</v>
      </c>
      <c r="FB28">
        <v>123.7</v>
      </c>
      <c r="FC28">
        <v>122</v>
      </c>
      <c r="FD28">
        <v>123</v>
      </c>
      <c r="FE28">
        <v>124.1</v>
      </c>
      <c r="FF28">
        <v>122.5</v>
      </c>
      <c r="FG28">
        <v>123.4</v>
      </c>
      <c r="FH28">
        <v>124.4</v>
      </c>
      <c r="FI28">
        <v>122.4</v>
      </c>
      <c r="FJ28">
        <v>123.6</v>
      </c>
      <c r="FK28">
        <v>125.4</v>
      </c>
      <c r="FL28">
        <v>123.3</v>
      </c>
      <c r="FM28">
        <v>124.5</v>
      </c>
      <c r="FN28">
        <v>126.7</v>
      </c>
      <c r="FO28">
        <v>124.4</v>
      </c>
      <c r="FP28">
        <v>125.7</v>
      </c>
      <c r="FQ28">
        <v>127.4</v>
      </c>
      <c r="FR28">
        <v>124.6</v>
      </c>
      <c r="FS28">
        <v>126.2</v>
      </c>
      <c r="FT28">
        <v>128.1</v>
      </c>
      <c r="FU28">
        <v>124.9</v>
      </c>
      <c r="FV28">
        <v>126.8</v>
      </c>
      <c r="FW28">
        <v>127.8</v>
      </c>
      <c r="FX28">
        <v>124.6</v>
      </c>
      <c r="FY28">
        <v>126.5</v>
      </c>
      <c r="FZ28">
        <v>128.6</v>
      </c>
      <c r="GA28">
        <v>125.5</v>
      </c>
      <c r="GB28">
        <v>127.3</v>
      </c>
      <c r="GC28">
        <v>128.80000000000001</v>
      </c>
      <c r="GD28">
        <v>126.2</v>
      </c>
      <c r="GE28">
        <v>127.7</v>
      </c>
      <c r="GF28">
        <v>129.30000000000001</v>
      </c>
      <c r="GG28">
        <v>126.7</v>
      </c>
      <c r="GH28">
        <v>128.19999999999999</v>
      </c>
      <c r="GI28">
        <v>130.4</v>
      </c>
      <c r="GJ28">
        <v>127.6</v>
      </c>
      <c r="GK28">
        <v>129.19999999999999</v>
      </c>
      <c r="GL28">
        <v>131.19999999999999</v>
      </c>
      <c r="GM28">
        <v>128.1</v>
      </c>
      <c r="GN28">
        <v>129.9</v>
      </c>
      <c r="GO28">
        <v>131.4</v>
      </c>
      <c r="GP28">
        <v>128.19999999999999</v>
      </c>
      <c r="GQ28">
        <v>130.1</v>
      </c>
      <c r="GR28">
        <v>131.4</v>
      </c>
      <c r="GS28">
        <v>128.19999999999999</v>
      </c>
      <c r="GT28">
        <v>130.1</v>
      </c>
      <c r="GU28">
        <v>131.30000000000001</v>
      </c>
      <c r="GV28">
        <v>128.30000000000001</v>
      </c>
      <c r="GW28">
        <v>130.1</v>
      </c>
      <c r="GX28">
        <v>132</v>
      </c>
      <c r="GY28">
        <v>129.30000000000001</v>
      </c>
      <c r="GZ28">
        <v>130.9</v>
      </c>
      <c r="HA28">
        <v>134.4</v>
      </c>
      <c r="HB28">
        <v>130.4</v>
      </c>
      <c r="HC28">
        <v>132</v>
      </c>
      <c r="HD28">
        <v>133.1</v>
      </c>
      <c r="HE28">
        <v>130.5</v>
      </c>
      <c r="HF28">
        <v>132</v>
      </c>
      <c r="HG28">
        <v>133.19999999999999</v>
      </c>
      <c r="HH28">
        <v>130.80000000000001</v>
      </c>
      <c r="HI28">
        <v>132.19999999999999</v>
      </c>
      <c r="HJ28">
        <v>133.5</v>
      </c>
      <c r="HK28">
        <v>131.69999999999999</v>
      </c>
      <c r="HL28">
        <v>132.80000000000001</v>
      </c>
      <c r="HM28">
        <v>134.9</v>
      </c>
      <c r="HN28">
        <v>133</v>
      </c>
      <c r="HO28">
        <v>134.1</v>
      </c>
      <c r="HP28">
        <v>134</v>
      </c>
      <c r="HQ28">
        <v>132.5</v>
      </c>
      <c r="HR28">
        <v>133.4</v>
      </c>
      <c r="HS28">
        <v>133.9</v>
      </c>
      <c r="HT28">
        <v>132.6</v>
      </c>
      <c r="HU28">
        <v>133.4</v>
      </c>
      <c r="HV28">
        <v>134.80000000000001</v>
      </c>
      <c r="HW28">
        <v>133.69999999999999</v>
      </c>
      <c r="HX28">
        <v>134.30000000000001</v>
      </c>
      <c r="HY28">
        <v>136.1</v>
      </c>
      <c r="HZ28">
        <v>135.1</v>
      </c>
      <c r="IA28">
        <v>135.69999999999999</v>
      </c>
      <c r="IB28">
        <v>138.80000000000001</v>
      </c>
      <c r="IC28">
        <v>137.80000000000001</v>
      </c>
      <c r="ID28">
        <v>138.4</v>
      </c>
      <c r="IE28">
        <v>140.19999999999999</v>
      </c>
      <c r="IF28">
        <v>139</v>
      </c>
      <c r="IG28">
        <v>139.69999999999999</v>
      </c>
      <c r="IH28">
        <v>140.30000000000001</v>
      </c>
      <c r="II28">
        <v>139.5</v>
      </c>
      <c r="IJ28">
        <v>140</v>
      </c>
      <c r="IK28">
        <v>140.6</v>
      </c>
      <c r="IL28">
        <v>139.80000000000001</v>
      </c>
      <c r="IM28">
        <v>140.30000000000001</v>
      </c>
      <c r="IN28">
        <v>140.6</v>
      </c>
      <c r="IO28">
        <v>140.19999999999999</v>
      </c>
      <c r="IP28">
        <v>140.4</v>
      </c>
      <c r="IQ28">
        <v>142.5</v>
      </c>
      <c r="IR28">
        <v>142.1</v>
      </c>
      <c r="IS28">
        <v>142.30000000000001</v>
      </c>
      <c r="IT28">
        <v>143.4</v>
      </c>
      <c r="IU28">
        <v>143.5</v>
      </c>
      <c r="IV28">
        <v>143.4</v>
      </c>
      <c r="IW28">
        <v>145.1</v>
      </c>
      <c r="IX28">
        <v>145.30000000000001</v>
      </c>
      <c r="IY28">
        <v>145.19999999999999</v>
      </c>
      <c r="JF28">
        <v>151.19999999999999</v>
      </c>
      <c r="JG28">
        <v>152.19999999999999</v>
      </c>
      <c r="JH28">
        <v>151.6</v>
      </c>
      <c r="JI28">
        <v>151.19999999999999</v>
      </c>
      <c r="JJ28">
        <v>152.19999999999999</v>
      </c>
      <c r="JK28">
        <v>151.6</v>
      </c>
      <c r="JL28">
        <v>153.6</v>
      </c>
      <c r="JM28">
        <v>155.19999999999999</v>
      </c>
      <c r="JN28">
        <v>154.30000000000001</v>
      </c>
      <c r="JO28">
        <v>157.4</v>
      </c>
      <c r="JP28">
        <v>159.80000000000001</v>
      </c>
      <c r="JQ28">
        <v>158.4</v>
      </c>
      <c r="JR28">
        <v>156.19999999999999</v>
      </c>
      <c r="JS28">
        <v>158.1</v>
      </c>
      <c r="JT28">
        <v>157</v>
      </c>
      <c r="JU28">
        <v>156.19999999999999</v>
      </c>
      <c r="JV28">
        <v>157.9</v>
      </c>
      <c r="JW28">
        <v>156.9</v>
      </c>
      <c r="JX28">
        <v>156.6</v>
      </c>
      <c r="JY28">
        <v>157.9</v>
      </c>
      <c r="JZ28">
        <v>157.1</v>
      </c>
      <c r="KA28">
        <v>156.19999999999999</v>
      </c>
      <c r="KB28">
        <v>157.69999999999999</v>
      </c>
      <c r="KC28">
        <v>156.80000000000001</v>
      </c>
      <c r="KD28">
        <v>155.19999999999999</v>
      </c>
      <c r="KE28">
        <v>156.69999999999999</v>
      </c>
      <c r="KF28">
        <v>155.80000000000001</v>
      </c>
      <c r="KG28">
        <v>153.1</v>
      </c>
      <c r="KH28">
        <v>154.9</v>
      </c>
      <c r="KI28">
        <v>153.80000000000001</v>
      </c>
      <c r="KJ28">
        <v>154.6</v>
      </c>
      <c r="KK28">
        <v>156.6</v>
      </c>
      <c r="KL28">
        <v>155.4</v>
      </c>
      <c r="KM28">
        <v>159.30000000000001</v>
      </c>
      <c r="KN28">
        <v>157.5</v>
      </c>
      <c r="KO28">
        <v>158.6</v>
      </c>
      <c r="KP28">
        <v>159.4</v>
      </c>
      <c r="KQ28">
        <v>158</v>
      </c>
      <c r="KR28">
        <v>158.80000000000001</v>
      </c>
      <c r="KS28">
        <v>160.4</v>
      </c>
      <c r="KT28">
        <v>159.6</v>
      </c>
      <c r="KU28">
        <v>160.1</v>
      </c>
      <c r="KV28">
        <v>160.30000000000001</v>
      </c>
      <c r="KW28">
        <v>159.6</v>
      </c>
      <c r="KX28">
        <v>160</v>
      </c>
      <c r="KY28">
        <v>160.19999999999999</v>
      </c>
      <c r="KZ28">
        <v>159.6</v>
      </c>
      <c r="LA28">
        <v>160</v>
      </c>
      <c r="LB28">
        <v>161.1</v>
      </c>
      <c r="LC28">
        <v>160.30000000000001</v>
      </c>
      <c r="LD28">
        <v>160.80000000000001</v>
      </c>
      <c r="LE28">
        <v>162.4</v>
      </c>
      <c r="LF28">
        <v>161.80000000000001</v>
      </c>
      <c r="LG28">
        <v>162.19999999999999</v>
      </c>
      <c r="LH28">
        <v>162.80000000000001</v>
      </c>
      <c r="LI28">
        <v>162.4</v>
      </c>
      <c r="LJ28">
        <v>162.6</v>
      </c>
      <c r="LK28">
        <v>163.19999999999999</v>
      </c>
      <c r="LL28">
        <v>162.80000000000001</v>
      </c>
      <c r="LM28">
        <v>163</v>
      </c>
      <c r="LN28">
        <v>164.5</v>
      </c>
      <c r="LO28">
        <v>164.2</v>
      </c>
      <c r="LP28">
        <v>164.4</v>
      </c>
      <c r="LQ28">
        <v>167.4</v>
      </c>
      <c r="LR28">
        <v>166.8</v>
      </c>
      <c r="LS28">
        <v>167.2</v>
      </c>
      <c r="LT28">
        <v>169</v>
      </c>
      <c r="LU28">
        <v>168.4</v>
      </c>
      <c r="LV28">
        <v>168.8</v>
      </c>
      <c r="LW28">
        <v>168.5</v>
      </c>
      <c r="LX28">
        <v>168.2</v>
      </c>
      <c r="LY28">
        <v>168.4</v>
      </c>
      <c r="LZ28">
        <v>169.5</v>
      </c>
      <c r="MA28">
        <v>169.2</v>
      </c>
      <c r="MB28">
        <v>169.4</v>
      </c>
      <c r="MC28">
        <v>169.7</v>
      </c>
      <c r="MD28">
        <v>169.8</v>
      </c>
      <c r="ME28">
        <v>169.7</v>
      </c>
      <c r="MF28">
        <v>171.1</v>
      </c>
      <c r="MG28">
        <v>171.4</v>
      </c>
      <c r="MH28">
        <v>171.2</v>
      </c>
      <c r="MI28">
        <v>170.8</v>
      </c>
      <c r="MJ28">
        <v>171.1</v>
      </c>
      <c r="MK28">
        <v>170.9</v>
      </c>
      <c r="ML28">
        <v>172</v>
      </c>
      <c r="MM28">
        <v>172.3</v>
      </c>
      <c r="MN28">
        <v>172.1</v>
      </c>
      <c r="MO28">
        <v>173.4</v>
      </c>
      <c r="MP28">
        <v>173.8</v>
      </c>
      <c r="MQ28">
        <v>173.6</v>
      </c>
      <c r="MR28">
        <v>175.7</v>
      </c>
      <c r="MS28">
        <v>176</v>
      </c>
      <c r="MT28">
        <v>175.8</v>
      </c>
      <c r="MU28">
        <v>178.4</v>
      </c>
      <c r="MV28">
        <v>178.8</v>
      </c>
      <c r="MW28">
        <v>178.6</v>
      </c>
      <c r="MX28">
        <v>180.7</v>
      </c>
      <c r="MY28">
        <v>181.4</v>
      </c>
      <c r="MZ28">
        <v>181</v>
      </c>
      <c r="NA28">
        <v>180.7</v>
      </c>
      <c r="NB28">
        <v>181.5</v>
      </c>
      <c r="NC28">
        <v>181</v>
      </c>
      <c r="ND28">
        <v>183.8</v>
      </c>
      <c r="NE28">
        <v>184.4</v>
      </c>
      <c r="NF28">
        <v>184</v>
      </c>
      <c r="NG28">
        <v>184.9</v>
      </c>
      <c r="NH28">
        <v>185.6</v>
      </c>
      <c r="NI28">
        <v>185.2</v>
      </c>
    </row>
    <row r="29" spans="1:373" x14ac:dyDescent="0.3">
      <c r="A29" s="1" t="s">
        <v>28</v>
      </c>
      <c r="B29">
        <v>104</v>
      </c>
      <c r="C29">
        <v>103.7</v>
      </c>
      <c r="D29">
        <v>103.9</v>
      </c>
      <c r="E29">
        <v>104.4</v>
      </c>
      <c r="F29">
        <v>104.3</v>
      </c>
      <c r="G29">
        <v>104.4</v>
      </c>
      <c r="H29">
        <v>104.6</v>
      </c>
      <c r="I29">
        <v>104.9</v>
      </c>
      <c r="J29">
        <v>104.7</v>
      </c>
      <c r="K29">
        <v>104.6</v>
      </c>
      <c r="L29">
        <v>105.1</v>
      </c>
      <c r="M29">
        <v>104.8</v>
      </c>
      <c r="N29">
        <v>104.8</v>
      </c>
      <c r="O29">
        <v>104.9</v>
      </c>
      <c r="P29">
        <v>104.8</v>
      </c>
      <c r="Q29">
        <v>105.5</v>
      </c>
      <c r="R29">
        <v>106.1</v>
      </c>
      <c r="S29">
        <v>105.8</v>
      </c>
      <c r="T29">
        <v>106.5</v>
      </c>
      <c r="U29">
        <v>107.3</v>
      </c>
      <c r="V29">
        <v>106.9</v>
      </c>
      <c r="W29">
        <v>107.5</v>
      </c>
      <c r="X29">
        <v>108.3</v>
      </c>
      <c r="Y29">
        <v>107.9</v>
      </c>
      <c r="Z29">
        <v>108.7</v>
      </c>
      <c r="AA29">
        <v>109.4</v>
      </c>
      <c r="AB29">
        <v>109</v>
      </c>
      <c r="AC29">
        <v>109.1</v>
      </c>
      <c r="AD29">
        <v>109.4</v>
      </c>
      <c r="AE29">
        <v>109.2</v>
      </c>
      <c r="AF29">
        <v>109.8</v>
      </c>
      <c r="AG29">
        <v>109.6</v>
      </c>
      <c r="AH29">
        <v>109.7</v>
      </c>
      <c r="AI29">
        <v>110.1</v>
      </c>
      <c r="AJ29">
        <v>109.8</v>
      </c>
      <c r="AK29">
        <v>110</v>
      </c>
      <c r="AL29">
        <v>110.6</v>
      </c>
      <c r="AM29">
        <v>110.5</v>
      </c>
      <c r="AN29">
        <v>110.6</v>
      </c>
      <c r="AO29">
        <v>110.9</v>
      </c>
      <c r="AP29">
        <v>111</v>
      </c>
      <c r="AQ29">
        <v>110.9</v>
      </c>
      <c r="AR29">
        <v>111.3</v>
      </c>
      <c r="AS29">
        <v>111.4</v>
      </c>
      <c r="AT29">
        <v>111.3</v>
      </c>
      <c r="AU29">
        <v>111.5</v>
      </c>
      <c r="AV29">
        <v>111.4</v>
      </c>
      <c r="AW29">
        <v>111.5</v>
      </c>
      <c r="AX29">
        <v>111.8</v>
      </c>
      <c r="AY29">
        <v>111.7</v>
      </c>
      <c r="AZ29">
        <v>111.8</v>
      </c>
      <c r="BA29">
        <v>112.3</v>
      </c>
      <c r="BB29">
        <v>112.2</v>
      </c>
      <c r="BC29">
        <v>112.3</v>
      </c>
      <c r="BD29">
        <v>113.1</v>
      </c>
      <c r="BE29">
        <v>113.5</v>
      </c>
      <c r="BF29">
        <v>113.3</v>
      </c>
      <c r="BG29">
        <v>113.5</v>
      </c>
      <c r="BH29">
        <v>113.9</v>
      </c>
      <c r="BI29">
        <v>113.7</v>
      </c>
      <c r="BJ29">
        <v>113.7</v>
      </c>
      <c r="BK29">
        <v>113.6</v>
      </c>
      <c r="BL29">
        <v>113.7</v>
      </c>
      <c r="BM29">
        <v>114</v>
      </c>
      <c r="BN29">
        <v>113.7</v>
      </c>
      <c r="BO29">
        <v>113.9</v>
      </c>
      <c r="BP29">
        <v>114.1</v>
      </c>
      <c r="BQ29">
        <v>113.4</v>
      </c>
      <c r="BR29">
        <v>113.8</v>
      </c>
      <c r="BS29">
        <v>114.2</v>
      </c>
      <c r="BT29">
        <v>113.4</v>
      </c>
      <c r="BU29">
        <v>113.8</v>
      </c>
      <c r="BV29">
        <v>114.5</v>
      </c>
      <c r="BW29">
        <v>113.4</v>
      </c>
      <c r="BX29">
        <v>114</v>
      </c>
      <c r="BY29">
        <v>115</v>
      </c>
      <c r="BZ29">
        <v>113.2</v>
      </c>
      <c r="CA29">
        <v>114.1</v>
      </c>
      <c r="CB29">
        <v>115.5</v>
      </c>
      <c r="CC29">
        <v>113.8</v>
      </c>
      <c r="CD29">
        <v>114.7</v>
      </c>
      <c r="CE29">
        <v>116</v>
      </c>
      <c r="CF29">
        <v>114.2</v>
      </c>
      <c r="CG29">
        <v>115.1</v>
      </c>
      <c r="CH29">
        <v>116.9</v>
      </c>
      <c r="CI29">
        <v>115.2</v>
      </c>
      <c r="CJ29">
        <v>116.1</v>
      </c>
      <c r="CK29">
        <v>117.9</v>
      </c>
      <c r="CL29">
        <v>116</v>
      </c>
      <c r="CM29">
        <v>117</v>
      </c>
      <c r="CN29">
        <v>118.1</v>
      </c>
      <c r="CO29">
        <v>116.3</v>
      </c>
      <c r="CP29">
        <v>117.2</v>
      </c>
      <c r="CQ29">
        <v>118.2</v>
      </c>
      <c r="CR29">
        <v>116.2</v>
      </c>
      <c r="CS29">
        <v>117.2</v>
      </c>
      <c r="CT29">
        <v>118.8</v>
      </c>
      <c r="CU29">
        <v>116.2</v>
      </c>
      <c r="CV29">
        <v>117.5</v>
      </c>
      <c r="CW29">
        <v>119.2</v>
      </c>
      <c r="CX29">
        <v>116.5</v>
      </c>
      <c r="CY29">
        <v>117.9</v>
      </c>
      <c r="CZ29">
        <v>119.6</v>
      </c>
      <c r="DA29">
        <v>116.6</v>
      </c>
      <c r="DB29">
        <v>118.1</v>
      </c>
      <c r="DC29">
        <v>119.8</v>
      </c>
      <c r="DD29">
        <v>116.7</v>
      </c>
      <c r="DE29">
        <v>118.3</v>
      </c>
      <c r="DF29">
        <v>120.1</v>
      </c>
      <c r="DG29">
        <v>116.8</v>
      </c>
      <c r="DH29">
        <v>118.5</v>
      </c>
      <c r="DI29">
        <v>120.9</v>
      </c>
      <c r="DJ29">
        <v>117.2</v>
      </c>
      <c r="DK29">
        <v>119.1</v>
      </c>
      <c r="DL29">
        <v>121.1</v>
      </c>
      <c r="DM29">
        <v>117.3</v>
      </c>
      <c r="DN29">
        <v>119.3</v>
      </c>
      <c r="DO29">
        <v>121.7</v>
      </c>
      <c r="DP29">
        <v>118.2</v>
      </c>
      <c r="DQ29">
        <v>120</v>
      </c>
      <c r="DR29">
        <v>122.5</v>
      </c>
      <c r="DS29">
        <v>118.7</v>
      </c>
      <c r="DT29">
        <v>120.7</v>
      </c>
      <c r="DU29">
        <v>123.3</v>
      </c>
      <c r="DV29">
        <v>119.6</v>
      </c>
      <c r="DW29">
        <v>121.5</v>
      </c>
      <c r="DX29">
        <v>123.8</v>
      </c>
      <c r="DY29">
        <v>119.9</v>
      </c>
      <c r="DZ29">
        <v>121.9</v>
      </c>
      <c r="EA29">
        <v>124.2</v>
      </c>
      <c r="EB29">
        <v>119.9</v>
      </c>
      <c r="EC29">
        <v>122.1</v>
      </c>
      <c r="ED29">
        <v>124.9</v>
      </c>
      <c r="EE29">
        <v>120.5</v>
      </c>
      <c r="EF29">
        <v>122.8</v>
      </c>
      <c r="EG29">
        <v>125.7</v>
      </c>
      <c r="EH29">
        <v>120.9</v>
      </c>
      <c r="EI29">
        <v>123.4</v>
      </c>
      <c r="EJ29">
        <v>126.1</v>
      </c>
      <c r="EK29">
        <v>121.3</v>
      </c>
      <c r="EL29">
        <v>123.8</v>
      </c>
      <c r="EM29">
        <v>126.3</v>
      </c>
      <c r="EN29">
        <v>121.4</v>
      </c>
      <c r="EO29">
        <v>123.9</v>
      </c>
      <c r="EP29">
        <v>126.6</v>
      </c>
      <c r="EQ29">
        <v>122.1</v>
      </c>
      <c r="ER29">
        <v>124.4</v>
      </c>
      <c r="ES29">
        <v>127</v>
      </c>
      <c r="ET29">
        <v>122.4</v>
      </c>
      <c r="EU29">
        <v>124.8</v>
      </c>
      <c r="EV29">
        <v>127.4</v>
      </c>
      <c r="EW29">
        <v>122.6</v>
      </c>
      <c r="EX29">
        <v>125.1</v>
      </c>
      <c r="EY29">
        <v>127.5</v>
      </c>
      <c r="EZ29">
        <v>122.5</v>
      </c>
      <c r="FA29">
        <v>125.1</v>
      </c>
      <c r="FB29">
        <v>127.9</v>
      </c>
      <c r="FC29">
        <v>122.6</v>
      </c>
      <c r="FD29">
        <v>125.3</v>
      </c>
      <c r="FE29">
        <v>128.1</v>
      </c>
      <c r="FF29">
        <v>122.7</v>
      </c>
      <c r="FG29">
        <v>125.5</v>
      </c>
      <c r="FH29">
        <v>128.6</v>
      </c>
      <c r="FI29">
        <v>123</v>
      </c>
      <c r="FJ29">
        <v>125.9</v>
      </c>
      <c r="FK29">
        <v>129.69999999999999</v>
      </c>
      <c r="FL29">
        <v>123.8</v>
      </c>
      <c r="FM29">
        <v>126.8</v>
      </c>
      <c r="FN29">
        <v>130.30000000000001</v>
      </c>
      <c r="FO29">
        <v>124.5</v>
      </c>
      <c r="FP29">
        <v>127.5</v>
      </c>
      <c r="FQ29">
        <v>130.69999999999999</v>
      </c>
      <c r="FR29">
        <v>124.5</v>
      </c>
      <c r="FS29">
        <v>127.7</v>
      </c>
      <c r="FT29">
        <v>131.69999999999999</v>
      </c>
      <c r="FU29">
        <v>124.9</v>
      </c>
      <c r="FV29">
        <v>128.4</v>
      </c>
      <c r="FW29">
        <v>131.9</v>
      </c>
      <c r="FX29">
        <v>125.1</v>
      </c>
      <c r="FY29">
        <v>128.6</v>
      </c>
      <c r="FZ29">
        <v>132.30000000000001</v>
      </c>
      <c r="GA29">
        <v>125.8</v>
      </c>
      <c r="GB29">
        <v>129.1</v>
      </c>
      <c r="GC29">
        <v>132.5</v>
      </c>
      <c r="GD29">
        <v>126.5</v>
      </c>
      <c r="GE29">
        <v>129.6</v>
      </c>
      <c r="GF29">
        <v>133.30000000000001</v>
      </c>
      <c r="GG29">
        <v>127.1</v>
      </c>
      <c r="GH29">
        <v>130.30000000000001</v>
      </c>
      <c r="GI29">
        <v>134.19999999999999</v>
      </c>
      <c r="GJ29">
        <v>128.19999999999999</v>
      </c>
      <c r="GK29">
        <v>131.30000000000001</v>
      </c>
      <c r="GL29">
        <v>135.1</v>
      </c>
      <c r="GM29">
        <v>128.9</v>
      </c>
      <c r="GN29">
        <v>132.1</v>
      </c>
      <c r="GO29">
        <v>135.6</v>
      </c>
      <c r="GP29">
        <v>129.5</v>
      </c>
      <c r="GQ29">
        <v>132.6</v>
      </c>
      <c r="GR29">
        <v>136</v>
      </c>
      <c r="GS29">
        <v>130.19999999999999</v>
      </c>
      <c r="GT29">
        <v>133.19999999999999</v>
      </c>
      <c r="GU29">
        <v>136.6</v>
      </c>
      <c r="GV29">
        <v>131</v>
      </c>
      <c r="GW29">
        <v>133.9</v>
      </c>
      <c r="GX29">
        <v>137.4</v>
      </c>
      <c r="GY29">
        <v>131.9</v>
      </c>
      <c r="GZ29">
        <v>134.69999999999999</v>
      </c>
      <c r="HA29">
        <v>139.80000000000001</v>
      </c>
      <c r="HB29">
        <v>132.5</v>
      </c>
      <c r="HC29">
        <v>136.30000000000001</v>
      </c>
      <c r="HD29">
        <v>140.1</v>
      </c>
      <c r="HE29">
        <v>132.19999999999999</v>
      </c>
      <c r="HF29">
        <v>136.30000000000001</v>
      </c>
      <c r="HG29">
        <v>141.6</v>
      </c>
      <c r="HH29">
        <v>131.69999999999999</v>
      </c>
      <c r="HI29">
        <v>136.80000000000001</v>
      </c>
      <c r="HJ29">
        <v>141.69999999999999</v>
      </c>
      <c r="HK29">
        <v>131.80000000000001</v>
      </c>
      <c r="HL29">
        <v>136.9</v>
      </c>
      <c r="HM29">
        <v>142.19999999999999</v>
      </c>
      <c r="HN29">
        <v>132.4</v>
      </c>
      <c r="HO29">
        <v>137.4</v>
      </c>
      <c r="HP29">
        <v>142.4</v>
      </c>
      <c r="HQ29">
        <v>132.80000000000001</v>
      </c>
      <c r="HR29">
        <v>137.69999999999999</v>
      </c>
      <c r="HS29">
        <v>142.9</v>
      </c>
      <c r="HT29">
        <v>133.30000000000001</v>
      </c>
      <c r="HU29">
        <v>138.19999999999999</v>
      </c>
      <c r="HV29">
        <v>143.30000000000001</v>
      </c>
      <c r="HW29">
        <v>133.6</v>
      </c>
      <c r="HX29">
        <v>138.6</v>
      </c>
      <c r="HY29">
        <v>144.19999999999999</v>
      </c>
      <c r="HZ29">
        <v>134.5</v>
      </c>
      <c r="IA29">
        <v>139.5</v>
      </c>
      <c r="IB29">
        <v>144.9</v>
      </c>
      <c r="IC29">
        <v>135.30000000000001</v>
      </c>
      <c r="ID29">
        <v>140.19999999999999</v>
      </c>
      <c r="IE29">
        <v>145.4</v>
      </c>
      <c r="IF29">
        <v>135.69999999999999</v>
      </c>
      <c r="IG29">
        <v>140.69999999999999</v>
      </c>
      <c r="IH29">
        <v>145.69999999999999</v>
      </c>
      <c r="II29">
        <v>136</v>
      </c>
      <c r="IJ29">
        <v>141</v>
      </c>
      <c r="IK29">
        <v>146.1</v>
      </c>
      <c r="IL29">
        <v>136.30000000000001</v>
      </c>
      <c r="IM29">
        <v>141.30000000000001</v>
      </c>
      <c r="IN29">
        <v>147.1</v>
      </c>
      <c r="IO29">
        <v>137.69999999999999</v>
      </c>
      <c r="IP29">
        <v>142.5</v>
      </c>
      <c r="IQ29">
        <v>148.1</v>
      </c>
      <c r="IR29">
        <v>138.4</v>
      </c>
      <c r="IS29">
        <v>143.4</v>
      </c>
      <c r="IT29">
        <v>148.4</v>
      </c>
      <c r="IU29">
        <v>138.4</v>
      </c>
      <c r="IV29">
        <v>143.6</v>
      </c>
      <c r="IW29">
        <v>148.6</v>
      </c>
      <c r="IX29">
        <v>138.69999999999999</v>
      </c>
      <c r="IY29">
        <v>143.80000000000001</v>
      </c>
      <c r="JF29">
        <v>151.69999999999999</v>
      </c>
      <c r="JG29">
        <v>142</v>
      </c>
      <c r="JH29">
        <v>147</v>
      </c>
      <c r="JI29">
        <v>151.69999999999999</v>
      </c>
      <c r="JJ29">
        <v>142</v>
      </c>
      <c r="JK29">
        <v>147</v>
      </c>
      <c r="JL29">
        <v>153</v>
      </c>
      <c r="JM29">
        <v>144.80000000000001</v>
      </c>
      <c r="JN29">
        <v>149</v>
      </c>
      <c r="JO29">
        <v>153.69999999999999</v>
      </c>
      <c r="JP29">
        <v>146</v>
      </c>
      <c r="JQ29">
        <v>150</v>
      </c>
      <c r="JR29">
        <v>154.30000000000001</v>
      </c>
      <c r="JS29">
        <v>146.19999999999999</v>
      </c>
      <c r="JT29">
        <v>150.4</v>
      </c>
      <c r="JU29">
        <v>154.5</v>
      </c>
      <c r="JV29">
        <v>146.6</v>
      </c>
      <c r="JW29">
        <v>150.69999999999999</v>
      </c>
      <c r="JX29">
        <v>155.19999999999999</v>
      </c>
      <c r="JY29">
        <v>146.9</v>
      </c>
      <c r="JZ29">
        <v>151.19999999999999</v>
      </c>
      <c r="KA29">
        <v>155.9</v>
      </c>
      <c r="KB29">
        <v>147.6</v>
      </c>
      <c r="KC29">
        <v>151.9</v>
      </c>
      <c r="KD29">
        <v>157.19999999999999</v>
      </c>
      <c r="KE29">
        <v>149.30000000000001</v>
      </c>
      <c r="KF29">
        <v>153.4</v>
      </c>
      <c r="KG29">
        <v>157.30000000000001</v>
      </c>
      <c r="KH29">
        <v>150</v>
      </c>
      <c r="KI29">
        <v>153.80000000000001</v>
      </c>
      <c r="KJ29">
        <v>158</v>
      </c>
      <c r="KK29">
        <v>150.5</v>
      </c>
      <c r="KL29">
        <v>154.4</v>
      </c>
      <c r="KM29">
        <v>161.1</v>
      </c>
      <c r="KN29">
        <v>152.30000000000001</v>
      </c>
      <c r="KO29">
        <v>156.80000000000001</v>
      </c>
      <c r="KP29">
        <v>161.5</v>
      </c>
      <c r="KQ29">
        <v>153.4</v>
      </c>
      <c r="KR29">
        <v>157.6</v>
      </c>
      <c r="KS29">
        <v>162.80000000000001</v>
      </c>
      <c r="KT29">
        <v>155</v>
      </c>
      <c r="KU29">
        <v>159</v>
      </c>
      <c r="KV29">
        <v>163.30000000000001</v>
      </c>
      <c r="KW29">
        <v>156</v>
      </c>
      <c r="KX29">
        <v>160</v>
      </c>
      <c r="KY29">
        <v>163.80000000000001</v>
      </c>
      <c r="KZ29">
        <v>156</v>
      </c>
      <c r="LA29">
        <v>160</v>
      </c>
      <c r="LB29">
        <v>164.7</v>
      </c>
      <c r="LC29">
        <v>157</v>
      </c>
      <c r="LD29">
        <v>161</v>
      </c>
      <c r="LE29">
        <v>165.2</v>
      </c>
      <c r="LF29">
        <v>157.30000000000001</v>
      </c>
      <c r="LG29">
        <v>161.4</v>
      </c>
      <c r="LH29">
        <v>166</v>
      </c>
      <c r="LI29">
        <v>157.80000000000001</v>
      </c>
      <c r="LJ29">
        <v>162</v>
      </c>
      <c r="LK29">
        <v>166.6</v>
      </c>
      <c r="LL29">
        <v>158.6</v>
      </c>
      <c r="LM29">
        <v>162.69999999999999</v>
      </c>
      <c r="LN29">
        <v>167.3</v>
      </c>
      <c r="LO29">
        <v>159.4</v>
      </c>
      <c r="LP29">
        <v>163.5</v>
      </c>
      <c r="LQ29">
        <v>168.3</v>
      </c>
      <c r="LR29">
        <v>160.6</v>
      </c>
      <c r="LS29">
        <v>164.6</v>
      </c>
      <c r="LT29">
        <v>170.2</v>
      </c>
      <c r="LU29">
        <v>163.1</v>
      </c>
      <c r="LV29">
        <v>166.8</v>
      </c>
      <c r="LW29">
        <v>170.9</v>
      </c>
      <c r="LX29">
        <v>163.80000000000001</v>
      </c>
      <c r="LY29">
        <v>167.5</v>
      </c>
      <c r="LZ29">
        <v>171</v>
      </c>
      <c r="MA29">
        <v>163.80000000000001</v>
      </c>
      <c r="MB29">
        <v>167.5</v>
      </c>
      <c r="MC29">
        <v>171.8</v>
      </c>
      <c r="MD29">
        <v>164.7</v>
      </c>
      <c r="ME29">
        <v>168.4</v>
      </c>
      <c r="MF29">
        <v>172.6</v>
      </c>
      <c r="MG29">
        <v>165.4</v>
      </c>
      <c r="MH29">
        <v>169.1</v>
      </c>
      <c r="MI29">
        <v>173.1</v>
      </c>
      <c r="MJ29">
        <v>166.1</v>
      </c>
      <c r="MK29">
        <v>169.7</v>
      </c>
      <c r="ML29">
        <v>173.9</v>
      </c>
      <c r="MM29">
        <v>166.8</v>
      </c>
      <c r="MN29">
        <v>170.5</v>
      </c>
      <c r="MO29">
        <v>174.6</v>
      </c>
      <c r="MP29">
        <v>167.4</v>
      </c>
      <c r="MQ29">
        <v>171.1</v>
      </c>
      <c r="MR29">
        <v>175.5</v>
      </c>
      <c r="MS29">
        <v>168.2</v>
      </c>
      <c r="MT29">
        <v>172</v>
      </c>
      <c r="MU29">
        <v>176.5</v>
      </c>
      <c r="MV29">
        <v>168.9</v>
      </c>
      <c r="MW29">
        <v>172.8</v>
      </c>
      <c r="MX29">
        <v>177.9</v>
      </c>
      <c r="MY29">
        <v>170</v>
      </c>
      <c r="MZ29">
        <v>174.1</v>
      </c>
      <c r="NA29">
        <v>177.9</v>
      </c>
      <c r="NB29">
        <v>170</v>
      </c>
      <c r="NC29">
        <v>174.1</v>
      </c>
      <c r="ND29">
        <v>178.9</v>
      </c>
      <c r="NE29">
        <v>170.9</v>
      </c>
      <c r="NF29">
        <v>175</v>
      </c>
      <c r="NG29">
        <v>179.5</v>
      </c>
      <c r="NH29">
        <v>171.6</v>
      </c>
      <c r="NI29">
        <v>175.7</v>
      </c>
    </row>
    <row r="30" spans="1:373" x14ac:dyDescent="0.3">
      <c r="A30" s="1" t="s">
        <v>29</v>
      </c>
      <c r="B30">
        <v>105.1</v>
      </c>
      <c r="C30">
        <v>104</v>
      </c>
      <c r="D30">
        <v>104.6</v>
      </c>
      <c r="E30">
        <v>105.8</v>
      </c>
      <c r="F30">
        <v>104.7</v>
      </c>
      <c r="G30">
        <v>105.3</v>
      </c>
      <c r="H30">
        <v>106</v>
      </c>
      <c r="I30">
        <v>105</v>
      </c>
      <c r="J30">
        <v>105.5</v>
      </c>
      <c r="K30">
        <v>106.4</v>
      </c>
      <c r="L30">
        <v>105.7</v>
      </c>
      <c r="M30">
        <v>106.1</v>
      </c>
      <c r="N30">
        <v>107.2</v>
      </c>
      <c r="O30">
        <v>106.6</v>
      </c>
      <c r="P30">
        <v>106.9</v>
      </c>
      <c r="Q30">
        <v>108.9</v>
      </c>
      <c r="R30">
        <v>109.7</v>
      </c>
      <c r="S30">
        <v>109.3</v>
      </c>
      <c r="T30">
        <v>110.7</v>
      </c>
      <c r="U30">
        <v>111.4</v>
      </c>
      <c r="V30">
        <v>111</v>
      </c>
      <c r="W30">
        <v>112.1</v>
      </c>
      <c r="X30">
        <v>112.7</v>
      </c>
      <c r="Y30">
        <v>112.4</v>
      </c>
      <c r="Z30">
        <v>114.2</v>
      </c>
      <c r="AA30">
        <v>113.2</v>
      </c>
      <c r="AB30">
        <v>113.7</v>
      </c>
      <c r="AC30">
        <v>115.5</v>
      </c>
      <c r="AD30">
        <v>114</v>
      </c>
      <c r="AE30">
        <v>114.8</v>
      </c>
      <c r="AF30">
        <v>117.4</v>
      </c>
      <c r="AG30">
        <v>115</v>
      </c>
      <c r="AH30">
        <v>116.3</v>
      </c>
      <c r="AI30">
        <v>115.5</v>
      </c>
      <c r="AJ30">
        <v>113.3</v>
      </c>
      <c r="AK30">
        <v>114.5</v>
      </c>
      <c r="AL30">
        <v>114.2</v>
      </c>
      <c r="AM30">
        <v>112.9</v>
      </c>
      <c r="AN30">
        <v>113.6</v>
      </c>
      <c r="AO30">
        <v>114</v>
      </c>
      <c r="AP30">
        <v>113.1</v>
      </c>
      <c r="AQ30">
        <v>113.6</v>
      </c>
      <c r="AR30">
        <v>114.6</v>
      </c>
      <c r="AS30">
        <v>113.7</v>
      </c>
      <c r="AT30">
        <v>114.2</v>
      </c>
      <c r="AU30">
        <v>115.4</v>
      </c>
      <c r="AV30">
        <v>114.7</v>
      </c>
      <c r="AW30">
        <v>115.1</v>
      </c>
      <c r="AX30">
        <v>116</v>
      </c>
      <c r="AY30">
        <v>115.6</v>
      </c>
      <c r="AZ30">
        <v>115.8</v>
      </c>
      <c r="BA30">
        <v>117</v>
      </c>
      <c r="BB30">
        <v>116.4</v>
      </c>
      <c r="BC30">
        <v>116.7</v>
      </c>
      <c r="BD30">
        <v>119.5</v>
      </c>
      <c r="BE30">
        <v>118.9</v>
      </c>
      <c r="BF30">
        <v>119.2</v>
      </c>
      <c r="BG30">
        <v>120.7</v>
      </c>
      <c r="BH30">
        <v>119.9</v>
      </c>
      <c r="BI30">
        <v>120.3</v>
      </c>
      <c r="BJ30">
        <v>120.9</v>
      </c>
      <c r="BK30">
        <v>119.2</v>
      </c>
      <c r="BL30">
        <v>120.1</v>
      </c>
      <c r="BM30">
        <v>121</v>
      </c>
      <c r="BN30">
        <v>119.1</v>
      </c>
      <c r="BO30">
        <v>120.1</v>
      </c>
      <c r="BP30">
        <v>121.1</v>
      </c>
      <c r="BQ30">
        <v>119</v>
      </c>
      <c r="BR30">
        <v>120.1</v>
      </c>
      <c r="BS30">
        <v>120.3</v>
      </c>
      <c r="BT30">
        <v>118.4</v>
      </c>
      <c r="BU30">
        <v>119.4</v>
      </c>
      <c r="BV30">
        <v>120.3</v>
      </c>
      <c r="BW30">
        <v>118.5</v>
      </c>
      <c r="BX30">
        <v>119.5</v>
      </c>
      <c r="BY30">
        <v>120.6</v>
      </c>
      <c r="BZ30">
        <v>118.7</v>
      </c>
      <c r="CA30">
        <v>119.7</v>
      </c>
      <c r="CB30">
        <v>121.1</v>
      </c>
      <c r="CC30">
        <v>119.1</v>
      </c>
      <c r="CD30">
        <v>120.2</v>
      </c>
      <c r="CE30">
        <v>121.5</v>
      </c>
      <c r="CF30">
        <v>119.7</v>
      </c>
      <c r="CG30">
        <v>120.7</v>
      </c>
      <c r="CH30">
        <v>122.4</v>
      </c>
      <c r="CI30">
        <v>120.7</v>
      </c>
      <c r="CJ30">
        <v>121.6</v>
      </c>
      <c r="CK30">
        <v>124.1</v>
      </c>
      <c r="CL30">
        <v>121.7</v>
      </c>
      <c r="CM30">
        <v>123</v>
      </c>
      <c r="CN30">
        <v>124.7</v>
      </c>
      <c r="CO30">
        <v>122.4</v>
      </c>
      <c r="CP30">
        <v>123.6</v>
      </c>
      <c r="CQ30">
        <v>126.1</v>
      </c>
      <c r="CR30">
        <v>123.2</v>
      </c>
      <c r="CS30">
        <v>124.8</v>
      </c>
      <c r="CT30">
        <v>127</v>
      </c>
      <c r="CU30">
        <v>123.5</v>
      </c>
      <c r="CV30">
        <v>125.4</v>
      </c>
      <c r="CW30">
        <v>127.7</v>
      </c>
      <c r="CX30">
        <v>124.2</v>
      </c>
      <c r="CY30">
        <v>126.1</v>
      </c>
      <c r="CZ30">
        <v>128.30000000000001</v>
      </c>
      <c r="DA30">
        <v>124.6</v>
      </c>
      <c r="DB30">
        <v>126.6</v>
      </c>
      <c r="DC30">
        <v>127.9</v>
      </c>
      <c r="DD30">
        <v>124</v>
      </c>
      <c r="DE30">
        <v>126.1</v>
      </c>
      <c r="DF30">
        <v>128.1</v>
      </c>
      <c r="DG30">
        <v>124.2</v>
      </c>
      <c r="DH30">
        <v>126.3</v>
      </c>
      <c r="DI30">
        <v>127.9</v>
      </c>
      <c r="DJ30">
        <v>123.8</v>
      </c>
      <c r="DK30">
        <v>126</v>
      </c>
      <c r="DL30">
        <v>128</v>
      </c>
      <c r="DM30">
        <v>123.8</v>
      </c>
      <c r="DN30">
        <v>126</v>
      </c>
      <c r="DO30">
        <v>129</v>
      </c>
      <c r="DP30">
        <v>125.3</v>
      </c>
      <c r="DQ30">
        <v>127.3</v>
      </c>
      <c r="DR30">
        <v>130.30000000000001</v>
      </c>
      <c r="DS30">
        <v>126.6</v>
      </c>
      <c r="DT30">
        <v>128.6</v>
      </c>
      <c r="DU30">
        <v>131.9</v>
      </c>
      <c r="DV30">
        <v>128.1</v>
      </c>
      <c r="DW30">
        <v>130.1</v>
      </c>
      <c r="DX30">
        <v>133</v>
      </c>
      <c r="DY30">
        <v>129</v>
      </c>
      <c r="DZ30">
        <v>131.1</v>
      </c>
      <c r="EA30">
        <v>133.5</v>
      </c>
      <c r="EB30">
        <v>128.4</v>
      </c>
      <c r="EC30">
        <v>131.1</v>
      </c>
      <c r="ED30">
        <v>133.4</v>
      </c>
      <c r="EE30">
        <v>128</v>
      </c>
      <c r="EF30">
        <v>130.9</v>
      </c>
      <c r="EG30">
        <v>133.80000000000001</v>
      </c>
      <c r="EH30">
        <v>128.6</v>
      </c>
      <c r="EI30">
        <v>131.4</v>
      </c>
      <c r="EJ30">
        <v>133.6</v>
      </c>
      <c r="EK30">
        <v>128.5</v>
      </c>
      <c r="EL30">
        <v>131.19999999999999</v>
      </c>
      <c r="EM30">
        <v>132.80000000000001</v>
      </c>
      <c r="EN30">
        <v>127.6</v>
      </c>
      <c r="EO30">
        <v>130.4</v>
      </c>
      <c r="EP30">
        <v>132.4</v>
      </c>
      <c r="EQ30">
        <v>127.8</v>
      </c>
      <c r="ER30">
        <v>130.30000000000001</v>
      </c>
      <c r="ES30">
        <v>132.6</v>
      </c>
      <c r="ET30">
        <v>128.19999999999999</v>
      </c>
      <c r="EU30">
        <v>130.6</v>
      </c>
      <c r="EV30">
        <v>132.80000000000001</v>
      </c>
      <c r="EW30">
        <v>128.69999999999999</v>
      </c>
      <c r="EX30">
        <v>130.9</v>
      </c>
      <c r="EY30">
        <v>132.9</v>
      </c>
      <c r="EZ30">
        <v>129.1</v>
      </c>
      <c r="FA30">
        <v>131.1</v>
      </c>
      <c r="FB30">
        <v>133.30000000000001</v>
      </c>
      <c r="FC30">
        <v>129.30000000000001</v>
      </c>
      <c r="FD30">
        <v>131.4</v>
      </c>
      <c r="FE30">
        <v>133.9</v>
      </c>
      <c r="FF30">
        <v>129.9</v>
      </c>
      <c r="FG30">
        <v>132</v>
      </c>
      <c r="FH30">
        <v>136.19999999999999</v>
      </c>
      <c r="FI30">
        <v>131.80000000000001</v>
      </c>
      <c r="FJ30">
        <v>134.19999999999999</v>
      </c>
      <c r="FK30">
        <v>137.80000000000001</v>
      </c>
      <c r="FL30">
        <v>132.69999999999999</v>
      </c>
      <c r="FM30">
        <v>135.4</v>
      </c>
      <c r="FN30">
        <v>137.6</v>
      </c>
      <c r="FO30">
        <v>132.4</v>
      </c>
      <c r="FP30">
        <v>135.19999999999999</v>
      </c>
      <c r="FQ30">
        <v>138.30000000000001</v>
      </c>
      <c r="FR30">
        <v>133.5</v>
      </c>
      <c r="FS30">
        <v>136.1</v>
      </c>
      <c r="FT30">
        <v>140</v>
      </c>
      <c r="FU30">
        <v>134.80000000000001</v>
      </c>
      <c r="FV30">
        <v>137.6</v>
      </c>
      <c r="FW30">
        <v>139.80000000000001</v>
      </c>
      <c r="FX30">
        <v>134.1</v>
      </c>
      <c r="FY30">
        <v>137.19999999999999</v>
      </c>
      <c r="FZ30">
        <v>139.30000000000001</v>
      </c>
      <c r="GA30">
        <v>134.1</v>
      </c>
      <c r="GB30">
        <v>136.9</v>
      </c>
      <c r="GC30">
        <v>138.5</v>
      </c>
      <c r="GD30">
        <v>134</v>
      </c>
      <c r="GE30">
        <v>136.4</v>
      </c>
      <c r="GF30">
        <v>138.69999999999999</v>
      </c>
      <c r="GG30">
        <v>134</v>
      </c>
      <c r="GH30">
        <v>136.5</v>
      </c>
      <c r="GI30">
        <v>139.1</v>
      </c>
      <c r="GJ30">
        <v>134.80000000000001</v>
      </c>
      <c r="GK30">
        <v>137.1</v>
      </c>
      <c r="GL30">
        <v>139.80000000000001</v>
      </c>
      <c r="GM30">
        <v>135.4</v>
      </c>
      <c r="GN30">
        <v>137.80000000000001</v>
      </c>
      <c r="GO30">
        <v>140.5</v>
      </c>
      <c r="GP30">
        <v>136.19999999999999</v>
      </c>
      <c r="GQ30">
        <v>138.5</v>
      </c>
      <c r="GR30">
        <v>141.80000000000001</v>
      </c>
      <c r="GS30">
        <v>137.5</v>
      </c>
      <c r="GT30">
        <v>139.80000000000001</v>
      </c>
      <c r="GU30">
        <v>142.5</v>
      </c>
      <c r="GV30">
        <v>138</v>
      </c>
      <c r="GW30">
        <v>140.4</v>
      </c>
      <c r="GX30">
        <v>142.1</v>
      </c>
      <c r="GY30">
        <v>138.1</v>
      </c>
      <c r="GZ30">
        <v>140.19999999999999</v>
      </c>
      <c r="HA30">
        <v>142.19999999999999</v>
      </c>
      <c r="HB30">
        <v>138.9</v>
      </c>
      <c r="HC30">
        <v>140.80000000000001</v>
      </c>
      <c r="HD30">
        <v>142.4</v>
      </c>
      <c r="HE30">
        <v>139</v>
      </c>
      <c r="HF30">
        <v>140.80000000000001</v>
      </c>
      <c r="HG30">
        <v>141.9</v>
      </c>
      <c r="HH30">
        <v>138</v>
      </c>
      <c r="HI30">
        <v>140.1</v>
      </c>
      <c r="HJ30">
        <v>141</v>
      </c>
      <c r="HK30">
        <v>138</v>
      </c>
      <c r="HL30">
        <v>139.6</v>
      </c>
      <c r="HM30">
        <v>141</v>
      </c>
      <c r="HN30">
        <v>138.6</v>
      </c>
      <c r="HO30">
        <v>139.9</v>
      </c>
      <c r="HP30">
        <v>141.19999999999999</v>
      </c>
      <c r="HQ30">
        <v>139.5</v>
      </c>
      <c r="HR30">
        <v>140.4</v>
      </c>
      <c r="HS30">
        <v>142.4</v>
      </c>
      <c r="HT30">
        <v>141.5</v>
      </c>
      <c r="HU30">
        <v>142</v>
      </c>
      <c r="HV30">
        <v>143.6</v>
      </c>
      <c r="HW30">
        <v>142.1</v>
      </c>
      <c r="HX30">
        <v>142.9</v>
      </c>
      <c r="HY30">
        <v>144.9</v>
      </c>
      <c r="HZ30">
        <v>143.30000000000001</v>
      </c>
      <c r="IA30">
        <v>144.19999999999999</v>
      </c>
      <c r="IB30">
        <v>145.69999999999999</v>
      </c>
      <c r="IC30">
        <v>144.19999999999999</v>
      </c>
      <c r="ID30">
        <v>145</v>
      </c>
      <c r="IE30">
        <v>146.69999999999999</v>
      </c>
      <c r="IF30">
        <v>144.69999999999999</v>
      </c>
      <c r="IG30">
        <v>145.80000000000001</v>
      </c>
      <c r="IH30">
        <v>148.30000000000001</v>
      </c>
      <c r="II30">
        <v>146</v>
      </c>
      <c r="IJ30">
        <v>147.19999999999999</v>
      </c>
      <c r="IK30">
        <v>149.9</v>
      </c>
      <c r="IL30">
        <v>147</v>
      </c>
      <c r="IM30">
        <v>148.6</v>
      </c>
      <c r="IN30">
        <v>152.30000000000001</v>
      </c>
      <c r="IO30">
        <v>148.30000000000001</v>
      </c>
      <c r="IP30">
        <v>150.4</v>
      </c>
      <c r="IQ30">
        <v>151.9</v>
      </c>
      <c r="IR30">
        <v>148.19999999999999</v>
      </c>
      <c r="IS30">
        <v>150.19999999999999</v>
      </c>
      <c r="IT30">
        <v>150.4</v>
      </c>
      <c r="IU30">
        <v>147.69999999999999</v>
      </c>
      <c r="IV30">
        <v>149.1</v>
      </c>
      <c r="IW30">
        <v>149.80000000000001</v>
      </c>
      <c r="IX30">
        <v>147.30000000000001</v>
      </c>
      <c r="IY30">
        <v>148.6</v>
      </c>
      <c r="JF30">
        <v>152.69999999999999</v>
      </c>
      <c r="JG30">
        <v>150.80000000000001</v>
      </c>
      <c r="JH30">
        <v>151.80000000000001</v>
      </c>
      <c r="JI30">
        <v>152.69999999999999</v>
      </c>
      <c r="JJ30">
        <v>150.80000000000001</v>
      </c>
      <c r="JK30">
        <v>151.80000000000001</v>
      </c>
      <c r="JL30">
        <v>154.69999999999999</v>
      </c>
      <c r="JM30">
        <v>152.9</v>
      </c>
      <c r="JN30">
        <v>153.9</v>
      </c>
      <c r="JO30">
        <v>155.4</v>
      </c>
      <c r="JP30">
        <v>154</v>
      </c>
      <c r="JQ30">
        <v>154.69999999999999</v>
      </c>
      <c r="JR30">
        <v>157.5</v>
      </c>
      <c r="JS30">
        <v>155.19999999999999</v>
      </c>
      <c r="JT30">
        <v>156.4</v>
      </c>
      <c r="JU30">
        <v>159.80000000000001</v>
      </c>
      <c r="JV30">
        <v>156.69999999999999</v>
      </c>
      <c r="JW30">
        <v>158.4</v>
      </c>
      <c r="JX30">
        <v>160.69999999999999</v>
      </c>
      <c r="JY30">
        <v>156.9</v>
      </c>
      <c r="JZ30">
        <v>158.9</v>
      </c>
      <c r="KA30">
        <v>158.5</v>
      </c>
      <c r="KB30">
        <v>156</v>
      </c>
      <c r="KC30">
        <v>157.30000000000001</v>
      </c>
      <c r="KD30">
        <v>156.69999999999999</v>
      </c>
      <c r="KE30">
        <v>156.5</v>
      </c>
      <c r="KF30">
        <v>156.6</v>
      </c>
      <c r="KG30">
        <v>156.69999999999999</v>
      </c>
      <c r="KH30">
        <v>156.9</v>
      </c>
      <c r="KI30">
        <v>156.80000000000001</v>
      </c>
      <c r="KJ30">
        <v>157.6</v>
      </c>
      <c r="KK30">
        <v>158</v>
      </c>
      <c r="KL30">
        <v>157.80000000000001</v>
      </c>
      <c r="KM30">
        <v>161.1</v>
      </c>
      <c r="KN30">
        <v>159.5</v>
      </c>
      <c r="KO30">
        <v>160.4</v>
      </c>
      <c r="KP30">
        <v>162.1</v>
      </c>
      <c r="KQ30">
        <v>160.4</v>
      </c>
      <c r="KR30">
        <v>161.30000000000001</v>
      </c>
      <c r="KS30">
        <v>163.19999999999999</v>
      </c>
      <c r="KT30">
        <v>161.80000000000001</v>
      </c>
      <c r="KU30">
        <v>162.5</v>
      </c>
      <c r="KV30">
        <v>163.6</v>
      </c>
      <c r="KW30">
        <v>162.30000000000001</v>
      </c>
      <c r="KX30">
        <v>163.19999999999999</v>
      </c>
      <c r="KY30">
        <v>164</v>
      </c>
      <c r="KZ30">
        <v>162.30000000000001</v>
      </c>
      <c r="LA30">
        <v>163.19999999999999</v>
      </c>
      <c r="LB30">
        <v>166.3</v>
      </c>
      <c r="LC30">
        <v>164.6</v>
      </c>
      <c r="LD30">
        <v>165.5</v>
      </c>
      <c r="LE30">
        <v>167.6</v>
      </c>
      <c r="LF30">
        <v>165.6</v>
      </c>
      <c r="LG30">
        <v>166.7</v>
      </c>
      <c r="LH30">
        <v>167</v>
      </c>
      <c r="LI30">
        <v>165.2</v>
      </c>
      <c r="LJ30">
        <v>166.2</v>
      </c>
      <c r="LK30">
        <v>166.4</v>
      </c>
      <c r="LL30">
        <v>165</v>
      </c>
      <c r="LM30">
        <v>165.7</v>
      </c>
      <c r="LN30">
        <v>166.7</v>
      </c>
      <c r="LO30">
        <v>165.5</v>
      </c>
      <c r="LP30">
        <v>166.1</v>
      </c>
      <c r="LQ30">
        <v>168.7</v>
      </c>
      <c r="LR30">
        <v>166.5</v>
      </c>
      <c r="LS30">
        <v>167.7</v>
      </c>
      <c r="LT30">
        <v>170.8</v>
      </c>
      <c r="LU30">
        <v>169.2</v>
      </c>
      <c r="LV30">
        <v>170.1</v>
      </c>
      <c r="LW30">
        <v>172.5</v>
      </c>
      <c r="LX30">
        <v>170.8</v>
      </c>
      <c r="LY30">
        <v>171.7</v>
      </c>
      <c r="LZ30">
        <v>173.6</v>
      </c>
      <c r="MA30">
        <v>171.4</v>
      </c>
      <c r="MB30">
        <v>172.6</v>
      </c>
      <c r="MC30">
        <v>174.3</v>
      </c>
      <c r="MD30">
        <v>172.3</v>
      </c>
      <c r="ME30">
        <v>173.4</v>
      </c>
      <c r="MF30">
        <v>175.3</v>
      </c>
      <c r="MG30">
        <v>173.1</v>
      </c>
      <c r="MH30">
        <v>174.3</v>
      </c>
      <c r="MI30">
        <v>176.4</v>
      </c>
      <c r="MJ30">
        <v>174.1</v>
      </c>
      <c r="MK30">
        <v>175.3</v>
      </c>
      <c r="ML30">
        <v>177.9</v>
      </c>
      <c r="MM30">
        <v>175.3</v>
      </c>
      <c r="MN30">
        <v>176.7</v>
      </c>
      <c r="MO30">
        <v>177.8</v>
      </c>
      <c r="MP30">
        <v>174.1</v>
      </c>
      <c r="MQ30">
        <v>176.5</v>
      </c>
      <c r="MR30">
        <v>177.1</v>
      </c>
      <c r="MS30">
        <v>174.1</v>
      </c>
      <c r="MT30">
        <v>175.7</v>
      </c>
      <c r="MU30">
        <v>177.8</v>
      </c>
      <c r="MV30">
        <v>174.9</v>
      </c>
      <c r="MW30">
        <v>176.5</v>
      </c>
      <c r="MX30">
        <v>178</v>
      </c>
      <c r="MY30">
        <v>176.3</v>
      </c>
      <c r="MZ30">
        <v>177.2</v>
      </c>
      <c r="NA30">
        <v>178</v>
      </c>
      <c r="NB30">
        <v>176.3</v>
      </c>
      <c r="NC30">
        <v>177.2</v>
      </c>
      <c r="ND30">
        <v>178.8</v>
      </c>
      <c r="NE30">
        <v>177.4</v>
      </c>
      <c r="NF30">
        <v>178.1</v>
      </c>
      <c r="NG30">
        <v>179.8</v>
      </c>
      <c r="NH30">
        <v>178.2</v>
      </c>
      <c r="NI30">
        <v>179.1</v>
      </c>
    </row>
    <row r="31" spans="1:373" x14ac:dyDescent="0.3">
      <c r="A31" s="1" t="s">
        <v>49</v>
      </c>
      <c r="B31" s="2">
        <f>DATE(B2, MATCH(B3,{"January","February","March","April","May","June","July","August","September","October","November","December"}, 0),1)</f>
        <v>41275</v>
      </c>
      <c r="C31" s="2">
        <f>DATE(C2, MATCH(C3,{"January","February","March","April","May","June","July","August","September","October","November","December"}, 0),1)</f>
        <v>41275</v>
      </c>
      <c r="D31" s="2">
        <f>DATE(D2, MATCH(D3,{"January","February","March","April","May","June","July","August","September","October","November","December"}, 0),1)</f>
        <v>41275</v>
      </c>
      <c r="E31" s="2">
        <f>DATE(E2, MATCH(E3,{"January","February","March","April","May","June","July","August","September","October","November","December"}, 0),1)</f>
        <v>41306</v>
      </c>
      <c r="F31" s="2">
        <f>DATE(F2, MATCH(F3,{"January","February","March","April","May","June","July","August","September","October","November","December"}, 0),1)</f>
        <v>41306</v>
      </c>
      <c r="G31" s="2">
        <f>DATE(G2, MATCH(G3,{"January","February","March","April","May","June","July","August","September","October","November","December"}, 0),1)</f>
        <v>41306</v>
      </c>
      <c r="H31" s="2">
        <f>DATE(H2, MATCH(H3,{"January","February","March","April","May","June","July","August","September","October","November","December"}, 0),1)</f>
        <v>41334</v>
      </c>
      <c r="I31" s="2">
        <f>DATE(I2, MATCH(I3,{"January","February","March","April","May","June","July","August","September","October","November","December"}, 0),1)</f>
        <v>41334</v>
      </c>
      <c r="J31" s="2">
        <f>DATE(J2, MATCH(J3,{"January","February","March","April","May","June","July","August","September","October","November","December"}, 0),1)</f>
        <v>41334</v>
      </c>
      <c r="K31" s="2">
        <f>DATE(K2, MATCH(K3,{"January","February","March","April","May","June","July","August","September","October","November","December"}, 0),1)</f>
        <v>41365</v>
      </c>
      <c r="L31" s="2">
        <f>DATE(L2, MATCH(L3,{"January","February","March","April","May","June","July","August","September","October","November","December"}, 0),1)</f>
        <v>41365</v>
      </c>
      <c r="M31" s="2">
        <f>DATE(M2, MATCH(M3,{"January","February","March","April","May","June","July","August","September","October","November","December"}, 0),1)</f>
        <v>41365</v>
      </c>
      <c r="N31" s="2">
        <f>DATE(N2, MATCH(N3,{"January","February","March","April","May","June","July","August","September","October","November","December"}, 0),1)</f>
        <v>41395</v>
      </c>
      <c r="O31" s="2">
        <f>DATE(O2, MATCH(O3,{"January","February","March","April","May","June","July","August","September","October","November","December"}, 0),1)</f>
        <v>41395</v>
      </c>
      <c r="P31" s="2">
        <f>DATE(P2, MATCH(P3,{"January","February","March","April","May","June","July","August","September","October","November","December"}, 0),1)</f>
        <v>41395</v>
      </c>
      <c r="Q31" s="2">
        <f>DATE(Q2, MATCH(Q3,{"January","February","March","April","May","June","July","August","September","October","November","December"}, 0),1)</f>
        <v>41426</v>
      </c>
      <c r="R31" s="2">
        <f>DATE(R2, MATCH(R3,{"January","February","March","April","May","June","July","August","September","October","November","December"}, 0),1)</f>
        <v>41426</v>
      </c>
      <c r="S31" s="2">
        <f>DATE(S2, MATCH(S3,{"January","February","March","April","May","June","July","August","September","October","November","December"}, 0),1)</f>
        <v>41426</v>
      </c>
      <c r="T31" s="2">
        <f>DATE(T2, MATCH(T3,{"January","February","March","April","May","June","July","August","September","October","November","December"}, 0),1)</f>
        <v>41456</v>
      </c>
      <c r="U31" s="2">
        <f>DATE(U2, MATCH(U3,{"January","February","March","April","May","June","July","August","September","October","November","December"}, 0),1)</f>
        <v>41456</v>
      </c>
      <c r="V31" s="2">
        <f>DATE(V2, MATCH(V3,{"January","February","March","April","May","June","July","August","September","October","November","December"}, 0),1)</f>
        <v>41456</v>
      </c>
      <c r="W31" s="2">
        <f>DATE(W2, MATCH(W3,{"January","February","March","April","May","June","July","August","September","October","November","December"}, 0),1)</f>
        <v>41487</v>
      </c>
      <c r="X31" s="2">
        <f>DATE(X2, MATCH(X3,{"January","February","March","April","May","June","July","August","September","October","November","December"}, 0),1)</f>
        <v>41487</v>
      </c>
      <c r="Y31" s="2">
        <f>DATE(Y2, MATCH(Y3,{"January","February","March","April","May","June","July","August","September","October","November","December"}, 0),1)</f>
        <v>41487</v>
      </c>
      <c r="Z31" s="2">
        <f>DATE(Z2, MATCH(Z3,{"January","February","March","April","May","June","July","August","September","October","November","December"}, 0),1)</f>
        <v>41518</v>
      </c>
      <c r="AA31" s="2">
        <f>DATE(AA2, MATCH(AA3,{"January","February","March","April","May","June","July","August","September","October","November","December"}, 0),1)</f>
        <v>41518</v>
      </c>
      <c r="AB31" s="2">
        <f>DATE(AB2, MATCH(AB3,{"January","February","March","April","May","June","July","August","September","October","November","December"}, 0),1)</f>
        <v>41518</v>
      </c>
      <c r="AC31" s="2">
        <f>DATE(AC2, MATCH(AC3,{"January","February","March","April","May","June","July","August","September","October","November","December"}, 0),1)</f>
        <v>41548</v>
      </c>
      <c r="AD31" s="2">
        <f>DATE(AD2, MATCH(AD3,{"January","February","March","April","May","June","July","August","September","October","November","December"}, 0),1)</f>
        <v>41548</v>
      </c>
      <c r="AE31" s="2">
        <f>DATE(AE2, MATCH(AE3,{"January","February","March","April","May","June","July","August","September","October","November","December"}, 0),1)</f>
        <v>41548</v>
      </c>
      <c r="AF31" s="2" t="e">
        <f>DATE(AF2, MATCH(AF3,{"January","February","March","April","May","June","July","August","September","October","November","December"}, 0),1)</f>
        <v>#N/A</v>
      </c>
      <c r="AG31" s="2">
        <f>DATE(AG2, MATCH(AG3,{"January","February","March","April","May","June","July","August","September","October","November","December"}, 0),1)</f>
        <v>41579</v>
      </c>
      <c r="AH31" s="2">
        <f>DATE(AH2, MATCH(AH3,{"January","February","March","April","May","June","July","August","September","October","November","December"}, 0),1)</f>
        <v>41579</v>
      </c>
      <c r="AI31" s="2">
        <f>DATE(AI2, MATCH(AI3,{"January","February","March","April","May","June","July","August","September","October","November","December"}, 0),1)</f>
        <v>41609</v>
      </c>
      <c r="AJ31" s="2">
        <f>DATE(AJ2, MATCH(AJ3,{"January","February","March","April","May","June","July","August","September","October","November","December"}, 0),1)</f>
        <v>41609</v>
      </c>
      <c r="AK31" s="2">
        <f>DATE(AK2, MATCH(AK3,{"January","February","March","April","May","June","July","August","September","October","November","December"}, 0),1)</f>
        <v>41609</v>
      </c>
      <c r="AL31" s="2">
        <f>DATE(AL2, MATCH(AL3,{"January","February","March","April","May","June","July","August","September","October","November","December"}, 0),1)</f>
        <v>41640</v>
      </c>
      <c r="AM31" s="2">
        <f>DATE(AM2, MATCH(AM3,{"January","February","March","April","May","June","July","August","September","October","November","December"}, 0),1)</f>
        <v>41640</v>
      </c>
      <c r="AN31" s="2">
        <f>DATE(AN2, MATCH(AN3,{"January","February","March","April","May","June","July","August","September","October","November","December"}, 0),1)</f>
        <v>41640</v>
      </c>
      <c r="AO31" s="2">
        <f>DATE(AO2, MATCH(AO3,{"January","February","March","April","May","June","July","August","September","October","November","December"}, 0),1)</f>
        <v>41671</v>
      </c>
      <c r="AP31" s="2">
        <f>DATE(AP2, MATCH(AP3,{"January","February","March","April","May","June","July","August","September","October","November","December"}, 0),1)</f>
        <v>41671</v>
      </c>
      <c r="AQ31" s="2">
        <f>DATE(AQ2, MATCH(AQ3,{"January","February","March","April","May","June","July","August","September","October","November","December"}, 0),1)</f>
        <v>41671</v>
      </c>
      <c r="AR31" s="2">
        <f>DATE(AR2, MATCH(AR3,{"January","February","March","April","May","June","July","August","September","October","November","December"}, 0),1)</f>
        <v>41699</v>
      </c>
      <c r="AS31" s="2">
        <f>DATE(AS2, MATCH(AS3,{"January","February","March","April","May","June","July","August","September","October","November","December"}, 0),1)</f>
        <v>41699</v>
      </c>
      <c r="AT31" s="2">
        <f>DATE(AT2, MATCH(AT3,{"January","February","March","April","May","June","July","August","September","October","November","December"}, 0),1)</f>
        <v>41699</v>
      </c>
      <c r="AU31" s="2">
        <f>DATE(AU2, MATCH(AU3,{"January","February","March","April","May","June","July","August","September","October","November","December"}, 0),1)</f>
        <v>41730</v>
      </c>
      <c r="AV31" s="2">
        <f>DATE(AV2, MATCH(AV3,{"January","February","March","April","May","June","July","August","September","October","November","December"}, 0),1)</f>
        <v>41730</v>
      </c>
      <c r="AW31" s="2">
        <f>DATE(AW2, MATCH(AW3,{"January","February","March","April","May","June","July","August","September","October","November","December"}, 0),1)</f>
        <v>41730</v>
      </c>
      <c r="AX31" s="2">
        <f>DATE(AX2, MATCH(AX3,{"January","February","March","April","May","June","July","August","September","October","November","December"}, 0),1)</f>
        <v>41760</v>
      </c>
      <c r="AY31" s="2">
        <f>DATE(AY2, MATCH(AY3,{"January","February","March","April","May","June","July","August","September","October","November","December"}, 0),1)</f>
        <v>41760</v>
      </c>
      <c r="AZ31" s="2">
        <f>DATE(AZ2, MATCH(AZ3,{"January","February","March","April","May","June","July","August","September","October","November","December"}, 0),1)</f>
        <v>41760</v>
      </c>
      <c r="BA31" s="2">
        <f>DATE(BA2, MATCH(BA3,{"January","February","March","April","May","June","July","August","September","October","November","December"}, 0),1)</f>
        <v>41791</v>
      </c>
      <c r="BB31" s="2">
        <f>DATE(BB2, MATCH(BB3,{"January","February","March","April","May","June","July","August","September","October","November","December"}, 0),1)</f>
        <v>41791</v>
      </c>
      <c r="BC31" s="2">
        <f>DATE(BC2, MATCH(BC3,{"January","February","March","April","May","June","July","August","September","October","November","December"}, 0),1)</f>
        <v>41791</v>
      </c>
      <c r="BD31" s="2">
        <f>DATE(BD2, MATCH(BD3,{"January","February","March","April","May","June","July","August","September","October","November","December"}, 0),1)</f>
        <v>41821</v>
      </c>
      <c r="BE31" s="2">
        <f>DATE(BE2, MATCH(BE3,{"January","February","March","April","May","June","July","August","September","October","November","December"}, 0),1)</f>
        <v>41821</v>
      </c>
      <c r="BF31" s="2">
        <f>DATE(BF2, MATCH(BF3,{"January","February","March","April","May","June","July","August","September","October","November","December"}, 0),1)</f>
        <v>41821</v>
      </c>
      <c r="BG31" s="2">
        <f>DATE(BG2, MATCH(BG3,{"January","February","March","April","May","June","July","August","September","October","November","December"}, 0),1)</f>
        <v>41852</v>
      </c>
      <c r="BH31" s="2">
        <f>DATE(BH2, MATCH(BH3,{"January","February","March","April","May","June","July","August","September","October","November","December"}, 0),1)</f>
        <v>41852</v>
      </c>
      <c r="BI31" s="2">
        <f>DATE(BI2, MATCH(BI3,{"January","February","March","April","May","June","July","August","September","October","November","December"}, 0),1)</f>
        <v>41852</v>
      </c>
      <c r="BJ31" s="2">
        <f>DATE(BJ2, MATCH(BJ3,{"January","February","March","April","May","June","July","August","September","October","November","December"}, 0),1)</f>
        <v>41883</v>
      </c>
      <c r="BK31" s="2">
        <f>DATE(BK2, MATCH(BK3,{"January","February","March","April","May","June","July","August","September","October","November","December"}, 0),1)</f>
        <v>41883</v>
      </c>
      <c r="BL31" s="2">
        <f>DATE(BL2, MATCH(BL3,{"January","February","March","April","May","June","July","August","September","October","November","December"}, 0),1)</f>
        <v>41883</v>
      </c>
      <c r="BM31" s="2">
        <f>DATE(BM2, MATCH(BM3,{"January","February","March","April","May","June","July","August","September","October","November","December"}, 0),1)</f>
        <v>41913</v>
      </c>
      <c r="BN31" s="2">
        <f>DATE(BN2, MATCH(BN3,{"January","February","March","April","May","June","July","August","September","October","November","December"}, 0),1)</f>
        <v>41913</v>
      </c>
      <c r="BO31" s="2">
        <f>DATE(BO2, MATCH(BO3,{"January","February","March","April","May","June","July","August","September","October","November","December"}, 0),1)</f>
        <v>41913</v>
      </c>
      <c r="BP31" s="2">
        <f>DATE(BP2, MATCH(BP3,{"January","February","March","April","May","June","July","August","September","October","November","December"}, 0),1)</f>
        <v>41944</v>
      </c>
      <c r="BQ31" s="2">
        <f>DATE(BQ2, MATCH(BQ3,{"January","February","March","April","May","June","July","August","September","October","November","December"}, 0),1)</f>
        <v>41944</v>
      </c>
      <c r="BR31" s="2">
        <f>DATE(BR2, MATCH(BR3,{"January","February","March","April","May","June","July","August","September","October","November","December"}, 0),1)</f>
        <v>41944</v>
      </c>
      <c r="BS31" s="2">
        <f>DATE(BS2, MATCH(BS3,{"January","February","March","April","May","June","July","August","September","October","November","December"}, 0),1)</f>
        <v>41974</v>
      </c>
      <c r="BT31" s="2">
        <f>DATE(BT2, MATCH(BT3,{"January","February","March","April","May","June","July","August","September","October","November","December"}, 0),1)</f>
        <v>41974</v>
      </c>
      <c r="BU31" s="2">
        <f>DATE(BU2, MATCH(BU3,{"January","February","March","April","May","June","July","August","September","October","November","December"}, 0),1)</f>
        <v>41974</v>
      </c>
      <c r="BV31" s="2">
        <f>DATE(BV2, MATCH(BV3,{"January","February","March","April","May","June","July","August","September","October","November","December"}, 0),1)</f>
        <v>42005</v>
      </c>
      <c r="BW31" s="2">
        <f>DATE(BW2, MATCH(BW3,{"January","February","March","April","May","June","July","August","September","October","November","December"}, 0),1)</f>
        <v>42005</v>
      </c>
      <c r="BX31" s="2">
        <f>DATE(BX2, MATCH(BX3,{"January","February","March","April","May","June","July","August","September","October","November","December"}, 0),1)</f>
        <v>42005</v>
      </c>
      <c r="BY31" s="2">
        <f>DATE(BY2, MATCH(BY3,{"January","February","March","April","May","June","July","August","September","October","November","December"}, 0),1)</f>
        <v>42036</v>
      </c>
      <c r="BZ31" s="2">
        <f>DATE(BZ2, MATCH(BZ3,{"January","February","March","April","May","June","July","August","September","October","November","December"}, 0),1)</f>
        <v>42036</v>
      </c>
      <c r="CA31" s="2">
        <f>DATE(CA2, MATCH(CA3,{"January","February","March","April","May","June","July","August","September","October","November","December"}, 0),1)</f>
        <v>42036</v>
      </c>
      <c r="CB31" s="2">
        <f>DATE(CB2, MATCH(CB3,{"January","February","March","April","May","June","July","August","September","October","November","December"}, 0),1)</f>
        <v>42064</v>
      </c>
      <c r="CC31" s="2">
        <f>DATE(CC2, MATCH(CC3,{"January","February","March","April","May","June","July","August","September","October","November","December"}, 0),1)</f>
        <v>42064</v>
      </c>
      <c r="CD31" s="2">
        <f>DATE(CD2, MATCH(CD3,{"January","February","March","April","May","June","July","August","September","October","November","December"}, 0),1)</f>
        <v>42064</v>
      </c>
      <c r="CE31" s="2">
        <f>DATE(CE2, MATCH(CE3,{"January","February","March","April","May","June","July","August","September","October","November","December"}, 0),1)</f>
        <v>42095</v>
      </c>
      <c r="CF31" s="2">
        <f>DATE(CF2, MATCH(CF3,{"January","February","March","April","May","June","July","August","September","October","November","December"}, 0),1)</f>
        <v>42095</v>
      </c>
      <c r="CG31" s="2">
        <f>DATE(CG2, MATCH(CG3,{"January","February","March","April","May","June","July","August","September","October","November","December"}, 0),1)</f>
        <v>42095</v>
      </c>
      <c r="CH31" s="2">
        <f>DATE(CH2, MATCH(CH3,{"January","February","March","April","May","June","July","August","September","October","November","December"}, 0),1)</f>
        <v>42125</v>
      </c>
      <c r="CI31" s="2">
        <f>DATE(CI2, MATCH(CI3,{"January","February","March","April","May","June","July","August","September","October","November","December"}, 0),1)</f>
        <v>42125</v>
      </c>
      <c r="CJ31" s="2">
        <f>DATE(CJ2, MATCH(CJ3,{"January","February","March","April","May","June","July","August","September","October","November","December"}, 0),1)</f>
        <v>42125</v>
      </c>
      <c r="CK31" s="2">
        <f>DATE(CK2, MATCH(CK3,{"January","February","March","April","May","June","July","August","September","October","November","December"}, 0),1)</f>
        <v>42156</v>
      </c>
      <c r="CL31" s="2">
        <f>DATE(CL2, MATCH(CL3,{"January","February","March","April","May","June","July","August","September","October","November","December"}, 0),1)</f>
        <v>42156</v>
      </c>
      <c r="CM31" s="2">
        <f>DATE(CM2, MATCH(CM3,{"January","February","March","April","May","June","July","August","September","October","November","December"}, 0),1)</f>
        <v>42156</v>
      </c>
      <c r="CN31" s="2">
        <f>DATE(CN2, MATCH(CN3,{"January","February","March","April","May","June","July","August","September","October","November","December"}, 0),1)</f>
        <v>42186</v>
      </c>
      <c r="CO31" s="2">
        <f>DATE(CO2, MATCH(CO3,{"January","February","March","April","May","June","July","August","September","October","November","December"}, 0),1)</f>
        <v>42186</v>
      </c>
      <c r="CP31" s="2">
        <f>DATE(CP2, MATCH(CP3,{"January","February","March","April","May","June","July","August","September","October","November","December"}, 0),1)</f>
        <v>42186</v>
      </c>
      <c r="CQ31" s="2">
        <f>DATE(CQ2, MATCH(CQ3,{"January","February","March","April","May","June","July","August","September","October","November","December"}, 0),1)</f>
        <v>42217</v>
      </c>
      <c r="CR31" s="2">
        <f>DATE(CR2, MATCH(CR3,{"January","February","March","April","May","June","July","August","September","October","November","December"}, 0),1)</f>
        <v>42217</v>
      </c>
      <c r="CS31" s="2">
        <f>DATE(CS2, MATCH(CS3,{"January","February","March","April","May","June","July","August","September","October","November","December"}, 0),1)</f>
        <v>42217</v>
      </c>
      <c r="CT31" s="2">
        <f>DATE(CT2, MATCH(CT3,{"January","February","March","April","May","June","July","August","September","October","November","December"}, 0),1)</f>
        <v>42248</v>
      </c>
      <c r="CU31" s="2">
        <f>DATE(CU2, MATCH(CU3,{"January","February","March","April","May","June","July","August","September","October","November","December"}, 0),1)</f>
        <v>42248</v>
      </c>
      <c r="CV31" s="2">
        <f>DATE(CV2, MATCH(CV3,{"January","February","March","April","May","June","July","August","September","October","November","December"}, 0),1)</f>
        <v>42248</v>
      </c>
      <c r="CW31" s="2">
        <f>DATE(CW2, MATCH(CW3,{"January","February","March","April","May","June","July","August","September","October","November","December"}, 0),1)</f>
        <v>42278</v>
      </c>
      <c r="CX31" s="2">
        <f>DATE(CX2, MATCH(CX3,{"January","February","March","April","May","June","July","August","September","October","November","December"}, 0),1)</f>
        <v>42278</v>
      </c>
      <c r="CY31" s="2">
        <f>DATE(CY2, MATCH(CY3,{"January","February","March","April","May","June","July","August","September","October","November","December"}, 0),1)</f>
        <v>42278</v>
      </c>
      <c r="CZ31" s="2">
        <f>DATE(CZ2, MATCH(CZ3,{"January","February","March","April","May","June","July","August","September","October","November","December"}, 0),1)</f>
        <v>42309</v>
      </c>
      <c r="DA31" s="2">
        <f>DATE(DA2, MATCH(DA3,{"January","February","March","April","May","June","July","August","September","October","November","December"}, 0),1)</f>
        <v>42309</v>
      </c>
      <c r="DB31" s="2">
        <f>DATE(DB2, MATCH(DB3,{"January","February","March","April","May","June","July","August","September","October","November","December"}, 0),1)</f>
        <v>42309</v>
      </c>
      <c r="DC31" s="2">
        <f>DATE(DC2, MATCH(DC3,{"January","February","March","April","May","June","July","August","September","October","November","December"}, 0),1)</f>
        <v>42339</v>
      </c>
      <c r="DD31" s="2">
        <f>DATE(DD2, MATCH(DD3,{"January","February","March","April","May","June","July","August","September","October","November","December"}, 0),1)</f>
        <v>42339</v>
      </c>
      <c r="DE31" s="2">
        <f>DATE(DE2, MATCH(DE3,{"January","February","March","April","May","June","July","August","September","October","November","December"}, 0),1)</f>
        <v>42339</v>
      </c>
      <c r="DF31" s="2">
        <f>DATE(DF2, MATCH(DF3,{"January","February","March","April","May","June","July","August","September","October","November","December"}, 0),1)</f>
        <v>42370</v>
      </c>
      <c r="DG31" s="2">
        <f>DATE(DG2, MATCH(DG3,{"January","February","March","April","May","June","July","August","September","October","November","December"}, 0),1)</f>
        <v>42370</v>
      </c>
      <c r="DH31" s="2">
        <f>DATE(DH2, MATCH(DH3,{"January","February","March","April","May","June","July","August","September","October","November","December"}, 0),1)</f>
        <v>42370</v>
      </c>
      <c r="DI31" s="2">
        <f>DATE(DI2, MATCH(DI3,{"January","February","March","April","May","June","July","August","September","October","November","December"}, 0),1)</f>
        <v>42401</v>
      </c>
      <c r="DJ31" s="2">
        <f>DATE(DJ2, MATCH(DJ3,{"January","February","March","April","May","June","July","August","September","October","November","December"}, 0),1)</f>
        <v>42401</v>
      </c>
      <c r="DK31" s="2">
        <f>DATE(DK2, MATCH(DK3,{"January","February","March","April","May","June","July","August","September","October","November","December"}, 0),1)</f>
        <v>42401</v>
      </c>
      <c r="DL31" s="2">
        <f>DATE(DL2, MATCH(DL3,{"January","February","March","April","May","June","July","August","September","October","November","December"}, 0),1)</f>
        <v>42430</v>
      </c>
      <c r="DM31" s="2">
        <f>DATE(DM2, MATCH(DM3,{"January","February","March","April","May","June","July","August","September","October","November","December"}, 0),1)</f>
        <v>42430</v>
      </c>
      <c r="DN31" s="2">
        <f>DATE(DN2, MATCH(DN3,{"January","February","March","April","May","June","July","August","September","October","November","December"}, 0),1)</f>
        <v>42430</v>
      </c>
      <c r="DO31" s="2">
        <f>DATE(DO2, MATCH(DO3,{"January","February","March","April","May","June","July","August","September","October","November","December"}, 0),1)</f>
        <v>42461</v>
      </c>
      <c r="DP31" s="2">
        <f>DATE(DP2, MATCH(DP3,{"January","February","March","April","May","June","July","August","September","October","November","December"}, 0),1)</f>
        <v>42461</v>
      </c>
      <c r="DQ31" s="2">
        <f>DATE(DQ2, MATCH(DQ3,{"January","February","March","April","May","June","July","August","September","October","November","December"}, 0),1)</f>
        <v>42461</v>
      </c>
      <c r="DR31" s="2">
        <f>DATE(DR2, MATCH(DR3,{"January","February","March","April","May","June","July","August","September","October","November","December"}, 0),1)</f>
        <v>42491</v>
      </c>
      <c r="DS31" s="2">
        <f>DATE(DS2, MATCH(DS3,{"January","February","March","April","May","June","July","August","September","October","November","December"}, 0),1)</f>
        <v>42491</v>
      </c>
      <c r="DT31" s="2">
        <f>DATE(DT2, MATCH(DT3,{"January","February","March","April","May","June","July","August","September","October","November","December"}, 0),1)</f>
        <v>42491</v>
      </c>
      <c r="DU31" s="2">
        <f>DATE(DU2, MATCH(DU3,{"January","February","March","April","May","June","July","August","September","October","November","December"}, 0),1)</f>
        <v>42522</v>
      </c>
      <c r="DV31" s="2">
        <f>DATE(DV2, MATCH(DV3,{"January","February","March","April","May","June","July","August","September","October","November","December"}, 0),1)</f>
        <v>42522</v>
      </c>
      <c r="DW31" s="2">
        <f>DATE(DW2, MATCH(DW3,{"January","February","March","April","May","June","July","August","September","October","November","December"}, 0),1)</f>
        <v>42522</v>
      </c>
      <c r="DX31" s="2">
        <f>DATE(DX2, MATCH(DX3,{"January","February","March","April","May","June","July","August","September","October","November","December"}, 0),1)</f>
        <v>42552</v>
      </c>
      <c r="DY31" s="2">
        <f>DATE(DY2, MATCH(DY3,{"January","February","March","April","May","June","July","August","September","October","November","December"}, 0),1)</f>
        <v>42552</v>
      </c>
      <c r="DZ31" s="2">
        <f>DATE(DZ2, MATCH(DZ3,{"January","February","March","April","May","June","July","August","September","October","November","December"}, 0),1)</f>
        <v>42552</v>
      </c>
      <c r="EA31" s="2">
        <f>DATE(EA2, MATCH(EA3,{"January","February","March","April","May","June","July","August","September","October","November","December"}, 0),1)</f>
        <v>42583</v>
      </c>
      <c r="EB31" s="2">
        <f>DATE(EB2, MATCH(EB3,{"January","February","March","April","May","June","July","August","September","October","November","December"}, 0),1)</f>
        <v>42583</v>
      </c>
      <c r="EC31" s="2">
        <f>DATE(EC2, MATCH(EC3,{"January","February","March","April","May","June","July","August","September","October","November","December"}, 0),1)</f>
        <v>42583</v>
      </c>
      <c r="ED31" s="2">
        <f>DATE(ED2, MATCH(ED3,{"January","February","March","April","May","June","July","August","September","October","November","December"}, 0),1)</f>
        <v>42614</v>
      </c>
      <c r="EE31" s="2">
        <f>DATE(EE2, MATCH(EE3,{"January","February","March","April","May","June","July","August","September","October","November","December"}, 0),1)</f>
        <v>42614</v>
      </c>
      <c r="EF31" s="2">
        <f>DATE(EF2, MATCH(EF3,{"January","February","March","April","May","June","July","August","September","October","November","December"}, 0),1)</f>
        <v>42614</v>
      </c>
      <c r="EG31" s="2">
        <f>DATE(EG2, MATCH(EG3,{"January","February","March","April","May","June","July","August","September","October","November","December"}, 0),1)</f>
        <v>42644</v>
      </c>
      <c r="EH31" s="2">
        <f>DATE(EH2, MATCH(EH3,{"January","February","March","April","May","June","July","August","September","October","November","December"}, 0),1)</f>
        <v>42644</v>
      </c>
      <c r="EI31" s="2">
        <f>DATE(EI2, MATCH(EI3,{"January","February","March","April","May","June","July","August","September","October","November","December"}, 0),1)</f>
        <v>42644</v>
      </c>
      <c r="EJ31" s="2">
        <f>DATE(EJ2, MATCH(EJ3,{"January","February","March","April","May","June","July","August","September","October","November","December"}, 0),1)</f>
        <v>42675</v>
      </c>
      <c r="EK31" s="2">
        <f>DATE(EK2, MATCH(EK3,{"January","February","March","April","May","June","July","August","September","October","November","December"}, 0),1)</f>
        <v>42675</v>
      </c>
      <c r="EL31" s="2">
        <f>DATE(EL2, MATCH(EL3,{"January","February","March","April","May","June","July","August","September","October","November","December"}, 0),1)</f>
        <v>42675</v>
      </c>
      <c r="EM31" s="2">
        <f>DATE(EM2, MATCH(EM3,{"January","February","March","April","May","June","July","August","September","October","November","December"}, 0),1)</f>
        <v>42705</v>
      </c>
      <c r="EN31" s="2">
        <f>DATE(EN2, MATCH(EN3,{"January","February","March","April","May","June","July","August","September","October","November","December"}, 0),1)</f>
        <v>42705</v>
      </c>
      <c r="EO31" s="2">
        <f>DATE(EO2, MATCH(EO3,{"January","February","March","April","May","June","July","August","September","October","November","December"}, 0),1)</f>
        <v>42705</v>
      </c>
      <c r="EP31" s="2">
        <f>DATE(EP2, MATCH(EP3,{"January","February","March","April","May","June","July","August","September","October","November","December"}, 0),1)</f>
        <v>42736</v>
      </c>
      <c r="EQ31" s="2">
        <f>DATE(EQ2, MATCH(EQ3,{"January","February","March","April","May","June","July","August","September","October","November","December"}, 0),1)</f>
        <v>42736</v>
      </c>
      <c r="ER31" s="2">
        <f>DATE(ER2, MATCH(ER3,{"January","February","March","April","May","June","July","August","September","October","November","December"}, 0),1)</f>
        <v>42736</v>
      </c>
      <c r="ES31" s="2">
        <f>DATE(ES2, MATCH(ES3,{"January","February","March","April","May","June","July","August","September","October","November","December"}, 0),1)</f>
        <v>42767</v>
      </c>
      <c r="ET31" s="2">
        <f>DATE(ET2, MATCH(ET3,{"January","February","March","April","May","June","July","August","September","October","November","December"}, 0),1)</f>
        <v>42767</v>
      </c>
      <c r="EU31" s="2">
        <f>DATE(EU2, MATCH(EU3,{"January","February","March","April","May","June","July","August","September","October","November","December"}, 0),1)</f>
        <v>42767</v>
      </c>
      <c r="EV31" s="2">
        <f>DATE(EV2, MATCH(EV3,{"January","February","March","April","May","June","July","August","September","October","November","December"}, 0),1)</f>
        <v>42795</v>
      </c>
      <c r="EW31" s="2">
        <f>DATE(EW2, MATCH(EW3,{"January","February","March","April","May","June","July","August","September","October","November","December"}, 0),1)</f>
        <v>42795</v>
      </c>
      <c r="EX31" s="2">
        <f>DATE(EX2, MATCH(EX3,{"January","February","March","April","May","June","July","August","September","October","November","December"}, 0),1)</f>
        <v>42795</v>
      </c>
      <c r="EY31" s="2">
        <f>DATE(EY2, MATCH(EY3,{"January","February","March","April","May","June","July","August","September","October","November","December"}, 0),1)</f>
        <v>42826</v>
      </c>
      <c r="EZ31" s="2">
        <f>DATE(EZ2, MATCH(EZ3,{"January","February","March","April","May","June","July","August","September","October","November","December"}, 0),1)</f>
        <v>42826</v>
      </c>
      <c r="FA31" s="2">
        <f>DATE(FA2, MATCH(FA3,{"January","February","March","April","May","June","July","August","September","October","November","December"}, 0),1)</f>
        <v>42826</v>
      </c>
      <c r="FB31" s="2">
        <f>DATE(FB2, MATCH(FB3,{"January","February","March","April","May","June","July","August","September","October","November","December"}, 0),1)</f>
        <v>42856</v>
      </c>
      <c r="FC31" s="2">
        <f>DATE(FC2, MATCH(FC3,{"January","February","March","April","May","June","July","August","September","October","November","December"}, 0),1)</f>
        <v>42856</v>
      </c>
      <c r="FD31" s="2">
        <f>DATE(FD2, MATCH(FD3,{"January","February","March","April","May","June","July","August","September","October","November","December"}, 0),1)</f>
        <v>42856</v>
      </c>
      <c r="FE31" s="2">
        <f>DATE(FE2, MATCH(FE3,{"January","February","March","April","May","June","July","August","September","October","November","December"}, 0),1)</f>
        <v>42887</v>
      </c>
      <c r="FF31" s="2">
        <f>DATE(FF2, MATCH(FF3,{"January","February","March","April","May","June","July","August","September","October","November","December"}, 0),1)</f>
        <v>42887</v>
      </c>
      <c r="FG31" s="2">
        <f>DATE(FG2, MATCH(FG3,{"January","February","March","April","May","June","July","August","September","October","November","December"}, 0),1)</f>
        <v>42887</v>
      </c>
      <c r="FH31" s="2">
        <f>DATE(FH2, MATCH(FH3,{"January","February","March","April","May","June","July","August","September","October","November","December"}, 0),1)</f>
        <v>42917</v>
      </c>
      <c r="FI31" s="2">
        <f>DATE(FI2, MATCH(FI3,{"January","February","March","April","May","June","July","August","September","October","November","December"}, 0),1)</f>
        <v>42917</v>
      </c>
      <c r="FJ31" s="2">
        <f>DATE(FJ2, MATCH(FJ3,{"January","February","March","April","May","June","July","August","September","October","November","December"}, 0),1)</f>
        <v>42917</v>
      </c>
      <c r="FK31" s="2">
        <f>DATE(FK2, MATCH(FK3,{"January","February","March","April","May","June","July","August","September","October","November","December"}, 0),1)</f>
        <v>42948</v>
      </c>
      <c r="FL31" s="2">
        <f>DATE(FL2, MATCH(FL3,{"January","February","March","April","May","June","July","August","September","October","November","December"}, 0),1)</f>
        <v>42948</v>
      </c>
      <c r="FM31" s="2">
        <f>DATE(FM2, MATCH(FM3,{"January","February","March","April","May","June","July","August","September","October","November","December"}, 0),1)</f>
        <v>42948</v>
      </c>
      <c r="FN31" s="2">
        <f>DATE(FN2, MATCH(FN3,{"January","February","March","April","May","June","July","August","September","October","November","December"}, 0),1)</f>
        <v>42979</v>
      </c>
      <c r="FO31" s="2">
        <f>DATE(FO2, MATCH(FO3,{"January","February","March","April","May","June","July","August","September","October","November","December"}, 0),1)</f>
        <v>42979</v>
      </c>
      <c r="FP31" s="2">
        <f>DATE(FP2, MATCH(FP3,{"January","February","March","April","May","June","July","August","September","October","November","December"}, 0),1)</f>
        <v>42979</v>
      </c>
      <c r="FQ31" s="2">
        <f>DATE(FQ2, MATCH(FQ3,{"January","February","March","April","May","June","July","August","September","October","November","December"}, 0),1)</f>
        <v>43009</v>
      </c>
      <c r="FR31" s="2">
        <f>DATE(FR2, MATCH(FR3,{"January","February","March","April","May","June","July","August","September","October","November","December"}, 0),1)</f>
        <v>43009</v>
      </c>
      <c r="FS31" s="2">
        <f>DATE(FS2, MATCH(FS3,{"January","February","March","April","May","June","July","August","September","October","November","December"}, 0),1)</f>
        <v>43009</v>
      </c>
      <c r="FT31" s="2">
        <f>DATE(FT2, MATCH(FT3,{"January","February","March","April","May","June","July","August","September","October","November","December"}, 0),1)</f>
        <v>43040</v>
      </c>
      <c r="FU31" s="2">
        <f>DATE(FU2, MATCH(FU3,{"January","February","March","April","May","June","July","August","September","October","November","December"}, 0),1)</f>
        <v>43040</v>
      </c>
      <c r="FV31" s="2">
        <f>DATE(FV2, MATCH(FV3,{"January","February","March","April","May","June","July","August","September","October","November","December"}, 0),1)</f>
        <v>43040</v>
      </c>
      <c r="FW31" s="2">
        <f>DATE(FW2, MATCH(FW3,{"January","February","March","April","May","June","July","August","September","October","November","December"}, 0),1)</f>
        <v>43070</v>
      </c>
      <c r="FX31" s="2">
        <f>DATE(FX2, MATCH(FX3,{"January","February","March","April","May","June","July","August","September","October","November","December"}, 0),1)</f>
        <v>43070</v>
      </c>
      <c r="FY31" s="2">
        <f>DATE(FY2, MATCH(FY3,{"January","February","March","April","May","June","July","August","September","October","November","December"}, 0),1)</f>
        <v>43070</v>
      </c>
      <c r="FZ31" s="2">
        <f>DATE(FZ2, MATCH(FZ3,{"January","February","March","April","May","June","July","August","September","October","November","December"}, 0),1)</f>
        <v>43101</v>
      </c>
      <c r="GA31" s="2">
        <f>DATE(GA2, MATCH(GA3,{"January","February","March","April","May","June","July","August","September","October","November","December"}, 0),1)</f>
        <v>43101</v>
      </c>
      <c r="GB31" s="2">
        <f>DATE(GB2, MATCH(GB3,{"January","February","March","April","May","June","July","August","September","October","November","December"}, 0),1)</f>
        <v>43101</v>
      </c>
      <c r="GC31" s="2">
        <f>DATE(GC2, MATCH(GC3,{"January","February","March","April","May","June","July","August","September","October","November","December"}, 0),1)</f>
        <v>43132</v>
      </c>
      <c r="GD31" s="2">
        <f>DATE(GD2, MATCH(GD3,{"January","February","March","April","May","June","July","August","September","October","November","December"}, 0),1)</f>
        <v>43132</v>
      </c>
      <c r="GE31" s="2">
        <f>DATE(GE2, MATCH(GE3,{"January","February","March","April","May","June","July","August","September","October","November","December"}, 0),1)</f>
        <v>43132</v>
      </c>
      <c r="GF31" s="2">
        <f>DATE(GF2, MATCH(GF3,{"January","February","March","April","May","June","July","August","September","October","November","December"}, 0),1)</f>
        <v>43160</v>
      </c>
      <c r="GG31" s="2">
        <f>DATE(GG2, MATCH(GG3,{"January","February","March","April","May","June","July","August","September","October","November","December"}, 0),1)</f>
        <v>43160</v>
      </c>
      <c r="GH31" s="2">
        <f>DATE(GH2, MATCH(GH3,{"January","February","March","April","May","June","July","August","September","October","November","December"}, 0),1)</f>
        <v>43160</v>
      </c>
      <c r="GI31" s="2">
        <f>DATE(GI2, MATCH(GI3,{"January","February","March","April","May","June","July","August","September","October","November","December"}, 0),1)</f>
        <v>43191</v>
      </c>
      <c r="GJ31" s="2">
        <f>DATE(GJ2, MATCH(GJ3,{"January","February","March","April","May","June","July","August","September","October","November","December"}, 0),1)</f>
        <v>43191</v>
      </c>
      <c r="GK31" s="2">
        <f>DATE(GK2, MATCH(GK3,{"January","February","March","April","May","June","July","August","September","October","November","December"}, 0),1)</f>
        <v>43191</v>
      </c>
      <c r="GL31" s="2">
        <f>DATE(GL2, MATCH(GL3,{"January","February","March","April","May","June","July","August","September","October","November","December"}, 0),1)</f>
        <v>43221</v>
      </c>
      <c r="GM31" s="2">
        <f>DATE(GM2, MATCH(GM3,{"January","February","March","April","May","June","July","August","September","October","November","December"}, 0),1)</f>
        <v>43221</v>
      </c>
      <c r="GN31" s="2">
        <f>DATE(GN2, MATCH(GN3,{"January","February","March","April","May","June","July","August","September","October","November","December"}, 0),1)</f>
        <v>43221</v>
      </c>
      <c r="GO31" s="2">
        <f>DATE(GO2, MATCH(GO3,{"January","February","March","April","May","June","July","August","September","October","November","December"}, 0),1)</f>
        <v>43252</v>
      </c>
      <c r="GP31" s="2">
        <f>DATE(GP2, MATCH(GP3,{"January","February","March","April","May","June","July","August","September","October","November","December"}, 0),1)</f>
        <v>43252</v>
      </c>
      <c r="GQ31" s="2">
        <f>DATE(GQ2, MATCH(GQ3,{"January","February","March","April","May","June","July","August","September","October","November","December"}, 0),1)</f>
        <v>43252</v>
      </c>
      <c r="GR31" s="2">
        <f>DATE(GR2, MATCH(GR3,{"January","February","March","April","May","June","July","August","September","October","November","December"}, 0),1)</f>
        <v>43282</v>
      </c>
      <c r="GS31" s="2">
        <f>DATE(GS2, MATCH(GS3,{"January","February","March","April","May","June","July","August","September","October","November","December"}, 0),1)</f>
        <v>43282</v>
      </c>
      <c r="GT31" s="2">
        <f>DATE(GT2, MATCH(GT3,{"January","February","March","April","May","June","July","August","September","October","November","December"}, 0),1)</f>
        <v>43282</v>
      </c>
      <c r="GU31" s="2">
        <f>DATE(GU2, MATCH(GU3,{"January","February","March","April","May","June","July","August","September","October","November","December"}, 0),1)</f>
        <v>43313</v>
      </c>
      <c r="GV31" s="2">
        <f>DATE(GV2, MATCH(GV3,{"January","February","March","April","May","June","July","August","September","October","November","December"}, 0),1)</f>
        <v>43313</v>
      </c>
      <c r="GW31" s="2">
        <f>DATE(GW2, MATCH(GW3,{"January","February","March","April","May","June","July","August","September","October","November","December"}, 0),1)</f>
        <v>43313</v>
      </c>
      <c r="GX31" s="2">
        <f>DATE(GX2, MATCH(GX3,{"January","February","March","April","May","June","July","August","September","October","November","December"}, 0),1)</f>
        <v>43344</v>
      </c>
      <c r="GY31" s="2">
        <f>DATE(GY2, MATCH(GY3,{"January","February","March","April","May","June","July","August","September","October","November","December"}, 0),1)</f>
        <v>43344</v>
      </c>
      <c r="GZ31" s="2">
        <f>DATE(GZ2, MATCH(GZ3,{"January","February","March","April","May","June","July","August","September","October","November","December"}, 0),1)</f>
        <v>43344</v>
      </c>
      <c r="HA31" s="2">
        <f>DATE(HA2, MATCH(HA3,{"January","February","March","April","May","June","July","August","September","October","November","December"}, 0),1)</f>
        <v>43374</v>
      </c>
      <c r="HB31" s="2">
        <f>DATE(HB2, MATCH(HB3,{"January","February","March","April","May","June","July","August","September","October","November","December"}, 0),1)</f>
        <v>43374</v>
      </c>
      <c r="HC31" s="2">
        <f>DATE(HC2, MATCH(HC3,{"January","February","March","April","May","June","July","August","September","October","November","December"}, 0),1)</f>
        <v>43374</v>
      </c>
      <c r="HD31" s="2">
        <f>DATE(HD2, MATCH(HD3,{"January","February","March","April","May","June","July","August","September","October","November","December"}, 0),1)</f>
        <v>43405</v>
      </c>
      <c r="HE31" s="2">
        <f>DATE(HE2, MATCH(HE3,{"January","February","March","April","May","June","July","August","September","October","November","December"}, 0),1)</f>
        <v>43405</v>
      </c>
      <c r="HF31" s="2">
        <f>DATE(HF2, MATCH(HF3,{"January","February","March","April","May","June","July","August","September","October","November","December"}, 0),1)</f>
        <v>43405</v>
      </c>
      <c r="HG31" s="2">
        <f>DATE(HG2, MATCH(HG3,{"January","February","March","April","May","June","July","August","September","October","November","December"}, 0),1)</f>
        <v>43435</v>
      </c>
      <c r="HH31" s="2">
        <f>DATE(HH2, MATCH(HH3,{"January","February","March","April","May","June","July","August","September","October","November","December"}, 0),1)</f>
        <v>43435</v>
      </c>
      <c r="HI31" s="2">
        <f>DATE(HI2, MATCH(HI3,{"January","February","March","April","May","June","July","August","September","October","November","December"}, 0),1)</f>
        <v>43435</v>
      </c>
      <c r="HJ31" s="2">
        <f>DATE(HJ2, MATCH(HJ3,{"January","February","March","April","May","June","July","August","September","October","November","December"}, 0),1)</f>
        <v>43466</v>
      </c>
      <c r="HK31" s="2">
        <f>DATE(HK2, MATCH(HK3,{"January","February","March","April","May","June","July","August","September","October","November","December"}, 0),1)</f>
        <v>43466</v>
      </c>
      <c r="HL31" s="2">
        <f>DATE(HL2, MATCH(HL3,{"January","February","March","April","May","June","July","August","September","October","November","December"}, 0),1)</f>
        <v>43466</v>
      </c>
      <c r="HM31" s="2">
        <f>DATE(HM2, MATCH(HM3,{"January","February","March","April","May","June","July","August","September","October","November","December"}, 0),1)</f>
        <v>43497</v>
      </c>
      <c r="HN31" s="2">
        <f>DATE(HN2, MATCH(HN3,{"January","February","March","April","May","June","July","August","September","October","November","December"}, 0),1)</f>
        <v>43497</v>
      </c>
      <c r="HO31" s="2">
        <f>DATE(HO2, MATCH(HO3,{"January","February","March","April","May","June","July","August","September","October","November","December"}, 0),1)</f>
        <v>43497</v>
      </c>
      <c r="HP31" s="2">
        <f>DATE(HP2, MATCH(HP3,{"January","February","March","April","May","June","July","August","September","October","November","December"}, 0),1)</f>
        <v>43525</v>
      </c>
      <c r="HQ31" s="2">
        <f>DATE(HQ2, MATCH(HQ3,{"January","February","March","April","May","June","July","August","September","October","November","December"}, 0),1)</f>
        <v>43525</v>
      </c>
      <c r="HR31" s="2">
        <f>DATE(HR2, MATCH(HR3,{"January","February","March","April","May","June","July","August","September","October","November","December"}, 0),1)</f>
        <v>43525</v>
      </c>
      <c r="HS31" s="2">
        <f>DATE(HS2, MATCH(HS3,{"January","February","March","April","May","June","July","August","September","October","November","December"}, 0),1)</f>
        <v>43586</v>
      </c>
      <c r="HT31" s="2">
        <f>DATE(HT2, MATCH(HT3,{"January","February","March","April","May","June","July","August","September","October","November","December"}, 0),1)</f>
        <v>43586</v>
      </c>
      <c r="HU31" s="2">
        <f>DATE(HU2, MATCH(HU3,{"January","February","March","April","May","June","July","August","September","October","November","December"}, 0),1)</f>
        <v>43586</v>
      </c>
      <c r="HV31" s="2">
        <f>DATE(HV2, MATCH(HV3,{"January","February","March","April","May","June","July","August","September","October","November","December"}, 0),1)</f>
        <v>43617</v>
      </c>
      <c r="HW31" s="2">
        <f>DATE(HW2, MATCH(HW3,{"January","February","March","April","May","June","July","August","September","October","November","December"}, 0),1)</f>
        <v>43617</v>
      </c>
      <c r="HX31" s="2">
        <f>DATE(HX2, MATCH(HX3,{"January","February","March","April","May","June","July","August","September","October","November","December"}, 0),1)</f>
        <v>43617</v>
      </c>
      <c r="HY31" s="2">
        <f>DATE(HY2, MATCH(HY3,{"January","February","March","April","May","June","July","August","September","October","November","December"}, 0),1)</f>
        <v>43647</v>
      </c>
      <c r="HZ31" s="2">
        <f>DATE(HZ2, MATCH(HZ3,{"January","February","March","April","May","June","July","August","September","October","November","December"}, 0),1)</f>
        <v>43647</v>
      </c>
      <c r="IA31" s="2">
        <f>DATE(IA2, MATCH(IA3,{"January","February","March","April","May","June","July","August","September","October","November","December"}, 0),1)</f>
        <v>43647</v>
      </c>
      <c r="IB31" s="2">
        <f>DATE(IB2, MATCH(IB3,{"January","February","March","April","May","June","July","August","September","October","November","December"}, 0),1)</f>
        <v>43678</v>
      </c>
      <c r="IC31" s="2">
        <f>DATE(IC2, MATCH(IC3,{"January","February","March","April","May","June","July","August","September","October","November","December"}, 0),1)</f>
        <v>43678</v>
      </c>
      <c r="ID31" s="2">
        <f>DATE(ID2, MATCH(ID3,{"January","February","March","April","May","June","July","August","September","October","November","December"}, 0),1)</f>
        <v>43678</v>
      </c>
      <c r="IE31" s="2">
        <f>DATE(IE2, MATCH(IE3,{"January","February","March","April","May","June","July","August","September","October","November","December"}, 0),1)</f>
        <v>43709</v>
      </c>
      <c r="IF31" s="2">
        <f>DATE(IF2, MATCH(IF3,{"January","February","March","April","May","June","July","August","September","October","November","December"}, 0),1)</f>
        <v>43709</v>
      </c>
      <c r="IG31" s="2">
        <f>DATE(IG2, MATCH(IG3,{"January","February","March","April","May","June","July","August","September","October","November","December"}, 0),1)</f>
        <v>43709</v>
      </c>
      <c r="IH31" s="2">
        <f>DATE(IH2, MATCH(IH3,{"January","February","March","April","May","June","July","August","September","October","November","December"}, 0),1)</f>
        <v>43739</v>
      </c>
      <c r="II31" s="2">
        <f>DATE(II2, MATCH(II3,{"January","February","March","April","May","June","July","August","September","October","November","December"}, 0),1)</f>
        <v>43739</v>
      </c>
      <c r="IJ31" s="2">
        <f>DATE(IJ2, MATCH(IJ3,{"January","February","March","April","May","June","July","August","September","October","November","December"}, 0),1)</f>
        <v>43739</v>
      </c>
      <c r="IK31" s="2">
        <f>DATE(IK2, MATCH(IK3,{"January","February","March","April","May","June","July","August","September","October","November","December"}, 0),1)</f>
        <v>43770</v>
      </c>
      <c r="IL31" s="2">
        <f>DATE(IL2, MATCH(IL3,{"January","February","March","April","May","June","July","August","September","October","November","December"}, 0),1)</f>
        <v>43770</v>
      </c>
      <c r="IM31" s="2">
        <f>DATE(IM2, MATCH(IM3,{"January","February","March","April","May","June","July","August","September","October","November","December"}, 0),1)</f>
        <v>43770</v>
      </c>
      <c r="IN31" s="2">
        <f>DATE(IN2, MATCH(IN3,{"January","February","March","April","May","June","July","August","September","October","November","December"}, 0),1)</f>
        <v>43800</v>
      </c>
      <c r="IO31" s="2">
        <f>DATE(IO2, MATCH(IO3,{"January","February","March","April","May","June","July","August","September","October","November","December"}, 0),1)</f>
        <v>43800</v>
      </c>
      <c r="IP31" s="2">
        <f>DATE(IP2, MATCH(IP3,{"January","February","March","April","May","June","July","August","September","October","November","December"}, 0),1)</f>
        <v>43800</v>
      </c>
      <c r="IQ31" s="2">
        <f>DATE(IQ2, MATCH(IQ3,{"January","February","March","April","May","June","July","August","September","October","November","December"}, 0),1)</f>
        <v>43831</v>
      </c>
      <c r="IR31" s="2">
        <f>DATE(IR2, MATCH(IR3,{"January","February","March","April","May","June","July","August","September","October","November","December"}, 0),1)</f>
        <v>43831</v>
      </c>
      <c r="IS31" s="2">
        <f>DATE(IS2, MATCH(IS3,{"January","February","March","April","May","June","July","August","September","October","November","December"}, 0),1)</f>
        <v>43831</v>
      </c>
      <c r="IT31" s="2">
        <f>DATE(IT2, MATCH(IT3,{"January","February","March","April","May","June","July","August","September","October","November","December"}, 0),1)</f>
        <v>43862</v>
      </c>
      <c r="IU31" s="2">
        <f>DATE(IU2, MATCH(IU3,{"January","February","March","April","May","June","July","August","September","October","November","December"}, 0),1)</f>
        <v>43862</v>
      </c>
      <c r="IV31" s="2">
        <f>DATE(IV2, MATCH(IV3,{"January","February","March","April","May","June","July","August","September","October","November","December"}, 0),1)</f>
        <v>43862</v>
      </c>
      <c r="IW31" s="2">
        <f>DATE(IW2, MATCH(IW3,{"January","February","March","April","May","June","July","August","September","October","November","December"}, 0),1)</f>
        <v>43891</v>
      </c>
      <c r="IX31" s="2">
        <f>DATE(IX2, MATCH(IX3,{"January","February","March","April","May","June","July","August","September","October","November","December"}, 0),1)</f>
        <v>43891</v>
      </c>
      <c r="IY31" s="2">
        <f>DATE(IY2, MATCH(IY3,{"January","February","March","April","May","June","July","August","September","October","November","December"}, 0),1)</f>
        <v>43891</v>
      </c>
      <c r="IZ31" s="2">
        <f>DATE(IZ2, MATCH(IZ3,{"January","February","March","April","May","June","July","August","September","October","November","December"}, 0),1)</f>
        <v>43922</v>
      </c>
      <c r="JA31" s="2">
        <f>DATE(JA2, MATCH(JA3,{"January","February","March","April","May","June","July","August","September","October","November","December"}, 0),1)</f>
        <v>43922</v>
      </c>
      <c r="JB31" s="2">
        <f>DATE(JB2, MATCH(JB3,{"January","February","March","April","May","June","July","August","September","October","November","December"}, 0),1)</f>
        <v>43922</v>
      </c>
      <c r="JC31" s="2">
        <f>DATE(JC2, MATCH(JC3,{"January","February","March","April","May","June","July","August","September","October","November","December"}, 0),1)</f>
        <v>43952</v>
      </c>
      <c r="JD31" s="2">
        <f>DATE(JD2, MATCH(JD3,{"January","February","March","April","May","June","July","August","September","October","November","December"}, 0),1)</f>
        <v>43952</v>
      </c>
      <c r="JE31" s="2">
        <f>DATE(JE2, MATCH(JE3,{"January","February","March","April","May","June","July","August","September","October","November","December"}, 0),1)</f>
        <v>43952</v>
      </c>
      <c r="JF31" s="2">
        <f>DATE(JF2, MATCH(JF3,{"January","February","March","April","May","June","July","August","September","October","November","December"}, 0),1)</f>
        <v>43983</v>
      </c>
      <c r="JG31" s="2">
        <f>DATE(JG2, MATCH(JG3,{"January","February","March","April","May","June","July","August","September","October","November","December"}, 0),1)</f>
        <v>43983</v>
      </c>
      <c r="JH31" s="2">
        <f>DATE(JH2, MATCH(JH3,{"January","February","March","April","May","June","July","August","September","October","November","December"}, 0),1)</f>
        <v>43983</v>
      </c>
      <c r="JI31" s="2">
        <f>DATE(JI2, MATCH(JI3,{"January","February","March","April","May","June","July","August","September","October","November","December"}, 0),1)</f>
        <v>44013</v>
      </c>
      <c r="JJ31" s="2">
        <f>DATE(JJ2, MATCH(JJ3,{"January","February","March","April","May","June","July","August","September","October","November","December"}, 0),1)</f>
        <v>44013</v>
      </c>
      <c r="JK31" s="2">
        <f>DATE(JK2, MATCH(JK3,{"January","February","March","April","May","June","July","August","September","October","November","December"}, 0),1)</f>
        <v>44013</v>
      </c>
      <c r="JL31" s="2">
        <f>DATE(JL2, MATCH(JL3,{"January","February","March","April","May","June","July","August","September","October","November","December"}, 0),1)</f>
        <v>44044</v>
      </c>
      <c r="JM31" s="2">
        <f>DATE(JM2, MATCH(JM3,{"January","February","March","April","May","June","July","August","September","October","November","December"}, 0),1)</f>
        <v>44044</v>
      </c>
      <c r="JN31" s="2">
        <f>DATE(JN2, MATCH(JN3,{"January","February","March","April","May","June","July","August","September","October","November","December"}, 0),1)</f>
        <v>44044</v>
      </c>
      <c r="JO31" s="2">
        <f>DATE(JO2, MATCH(JO3,{"January","February","March","April","May","June","July","August","September","October","November","December"}, 0),1)</f>
        <v>44075</v>
      </c>
      <c r="JP31" s="2">
        <f>DATE(JP2, MATCH(JP3,{"January","February","March","April","May","June","July","August","September","October","November","December"}, 0),1)</f>
        <v>44075</v>
      </c>
      <c r="JQ31" s="2">
        <f>DATE(JQ2, MATCH(JQ3,{"January","February","March","April","May","June","July","August","September","October","November","December"}, 0),1)</f>
        <v>44075</v>
      </c>
      <c r="JR31" s="2">
        <f>DATE(JR2, MATCH(JR3,{"January","February","March","April","May","June","July","August","September","October","November","December"}, 0),1)</f>
        <v>44105</v>
      </c>
      <c r="JS31" s="2">
        <f>DATE(JS2, MATCH(JS3,{"January","February","March","April","May","June","July","August","September","October","November","December"}, 0),1)</f>
        <v>44105</v>
      </c>
      <c r="JT31" s="2">
        <f>DATE(JT2, MATCH(JT3,{"January","February","March","April","May","June","July","August","September","October","November","December"}, 0),1)</f>
        <v>44105</v>
      </c>
      <c r="JU31" s="2">
        <f>DATE(JU2, MATCH(JU3,{"January","February","March","April","May","June","July","August","September","October","November","December"}, 0),1)</f>
        <v>44136</v>
      </c>
      <c r="JV31" s="2">
        <f>DATE(JV2, MATCH(JV3,{"January","February","March","April","May","June","July","August","September","October","November","December"}, 0),1)</f>
        <v>44136</v>
      </c>
      <c r="JW31" s="2">
        <f>DATE(JW2, MATCH(JW3,{"January","February","March","April","May","June","July","August","September","October","November","December"}, 0),1)</f>
        <v>44136</v>
      </c>
      <c r="JX31" s="2">
        <f>DATE(JX2, MATCH(JX3,{"January","February","March","April","May","June","July","August","September","October","November","December"}, 0),1)</f>
        <v>44166</v>
      </c>
      <c r="JY31" s="2">
        <f>DATE(JY2, MATCH(JY3,{"January","February","March","April","May","June","July","August","September","October","November","December"}, 0),1)</f>
        <v>44166</v>
      </c>
      <c r="JZ31" s="2">
        <f>DATE(JZ2, MATCH(JZ3,{"January","February","March","April","May","June","July","August","September","October","November","December"}, 0),1)</f>
        <v>44166</v>
      </c>
      <c r="KA31" s="2">
        <f>DATE(KA2, MATCH(KA3,{"January","February","March","April","May","June","July","August","September","October","November","December"}, 0),1)</f>
        <v>44197</v>
      </c>
      <c r="KB31" s="2">
        <f>DATE(KB2, MATCH(KB3,{"January","February","March","April","May","June","July","August","September","October","November","December"}, 0),1)</f>
        <v>44197</v>
      </c>
      <c r="KC31" s="2">
        <f>DATE(KC2, MATCH(KC3,{"January","February","March","April","May","June","July","August","September","October","November","December"}, 0),1)</f>
        <v>44197</v>
      </c>
      <c r="KD31" s="2">
        <f>DATE(KD2, MATCH(KD3,{"January","February","March","April","May","June","July","August","September","October","November","December"}, 0),1)</f>
        <v>44228</v>
      </c>
      <c r="KE31" s="2">
        <f>DATE(KE2, MATCH(KE3,{"January","February","March","April","May","June","July","August","September","October","November","December"}, 0),1)</f>
        <v>44228</v>
      </c>
      <c r="KF31" s="2">
        <f>DATE(KF2, MATCH(KF3,{"January","February","March","April","May","June","July","August","September","October","November","December"}, 0),1)</f>
        <v>44228</v>
      </c>
      <c r="KG31" s="2">
        <f>DATE(KG2, MATCH(KG3,{"January","February","March","April","May","June","July","August","September","October","November","December"}, 0),1)</f>
        <v>44256</v>
      </c>
      <c r="KH31" s="2">
        <f>DATE(KH2, MATCH(KH3,{"January","February","March","April","May","June","July","August","September","October","November","December"}, 0),1)</f>
        <v>44256</v>
      </c>
      <c r="KI31" s="2">
        <f>DATE(KI2, MATCH(KI3,{"January","February","March","April","May","June","July","August","September","October","November","December"}, 0),1)</f>
        <v>44256</v>
      </c>
      <c r="KJ31" s="2">
        <f>DATE(KJ2, MATCH(KJ3,{"January","February","March","April","May","June","July","August","September","October","November","December"}, 0),1)</f>
        <v>44287</v>
      </c>
      <c r="KK31" s="2">
        <f>DATE(KK2, MATCH(KK3,{"January","February","March","April","May","June","July","August","September","October","November","December"}, 0),1)</f>
        <v>44287</v>
      </c>
      <c r="KL31" s="2">
        <f>DATE(KL2, MATCH(KL3,{"January","February","March","April","May","June","July","August","September","October","November","December"}, 0),1)</f>
        <v>44287</v>
      </c>
      <c r="KM31" s="2">
        <f>DATE(KM2, MATCH(KM3,{"January","February","March","April","May","June","July","August","September","October","November","December"}, 0),1)</f>
        <v>44317</v>
      </c>
      <c r="KN31" s="2">
        <f>DATE(KN2, MATCH(KN3,{"January","February","March","April","May","June","July","August","September","October","November","December"}, 0),1)</f>
        <v>44317</v>
      </c>
      <c r="KO31" s="2">
        <f>DATE(KO2, MATCH(KO3,{"January","February","March","April","May","June","July","August","September","October","November","December"}, 0),1)</f>
        <v>44317</v>
      </c>
      <c r="KP31" s="2">
        <f>DATE(KP2, MATCH(KP3,{"January","February","March","April","May","June","July","August","September","October","November","December"}, 0),1)</f>
        <v>44348</v>
      </c>
      <c r="KQ31" s="2">
        <f>DATE(KQ2, MATCH(KQ3,{"January","February","March","April","May","June","July","August","September","October","November","December"}, 0),1)</f>
        <v>44348</v>
      </c>
      <c r="KR31" s="2">
        <f>DATE(KR2, MATCH(KR3,{"January","February","March","April","May","June","July","August","September","October","November","December"}, 0),1)</f>
        <v>44348</v>
      </c>
      <c r="KS31" s="2">
        <f>DATE(KS2, MATCH(KS3,{"January","February","March","April","May","June","July","August","September","October","November","December"}, 0),1)</f>
        <v>44378</v>
      </c>
      <c r="KT31" s="2">
        <f>DATE(KT2, MATCH(KT3,{"January","February","March","April","May","June","July","August","September","October","November","December"}, 0),1)</f>
        <v>44378</v>
      </c>
      <c r="KU31" s="2">
        <f>DATE(KU2, MATCH(KU3,{"January","February","March","April","May","June","July","August","September","October","November","December"}, 0),1)</f>
        <v>44378</v>
      </c>
      <c r="KV31" s="2">
        <f>DATE(KV2, MATCH(KV3,{"January","February","March","April","May","June","July","August","September","October","November","December"}, 0),1)</f>
        <v>44409</v>
      </c>
      <c r="KW31" s="2">
        <f>DATE(KW2, MATCH(KW3,{"January","February","March","April","May","June","July","August","September","October","November","December"}, 0),1)</f>
        <v>44409</v>
      </c>
      <c r="KX31" s="2">
        <f>DATE(KX2, MATCH(KX3,{"January","February","March","April","May","June","July","August","September","October","November","December"}, 0),1)</f>
        <v>44409</v>
      </c>
      <c r="KY31" s="2">
        <f>DATE(KY2, MATCH(KY3,{"January","February","March","April","May","June","July","August","September","October","November","December"}, 0),1)</f>
        <v>44440</v>
      </c>
      <c r="KZ31" s="2">
        <f>DATE(KZ2, MATCH(KZ3,{"January","February","March","April","May","June","July","August","September","October","November","December"}, 0),1)</f>
        <v>44440</v>
      </c>
      <c r="LA31" s="2">
        <f>DATE(LA2, MATCH(LA3,{"January","February","March","April","May","June","July","August","September","October","November","December"}, 0),1)</f>
        <v>44440</v>
      </c>
      <c r="LB31" s="2">
        <f>DATE(LB2, MATCH(LB3,{"January","February","March","April","May","June","July","August","September","October","November","December"}, 0),1)</f>
        <v>44470</v>
      </c>
      <c r="LC31" s="2">
        <f>DATE(LC2, MATCH(LC3,{"January","February","March","April","May","June","July","August","September","October","November","December"}, 0),1)</f>
        <v>44470</v>
      </c>
      <c r="LD31" s="2">
        <f>DATE(LD2, MATCH(LD3,{"January","February","March","April","May","June","July","August","September","October","November","December"}, 0),1)</f>
        <v>44470</v>
      </c>
      <c r="LE31" s="2">
        <f>DATE(LE2, MATCH(LE3,{"January","February","March","April","May","June","July","August","September","October","November","December"}, 0),1)</f>
        <v>44501</v>
      </c>
      <c r="LF31" s="2">
        <f>DATE(LF2, MATCH(LF3,{"January","February","March","April","May","June","July","August","September","October","November","December"}, 0),1)</f>
        <v>44501</v>
      </c>
      <c r="LG31" s="2">
        <f>DATE(LG2, MATCH(LG3,{"January","February","March","April","May","June","July","August","September","October","November","December"}, 0),1)</f>
        <v>44501</v>
      </c>
      <c r="LH31" s="2">
        <f>DATE(LH2, MATCH(LH3,{"January","February","March","April","May","June","July","August","September","October","November","December"}, 0),1)</f>
        <v>44531</v>
      </c>
      <c r="LI31" s="2">
        <f>DATE(LI2, MATCH(LI3,{"January","February","March","April","May","June","July","August","September","October","November","December"}, 0),1)</f>
        <v>44531</v>
      </c>
      <c r="LJ31" s="2">
        <f>DATE(LJ2, MATCH(LJ3,{"January","February","March","April","May","June","July","August","September","October","November","December"}, 0),1)</f>
        <v>44531</v>
      </c>
      <c r="LK31" s="2">
        <f>DATE(LK2, MATCH(LK3,{"January","February","March","April","May","June","July","August","September","October","November","December"}, 0),1)</f>
        <v>44562</v>
      </c>
      <c r="LL31" s="2">
        <f>DATE(LL2, MATCH(LL3,{"January","February","March","April","May","June","July","August","September","October","November","December"}, 0),1)</f>
        <v>44562</v>
      </c>
      <c r="LM31" s="2">
        <f>DATE(LM2, MATCH(LM3,{"January","February","March","April","May","June","July","August","September","October","November","December"}, 0),1)</f>
        <v>44562</v>
      </c>
      <c r="LN31" s="2">
        <f>DATE(LN2, MATCH(LN3,{"January","February","March","April","May","June","July","August","September","October","November","December"}, 0),1)</f>
        <v>44593</v>
      </c>
      <c r="LO31" s="2">
        <f>DATE(LO2, MATCH(LO3,{"January","February","March","April","May","June","July","August","September","October","November","December"}, 0),1)</f>
        <v>44593</v>
      </c>
      <c r="LP31" s="2">
        <f>DATE(LP2, MATCH(LP3,{"January","February","March","April","May","June","July","August","September","October","November","December"}, 0),1)</f>
        <v>44593</v>
      </c>
      <c r="LQ31" s="2">
        <f>DATE(LQ2, MATCH(LQ3,{"January","February","March","April","May","June","July","August","September","October","November","December"}, 0),1)</f>
        <v>44621</v>
      </c>
      <c r="LR31" s="2">
        <f>DATE(LR2, MATCH(LR3,{"January","February","March","April","May","June","July","August","September","October","November","December"}, 0),1)</f>
        <v>44621</v>
      </c>
      <c r="LS31" s="2">
        <f>DATE(LS2, MATCH(LS3,{"January","February","March","April","May","June","July","August","September","October","November","December"}, 0),1)</f>
        <v>44621</v>
      </c>
      <c r="LT31" s="2">
        <f>DATE(LT2, MATCH(LT3,{"January","February","March","April","May","June","July","August","September","October","November","December"}, 0),1)</f>
        <v>44652</v>
      </c>
      <c r="LU31" s="2">
        <f>DATE(LU2, MATCH(LU3,{"January","February","March","April","May","June","July","August","September","October","November","December"}, 0),1)</f>
        <v>44652</v>
      </c>
      <c r="LV31" s="2">
        <f>DATE(LV2, MATCH(LV3,{"January","February","March","April","May","June","July","August","September","October","November","December"}, 0),1)</f>
        <v>44652</v>
      </c>
      <c r="LW31" s="2">
        <f>DATE(LW2, MATCH(LW3,{"January","February","March","April","May","June","July","August","September","October","November","December"}, 0),1)</f>
        <v>44682</v>
      </c>
      <c r="LX31" s="2">
        <f>DATE(LX2, MATCH(LX3,{"January","February","March","April","May","June","July","August","September","October","November","December"}, 0),1)</f>
        <v>44682</v>
      </c>
      <c r="LY31" s="2">
        <f>DATE(LY2, MATCH(LY3,{"January","February","March","April","May","June","July","August","September","October","November","December"}, 0),1)</f>
        <v>44682</v>
      </c>
      <c r="LZ31" s="2">
        <f>DATE(LZ2, MATCH(LZ3,{"January","February","March","April","May","June","July","August","September","October","November","December"}, 0),1)</f>
        <v>44713</v>
      </c>
      <c r="MA31" s="2">
        <f>DATE(MA2, MATCH(MA3,{"January","February","March","April","May","June","July","August","September","October","November","December"}, 0),1)</f>
        <v>44713</v>
      </c>
      <c r="MB31" s="2">
        <f>DATE(MB2, MATCH(MB3,{"January","February","March","April","May","June","July","August","September","October","November","December"}, 0),1)</f>
        <v>44713</v>
      </c>
      <c r="MC31" s="2">
        <f>DATE(MC2, MATCH(MC3,{"January","February","March","April","May","June","July","August","September","October","November","December"}, 0),1)</f>
        <v>44743</v>
      </c>
      <c r="MD31" s="2">
        <f>DATE(MD2, MATCH(MD3,{"January","February","March","April","May","June","July","August","September","October","November","December"}, 0),1)</f>
        <v>44743</v>
      </c>
      <c r="ME31" s="2">
        <f>DATE(ME2, MATCH(ME3,{"January","February","March","April","May","June","July","August","September","October","November","December"}, 0),1)</f>
        <v>44743</v>
      </c>
      <c r="MF31" s="2">
        <f>DATE(MF2, MATCH(MF3,{"January","February","March","April","May","June","July","August","September","October","November","December"}, 0),1)</f>
        <v>44774</v>
      </c>
      <c r="MG31" s="2">
        <f>DATE(MG2, MATCH(MG3,{"January","February","March","April","May","June","July","August","September","October","November","December"}, 0),1)</f>
        <v>44774</v>
      </c>
      <c r="MH31" s="2">
        <f>DATE(MH2, MATCH(MH3,{"January","February","March","April","May","June","July","August","September","October","November","December"}, 0),1)</f>
        <v>44774</v>
      </c>
      <c r="MI31" s="2">
        <f>DATE(MI2, MATCH(MI3,{"January","February","March","April","May","June","July","August","September","October","November","December"}, 0),1)</f>
        <v>44805</v>
      </c>
      <c r="MJ31" s="2">
        <f>DATE(MJ2, MATCH(MJ3,{"January","February","March","April","May","June","July","August","September","October","November","December"}, 0),1)</f>
        <v>44805</v>
      </c>
      <c r="MK31" s="2">
        <f>DATE(MK2, MATCH(MK3,{"January","February","March","April","May","June","July","August","September","October","November","December"}, 0),1)</f>
        <v>44805</v>
      </c>
      <c r="ML31" s="2">
        <f>DATE(ML2, MATCH(ML3,{"January","February","March","April","May","June","July","August","September","October","November","December"}, 0),1)</f>
        <v>44835</v>
      </c>
      <c r="MM31" s="2">
        <f>DATE(MM2, MATCH(MM3,{"January","February","March","April","May","June","July","August","September","October","November","December"}, 0),1)</f>
        <v>44835</v>
      </c>
      <c r="MN31" s="2">
        <f>DATE(MN2, MATCH(MN3,{"January","February","March","April","May","June","July","August","September","October","November","December"}, 0),1)</f>
        <v>44835</v>
      </c>
      <c r="MO31" s="2">
        <f>DATE(MO2, MATCH(MO3,{"January","February","March","April","May","June","July","August","September","October","November","December"}, 0),1)</f>
        <v>44866</v>
      </c>
      <c r="MP31" s="2">
        <f>DATE(MP2, MATCH(MP3,{"January","February","March","April","May","June","July","August","September","October","November","December"}, 0),1)</f>
        <v>44866</v>
      </c>
      <c r="MQ31" s="2">
        <f>DATE(MQ2, MATCH(MQ3,{"January","February","March","April","May","June","July","August","September","October","November","December"}, 0),1)</f>
        <v>44866</v>
      </c>
      <c r="MR31" s="2">
        <f>DATE(MR2, MATCH(MR3,{"January","February","March","April","May","June","July","August","September","October","November","December"}, 0),1)</f>
        <v>44896</v>
      </c>
      <c r="MS31" s="2">
        <f>DATE(MS2, MATCH(MS3,{"January","February","March","April","May","June","July","August","September","October","November","December"}, 0),1)</f>
        <v>44896</v>
      </c>
      <c r="MT31" s="2">
        <f>DATE(MT2, MATCH(MT3,{"January","February","March","April","May","June","July","August","September","October","November","December"}, 0),1)</f>
        <v>44896</v>
      </c>
      <c r="MU31" s="2">
        <f>DATE(MU2, MATCH(MU3,{"January","February","March","April","May","June","July","August","September","October","November","December"}, 0),1)</f>
        <v>44927</v>
      </c>
      <c r="MV31" s="2">
        <f>DATE(MV2, MATCH(MV3,{"January","February","March","April","May","June","July","August","September","October","November","December"}, 0),1)</f>
        <v>44927</v>
      </c>
      <c r="MW31" s="2">
        <f>DATE(MW2, MATCH(MW3,{"January","February","March","April","May","June","July","August","September","October","November","December"}, 0),1)</f>
        <v>44927</v>
      </c>
      <c r="MX31" s="2">
        <f>DATE(MX2, MATCH(MX3,{"January","February","March","April","May","June","July","August","September","October","November","December"}, 0),1)</f>
        <v>44958</v>
      </c>
      <c r="MY31" s="2">
        <f>DATE(MY2, MATCH(MY3,{"January","February","March","April","May","June","July","August","September","October","November","December"}, 0),1)</f>
        <v>44958</v>
      </c>
      <c r="MZ31" s="2">
        <f>DATE(MZ2, MATCH(MZ3,{"January","February","March","April","May","June","July","August","September","October","November","December"}, 0),1)</f>
        <v>44958</v>
      </c>
      <c r="NA31" s="2">
        <f>DATE(NA2, MATCH(NA3,{"January","February","March","April","May","June","July","August","September","October","November","December"}, 0),1)</f>
        <v>44986</v>
      </c>
      <c r="NB31" s="2">
        <f>DATE(NB2, MATCH(NB3,{"January","February","March","April","May","June","July","August","September","October","November","December"}, 0),1)</f>
        <v>44986</v>
      </c>
      <c r="NC31" s="2">
        <f>DATE(NC2, MATCH(NC3,{"January","February","March","April","May","June","July","August","September","October","November","December"}, 0),1)</f>
        <v>44986</v>
      </c>
      <c r="ND31" s="2">
        <f>DATE(ND2, MATCH(ND3,{"January","February","March","April","May","June","July","August","September","October","November","December"}, 0),1)</f>
        <v>45017</v>
      </c>
      <c r="NE31" s="2">
        <f>DATE(NE2, MATCH(NE3,{"January","February","March","April","May","June","July","August","September","October","November","December"}, 0),1)</f>
        <v>45017</v>
      </c>
      <c r="NF31" s="2">
        <f>DATE(NF2, MATCH(NF3,{"January","February","March","April","May","June","July","August","September","October","November","December"}, 0),1)</f>
        <v>45017</v>
      </c>
      <c r="NG31" s="2">
        <f>DATE(NG2, MATCH(NG3,{"January","February","March","April","May","June","July","August","September","October","November","December"}, 0),1)</f>
        <v>45047</v>
      </c>
      <c r="NH31" s="2">
        <f>DATE(NH2, MATCH(NH3,{"January","February","March","April","May","June","July","August","September","October","November","December"}, 0),1)</f>
        <v>45047</v>
      </c>
      <c r="NI31" s="2">
        <f>DATE(NI2, MATCH(NI3,{"January","February","March","April","May","June","July","August","September","October","November","December"}, 0),1)</f>
        <v>45047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376A9-9346-42D9-8036-70F2F553F092}">
  <dimension ref="A1:K373"/>
  <sheetViews>
    <sheetView workbookViewId="0">
      <pane ySplit="1" topLeftCell="A2" activePane="bottomLeft" state="frozen"/>
      <selection pane="bottomLeft" activeCell="G14" sqref="G14"/>
    </sheetView>
  </sheetViews>
  <sheetFormatPr defaultRowHeight="14.4" x14ac:dyDescent="0.3"/>
  <cols>
    <col min="1" max="1" width="11.33203125" bestFit="1" customWidth="1"/>
    <col min="2" max="2" width="6.88671875" bestFit="1" customWidth="1"/>
    <col min="3" max="3" width="10" bestFit="1" customWidth="1"/>
    <col min="4" max="4" width="16.6640625" bestFit="1" customWidth="1"/>
    <col min="5" max="5" width="20.33203125" style="9" bestFit="1" customWidth="1"/>
    <col min="6" max="6" width="27.88671875" style="9" bestFit="1" customWidth="1"/>
    <col min="7" max="7" width="22.33203125" style="9" bestFit="1" customWidth="1"/>
    <col min="8" max="8" width="10" style="9" bestFit="1" customWidth="1"/>
    <col min="9" max="9" width="14.44140625" style="9" bestFit="1" customWidth="1"/>
    <col min="10" max="10" width="15.109375" style="9" bestFit="1" customWidth="1"/>
    <col min="11" max="11" width="14.6640625" style="9" bestFit="1" customWidth="1"/>
    <col min="13" max="13" width="15.109375" bestFit="1" customWidth="1"/>
  </cols>
  <sheetData>
    <row r="1" spans="1:11" ht="15" thickBot="1" x14ac:dyDescent="0.35">
      <c r="A1" s="4" t="s">
        <v>0</v>
      </c>
      <c r="B1" s="5" t="s">
        <v>1</v>
      </c>
      <c r="C1" s="5" t="s">
        <v>2</v>
      </c>
      <c r="D1" s="6" t="s">
        <v>49</v>
      </c>
      <c r="E1" s="24" t="s">
        <v>15</v>
      </c>
      <c r="F1" s="24" t="s">
        <v>16</v>
      </c>
      <c r="G1" s="24" t="s">
        <v>19</v>
      </c>
      <c r="H1" s="24" t="s">
        <v>20</v>
      </c>
      <c r="I1" s="24" t="s">
        <v>21</v>
      </c>
      <c r="J1" s="24" t="s">
        <v>28</v>
      </c>
      <c r="K1" s="25" t="s">
        <v>29</v>
      </c>
    </row>
    <row r="2" spans="1:11" x14ac:dyDescent="0.3">
      <c r="A2" t="s">
        <v>30</v>
      </c>
      <c r="B2">
        <v>2013</v>
      </c>
      <c r="C2" t="s">
        <v>31</v>
      </c>
      <c r="D2" s="3">
        <v>41275</v>
      </c>
      <c r="E2" s="9">
        <v>105.5</v>
      </c>
      <c r="F2" s="9">
        <v>105.1</v>
      </c>
      <c r="G2" s="9">
        <v>106.4</v>
      </c>
      <c r="I2" s="9">
        <v>105.5</v>
      </c>
      <c r="J2" s="9">
        <v>104</v>
      </c>
      <c r="K2" s="9">
        <v>105.1</v>
      </c>
    </row>
    <row r="3" spans="1:11" x14ac:dyDescent="0.3">
      <c r="A3" t="s">
        <v>33</v>
      </c>
      <c r="B3">
        <v>2013</v>
      </c>
      <c r="C3" t="s">
        <v>31</v>
      </c>
      <c r="D3" s="3">
        <v>41275</v>
      </c>
      <c r="E3" s="9">
        <v>105.9</v>
      </c>
      <c r="F3" s="9">
        <v>105.2</v>
      </c>
      <c r="G3" s="9">
        <v>105.8</v>
      </c>
      <c r="H3" s="9">
        <v>100.3</v>
      </c>
      <c r="I3" s="9">
        <v>105.4</v>
      </c>
      <c r="J3" s="9">
        <v>103.7</v>
      </c>
      <c r="K3" s="9">
        <v>104</v>
      </c>
    </row>
    <row r="4" spans="1:11" x14ac:dyDescent="0.3">
      <c r="A4" t="s">
        <v>34</v>
      </c>
      <c r="B4">
        <v>2013</v>
      </c>
      <c r="C4" t="s">
        <v>31</v>
      </c>
      <c r="D4" s="3">
        <v>41275</v>
      </c>
      <c r="E4" s="9">
        <v>105.6</v>
      </c>
      <c r="F4" s="9">
        <v>105.1</v>
      </c>
      <c r="G4" s="9">
        <v>106.2</v>
      </c>
      <c r="H4" s="9">
        <v>100.3</v>
      </c>
      <c r="I4" s="9">
        <v>105.5</v>
      </c>
      <c r="J4" s="9">
        <v>103.9</v>
      </c>
      <c r="K4" s="9">
        <v>104.6</v>
      </c>
    </row>
    <row r="5" spans="1:11" x14ac:dyDescent="0.3">
      <c r="A5" t="s">
        <v>30</v>
      </c>
      <c r="B5">
        <v>2013</v>
      </c>
      <c r="C5" t="s">
        <v>35</v>
      </c>
      <c r="D5" s="3">
        <v>41306</v>
      </c>
      <c r="E5" s="9">
        <v>106.3</v>
      </c>
      <c r="F5" s="9">
        <v>105.6</v>
      </c>
      <c r="G5" s="9">
        <v>107</v>
      </c>
      <c r="I5" s="9">
        <v>106.2</v>
      </c>
      <c r="J5" s="9">
        <v>104.4</v>
      </c>
      <c r="K5" s="9">
        <v>105.8</v>
      </c>
    </row>
    <row r="6" spans="1:11" x14ac:dyDescent="0.3">
      <c r="A6" t="s">
        <v>33</v>
      </c>
      <c r="B6">
        <v>2013</v>
      </c>
      <c r="C6" t="s">
        <v>35</v>
      </c>
      <c r="D6" s="3">
        <v>41306</v>
      </c>
      <c r="E6" s="9">
        <v>107.2</v>
      </c>
      <c r="F6" s="9">
        <v>106</v>
      </c>
      <c r="G6" s="9">
        <v>106.4</v>
      </c>
      <c r="H6" s="9">
        <v>100.4</v>
      </c>
      <c r="I6" s="9">
        <v>105.7</v>
      </c>
      <c r="J6" s="9">
        <v>104.3</v>
      </c>
      <c r="K6" s="9">
        <v>104.7</v>
      </c>
    </row>
    <row r="7" spans="1:11" x14ac:dyDescent="0.3">
      <c r="A7" t="s">
        <v>34</v>
      </c>
      <c r="B7">
        <v>2013</v>
      </c>
      <c r="C7" t="s">
        <v>35</v>
      </c>
      <c r="D7" s="3">
        <v>41306</v>
      </c>
      <c r="E7" s="9">
        <v>106.6</v>
      </c>
      <c r="F7" s="9">
        <v>105.7</v>
      </c>
      <c r="G7" s="9">
        <v>106.8</v>
      </c>
      <c r="H7" s="9">
        <v>100.4</v>
      </c>
      <c r="I7" s="9">
        <v>106</v>
      </c>
      <c r="J7" s="9">
        <v>104.4</v>
      </c>
      <c r="K7" s="9">
        <v>105.3</v>
      </c>
    </row>
    <row r="8" spans="1:11" x14ac:dyDescent="0.3">
      <c r="A8" t="s">
        <v>30</v>
      </c>
      <c r="B8">
        <v>2013</v>
      </c>
      <c r="C8" t="s">
        <v>36</v>
      </c>
      <c r="D8" s="3">
        <v>41334</v>
      </c>
      <c r="E8" s="9">
        <v>106.6</v>
      </c>
      <c r="F8" s="9">
        <v>106.5</v>
      </c>
      <c r="G8" s="9">
        <v>107.5</v>
      </c>
      <c r="I8" s="9">
        <v>106.1</v>
      </c>
      <c r="J8" s="9">
        <v>104.6</v>
      </c>
      <c r="K8" s="9">
        <v>106</v>
      </c>
    </row>
    <row r="9" spans="1:11" x14ac:dyDescent="0.3">
      <c r="A9" t="s">
        <v>33</v>
      </c>
      <c r="B9">
        <v>2013</v>
      </c>
      <c r="C9" t="s">
        <v>36</v>
      </c>
      <c r="D9" s="3">
        <v>41334</v>
      </c>
      <c r="E9" s="9">
        <v>107.3</v>
      </c>
      <c r="F9" s="9">
        <v>106.8</v>
      </c>
      <c r="G9" s="9">
        <v>107</v>
      </c>
      <c r="H9" s="9">
        <v>100.4</v>
      </c>
      <c r="I9" s="9">
        <v>106</v>
      </c>
      <c r="J9" s="9">
        <v>104.9</v>
      </c>
      <c r="K9" s="9">
        <v>105</v>
      </c>
    </row>
    <row r="10" spans="1:11" x14ac:dyDescent="0.3">
      <c r="A10" t="s">
        <v>34</v>
      </c>
      <c r="B10">
        <v>2013</v>
      </c>
      <c r="C10" t="s">
        <v>36</v>
      </c>
      <c r="D10" s="3">
        <v>41334</v>
      </c>
      <c r="E10" s="9">
        <v>106.9</v>
      </c>
      <c r="F10" s="9">
        <v>106.6</v>
      </c>
      <c r="G10" s="9">
        <v>107.3</v>
      </c>
      <c r="H10" s="9">
        <v>100.4</v>
      </c>
      <c r="I10" s="9">
        <v>106.1</v>
      </c>
      <c r="J10" s="9">
        <v>104.7</v>
      </c>
      <c r="K10" s="9">
        <v>105.5</v>
      </c>
    </row>
    <row r="11" spans="1:11" x14ac:dyDescent="0.3">
      <c r="A11" t="s">
        <v>30</v>
      </c>
      <c r="B11">
        <v>2013</v>
      </c>
      <c r="C11" t="s">
        <v>37</v>
      </c>
      <c r="D11" s="3">
        <v>41365</v>
      </c>
      <c r="E11" s="9">
        <v>107.1</v>
      </c>
      <c r="F11" s="9">
        <v>107.1</v>
      </c>
      <c r="G11" s="9">
        <v>108</v>
      </c>
      <c r="I11" s="9">
        <v>106.5</v>
      </c>
      <c r="J11" s="9">
        <v>104.6</v>
      </c>
      <c r="K11" s="9">
        <v>106.4</v>
      </c>
    </row>
    <row r="12" spans="1:11" x14ac:dyDescent="0.3">
      <c r="A12" t="s">
        <v>33</v>
      </c>
      <c r="B12">
        <v>2013</v>
      </c>
      <c r="C12" t="s">
        <v>37</v>
      </c>
      <c r="D12" s="3">
        <v>41365</v>
      </c>
      <c r="E12" s="9">
        <v>108.8</v>
      </c>
      <c r="F12" s="9">
        <v>108.5</v>
      </c>
      <c r="G12" s="9">
        <v>107.7</v>
      </c>
      <c r="H12" s="9">
        <v>100.5</v>
      </c>
      <c r="I12" s="9">
        <v>106.4</v>
      </c>
      <c r="J12" s="9">
        <v>105.1</v>
      </c>
      <c r="K12" s="9">
        <v>105.7</v>
      </c>
    </row>
    <row r="13" spans="1:11" x14ac:dyDescent="0.3">
      <c r="A13" t="s">
        <v>34</v>
      </c>
      <c r="B13">
        <v>2013</v>
      </c>
      <c r="C13" t="s">
        <v>37</v>
      </c>
      <c r="D13" s="3">
        <v>41365</v>
      </c>
      <c r="E13" s="9">
        <v>107.7</v>
      </c>
      <c r="F13" s="9">
        <v>107.5</v>
      </c>
      <c r="G13" s="9">
        <v>107.9</v>
      </c>
      <c r="H13" s="9">
        <v>100.5</v>
      </c>
      <c r="I13" s="9">
        <v>106.5</v>
      </c>
      <c r="J13" s="9">
        <v>104.8</v>
      </c>
      <c r="K13" s="9">
        <v>106.1</v>
      </c>
    </row>
    <row r="14" spans="1:11" x14ac:dyDescent="0.3">
      <c r="A14" t="s">
        <v>30</v>
      </c>
      <c r="B14">
        <v>2013</v>
      </c>
      <c r="C14" t="s">
        <v>38</v>
      </c>
      <c r="D14" s="3">
        <v>41395</v>
      </c>
      <c r="E14" s="9">
        <v>108.1</v>
      </c>
      <c r="F14" s="9">
        <v>108.1</v>
      </c>
      <c r="G14" s="9">
        <v>108.6</v>
      </c>
      <c r="I14" s="9">
        <v>107.5</v>
      </c>
      <c r="J14" s="9">
        <v>104.8</v>
      </c>
      <c r="K14" s="9">
        <v>107.2</v>
      </c>
    </row>
    <row r="15" spans="1:11" x14ac:dyDescent="0.3">
      <c r="A15" t="s">
        <v>33</v>
      </c>
      <c r="B15">
        <v>2013</v>
      </c>
      <c r="C15" t="s">
        <v>38</v>
      </c>
      <c r="D15" s="3">
        <v>41395</v>
      </c>
      <c r="E15" s="9">
        <v>111.1</v>
      </c>
      <c r="F15" s="9">
        <v>109.8</v>
      </c>
      <c r="G15" s="9">
        <v>108.3</v>
      </c>
      <c r="H15" s="9">
        <v>100.5</v>
      </c>
      <c r="I15" s="9">
        <v>107.2</v>
      </c>
      <c r="J15" s="9">
        <v>104.9</v>
      </c>
      <c r="K15" s="9">
        <v>106.6</v>
      </c>
    </row>
    <row r="16" spans="1:11" x14ac:dyDescent="0.3">
      <c r="A16" t="s">
        <v>34</v>
      </c>
      <c r="B16">
        <v>2013</v>
      </c>
      <c r="C16" t="s">
        <v>38</v>
      </c>
      <c r="D16" s="3">
        <v>41395</v>
      </c>
      <c r="E16" s="9">
        <v>109.2</v>
      </c>
      <c r="F16" s="9">
        <v>108.6</v>
      </c>
      <c r="G16" s="9">
        <v>108.5</v>
      </c>
      <c r="H16" s="9">
        <v>100.5</v>
      </c>
      <c r="I16" s="9">
        <v>107.4</v>
      </c>
      <c r="J16" s="9">
        <v>104.8</v>
      </c>
      <c r="K16" s="9">
        <v>106.9</v>
      </c>
    </row>
    <row r="17" spans="1:11" x14ac:dyDescent="0.3">
      <c r="A17" t="s">
        <v>30</v>
      </c>
      <c r="B17">
        <v>2013</v>
      </c>
      <c r="C17" t="s">
        <v>39</v>
      </c>
      <c r="D17" s="3">
        <v>41426</v>
      </c>
      <c r="E17" s="9">
        <v>110.6</v>
      </c>
      <c r="F17" s="9">
        <v>109</v>
      </c>
      <c r="G17" s="9">
        <v>109.5</v>
      </c>
      <c r="I17" s="9">
        <v>108.5</v>
      </c>
      <c r="J17" s="9">
        <v>105.5</v>
      </c>
      <c r="K17" s="9">
        <v>108.9</v>
      </c>
    </row>
    <row r="18" spans="1:11" x14ac:dyDescent="0.3">
      <c r="A18" t="s">
        <v>33</v>
      </c>
      <c r="B18">
        <v>2013</v>
      </c>
      <c r="C18" t="s">
        <v>39</v>
      </c>
      <c r="D18" s="3">
        <v>41426</v>
      </c>
      <c r="E18" s="9">
        <v>115</v>
      </c>
      <c r="F18" s="9">
        <v>110.9</v>
      </c>
      <c r="G18" s="9">
        <v>108.9</v>
      </c>
      <c r="H18" s="9">
        <v>106.6</v>
      </c>
      <c r="I18" s="9">
        <v>108</v>
      </c>
      <c r="J18" s="9">
        <v>106.1</v>
      </c>
      <c r="K18" s="9">
        <v>109.7</v>
      </c>
    </row>
    <row r="19" spans="1:11" x14ac:dyDescent="0.3">
      <c r="A19" t="s">
        <v>34</v>
      </c>
      <c r="B19">
        <v>2013</v>
      </c>
      <c r="C19" t="s">
        <v>39</v>
      </c>
      <c r="D19" s="3">
        <v>41426</v>
      </c>
      <c r="E19" s="9">
        <v>112.2</v>
      </c>
      <c r="F19" s="9">
        <v>109.5</v>
      </c>
      <c r="G19" s="9">
        <v>109.3</v>
      </c>
      <c r="H19" s="9">
        <v>106.6</v>
      </c>
      <c r="I19" s="9">
        <v>108.3</v>
      </c>
      <c r="J19" s="9">
        <v>105.8</v>
      </c>
      <c r="K19" s="9">
        <v>109.3</v>
      </c>
    </row>
    <row r="20" spans="1:11" x14ac:dyDescent="0.3">
      <c r="A20" t="s">
        <v>30</v>
      </c>
      <c r="B20">
        <v>2013</v>
      </c>
      <c r="C20" t="s">
        <v>40</v>
      </c>
      <c r="D20" s="3">
        <v>41456</v>
      </c>
      <c r="E20" s="9">
        <v>113.1</v>
      </c>
      <c r="F20" s="9">
        <v>109.8</v>
      </c>
      <c r="G20" s="9">
        <v>110.3</v>
      </c>
      <c r="I20" s="9">
        <v>109.5</v>
      </c>
      <c r="J20" s="9">
        <v>106.5</v>
      </c>
      <c r="K20" s="9">
        <v>110.7</v>
      </c>
    </row>
    <row r="21" spans="1:11" x14ac:dyDescent="0.3">
      <c r="A21" t="s">
        <v>33</v>
      </c>
      <c r="B21">
        <v>2013</v>
      </c>
      <c r="C21" t="s">
        <v>40</v>
      </c>
      <c r="D21" s="3">
        <v>41456</v>
      </c>
      <c r="E21" s="9">
        <v>117.5</v>
      </c>
      <c r="F21" s="9">
        <v>111.7</v>
      </c>
      <c r="G21" s="9">
        <v>109.5</v>
      </c>
      <c r="H21" s="9">
        <v>107.7</v>
      </c>
      <c r="I21" s="9">
        <v>108.6</v>
      </c>
      <c r="J21" s="9">
        <v>107.3</v>
      </c>
      <c r="K21" s="9">
        <v>111.4</v>
      </c>
    </row>
    <row r="22" spans="1:11" x14ac:dyDescent="0.3">
      <c r="A22" t="s">
        <v>34</v>
      </c>
      <c r="B22">
        <v>2013</v>
      </c>
      <c r="C22" t="s">
        <v>40</v>
      </c>
      <c r="D22" s="3">
        <v>41456</v>
      </c>
      <c r="E22" s="9">
        <v>114.7</v>
      </c>
      <c r="F22" s="9">
        <v>110.3</v>
      </c>
      <c r="G22" s="9">
        <v>110</v>
      </c>
      <c r="H22" s="9">
        <v>107.7</v>
      </c>
      <c r="I22" s="9">
        <v>109.2</v>
      </c>
      <c r="J22" s="9">
        <v>106.9</v>
      </c>
      <c r="K22" s="9">
        <v>111</v>
      </c>
    </row>
    <row r="23" spans="1:11" x14ac:dyDescent="0.3">
      <c r="A23" t="s">
        <v>30</v>
      </c>
      <c r="B23">
        <v>2013</v>
      </c>
      <c r="C23" t="s">
        <v>41</v>
      </c>
      <c r="D23" s="3">
        <v>41487</v>
      </c>
      <c r="E23" s="9">
        <v>114.9</v>
      </c>
      <c r="F23" s="9">
        <v>110.7</v>
      </c>
      <c r="G23" s="9">
        <v>111.1</v>
      </c>
      <c r="I23" s="9">
        <v>109.9</v>
      </c>
      <c r="J23" s="9">
        <v>107.5</v>
      </c>
      <c r="K23" s="9">
        <v>112.1</v>
      </c>
    </row>
    <row r="24" spans="1:11" x14ac:dyDescent="0.3">
      <c r="A24" t="s">
        <v>33</v>
      </c>
      <c r="B24">
        <v>2013</v>
      </c>
      <c r="C24" t="s">
        <v>41</v>
      </c>
      <c r="D24" s="3">
        <v>41487</v>
      </c>
      <c r="E24" s="9">
        <v>119.6</v>
      </c>
      <c r="F24" s="9">
        <v>112.4</v>
      </c>
      <c r="G24" s="9">
        <v>110.2</v>
      </c>
      <c r="H24" s="9">
        <v>108.9</v>
      </c>
      <c r="I24" s="9">
        <v>109.3</v>
      </c>
      <c r="J24" s="9">
        <v>108.3</v>
      </c>
      <c r="K24" s="9">
        <v>112.7</v>
      </c>
    </row>
    <row r="25" spans="1:11" x14ac:dyDescent="0.3">
      <c r="A25" t="s">
        <v>34</v>
      </c>
      <c r="B25">
        <v>2013</v>
      </c>
      <c r="C25" t="s">
        <v>41</v>
      </c>
      <c r="D25" s="3">
        <v>41487</v>
      </c>
      <c r="E25" s="9">
        <v>116.6</v>
      </c>
      <c r="F25" s="9">
        <v>111.2</v>
      </c>
      <c r="G25" s="9">
        <v>110.7</v>
      </c>
      <c r="H25" s="9">
        <v>108.9</v>
      </c>
      <c r="I25" s="9">
        <v>109.7</v>
      </c>
      <c r="J25" s="9">
        <v>107.9</v>
      </c>
      <c r="K25" s="9">
        <v>112.4</v>
      </c>
    </row>
    <row r="26" spans="1:11" x14ac:dyDescent="0.3">
      <c r="A26" t="s">
        <v>30</v>
      </c>
      <c r="B26">
        <v>2013</v>
      </c>
      <c r="C26" t="s">
        <v>42</v>
      </c>
      <c r="D26" s="3">
        <v>41518</v>
      </c>
      <c r="E26" s="9">
        <v>117.8</v>
      </c>
      <c r="F26" s="9">
        <v>111.7</v>
      </c>
      <c r="G26" s="9">
        <v>112.5</v>
      </c>
      <c r="I26" s="9">
        <v>111.1</v>
      </c>
      <c r="J26" s="9">
        <v>108.7</v>
      </c>
      <c r="K26" s="9">
        <v>114.2</v>
      </c>
    </row>
    <row r="27" spans="1:11" x14ac:dyDescent="0.3">
      <c r="A27" t="s">
        <v>33</v>
      </c>
      <c r="B27">
        <v>2013</v>
      </c>
      <c r="C27" t="s">
        <v>42</v>
      </c>
      <c r="D27" s="3">
        <v>41518</v>
      </c>
      <c r="E27" s="9">
        <v>119.2</v>
      </c>
      <c r="F27" s="9">
        <v>112.9</v>
      </c>
      <c r="G27" s="9">
        <v>111.1</v>
      </c>
      <c r="H27" s="9">
        <v>109.7</v>
      </c>
      <c r="I27" s="9">
        <v>109.5</v>
      </c>
      <c r="J27" s="9">
        <v>109.4</v>
      </c>
      <c r="K27" s="9">
        <v>113.2</v>
      </c>
    </row>
    <row r="28" spans="1:11" x14ac:dyDescent="0.3">
      <c r="A28" t="s">
        <v>34</v>
      </c>
      <c r="B28">
        <v>2013</v>
      </c>
      <c r="C28" t="s">
        <v>42</v>
      </c>
      <c r="D28" s="3">
        <v>41518</v>
      </c>
      <c r="E28" s="9">
        <v>118.3</v>
      </c>
      <c r="F28" s="9">
        <v>112</v>
      </c>
      <c r="G28" s="9">
        <v>111.9</v>
      </c>
      <c r="H28" s="9">
        <v>109.7</v>
      </c>
      <c r="I28" s="9">
        <v>110.5</v>
      </c>
      <c r="J28" s="9">
        <v>109</v>
      </c>
      <c r="K28" s="9">
        <v>113.7</v>
      </c>
    </row>
    <row r="29" spans="1:11" x14ac:dyDescent="0.3">
      <c r="A29" t="s">
        <v>30</v>
      </c>
      <c r="B29">
        <v>2013</v>
      </c>
      <c r="C29" t="s">
        <v>43</v>
      </c>
      <c r="D29" s="3">
        <v>41548</v>
      </c>
      <c r="E29" s="9">
        <v>119.8</v>
      </c>
      <c r="F29" s="9">
        <v>112.2</v>
      </c>
      <c r="G29" s="9">
        <v>113.4</v>
      </c>
      <c r="I29" s="9">
        <v>111.6</v>
      </c>
      <c r="J29" s="9">
        <v>109.1</v>
      </c>
      <c r="K29" s="9">
        <v>115.5</v>
      </c>
    </row>
    <row r="30" spans="1:11" x14ac:dyDescent="0.3">
      <c r="A30" t="s">
        <v>33</v>
      </c>
      <c r="B30">
        <v>2013</v>
      </c>
      <c r="C30" t="s">
        <v>43</v>
      </c>
      <c r="D30" s="3">
        <v>41548</v>
      </c>
      <c r="E30" s="9">
        <v>120.8</v>
      </c>
      <c r="F30" s="9">
        <v>113.5</v>
      </c>
      <c r="G30" s="9">
        <v>112</v>
      </c>
      <c r="H30" s="9">
        <v>110.5</v>
      </c>
      <c r="I30" s="9">
        <v>109.7</v>
      </c>
      <c r="J30" s="9">
        <v>109.4</v>
      </c>
      <c r="K30" s="9">
        <v>114</v>
      </c>
    </row>
    <row r="31" spans="1:11" x14ac:dyDescent="0.3">
      <c r="A31" t="s">
        <v>34</v>
      </c>
      <c r="B31">
        <v>2013</v>
      </c>
      <c r="C31" t="s">
        <v>43</v>
      </c>
      <c r="D31" s="3">
        <v>41548</v>
      </c>
      <c r="E31" s="9">
        <v>120.2</v>
      </c>
      <c r="F31" s="9">
        <v>112.5</v>
      </c>
      <c r="G31" s="9">
        <v>112.8</v>
      </c>
      <c r="H31" s="9">
        <v>110.5</v>
      </c>
      <c r="I31" s="9">
        <v>110.9</v>
      </c>
      <c r="J31" s="9">
        <v>109.2</v>
      </c>
      <c r="K31" s="9">
        <v>114.8</v>
      </c>
    </row>
    <row r="32" spans="1:11" x14ac:dyDescent="0.3">
      <c r="A32" t="s">
        <v>30</v>
      </c>
      <c r="B32">
        <v>2013</v>
      </c>
      <c r="C32" t="s">
        <v>44</v>
      </c>
      <c r="D32" s="3" t="e">
        <v>#N/A</v>
      </c>
      <c r="E32" s="9">
        <v>122.5</v>
      </c>
      <c r="F32" s="9">
        <v>112.8</v>
      </c>
      <c r="G32" s="9">
        <v>114.4</v>
      </c>
      <c r="I32" s="9">
        <v>112.6</v>
      </c>
      <c r="J32" s="9">
        <v>109.8</v>
      </c>
      <c r="K32" s="9">
        <v>117.4</v>
      </c>
    </row>
    <row r="33" spans="1:11" x14ac:dyDescent="0.3">
      <c r="A33" t="s">
        <v>33</v>
      </c>
      <c r="B33">
        <v>2013</v>
      </c>
      <c r="C33" t="s">
        <v>45</v>
      </c>
      <c r="D33" s="3">
        <v>41579</v>
      </c>
      <c r="E33" s="9">
        <v>122.9</v>
      </c>
      <c r="F33" s="9">
        <v>114.1</v>
      </c>
      <c r="G33" s="9">
        <v>113</v>
      </c>
      <c r="H33" s="9">
        <v>111.1</v>
      </c>
      <c r="I33" s="9">
        <v>110</v>
      </c>
      <c r="J33" s="9">
        <v>109.6</v>
      </c>
      <c r="K33" s="9">
        <v>115</v>
      </c>
    </row>
    <row r="34" spans="1:11" x14ac:dyDescent="0.3">
      <c r="A34" t="s">
        <v>34</v>
      </c>
      <c r="B34">
        <v>2013</v>
      </c>
      <c r="C34" t="s">
        <v>45</v>
      </c>
      <c r="D34" s="3">
        <v>41579</v>
      </c>
      <c r="E34" s="9">
        <v>122.6</v>
      </c>
      <c r="F34" s="9">
        <v>113.1</v>
      </c>
      <c r="G34" s="9">
        <v>113.8</v>
      </c>
      <c r="H34" s="9">
        <v>111.1</v>
      </c>
      <c r="I34" s="9">
        <v>111.6</v>
      </c>
      <c r="J34" s="9">
        <v>109.7</v>
      </c>
      <c r="K34" s="9">
        <v>116.3</v>
      </c>
    </row>
    <row r="35" spans="1:11" x14ac:dyDescent="0.3">
      <c r="A35" t="s">
        <v>30</v>
      </c>
      <c r="B35">
        <v>2013</v>
      </c>
      <c r="C35" t="s">
        <v>46</v>
      </c>
      <c r="D35" s="3">
        <v>41609</v>
      </c>
      <c r="E35" s="9">
        <v>118.7</v>
      </c>
      <c r="F35" s="9">
        <v>113.6</v>
      </c>
      <c r="G35" s="9">
        <v>115.5</v>
      </c>
      <c r="I35" s="9">
        <v>112.8</v>
      </c>
      <c r="J35" s="9">
        <v>110.1</v>
      </c>
      <c r="K35" s="9">
        <v>115.5</v>
      </c>
    </row>
    <row r="36" spans="1:11" x14ac:dyDescent="0.3">
      <c r="A36" t="s">
        <v>33</v>
      </c>
      <c r="B36">
        <v>2013</v>
      </c>
      <c r="C36" t="s">
        <v>46</v>
      </c>
      <c r="D36" s="3">
        <v>41609</v>
      </c>
      <c r="E36" s="9">
        <v>117.8</v>
      </c>
      <c r="F36" s="9">
        <v>115</v>
      </c>
      <c r="G36" s="9">
        <v>113.7</v>
      </c>
      <c r="H36" s="9">
        <v>110.7</v>
      </c>
      <c r="I36" s="9">
        <v>110.4</v>
      </c>
      <c r="J36" s="9">
        <v>109.8</v>
      </c>
      <c r="K36" s="9">
        <v>113.3</v>
      </c>
    </row>
    <row r="37" spans="1:11" x14ac:dyDescent="0.3">
      <c r="A37" t="s">
        <v>34</v>
      </c>
      <c r="B37">
        <v>2013</v>
      </c>
      <c r="C37" t="s">
        <v>46</v>
      </c>
      <c r="D37" s="3">
        <v>41609</v>
      </c>
      <c r="E37" s="9">
        <v>118.4</v>
      </c>
      <c r="F37" s="9">
        <v>114</v>
      </c>
      <c r="G37" s="9">
        <v>114.8</v>
      </c>
      <c r="H37" s="9">
        <v>110.7</v>
      </c>
      <c r="I37" s="9">
        <v>111.9</v>
      </c>
      <c r="J37" s="9">
        <v>110</v>
      </c>
      <c r="K37" s="9">
        <v>114.5</v>
      </c>
    </row>
    <row r="38" spans="1:11" x14ac:dyDescent="0.3">
      <c r="A38" t="s">
        <v>30</v>
      </c>
      <c r="B38">
        <v>2014</v>
      </c>
      <c r="C38" t="s">
        <v>31</v>
      </c>
      <c r="D38" s="3">
        <v>41640</v>
      </c>
      <c r="E38" s="9">
        <v>116</v>
      </c>
      <c r="F38" s="9">
        <v>114</v>
      </c>
      <c r="G38" s="9">
        <v>116.2</v>
      </c>
      <c r="I38" s="9">
        <v>113</v>
      </c>
      <c r="J38" s="9">
        <v>110.6</v>
      </c>
      <c r="K38" s="9">
        <v>114.2</v>
      </c>
    </row>
    <row r="39" spans="1:11" x14ac:dyDescent="0.3">
      <c r="A39" t="s">
        <v>33</v>
      </c>
      <c r="B39">
        <v>2014</v>
      </c>
      <c r="C39" t="s">
        <v>31</v>
      </c>
      <c r="D39" s="3">
        <v>41640</v>
      </c>
      <c r="E39" s="9">
        <v>115.5</v>
      </c>
      <c r="F39" s="9">
        <v>115.7</v>
      </c>
      <c r="G39" s="9">
        <v>114.3</v>
      </c>
      <c r="H39" s="9">
        <v>111.6</v>
      </c>
      <c r="I39" s="9">
        <v>111</v>
      </c>
      <c r="J39" s="9">
        <v>110.5</v>
      </c>
      <c r="K39" s="9">
        <v>112.9</v>
      </c>
    </row>
    <row r="40" spans="1:11" x14ac:dyDescent="0.3">
      <c r="A40" t="s">
        <v>34</v>
      </c>
      <c r="B40">
        <v>2014</v>
      </c>
      <c r="C40" t="s">
        <v>31</v>
      </c>
      <c r="D40" s="3">
        <v>41640</v>
      </c>
      <c r="E40" s="9">
        <v>115.8</v>
      </c>
      <c r="F40" s="9">
        <v>114.5</v>
      </c>
      <c r="G40" s="9">
        <v>115.4</v>
      </c>
      <c r="H40" s="9">
        <v>111.6</v>
      </c>
      <c r="I40" s="9">
        <v>112.2</v>
      </c>
      <c r="J40" s="9">
        <v>110.6</v>
      </c>
      <c r="K40" s="9">
        <v>113.6</v>
      </c>
    </row>
    <row r="41" spans="1:11" x14ac:dyDescent="0.3">
      <c r="A41" t="s">
        <v>30</v>
      </c>
      <c r="B41">
        <v>2014</v>
      </c>
      <c r="C41" t="s">
        <v>35</v>
      </c>
      <c r="D41" s="3">
        <v>41671</v>
      </c>
      <c r="E41" s="9">
        <v>115.3</v>
      </c>
      <c r="F41" s="9">
        <v>114.2</v>
      </c>
      <c r="G41" s="9">
        <v>116.7</v>
      </c>
      <c r="I41" s="9">
        <v>113.2</v>
      </c>
      <c r="J41" s="9">
        <v>110.9</v>
      </c>
      <c r="K41" s="9">
        <v>114</v>
      </c>
    </row>
    <row r="42" spans="1:11" x14ac:dyDescent="0.3">
      <c r="A42" t="s">
        <v>33</v>
      </c>
      <c r="B42">
        <v>2014</v>
      </c>
      <c r="C42" t="s">
        <v>35</v>
      </c>
      <c r="D42" s="3">
        <v>41671</v>
      </c>
      <c r="E42" s="9">
        <v>115.2</v>
      </c>
      <c r="F42" s="9">
        <v>116.2</v>
      </c>
      <c r="G42" s="9">
        <v>114.7</v>
      </c>
      <c r="H42" s="9">
        <v>112.5</v>
      </c>
      <c r="I42" s="9">
        <v>111.1</v>
      </c>
      <c r="J42" s="9">
        <v>111</v>
      </c>
      <c r="K42" s="9">
        <v>113.1</v>
      </c>
    </row>
    <row r="43" spans="1:11" x14ac:dyDescent="0.3">
      <c r="A43" t="s">
        <v>34</v>
      </c>
      <c r="B43">
        <v>2014</v>
      </c>
      <c r="C43" t="s">
        <v>35</v>
      </c>
      <c r="D43" s="3">
        <v>41671</v>
      </c>
      <c r="E43" s="9">
        <v>115.3</v>
      </c>
      <c r="F43" s="9">
        <v>114.7</v>
      </c>
      <c r="G43" s="9">
        <v>115.9</v>
      </c>
      <c r="H43" s="9">
        <v>112.5</v>
      </c>
      <c r="I43" s="9">
        <v>112.4</v>
      </c>
      <c r="J43" s="9">
        <v>110.9</v>
      </c>
      <c r="K43" s="9">
        <v>113.6</v>
      </c>
    </row>
    <row r="44" spans="1:11" x14ac:dyDescent="0.3">
      <c r="A44" t="s">
        <v>30</v>
      </c>
      <c r="B44">
        <v>2014</v>
      </c>
      <c r="C44" t="s">
        <v>36</v>
      </c>
      <c r="D44" s="3">
        <v>41699</v>
      </c>
      <c r="E44" s="9">
        <v>116.2</v>
      </c>
      <c r="F44" s="9">
        <v>114.6</v>
      </c>
      <c r="G44" s="9">
        <v>117.2</v>
      </c>
      <c r="I44" s="9">
        <v>113.4</v>
      </c>
      <c r="J44" s="9">
        <v>111.3</v>
      </c>
      <c r="K44" s="9">
        <v>114.6</v>
      </c>
    </row>
    <row r="45" spans="1:11" x14ac:dyDescent="0.3">
      <c r="A45" t="s">
        <v>33</v>
      </c>
      <c r="B45">
        <v>2014</v>
      </c>
      <c r="C45" t="s">
        <v>36</v>
      </c>
      <c r="D45" s="3">
        <v>41699</v>
      </c>
      <c r="E45" s="9">
        <v>116</v>
      </c>
      <c r="F45" s="9">
        <v>116.7</v>
      </c>
      <c r="G45" s="9">
        <v>115.2</v>
      </c>
      <c r="H45" s="9">
        <v>113.2</v>
      </c>
      <c r="I45" s="9">
        <v>110.9</v>
      </c>
      <c r="J45" s="9">
        <v>111.4</v>
      </c>
      <c r="K45" s="9">
        <v>113.7</v>
      </c>
    </row>
    <row r="46" spans="1:11" x14ac:dyDescent="0.3">
      <c r="A46" t="s">
        <v>34</v>
      </c>
      <c r="B46">
        <v>2014</v>
      </c>
      <c r="C46" t="s">
        <v>36</v>
      </c>
      <c r="D46" s="3">
        <v>41699</v>
      </c>
      <c r="E46" s="9">
        <v>116.1</v>
      </c>
      <c r="F46" s="9">
        <v>115.2</v>
      </c>
      <c r="G46" s="9">
        <v>116.4</v>
      </c>
      <c r="H46" s="9">
        <v>113.2</v>
      </c>
      <c r="I46" s="9">
        <v>112.5</v>
      </c>
      <c r="J46" s="9">
        <v>111.3</v>
      </c>
      <c r="K46" s="9">
        <v>114.2</v>
      </c>
    </row>
    <row r="47" spans="1:11" x14ac:dyDescent="0.3">
      <c r="A47" t="s">
        <v>30</v>
      </c>
      <c r="B47">
        <v>2014</v>
      </c>
      <c r="C47" t="s">
        <v>37</v>
      </c>
      <c r="D47" s="3">
        <v>41730</v>
      </c>
      <c r="E47" s="9">
        <v>117.2</v>
      </c>
      <c r="F47" s="9">
        <v>115.4</v>
      </c>
      <c r="G47" s="9">
        <v>117.8</v>
      </c>
      <c r="I47" s="9">
        <v>113.4</v>
      </c>
      <c r="J47" s="9">
        <v>111.5</v>
      </c>
      <c r="K47" s="9">
        <v>115.4</v>
      </c>
    </row>
    <row r="48" spans="1:11" x14ac:dyDescent="0.3">
      <c r="A48" t="s">
        <v>33</v>
      </c>
      <c r="B48">
        <v>2014</v>
      </c>
      <c r="C48" t="s">
        <v>37</v>
      </c>
      <c r="D48" s="3">
        <v>41730</v>
      </c>
      <c r="E48" s="9">
        <v>118.2</v>
      </c>
      <c r="F48" s="9">
        <v>117.6</v>
      </c>
      <c r="G48" s="9">
        <v>115.7</v>
      </c>
      <c r="H48" s="9">
        <v>113.9</v>
      </c>
      <c r="I48" s="9">
        <v>110.9</v>
      </c>
      <c r="J48" s="9">
        <v>111.4</v>
      </c>
      <c r="K48" s="9">
        <v>114.7</v>
      </c>
    </row>
    <row r="49" spans="1:11" x14ac:dyDescent="0.3">
      <c r="A49" t="s">
        <v>34</v>
      </c>
      <c r="B49">
        <v>2014</v>
      </c>
      <c r="C49" t="s">
        <v>37</v>
      </c>
      <c r="D49" s="3">
        <v>41730</v>
      </c>
      <c r="E49" s="9">
        <v>117.6</v>
      </c>
      <c r="F49" s="9">
        <v>116</v>
      </c>
      <c r="G49" s="9">
        <v>117</v>
      </c>
      <c r="H49" s="9">
        <v>113.9</v>
      </c>
      <c r="I49" s="9">
        <v>112.5</v>
      </c>
      <c r="J49" s="9">
        <v>111.5</v>
      </c>
      <c r="K49" s="9">
        <v>115.1</v>
      </c>
    </row>
    <row r="50" spans="1:11" x14ac:dyDescent="0.3">
      <c r="A50" t="s">
        <v>30</v>
      </c>
      <c r="B50">
        <v>2014</v>
      </c>
      <c r="C50" t="s">
        <v>38</v>
      </c>
      <c r="D50" s="3">
        <v>41760</v>
      </c>
      <c r="E50" s="9">
        <v>118.2</v>
      </c>
      <c r="F50" s="9">
        <v>116.3</v>
      </c>
      <c r="G50" s="9">
        <v>118.5</v>
      </c>
      <c r="I50" s="9">
        <v>113.4</v>
      </c>
      <c r="J50" s="9">
        <v>111.8</v>
      </c>
      <c r="K50" s="9">
        <v>116</v>
      </c>
    </row>
    <row r="51" spans="1:11" x14ac:dyDescent="0.3">
      <c r="A51" t="s">
        <v>33</v>
      </c>
      <c r="B51">
        <v>2014</v>
      </c>
      <c r="C51" t="s">
        <v>38</v>
      </c>
      <c r="D51" s="3">
        <v>41760</v>
      </c>
      <c r="E51" s="9">
        <v>120</v>
      </c>
      <c r="F51" s="9">
        <v>118.3</v>
      </c>
      <c r="G51" s="9">
        <v>116.2</v>
      </c>
      <c r="H51" s="9">
        <v>114.3</v>
      </c>
      <c r="I51" s="9">
        <v>111.1</v>
      </c>
      <c r="J51" s="9">
        <v>111.7</v>
      </c>
      <c r="K51" s="9">
        <v>115.6</v>
      </c>
    </row>
    <row r="52" spans="1:11" x14ac:dyDescent="0.3">
      <c r="A52" t="s">
        <v>34</v>
      </c>
      <c r="B52">
        <v>2014</v>
      </c>
      <c r="C52" t="s">
        <v>38</v>
      </c>
      <c r="D52" s="3">
        <v>41760</v>
      </c>
      <c r="E52" s="9">
        <v>118.9</v>
      </c>
      <c r="F52" s="9">
        <v>116.8</v>
      </c>
      <c r="G52" s="9">
        <v>117.6</v>
      </c>
      <c r="H52" s="9">
        <v>114.3</v>
      </c>
      <c r="I52" s="9">
        <v>112.5</v>
      </c>
      <c r="J52" s="9">
        <v>111.8</v>
      </c>
      <c r="K52" s="9">
        <v>115.8</v>
      </c>
    </row>
    <row r="53" spans="1:11" x14ac:dyDescent="0.3">
      <c r="A53" t="s">
        <v>30</v>
      </c>
      <c r="B53">
        <v>2014</v>
      </c>
      <c r="C53" t="s">
        <v>39</v>
      </c>
      <c r="D53" s="3">
        <v>41791</v>
      </c>
      <c r="E53" s="9">
        <v>119.5</v>
      </c>
      <c r="F53" s="9">
        <v>117.3</v>
      </c>
      <c r="G53" s="9">
        <v>119.3</v>
      </c>
      <c r="I53" s="9">
        <v>114.4</v>
      </c>
      <c r="J53" s="9">
        <v>112.3</v>
      </c>
      <c r="K53" s="9">
        <v>117</v>
      </c>
    </row>
    <row r="54" spans="1:11" x14ac:dyDescent="0.3">
      <c r="A54" t="s">
        <v>33</v>
      </c>
      <c r="B54">
        <v>2014</v>
      </c>
      <c r="C54" t="s">
        <v>39</v>
      </c>
      <c r="D54" s="3">
        <v>41791</v>
      </c>
      <c r="E54" s="9">
        <v>122</v>
      </c>
      <c r="F54" s="9">
        <v>119</v>
      </c>
      <c r="G54" s="9">
        <v>116.7</v>
      </c>
      <c r="H54" s="9">
        <v>113.9</v>
      </c>
      <c r="I54" s="9">
        <v>111.2</v>
      </c>
      <c r="J54" s="9">
        <v>112.2</v>
      </c>
      <c r="K54" s="9">
        <v>116.4</v>
      </c>
    </row>
    <row r="55" spans="1:11" x14ac:dyDescent="0.3">
      <c r="A55" t="s">
        <v>34</v>
      </c>
      <c r="B55">
        <v>2014</v>
      </c>
      <c r="C55" t="s">
        <v>39</v>
      </c>
      <c r="D55" s="3">
        <v>41791</v>
      </c>
      <c r="E55" s="9">
        <v>120.4</v>
      </c>
      <c r="F55" s="9">
        <v>117.8</v>
      </c>
      <c r="G55" s="9">
        <v>118.3</v>
      </c>
      <c r="H55" s="9">
        <v>113.9</v>
      </c>
      <c r="I55" s="9">
        <v>113.2</v>
      </c>
      <c r="J55" s="9">
        <v>112.3</v>
      </c>
      <c r="K55" s="9">
        <v>116.7</v>
      </c>
    </row>
    <row r="56" spans="1:11" x14ac:dyDescent="0.3">
      <c r="A56" t="s">
        <v>30</v>
      </c>
      <c r="B56">
        <v>2014</v>
      </c>
      <c r="C56" t="s">
        <v>40</v>
      </c>
      <c r="D56" s="3">
        <v>41821</v>
      </c>
      <c r="E56" s="9">
        <v>123.3</v>
      </c>
      <c r="F56" s="9">
        <v>118</v>
      </c>
      <c r="G56" s="9">
        <v>120.3</v>
      </c>
      <c r="I56" s="9">
        <v>115.3</v>
      </c>
      <c r="J56" s="9">
        <v>113.1</v>
      </c>
      <c r="K56" s="9">
        <v>119.5</v>
      </c>
    </row>
    <row r="57" spans="1:11" x14ac:dyDescent="0.3">
      <c r="A57" t="s">
        <v>33</v>
      </c>
      <c r="B57">
        <v>2014</v>
      </c>
      <c r="C57" t="s">
        <v>40</v>
      </c>
      <c r="D57" s="3">
        <v>41821</v>
      </c>
      <c r="E57" s="9">
        <v>127.1</v>
      </c>
      <c r="F57" s="9">
        <v>121</v>
      </c>
      <c r="G57" s="9">
        <v>117.4</v>
      </c>
      <c r="H57" s="9">
        <v>114.8</v>
      </c>
      <c r="I57" s="9">
        <v>111.6</v>
      </c>
      <c r="J57" s="9">
        <v>113.5</v>
      </c>
      <c r="K57" s="9">
        <v>118.9</v>
      </c>
    </row>
    <row r="58" spans="1:11" x14ac:dyDescent="0.3">
      <c r="A58" t="s">
        <v>34</v>
      </c>
      <c r="B58">
        <v>2014</v>
      </c>
      <c r="C58" t="s">
        <v>40</v>
      </c>
      <c r="D58" s="3">
        <v>41821</v>
      </c>
      <c r="E58" s="9">
        <v>124.7</v>
      </c>
      <c r="F58" s="9">
        <v>118.8</v>
      </c>
      <c r="G58" s="9">
        <v>119.1</v>
      </c>
      <c r="H58" s="9">
        <v>114.8</v>
      </c>
      <c r="I58" s="9">
        <v>113.9</v>
      </c>
      <c r="J58" s="9">
        <v>113.3</v>
      </c>
      <c r="K58" s="9">
        <v>119.2</v>
      </c>
    </row>
    <row r="59" spans="1:11" x14ac:dyDescent="0.3">
      <c r="A59" t="s">
        <v>30</v>
      </c>
      <c r="B59">
        <v>2014</v>
      </c>
      <c r="C59" t="s">
        <v>41</v>
      </c>
      <c r="D59" s="3">
        <v>41852</v>
      </c>
      <c r="E59" s="9">
        <v>125.3</v>
      </c>
      <c r="F59" s="9">
        <v>118.8</v>
      </c>
      <c r="G59" s="9">
        <v>120.7</v>
      </c>
      <c r="I59" s="9">
        <v>115.4</v>
      </c>
      <c r="J59" s="9">
        <v>113.5</v>
      </c>
      <c r="K59" s="9">
        <v>120.7</v>
      </c>
    </row>
    <row r="60" spans="1:11" x14ac:dyDescent="0.3">
      <c r="A60" t="s">
        <v>33</v>
      </c>
      <c r="B60">
        <v>2014</v>
      </c>
      <c r="C60" t="s">
        <v>41</v>
      </c>
      <c r="D60" s="3">
        <v>41852</v>
      </c>
      <c r="E60" s="9">
        <v>128.9</v>
      </c>
      <c r="F60" s="9">
        <v>123</v>
      </c>
      <c r="G60" s="9">
        <v>117.9</v>
      </c>
      <c r="H60" s="9">
        <v>115.5</v>
      </c>
      <c r="I60" s="9">
        <v>111.8</v>
      </c>
      <c r="J60" s="9">
        <v>113.9</v>
      </c>
      <c r="K60" s="9">
        <v>119.9</v>
      </c>
    </row>
    <row r="61" spans="1:11" x14ac:dyDescent="0.3">
      <c r="A61" t="s">
        <v>34</v>
      </c>
      <c r="B61">
        <v>2014</v>
      </c>
      <c r="C61" t="s">
        <v>41</v>
      </c>
      <c r="D61" s="3">
        <v>41852</v>
      </c>
      <c r="E61" s="9">
        <v>126.6</v>
      </c>
      <c r="F61" s="9">
        <v>119.9</v>
      </c>
      <c r="G61" s="9">
        <v>119.6</v>
      </c>
      <c r="H61" s="9">
        <v>115.5</v>
      </c>
      <c r="I61" s="9">
        <v>114</v>
      </c>
      <c r="J61" s="9">
        <v>113.7</v>
      </c>
      <c r="K61" s="9">
        <v>120.3</v>
      </c>
    </row>
    <row r="62" spans="1:11" x14ac:dyDescent="0.3">
      <c r="A62" t="s">
        <v>30</v>
      </c>
      <c r="B62">
        <v>2014</v>
      </c>
      <c r="C62" t="s">
        <v>42</v>
      </c>
      <c r="D62" s="3">
        <v>41883</v>
      </c>
      <c r="E62" s="9">
        <v>125.3</v>
      </c>
      <c r="F62" s="9">
        <v>119.5</v>
      </c>
      <c r="G62" s="9">
        <v>121.3</v>
      </c>
      <c r="I62" s="9">
        <v>115.8</v>
      </c>
      <c r="J62" s="9">
        <v>113.7</v>
      </c>
      <c r="K62" s="9">
        <v>120.9</v>
      </c>
    </row>
    <row r="63" spans="1:11" x14ac:dyDescent="0.3">
      <c r="A63" t="s">
        <v>33</v>
      </c>
      <c r="B63">
        <v>2014</v>
      </c>
      <c r="C63" t="s">
        <v>42</v>
      </c>
      <c r="D63" s="3">
        <v>41883</v>
      </c>
      <c r="E63" s="9">
        <v>126.7</v>
      </c>
      <c r="F63" s="9">
        <v>124.3</v>
      </c>
      <c r="G63" s="9">
        <v>118.4</v>
      </c>
      <c r="H63" s="9">
        <v>116.1</v>
      </c>
      <c r="I63" s="9">
        <v>111.8</v>
      </c>
      <c r="J63" s="9">
        <v>113.6</v>
      </c>
      <c r="K63" s="9">
        <v>119.2</v>
      </c>
    </row>
    <row r="64" spans="1:11" x14ac:dyDescent="0.3">
      <c r="A64" t="s">
        <v>34</v>
      </c>
      <c r="B64">
        <v>2014</v>
      </c>
      <c r="C64" t="s">
        <v>42</v>
      </c>
      <c r="D64" s="3">
        <v>41883</v>
      </c>
      <c r="E64" s="9">
        <v>125.8</v>
      </c>
      <c r="F64" s="9">
        <v>120.8</v>
      </c>
      <c r="G64" s="9">
        <v>120.1</v>
      </c>
      <c r="H64" s="9">
        <v>116.1</v>
      </c>
      <c r="I64" s="9">
        <v>114.3</v>
      </c>
      <c r="J64" s="9">
        <v>113.7</v>
      </c>
      <c r="K64" s="9">
        <v>120.1</v>
      </c>
    </row>
    <row r="65" spans="1:11" x14ac:dyDescent="0.3">
      <c r="A65" t="s">
        <v>30</v>
      </c>
      <c r="B65">
        <v>2014</v>
      </c>
      <c r="C65" t="s">
        <v>43</v>
      </c>
      <c r="D65" s="3">
        <v>41913</v>
      </c>
      <c r="E65" s="9">
        <v>125.1</v>
      </c>
      <c r="F65" s="9">
        <v>120</v>
      </c>
      <c r="G65" s="9">
        <v>122.3</v>
      </c>
      <c r="I65" s="9">
        <v>116.4</v>
      </c>
      <c r="J65" s="9">
        <v>114</v>
      </c>
      <c r="K65" s="9">
        <v>121</v>
      </c>
    </row>
    <row r="66" spans="1:11" x14ac:dyDescent="0.3">
      <c r="A66" t="s">
        <v>33</v>
      </c>
      <c r="B66">
        <v>2014</v>
      </c>
      <c r="C66" t="s">
        <v>43</v>
      </c>
      <c r="D66" s="3">
        <v>41913</v>
      </c>
      <c r="E66" s="9">
        <v>125.8</v>
      </c>
      <c r="F66" s="9">
        <v>124.3</v>
      </c>
      <c r="G66" s="9">
        <v>118.9</v>
      </c>
      <c r="H66" s="9">
        <v>116.7</v>
      </c>
      <c r="I66" s="9">
        <v>112</v>
      </c>
      <c r="J66" s="9">
        <v>113.7</v>
      </c>
      <c r="K66" s="9">
        <v>119.1</v>
      </c>
    </row>
    <row r="67" spans="1:11" x14ac:dyDescent="0.3">
      <c r="A67" t="s">
        <v>34</v>
      </c>
      <c r="B67">
        <v>2014</v>
      </c>
      <c r="C67" t="s">
        <v>43</v>
      </c>
      <c r="D67" s="3">
        <v>41913</v>
      </c>
      <c r="E67" s="9">
        <v>125.4</v>
      </c>
      <c r="F67" s="9">
        <v>121.1</v>
      </c>
      <c r="G67" s="9">
        <v>121</v>
      </c>
      <c r="H67" s="9">
        <v>116.7</v>
      </c>
      <c r="I67" s="9">
        <v>114.7</v>
      </c>
      <c r="J67" s="9">
        <v>113.9</v>
      </c>
      <c r="K67" s="9">
        <v>120.1</v>
      </c>
    </row>
    <row r="68" spans="1:11" x14ac:dyDescent="0.3">
      <c r="A68" t="s">
        <v>30</v>
      </c>
      <c r="B68">
        <v>2014</v>
      </c>
      <c r="C68" t="s">
        <v>45</v>
      </c>
      <c r="D68" s="3">
        <v>41944</v>
      </c>
      <c r="E68" s="9">
        <v>124.9</v>
      </c>
      <c r="F68" s="9">
        <v>120.8</v>
      </c>
      <c r="G68" s="9">
        <v>122.9</v>
      </c>
      <c r="I68" s="9">
        <v>117.3</v>
      </c>
      <c r="J68" s="9">
        <v>114.1</v>
      </c>
      <c r="K68" s="9">
        <v>121.1</v>
      </c>
    </row>
    <row r="69" spans="1:11" x14ac:dyDescent="0.3">
      <c r="A69" t="s">
        <v>33</v>
      </c>
      <c r="B69">
        <v>2014</v>
      </c>
      <c r="C69" t="s">
        <v>45</v>
      </c>
      <c r="D69" s="3">
        <v>41944</v>
      </c>
      <c r="E69" s="9">
        <v>125.4</v>
      </c>
      <c r="F69" s="9">
        <v>125.8</v>
      </c>
      <c r="G69" s="9">
        <v>119.5</v>
      </c>
      <c r="H69" s="9">
        <v>117.1</v>
      </c>
      <c r="I69" s="9">
        <v>112.6</v>
      </c>
      <c r="J69" s="9">
        <v>113.4</v>
      </c>
      <c r="K69" s="9">
        <v>119</v>
      </c>
    </row>
    <row r="70" spans="1:11" x14ac:dyDescent="0.3">
      <c r="A70" t="s">
        <v>34</v>
      </c>
      <c r="B70">
        <v>2014</v>
      </c>
      <c r="C70" t="s">
        <v>45</v>
      </c>
      <c r="D70" s="3">
        <v>41944</v>
      </c>
      <c r="E70" s="9">
        <v>125.1</v>
      </c>
      <c r="F70" s="9">
        <v>122.1</v>
      </c>
      <c r="G70" s="9">
        <v>121.6</v>
      </c>
      <c r="H70" s="9">
        <v>117.1</v>
      </c>
      <c r="I70" s="9">
        <v>115.5</v>
      </c>
      <c r="J70" s="9">
        <v>113.8</v>
      </c>
      <c r="K70" s="9">
        <v>120.1</v>
      </c>
    </row>
    <row r="71" spans="1:11" x14ac:dyDescent="0.3">
      <c r="A71" t="s">
        <v>30</v>
      </c>
      <c r="B71">
        <v>2014</v>
      </c>
      <c r="C71" t="s">
        <v>46</v>
      </c>
      <c r="D71" s="3">
        <v>41974</v>
      </c>
      <c r="E71" s="9">
        <v>123.3</v>
      </c>
      <c r="F71" s="9">
        <v>121.7</v>
      </c>
      <c r="G71" s="9">
        <v>123.3</v>
      </c>
      <c r="I71" s="9">
        <v>117.4</v>
      </c>
      <c r="J71" s="9">
        <v>114.2</v>
      </c>
      <c r="K71" s="9">
        <v>120.3</v>
      </c>
    </row>
    <row r="72" spans="1:11" x14ac:dyDescent="0.3">
      <c r="A72" t="s">
        <v>33</v>
      </c>
      <c r="B72">
        <v>2014</v>
      </c>
      <c r="C72" t="s">
        <v>46</v>
      </c>
      <c r="D72" s="3">
        <v>41974</v>
      </c>
      <c r="E72" s="9">
        <v>124</v>
      </c>
      <c r="F72" s="9">
        <v>126.4</v>
      </c>
      <c r="G72" s="9">
        <v>120</v>
      </c>
      <c r="H72" s="9">
        <v>116.5</v>
      </c>
      <c r="I72" s="9">
        <v>113</v>
      </c>
      <c r="J72" s="9">
        <v>113.4</v>
      </c>
      <c r="K72" s="9">
        <v>118.4</v>
      </c>
    </row>
    <row r="73" spans="1:11" x14ac:dyDescent="0.3">
      <c r="A73" t="s">
        <v>34</v>
      </c>
      <c r="B73">
        <v>2014</v>
      </c>
      <c r="C73" t="s">
        <v>46</v>
      </c>
      <c r="D73" s="3">
        <v>41974</v>
      </c>
      <c r="E73" s="9">
        <v>123.6</v>
      </c>
      <c r="F73" s="9">
        <v>123</v>
      </c>
      <c r="G73" s="9">
        <v>122</v>
      </c>
      <c r="H73" s="9">
        <v>116.5</v>
      </c>
      <c r="I73" s="9">
        <v>115.7</v>
      </c>
      <c r="J73" s="9">
        <v>113.8</v>
      </c>
      <c r="K73" s="9">
        <v>119.4</v>
      </c>
    </row>
    <row r="74" spans="1:11" x14ac:dyDescent="0.3">
      <c r="A74" t="s">
        <v>30</v>
      </c>
      <c r="B74">
        <v>2015</v>
      </c>
      <c r="C74" t="s">
        <v>31</v>
      </c>
      <c r="D74" s="3">
        <v>42005</v>
      </c>
      <c r="E74" s="9">
        <v>122.8</v>
      </c>
      <c r="F74" s="9">
        <v>122.7</v>
      </c>
      <c r="G74" s="9">
        <v>124</v>
      </c>
      <c r="I74" s="9">
        <v>118.4</v>
      </c>
      <c r="J74" s="9">
        <v>114.5</v>
      </c>
      <c r="K74" s="9">
        <v>120.3</v>
      </c>
    </row>
    <row r="75" spans="1:11" x14ac:dyDescent="0.3">
      <c r="A75" t="s">
        <v>33</v>
      </c>
      <c r="B75">
        <v>2015</v>
      </c>
      <c r="C75" t="s">
        <v>31</v>
      </c>
      <c r="D75" s="3">
        <v>42005</v>
      </c>
      <c r="E75" s="9">
        <v>123.5</v>
      </c>
      <c r="F75" s="9">
        <v>127.4</v>
      </c>
      <c r="G75" s="9">
        <v>120.2</v>
      </c>
      <c r="H75" s="9">
        <v>117.3</v>
      </c>
      <c r="I75" s="9">
        <v>113.4</v>
      </c>
      <c r="J75" s="9">
        <v>113.4</v>
      </c>
      <c r="K75" s="9">
        <v>118.5</v>
      </c>
    </row>
    <row r="76" spans="1:11" x14ac:dyDescent="0.3">
      <c r="A76" t="s">
        <v>34</v>
      </c>
      <c r="B76">
        <v>2015</v>
      </c>
      <c r="C76" t="s">
        <v>31</v>
      </c>
      <c r="D76" s="3">
        <v>42005</v>
      </c>
      <c r="E76" s="9">
        <v>123.1</v>
      </c>
      <c r="F76" s="9">
        <v>124</v>
      </c>
      <c r="G76" s="9">
        <v>122.5</v>
      </c>
      <c r="H76" s="9">
        <v>117.3</v>
      </c>
      <c r="I76" s="9">
        <v>116.5</v>
      </c>
      <c r="J76" s="9">
        <v>114</v>
      </c>
      <c r="K76" s="9">
        <v>119.5</v>
      </c>
    </row>
    <row r="77" spans="1:11" x14ac:dyDescent="0.3">
      <c r="A77" t="s">
        <v>30</v>
      </c>
      <c r="B77">
        <v>2015</v>
      </c>
      <c r="C77" t="s">
        <v>35</v>
      </c>
      <c r="D77" s="3">
        <v>42036</v>
      </c>
      <c r="E77" s="9">
        <v>122.8</v>
      </c>
      <c r="F77" s="9">
        <v>124.2</v>
      </c>
      <c r="G77" s="9">
        <v>125</v>
      </c>
      <c r="I77" s="9">
        <v>120</v>
      </c>
      <c r="J77" s="9">
        <v>115</v>
      </c>
      <c r="K77" s="9">
        <v>120.6</v>
      </c>
    </row>
    <row r="78" spans="1:11" x14ac:dyDescent="0.3">
      <c r="A78" t="s">
        <v>33</v>
      </c>
      <c r="B78">
        <v>2015</v>
      </c>
      <c r="C78" t="s">
        <v>35</v>
      </c>
      <c r="D78" s="3">
        <v>42036</v>
      </c>
      <c r="E78" s="9">
        <v>123.7</v>
      </c>
      <c r="F78" s="9">
        <v>128.1</v>
      </c>
      <c r="G78" s="9">
        <v>120.6</v>
      </c>
      <c r="H78" s="9">
        <v>118.1</v>
      </c>
      <c r="I78" s="9">
        <v>114</v>
      </c>
      <c r="J78" s="9">
        <v>113.2</v>
      </c>
      <c r="K78" s="9">
        <v>118.7</v>
      </c>
    </row>
    <row r="79" spans="1:11" x14ac:dyDescent="0.3">
      <c r="A79" t="s">
        <v>34</v>
      </c>
      <c r="B79">
        <v>2015</v>
      </c>
      <c r="C79" t="s">
        <v>35</v>
      </c>
      <c r="D79" s="3">
        <v>42036</v>
      </c>
      <c r="E79" s="9">
        <v>123.1</v>
      </c>
      <c r="F79" s="9">
        <v>125.2</v>
      </c>
      <c r="G79" s="9">
        <v>123.3</v>
      </c>
      <c r="H79" s="9">
        <v>118.1</v>
      </c>
      <c r="I79" s="9">
        <v>117.7</v>
      </c>
      <c r="J79" s="9">
        <v>114.1</v>
      </c>
      <c r="K79" s="9">
        <v>119.7</v>
      </c>
    </row>
    <row r="80" spans="1:11" x14ac:dyDescent="0.3">
      <c r="A80" t="s">
        <v>30</v>
      </c>
      <c r="B80">
        <v>2015</v>
      </c>
      <c r="C80" t="s">
        <v>36</v>
      </c>
      <c r="D80" s="3">
        <v>42064</v>
      </c>
      <c r="E80" s="9">
        <v>123.1</v>
      </c>
      <c r="F80" s="9">
        <v>124.7</v>
      </c>
      <c r="G80" s="9">
        <v>125.5</v>
      </c>
      <c r="I80" s="9">
        <v>120.6</v>
      </c>
      <c r="J80" s="9">
        <v>115.5</v>
      </c>
      <c r="K80" s="9">
        <v>121.1</v>
      </c>
    </row>
    <row r="81" spans="1:11" x14ac:dyDescent="0.3">
      <c r="A81" t="s">
        <v>33</v>
      </c>
      <c r="B81">
        <v>2015</v>
      </c>
      <c r="C81" t="s">
        <v>36</v>
      </c>
      <c r="D81" s="3">
        <v>42064</v>
      </c>
      <c r="E81" s="9">
        <v>123.9</v>
      </c>
      <c r="F81" s="9">
        <v>128.80000000000001</v>
      </c>
      <c r="G81" s="9">
        <v>120.9</v>
      </c>
      <c r="H81" s="9">
        <v>118.6</v>
      </c>
      <c r="I81" s="9">
        <v>114.4</v>
      </c>
      <c r="J81" s="9">
        <v>113.8</v>
      </c>
      <c r="K81" s="9">
        <v>119.1</v>
      </c>
    </row>
    <row r="82" spans="1:11" x14ac:dyDescent="0.3">
      <c r="A82" t="s">
        <v>34</v>
      </c>
      <c r="B82">
        <v>2015</v>
      </c>
      <c r="C82" t="s">
        <v>36</v>
      </c>
      <c r="D82" s="3">
        <v>42064</v>
      </c>
      <c r="E82" s="9">
        <v>123.4</v>
      </c>
      <c r="F82" s="9">
        <v>125.8</v>
      </c>
      <c r="G82" s="9">
        <v>123.7</v>
      </c>
      <c r="H82" s="9">
        <v>118.6</v>
      </c>
      <c r="I82" s="9">
        <v>118.3</v>
      </c>
      <c r="J82" s="9">
        <v>114.7</v>
      </c>
      <c r="K82" s="9">
        <v>120.2</v>
      </c>
    </row>
    <row r="83" spans="1:11" x14ac:dyDescent="0.3">
      <c r="A83" t="s">
        <v>30</v>
      </c>
      <c r="B83">
        <v>2015</v>
      </c>
      <c r="C83" t="s">
        <v>37</v>
      </c>
      <c r="D83" s="3">
        <v>42095</v>
      </c>
      <c r="E83" s="9">
        <v>123.6</v>
      </c>
      <c r="F83" s="9">
        <v>125.7</v>
      </c>
      <c r="G83" s="9">
        <v>126</v>
      </c>
      <c r="I83" s="9">
        <v>121.2</v>
      </c>
      <c r="J83" s="9">
        <v>116</v>
      </c>
      <c r="K83" s="9">
        <v>121.5</v>
      </c>
    </row>
    <row r="84" spans="1:11" x14ac:dyDescent="0.3">
      <c r="A84" t="s">
        <v>33</v>
      </c>
      <c r="B84">
        <v>2015</v>
      </c>
      <c r="C84" t="s">
        <v>37</v>
      </c>
      <c r="D84" s="3">
        <v>42095</v>
      </c>
      <c r="E84" s="9">
        <v>124.6</v>
      </c>
      <c r="F84" s="9">
        <v>130.1</v>
      </c>
      <c r="G84" s="9">
        <v>121.3</v>
      </c>
      <c r="H84" s="9">
        <v>119.2</v>
      </c>
      <c r="I84" s="9">
        <v>114.7</v>
      </c>
      <c r="J84" s="9">
        <v>114.2</v>
      </c>
      <c r="K84" s="9">
        <v>119.7</v>
      </c>
    </row>
    <row r="85" spans="1:11" x14ac:dyDescent="0.3">
      <c r="A85" t="s">
        <v>34</v>
      </c>
      <c r="B85">
        <v>2015</v>
      </c>
      <c r="C85" t="s">
        <v>37</v>
      </c>
      <c r="D85" s="3">
        <v>42095</v>
      </c>
      <c r="E85" s="9">
        <v>124</v>
      </c>
      <c r="F85" s="9">
        <v>126.9</v>
      </c>
      <c r="G85" s="9">
        <v>124.1</v>
      </c>
      <c r="H85" s="9">
        <v>119.2</v>
      </c>
      <c r="I85" s="9">
        <v>118.7</v>
      </c>
      <c r="J85" s="9">
        <v>115.1</v>
      </c>
      <c r="K85" s="9">
        <v>120.7</v>
      </c>
    </row>
    <row r="86" spans="1:11" x14ac:dyDescent="0.3">
      <c r="A86" t="s">
        <v>30</v>
      </c>
      <c r="B86">
        <v>2015</v>
      </c>
      <c r="C86" t="s">
        <v>38</v>
      </c>
      <c r="D86" s="3">
        <v>42125</v>
      </c>
      <c r="E86" s="9">
        <v>124.4</v>
      </c>
      <c r="F86" s="9">
        <v>126.7</v>
      </c>
      <c r="G86" s="9">
        <v>126.8</v>
      </c>
      <c r="I86" s="9">
        <v>121.9</v>
      </c>
      <c r="J86" s="9">
        <v>116.9</v>
      </c>
      <c r="K86" s="9">
        <v>122.4</v>
      </c>
    </row>
    <row r="87" spans="1:11" x14ac:dyDescent="0.3">
      <c r="A87" t="s">
        <v>33</v>
      </c>
      <c r="B87">
        <v>2015</v>
      </c>
      <c r="C87" t="s">
        <v>38</v>
      </c>
      <c r="D87" s="3">
        <v>42125</v>
      </c>
      <c r="E87" s="9">
        <v>126.1</v>
      </c>
      <c r="F87" s="9">
        <v>131.30000000000001</v>
      </c>
      <c r="G87" s="9">
        <v>121.6</v>
      </c>
      <c r="H87" s="9">
        <v>119.6</v>
      </c>
      <c r="I87" s="9">
        <v>114.9</v>
      </c>
      <c r="J87" s="9">
        <v>115.2</v>
      </c>
      <c r="K87" s="9">
        <v>120.7</v>
      </c>
    </row>
    <row r="88" spans="1:11" x14ac:dyDescent="0.3">
      <c r="A88" t="s">
        <v>34</v>
      </c>
      <c r="B88">
        <v>2015</v>
      </c>
      <c r="C88" t="s">
        <v>38</v>
      </c>
      <c r="D88" s="3">
        <v>42125</v>
      </c>
      <c r="E88" s="9">
        <v>125</v>
      </c>
      <c r="F88" s="9">
        <v>127.9</v>
      </c>
      <c r="G88" s="9">
        <v>124.7</v>
      </c>
      <c r="H88" s="9">
        <v>119.6</v>
      </c>
      <c r="I88" s="9">
        <v>119.2</v>
      </c>
      <c r="J88" s="9">
        <v>116.1</v>
      </c>
      <c r="K88" s="9">
        <v>121.6</v>
      </c>
    </row>
    <row r="89" spans="1:11" x14ac:dyDescent="0.3">
      <c r="A89" t="s">
        <v>30</v>
      </c>
      <c r="B89">
        <v>2015</v>
      </c>
      <c r="C89" t="s">
        <v>39</v>
      </c>
      <c r="D89" s="3">
        <v>42156</v>
      </c>
      <c r="E89" s="9">
        <v>126.6</v>
      </c>
      <c r="F89" s="9">
        <v>128.19999999999999</v>
      </c>
      <c r="G89" s="9">
        <v>128</v>
      </c>
      <c r="I89" s="9">
        <v>122.6</v>
      </c>
      <c r="J89" s="9">
        <v>117.9</v>
      </c>
      <c r="K89" s="9">
        <v>124.1</v>
      </c>
    </row>
    <row r="90" spans="1:11" x14ac:dyDescent="0.3">
      <c r="A90" t="s">
        <v>33</v>
      </c>
      <c r="B90">
        <v>2015</v>
      </c>
      <c r="C90" t="s">
        <v>39</v>
      </c>
      <c r="D90" s="3">
        <v>42156</v>
      </c>
      <c r="E90" s="9">
        <v>128.5</v>
      </c>
      <c r="F90" s="9">
        <v>132.1</v>
      </c>
      <c r="G90" s="9">
        <v>122.3</v>
      </c>
      <c r="H90" s="9">
        <v>119</v>
      </c>
      <c r="I90" s="9">
        <v>115.1</v>
      </c>
      <c r="J90" s="9">
        <v>116</v>
      </c>
      <c r="K90" s="9">
        <v>121.7</v>
      </c>
    </row>
    <row r="91" spans="1:11" x14ac:dyDescent="0.3">
      <c r="A91" t="s">
        <v>34</v>
      </c>
      <c r="B91">
        <v>2015</v>
      </c>
      <c r="C91" t="s">
        <v>39</v>
      </c>
      <c r="D91" s="3">
        <v>42156</v>
      </c>
      <c r="E91" s="9">
        <v>127.3</v>
      </c>
      <c r="F91" s="9">
        <v>129.19999999999999</v>
      </c>
      <c r="G91" s="9">
        <v>125.7</v>
      </c>
      <c r="H91" s="9">
        <v>119</v>
      </c>
      <c r="I91" s="9">
        <v>119.8</v>
      </c>
      <c r="J91" s="9">
        <v>117</v>
      </c>
      <c r="K91" s="9">
        <v>123</v>
      </c>
    </row>
    <row r="92" spans="1:11" x14ac:dyDescent="0.3">
      <c r="A92" t="s">
        <v>30</v>
      </c>
      <c r="B92">
        <v>2015</v>
      </c>
      <c r="C92" t="s">
        <v>40</v>
      </c>
      <c r="D92" s="3">
        <v>42186</v>
      </c>
      <c r="E92" s="9">
        <v>127.5</v>
      </c>
      <c r="F92" s="9">
        <v>129.4</v>
      </c>
      <c r="G92" s="9">
        <v>128.30000000000001</v>
      </c>
      <c r="I92" s="9">
        <v>123</v>
      </c>
      <c r="J92" s="9">
        <v>118.1</v>
      </c>
      <c r="K92" s="9">
        <v>124.7</v>
      </c>
    </row>
    <row r="93" spans="1:11" x14ac:dyDescent="0.3">
      <c r="A93" t="s">
        <v>33</v>
      </c>
      <c r="B93">
        <v>2015</v>
      </c>
      <c r="C93" t="s">
        <v>40</v>
      </c>
      <c r="D93" s="3">
        <v>42186</v>
      </c>
      <c r="E93" s="9">
        <v>129.5</v>
      </c>
      <c r="F93" s="9">
        <v>133.1</v>
      </c>
      <c r="G93" s="9">
        <v>122.7</v>
      </c>
      <c r="H93" s="9">
        <v>119.9</v>
      </c>
      <c r="I93" s="9">
        <v>115.3</v>
      </c>
      <c r="J93" s="9">
        <v>116.3</v>
      </c>
      <c r="K93" s="9">
        <v>122.4</v>
      </c>
    </row>
    <row r="94" spans="1:11" x14ac:dyDescent="0.3">
      <c r="A94" t="s">
        <v>34</v>
      </c>
      <c r="B94">
        <v>2015</v>
      </c>
      <c r="C94" t="s">
        <v>40</v>
      </c>
      <c r="D94" s="3">
        <v>42186</v>
      </c>
      <c r="E94" s="9">
        <v>128.19999999999999</v>
      </c>
      <c r="F94" s="9">
        <v>130.4</v>
      </c>
      <c r="G94" s="9">
        <v>126.1</v>
      </c>
      <c r="H94" s="9">
        <v>119.9</v>
      </c>
      <c r="I94" s="9">
        <v>120.1</v>
      </c>
      <c r="J94" s="9">
        <v>117.2</v>
      </c>
      <c r="K94" s="9">
        <v>123.6</v>
      </c>
    </row>
    <row r="95" spans="1:11" x14ac:dyDescent="0.3">
      <c r="A95" t="s">
        <v>30</v>
      </c>
      <c r="B95">
        <v>2015</v>
      </c>
      <c r="C95" t="s">
        <v>41</v>
      </c>
      <c r="D95" s="3">
        <v>42217</v>
      </c>
      <c r="E95" s="9">
        <v>129.80000000000001</v>
      </c>
      <c r="F95" s="9">
        <v>130.1</v>
      </c>
      <c r="G95" s="9">
        <v>129</v>
      </c>
      <c r="I95" s="9">
        <v>123.8</v>
      </c>
      <c r="J95" s="9">
        <v>118.2</v>
      </c>
      <c r="K95" s="9">
        <v>126.1</v>
      </c>
    </row>
    <row r="96" spans="1:11" x14ac:dyDescent="0.3">
      <c r="A96" t="s">
        <v>33</v>
      </c>
      <c r="B96">
        <v>2015</v>
      </c>
      <c r="C96" t="s">
        <v>41</v>
      </c>
      <c r="D96" s="3">
        <v>42217</v>
      </c>
      <c r="E96" s="9">
        <v>131.1</v>
      </c>
      <c r="F96" s="9">
        <v>134.19999999999999</v>
      </c>
      <c r="G96" s="9">
        <v>122.9</v>
      </c>
      <c r="H96" s="9">
        <v>120.9</v>
      </c>
      <c r="I96" s="9">
        <v>115.3</v>
      </c>
      <c r="J96" s="9">
        <v>116.2</v>
      </c>
      <c r="K96" s="9">
        <v>123.2</v>
      </c>
    </row>
    <row r="97" spans="1:11" x14ac:dyDescent="0.3">
      <c r="A97" t="s">
        <v>34</v>
      </c>
      <c r="B97">
        <v>2015</v>
      </c>
      <c r="C97" t="s">
        <v>41</v>
      </c>
      <c r="D97" s="3">
        <v>42217</v>
      </c>
      <c r="E97" s="9">
        <v>130.30000000000001</v>
      </c>
      <c r="F97" s="9">
        <v>131.19999999999999</v>
      </c>
      <c r="G97" s="9">
        <v>126.6</v>
      </c>
      <c r="H97" s="9">
        <v>120.9</v>
      </c>
      <c r="I97" s="9">
        <v>120.6</v>
      </c>
      <c r="J97" s="9">
        <v>117.2</v>
      </c>
      <c r="K97" s="9">
        <v>124.8</v>
      </c>
    </row>
    <row r="98" spans="1:11" x14ac:dyDescent="0.3">
      <c r="A98" t="s">
        <v>30</v>
      </c>
      <c r="B98">
        <v>2015</v>
      </c>
      <c r="C98" t="s">
        <v>42</v>
      </c>
      <c r="D98" s="3">
        <v>42248</v>
      </c>
      <c r="E98" s="9">
        <v>131</v>
      </c>
      <c r="F98" s="9">
        <v>131</v>
      </c>
      <c r="G98" s="9">
        <v>129.9</v>
      </c>
      <c r="I98" s="9">
        <v>123.7</v>
      </c>
      <c r="J98" s="9">
        <v>118.8</v>
      </c>
      <c r="K98" s="9">
        <v>127</v>
      </c>
    </row>
    <row r="99" spans="1:11" x14ac:dyDescent="0.3">
      <c r="A99" t="s">
        <v>33</v>
      </c>
      <c r="B99">
        <v>2015</v>
      </c>
      <c r="C99" t="s">
        <v>42</v>
      </c>
      <c r="D99" s="3">
        <v>42248</v>
      </c>
      <c r="E99" s="9">
        <v>131.5</v>
      </c>
      <c r="F99" s="9">
        <v>134.69999999999999</v>
      </c>
      <c r="G99" s="9">
        <v>123.2</v>
      </c>
      <c r="H99" s="9">
        <v>121.6</v>
      </c>
      <c r="I99" s="9">
        <v>115.1</v>
      </c>
      <c r="J99" s="9">
        <v>116.2</v>
      </c>
      <c r="K99" s="9">
        <v>123.5</v>
      </c>
    </row>
    <row r="100" spans="1:11" x14ac:dyDescent="0.3">
      <c r="A100" t="s">
        <v>34</v>
      </c>
      <c r="B100">
        <v>2015</v>
      </c>
      <c r="C100" t="s">
        <v>42</v>
      </c>
      <c r="D100" s="3">
        <v>42248</v>
      </c>
      <c r="E100" s="9">
        <v>131.19999999999999</v>
      </c>
      <c r="F100" s="9">
        <v>132</v>
      </c>
      <c r="G100" s="9">
        <v>127.2</v>
      </c>
      <c r="H100" s="9">
        <v>121.6</v>
      </c>
      <c r="I100" s="9">
        <v>120.4</v>
      </c>
      <c r="J100" s="9">
        <v>117.5</v>
      </c>
      <c r="K100" s="9">
        <v>125.4</v>
      </c>
    </row>
    <row r="101" spans="1:11" x14ac:dyDescent="0.3">
      <c r="A101" t="s">
        <v>30</v>
      </c>
      <c r="B101">
        <v>2015</v>
      </c>
      <c r="C101" t="s">
        <v>43</v>
      </c>
      <c r="D101" s="3">
        <v>42278</v>
      </c>
      <c r="E101" s="9">
        <v>131.80000000000001</v>
      </c>
      <c r="F101" s="9">
        <v>131.5</v>
      </c>
      <c r="G101" s="9">
        <v>130.6</v>
      </c>
      <c r="I101" s="9">
        <v>124.4</v>
      </c>
      <c r="J101" s="9">
        <v>119.2</v>
      </c>
      <c r="K101" s="9">
        <v>127.7</v>
      </c>
    </row>
    <row r="102" spans="1:11" x14ac:dyDescent="0.3">
      <c r="A102" t="s">
        <v>33</v>
      </c>
      <c r="B102">
        <v>2015</v>
      </c>
      <c r="C102" t="s">
        <v>43</v>
      </c>
      <c r="D102" s="3">
        <v>42278</v>
      </c>
      <c r="E102" s="9">
        <v>132.6</v>
      </c>
      <c r="F102" s="9">
        <v>135.30000000000001</v>
      </c>
      <c r="G102" s="9">
        <v>123.6</v>
      </c>
      <c r="H102" s="9">
        <v>122.4</v>
      </c>
      <c r="I102" s="9">
        <v>114.9</v>
      </c>
      <c r="J102" s="9">
        <v>116.5</v>
      </c>
      <c r="K102" s="9">
        <v>124.2</v>
      </c>
    </row>
    <row r="103" spans="1:11" x14ac:dyDescent="0.3">
      <c r="A103" t="s">
        <v>34</v>
      </c>
      <c r="B103">
        <v>2015</v>
      </c>
      <c r="C103" t="s">
        <v>43</v>
      </c>
      <c r="D103" s="3">
        <v>42278</v>
      </c>
      <c r="E103" s="9">
        <v>132.1</v>
      </c>
      <c r="F103" s="9">
        <v>132.5</v>
      </c>
      <c r="G103" s="9">
        <v>127.8</v>
      </c>
      <c r="H103" s="9">
        <v>122.4</v>
      </c>
      <c r="I103" s="9">
        <v>120.8</v>
      </c>
      <c r="J103" s="9">
        <v>117.9</v>
      </c>
      <c r="K103" s="9">
        <v>126.1</v>
      </c>
    </row>
    <row r="104" spans="1:11" x14ac:dyDescent="0.3">
      <c r="A104" t="s">
        <v>30</v>
      </c>
      <c r="B104">
        <v>2015</v>
      </c>
      <c r="C104" t="s">
        <v>45</v>
      </c>
      <c r="D104" s="3">
        <v>42309</v>
      </c>
      <c r="E104" s="9">
        <v>132.4</v>
      </c>
      <c r="F104" s="9">
        <v>132.19999999999999</v>
      </c>
      <c r="G104" s="9">
        <v>131.5</v>
      </c>
      <c r="I104" s="9">
        <v>125.6</v>
      </c>
      <c r="J104" s="9">
        <v>119.6</v>
      </c>
      <c r="K104" s="9">
        <v>128.30000000000001</v>
      </c>
    </row>
    <row r="105" spans="1:11" x14ac:dyDescent="0.3">
      <c r="A105" t="s">
        <v>33</v>
      </c>
      <c r="B105">
        <v>2015</v>
      </c>
      <c r="C105" t="s">
        <v>45</v>
      </c>
      <c r="D105" s="3">
        <v>42309</v>
      </c>
      <c r="E105" s="9">
        <v>133.30000000000001</v>
      </c>
      <c r="F105" s="9">
        <v>137.6</v>
      </c>
      <c r="G105" s="9">
        <v>124.2</v>
      </c>
      <c r="H105" s="9">
        <v>122.9</v>
      </c>
      <c r="I105" s="9">
        <v>115.1</v>
      </c>
      <c r="J105" s="9">
        <v>116.6</v>
      </c>
      <c r="K105" s="9">
        <v>124.6</v>
      </c>
    </row>
    <row r="106" spans="1:11" x14ac:dyDescent="0.3">
      <c r="A106" t="s">
        <v>34</v>
      </c>
      <c r="B106">
        <v>2015</v>
      </c>
      <c r="C106" t="s">
        <v>45</v>
      </c>
      <c r="D106" s="3">
        <v>42309</v>
      </c>
      <c r="E106" s="9">
        <v>132.69999999999999</v>
      </c>
      <c r="F106" s="9">
        <v>133.6</v>
      </c>
      <c r="G106" s="9">
        <v>128.6</v>
      </c>
      <c r="H106" s="9">
        <v>122.9</v>
      </c>
      <c r="I106" s="9">
        <v>121.6</v>
      </c>
      <c r="J106" s="9">
        <v>118.1</v>
      </c>
      <c r="K106" s="9">
        <v>126.6</v>
      </c>
    </row>
    <row r="107" spans="1:11" x14ac:dyDescent="0.3">
      <c r="A107" t="s">
        <v>30</v>
      </c>
      <c r="B107">
        <v>2015</v>
      </c>
      <c r="C107" t="s">
        <v>46</v>
      </c>
      <c r="D107" s="3">
        <v>42339</v>
      </c>
      <c r="E107" s="9">
        <v>131.4</v>
      </c>
      <c r="F107" s="9">
        <v>133.1</v>
      </c>
      <c r="G107" s="9">
        <v>131.9</v>
      </c>
      <c r="I107" s="9">
        <v>125.7</v>
      </c>
      <c r="J107" s="9">
        <v>119.8</v>
      </c>
      <c r="K107" s="9">
        <v>127.9</v>
      </c>
    </row>
    <row r="108" spans="1:11" x14ac:dyDescent="0.3">
      <c r="A108" t="s">
        <v>33</v>
      </c>
      <c r="B108">
        <v>2015</v>
      </c>
      <c r="C108" t="s">
        <v>46</v>
      </c>
      <c r="D108" s="3">
        <v>42339</v>
      </c>
      <c r="E108" s="9">
        <v>131.5</v>
      </c>
      <c r="F108" s="9">
        <v>138.19999999999999</v>
      </c>
      <c r="G108" s="9">
        <v>124.5</v>
      </c>
      <c r="H108" s="9">
        <v>122.4</v>
      </c>
      <c r="I108" s="9">
        <v>116</v>
      </c>
      <c r="J108" s="9">
        <v>116.7</v>
      </c>
      <c r="K108" s="9">
        <v>124</v>
      </c>
    </row>
    <row r="109" spans="1:11" x14ac:dyDescent="0.3">
      <c r="A109" t="s">
        <v>34</v>
      </c>
      <c r="B109">
        <v>2015</v>
      </c>
      <c r="C109" t="s">
        <v>46</v>
      </c>
      <c r="D109" s="3">
        <v>42339</v>
      </c>
      <c r="E109" s="9">
        <v>131.4</v>
      </c>
      <c r="F109" s="9">
        <v>134.5</v>
      </c>
      <c r="G109" s="9">
        <v>129</v>
      </c>
      <c r="H109" s="9">
        <v>122.4</v>
      </c>
      <c r="I109" s="9">
        <v>122</v>
      </c>
      <c r="J109" s="9">
        <v>118.3</v>
      </c>
      <c r="K109" s="9">
        <v>126.1</v>
      </c>
    </row>
    <row r="110" spans="1:11" x14ac:dyDescent="0.3">
      <c r="A110" t="s">
        <v>30</v>
      </c>
      <c r="B110">
        <v>2016</v>
      </c>
      <c r="C110" t="s">
        <v>31</v>
      </c>
      <c r="D110" s="3">
        <v>42370</v>
      </c>
      <c r="E110" s="9">
        <v>131.4</v>
      </c>
      <c r="F110" s="9">
        <v>133.6</v>
      </c>
      <c r="G110" s="9">
        <v>132.6</v>
      </c>
      <c r="I110" s="9">
        <v>126.2</v>
      </c>
      <c r="J110" s="9">
        <v>120.1</v>
      </c>
      <c r="K110" s="9">
        <v>128.1</v>
      </c>
    </row>
    <row r="111" spans="1:11" x14ac:dyDescent="0.3">
      <c r="A111" t="s">
        <v>33</v>
      </c>
      <c r="B111">
        <v>2016</v>
      </c>
      <c r="C111" t="s">
        <v>31</v>
      </c>
      <c r="D111" s="3">
        <v>42370</v>
      </c>
      <c r="E111" s="9">
        <v>131.19999999999999</v>
      </c>
      <c r="F111" s="9">
        <v>139.5</v>
      </c>
      <c r="G111" s="9">
        <v>124.9</v>
      </c>
      <c r="H111" s="9">
        <v>123.4</v>
      </c>
      <c r="I111" s="9">
        <v>116.9</v>
      </c>
      <c r="J111" s="9">
        <v>116.8</v>
      </c>
      <c r="K111" s="9">
        <v>124.2</v>
      </c>
    </row>
    <row r="112" spans="1:11" x14ac:dyDescent="0.3">
      <c r="A112" t="s">
        <v>34</v>
      </c>
      <c r="B112">
        <v>2016</v>
      </c>
      <c r="C112" t="s">
        <v>31</v>
      </c>
      <c r="D112" s="3">
        <v>42370</v>
      </c>
      <c r="E112" s="9">
        <v>131.30000000000001</v>
      </c>
      <c r="F112" s="9">
        <v>135.19999999999999</v>
      </c>
      <c r="G112" s="9">
        <v>129.5</v>
      </c>
      <c r="H112" s="9">
        <v>123.4</v>
      </c>
      <c r="I112" s="9">
        <v>122.7</v>
      </c>
      <c r="J112" s="9">
        <v>118.5</v>
      </c>
      <c r="K112" s="9">
        <v>126.3</v>
      </c>
    </row>
    <row r="113" spans="1:11" x14ac:dyDescent="0.3">
      <c r="A113" t="s">
        <v>30</v>
      </c>
      <c r="B113">
        <v>2016</v>
      </c>
      <c r="C113" t="s">
        <v>35</v>
      </c>
      <c r="D113" s="3">
        <v>42401</v>
      </c>
      <c r="E113" s="9">
        <v>130.30000000000001</v>
      </c>
      <c r="F113" s="9">
        <v>134.4</v>
      </c>
      <c r="G113" s="9">
        <v>133.4</v>
      </c>
      <c r="I113" s="9">
        <v>127.5</v>
      </c>
      <c r="J113" s="9">
        <v>120.9</v>
      </c>
      <c r="K113" s="9">
        <v>127.9</v>
      </c>
    </row>
    <row r="114" spans="1:11" x14ac:dyDescent="0.3">
      <c r="A114" t="s">
        <v>33</v>
      </c>
      <c r="B114">
        <v>2016</v>
      </c>
      <c r="C114" t="s">
        <v>35</v>
      </c>
      <c r="D114" s="3">
        <v>42401</v>
      </c>
      <c r="E114" s="9">
        <v>129.1</v>
      </c>
      <c r="F114" s="9">
        <v>140</v>
      </c>
      <c r="G114" s="9">
        <v>125.3</v>
      </c>
      <c r="H114" s="9">
        <v>124.4</v>
      </c>
      <c r="I114" s="9">
        <v>116</v>
      </c>
      <c r="J114" s="9">
        <v>117.2</v>
      </c>
      <c r="K114" s="9">
        <v>123.8</v>
      </c>
    </row>
    <row r="115" spans="1:11" x14ac:dyDescent="0.3">
      <c r="A115" t="s">
        <v>34</v>
      </c>
      <c r="B115">
        <v>2016</v>
      </c>
      <c r="C115" t="s">
        <v>35</v>
      </c>
      <c r="D115" s="3">
        <v>42401</v>
      </c>
      <c r="E115" s="9">
        <v>129.9</v>
      </c>
      <c r="F115" s="9">
        <v>135.9</v>
      </c>
      <c r="G115" s="9">
        <v>130.19999999999999</v>
      </c>
      <c r="H115" s="9">
        <v>124.4</v>
      </c>
      <c r="I115" s="9">
        <v>123.1</v>
      </c>
      <c r="J115" s="9">
        <v>119.1</v>
      </c>
      <c r="K115" s="9">
        <v>126</v>
      </c>
    </row>
    <row r="116" spans="1:11" x14ac:dyDescent="0.3">
      <c r="A116" t="s">
        <v>30</v>
      </c>
      <c r="B116">
        <v>2016</v>
      </c>
      <c r="C116" t="s">
        <v>36</v>
      </c>
      <c r="D116" s="3">
        <v>42430</v>
      </c>
      <c r="E116" s="9">
        <v>130.4</v>
      </c>
      <c r="F116" s="9">
        <v>135</v>
      </c>
      <c r="G116" s="9">
        <v>133.80000000000001</v>
      </c>
      <c r="I116" s="9">
        <v>127</v>
      </c>
      <c r="J116" s="9">
        <v>121.1</v>
      </c>
      <c r="K116" s="9">
        <v>128</v>
      </c>
    </row>
    <row r="117" spans="1:11" x14ac:dyDescent="0.3">
      <c r="A117" t="s">
        <v>33</v>
      </c>
      <c r="B117">
        <v>2016</v>
      </c>
      <c r="C117" t="s">
        <v>36</v>
      </c>
      <c r="D117" s="3">
        <v>42430</v>
      </c>
      <c r="E117" s="9">
        <v>128.9</v>
      </c>
      <c r="F117" s="9">
        <v>140.6</v>
      </c>
      <c r="G117" s="9">
        <v>125.5</v>
      </c>
      <c r="H117" s="9">
        <v>124.9</v>
      </c>
      <c r="I117" s="9">
        <v>114.8</v>
      </c>
      <c r="J117" s="9">
        <v>117.3</v>
      </c>
      <c r="K117" s="9">
        <v>123.8</v>
      </c>
    </row>
    <row r="118" spans="1:11" x14ac:dyDescent="0.3">
      <c r="A118" t="s">
        <v>34</v>
      </c>
      <c r="B118">
        <v>2016</v>
      </c>
      <c r="C118" t="s">
        <v>36</v>
      </c>
      <c r="D118" s="3">
        <v>42430</v>
      </c>
      <c r="E118" s="9">
        <v>129.80000000000001</v>
      </c>
      <c r="F118" s="9">
        <v>136.5</v>
      </c>
      <c r="G118" s="9">
        <v>130.5</v>
      </c>
      <c r="H118" s="9">
        <v>124.9</v>
      </c>
      <c r="I118" s="9">
        <v>122.4</v>
      </c>
      <c r="J118" s="9">
        <v>119.3</v>
      </c>
      <c r="K118" s="9">
        <v>126</v>
      </c>
    </row>
    <row r="119" spans="1:11" x14ac:dyDescent="0.3">
      <c r="A119" t="s">
        <v>30</v>
      </c>
      <c r="B119">
        <v>2016</v>
      </c>
      <c r="C119" t="s">
        <v>37</v>
      </c>
      <c r="D119" s="3">
        <v>42461</v>
      </c>
      <c r="E119" s="9">
        <v>131.80000000000001</v>
      </c>
      <c r="F119" s="9">
        <v>135.5</v>
      </c>
      <c r="G119" s="9">
        <v>134.4</v>
      </c>
      <c r="I119" s="9">
        <v>127</v>
      </c>
      <c r="J119" s="9">
        <v>121.7</v>
      </c>
      <c r="K119" s="9">
        <v>129</v>
      </c>
    </row>
    <row r="120" spans="1:11" x14ac:dyDescent="0.3">
      <c r="A120" t="s">
        <v>33</v>
      </c>
      <c r="B120">
        <v>2016</v>
      </c>
      <c r="C120" t="s">
        <v>37</v>
      </c>
      <c r="D120" s="3">
        <v>42461</v>
      </c>
      <c r="E120" s="9">
        <v>131.80000000000001</v>
      </c>
      <c r="F120" s="9">
        <v>141.5</v>
      </c>
      <c r="G120" s="9">
        <v>125.8</v>
      </c>
      <c r="H120" s="9">
        <v>125.6</v>
      </c>
      <c r="I120" s="9">
        <v>114.6</v>
      </c>
      <c r="J120" s="9">
        <v>118.2</v>
      </c>
      <c r="K120" s="9">
        <v>125.3</v>
      </c>
    </row>
    <row r="121" spans="1:11" x14ac:dyDescent="0.3">
      <c r="A121" t="s">
        <v>34</v>
      </c>
      <c r="B121">
        <v>2016</v>
      </c>
      <c r="C121" t="s">
        <v>37</v>
      </c>
      <c r="D121" s="3">
        <v>42461</v>
      </c>
      <c r="E121" s="9">
        <v>131.80000000000001</v>
      </c>
      <c r="F121" s="9">
        <v>137.1</v>
      </c>
      <c r="G121" s="9">
        <v>131</v>
      </c>
      <c r="H121" s="9">
        <v>125.6</v>
      </c>
      <c r="I121" s="9">
        <v>122.3</v>
      </c>
      <c r="J121" s="9">
        <v>120</v>
      </c>
      <c r="K121" s="9">
        <v>127.3</v>
      </c>
    </row>
    <row r="122" spans="1:11" x14ac:dyDescent="0.3">
      <c r="A122" t="s">
        <v>30</v>
      </c>
      <c r="B122">
        <v>2016</v>
      </c>
      <c r="C122" t="s">
        <v>38</v>
      </c>
      <c r="D122" s="3">
        <v>42491</v>
      </c>
      <c r="E122" s="9">
        <v>133.6</v>
      </c>
      <c r="F122" s="9">
        <v>136</v>
      </c>
      <c r="G122" s="9">
        <v>134.80000000000001</v>
      </c>
      <c r="I122" s="9">
        <v>127.4</v>
      </c>
      <c r="J122" s="9">
        <v>122.5</v>
      </c>
      <c r="K122" s="9">
        <v>130.30000000000001</v>
      </c>
    </row>
    <row r="123" spans="1:11" x14ac:dyDescent="0.3">
      <c r="A123" t="s">
        <v>33</v>
      </c>
      <c r="B123">
        <v>2016</v>
      </c>
      <c r="C123" t="s">
        <v>38</v>
      </c>
      <c r="D123" s="3">
        <v>42491</v>
      </c>
      <c r="E123" s="9">
        <v>134.6</v>
      </c>
      <c r="F123" s="9">
        <v>142.19999999999999</v>
      </c>
      <c r="G123" s="9">
        <v>126.2</v>
      </c>
      <c r="H123" s="9">
        <v>126</v>
      </c>
      <c r="I123" s="9">
        <v>115</v>
      </c>
      <c r="J123" s="9">
        <v>118.7</v>
      </c>
      <c r="K123" s="9">
        <v>126.6</v>
      </c>
    </row>
    <row r="124" spans="1:11" x14ac:dyDescent="0.3">
      <c r="A124" t="s">
        <v>34</v>
      </c>
      <c r="B124">
        <v>2016</v>
      </c>
      <c r="C124" t="s">
        <v>38</v>
      </c>
      <c r="D124" s="3">
        <v>42491</v>
      </c>
      <c r="E124" s="9">
        <v>134</v>
      </c>
      <c r="F124" s="9">
        <v>137.69999999999999</v>
      </c>
      <c r="G124" s="9">
        <v>131.4</v>
      </c>
      <c r="H124" s="9">
        <v>126</v>
      </c>
      <c r="I124" s="9">
        <v>122.7</v>
      </c>
      <c r="J124" s="9">
        <v>120.7</v>
      </c>
      <c r="K124" s="9">
        <v>128.6</v>
      </c>
    </row>
    <row r="125" spans="1:11" x14ac:dyDescent="0.3">
      <c r="A125" t="s">
        <v>30</v>
      </c>
      <c r="B125">
        <v>2016</v>
      </c>
      <c r="C125" t="s">
        <v>39</v>
      </c>
      <c r="D125" s="3">
        <v>42522</v>
      </c>
      <c r="E125" s="9">
        <v>136</v>
      </c>
      <c r="F125" s="9">
        <v>137.19999999999999</v>
      </c>
      <c r="G125" s="9">
        <v>135.6</v>
      </c>
      <c r="I125" s="9">
        <v>128</v>
      </c>
      <c r="J125" s="9">
        <v>123.3</v>
      </c>
      <c r="K125" s="9">
        <v>131.9</v>
      </c>
    </row>
    <row r="126" spans="1:11" x14ac:dyDescent="0.3">
      <c r="A126" t="s">
        <v>33</v>
      </c>
      <c r="B126">
        <v>2016</v>
      </c>
      <c r="C126" t="s">
        <v>39</v>
      </c>
      <c r="D126" s="3">
        <v>42522</v>
      </c>
      <c r="E126" s="9">
        <v>138.19999999999999</v>
      </c>
      <c r="F126" s="9">
        <v>142.69999999999999</v>
      </c>
      <c r="G126" s="9">
        <v>126.6</v>
      </c>
      <c r="H126" s="9">
        <v>125.5</v>
      </c>
      <c r="I126" s="9">
        <v>115.5</v>
      </c>
      <c r="J126" s="9">
        <v>119.6</v>
      </c>
      <c r="K126" s="9">
        <v>128.1</v>
      </c>
    </row>
    <row r="127" spans="1:11" x14ac:dyDescent="0.3">
      <c r="A127" t="s">
        <v>34</v>
      </c>
      <c r="B127">
        <v>2016</v>
      </c>
      <c r="C127" t="s">
        <v>39</v>
      </c>
      <c r="D127" s="3">
        <v>42522</v>
      </c>
      <c r="E127" s="9">
        <v>136.80000000000001</v>
      </c>
      <c r="F127" s="9">
        <v>138.69999999999999</v>
      </c>
      <c r="G127" s="9">
        <v>132</v>
      </c>
      <c r="H127" s="9">
        <v>125.5</v>
      </c>
      <c r="I127" s="9">
        <v>123.3</v>
      </c>
      <c r="J127" s="9">
        <v>121.5</v>
      </c>
      <c r="K127" s="9">
        <v>130.1</v>
      </c>
    </row>
    <row r="128" spans="1:11" x14ac:dyDescent="0.3">
      <c r="A128" t="s">
        <v>30</v>
      </c>
      <c r="B128">
        <v>2016</v>
      </c>
      <c r="C128" t="s">
        <v>40</v>
      </c>
      <c r="D128" s="3">
        <v>42552</v>
      </c>
      <c r="E128" s="9">
        <v>137.6</v>
      </c>
      <c r="F128" s="9">
        <v>138</v>
      </c>
      <c r="G128" s="9">
        <v>136.5</v>
      </c>
      <c r="I128" s="9">
        <v>128.19999999999999</v>
      </c>
      <c r="J128" s="9">
        <v>123.8</v>
      </c>
      <c r="K128" s="9">
        <v>133</v>
      </c>
    </row>
    <row r="129" spans="1:11" x14ac:dyDescent="0.3">
      <c r="A129" t="s">
        <v>33</v>
      </c>
      <c r="B129">
        <v>2016</v>
      </c>
      <c r="C129" t="s">
        <v>40</v>
      </c>
      <c r="D129" s="3">
        <v>42552</v>
      </c>
      <c r="E129" s="9">
        <v>139.80000000000001</v>
      </c>
      <c r="F129" s="9">
        <v>142.9</v>
      </c>
      <c r="G129" s="9">
        <v>126.9</v>
      </c>
      <c r="H129" s="9">
        <v>126.4</v>
      </c>
      <c r="I129" s="9">
        <v>115.5</v>
      </c>
      <c r="J129" s="9">
        <v>119.9</v>
      </c>
      <c r="K129" s="9">
        <v>129</v>
      </c>
    </row>
    <row r="130" spans="1:11" x14ac:dyDescent="0.3">
      <c r="A130" t="s">
        <v>34</v>
      </c>
      <c r="B130">
        <v>2016</v>
      </c>
      <c r="C130" t="s">
        <v>40</v>
      </c>
      <c r="D130" s="3">
        <v>42552</v>
      </c>
      <c r="E130" s="9">
        <v>138.4</v>
      </c>
      <c r="F130" s="9">
        <v>139.30000000000001</v>
      </c>
      <c r="G130" s="9">
        <v>132.69999999999999</v>
      </c>
      <c r="H130" s="9">
        <v>126.4</v>
      </c>
      <c r="I130" s="9">
        <v>123.4</v>
      </c>
      <c r="J130" s="9">
        <v>121.9</v>
      </c>
      <c r="K130" s="9">
        <v>131.1</v>
      </c>
    </row>
    <row r="131" spans="1:11" x14ac:dyDescent="0.3">
      <c r="A131" t="s">
        <v>30</v>
      </c>
      <c r="B131">
        <v>2016</v>
      </c>
      <c r="C131" t="s">
        <v>41</v>
      </c>
      <c r="D131" s="3">
        <v>42583</v>
      </c>
      <c r="E131" s="9">
        <v>138</v>
      </c>
      <c r="F131" s="9">
        <v>138.9</v>
      </c>
      <c r="G131" s="9">
        <v>137.1</v>
      </c>
      <c r="I131" s="9">
        <v>129.1</v>
      </c>
      <c r="J131" s="9">
        <v>124.2</v>
      </c>
      <c r="K131" s="9">
        <v>133.5</v>
      </c>
    </row>
    <row r="132" spans="1:11" x14ac:dyDescent="0.3">
      <c r="A132" t="s">
        <v>33</v>
      </c>
      <c r="B132">
        <v>2016</v>
      </c>
      <c r="C132" t="s">
        <v>41</v>
      </c>
      <c r="D132" s="3">
        <v>42583</v>
      </c>
      <c r="E132" s="9">
        <v>137.6</v>
      </c>
      <c r="F132" s="9">
        <v>143.6</v>
      </c>
      <c r="G132" s="9">
        <v>127.3</v>
      </c>
      <c r="H132" s="9">
        <v>127.3</v>
      </c>
      <c r="I132" s="9">
        <v>114.7</v>
      </c>
      <c r="J132" s="9">
        <v>119.9</v>
      </c>
      <c r="K132" s="9">
        <v>128.4</v>
      </c>
    </row>
    <row r="133" spans="1:11" x14ac:dyDescent="0.3">
      <c r="A133" t="s">
        <v>34</v>
      </c>
      <c r="B133">
        <v>2016</v>
      </c>
      <c r="C133" t="s">
        <v>41</v>
      </c>
      <c r="D133" s="3">
        <v>42583</v>
      </c>
      <c r="E133" s="9">
        <v>137.9</v>
      </c>
      <c r="F133" s="9">
        <v>140.19999999999999</v>
      </c>
      <c r="G133" s="9">
        <v>133.19999999999999</v>
      </c>
      <c r="H133" s="9">
        <v>127.3</v>
      </c>
      <c r="I133" s="9">
        <v>123.6</v>
      </c>
      <c r="J133" s="9">
        <v>122.1</v>
      </c>
      <c r="K133" s="9">
        <v>131.1</v>
      </c>
    </row>
    <row r="134" spans="1:11" x14ac:dyDescent="0.3">
      <c r="A134" t="s">
        <v>30</v>
      </c>
      <c r="B134">
        <v>2016</v>
      </c>
      <c r="C134" t="s">
        <v>42</v>
      </c>
      <c r="D134" s="3">
        <v>42614</v>
      </c>
      <c r="E134" s="9">
        <v>137.19999999999999</v>
      </c>
      <c r="F134" s="9">
        <v>139.9</v>
      </c>
      <c r="G134" s="9">
        <v>137.80000000000001</v>
      </c>
      <c r="I134" s="9">
        <v>129.69999999999999</v>
      </c>
      <c r="J134" s="9">
        <v>124.9</v>
      </c>
      <c r="K134" s="9">
        <v>133.4</v>
      </c>
    </row>
    <row r="135" spans="1:11" x14ac:dyDescent="0.3">
      <c r="A135" t="s">
        <v>33</v>
      </c>
      <c r="B135">
        <v>2016</v>
      </c>
      <c r="C135" t="s">
        <v>42</v>
      </c>
      <c r="D135" s="3">
        <v>42614</v>
      </c>
      <c r="E135" s="9">
        <v>135.69999999999999</v>
      </c>
      <c r="F135" s="9">
        <v>143.9</v>
      </c>
      <c r="G135" s="9">
        <v>127.7</v>
      </c>
      <c r="H135" s="9">
        <v>127.9</v>
      </c>
      <c r="I135" s="9">
        <v>114.8</v>
      </c>
      <c r="J135" s="9">
        <v>120.5</v>
      </c>
      <c r="K135" s="9">
        <v>128</v>
      </c>
    </row>
    <row r="136" spans="1:11" x14ac:dyDescent="0.3">
      <c r="A136" t="s">
        <v>34</v>
      </c>
      <c r="B136">
        <v>2016</v>
      </c>
      <c r="C136" t="s">
        <v>42</v>
      </c>
      <c r="D136" s="3">
        <v>42614</v>
      </c>
      <c r="E136" s="9">
        <v>136.6</v>
      </c>
      <c r="F136" s="9">
        <v>141</v>
      </c>
      <c r="G136" s="9">
        <v>133.80000000000001</v>
      </c>
      <c r="H136" s="9">
        <v>127.9</v>
      </c>
      <c r="I136" s="9">
        <v>124.1</v>
      </c>
      <c r="J136" s="9">
        <v>122.8</v>
      </c>
      <c r="K136" s="9">
        <v>130.9</v>
      </c>
    </row>
    <row r="137" spans="1:11" x14ac:dyDescent="0.3">
      <c r="A137" t="s">
        <v>30</v>
      </c>
      <c r="B137">
        <v>2016</v>
      </c>
      <c r="C137" t="s">
        <v>43</v>
      </c>
      <c r="D137" s="3">
        <v>42644</v>
      </c>
      <c r="E137" s="9">
        <v>137.4</v>
      </c>
      <c r="F137" s="9">
        <v>140.9</v>
      </c>
      <c r="G137" s="9">
        <v>138.80000000000001</v>
      </c>
      <c r="I137" s="9">
        <v>129.80000000000001</v>
      </c>
      <c r="J137" s="9">
        <v>125.7</v>
      </c>
      <c r="K137" s="9">
        <v>133.80000000000001</v>
      </c>
    </row>
    <row r="138" spans="1:11" x14ac:dyDescent="0.3">
      <c r="A138" t="s">
        <v>33</v>
      </c>
      <c r="B138">
        <v>2016</v>
      </c>
      <c r="C138" t="s">
        <v>43</v>
      </c>
      <c r="D138" s="3">
        <v>42644</v>
      </c>
      <c r="E138" s="9">
        <v>136.30000000000001</v>
      </c>
      <c r="F138" s="9">
        <v>144.30000000000001</v>
      </c>
      <c r="G138" s="9">
        <v>128</v>
      </c>
      <c r="H138" s="9">
        <v>128.69999999999999</v>
      </c>
      <c r="I138" s="9">
        <v>115.2</v>
      </c>
      <c r="J138" s="9">
        <v>120.9</v>
      </c>
      <c r="K138" s="9">
        <v>128.6</v>
      </c>
    </row>
    <row r="139" spans="1:11" x14ac:dyDescent="0.3">
      <c r="A139" t="s">
        <v>34</v>
      </c>
      <c r="B139">
        <v>2016</v>
      </c>
      <c r="C139" t="s">
        <v>43</v>
      </c>
      <c r="D139" s="3">
        <v>42644</v>
      </c>
      <c r="E139" s="9">
        <v>137</v>
      </c>
      <c r="F139" s="9">
        <v>141.80000000000001</v>
      </c>
      <c r="G139" s="9">
        <v>134.5</v>
      </c>
      <c r="H139" s="9">
        <v>128.69999999999999</v>
      </c>
      <c r="I139" s="9">
        <v>124.3</v>
      </c>
      <c r="J139" s="9">
        <v>123.4</v>
      </c>
      <c r="K139" s="9">
        <v>131.4</v>
      </c>
    </row>
    <row r="140" spans="1:11" x14ac:dyDescent="0.3">
      <c r="A140" t="s">
        <v>30</v>
      </c>
      <c r="B140">
        <v>2016</v>
      </c>
      <c r="C140" t="s">
        <v>45</v>
      </c>
      <c r="D140" s="3">
        <v>42675</v>
      </c>
      <c r="E140" s="9">
        <v>136.6</v>
      </c>
      <c r="F140" s="9">
        <v>141.19999999999999</v>
      </c>
      <c r="G140" s="9">
        <v>139.19999999999999</v>
      </c>
      <c r="I140" s="9">
        <v>130.30000000000001</v>
      </c>
      <c r="J140" s="9">
        <v>126.1</v>
      </c>
      <c r="K140" s="9">
        <v>133.6</v>
      </c>
    </row>
    <row r="141" spans="1:11" x14ac:dyDescent="0.3">
      <c r="A141" t="s">
        <v>33</v>
      </c>
      <c r="B141">
        <v>2016</v>
      </c>
      <c r="C141" t="s">
        <v>45</v>
      </c>
      <c r="D141" s="3">
        <v>42675</v>
      </c>
      <c r="E141" s="9">
        <v>135.19999999999999</v>
      </c>
      <c r="F141" s="9">
        <v>144.30000000000001</v>
      </c>
      <c r="G141" s="9">
        <v>128.5</v>
      </c>
      <c r="H141" s="9">
        <v>129.1</v>
      </c>
      <c r="I141" s="9">
        <v>116.2</v>
      </c>
      <c r="J141" s="9">
        <v>121.3</v>
      </c>
      <c r="K141" s="9">
        <v>128.5</v>
      </c>
    </row>
    <row r="142" spans="1:11" x14ac:dyDescent="0.3">
      <c r="A142" t="s">
        <v>34</v>
      </c>
      <c r="B142">
        <v>2016</v>
      </c>
      <c r="C142" t="s">
        <v>45</v>
      </c>
      <c r="D142" s="3">
        <v>42675</v>
      </c>
      <c r="E142" s="9">
        <v>136.1</v>
      </c>
      <c r="F142" s="9">
        <v>142</v>
      </c>
      <c r="G142" s="9">
        <v>135</v>
      </c>
      <c r="H142" s="9">
        <v>129.1</v>
      </c>
      <c r="I142" s="9">
        <v>125</v>
      </c>
      <c r="J142" s="9">
        <v>123.8</v>
      </c>
      <c r="K142" s="9">
        <v>131.19999999999999</v>
      </c>
    </row>
    <row r="143" spans="1:11" x14ac:dyDescent="0.3">
      <c r="A143" t="s">
        <v>30</v>
      </c>
      <c r="B143">
        <v>2016</v>
      </c>
      <c r="C143" t="s">
        <v>46</v>
      </c>
      <c r="D143" s="3">
        <v>42705</v>
      </c>
      <c r="E143" s="9">
        <v>134.69999999999999</v>
      </c>
      <c r="F143" s="9">
        <v>142.4</v>
      </c>
      <c r="G143" s="9">
        <v>139.69999999999999</v>
      </c>
      <c r="I143" s="9">
        <v>132</v>
      </c>
      <c r="J143" s="9">
        <v>126.3</v>
      </c>
      <c r="K143" s="9">
        <v>132.80000000000001</v>
      </c>
    </row>
    <row r="144" spans="1:11" x14ac:dyDescent="0.3">
      <c r="A144" t="s">
        <v>33</v>
      </c>
      <c r="B144">
        <v>2016</v>
      </c>
      <c r="C144" t="s">
        <v>46</v>
      </c>
      <c r="D144" s="3">
        <v>42705</v>
      </c>
      <c r="E144" s="9">
        <v>132.80000000000001</v>
      </c>
      <c r="F144" s="9">
        <v>145</v>
      </c>
      <c r="G144" s="9">
        <v>128.80000000000001</v>
      </c>
      <c r="H144" s="9">
        <v>128.5</v>
      </c>
      <c r="I144" s="9">
        <v>117.8</v>
      </c>
      <c r="J144" s="9">
        <v>121.4</v>
      </c>
      <c r="K144" s="9">
        <v>127.6</v>
      </c>
    </row>
    <row r="145" spans="1:11" x14ac:dyDescent="0.3">
      <c r="A145" t="s">
        <v>34</v>
      </c>
      <c r="B145">
        <v>2016</v>
      </c>
      <c r="C145" t="s">
        <v>46</v>
      </c>
      <c r="D145" s="3">
        <v>42705</v>
      </c>
      <c r="E145" s="9">
        <v>134</v>
      </c>
      <c r="F145" s="9">
        <v>143.1</v>
      </c>
      <c r="G145" s="9">
        <v>135.4</v>
      </c>
      <c r="H145" s="9">
        <v>128.5</v>
      </c>
      <c r="I145" s="9">
        <v>126.6</v>
      </c>
      <c r="J145" s="9">
        <v>123.9</v>
      </c>
      <c r="K145" s="9">
        <v>130.4</v>
      </c>
    </row>
    <row r="146" spans="1:11" x14ac:dyDescent="0.3">
      <c r="A146" t="s">
        <v>30</v>
      </c>
      <c r="B146">
        <v>2017</v>
      </c>
      <c r="C146" t="s">
        <v>31</v>
      </c>
      <c r="D146" s="3">
        <v>42736</v>
      </c>
      <c r="E146" s="9">
        <v>133.69999999999999</v>
      </c>
      <c r="F146" s="9">
        <v>143.1</v>
      </c>
      <c r="G146" s="9">
        <v>140</v>
      </c>
      <c r="I146" s="9">
        <v>132.1</v>
      </c>
      <c r="J146" s="9">
        <v>126.6</v>
      </c>
      <c r="K146" s="9">
        <v>132.4</v>
      </c>
    </row>
    <row r="147" spans="1:11" x14ac:dyDescent="0.3">
      <c r="A147" t="s">
        <v>33</v>
      </c>
      <c r="B147">
        <v>2017</v>
      </c>
      <c r="C147" t="s">
        <v>31</v>
      </c>
      <c r="D147" s="3">
        <v>42736</v>
      </c>
      <c r="E147" s="9">
        <v>132</v>
      </c>
      <c r="F147" s="9">
        <v>145.6</v>
      </c>
      <c r="G147" s="9">
        <v>129</v>
      </c>
      <c r="H147" s="9">
        <v>129.6</v>
      </c>
      <c r="I147" s="9">
        <v>118</v>
      </c>
      <c r="J147" s="9">
        <v>122.1</v>
      </c>
      <c r="K147" s="9">
        <v>127.8</v>
      </c>
    </row>
    <row r="148" spans="1:11" x14ac:dyDescent="0.3">
      <c r="A148" t="s">
        <v>34</v>
      </c>
      <c r="B148">
        <v>2017</v>
      </c>
      <c r="C148" t="s">
        <v>31</v>
      </c>
      <c r="D148" s="3">
        <v>42736</v>
      </c>
      <c r="E148" s="9">
        <v>133.1</v>
      </c>
      <c r="F148" s="9">
        <v>143.80000000000001</v>
      </c>
      <c r="G148" s="9">
        <v>135.6</v>
      </c>
      <c r="H148" s="9">
        <v>129.6</v>
      </c>
      <c r="I148" s="9">
        <v>126.8</v>
      </c>
      <c r="J148" s="9">
        <v>124.4</v>
      </c>
      <c r="K148" s="9">
        <v>130.30000000000001</v>
      </c>
    </row>
    <row r="149" spans="1:11" x14ac:dyDescent="0.3">
      <c r="A149" t="s">
        <v>30</v>
      </c>
      <c r="B149">
        <v>2017</v>
      </c>
      <c r="C149" t="s">
        <v>35</v>
      </c>
      <c r="D149" s="3">
        <v>42767</v>
      </c>
      <c r="E149" s="9">
        <v>133.6</v>
      </c>
      <c r="F149" s="9">
        <v>143.69999999999999</v>
      </c>
      <c r="G149" s="9">
        <v>140.19999999999999</v>
      </c>
      <c r="I149" s="9">
        <v>133.19999999999999</v>
      </c>
      <c r="J149" s="9">
        <v>127</v>
      </c>
      <c r="K149" s="9">
        <v>132.6</v>
      </c>
    </row>
    <row r="150" spans="1:11" x14ac:dyDescent="0.3">
      <c r="A150" t="s">
        <v>33</v>
      </c>
      <c r="B150">
        <v>2017</v>
      </c>
      <c r="C150" t="s">
        <v>35</v>
      </c>
      <c r="D150" s="3">
        <v>42767</v>
      </c>
      <c r="E150" s="9">
        <v>132.1</v>
      </c>
      <c r="F150" s="9">
        <v>146.30000000000001</v>
      </c>
      <c r="G150" s="9">
        <v>129.30000000000001</v>
      </c>
      <c r="H150" s="9">
        <v>130.5</v>
      </c>
      <c r="I150" s="9">
        <v>119.2</v>
      </c>
      <c r="J150" s="9">
        <v>122.4</v>
      </c>
      <c r="K150" s="9">
        <v>128.19999999999999</v>
      </c>
    </row>
    <row r="151" spans="1:11" x14ac:dyDescent="0.3">
      <c r="A151" t="s">
        <v>34</v>
      </c>
      <c r="B151">
        <v>2017</v>
      </c>
      <c r="C151" t="s">
        <v>35</v>
      </c>
      <c r="D151" s="3">
        <v>42767</v>
      </c>
      <c r="E151" s="9">
        <v>133</v>
      </c>
      <c r="F151" s="9">
        <v>144.4</v>
      </c>
      <c r="G151" s="9">
        <v>135.9</v>
      </c>
      <c r="H151" s="9">
        <v>130.5</v>
      </c>
      <c r="I151" s="9">
        <v>127.9</v>
      </c>
      <c r="J151" s="9">
        <v>124.8</v>
      </c>
      <c r="K151" s="9">
        <v>130.6</v>
      </c>
    </row>
    <row r="152" spans="1:11" x14ac:dyDescent="0.3">
      <c r="A152" t="s">
        <v>30</v>
      </c>
      <c r="B152">
        <v>2017</v>
      </c>
      <c r="C152" t="s">
        <v>36</v>
      </c>
      <c r="D152" s="3">
        <v>42795</v>
      </c>
      <c r="E152" s="9">
        <v>133.4</v>
      </c>
      <c r="F152" s="9">
        <v>144.19999999999999</v>
      </c>
      <c r="G152" s="9">
        <v>140.80000000000001</v>
      </c>
      <c r="I152" s="9">
        <v>134.19999999999999</v>
      </c>
      <c r="J152" s="9">
        <v>127.4</v>
      </c>
      <c r="K152" s="9">
        <v>132.80000000000001</v>
      </c>
    </row>
    <row r="153" spans="1:11" x14ac:dyDescent="0.3">
      <c r="A153" t="s">
        <v>33</v>
      </c>
      <c r="B153">
        <v>2017</v>
      </c>
      <c r="C153" t="s">
        <v>36</v>
      </c>
      <c r="D153" s="3">
        <v>42795</v>
      </c>
      <c r="E153" s="9">
        <v>132.6</v>
      </c>
      <c r="F153" s="9">
        <v>147.5</v>
      </c>
      <c r="G153" s="9">
        <v>129.6</v>
      </c>
      <c r="H153" s="9">
        <v>131.1</v>
      </c>
      <c r="I153" s="9">
        <v>120.8</v>
      </c>
      <c r="J153" s="9">
        <v>122.6</v>
      </c>
      <c r="K153" s="9">
        <v>128.69999999999999</v>
      </c>
    </row>
    <row r="154" spans="1:11" x14ac:dyDescent="0.3">
      <c r="A154" t="s">
        <v>34</v>
      </c>
      <c r="B154">
        <v>2017</v>
      </c>
      <c r="C154" t="s">
        <v>36</v>
      </c>
      <c r="D154" s="3">
        <v>42795</v>
      </c>
      <c r="E154" s="9">
        <v>133.1</v>
      </c>
      <c r="F154" s="9">
        <v>145.1</v>
      </c>
      <c r="G154" s="9">
        <v>136.4</v>
      </c>
      <c r="H154" s="9">
        <v>131.1</v>
      </c>
      <c r="I154" s="9">
        <v>129.1</v>
      </c>
      <c r="J154" s="9">
        <v>125.1</v>
      </c>
      <c r="K154" s="9">
        <v>130.9</v>
      </c>
    </row>
    <row r="155" spans="1:11" x14ac:dyDescent="0.3">
      <c r="A155" t="s">
        <v>30</v>
      </c>
      <c r="B155">
        <v>2017</v>
      </c>
      <c r="C155" t="s">
        <v>37</v>
      </c>
      <c r="D155" s="3">
        <v>42826</v>
      </c>
      <c r="E155" s="9">
        <v>133.5</v>
      </c>
      <c r="F155" s="9">
        <v>144.4</v>
      </c>
      <c r="G155" s="9">
        <v>141.6</v>
      </c>
      <c r="I155" s="9">
        <v>135</v>
      </c>
      <c r="J155" s="9">
        <v>127.5</v>
      </c>
      <c r="K155" s="9">
        <v>132.9</v>
      </c>
    </row>
    <row r="156" spans="1:11" x14ac:dyDescent="0.3">
      <c r="A156" t="s">
        <v>33</v>
      </c>
      <c r="B156">
        <v>2017</v>
      </c>
      <c r="C156" t="s">
        <v>37</v>
      </c>
      <c r="D156" s="3">
        <v>42826</v>
      </c>
      <c r="E156" s="9">
        <v>133.4</v>
      </c>
      <c r="F156" s="9">
        <v>148</v>
      </c>
      <c r="G156" s="9">
        <v>130</v>
      </c>
      <c r="H156" s="9">
        <v>131.69999999999999</v>
      </c>
      <c r="I156" s="9">
        <v>121.4</v>
      </c>
      <c r="J156" s="9">
        <v>122.5</v>
      </c>
      <c r="K156" s="9">
        <v>129.1</v>
      </c>
    </row>
    <row r="157" spans="1:11" x14ac:dyDescent="0.3">
      <c r="A157" t="s">
        <v>34</v>
      </c>
      <c r="B157">
        <v>2017</v>
      </c>
      <c r="C157" t="s">
        <v>37</v>
      </c>
      <c r="D157" s="3">
        <v>42826</v>
      </c>
      <c r="E157" s="9">
        <v>133.5</v>
      </c>
      <c r="F157" s="9">
        <v>145.4</v>
      </c>
      <c r="G157" s="9">
        <v>137</v>
      </c>
      <c r="H157" s="9">
        <v>131.69999999999999</v>
      </c>
      <c r="I157" s="9">
        <v>129.80000000000001</v>
      </c>
      <c r="J157" s="9">
        <v>125.1</v>
      </c>
      <c r="K157" s="9">
        <v>131.1</v>
      </c>
    </row>
    <row r="158" spans="1:11" x14ac:dyDescent="0.3">
      <c r="A158" t="s">
        <v>30</v>
      </c>
      <c r="B158">
        <v>2017</v>
      </c>
      <c r="C158" t="s">
        <v>38</v>
      </c>
      <c r="D158" s="3">
        <v>42856</v>
      </c>
      <c r="E158" s="9">
        <v>133.80000000000001</v>
      </c>
      <c r="F158" s="9">
        <v>145.5</v>
      </c>
      <c r="G158" s="9">
        <v>141.80000000000001</v>
      </c>
      <c r="I158" s="9">
        <v>135</v>
      </c>
      <c r="J158" s="9">
        <v>127.9</v>
      </c>
      <c r="K158" s="9">
        <v>133.30000000000001</v>
      </c>
    </row>
    <row r="159" spans="1:11" x14ac:dyDescent="0.3">
      <c r="A159" t="s">
        <v>33</v>
      </c>
      <c r="B159">
        <v>2017</v>
      </c>
      <c r="C159" t="s">
        <v>38</v>
      </c>
      <c r="D159" s="3">
        <v>42856</v>
      </c>
      <c r="E159" s="9">
        <v>133.6</v>
      </c>
      <c r="F159" s="9">
        <v>148.30000000000001</v>
      </c>
      <c r="G159" s="9">
        <v>130.19999999999999</v>
      </c>
      <c r="H159" s="9">
        <v>132.1</v>
      </c>
      <c r="I159" s="9">
        <v>120.1</v>
      </c>
      <c r="J159" s="9">
        <v>122.6</v>
      </c>
      <c r="K159" s="9">
        <v>129.30000000000001</v>
      </c>
    </row>
    <row r="160" spans="1:11" x14ac:dyDescent="0.3">
      <c r="A160" t="s">
        <v>34</v>
      </c>
      <c r="B160">
        <v>2017</v>
      </c>
      <c r="C160" t="s">
        <v>38</v>
      </c>
      <c r="D160" s="3">
        <v>42856</v>
      </c>
      <c r="E160" s="9">
        <v>133.69999999999999</v>
      </c>
      <c r="F160" s="9">
        <v>146.19999999999999</v>
      </c>
      <c r="G160" s="9">
        <v>137.19999999999999</v>
      </c>
      <c r="H160" s="9">
        <v>132.1</v>
      </c>
      <c r="I160" s="9">
        <v>129.4</v>
      </c>
      <c r="J160" s="9">
        <v>125.3</v>
      </c>
      <c r="K160" s="9">
        <v>131.4</v>
      </c>
    </row>
    <row r="161" spans="1:11" x14ac:dyDescent="0.3">
      <c r="A161" t="s">
        <v>30</v>
      </c>
      <c r="B161">
        <v>2017</v>
      </c>
      <c r="C161" t="s">
        <v>39</v>
      </c>
      <c r="D161" s="3">
        <v>42887</v>
      </c>
      <c r="E161" s="9">
        <v>134.9</v>
      </c>
      <c r="F161" s="9">
        <v>145.80000000000001</v>
      </c>
      <c r="G161" s="9">
        <v>142.30000000000001</v>
      </c>
      <c r="I161" s="9">
        <v>134.80000000000001</v>
      </c>
      <c r="J161" s="9">
        <v>128.1</v>
      </c>
      <c r="K161" s="9">
        <v>133.9</v>
      </c>
    </row>
    <row r="162" spans="1:11" x14ac:dyDescent="0.3">
      <c r="A162" t="s">
        <v>33</v>
      </c>
      <c r="B162">
        <v>2017</v>
      </c>
      <c r="C162" t="s">
        <v>39</v>
      </c>
      <c r="D162" s="3">
        <v>42887</v>
      </c>
      <c r="E162" s="9">
        <v>135.69999999999999</v>
      </c>
      <c r="F162" s="9">
        <v>148.6</v>
      </c>
      <c r="G162" s="9">
        <v>130.19999999999999</v>
      </c>
      <c r="H162" s="9">
        <v>131.4</v>
      </c>
      <c r="I162" s="9">
        <v>119</v>
      </c>
      <c r="J162" s="9">
        <v>122.7</v>
      </c>
      <c r="K162" s="9">
        <v>129.9</v>
      </c>
    </row>
    <row r="163" spans="1:11" x14ac:dyDescent="0.3">
      <c r="A163" t="s">
        <v>34</v>
      </c>
      <c r="B163">
        <v>2017</v>
      </c>
      <c r="C163" t="s">
        <v>39</v>
      </c>
      <c r="D163" s="3">
        <v>42887</v>
      </c>
      <c r="E163" s="9">
        <v>135.19999999999999</v>
      </c>
      <c r="F163" s="9">
        <v>146.5</v>
      </c>
      <c r="G163" s="9">
        <v>137.5</v>
      </c>
      <c r="H163" s="9">
        <v>131.4</v>
      </c>
      <c r="I163" s="9">
        <v>128.80000000000001</v>
      </c>
      <c r="J163" s="9">
        <v>125.5</v>
      </c>
      <c r="K163" s="9">
        <v>132</v>
      </c>
    </row>
    <row r="164" spans="1:11" x14ac:dyDescent="0.3">
      <c r="A164" t="s">
        <v>30</v>
      </c>
      <c r="B164">
        <v>2017</v>
      </c>
      <c r="C164" t="s">
        <v>40</v>
      </c>
      <c r="D164" s="3">
        <v>42917</v>
      </c>
      <c r="E164" s="9">
        <v>138.5</v>
      </c>
      <c r="F164" s="9">
        <v>147.4</v>
      </c>
      <c r="G164" s="9">
        <v>143.5</v>
      </c>
      <c r="I164" s="9">
        <v>135.30000000000001</v>
      </c>
      <c r="J164" s="9">
        <v>128.6</v>
      </c>
      <c r="K164" s="9">
        <v>136.19999999999999</v>
      </c>
    </row>
    <row r="165" spans="1:11" x14ac:dyDescent="0.3">
      <c r="A165" t="s">
        <v>33</v>
      </c>
      <c r="B165">
        <v>2017</v>
      </c>
      <c r="C165" t="s">
        <v>40</v>
      </c>
      <c r="D165" s="3">
        <v>42917</v>
      </c>
      <c r="E165" s="9">
        <v>139.80000000000001</v>
      </c>
      <c r="F165" s="9">
        <v>150.5</v>
      </c>
      <c r="G165" s="9">
        <v>130.4</v>
      </c>
      <c r="H165" s="9">
        <v>132.6</v>
      </c>
      <c r="I165" s="9">
        <v>119.7</v>
      </c>
      <c r="J165" s="9">
        <v>123</v>
      </c>
      <c r="K165" s="9">
        <v>131.80000000000001</v>
      </c>
    </row>
    <row r="166" spans="1:11" x14ac:dyDescent="0.3">
      <c r="A166" t="s">
        <v>34</v>
      </c>
      <c r="B166">
        <v>2017</v>
      </c>
      <c r="C166" t="s">
        <v>40</v>
      </c>
      <c r="D166" s="3">
        <v>42917</v>
      </c>
      <c r="E166" s="9">
        <v>139</v>
      </c>
      <c r="F166" s="9">
        <v>148.19999999999999</v>
      </c>
      <c r="G166" s="9">
        <v>138.30000000000001</v>
      </c>
      <c r="H166" s="9">
        <v>132.6</v>
      </c>
      <c r="I166" s="9">
        <v>129.4</v>
      </c>
      <c r="J166" s="9">
        <v>125.9</v>
      </c>
      <c r="K166" s="9">
        <v>134.19999999999999</v>
      </c>
    </row>
    <row r="167" spans="1:11" x14ac:dyDescent="0.3">
      <c r="A167" t="s">
        <v>30</v>
      </c>
      <c r="B167">
        <v>2017</v>
      </c>
      <c r="C167" t="s">
        <v>41</v>
      </c>
      <c r="D167" s="3">
        <v>42948</v>
      </c>
      <c r="E167" s="9">
        <v>140.6</v>
      </c>
      <c r="F167" s="9">
        <v>149</v>
      </c>
      <c r="G167" s="9">
        <v>144.5</v>
      </c>
      <c r="I167" s="9">
        <v>136.4</v>
      </c>
      <c r="J167" s="9">
        <v>129.69999999999999</v>
      </c>
      <c r="K167" s="9">
        <v>137.80000000000001</v>
      </c>
    </row>
    <row r="168" spans="1:11" x14ac:dyDescent="0.3">
      <c r="A168" t="s">
        <v>33</v>
      </c>
      <c r="B168">
        <v>2017</v>
      </c>
      <c r="C168" t="s">
        <v>41</v>
      </c>
      <c r="D168" s="3">
        <v>42948</v>
      </c>
      <c r="E168" s="9">
        <v>140.5</v>
      </c>
      <c r="F168" s="9">
        <v>152.1</v>
      </c>
      <c r="G168" s="9">
        <v>131.4</v>
      </c>
      <c r="H168" s="9">
        <v>134.4</v>
      </c>
      <c r="I168" s="9">
        <v>118.9</v>
      </c>
      <c r="J168" s="9">
        <v>123.8</v>
      </c>
      <c r="K168" s="9">
        <v>132.69999999999999</v>
      </c>
    </row>
    <row r="169" spans="1:11" x14ac:dyDescent="0.3">
      <c r="A169" t="s">
        <v>34</v>
      </c>
      <c r="B169">
        <v>2017</v>
      </c>
      <c r="C169" t="s">
        <v>41</v>
      </c>
      <c r="D169" s="3">
        <v>42948</v>
      </c>
      <c r="E169" s="9">
        <v>140.6</v>
      </c>
      <c r="F169" s="9">
        <v>149.80000000000001</v>
      </c>
      <c r="G169" s="9">
        <v>139.30000000000001</v>
      </c>
      <c r="H169" s="9">
        <v>134.4</v>
      </c>
      <c r="I169" s="9">
        <v>129.80000000000001</v>
      </c>
      <c r="J169" s="9">
        <v>126.8</v>
      </c>
      <c r="K169" s="9">
        <v>135.4</v>
      </c>
    </row>
    <row r="170" spans="1:11" x14ac:dyDescent="0.3">
      <c r="A170" t="s">
        <v>30</v>
      </c>
      <c r="B170">
        <v>2017</v>
      </c>
      <c r="C170" t="s">
        <v>42</v>
      </c>
      <c r="D170" s="3">
        <v>42979</v>
      </c>
      <c r="E170" s="9">
        <v>139.6</v>
      </c>
      <c r="F170" s="9">
        <v>149.80000000000001</v>
      </c>
      <c r="G170" s="9">
        <v>145.19999999999999</v>
      </c>
      <c r="I170" s="9">
        <v>137.4</v>
      </c>
      <c r="J170" s="9">
        <v>130.30000000000001</v>
      </c>
      <c r="K170" s="9">
        <v>137.6</v>
      </c>
    </row>
    <row r="171" spans="1:11" x14ac:dyDescent="0.3">
      <c r="A171" t="s">
        <v>33</v>
      </c>
      <c r="B171">
        <v>2017</v>
      </c>
      <c r="C171" t="s">
        <v>42</v>
      </c>
      <c r="D171" s="3">
        <v>42979</v>
      </c>
      <c r="E171" s="9">
        <v>138</v>
      </c>
      <c r="F171" s="9">
        <v>153.6</v>
      </c>
      <c r="G171" s="9">
        <v>132</v>
      </c>
      <c r="H171" s="9">
        <v>135.69999999999999</v>
      </c>
      <c r="I171" s="9">
        <v>120.6</v>
      </c>
      <c r="J171" s="9">
        <v>124.5</v>
      </c>
      <c r="K171" s="9">
        <v>132.4</v>
      </c>
    </row>
    <row r="172" spans="1:11" x14ac:dyDescent="0.3">
      <c r="A172" t="s">
        <v>34</v>
      </c>
      <c r="B172">
        <v>2017</v>
      </c>
      <c r="C172" t="s">
        <v>42</v>
      </c>
      <c r="D172" s="3">
        <v>42979</v>
      </c>
      <c r="E172" s="9">
        <v>139</v>
      </c>
      <c r="F172" s="9">
        <v>150.80000000000001</v>
      </c>
      <c r="G172" s="9">
        <v>140</v>
      </c>
      <c r="H172" s="9">
        <v>135.69999999999999</v>
      </c>
      <c r="I172" s="9">
        <v>131</v>
      </c>
      <c r="J172" s="9">
        <v>127.5</v>
      </c>
      <c r="K172" s="9">
        <v>135.19999999999999</v>
      </c>
    </row>
    <row r="173" spans="1:11" x14ac:dyDescent="0.3">
      <c r="A173" t="s">
        <v>30</v>
      </c>
      <c r="B173">
        <v>2017</v>
      </c>
      <c r="C173" t="s">
        <v>43</v>
      </c>
      <c r="D173" s="3">
        <v>43009</v>
      </c>
      <c r="E173" s="9">
        <v>140.4</v>
      </c>
      <c r="F173" s="9">
        <v>150.5</v>
      </c>
      <c r="G173" s="9">
        <v>146.19999999999999</v>
      </c>
      <c r="I173" s="9">
        <v>138.1</v>
      </c>
      <c r="J173" s="9">
        <v>130.69999999999999</v>
      </c>
      <c r="K173" s="9">
        <v>138.30000000000001</v>
      </c>
    </row>
    <row r="174" spans="1:11" x14ac:dyDescent="0.3">
      <c r="A174" t="s">
        <v>33</v>
      </c>
      <c r="B174">
        <v>2017</v>
      </c>
      <c r="C174" t="s">
        <v>43</v>
      </c>
      <c r="D174" s="3">
        <v>43009</v>
      </c>
      <c r="E174" s="9">
        <v>139.69999999999999</v>
      </c>
      <c r="F174" s="9">
        <v>154.6</v>
      </c>
      <c r="G174" s="9">
        <v>132.6</v>
      </c>
      <c r="H174" s="9">
        <v>137.30000000000001</v>
      </c>
      <c r="I174" s="9">
        <v>122.6</v>
      </c>
      <c r="J174" s="9">
        <v>124.5</v>
      </c>
      <c r="K174" s="9">
        <v>133.5</v>
      </c>
    </row>
    <row r="175" spans="1:11" x14ac:dyDescent="0.3">
      <c r="A175" t="s">
        <v>34</v>
      </c>
      <c r="B175">
        <v>2017</v>
      </c>
      <c r="C175" t="s">
        <v>43</v>
      </c>
      <c r="D175" s="3">
        <v>43009</v>
      </c>
      <c r="E175" s="9">
        <v>140.1</v>
      </c>
      <c r="F175" s="9">
        <v>151.6</v>
      </c>
      <c r="G175" s="9">
        <v>140.80000000000001</v>
      </c>
      <c r="H175" s="9">
        <v>137.30000000000001</v>
      </c>
      <c r="I175" s="9">
        <v>132.19999999999999</v>
      </c>
      <c r="J175" s="9">
        <v>127.7</v>
      </c>
      <c r="K175" s="9">
        <v>136.1</v>
      </c>
    </row>
    <row r="176" spans="1:11" x14ac:dyDescent="0.3">
      <c r="A176" t="s">
        <v>30</v>
      </c>
      <c r="B176">
        <v>2017</v>
      </c>
      <c r="C176" t="s">
        <v>45</v>
      </c>
      <c r="D176" s="3">
        <v>43040</v>
      </c>
      <c r="E176" s="9">
        <v>142.4</v>
      </c>
      <c r="F176" s="9">
        <v>152.1</v>
      </c>
      <c r="G176" s="9">
        <v>147.30000000000001</v>
      </c>
      <c r="I176" s="9">
        <v>141.1</v>
      </c>
      <c r="J176" s="9">
        <v>131.69999999999999</v>
      </c>
      <c r="K176" s="9">
        <v>140</v>
      </c>
    </row>
    <row r="177" spans="1:11" x14ac:dyDescent="0.3">
      <c r="A177" t="s">
        <v>33</v>
      </c>
      <c r="B177">
        <v>2017</v>
      </c>
      <c r="C177" t="s">
        <v>45</v>
      </c>
      <c r="D177" s="3">
        <v>43040</v>
      </c>
      <c r="E177" s="9">
        <v>141.5</v>
      </c>
      <c r="F177" s="9">
        <v>156.19999999999999</v>
      </c>
      <c r="G177" s="9">
        <v>133.5</v>
      </c>
      <c r="H177" s="9">
        <v>138.6</v>
      </c>
      <c r="I177" s="9">
        <v>125.7</v>
      </c>
      <c r="J177" s="9">
        <v>124.9</v>
      </c>
      <c r="K177" s="9">
        <v>134.80000000000001</v>
      </c>
    </row>
    <row r="178" spans="1:11" x14ac:dyDescent="0.3">
      <c r="A178" t="s">
        <v>34</v>
      </c>
      <c r="B178">
        <v>2017</v>
      </c>
      <c r="C178" t="s">
        <v>45</v>
      </c>
      <c r="D178" s="3">
        <v>43040</v>
      </c>
      <c r="E178" s="9">
        <v>142.1</v>
      </c>
      <c r="F178" s="9">
        <v>153.19999999999999</v>
      </c>
      <c r="G178" s="9">
        <v>141.80000000000001</v>
      </c>
      <c r="H178" s="9">
        <v>138.6</v>
      </c>
      <c r="I178" s="9">
        <v>135.30000000000001</v>
      </c>
      <c r="J178" s="9">
        <v>128.4</v>
      </c>
      <c r="K178" s="9">
        <v>137.6</v>
      </c>
    </row>
    <row r="179" spans="1:11" x14ac:dyDescent="0.3">
      <c r="A179" t="s">
        <v>30</v>
      </c>
      <c r="B179">
        <v>2017</v>
      </c>
      <c r="C179" t="s">
        <v>46</v>
      </c>
      <c r="D179" s="3">
        <v>43070</v>
      </c>
      <c r="E179" s="9">
        <v>141.5</v>
      </c>
      <c r="F179" s="9">
        <v>153.19999999999999</v>
      </c>
      <c r="G179" s="9">
        <v>147.19999999999999</v>
      </c>
      <c r="I179" s="9">
        <v>142.6</v>
      </c>
      <c r="J179" s="9">
        <v>131.9</v>
      </c>
      <c r="K179" s="9">
        <v>139.80000000000001</v>
      </c>
    </row>
    <row r="180" spans="1:11" x14ac:dyDescent="0.3">
      <c r="A180" t="s">
        <v>33</v>
      </c>
      <c r="B180">
        <v>2017</v>
      </c>
      <c r="C180" t="s">
        <v>46</v>
      </c>
      <c r="D180" s="3">
        <v>43070</v>
      </c>
      <c r="E180" s="9">
        <v>138.80000000000001</v>
      </c>
      <c r="F180" s="9">
        <v>157</v>
      </c>
      <c r="G180" s="9">
        <v>134</v>
      </c>
      <c r="H180" s="9">
        <v>139.1</v>
      </c>
      <c r="I180" s="9">
        <v>126.8</v>
      </c>
      <c r="J180" s="9">
        <v>125.1</v>
      </c>
      <c r="K180" s="9">
        <v>134.1</v>
      </c>
    </row>
    <row r="181" spans="1:11" x14ac:dyDescent="0.3">
      <c r="A181" t="s">
        <v>34</v>
      </c>
      <c r="B181">
        <v>2017</v>
      </c>
      <c r="C181" t="s">
        <v>46</v>
      </c>
      <c r="D181" s="3">
        <v>43070</v>
      </c>
      <c r="E181" s="9">
        <v>140.5</v>
      </c>
      <c r="F181" s="9">
        <v>154.19999999999999</v>
      </c>
      <c r="G181" s="9">
        <v>142</v>
      </c>
      <c r="H181" s="9">
        <v>139.1</v>
      </c>
      <c r="I181" s="9">
        <v>136.6</v>
      </c>
      <c r="J181" s="9">
        <v>128.6</v>
      </c>
      <c r="K181" s="9">
        <v>137.19999999999999</v>
      </c>
    </row>
    <row r="182" spans="1:11" x14ac:dyDescent="0.3">
      <c r="A182" t="s">
        <v>30</v>
      </c>
      <c r="B182">
        <v>2018</v>
      </c>
      <c r="C182" t="s">
        <v>31</v>
      </c>
      <c r="D182" s="3">
        <v>43101</v>
      </c>
      <c r="E182" s="9">
        <v>140.4</v>
      </c>
      <c r="F182" s="9">
        <v>153.6</v>
      </c>
      <c r="G182" s="9">
        <v>147.5</v>
      </c>
      <c r="I182" s="9">
        <v>142.30000000000001</v>
      </c>
      <c r="J182" s="9">
        <v>132.30000000000001</v>
      </c>
      <c r="K182" s="9">
        <v>139.30000000000001</v>
      </c>
    </row>
    <row r="183" spans="1:11" x14ac:dyDescent="0.3">
      <c r="A183" t="s">
        <v>33</v>
      </c>
      <c r="B183">
        <v>2018</v>
      </c>
      <c r="C183" t="s">
        <v>31</v>
      </c>
      <c r="D183" s="3">
        <v>43101</v>
      </c>
      <c r="E183" s="9">
        <v>137.19999999999999</v>
      </c>
      <c r="F183" s="9">
        <v>157.69999999999999</v>
      </c>
      <c r="G183" s="9">
        <v>134.4</v>
      </c>
      <c r="H183" s="9">
        <v>140.4</v>
      </c>
      <c r="I183" s="9">
        <v>127.3</v>
      </c>
      <c r="J183" s="9">
        <v>125.8</v>
      </c>
      <c r="K183" s="9">
        <v>134.1</v>
      </c>
    </row>
    <row r="184" spans="1:11" x14ac:dyDescent="0.3">
      <c r="A184" t="s">
        <v>34</v>
      </c>
      <c r="B184">
        <v>2018</v>
      </c>
      <c r="C184" t="s">
        <v>31</v>
      </c>
      <c r="D184" s="3">
        <v>43101</v>
      </c>
      <c r="E184" s="9">
        <v>139.19999999999999</v>
      </c>
      <c r="F184" s="9">
        <v>154.69999999999999</v>
      </c>
      <c r="G184" s="9">
        <v>142.30000000000001</v>
      </c>
      <c r="H184" s="9">
        <v>140.4</v>
      </c>
      <c r="I184" s="9">
        <v>136.6</v>
      </c>
      <c r="J184" s="9">
        <v>129.1</v>
      </c>
      <c r="K184" s="9">
        <v>136.9</v>
      </c>
    </row>
    <row r="185" spans="1:11" x14ac:dyDescent="0.3">
      <c r="A185" t="s">
        <v>30</v>
      </c>
      <c r="B185">
        <v>2018</v>
      </c>
      <c r="C185" t="s">
        <v>35</v>
      </c>
      <c r="D185" s="3">
        <v>43132</v>
      </c>
      <c r="E185" s="9">
        <v>138.69999999999999</v>
      </c>
      <c r="F185" s="9">
        <v>153.30000000000001</v>
      </c>
      <c r="G185" s="9">
        <v>147.80000000000001</v>
      </c>
      <c r="I185" s="9">
        <v>142.4</v>
      </c>
      <c r="J185" s="9">
        <v>132.5</v>
      </c>
      <c r="K185" s="9">
        <v>138.5</v>
      </c>
    </row>
    <row r="186" spans="1:11" x14ac:dyDescent="0.3">
      <c r="A186" t="s">
        <v>33</v>
      </c>
      <c r="B186">
        <v>2018</v>
      </c>
      <c r="C186" t="s">
        <v>35</v>
      </c>
      <c r="D186" s="3">
        <v>43132</v>
      </c>
      <c r="E186" s="9">
        <v>135.6</v>
      </c>
      <c r="F186" s="9">
        <v>159.30000000000001</v>
      </c>
      <c r="G186" s="9">
        <v>134.69999999999999</v>
      </c>
      <c r="H186" s="9">
        <v>141.30000000000001</v>
      </c>
      <c r="I186" s="9">
        <v>127.3</v>
      </c>
      <c r="J186" s="9">
        <v>126.5</v>
      </c>
      <c r="K186" s="9">
        <v>134</v>
      </c>
    </row>
    <row r="187" spans="1:11" x14ac:dyDescent="0.3">
      <c r="A187" t="s">
        <v>34</v>
      </c>
      <c r="B187">
        <v>2018</v>
      </c>
      <c r="C187" t="s">
        <v>35</v>
      </c>
      <c r="D187" s="3">
        <v>43132</v>
      </c>
      <c r="E187" s="9">
        <v>137.6</v>
      </c>
      <c r="F187" s="9">
        <v>154.9</v>
      </c>
      <c r="G187" s="9">
        <v>142.6</v>
      </c>
      <c r="H187" s="9">
        <v>141.30000000000001</v>
      </c>
      <c r="I187" s="9">
        <v>136.69999999999999</v>
      </c>
      <c r="J187" s="9">
        <v>129.6</v>
      </c>
      <c r="K187" s="9">
        <v>136.4</v>
      </c>
    </row>
    <row r="188" spans="1:11" x14ac:dyDescent="0.3">
      <c r="A188" t="s">
        <v>30</v>
      </c>
      <c r="B188">
        <v>2018</v>
      </c>
      <c r="C188" t="s">
        <v>36</v>
      </c>
      <c r="D188" s="3">
        <v>43160</v>
      </c>
      <c r="E188" s="9">
        <v>138.6</v>
      </c>
      <c r="F188" s="9">
        <v>155.1</v>
      </c>
      <c r="G188" s="9">
        <v>148.30000000000001</v>
      </c>
      <c r="I188" s="9">
        <v>142.6</v>
      </c>
      <c r="J188" s="9">
        <v>133.30000000000001</v>
      </c>
      <c r="K188" s="9">
        <v>138.69999999999999</v>
      </c>
    </row>
    <row r="189" spans="1:11" x14ac:dyDescent="0.3">
      <c r="A189" t="s">
        <v>33</v>
      </c>
      <c r="B189">
        <v>2018</v>
      </c>
      <c r="C189" t="s">
        <v>36</v>
      </c>
      <c r="D189" s="3">
        <v>43160</v>
      </c>
      <c r="E189" s="9">
        <v>134.80000000000001</v>
      </c>
      <c r="F189" s="9">
        <v>159.69999999999999</v>
      </c>
      <c r="G189" s="9">
        <v>135.19999999999999</v>
      </c>
      <c r="H189" s="9">
        <v>142</v>
      </c>
      <c r="I189" s="9">
        <v>126.4</v>
      </c>
      <c r="J189" s="9">
        <v>127.1</v>
      </c>
      <c r="K189" s="9">
        <v>134</v>
      </c>
    </row>
    <row r="190" spans="1:11" x14ac:dyDescent="0.3">
      <c r="A190" t="s">
        <v>34</v>
      </c>
      <c r="B190">
        <v>2018</v>
      </c>
      <c r="C190" t="s">
        <v>36</v>
      </c>
      <c r="D190" s="3">
        <v>43160</v>
      </c>
      <c r="E190" s="9">
        <v>137.19999999999999</v>
      </c>
      <c r="F190" s="9">
        <v>156.30000000000001</v>
      </c>
      <c r="G190" s="9">
        <v>143.1</v>
      </c>
      <c r="H190" s="9">
        <v>142</v>
      </c>
      <c r="I190" s="9">
        <v>136.5</v>
      </c>
      <c r="J190" s="9">
        <v>130.30000000000001</v>
      </c>
      <c r="K190" s="9">
        <v>136.5</v>
      </c>
    </row>
    <row r="191" spans="1:11" x14ac:dyDescent="0.3">
      <c r="A191" t="s">
        <v>30</v>
      </c>
      <c r="B191">
        <v>2018</v>
      </c>
      <c r="C191" t="s">
        <v>37</v>
      </c>
      <c r="D191" s="3">
        <v>43191</v>
      </c>
      <c r="E191" s="9">
        <v>138.6</v>
      </c>
      <c r="F191" s="9">
        <v>156.1</v>
      </c>
      <c r="G191" s="9">
        <v>149.1</v>
      </c>
      <c r="I191" s="9">
        <v>143.80000000000001</v>
      </c>
      <c r="J191" s="9">
        <v>134.19999999999999</v>
      </c>
      <c r="K191" s="9">
        <v>139.1</v>
      </c>
    </row>
    <row r="192" spans="1:11" x14ac:dyDescent="0.3">
      <c r="A192" t="s">
        <v>33</v>
      </c>
      <c r="B192">
        <v>2018</v>
      </c>
      <c r="C192" t="s">
        <v>37</v>
      </c>
      <c r="D192" s="3">
        <v>43191</v>
      </c>
      <c r="E192" s="9">
        <v>135.69999999999999</v>
      </c>
      <c r="F192" s="9">
        <v>159.19999999999999</v>
      </c>
      <c r="G192" s="9">
        <v>136.19999999999999</v>
      </c>
      <c r="H192" s="9">
        <v>142.9</v>
      </c>
      <c r="I192" s="9">
        <v>124.6</v>
      </c>
      <c r="J192" s="9">
        <v>128.19999999999999</v>
      </c>
      <c r="K192" s="9">
        <v>134.80000000000001</v>
      </c>
    </row>
    <row r="193" spans="1:11" x14ac:dyDescent="0.3">
      <c r="A193" t="s">
        <v>34</v>
      </c>
      <c r="B193">
        <v>2018</v>
      </c>
      <c r="C193" t="s">
        <v>37</v>
      </c>
      <c r="D193" s="3">
        <v>43191</v>
      </c>
      <c r="E193" s="9">
        <v>137.5</v>
      </c>
      <c r="F193" s="9">
        <v>156.9</v>
      </c>
      <c r="G193" s="9">
        <v>144</v>
      </c>
      <c r="H193" s="9">
        <v>142.9</v>
      </c>
      <c r="I193" s="9">
        <v>136.5</v>
      </c>
      <c r="J193" s="9">
        <v>131.30000000000001</v>
      </c>
      <c r="K193" s="9">
        <v>137.1</v>
      </c>
    </row>
    <row r="194" spans="1:11" x14ac:dyDescent="0.3">
      <c r="A194" t="s">
        <v>30</v>
      </c>
      <c r="B194">
        <v>2018</v>
      </c>
      <c r="C194" t="s">
        <v>38</v>
      </c>
      <c r="D194" s="3">
        <v>43221</v>
      </c>
      <c r="E194" s="9">
        <v>139.1</v>
      </c>
      <c r="F194" s="9">
        <v>157</v>
      </c>
      <c r="G194" s="9">
        <v>149.80000000000001</v>
      </c>
      <c r="I194" s="9">
        <v>144.30000000000001</v>
      </c>
      <c r="J194" s="9">
        <v>135.1</v>
      </c>
      <c r="K194" s="9">
        <v>139.80000000000001</v>
      </c>
    </row>
    <row r="195" spans="1:11" x14ac:dyDescent="0.3">
      <c r="A195" t="s">
        <v>33</v>
      </c>
      <c r="B195">
        <v>2018</v>
      </c>
      <c r="C195" t="s">
        <v>38</v>
      </c>
      <c r="D195" s="3">
        <v>43221</v>
      </c>
      <c r="E195" s="9">
        <v>136.4</v>
      </c>
      <c r="F195" s="9">
        <v>160.30000000000001</v>
      </c>
      <c r="G195" s="9">
        <v>137</v>
      </c>
      <c r="H195" s="9">
        <v>143.19999999999999</v>
      </c>
      <c r="I195" s="9">
        <v>124.7</v>
      </c>
      <c r="J195" s="9">
        <v>128.9</v>
      </c>
      <c r="K195" s="9">
        <v>135.4</v>
      </c>
    </row>
    <row r="196" spans="1:11" x14ac:dyDescent="0.3">
      <c r="A196" t="s">
        <v>34</v>
      </c>
      <c r="B196">
        <v>2018</v>
      </c>
      <c r="C196" t="s">
        <v>38</v>
      </c>
      <c r="D196" s="3">
        <v>43221</v>
      </c>
      <c r="E196" s="9">
        <v>138.1</v>
      </c>
      <c r="F196" s="9">
        <v>157.9</v>
      </c>
      <c r="G196" s="9">
        <v>144.69999999999999</v>
      </c>
      <c r="H196" s="9">
        <v>143.19999999999999</v>
      </c>
      <c r="I196" s="9">
        <v>136.9</v>
      </c>
      <c r="J196" s="9">
        <v>132.1</v>
      </c>
      <c r="K196" s="9">
        <v>137.80000000000001</v>
      </c>
    </row>
    <row r="197" spans="1:11" x14ac:dyDescent="0.3">
      <c r="A197" t="s">
        <v>30</v>
      </c>
      <c r="B197">
        <v>2018</v>
      </c>
      <c r="C197" t="s">
        <v>39</v>
      </c>
      <c r="D197" s="3">
        <v>43252</v>
      </c>
      <c r="E197" s="9">
        <v>140</v>
      </c>
      <c r="F197" s="9">
        <v>157.30000000000001</v>
      </c>
      <c r="G197" s="9">
        <v>150.30000000000001</v>
      </c>
      <c r="I197" s="9">
        <v>145.1</v>
      </c>
      <c r="J197" s="9">
        <v>135.6</v>
      </c>
      <c r="K197" s="9">
        <v>140.5</v>
      </c>
    </row>
    <row r="198" spans="1:11" x14ac:dyDescent="0.3">
      <c r="A198" t="s">
        <v>33</v>
      </c>
      <c r="B198">
        <v>2018</v>
      </c>
      <c r="C198" t="s">
        <v>39</v>
      </c>
      <c r="D198" s="3">
        <v>43252</v>
      </c>
      <c r="E198" s="9">
        <v>138.4</v>
      </c>
      <c r="F198" s="9">
        <v>161</v>
      </c>
      <c r="G198" s="9">
        <v>137.4</v>
      </c>
      <c r="H198" s="9">
        <v>142.5</v>
      </c>
      <c r="I198" s="9">
        <v>126.5</v>
      </c>
      <c r="J198" s="9">
        <v>129.5</v>
      </c>
      <c r="K198" s="9">
        <v>136.19999999999999</v>
      </c>
    </row>
    <row r="199" spans="1:11" x14ac:dyDescent="0.3">
      <c r="A199" t="s">
        <v>34</v>
      </c>
      <c r="B199">
        <v>2018</v>
      </c>
      <c r="C199" t="s">
        <v>39</v>
      </c>
      <c r="D199" s="3">
        <v>43252</v>
      </c>
      <c r="E199" s="9">
        <v>139.4</v>
      </c>
      <c r="F199" s="9">
        <v>158.30000000000001</v>
      </c>
      <c r="G199" s="9">
        <v>145.19999999999999</v>
      </c>
      <c r="H199" s="9">
        <v>142.5</v>
      </c>
      <c r="I199" s="9">
        <v>138.1</v>
      </c>
      <c r="J199" s="9">
        <v>132.6</v>
      </c>
      <c r="K199" s="9">
        <v>138.5</v>
      </c>
    </row>
    <row r="200" spans="1:11" x14ac:dyDescent="0.3">
      <c r="A200" t="s">
        <v>30</v>
      </c>
      <c r="B200">
        <v>2018</v>
      </c>
      <c r="C200" t="s">
        <v>40</v>
      </c>
      <c r="D200" s="3">
        <v>43282</v>
      </c>
      <c r="E200" s="9">
        <v>142</v>
      </c>
      <c r="F200" s="9">
        <v>156.1</v>
      </c>
      <c r="G200" s="9">
        <v>150.6</v>
      </c>
      <c r="I200" s="9">
        <v>146.80000000000001</v>
      </c>
      <c r="J200" s="9">
        <v>136</v>
      </c>
      <c r="K200" s="9">
        <v>141.80000000000001</v>
      </c>
    </row>
    <row r="201" spans="1:11" x14ac:dyDescent="0.3">
      <c r="A201" t="s">
        <v>33</v>
      </c>
      <c r="B201">
        <v>2018</v>
      </c>
      <c r="C201" t="s">
        <v>40</v>
      </c>
      <c r="D201" s="3">
        <v>43282</v>
      </c>
      <c r="E201" s="9">
        <v>140.30000000000001</v>
      </c>
      <c r="F201" s="9">
        <v>161.4</v>
      </c>
      <c r="G201" s="9">
        <v>137.9</v>
      </c>
      <c r="H201" s="9">
        <v>143.6</v>
      </c>
      <c r="I201" s="9">
        <v>128.1</v>
      </c>
      <c r="J201" s="9">
        <v>130.19999999999999</v>
      </c>
      <c r="K201" s="9">
        <v>137.5</v>
      </c>
    </row>
    <row r="202" spans="1:11" x14ac:dyDescent="0.3">
      <c r="A202" t="s">
        <v>34</v>
      </c>
      <c r="B202">
        <v>2018</v>
      </c>
      <c r="C202" t="s">
        <v>40</v>
      </c>
      <c r="D202" s="3">
        <v>43282</v>
      </c>
      <c r="E202" s="9">
        <v>141.4</v>
      </c>
      <c r="F202" s="9">
        <v>157.5</v>
      </c>
      <c r="G202" s="9">
        <v>145.6</v>
      </c>
      <c r="H202" s="9">
        <v>143.6</v>
      </c>
      <c r="I202" s="9">
        <v>139.69999999999999</v>
      </c>
      <c r="J202" s="9">
        <v>133.19999999999999</v>
      </c>
      <c r="K202" s="9">
        <v>139.80000000000001</v>
      </c>
    </row>
    <row r="203" spans="1:11" x14ac:dyDescent="0.3">
      <c r="A203" t="s">
        <v>30</v>
      </c>
      <c r="B203">
        <v>2018</v>
      </c>
      <c r="C203" t="s">
        <v>41</v>
      </c>
      <c r="D203" s="3">
        <v>43313</v>
      </c>
      <c r="E203" s="9">
        <v>142.69999999999999</v>
      </c>
      <c r="F203" s="9">
        <v>156.4</v>
      </c>
      <c r="G203" s="9">
        <v>151.30000000000001</v>
      </c>
      <c r="I203" s="9">
        <v>147.69999999999999</v>
      </c>
      <c r="J203" s="9">
        <v>136.6</v>
      </c>
      <c r="K203" s="9">
        <v>142.5</v>
      </c>
    </row>
    <row r="204" spans="1:11" x14ac:dyDescent="0.3">
      <c r="A204" t="s">
        <v>33</v>
      </c>
      <c r="B204">
        <v>2018</v>
      </c>
      <c r="C204" t="s">
        <v>41</v>
      </c>
      <c r="D204" s="3">
        <v>43313</v>
      </c>
      <c r="E204" s="9">
        <v>140.1</v>
      </c>
      <c r="F204" s="9">
        <v>162.1</v>
      </c>
      <c r="G204" s="9">
        <v>138.30000000000001</v>
      </c>
      <c r="H204" s="9">
        <v>144.6</v>
      </c>
      <c r="I204" s="9">
        <v>129.80000000000001</v>
      </c>
      <c r="J204" s="9">
        <v>131</v>
      </c>
      <c r="K204" s="9">
        <v>138</v>
      </c>
    </row>
    <row r="205" spans="1:11" x14ac:dyDescent="0.3">
      <c r="A205" t="s">
        <v>34</v>
      </c>
      <c r="B205">
        <v>2018</v>
      </c>
      <c r="C205" t="s">
        <v>41</v>
      </c>
      <c r="D205" s="3">
        <v>43313</v>
      </c>
      <c r="E205" s="9">
        <v>141.69999999999999</v>
      </c>
      <c r="F205" s="9">
        <v>157.9</v>
      </c>
      <c r="G205" s="9">
        <v>146.1</v>
      </c>
      <c r="H205" s="9">
        <v>144.6</v>
      </c>
      <c r="I205" s="9">
        <v>140.9</v>
      </c>
      <c r="J205" s="9">
        <v>133.9</v>
      </c>
      <c r="K205" s="9">
        <v>140.4</v>
      </c>
    </row>
    <row r="206" spans="1:11" x14ac:dyDescent="0.3">
      <c r="A206" t="s">
        <v>30</v>
      </c>
      <c r="B206">
        <v>2018</v>
      </c>
      <c r="C206" t="s">
        <v>42</v>
      </c>
      <c r="D206" s="3">
        <v>43344</v>
      </c>
      <c r="E206" s="9">
        <v>141.30000000000001</v>
      </c>
      <c r="F206" s="9">
        <v>157.69999999999999</v>
      </c>
      <c r="G206" s="9">
        <v>151.30000000000001</v>
      </c>
      <c r="I206" s="9">
        <v>149</v>
      </c>
      <c r="J206" s="9">
        <v>137.4</v>
      </c>
      <c r="K206" s="9">
        <v>142.1</v>
      </c>
    </row>
    <row r="207" spans="1:11" x14ac:dyDescent="0.3">
      <c r="A207" t="s">
        <v>33</v>
      </c>
      <c r="B207">
        <v>2018</v>
      </c>
      <c r="C207" t="s">
        <v>42</v>
      </c>
      <c r="D207" s="3">
        <v>43344</v>
      </c>
      <c r="E207" s="9">
        <v>138.9</v>
      </c>
      <c r="F207" s="9">
        <v>163.30000000000001</v>
      </c>
      <c r="G207" s="9">
        <v>139.1</v>
      </c>
      <c r="H207" s="9">
        <v>145.30000000000001</v>
      </c>
      <c r="I207" s="9">
        <v>131.19999999999999</v>
      </c>
      <c r="J207" s="9">
        <v>131.9</v>
      </c>
      <c r="K207" s="9">
        <v>138.1</v>
      </c>
    </row>
    <row r="208" spans="1:11" x14ac:dyDescent="0.3">
      <c r="A208" t="s">
        <v>34</v>
      </c>
      <c r="B208">
        <v>2018</v>
      </c>
      <c r="C208" t="s">
        <v>42</v>
      </c>
      <c r="D208" s="3">
        <v>43344</v>
      </c>
      <c r="E208" s="9">
        <v>140.4</v>
      </c>
      <c r="F208" s="9">
        <v>159.19999999999999</v>
      </c>
      <c r="G208" s="9">
        <v>146.5</v>
      </c>
      <c r="H208" s="9">
        <v>145.30000000000001</v>
      </c>
      <c r="I208" s="9">
        <v>142.30000000000001</v>
      </c>
      <c r="J208" s="9">
        <v>134.69999999999999</v>
      </c>
      <c r="K208" s="9">
        <v>140.19999999999999</v>
      </c>
    </row>
    <row r="209" spans="1:11" x14ac:dyDescent="0.3">
      <c r="A209" t="s">
        <v>30</v>
      </c>
      <c r="B209">
        <v>2018</v>
      </c>
      <c r="C209" t="s">
        <v>43</v>
      </c>
      <c r="D209" s="3">
        <v>43374</v>
      </c>
      <c r="E209" s="9">
        <v>140.19999999999999</v>
      </c>
      <c r="F209" s="9">
        <v>159.6</v>
      </c>
      <c r="G209" s="9">
        <v>149.80000000000001</v>
      </c>
      <c r="I209" s="9">
        <v>149.69999999999999</v>
      </c>
      <c r="J209" s="9">
        <v>139.80000000000001</v>
      </c>
      <c r="K209" s="9">
        <v>142.19999999999999</v>
      </c>
    </row>
    <row r="210" spans="1:11" x14ac:dyDescent="0.3">
      <c r="A210" t="s">
        <v>33</v>
      </c>
      <c r="B210">
        <v>2018</v>
      </c>
      <c r="C210" t="s">
        <v>43</v>
      </c>
      <c r="D210" s="3">
        <v>43374</v>
      </c>
      <c r="E210" s="9">
        <v>139.4</v>
      </c>
      <c r="F210" s="9">
        <v>164</v>
      </c>
      <c r="G210" s="9">
        <v>139.69999999999999</v>
      </c>
      <c r="H210" s="9">
        <v>146.30000000000001</v>
      </c>
      <c r="I210" s="9">
        <v>133.4</v>
      </c>
      <c r="J210" s="9">
        <v>132.5</v>
      </c>
      <c r="K210" s="9">
        <v>138.9</v>
      </c>
    </row>
    <row r="211" spans="1:11" x14ac:dyDescent="0.3">
      <c r="A211" t="s">
        <v>34</v>
      </c>
      <c r="B211">
        <v>2018</v>
      </c>
      <c r="C211" t="s">
        <v>43</v>
      </c>
      <c r="D211" s="3">
        <v>43374</v>
      </c>
      <c r="E211" s="9">
        <v>139.69999999999999</v>
      </c>
      <c r="F211" s="9">
        <v>162.6</v>
      </c>
      <c r="G211" s="9">
        <v>146.80000000000001</v>
      </c>
      <c r="H211" s="9">
        <v>146.9</v>
      </c>
      <c r="I211" s="9">
        <v>145.30000000000001</v>
      </c>
      <c r="J211" s="9">
        <v>136.30000000000001</v>
      </c>
      <c r="K211" s="9">
        <v>140.80000000000001</v>
      </c>
    </row>
    <row r="212" spans="1:11" x14ac:dyDescent="0.3">
      <c r="A212" t="s">
        <v>30</v>
      </c>
      <c r="B212">
        <v>2018</v>
      </c>
      <c r="C212" t="s">
        <v>45</v>
      </c>
      <c r="D212" s="3">
        <v>43405</v>
      </c>
      <c r="E212" s="9">
        <v>140</v>
      </c>
      <c r="F212" s="9">
        <v>161.9</v>
      </c>
      <c r="G212" s="9">
        <v>150.80000000000001</v>
      </c>
      <c r="I212" s="9">
        <v>150.30000000000001</v>
      </c>
      <c r="J212" s="9">
        <v>140.1</v>
      </c>
      <c r="K212" s="9">
        <v>142.4</v>
      </c>
    </row>
    <row r="213" spans="1:11" x14ac:dyDescent="0.3">
      <c r="A213" t="s">
        <v>33</v>
      </c>
      <c r="B213">
        <v>2018</v>
      </c>
      <c r="C213" t="s">
        <v>45</v>
      </c>
      <c r="D213" s="3">
        <v>43405</v>
      </c>
      <c r="E213" s="9">
        <v>139.1</v>
      </c>
      <c r="F213" s="9">
        <v>164.4</v>
      </c>
      <c r="G213" s="9">
        <v>140.5</v>
      </c>
      <c r="H213" s="9">
        <v>146.9</v>
      </c>
      <c r="I213" s="9">
        <v>136.69999999999999</v>
      </c>
      <c r="J213" s="9">
        <v>132.19999999999999</v>
      </c>
      <c r="K213" s="9">
        <v>139</v>
      </c>
    </row>
    <row r="214" spans="1:11" x14ac:dyDescent="0.3">
      <c r="A214" t="s">
        <v>34</v>
      </c>
      <c r="B214">
        <v>2018</v>
      </c>
      <c r="C214" t="s">
        <v>45</v>
      </c>
      <c r="D214" s="3">
        <v>43405</v>
      </c>
      <c r="E214" s="9">
        <v>139.69999999999999</v>
      </c>
      <c r="F214" s="9">
        <v>162.6</v>
      </c>
      <c r="G214" s="9">
        <v>146.69999999999999</v>
      </c>
      <c r="H214" s="9">
        <v>146.9</v>
      </c>
      <c r="I214" s="9">
        <v>145.1</v>
      </c>
      <c r="J214" s="9">
        <v>136.30000000000001</v>
      </c>
      <c r="K214" s="9">
        <v>140.80000000000001</v>
      </c>
    </row>
    <row r="215" spans="1:11" x14ac:dyDescent="0.3">
      <c r="A215" t="s">
        <v>30</v>
      </c>
      <c r="B215">
        <v>2018</v>
      </c>
      <c r="C215" t="s">
        <v>46</v>
      </c>
      <c r="D215" s="3">
        <v>43435</v>
      </c>
      <c r="E215" s="9">
        <v>138.5</v>
      </c>
      <c r="F215" s="9">
        <v>162.4</v>
      </c>
      <c r="G215" s="9">
        <v>150.80000000000001</v>
      </c>
      <c r="I215" s="9">
        <v>149</v>
      </c>
      <c r="J215" s="9">
        <v>141.6</v>
      </c>
      <c r="K215" s="9">
        <v>141.9</v>
      </c>
    </row>
    <row r="216" spans="1:11" x14ac:dyDescent="0.3">
      <c r="A216" t="s">
        <v>33</v>
      </c>
      <c r="B216">
        <v>2018</v>
      </c>
      <c r="C216" t="s">
        <v>46</v>
      </c>
      <c r="D216" s="3">
        <v>43435</v>
      </c>
      <c r="E216" s="9">
        <v>137.6</v>
      </c>
      <c r="F216" s="9">
        <v>164.6</v>
      </c>
      <c r="G216" s="9">
        <v>140.80000000000001</v>
      </c>
      <c r="H216" s="9">
        <v>146.5</v>
      </c>
      <c r="I216" s="9">
        <v>132.4</v>
      </c>
      <c r="J216" s="9">
        <v>131.69999999999999</v>
      </c>
      <c r="K216" s="9">
        <v>138</v>
      </c>
    </row>
    <row r="217" spans="1:11" x14ac:dyDescent="0.3">
      <c r="A217" t="s">
        <v>34</v>
      </c>
      <c r="B217">
        <v>2018</v>
      </c>
      <c r="C217" t="s">
        <v>46</v>
      </c>
      <c r="D217" s="3">
        <v>43435</v>
      </c>
      <c r="E217" s="9">
        <v>138.19999999999999</v>
      </c>
      <c r="F217" s="9">
        <v>163</v>
      </c>
      <c r="G217" s="9">
        <v>146.80000000000001</v>
      </c>
      <c r="H217" s="9">
        <v>146.5</v>
      </c>
      <c r="I217" s="9">
        <v>142.69999999999999</v>
      </c>
      <c r="J217" s="9">
        <v>136.80000000000001</v>
      </c>
      <c r="K217" s="9">
        <v>140.1</v>
      </c>
    </row>
    <row r="218" spans="1:11" x14ac:dyDescent="0.3">
      <c r="A218" t="s">
        <v>30</v>
      </c>
      <c r="B218">
        <v>2019</v>
      </c>
      <c r="C218" t="s">
        <v>31</v>
      </c>
      <c r="D218" s="3">
        <v>43466</v>
      </c>
      <c r="E218" s="9">
        <v>137.4</v>
      </c>
      <c r="F218" s="9">
        <v>162.69999999999999</v>
      </c>
      <c r="G218" s="9">
        <v>149.9</v>
      </c>
      <c r="I218" s="9">
        <v>146.19999999999999</v>
      </c>
      <c r="J218" s="9">
        <v>141.69999999999999</v>
      </c>
      <c r="K218" s="9">
        <v>141</v>
      </c>
    </row>
    <row r="219" spans="1:11" x14ac:dyDescent="0.3">
      <c r="A219" t="s">
        <v>33</v>
      </c>
      <c r="B219">
        <v>2019</v>
      </c>
      <c r="C219" t="s">
        <v>31</v>
      </c>
      <c r="D219" s="3">
        <v>43466</v>
      </c>
      <c r="E219" s="9">
        <v>137.30000000000001</v>
      </c>
      <c r="F219" s="9">
        <v>164.7</v>
      </c>
      <c r="G219" s="9">
        <v>141.1</v>
      </c>
      <c r="H219" s="9">
        <v>147.69999999999999</v>
      </c>
      <c r="I219" s="9">
        <v>128.6</v>
      </c>
      <c r="J219" s="9">
        <v>131.80000000000001</v>
      </c>
      <c r="K219" s="9">
        <v>138</v>
      </c>
    </row>
    <row r="220" spans="1:11" x14ac:dyDescent="0.3">
      <c r="A220" t="s">
        <v>34</v>
      </c>
      <c r="B220">
        <v>2019</v>
      </c>
      <c r="C220" t="s">
        <v>31</v>
      </c>
      <c r="D220" s="3">
        <v>43466</v>
      </c>
      <c r="E220" s="9">
        <v>137.4</v>
      </c>
      <c r="F220" s="9">
        <v>163.19999999999999</v>
      </c>
      <c r="G220" s="9">
        <v>146.4</v>
      </c>
      <c r="H220" s="9">
        <v>147.69999999999999</v>
      </c>
      <c r="I220" s="9">
        <v>139.5</v>
      </c>
      <c r="J220" s="9">
        <v>136.9</v>
      </c>
      <c r="K220" s="9">
        <v>139.6</v>
      </c>
    </row>
    <row r="221" spans="1:11" x14ac:dyDescent="0.3">
      <c r="A221" t="s">
        <v>30</v>
      </c>
      <c r="B221">
        <v>2019</v>
      </c>
      <c r="C221" t="s">
        <v>35</v>
      </c>
      <c r="D221" s="3">
        <v>43497</v>
      </c>
      <c r="E221" s="9">
        <v>137.19999999999999</v>
      </c>
      <c r="F221" s="9">
        <v>162.80000000000001</v>
      </c>
      <c r="G221" s="9">
        <v>149.9</v>
      </c>
      <c r="I221" s="9">
        <v>145.30000000000001</v>
      </c>
      <c r="J221" s="9">
        <v>142.19999999999999</v>
      </c>
      <c r="K221" s="9">
        <v>141</v>
      </c>
    </row>
    <row r="222" spans="1:11" x14ac:dyDescent="0.3">
      <c r="A222" t="s">
        <v>33</v>
      </c>
      <c r="B222">
        <v>2019</v>
      </c>
      <c r="C222" t="s">
        <v>35</v>
      </c>
      <c r="D222" s="3">
        <v>43497</v>
      </c>
      <c r="E222" s="9">
        <v>138</v>
      </c>
      <c r="F222" s="9">
        <v>164.9</v>
      </c>
      <c r="G222" s="9">
        <v>141.4</v>
      </c>
      <c r="H222" s="9">
        <v>148.5</v>
      </c>
      <c r="I222" s="9">
        <v>127.1</v>
      </c>
      <c r="J222" s="9">
        <v>132.4</v>
      </c>
      <c r="K222" s="9">
        <v>138.6</v>
      </c>
    </row>
    <row r="223" spans="1:11" x14ac:dyDescent="0.3">
      <c r="A223" t="s">
        <v>34</v>
      </c>
      <c r="B223">
        <v>2019</v>
      </c>
      <c r="C223" t="s">
        <v>35</v>
      </c>
      <c r="D223" s="3">
        <v>43497</v>
      </c>
      <c r="E223" s="9">
        <v>137.5</v>
      </c>
      <c r="F223" s="9">
        <v>163.4</v>
      </c>
      <c r="G223" s="9">
        <v>146.5</v>
      </c>
      <c r="H223" s="9">
        <v>148.5</v>
      </c>
      <c r="I223" s="9">
        <v>138.4</v>
      </c>
      <c r="J223" s="9">
        <v>137.4</v>
      </c>
      <c r="K223" s="9">
        <v>139.9</v>
      </c>
    </row>
    <row r="224" spans="1:11" x14ac:dyDescent="0.3">
      <c r="A224" t="s">
        <v>30</v>
      </c>
      <c r="B224">
        <v>2019</v>
      </c>
      <c r="C224" t="s">
        <v>36</v>
      </c>
      <c r="D224" s="3">
        <v>43525</v>
      </c>
      <c r="E224" s="9">
        <v>137.30000000000001</v>
      </c>
      <c r="F224" s="9">
        <v>162.9</v>
      </c>
      <c r="G224" s="9">
        <v>150.1</v>
      </c>
      <c r="I224" s="9">
        <v>146.4</v>
      </c>
      <c r="J224" s="9">
        <v>142.4</v>
      </c>
      <c r="K224" s="9">
        <v>141.19999999999999</v>
      </c>
    </row>
    <row r="225" spans="1:11" x14ac:dyDescent="0.3">
      <c r="A225" t="s">
        <v>33</v>
      </c>
      <c r="B225">
        <v>2019</v>
      </c>
      <c r="C225" t="s">
        <v>36</v>
      </c>
      <c r="D225" s="3">
        <v>43525</v>
      </c>
      <c r="E225" s="9">
        <v>139.6</v>
      </c>
      <c r="F225" s="9">
        <v>165.3</v>
      </c>
      <c r="G225" s="9">
        <v>141.6</v>
      </c>
      <c r="H225" s="9">
        <v>149</v>
      </c>
      <c r="I225" s="9">
        <v>128.80000000000001</v>
      </c>
      <c r="J225" s="9">
        <v>132.80000000000001</v>
      </c>
      <c r="K225" s="9">
        <v>139.5</v>
      </c>
    </row>
    <row r="226" spans="1:11" x14ac:dyDescent="0.3">
      <c r="A226" t="s">
        <v>34</v>
      </c>
      <c r="B226">
        <v>2019</v>
      </c>
      <c r="C226" t="s">
        <v>36</v>
      </c>
      <c r="D226" s="3">
        <v>43525</v>
      </c>
      <c r="E226" s="9">
        <v>138.1</v>
      </c>
      <c r="F226" s="9">
        <v>163.5</v>
      </c>
      <c r="G226" s="9">
        <v>146.69999999999999</v>
      </c>
      <c r="H226" s="9">
        <v>149</v>
      </c>
      <c r="I226" s="9">
        <v>139.69999999999999</v>
      </c>
      <c r="J226" s="9">
        <v>137.69999999999999</v>
      </c>
      <c r="K226" s="9">
        <v>140.4</v>
      </c>
    </row>
    <row r="227" spans="1:11" x14ac:dyDescent="0.3">
      <c r="A227" t="s">
        <v>30</v>
      </c>
      <c r="B227">
        <v>2019</v>
      </c>
      <c r="C227" t="s">
        <v>38</v>
      </c>
      <c r="D227" s="3">
        <v>43586</v>
      </c>
      <c r="E227" s="9">
        <v>139.19999999999999</v>
      </c>
      <c r="F227" s="9">
        <v>163.30000000000001</v>
      </c>
      <c r="G227" s="9">
        <v>150.69999999999999</v>
      </c>
      <c r="I227" s="9">
        <v>146.9</v>
      </c>
      <c r="J227" s="9">
        <v>142.9</v>
      </c>
      <c r="K227" s="9">
        <v>142.4</v>
      </c>
    </row>
    <row r="228" spans="1:11" x14ac:dyDescent="0.3">
      <c r="A228" t="s">
        <v>33</v>
      </c>
      <c r="B228">
        <v>2019</v>
      </c>
      <c r="C228" t="s">
        <v>38</v>
      </c>
      <c r="D228" s="3">
        <v>43586</v>
      </c>
      <c r="E228" s="9">
        <v>143.80000000000001</v>
      </c>
      <c r="F228" s="9">
        <v>166.2</v>
      </c>
      <c r="G228" s="9">
        <v>142.19999999999999</v>
      </c>
      <c r="H228" s="9">
        <v>150.1</v>
      </c>
      <c r="I228" s="9">
        <v>129.4</v>
      </c>
      <c r="J228" s="9">
        <v>133.30000000000001</v>
      </c>
      <c r="K228" s="9">
        <v>141.5</v>
      </c>
    </row>
    <row r="229" spans="1:11" x14ac:dyDescent="0.3">
      <c r="A229" t="s">
        <v>34</v>
      </c>
      <c r="B229">
        <v>2019</v>
      </c>
      <c r="C229" t="s">
        <v>38</v>
      </c>
      <c r="D229" s="3">
        <v>43586</v>
      </c>
      <c r="E229" s="9">
        <v>140.9</v>
      </c>
      <c r="F229" s="9">
        <v>164.1</v>
      </c>
      <c r="G229" s="9">
        <v>147.30000000000001</v>
      </c>
      <c r="H229" s="9">
        <v>150.1</v>
      </c>
      <c r="I229" s="9">
        <v>140.30000000000001</v>
      </c>
      <c r="J229" s="9">
        <v>138.19999999999999</v>
      </c>
      <c r="K229" s="9">
        <v>142</v>
      </c>
    </row>
    <row r="230" spans="1:11" x14ac:dyDescent="0.3">
      <c r="A230" t="s">
        <v>30</v>
      </c>
      <c r="B230">
        <v>2019</v>
      </c>
      <c r="C230" t="s">
        <v>39</v>
      </c>
      <c r="D230" s="3">
        <v>43617</v>
      </c>
      <c r="E230" s="9">
        <v>141</v>
      </c>
      <c r="F230" s="9">
        <v>164.2</v>
      </c>
      <c r="G230" s="9">
        <v>150.69999999999999</v>
      </c>
      <c r="I230" s="9">
        <v>147.80000000000001</v>
      </c>
      <c r="J230" s="9">
        <v>143.30000000000001</v>
      </c>
      <c r="K230" s="9">
        <v>143.6</v>
      </c>
    </row>
    <row r="231" spans="1:11" x14ac:dyDescent="0.3">
      <c r="A231" t="s">
        <v>33</v>
      </c>
      <c r="B231">
        <v>2019</v>
      </c>
      <c r="C231" t="s">
        <v>39</v>
      </c>
      <c r="D231" s="3">
        <v>43617</v>
      </c>
      <c r="E231" s="9">
        <v>145.6</v>
      </c>
      <c r="F231" s="9">
        <v>166.7</v>
      </c>
      <c r="G231" s="9">
        <v>142.4</v>
      </c>
      <c r="H231" s="9">
        <v>149.4</v>
      </c>
      <c r="I231" s="9">
        <v>130.5</v>
      </c>
      <c r="J231" s="9">
        <v>133.6</v>
      </c>
      <c r="K231" s="9">
        <v>142.1</v>
      </c>
    </row>
    <row r="232" spans="1:11" x14ac:dyDescent="0.3">
      <c r="A232" t="s">
        <v>34</v>
      </c>
      <c r="B232">
        <v>2019</v>
      </c>
      <c r="C232" t="s">
        <v>39</v>
      </c>
      <c r="D232" s="3">
        <v>43617</v>
      </c>
      <c r="E232" s="9">
        <v>142.69999999999999</v>
      </c>
      <c r="F232" s="9">
        <v>164.9</v>
      </c>
      <c r="G232" s="9">
        <v>147.4</v>
      </c>
      <c r="H232" s="9">
        <v>149.4</v>
      </c>
      <c r="I232" s="9">
        <v>141.19999999999999</v>
      </c>
      <c r="J232" s="9">
        <v>138.6</v>
      </c>
      <c r="K232" s="9">
        <v>142.9</v>
      </c>
    </row>
    <row r="233" spans="1:11" x14ac:dyDescent="0.3">
      <c r="A233" t="s">
        <v>30</v>
      </c>
      <c r="B233">
        <v>2019</v>
      </c>
      <c r="C233" t="s">
        <v>40</v>
      </c>
      <c r="D233" s="3">
        <v>43647</v>
      </c>
      <c r="E233" s="9">
        <v>143</v>
      </c>
      <c r="F233" s="9">
        <v>164.5</v>
      </c>
      <c r="G233" s="9">
        <v>150.9</v>
      </c>
      <c r="I233" s="9">
        <v>146.80000000000001</v>
      </c>
      <c r="J233" s="9">
        <v>144.19999999999999</v>
      </c>
      <c r="K233" s="9">
        <v>144.9</v>
      </c>
    </row>
    <row r="234" spans="1:11" x14ac:dyDescent="0.3">
      <c r="A234" t="s">
        <v>33</v>
      </c>
      <c r="B234">
        <v>2019</v>
      </c>
      <c r="C234" t="s">
        <v>40</v>
      </c>
      <c r="D234" s="3">
        <v>43647</v>
      </c>
      <c r="E234" s="9">
        <v>147.69999999999999</v>
      </c>
      <c r="F234" s="9">
        <v>167.2</v>
      </c>
      <c r="G234" s="9">
        <v>142.69999999999999</v>
      </c>
      <c r="H234" s="9">
        <v>150.6</v>
      </c>
      <c r="I234" s="9">
        <v>127</v>
      </c>
      <c r="J234" s="9">
        <v>134.5</v>
      </c>
      <c r="K234" s="9">
        <v>143.30000000000001</v>
      </c>
    </row>
    <row r="235" spans="1:11" x14ac:dyDescent="0.3">
      <c r="A235" t="s">
        <v>34</v>
      </c>
      <c r="B235">
        <v>2019</v>
      </c>
      <c r="C235" t="s">
        <v>40</v>
      </c>
      <c r="D235" s="3">
        <v>43647</v>
      </c>
      <c r="E235" s="9">
        <v>144.69999999999999</v>
      </c>
      <c r="F235" s="9">
        <v>165.2</v>
      </c>
      <c r="G235" s="9">
        <v>147.6</v>
      </c>
      <c r="H235" s="9">
        <v>150.6</v>
      </c>
      <c r="I235" s="9">
        <v>139.30000000000001</v>
      </c>
      <c r="J235" s="9">
        <v>139.5</v>
      </c>
      <c r="K235" s="9">
        <v>144.19999999999999</v>
      </c>
    </row>
    <row r="236" spans="1:11" x14ac:dyDescent="0.3">
      <c r="A236" t="s">
        <v>30</v>
      </c>
      <c r="B236">
        <v>2019</v>
      </c>
      <c r="C236" t="s">
        <v>41</v>
      </c>
      <c r="D236" s="3">
        <v>43678</v>
      </c>
      <c r="E236" s="9">
        <v>144</v>
      </c>
      <c r="F236" s="9">
        <v>165.1</v>
      </c>
      <c r="G236" s="9">
        <v>151.1</v>
      </c>
      <c r="I236" s="9">
        <v>146.4</v>
      </c>
      <c r="J236" s="9">
        <v>144.9</v>
      </c>
      <c r="K236" s="9">
        <v>145.69999999999999</v>
      </c>
    </row>
    <row r="237" spans="1:11" x14ac:dyDescent="0.3">
      <c r="A237" t="s">
        <v>33</v>
      </c>
      <c r="B237">
        <v>2019</v>
      </c>
      <c r="C237" t="s">
        <v>41</v>
      </c>
      <c r="D237" s="3">
        <v>43678</v>
      </c>
      <c r="E237" s="9">
        <v>149.1</v>
      </c>
      <c r="F237" s="9">
        <v>167.9</v>
      </c>
      <c r="G237" s="9">
        <v>143</v>
      </c>
      <c r="H237" s="9">
        <v>151.6</v>
      </c>
      <c r="I237" s="9">
        <v>125.5</v>
      </c>
      <c r="J237" s="9">
        <v>135.30000000000001</v>
      </c>
      <c r="K237" s="9">
        <v>144.19999999999999</v>
      </c>
    </row>
    <row r="238" spans="1:11" x14ac:dyDescent="0.3">
      <c r="A238" t="s">
        <v>34</v>
      </c>
      <c r="B238">
        <v>2019</v>
      </c>
      <c r="C238" t="s">
        <v>41</v>
      </c>
      <c r="D238" s="3">
        <v>43678</v>
      </c>
      <c r="E238" s="9">
        <v>145.9</v>
      </c>
      <c r="F238" s="9">
        <v>165.8</v>
      </c>
      <c r="G238" s="9">
        <v>147.9</v>
      </c>
      <c r="H238" s="9">
        <v>151.6</v>
      </c>
      <c r="I238" s="9">
        <v>138.5</v>
      </c>
      <c r="J238" s="9">
        <v>140.19999999999999</v>
      </c>
      <c r="K238" s="9">
        <v>145</v>
      </c>
    </row>
    <row r="239" spans="1:11" x14ac:dyDescent="0.3">
      <c r="A239" t="s">
        <v>30</v>
      </c>
      <c r="B239">
        <v>2019</v>
      </c>
      <c r="C239" t="s">
        <v>42</v>
      </c>
      <c r="D239" s="3">
        <v>43709</v>
      </c>
      <c r="E239" s="9">
        <v>145.5</v>
      </c>
      <c r="F239" s="9">
        <v>165.7</v>
      </c>
      <c r="G239" s="9">
        <v>151</v>
      </c>
      <c r="I239" s="9">
        <v>146.9</v>
      </c>
      <c r="J239" s="9">
        <v>145.4</v>
      </c>
      <c r="K239" s="9">
        <v>146.69999999999999</v>
      </c>
    </row>
    <row r="240" spans="1:11" x14ac:dyDescent="0.3">
      <c r="A240" t="s">
        <v>33</v>
      </c>
      <c r="B240">
        <v>2019</v>
      </c>
      <c r="C240" t="s">
        <v>42</v>
      </c>
      <c r="D240" s="3">
        <v>43709</v>
      </c>
      <c r="E240" s="9">
        <v>149.5</v>
      </c>
      <c r="F240" s="9">
        <v>168.6</v>
      </c>
      <c r="G240" s="9">
        <v>143.30000000000001</v>
      </c>
      <c r="H240" s="9">
        <v>152.19999999999999</v>
      </c>
      <c r="I240" s="9">
        <v>126.6</v>
      </c>
      <c r="J240" s="9">
        <v>135.69999999999999</v>
      </c>
      <c r="K240" s="9">
        <v>144.69999999999999</v>
      </c>
    </row>
    <row r="241" spans="1:11" x14ac:dyDescent="0.3">
      <c r="A241" t="s">
        <v>34</v>
      </c>
      <c r="B241">
        <v>2019</v>
      </c>
      <c r="C241" t="s">
        <v>42</v>
      </c>
      <c r="D241" s="3">
        <v>43709</v>
      </c>
      <c r="E241" s="9">
        <v>147</v>
      </c>
      <c r="F241" s="9">
        <v>166.5</v>
      </c>
      <c r="G241" s="9">
        <v>147.9</v>
      </c>
      <c r="H241" s="9">
        <v>152.19999999999999</v>
      </c>
      <c r="I241" s="9">
        <v>139.19999999999999</v>
      </c>
      <c r="J241" s="9">
        <v>140.69999999999999</v>
      </c>
      <c r="K241" s="9">
        <v>145.80000000000001</v>
      </c>
    </row>
    <row r="242" spans="1:11" x14ac:dyDescent="0.3">
      <c r="A242" t="s">
        <v>30</v>
      </c>
      <c r="B242">
        <v>2019</v>
      </c>
      <c r="C242" t="s">
        <v>43</v>
      </c>
      <c r="D242" s="3">
        <v>43739</v>
      </c>
      <c r="E242" s="9">
        <v>148.30000000000001</v>
      </c>
      <c r="F242" s="9">
        <v>166.3</v>
      </c>
      <c r="G242" s="9">
        <v>151</v>
      </c>
      <c r="I242" s="9">
        <v>147.69999999999999</v>
      </c>
      <c r="J242" s="9">
        <v>145.69999999999999</v>
      </c>
      <c r="K242" s="9">
        <v>148.30000000000001</v>
      </c>
    </row>
    <row r="243" spans="1:11" x14ac:dyDescent="0.3">
      <c r="A243" t="s">
        <v>33</v>
      </c>
      <c r="B243">
        <v>2019</v>
      </c>
      <c r="C243" t="s">
        <v>43</v>
      </c>
      <c r="D243" s="3">
        <v>43739</v>
      </c>
      <c r="E243" s="9">
        <v>151.9</v>
      </c>
      <c r="F243" s="9">
        <v>169.3</v>
      </c>
      <c r="G243" s="9">
        <v>143.9</v>
      </c>
      <c r="H243" s="9">
        <v>153</v>
      </c>
      <c r="I243" s="9">
        <v>128.9</v>
      </c>
      <c r="J243" s="9">
        <v>136</v>
      </c>
      <c r="K243" s="9">
        <v>146</v>
      </c>
    </row>
    <row r="244" spans="1:11" x14ac:dyDescent="0.3">
      <c r="A244" t="s">
        <v>34</v>
      </c>
      <c r="B244">
        <v>2019</v>
      </c>
      <c r="C244" t="s">
        <v>43</v>
      </c>
      <c r="D244" s="3">
        <v>43739</v>
      </c>
      <c r="E244" s="9">
        <v>149.6</v>
      </c>
      <c r="F244" s="9">
        <v>167.1</v>
      </c>
      <c r="G244" s="9">
        <v>148.19999999999999</v>
      </c>
      <c r="H244" s="9">
        <v>153</v>
      </c>
      <c r="I244" s="9">
        <v>140.6</v>
      </c>
      <c r="J244" s="9">
        <v>141</v>
      </c>
      <c r="K244" s="9">
        <v>147.19999999999999</v>
      </c>
    </row>
    <row r="245" spans="1:11" x14ac:dyDescent="0.3">
      <c r="A245" t="s">
        <v>30</v>
      </c>
      <c r="B245">
        <v>2019</v>
      </c>
      <c r="C245" t="s">
        <v>45</v>
      </c>
      <c r="D245" s="3">
        <v>43770</v>
      </c>
      <c r="E245" s="9">
        <v>150.9</v>
      </c>
      <c r="F245" s="9">
        <v>167.2</v>
      </c>
      <c r="G245" s="9">
        <v>151.5</v>
      </c>
      <c r="I245" s="9">
        <v>148.4</v>
      </c>
      <c r="J245" s="9">
        <v>146.1</v>
      </c>
      <c r="K245" s="9">
        <v>149.9</v>
      </c>
    </row>
    <row r="246" spans="1:11" x14ac:dyDescent="0.3">
      <c r="A246" t="s">
        <v>33</v>
      </c>
      <c r="B246">
        <v>2019</v>
      </c>
      <c r="C246" t="s">
        <v>45</v>
      </c>
      <c r="D246" s="3">
        <v>43770</v>
      </c>
      <c r="E246" s="9">
        <v>153.6</v>
      </c>
      <c r="F246" s="9">
        <v>169.9</v>
      </c>
      <c r="G246" s="9">
        <v>144.19999999999999</v>
      </c>
      <c r="H246" s="9">
        <v>153.5</v>
      </c>
      <c r="I246" s="9">
        <v>132.19999999999999</v>
      </c>
      <c r="J246" s="9">
        <v>136.30000000000001</v>
      </c>
      <c r="K246" s="9">
        <v>147</v>
      </c>
    </row>
    <row r="247" spans="1:11" x14ac:dyDescent="0.3">
      <c r="A247" t="s">
        <v>34</v>
      </c>
      <c r="B247">
        <v>2019</v>
      </c>
      <c r="C247" t="s">
        <v>45</v>
      </c>
      <c r="D247" s="3">
        <v>43770</v>
      </c>
      <c r="E247" s="9">
        <v>151.9</v>
      </c>
      <c r="F247" s="9">
        <v>167.9</v>
      </c>
      <c r="G247" s="9">
        <v>148.6</v>
      </c>
      <c r="H247" s="9">
        <v>153.5</v>
      </c>
      <c r="I247" s="9">
        <v>142.30000000000001</v>
      </c>
      <c r="J247" s="9">
        <v>141.30000000000001</v>
      </c>
      <c r="K247" s="9">
        <v>148.6</v>
      </c>
    </row>
    <row r="248" spans="1:11" x14ac:dyDescent="0.3">
      <c r="A248" t="s">
        <v>30</v>
      </c>
      <c r="B248">
        <v>2019</v>
      </c>
      <c r="C248" t="s">
        <v>46</v>
      </c>
      <c r="D248" s="3">
        <v>43800</v>
      </c>
      <c r="E248" s="9">
        <v>154.30000000000001</v>
      </c>
      <c r="F248" s="9">
        <v>167.8</v>
      </c>
      <c r="G248" s="9">
        <v>151.9</v>
      </c>
      <c r="I248" s="9">
        <v>149.9</v>
      </c>
      <c r="J248" s="9">
        <v>147.1</v>
      </c>
      <c r="K248" s="9">
        <v>152.30000000000001</v>
      </c>
    </row>
    <row r="249" spans="1:11" x14ac:dyDescent="0.3">
      <c r="A249" t="s">
        <v>33</v>
      </c>
      <c r="B249">
        <v>2019</v>
      </c>
      <c r="C249" t="s">
        <v>46</v>
      </c>
      <c r="D249" s="3">
        <v>43800</v>
      </c>
      <c r="E249" s="9">
        <v>156.30000000000001</v>
      </c>
      <c r="F249" s="9">
        <v>170.4</v>
      </c>
      <c r="G249" s="9">
        <v>144.6</v>
      </c>
      <c r="H249" s="9">
        <v>152.80000000000001</v>
      </c>
      <c r="I249" s="9">
        <v>133.6</v>
      </c>
      <c r="J249" s="9">
        <v>137.69999999999999</v>
      </c>
      <c r="K249" s="9">
        <v>148.30000000000001</v>
      </c>
    </row>
    <row r="250" spans="1:11" x14ac:dyDescent="0.3">
      <c r="A250" t="s">
        <v>34</v>
      </c>
      <c r="B250">
        <v>2019</v>
      </c>
      <c r="C250" t="s">
        <v>46</v>
      </c>
      <c r="D250" s="3">
        <v>43800</v>
      </c>
      <c r="E250" s="9">
        <v>155</v>
      </c>
      <c r="F250" s="9">
        <v>168.5</v>
      </c>
      <c r="G250" s="9">
        <v>149</v>
      </c>
      <c r="H250" s="9">
        <v>152.80000000000001</v>
      </c>
      <c r="I250" s="9">
        <v>143.69999999999999</v>
      </c>
      <c r="J250" s="9">
        <v>142.5</v>
      </c>
      <c r="K250" s="9">
        <v>150.4</v>
      </c>
    </row>
    <row r="251" spans="1:11" x14ac:dyDescent="0.3">
      <c r="A251" t="s">
        <v>30</v>
      </c>
      <c r="B251">
        <v>2020</v>
      </c>
      <c r="C251" t="s">
        <v>31</v>
      </c>
      <c r="D251" s="3">
        <v>43831</v>
      </c>
      <c r="E251" s="9">
        <v>153</v>
      </c>
      <c r="F251" s="9">
        <v>168.6</v>
      </c>
      <c r="G251" s="9">
        <v>152.1</v>
      </c>
      <c r="I251" s="9">
        <v>150.4</v>
      </c>
      <c r="J251" s="9">
        <v>148.1</v>
      </c>
      <c r="K251" s="9">
        <v>151.9</v>
      </c>
    </row>
    <row r="252" spans="1:11" x14ac:dyDescent="0.3">
      <c r="A252" t="s">
        <v>33</v>
      </c>
      <c r="B252">
        <v>2020</v>
      </c>
      <c r="C252" t="s">
        <v>31</v>
      </c>
      <c r="D252" s="3">
        <v>43831</v>
      </c>
      <c r="E252" s="9">
        <v>154.4</v>
      </c>
      <c r="F252" s="9">
        <v>170.8</v>
      </c>
      <c r="G252" s="9">
        <v>144.9</v>
      </c>
      <c r="H252" s="9">
        <v>153.9</v>
      </c>
      <c r="I252" s="9">
        <v>135.1</v>
      </c>
      <c r="J252" s="9">
        <v>138.4</v>
      </c>
      <c r="K252" s="9">
        <v>148.19999999999999</v>
      </c>
    </row>
    <row r="253" spans="1:11" x14ac:dyDescent="0.3">
      <c r="A253" t="s">
        <v>34</v>
      </c>
      <c r="B253">
        <v>2020</v>
      </c>
      <c r="C253" t="s">
        <v>31</v>
      </c>
      <c r="D253" s="3">
        <v>43831</v>
      </c>
      <c r="E253" s="9">
        <v>153.5</v>
      </c>
      <c r="F253" s="9">
        <v>169.2</v>
      </c>
      <c r="G253" s="9">
        <v>149.19999999999999</v>
      </c>
      <c r="H253" s="9">
        <v>153.9</v>
      </c>
      <c r="I253" s="9">
        <v>144.6</v>
      </c>
      <c r="J253" s="9">
        <v>143.4</v>
      </c>
      <c r="K253" s="9">
        <v>150.19999999999999</v>
      </c>
    </row>
    <row r="254" spans="1:11" x14ac:dyDescent="0.3">
      <c r="A254" t="s">
        <v>30</v>
      </c>
      <c r="B254">
        <v>2020</v>
      </c>
      <c r="C254" t="s">
        <v>35</v>
      </c>
      <c r="D254" s="3">
        <v>43862</v>
      </c>
      <c r="E254" s="9">
        <v>149.80000000000001</v>
      </c>
      <c r="F254" s="9">
        <v>169.4</v>
      </c>
      <c r="G254" s="9">
        <v>152.30000000000001</v>
      </c>
      <c r="I254" s="9">
        <v>152.30000000000001</v>
      </c>
      <c r="J254" s="9">
        <v>148.4</v>
      </c>
      <c r="K254" s="9">
        <v>150.4</v>
      </c>
    </row>
    <row r="255" spans="1:11" x14ac:dyDescent="0.3">
      <c r="A255" t="s">
        <v>33</v>
      </c>
      <c r="B255">
        <v>2020</v>
      </c>
      <c r="C255" t="s">
        <v>35</v>
      </c>
      <c r="D255" s="3">
        <v>43862</v>
      </c>
      <c r="E255" s="9">
        <v>151.69999999999999</v>
      </c>
      <c r="F255" s="9">
        <v>172</v>
      </c>
      <c r="G255" s="9">
        <v>145.19999999999999</v>
      </c>
      <c r="H255" s="9">
        <v>154.80000000000001</v>
      </c>
      <c r="I255" s="9">
        <v>138.9</v>
      </c>
      <c r="J255" s="9">
        <v>138.4</v>
      </c>
      <c r="K255" s="9">
        <v>147.69999999999999</v>
      </c>
    </row>
    <row r="256" spans="1:11" x14ac:dyDescent="0.3">
      <c r="A256" t="s">
        <v>34</v>
      </c>
      <c r="B256">
        <v>2020</v>
      </c>
      <c r="C256" t="s">
        <v>35</v>
      </c>
      <c r="D256" s="3">
        <v>43862</v>
      </c>
      <c r="E256" s="9">
        <v>150.5</v>
      </c>
      <c r="F256" s="9">
        <v>170.1</v>
      </c>
      <c r="G256" s="9">
        <v>149.5</v>
      </c>
      <c r="H256" s="9">
        <v>154.80000000000001</v>
      </c>
      <c r="I256" s="9">
        <v>147.19999999999999</v>
      </c>
      <c r="J256" s="9">
        <v>143.6</v>
      </c>
      <c r="K256" s="9">
        <v>149.1</v>
      </c>
    </row>
    <row r="257" spans="1:11" x14ac:dyDescent="0.3">
      <c r="A257" t="s">
        <v>30</v>
      </c>
      <c r="B257">
        <v>2020</v>
      </c>
      <c r="C257" t="s">
        <v>36</v>
      </c>
      <c r="D257" s="3">
        <v>43891</v>
      </c>
      <c r="E257" s="9">
        <v>148.19999999999999</v>
      </c>
      <c r="F257" s="9">
        <v>170.5</v>
      </c>
      <c r="G257" s="9">
        <v>152.5</v>
      </c>
      <c r="I257" s="9">
        <v>153.4</v>
      </c>
      <c r="J257" s="9">
        <v>148.6</v>
      </c>
      <c r="K257" s="9">
        <v>149.80000000000001</v>
      </c>
    </row>
    <row r="258" spans="1:11" x14ac:dyDescent="0.3">
      <c r="A258" t="s">
        <v>33</v>
      </c>
      <c r="B258">
        <v>2020</v>
      </c>
      <c r="C258" t="s">
        <v>36</v>
      </c>
      <c r="D258" s="3">
        <v>43891</v>
      </c>
      <c r="E258" s="9">
        <v>150.1</v>
      </c>
      <c r="F258" s="9">
        <v>173.3</v>
      </c>
      <c r="G258" s="9">
        <v>145.6</v>
      </c>
      <c r="H258" s="9">
        <v>154.5</v>
      </c>
      <c r="I258" s="9">
        <v>141.4</v>
      </c>
      <c r="J258" s="9">
        <v>138.69999999999999</v>
      </c>
      <c r="K258" s="9">
        <v>147.30000000000001</v>
      </c>
    </row>
    <row r="259" spans="1:11" x14ac:dyDescent="0.3">
      <c r="A259" t="s">
        <v>34</v>
      </c>
      <c r="B259">
        <v>2020</v>
      </c>
      <c r="C259" t="s">
        <v>36</v>
      </c>
      <c r="D259" s="3">
        <v>43891</v>
      </c>
      <c r="E259" s="9">
        <v>148.9</v>
      </c>
      <c r="F259" s="9">
        <v>171.2</v>
      </c>
      <c r="G259" s="9">
        <v>149.80000000000001</v>
      </c>
      <c r="H259" s="9">
        <v>154.5</v>
      </c>
      <c r="I259" s="9">
        <v>148.9</v>
      </c>
      <c r="J259" s="9">
        <v>143.80000000000001</v>
      </c>
      <c r="K259" s="9">
        <v>148.6</v>
      </c>
    </row>
    <row r="260" spans="1:11" x14ac:dyDescent="0.3">
      <c r="A260" t="s">
        <v>30</v>
      </c>
      <c r="B260">
        <v>2020</v>
      </c>
      <c r="C260" t="s">
        <v>37</v>
      </c>
      <c r="D260" s="3">
        <v>43922</v>
      </c>
      <c r="E260" s="9">
        <v>150.1</v>
      </c>
      <c r="I260" s="9">
        <v>148.4</v>
      </c>
    </row>
    <row r="261" spans="1:11" x14ac:dyDescent="0.3">
      <c r="A261" t="s">
        <v>33</v>
      </c>
      <c r="B261">
        <v>2020</v>
      </c>
      <c r="C261" t="s">
        <v>37</v>
      </c>
      <c r="D261" s="3">
        <v>43922</v>
      </c>
      <c r="E261" s="9">
        <v>153.5</v>
      </c>
      <c r="H261" s="9">
        <v>155.6</v>
      </c>
      <c r="I261" s="9">
        <v>137.1</v>
      </c>
    </row>
    <row r="262" spans="1:11" x14ac:dyDescent="0.3">
      <c r="A262" t="s">
        <v>34</v>
      </c>
      <c r="B262">
        <v>2020</v>
      </c>
      <c r="C262" t="s">
        <v>37</v>
      </c>
      <c r="D262" s="3">
        <v>43922</v>
      </c>
      <c r="E262" s="9">
        <v>151.4</v>
      </c>
      <c r="H262" s="9">
        <v>155.6</v>
      </c>
      <c r="I262" s="9">
        <v>144.1</v>
      </c>
      <c r="K262" s="9">
        <f>AVERAGE(K256,K253,K268,K271)</f>
        <v>150.72499999999999</v>
      </c>
    </row>
    <row r="263" spans="1:11" x14ac:dyDescent="0.3">
      <c r="A263" t="s">
        <v>30</v>
      </c>
      <c r="B263">
        <v>2020</v>
      </c>
      <c r="C263" t="s">
        <v>38</v>
      </c>
      <c r="D263" s="3">
        <v>43952</v>
      </c>
    </row>
    <row r="264" spans="1:11" x14ac:dyDescent="0.3">
      <c r="A264" t="s">
        <v>33</v>
      </c>
      <c r="B264">
        <v>2020</v>
      </c>
      <c r="C264" t="s">
        <v>38</v>
      </c>
      <c r="D264" s="3">
        <v>43952</v>
      </c>
    </row>
    <row r="265" spans="1:11" x14ac:dyDescent="0.3">
      <c r="A265" t="s">
        <v>34</v>
      </c>
      <c r="B265">
        <v>2020</v>
      </c>
      <c r="C265" t="s">
        <v>38</v>
      </c>
      <c r="D265" s="3">
        <v>43952</v>
      </c>
      <c r="E265" s="9">
        <f>AVERAGE(E262,E259,E256,E268,E271,E274)</f>
        <v>152.63333333333333</v>
      </c>
      <c r="F265" s="9">
        <f>AVERAGE(F262,F259,F256,F268,F271,F274)</f>
        <v>178.18</v>
      </c>
      <c r="G265" s="9">
        <f t="shared" ref="G265:J265" si="0">AVERAGE(G262,G259,G256,G268,G271,G274)</f>
        <v>150.76</v>
      </c>
      <c r="H265" s="9">
        <f t="shared" si="0"/>
        <v>154.96666666666667</v>
      </c>
      <c r="I265" s="9">
        <f t="shared" si="0"/>
        <v>144.5</v>
      </c>
      <c r="J265" s="9">
        <f t="shared" si="0"/>
        <v>146.07999999999998</v>
      </c>
      <c r="K265" s="9">
        <f>AVERAGE(K262,K259,K256,K268,K271,K274)</f>
        <v>150.98749999999998</v>
      </c>
    </row>
    <row r="266" spans="1:11" x14ac:dyDescent="0.3">
      <c r="A266" t="s">
        <v>30</v>
      </c>
      <c r="B266">
        <v>2020</v>
      </c>
      <c r="C266" t="s">
        <v>39</v>
      </c>
      <c r="D266" s="3">
        <v>43983</v>
      </c>
      <c r="E266" s="9">
        <v>152.30000000000001</v>
      </c>
      <c r="F266" s="9">
        <v>182.4</v>
      </c>
      <c r="G266" s="9">
        <v>154.1</v>
      </c>
      <c r="I266" s="9">
        <v>144.9</v>
      </c>
      <c r="J266" s="9">
        <v>151.69999999999999</v>
      </c>
      <c r="K266" s="9">
        <v>152.69999999999999</v>
      </c>
    </row>
    <row r="267" spans="1:11" x14ac:dyDescent="0.3">
      <c r="A267" t="s">
        <v>33</v>
      </c>
      <c r="B267">
        <v>2020</v>
      </c>
      <c r="C267" t="s">
        <v>39</v>
      </c>
      <c r="D267" s="3">
        <v>43983</v>
      </c>
      <c r="E267" s="9">
        <v>157</v>
      </c>
      <c r="F267" s="9">
        <v>186.7</v>
      </c>
      <c r="G267" s="9">
        <v>147.19999999999999</v>
      </c>
      <c r="H267" s="9">
        <v>154.69999999999999</v>
      </c>
      <c r="I267" s="9">
        <v>137.1</v>
      </c>
      <c r="J267" s="9">
        <v>142</v>
      </c>
      <c r="K267" s="9">
        <v>150.80000000000001</v>
      </c>
    </row>
    <row r="268" spans="1:11" x14ac:dyDescent="0.3">
      <c r="A268" t="s">
        <v>34</v>
      </c>
      <c r="B268">
        <v>2020</v>
      </c>
      <c r="C268" t="s">
        <v>39</v>
      </c>
      <c r="D268" s="3">
        <v>43983</v>
      </c>
      <c r="E268" s="9">
        <v>154</v>
      </c>
      <c r="F268" s="9">
        <v>183.5</v>
      </c>
      <c r="G268" s="9">
        <v>151.4</v>
      </c>
      <c r="H268" s="9">
        <v>154.69999999999999</v>
      </c>
      <c r="I268" s="9">
        <v>141.9</v>
      </c>
      <c r="J268" s="9">
        <v>147</v>
      </c>
      <c r="K268" s="9">
        <v>151.80000000000001</v>
      </c>
    </row>
    <row r="269" spans="1:11" x14ac:dyDescent="0.3">
      <c r="A269" t="s">
        <v>30</v>
      </c>
      <c r="B269">
        <v>2020</v>
      </c>
      <c r="C269" t="s">
        <v>40</v>
      </c>
      <c r="D269" s="3">
        <v>44013</v>
      </c>
      <c r="E269" s="9">
        <v>152.30000000000001</v>
      </c>
      <c r="F269" s="9">
        <v>182.4</v>
      </c>
      <c r="G269" s="9">
        <v>154.1</v>
      </c>
      <c r="I269" s="9">
        <v>144.9</v>
      </c>
      <c r="J269" s="9">
        <v>151.69999999999999</v>
      </c>
      <c r="K269" s="9">
        <v>152.69999999999999</v>
      </c>
    </row>
    <row r="270" spans="1:11" x14ac:dyDescent="0.3">
      <c r="A270" t="s">
        <v>33</v>
      </c>
      <c r="B270">
        <v>2020</v>
      </c>
      <c r="C270" t="s">
        <v>40</v>
      </c>
      <c r="D270" s="3">
        <v>44013</v>
      </c>
      <c r="E270" s="9">
        <v>157</v>
      </c>
      <c r="F270" s="9">
        <v>186.7</v>
      </c>
      <c r="G270" s="9">
        <v>147.19999999999999</v>
      </c>
      <c r="H270" s="9">
        <v>154.69999999999999</v>
      </c>
      <c r="I270" s="9">
        <v>137.1</v>
      </c>
      <c r="J270" s="9">
        <v>142</v>
      </c>
      <c r="K270" s="9">
        <v>150.80000000000001</v>
      </c>
    </row>
    <row r="271" spans="1:11" x14ac:dyDescent="0.3">
      <c r="A271" t="s">
        <v>34</v>
      </c>
      <c r="B271">
        <v>2020</v>
      </c>
      <c r="C271" t="s">
        <v>40</v>
      </c>
      <c r="D271" s="3">
        <v>44013</v>
      </c>
      <c r="E271" s="9">
        <v>154</v>
      </c>
      <c r="F271" s="9">
        <v>183.5</v>
      </c>
      <c r="G271" s="9">
        <v>151.4</v>
      </c>
      <c r="H271" s="9">
        <v>154.69999999999999</v>
      </c>
      <c r="I271" s="9">
        <v>141.9</v>
      </c>
      <c r="J271" s="9">
        <v>147</v>
      </c>
      <c r="K271" s="9">
        <v>151.80000000000001</v>
      </c>
    </row>
    <row r="272" spans="1:11" x14ac:dyDescent="0.3">
      <c r="A272" t="s">
        <v>30</v>
      </c>
      <c r="B272">
        <v>2020</v>
      </c>
      <c r="C272" t="s">
        <v>41</v>
      </c>
      <c r="D272" s="3">
        <v>44044</v>
      </c>
      <c r="E272" s="9">
        <v>155.30000000000001</v>
      </c>
      <c r="F272" s="9">
        <v>180.9</v>
      </c>
      <c r="G272" s="9">
        <v>154.30000000000001</v>
      </c>
      <c r="I272" s="9">
        <v>145.80000000000001</v>
      </c>
      <c r="J272" s="9">
        <v>153</v>
      </c>
      <c r="K272" s="9">
        <v>154.69999999999999</v>
      </c>
    </row>
    <row r="273" spans="1:11" x14ac:dyDescent="0.3">
      <c r="A273" t="s">
        <v>33</v>
      </c>
      <c r="B273">
        <v>2020</v>
      </c>
      <c r="C273" t="s">
        <v>41</v>
      </c>
      <c r="D273" s="3">
        <v>44044</v>
      </c>
      <c r="E273" s="9">
        <v>159.9</v>
      </c>
      <c r="F273" s="9">
        <v>187.2</v>
      </c>
      <c r="G273" s="9">
        <v>147.80000000000001</v>
      </c>
      <c r="H273" s="9">
        <v>155.5</v>
      </c>
      <c r="I273" s="9">
        <v>138.30000000000001</v>
      </c>
      <c r="J273" s="9">
        <v>144.80000000000001</v>
      </c>
      <c r="K273" s="9">
        <v>152.9</v>
      </c>
    </row>
    <row r="274" spans="1:11" x14ac:dyDescent="0.3">
      <c r="A274" t="s">
        <v>34</v>
      </c>
      <c r="B274">
        <v>2020</v>
      </c>
      <c r="C274" t="s">
        <v>41</v>
      </c>
      <c r="D274" s="3">
        <v>44044</v>
      </c>
      <c r="E274" s="9">
        <v>157</v>
      </c>
      <c r="F274" s="9">
        <v>182.6</v>
      </c>
      <c r="G274" s="9">
        <v>151.69999999999999</v>
      </c>
      <c r="H274" s="9">
        <v>155.5</v>
      </c>
      <c r="I274" s="9">
        <v>143</v>
      </c>
      <c r="J274" s="9">
        <v>149</v>
      </c>
      <c r="K274" s="9">
        <v>153.9</v>
      </c>
    </row>
    <row r="275" spans="1:11" x14ac:dyDescent="0.3">
      <c r="A275" t="s">
        <v>30</v>
      </c>
      <c r="B275">
        <v>2020</v>
      </c>
      <c r="C275" t="s">
        <v>42</v>
      </c>
      <c r="D275" s="3">
        <v>44075</v>
      </c>
      <c r="E275" s="9">
        <v>156.1</v>
      </c>
      <c r="F275" s="9">
        <v>182.9</v>
      </c>
      <c r="G275" s="9">
        <v>154.6</v>
      </c>
      <c r="I275" s="9">
        <v>146.4</v>
      </c>
      <c r="J275" s="9">
        <v>153.69999999999999</v>
      </c>
      <c r="K275" s="9">
        <v>155.4</v>
      </c>
    </row>
    <row r="276" spans="1:11" x14ac:dyDescent="0.3">
      <c r="A276" t="s">
        <v>33</v>
      </c>
      <c r="B276">
        <v>2020</v>
      </c>
      <c r="C276" t="s">
        <v>42</v>
      </c>
      <c r="D276" s="3">
        <v>44075</v>
      </c>
      <c r="E276" s="9">
        <v>161.30000000000001</v>
      </c>
      <c r="F276" s="9">
        <v>188.7</v>
      </c>
      <c r="G276" s="9">
        <v>148.1</v>
      </c>
      <c r="H276" s="9">
        <v>156.30000000000001</v>
      </c>
      <c r="I276" s="9">
        <v>137.19999999999999</v>
      </c>
      <c r="J276" s="9">
        <v>146</v>
      </c>
      <c r="K276" s="9">
        <v>154</v>
      </c>
    </row>
    <row r="277" spans="1:11" x14ac:dyDescent="0.3">
      <c r="A277" t="s">
        <v>34</v>
      </c>
      <c r="B277">
        <v>2020</v>
      </c>
      <c r="C277" t="s">
        <v>42</v>
      </c>
      <c r="D277" s="3">
        <v>44075</v>
      </c>
      <c r="E277" s="9">
        <v>158</v>
      </c>
      <c r="F277" s="9">
        <v>184.4</v>
      </c>
      <c r="G277" s="9">
        <v>152</v>
      </c>
      <c r="H277" s="9">
        <v>156.30000000000001</v>
      </c>
      <c r="I277" s="9">
        <v>142.9</v>
      </c>
      <c r="J277" s="9">
        <v>150</v>
      </c>
      <c r="K277" s="9">
        <v>154.69999999999999</v>
      </c>
    </row>
    <row r="278" spans="1:11" x14ac:dyDescent="0.3">
      <c r="A278" t="s">
        <v>30</v>
      </c>
      <c r="B278">
        <v>2020</v>
      </c>
      <c r="C278" t="s">
        <v>43</v>
      </c>
      <c r="D278" s="3">
        <v>44105</v>
      </c>
      <c r="E278" s="9">
        <v>159.6</v>
      </c>
      <c r="F278" s="9">
        <v>182.7</v>
      </c>
      <c r="G278" s="9">
        <v>155</v>
      </c>
      <c r="I278" s="9">
        <v>146.80000000000001</v>
      </c>
      <c r="J278" s="9">
        <v>154.30000000000001</v>
      </c>
      <c r="K278" s="9">
        <v>157.5</v>
      </c>
    </row>
    <row r="279" spans="1:11" x14ac:dyDescent="0.3">
      <c r="A279" t="s">
        <v>33</v>
      </c>
      <c r="B279">
        <v>2020</v>
      </c>
      <c r="C279" t="s">
        <v>43</v>
      </c>
      <c r="D279" s="3">
        <v>44105</v>
      </c>
      <c r="E279" s="9">
        <v>164.4</v>
      </c>
      <c r="F279" s="9">
        <v>188.7</v>
      </c>
      <c r="G279" s="9">
        <v>148.30000000000001</v>
      </c>
      <c r="H279" s="9">
        <v>156.5</v>
      </c>
      <c r="I279" s="9">
        <v>137.1</v>
      </c>
      <c r="J279" s="9">
        <v>146.19999999999999</v>
      </c>
      <c r="K279" s="9">
        <v>155.19999999999999</v>
      </c>
    </row>
    <row r="280" spans="1:11" x14ac:dyDescent="0.3">
      <c r="A280" t="s">
        <v>34</v>
      </c>
      <c r="B280">
        <v>2020</v>
      </c>
      <c r="C280" t="s">
        <v>43</v>
      </c>
      <c r="D280" s="3">
        <v>44105</v>
      </c>
      <c r="E280" s="9">
        <v>161.4</v>
      </c>
      <c r="F280" s="9">
        <v>184.3</v>
      </c>
      <c r="G280" s="9">
        <v>152.30000000000001</v>
      </c>
      <c r="H280" s="9">
        <v>156.5</v>
      </c>
      <c r="I280" s="9">
        <v>143.1</v>
      </c>
      <c r="J280" s="9">
        <v>150.4</v>
      </c>
      <c r="K280" s="9">
        <v>156.4</v>
      </c>
    </row>
    <row r="281" spans="1:11" x14ac:dyDescent="0.3">
      <c r="A281" t="s">
        <v>30</v>
      </c>
      <c r="B281">
        <v>2020</v>
      </c>
      <c r="C281" t="s">
        <v>45</v>
      </c>
      <c r="D281" s="3">
        <v>44136</v>
      </c>
      <c r="E281" s="9">
        <v>163.4</v>
      </c>
      <c r="F281" s="9">
        <v>183.4</v>
      </c>
      <c r="G281" s="9">
        <v>155.5</v>
      </c>
      <c r="I281" s="9">
        <v>147.5</v>
      </c>
      <c r="J281" s="9">
        <v>154.5</v>
      </c>
      <c r="K281" s="9">
        <v>159.80000000000001</v>
      </c>
    </row>
    <row r="282" spans="1:11" x14ac:dyDescent="0.3">
      <c r="A282" t="s">
        <v>33</v>
      </c>
      <c r="B282">
        <v>2020</v>
      </c>
      <c r="C282" t="s">
        <v>45</v>
      </c>
      <c r="D282" s="3">
        <v>44136</v>
      </c>
      <c r="E282" s="9">
        <v>167</v>
      </c>
      <c r="F282" s="9">
        <v>188.8</v>
      </c>
      <c r="G282" s="9">
        <v>148.80000000000001</v>
      </c>
      <c r="H282" s="9">
        <v>158</v>
      </c>
      <c r="I282" s="9">
        <v>137.30000000000001</v>
      </c>
      <c r="J282" s="9">
        <v>146.6</v>
      </c>
      <c r="K282" s="9">
        <v>156.69999999999999</v>
      </c>
    </row>
    <row r="283" spans="1:11" x14ac:dyDescent="0.3">
      <c r="A283" t="s">
        <v>34</v>
      </c>
      <c r="B283">
        <v>2020</v>
      </c>
      <c r="C283" t="s">
        <v>45</v>
      </c>
      <c r="D283" s="3">
        <v>44136</v>
      </c>
      <c r="E283" s="9">
        <v>164.7</v>
      </c>
      <c r="F283" s="9">
        <v>184.8</v>
      </c>
      <c r="G283" s="9">
        <v>152.80000000000001</v>
      </c>
      <c r="H283" s="9">
        <v>158</v>
      </c>
      <c r="I283" s="9">
        <v>143.6</v>
      </c>
      <c r="J283" s="9">
        <v>150.69999999999999</v>
      </c>
      <c r="K283" s="9">
        <v>158.4</v>
      </c>
    </row>
    <row r="284" spans="1:11" x14ac:dyDescent="0.3">
      <c r="A284" t="s">
        <v>30</v>
      </c>
      <c r="B284">
        <v>2020</v>
      </c>
      <c r="C284" t="s">
        <v>46</v>
      </c>
      <c r="D284" s="3">
        <v>44166</v>
      </c>
      <c r="E284" s="9">
        <v>164.5</v>
      </c>
      <c r="F284" s="9">
        <v>183.6</v>
      </c>
      <c r="G284" s="9">
        <v>156.30000000000001</v>
      </c>
      <c r="I284" s="9">
        <v>148.69999999999999</v>
      </c>
      <c r="J284" s="9">
        <v>155.19999999999999</v>
      </c>
      <c r="K284" s="9">
        <v>160.69999999999999</v>
      </c>
    </row>
    <row r="285" spans="1:11" x14ac:dyDescent="0.3">
      <c r="A285" t="s">
        <v>33</v>
      </c>
      <c r="B285">
        <v>2020</v>
      </c>
      <c r="C285" t="s">
        <v>46</v>
      </c>
      <c r="D285" s="3">
        <v>44166</v>
      </c>
      <c r="E285" s="9">
        <v>167</v>
      </c>
      <c r="F285" s="9">
        <v>190.2</v>
      </c>
      <c r="G285" s="9">
        <v>149.6</v>
      </c>
      <c r="H285" s="9">
        <v>158.4</v>
      </c>
      <c r="I285" s="9">
        <v>137.9</v>
      </c>
      <c r="J285" s="9">
        <v>146.9</v>
      </c>
      <c r="K285" s="9">
        <v>156.9</v>
      </c>
    </row>
    <row r="286" spans="1:11" x14ac:dyDescent="0.3">
      <c r="A286" t="s">
        <v>34</v>
      </c>
      <c r="B286">
        <v>2020</v>
      </c>
      <c r="C286" t="s">
        <v>46</v>
      </c>
      <c r="D286" s="3">
        <v>44166</v>
      </c>
      <c r="E286" s="9">
        <v>165.4</v>
      </c>
      <c r="F286" s="9">
        <v>185.4</v>
      </c>
      <c r="G286" s="9">
        <v>153.6</v>
      </c>
      <c r="H286" s="9">
        <v>158.4</v>
      </c>
      <c r="I286" s="9">
        <v>144.6</v>
      </c>
      <c r="J286" s="9">
        <v>151.19999999999999</v>
      </c>
      <c r="K286" s="9">
        <v>158.9</v>
      </c>
    </row>
    <row r="287" spans="1:11" x14ac:dyDescent="0.3">
      <c r="A287" t="s">
        <v>30</v>
      </c>
      <c r="B287">
        <v>2021</v>
      </c>
      <c r="C287" t="s">
        <v>31</v>
      </c>
      <c r="D287" s="3">
        <v>44197</v>
      </c>
      <c r="E287" s="9">
        <v>159.6</v>
      </c>
      <c r="F287" s="9">
        <v>184.6</v>
      </c>
      <c r="G287" s="9">
        <v>156.80000000000001</v>
      </c>
      <c r="I287" s="9">
        <v>150.9</v>
      </c>
      <c r="J287" s="9">
        <v>155.9</v>
      </c>
      <c r="K287" s="9">
        <v>158.5</v>
      </c>
    </row>
    <row r="288" spans="1:11" x14ac:dyDescent="0.3">
      <c r="A288" t="s">
        <v>33</v>
      </c>
      <c r="B288">
        <v>2021</v>
      </c>
      <c r="C288" t="s">
        <v>31</v>
      </c>
      <c r="D288" s="3">
        <v>44197</v>
      </c>
      <c r="E288" s="9">
        <v>163.4</v>
      </c>
      <c r="F288" s="9">
        <v>191.8</v>
      </c>
      <c r="G288" s="9">
        <v>150.19999999999999</v>
      </c>
      <c r="H288" s="9">
        <v>157.69999999999999</v>
      </c>
      <c r="I288" s="9">
        <v>142.9</v>
      </c>
      <c r="J288" s="9">
        <v>147.6</v>
      </c>
      <c r="K288" s="9">
        <v>156</v>
      </c>
    </row>
    <row r="289" spans="1:11" x14ac:dyDescent="0.3">
      <c r="A289" t="s">
        <v>34</v>
      </c>
      <c r="B289">
        <v>2021</v>
      </c>
      <c r="C289" t="s">
        <v>31</v>
      </c>
      <c r="D289" s="3">
        <v>44197</v>
      </c>
      <c r="E289" s="9">
        <v>161</v>
      </c>
      <c r="F289" s="9">
        <v>186.5</v>
      </c>
      <c r="G289" s="9">
        <v>154.19999999999999</v>
      </c>
      <c r="H289" s="9">
        <v>157.69999999999999</v>
      </c>
      <c r="I289" s="9">
        <v>147.9</v>
      </c>
      <c r="J289" s="9">
        <v>151.9</v>
      </c>
      <c r="K289" s="9">
        <v>157.30000000000001</v>
      </c>
    </row>
    <row r="290" spans="1:11" x14ac:dyDescent="0.3">
      <c r="A290" t="s">
        <v>30</v>
      </c>
      <c r="B290">
        <v>2021</v>
      </c>
      <c r="C290" t="s">
        <v>35</v>
      </c>
      <c r="D290" s="3">
        <v>44228</v>
      </c>
      <c r="E290" s="9">
        <v>154.69999999999999</v>
      </c>
      <c r="F290" s="9">
        <v>186.5</v>
      </c>
      <c r="G290" s="9">
        <v>158.4</v>
      </c>
      <c r="I290" s="9">
        <v>154.4</v>
      </c>
      <c r="J290" s="9">
        <v>157.19999999999999</v>
      </c>
      <c r="K290" s="9">
        <v>156.69999999999999</v>
      </c>
    </row>
    <row r="291" spans="1:11" x14ac:dyDescent="0.3">
      <c r="A291" t="s">
        <v>33</v>
      </c>
      <c r="B291">
        <v>2021</v>
      </c>
      <c r="C291" t="s">
        <v>35</v>
      </c>
      <c r="D291" s="3">
        <v>44228</v>
      </c>
      <c r="E291" s="9">
        <v>160.80000000000001</v>
      </c>
      <c r="F291" s="9">
        <v>193.3</v>
      </c>
      <c r="G291" s="9">
        <v>151.80000000000001</v>
      </c>
      <c r="H291" s="9">
        <v>159.80000000000001</v>
      </c>
      <c r="I291" s="9">
        <v>149.1</v>
      </c>
      <c r="J291" s="9">
        <v>149.30000000000001</v>
      </c>
      <c r="K291" s="9">
        <v>156.5</v>
      </c>
    </row>
    <row r="292" spans="1:11" x14ac:dyDescent="0.3">
      <c r="A292" t="s">
        <v>34</v>
      </c>
      <c r="B292">
        <v>2021</v>
      </c>
      <c r="C292" t="s">
        <v>35</v>
      </c>
      <c r="D292" s="3">
        <v>44228</v>
      </c>
      <c r="E292" s="9">
        <v>156.9</v>
      </c>
      <c r="F292" s="9">
        <v>188.3</v>
      </c>
      <c r="G292" s="9">
        <v>155.80000000000001</v>
      </c>
      <c r="H292" s="9">
        <v>159.80000000000001</v>
      </c>
      <c r="I292" s="9">
        <v>152.4</v>
      </c>
      <c r="J292" s="9">
        <v>153.4</v>
      </c>
      <c r="K292" s="9">
        <v>156.6</v>
      </c>
    </row>
    <row r="293" spans="1:11" x14ac:dyDescent="0.3">
      <c r="A293" t="s">
        <v>30</v>
      </c>
      <c r="B293">
        <v>2021</v>
      </c>
      <c r="C293" t="s">
        <v>36</v>
      </c>
      <c r="D293" s="3">
        <v>44256</v>
      </c>
      <c r="E293" s="9">
        <v>154.5</v>
      </c>
      <c r="F293" s="9">
        <v>186.1</v>
      </c>
      <c r="G293" s="9">
        <v>158.9</v>
      </c>
      <c r="I293" s="9">
        <v>156</v>
      </c>
      <c r="J293" s="9">
        <v>157.30000000000001</v>
      </c>
      <c r="K293" s="9">
        <v>156.69999999999999</v>
      </c>
    </row>
    <row r="294" spans="1:11" x14ac:dyDescent="0.3">
      <c r="A294" t="s">
        <v>33</v>
      </c>
      <c r="B294">
        <v>2021</v>
      </c>
      <c r="C294" t="s">
        <v>36</v>
      </c>
      <c r="D294" s="3">
        <v>44256</v>
      </c>
      <c r="E294" s="9">
        <v>160.4</v>
      </c>
      <c r="F294" s="9">
        <v>193.5</v>
      </c>
      <c r="G294" s="9">
        <v>152.6</v>
      </c>
      <c r="H294" s="9">
        <v>159.9</v>
      </c>
      <c r="I294" s="9">
        <v>154.80000000000001</v>
      </c>
      <c r="J294" s="9">
        <v>150</v>
      </c>
      <c r="K294" s="9">
        <v>156.9</v>
      </c>
    </row>
    <row r="295" spans="1:11" x14ac:dyDescent="0.3">
      <c r="A295" t="s">
        <v>34</v>
      </c>
      <c r="B295">
        <v>2021</v>
      </c>
      <c r="C295" t="s">
        <v>36</v>
      </c>
      <c r="D295" s="3">
        <v>44256</v>
      </c>
      <c r="E295" s="9">
        <v>156.69999999999999</v>
      </c>
      <c r="F295" s="9">
        <v>188.1</v>
      </c>
      <c r="G295" s="9">
        <v>156.4</v>
      </c>
      <c r="H295" s="9">
        <v>159.9</v>
      </c>
      <c r="I295" s="9">
        <v>155.5</v>
      </c>
      <c r="J295" s="9">
        <v>153.80000000000001</v>
      </c>
      <c r="K295" s="9">
        <v>156.80000000000001</v>
      </c>
    </row>
    <row r="296" spans="1:11" x14ac:dyDescent="0.3">
      <c r="A296" t="s">
        <v>30</v>
      </c>
      <c r="B296">
        <v>2021</v>
      </c>
      <c r="C296" t="s">
        <v>37</v>
      </c>
      <c r="D296" s="3">
        <v>44287</v>
      </c>
      <c r="E296" s="9">
        <v>155.6</v>
      </c>
      <c r="F296" s="9">
        <v>186.8</v>
      </c>
      <c r="G296" s="9">
        <v>159.9</v>
      </c>
      <c r="I296" s="9">
        <v>156</v>
      </c>
      <c r="J296" s="9">
        <v>158</v>
      </c>
      <c r="K296" s="9">
        <v>157.6</v>
      </c>
    </row>
    <row r="297" spans="1:11" x14ac:dyDescent="0.3">
      <c r="A297" t="s">
        <v>33</v>
      </c>
      <c r="B297">
        <v>2021</v>
      </c>
      <c r="C297" t="s">
        <v>37</v>
      </c>
      <c r="D297" s="3">
        <v>44287</v>
      </c>
      <c r="E297" s="9">
        <v>162</v>
      </c>
      <c r="F297" s="9">
        <v>194.4</v>
      </c>
      <c r="G297" s="9">
        <v>153.4</v>
      </c>
      <c r="H297" s="9">
        <v>161.4</v>
      </c>
      <c r="I297" s="9">
        <v>154.9</v>
      </c>
      <c r="J297" s="9">
        <v>150.5</v>
      </c>
      <c r="K297" s="9">
        <v>158</v>
      </c>
    </row>
    <row r="298" spans="1:11" x14ac:dyDescent="0.3">
      <c r="A298" t="s">
        <v>34</v>
      </c>
      <c r="B298">
        <v>2021</v>
      </c>
      <c r="C298" t="s">
        <v>37</v>
      </c>
      <c r="D298" s="3">
        <v>44287</v>
      </c>
      <c r="E298" s="9">
        <v>158</v>
      </c>
      <c r="F298" s="9">
        <v>188.8</v>
      </c>
      <c r="G298" s="9">
        <v>157.30000000000001</v>
      </c>
      <c r="H298" s="9">
        <v>161.4</v>
      </c>
      <c r="I298" s="9">
        <v>155.6</v>
      </c>
      <c r="J298" s="9">
        <v>154.4</v>
      </c>
      <c r="K298" s="9">
        <v>157.80000000000001</v>
      </c>
    </row>
    <row r="299" spans="1:11" x14ac:dyDescent="0.3">
      <c r="A299" t="s">
        <v>30</v>
      </c>
      <c r="B299">
        <v>2021</v>
      </c>
      <c r="C299" t="s">
        <v>38</v>
      </c>
      <c r="D299" s="3">
        <v>44317</v>
      </c>
      <c r="E299" s="9">
        <v>158.69999999999999</v>
      </c>
      <c r="F299" s="9">
        <v>189.6</v>
      </c>
      <c r="G299" s="9">
        <v>164.5</v>
      </c>
      <c r="I299" s="9">
        <v>161.69999999999999</v>
      </c>
      <c r="J299" s="9">
        <v>161.1</v>
      </c>
      <c r="K299" s="9">
        <v>161.1</v>
      </c>
    </row>
    <row r="300" spans="1:11" x14ac:dyDescent="0.3">
      <c r="A300" t="s">
        <v>33</v>
      </c>
      <c r="B300">
        <v>2021</v>
      </c>
      <c r="C300" t="s">
        <v>38</v>
      </c>
      <c r="D300" s="3">
        <v>44317</v>
      </c>
      <c r="E300" s="9">
        <v>164.2</v>
      </c>
      <c r="F300" s="9">
        <v>198.2</v>
      </c>
      <c r="G300" s="9">
        <v>154.1</v>
      </c>
      <c r="H300" s="9">
        <v>161.6</v>
      </c>
      <c r="I300" s="9">
        <v>155.5</v>
      </c>
      <c r="J300" s="9">
        <v>152.30000000000001</v>
      </c>
      <c r="K300" s="9">
        <v>159.5</v>
      </c>
    </row>
    <row r="301" spans="1:11" x14ac:dyDescent="0.3">
      <c r="A301" t="s">
        <v>34</v>
      </c>
      <c r="B301">
        <v>2021</v>
      </c>
      <c r="C301" t="s">
        <v>38</v>
      </c>
      <c r="D301" s="3">
        <v>44317</v>
      </c>
      <c r="E301" s="9">
        <v>160.69999999999999</v>
      </c>
      <c r="F301" s="9">
        <v>191.9</v>
      </c>
      <c r="G301" s="9">
        <v>160.4</v>
      </c>
      <c r="H301" s="9">
        <v>161.6</v>
      </c>
      <c r="I301" s="9">
        <v>159.4</v>
      </c>
      <c r="J301" s="9">
        <v>156.80000000000001</v>
      </c>
      <c r="K301" s="9">
        <v>160.4</v>
      </c>
    </row>
    <row r="302" spans="1:11" x14ac:dyDescent="0.3">
      <c r="A302" t="s">
        <v>30</v>
      </c>
      <c r="B302">
        <v>2021</v>
      </c>
      <c r="C302" t="s">
        <v>39</v>
      </c>
      <c r="D302" s="3">
        <v>44348</v>
      </c>
      <c r="E302" s="9">
        <v>160.5</v>
      </c>
      <c r="F302" s="9">
        <v>189.1</v>
      </c>
      <c r="G302" s="9">
        <v>164.6</v>
      </c>
      <c r="I302" s="9">
        <v>162.1</v>
      </c>
      <c r="J302" s="9">
        <v>161.5</v>
      </c>
      <c r="K302" s="9">
        <v>162.1</v>
      </c>
    </row>
    <row r="303" spans="1:11" x14ac:dyDescent="0.3">
      <c r="A303" t="s">
        <v>33</v>
      </c>
      <c r="B303">
        <v>2021</v>
      </c>
      <c r="C303" t="s">
        <v>39</v>
      </c>
      <c r="D303" s="3">
        <v>44348</v>
      </c>
      <c r="E303" s="9">
        <v>166.2</v>
      </c>
      <c r="F303" s="9">
        <v>195.6</v>
      </c>
      <c r="G303" s="9">
        <v>154.80000000000001</v>
      </c>
      <c r="H303" s="9">
        <v>160.5</v>
      </c>
      <c r="I303" s="9">
        <v>156.1</v>
      </c>
      <c r="J303" s="9">
        <v>153.4</v>
      </c>
      <c r="K303" s="9">
        <v>160.4</v>
      </c>
    </row>
    <row r="304" spans="1:11" x14ac:dyDescent="0.3">
      <c r="A304" t="s">
        <v>34</v>
      </c>
      <c r="B304">
        <v>2021</v>
      </c>
      <c r="C304" t="s">
        <v>39</v>
      </c>
      <c r="D304" s="3">
        <v>44348</v>
      </c>
      <c r="E304" s="9">
        <v>162.6</v>
      </c>
      <c r="F304" s="9">
        <v>190.8</v>
      </c>
      <c r="G304" s="9">
        <v>160.69999999999999</v>
      </c>
      <c r="H304" s="9">
        <v>160.5</v>
      </c>
      <c r="I304" s="9">
        <v>159.80000000000001</v>
      </c>
      <c r="J304" s="9">
        <v>157.6</v>
      </c>
      <c r="K304" s="9">
        <v>161.30000000000001</v>
      </c>
    </row>
    <row r="305" spans="1:11" x14ac:dyDescent="0.3">
      <c r="A305" t="s">
        <v>30</v>
      </c>
      <c r="B305">
        <v>2021</v>
      </c>
      <c r="C305" t="s">
        <v>40</v>
      </c>
      <c r="D305" s="3">
        <v>44378</v>
      </c>
      <c r="E305" s="9">
        <v>161.69999999999999</v>
      </c>
      <c r="F305" s="9">
        <v>189.7</v>
      </c>
      <c r="G305" s="9">
        <v>165.3</v>
      </c>
      <c r="I305" s="9">
        <v>162.5</v>
      </c>
      <c r="J305" s="9">
        <v>162.80000000000001</v>
      </c>
      <c r="K305" s="9">
        <v>163.19999999999999</v>
      </c>
    </row>
    <row r="306" spans="1:11" x14ac:dyDescent="0.3">
      <c r="A306" t="s">
        <v>33</v>
      </c>
      <c r="B306">
        <v>2021</v>
      </c>
      <c r="C306" t="s">
        <v>40</v>
      </c>
      <c r="D306" s="3">
        <v>44378</v>
      </c>
      <c r="E306" s="9">
        <v>167.9</v>
      </c>
      <c r="F306" s="9">
        <v>195.5</v>
      </c>
      <c r="G306" s="9">
        <v>155.5</v>
      </c>
      <c r="H306" s="9">
        <v>161.5</v>
      </c>
      <c r="I306" s="9">
        <v>157.69999999999999</v>
      </c>
      <c r="J306" s="9">
        <v>155</v>
      </c>
      <c r="K306" s="9">
        <v>161.80000000000001</v>
      </c>
    </row>
    <row r="307" spans="1:11" x14ac:dyDescent="0.3">
      <c r="A307" t="s">
        <v>34</v>
      </c>
      <c r="B307">
        <v>2021</v>
      </c>
      <c r="C307" t="s">
        <v>40</v>
      </c>
      <c r="D307" s="3">
        <v>44378</v>
      </c>
      <c r="E307" s="9">
        <v>164</v>
      </c>
      <c r="F307" s="9">
        <v>191.2</v>
      </c>
      <c r="G307" s="9">
        <v>161.4</v>
      </c>
      <c r="H307" s="9">
        <v>161.5</v>
      </c>
      <c r="I307" s="9">
        <v>160.69999999999999</v>
      </c>
      <c r="J307" s="9">
        <v>159</v>
      </c>
      <c r="K307" s="9">
        <v>162.5</v>
      </c>
    </row>
    <row r="308" spans="1:11" x14ac:dyDescent="0.3">
      <c r="A308" t="s">
        <v>30</v>
      </c>
      <c r="B308">
        <v>2021</v>
      </c>
      <c r="C308" t="s">
        <v>41</v>
      </c>
      <c r="D308" s="3">
        <v>44409</v>
      </c>
      <c r="E308" s="9">
        <v>161.80000000000001</v>
      </c>
      <c r="F308" s="9">
        <v>190.2</v>
      </c>
      <c r="G308" s="9">
        <v>166.3</v>
      </c>
      <c r="I308" s="9">
        <v>163.1</v>
      </c>
      <c r="J308" s="9">
        <v>163.30000000000001</v>
      </c>
      <c r="K308" s="9">
        <v>163.6</v>
      </c>
    </row>
    <row r="309" spans="1:11" x14ac:dyDescent="0.3">
      <c r="A309" t="s">
        <v>33</v>
      </c>
      <c r="B309">
        <v>2021</v>
      </c>
      <c r="C309" t="s">
        <v>41</v>
      </c>
      <c r="D309" s="3">
        <v>44409</v>
      </c>
      <c r="E309" s="9">
        <v>167.3</v>
      </c>
      <c r="F309" s="9">
        <v>196.5</v>
      </c>
      <c r="G309" s="9">
        <v>157.30000000000001</v>
      </c>
      <c r="H309" s="9">
        <v>162.1</v>
      </c>
      <c r="I309" s="9">
        <v>160.69999999999999</v>
      </c>
      <c r="J309" s="9">
        <v>156</v>
      </c>
      <c r="K309" s="9">
        <v>162.30000000000001</v>
      </c>
    </row>
    <row r="310" spans="1:11" x14ac:dyDescent="0.3">
      <c r="A310" t="s">
        <v>34</v>
      </c>
      <c r="B310">
        <v>2021</v>
      </c>
      <c r="C310" t="s">
        <v>41</v>
      </c>
      <c r="D310" s="3">
        <v>44409</v>
      </c>
      <c r="E310" s="9">
        <v>164</v>
      </c>
      <c r="F310" s="9">
        <v>192.1</v>
      </c>
      <c r="G310" s="9">
        <v>163.19999999999999</v>
      </c>
      <c r="H310" s="9">
        <v>162.1</v>
      </c>
      <c r="I310" s="9">
        <v>162.6</v>
      </c>
      <c r="J310" s="9">
        <v>160</v>
      </c>
      <c r="K310" s="9">
        <v>163.19999999999999</v>
      </c>
    </row>
    <row r="311" spans="1:11" x14ac:dyDescent="0.3">
      <c r="A311" t="s">
        <v>30</v>
      </c>
      <c r="B311">
        <v>2021</v>
      </c>
      <c r="C311" t="s">
        <v>42</v>
      </c>
      <c r="D311" s="3">
        <v>44440</v>
      </c>
      <c r="E311" s="9">
        <v>162.1</v>
      </c>
      <c r="F311" s="9">
        <v>190.5</v>
      </c>
      <c r="G311" s="9">
        <v>167.1</v>
      </c>
      <c r="I311" s="9">
        <v>163.69999999999999</v>
      </c>
      <c r="J311" s="9">
        <v>163.80000000000001</v>
      </c>
      <c r="K311" s="9">
        <v>164</v>
      </c>
    </row>
    <row r="312" spans="1:11" x14ac:dyDescent="0.3">
      <c r="A312" t="s">
        <v>33</v>
      </c>
      <c r="B312">
        <v>2021</v>
      </c>
      <c r="C312" t="s">
        <v>42</v>
      </c>
      <c r="D312" s="3">
        <v>44440</v>
      </c>
      <c r="E312" s="9">
        <v>167.3</v>
      </c>
      <c r="F312" s="9">
        <v>196.5</v>
      </c>
      <c r="G312" s="9">
        <v>157.4</v>
      </c>
      <c r="H312" s="9">
        <v>162.1</v>
      </c>
      <c r="I312" s="9">
        <v>160.80000000000001</v>
      </c>
      <c r="J312" s="9">
        <v>156</v>
      </c>
      <c r="K312" s="9">
        <v>162.30000000000001</v>
      </c>
    </row>
    <row r="313" spans="1:11" x14ac:dyDescent="0.3">
      <c r="A313" t="s">
        <v>34</v>
      </c>
      <c r="B313">
        <v>2021</v>
      </c>
      <c r="C313" t="s">
        <v>42</v>
      </c>
      <c r="D313" s="3">
        <v>44440</v>
      </c>
      <c r="E313" s="9">
        <v>164</v>
      </c>
      <c r="F313" s="9">
        <v>192.1</v>
      </c>
      <c r="G313" s="9">
        <v>163.30000000000001</v>
      </c>
      <c r="H313" s="9">
        <v>162.1</v>
      </c>
      <c r="I313" s="9">
        <v>162.6</v>
      </c>
      <c r="J313" s="9">
        <v>160</v>
      </c>
      <c r="K313" s="9">
        <v>163.19999999999999</v>
      </c>
    </row>
    <row r="314" spans="1:11" x14ac:dyDescent="0.3">
      <c r="A314" t="s">
        <v>30</v>
      </c>
      <c r="B314">
        <v>2021</v>
      </c>
      <c r="C314" t="s">
        <v>43</v>
      </c>
      <c r="D314" s="3">
        <v>44470</v>
      </c>
      <c r="E314" s="9">
        <v>165.5</v>
      </c>
      <c r="F314" s="9">
        <v>191.2</v>
      </c>
      <c r="G314" s="9">
        <v>168.3</v>
      </c>
      <c r="I314" s="9">
        <v>165.5</v>
      </c>
      <c r="J314" s="9">
        <v>164.7</v>
      </c>
      <c r="K314" s="9">
        <v>166.3</v>
      </c>
    </row>
    <row r="315" spans="1:11" x14ac:dyDescent="0.3">
      <c r="A315" t="s">
        <v>33</v>
      </c>
      <c r="B315">
        <v>2021</v>
      </c>
      <c r="C315" t="s">
        <v>43</v>
      </c>
      <c r="D315" s="3">
        <v>44470</v>
      </c>
      <c r="E315" s="9">
        <v>171.5</v>
      </c>
      <c r="F315" s="9">
        <v>197</v>
      </c>
      <c r="G315" s="9">
        <v>158.30000000000001</v>
      </c>
      <c r="H315" s="9">
        <v>163.6</v>
      </c>
      <c r="I315" s="9">
        <v>162.19999999999999</v>
      </c>
      <c r="J315" s="9">
        <v>157</v>
      </c>
      <c r="K315" s="9">
        <v>164.6</v>
      </c>
    </row>
    <row r="316" spans="1:11" x14ac:dyDescent="0.3">
      <c r="A316" t="s">
        <v>34</v>
      </c>
      <c r="B316">
        <v>2021</v>
      </c>
      <c r="C316" t="s">
        <v>43</v>
      </c>
      <c r="D316" s="3">
        <v>44470</v>
      </c>
      <c r="E316" s="9">
        <v>167.7</v>
      </c>
      <c r="F316" s="9">
        <v>192.7</v>
      </c>
      <c r="G316" s="9">
        <v>164.3</v>
      </c>
      <c r="H316" s="9">
        <v>163.6</v>
      </c>
      <c r="I316" s="9">
        <v>164.2</v>
      </c>
      <c r="J316" s="9">
        <v>161</v>
      </c>
      <c r="K316" s="9">
        <v>165.5</v>
      </c>
    </row>
    <row r="317" spans="1:11" x14ac:dyDescent="0.3">
      <c r="A317" t="s">
        <v>30</v>
      </c>
      <c r="B317">
        <v>2021</v>
      </c>
      <c r="C317" t="s">
        <v>45</v>
      </c>
      <c r="D317" s="3">
        <v>44501</v>
      </c>
      <c r="E317" s="9">
        <v>167.5</v>
      </c>
      <c r="F317" s="9">
        <v>191.4</v>
      </c>
      <c r="G317" s="9">
        <v>169.8</v>
      </c>
      <c r="I317" s="9">
        <v>165.3</v>
      </c>
      <c r="J317" s="9">
        <v>165.2</v>
      </c>
      <c r="K317" s="9">
        <v>167.6</v>
      </c>
    </row>
    <row r="318" spans="1:11" x14ac:dyDescent="0.3">
      <c r="A318" t="s">
        <v>33</v>
      </c>
      <c r="B318">
        <v>2021</v>
      </c>
      <c r="C318" t="s">
        <v>45</v>
      </c>
      <c r="D318" s="3">
        <v>44501</v>
      </c>
      <c r="E318" s="9">
        <v>173.5</v>
      </c>
      <c r="F318" s="9">
        <v>197</v>
      </c>
      <c r="G318" s="9">
        <v>159.69999999999999</v>
      </c>
      <c r="H318" s="9">
        <v>164.2</v>
      </c>
      <c r="I318" s="9">
        <v>161.6</v>
      </c>
      <c r="J318" s="9">
        <v>157.30000000000001</v>
      </c>
      <c r="K318" s="9">
        <v>165.6</v>
      </c>
    </row>
    <row r="319" spans="1:11" x14ac:dyDescent="0.3">
      <c r="A319" t="s">
        <v>34</v>
      </c>
      <c r="B319">
        <v>2021</v>
      </c>
      <c r="C319" t="s">
        <v>45</v>
      </c>
      <c r="D319" s="3">
        <v>44501</v>
      </c>
      <c r="E319" s="9">
        <v>169.7</v>
      </c>
      <c r="F319" s="9">
        <v>192.9</v>
      </c>
      <c r="G319" s="9">
        <v>165.8</v>
      </c>
      <c r="H319" s="9">
        <v>164.2</v>
      </c>
      <c r="I319" s="9">
        <v>163.9</v>
      </c>
      <c r="J319" s="9">
        <v>161.4</v>
      </c>
      <c r="K319" s="9">
        <v>166.7</v>
      </c>
    </row>
    <row r="320" spans="1:11" x14ac:dyDescent="0.3">
      <c r="A320" t="s">
        <v>30</v>
      </c>
      <c r="B320">
        <v>2021</v>
      </c>
      <c r="C320" t="s">
        <v>46</v>
      </c>
      <c r="D320" s="3">
        <v>44531</v>
      </c>
      <c r="E320" s="9">
        <v>165.8</v>
      </c>
      <c r="F320" s="9">
        <v>190.8</v>
      </c>
      <c r="G320" s="9">
        <v>171.2</v>
      </c>
      <c r="I320" s="9">
        <v>165.6</v>
      </c>
      <c r="J320" s="9">
        <v>166</v>
      </c>
      <c r="K320" s="9">
        <v>167</v>
      </c>
    </row>
    <row r="321" spans="1:11" x14ac:dyDescent="0.3">
      <c r="A321" t="s">
        <v>33</v>
      </c>
      <c r="B321">
        <v>2021</v>
      </c>
      <c r="C321" t="s">
        <v>46</v>
      </c>
      <c r="D321" s="3">
        <v>44531</v>
      </c>
      <c r="E321" s="9">
        <v>172.2</v>
      </c>
      <c r="F321" s="9">
        <v>196.8</v>
      </c>
      <c r="G321" s="9">
        <v>160.69999999999999</v>
      </c>
      <c r="H321" s="9">
        <v>163.4</v>
      </c>
      <c r="I321" s="9">
        <v>161.69999999999999</v>
      </c>
      <c r="J321" s="9">
        <v>157.80000000000001</v>
      </c>
      <c r="K321" s="9">
        <v>165.2</v>
      </c>
    </row>
    <row r="322" spans="1:11" x14ac:dyDescent="0.3">
      <c r="A322" t="s">
        <v>34</v>
      </c>
      <c r="B322">
        <v>2021</v>
      </c>
      <c r="C322" t="s">
        <v>46</v>
      </c>
      <c r="D322" s="3">
        <v>44531</v>
      </c>
      <c r="E322" s="9">
        <v>168.2</v>
      </c>
      <c r="F322" s="9">
        <v>192.4</v>
      </c>
      <c r="G322" s="9">
        <v>167</v>
      </c>
      <c r="H322" s="9">
        <v>163.4</v>
      </c>
      <c r="I322" s="9">
        <v>164.1</v>
      </c>
      <c r="J322" s="9">
        <v>162</v>
      </c>
      <c r="K322" s="9">
        <v>166.2</v>
      </c>
    </row>
    <row r="323" spans="1:11" x14ac:dyDescent="0.3">
      <c r="A323" t="s">
        <v>30</v>
      </c>
      <c r="B323">
        <v>2022</v>
      </c>
      <c r="C323" t="s">
        <v>31</v>
      </c>
      <c r="D323" s="3">
        <v>44562</v>
      </c>
      <c r="E323" s="9">
        <v>164.1</v>
      </c>
      <c r="F323" s="9">
        <v>190.7</v>
      </c>
      <c r="G323" s="9">
        <v>172.7</v>
      </c>
      <c r="I323" s="9">
        <v>165.8</v>
      </c>
      <c r="J323" s="9">
        <v>166.6</v>
      </c>
      <c r="K323" s="9">
        <v>166.4</v>
      </c>
    </row>
    <row r="324" spans="1:11" x14ac:dyDescent="0.3">
      <c r="A324" t="s">
        <v>33</v>
      </c>
      <c r="B324">
        <v>2022</v>
      </c>
      <c r="C324" t="s">
        <v>31</v>
      </c>
      <c r="D324" s="3">
        <v>44562</v>
      </c>
      <c r="E324" s="9">
        <v>170.3</v>
      </c>
      <c r="F324" s="9">
        <v>196.4</v>
      </c>
      <c r="G324" s="9">
        <v>162.19999999999999</v>
      </c>
      <c r="H324" s="9">
        <v>164.5</v>
      </c>
      <c r="I324" s="9">
        <v>161.6</v>
      </c>
      <c r="J324" s="9">
        <v>158.6</v>
      </c>
      <c r="K324" s="9">
        <v>165</v>
      </c>
    </row>
    <row r="325" spans="1:11" x14ac:dyDescent="0.3">
      <c r="A325" t="s">
        <v>34</v>
      </c>
      <c r="B325">
        <v>2022</v>
      </c>
      <c r="C325" t="s">
        <v>31</v>
      </c>
      <c r="D325" s="3">
        <v>44562</v>
      </c>
      <c r="E325" s="9">
        <v>166.4</v>
      </c>
      <c r="F325" s="9">
        <v>192.2</v>
      </c>
      <c r="G325" s="9">
        <v>168.5</v>
      </c>
      <c r="H325" s="9">
        <v>164.5</v>
      </c>
      <c r="I325" s="9">
        <v>164.2</v>
      </c>
      <c r="J325" s="9">
        <v>162.69999999999999</v>
      </c>
      <c r="K325" s="9">
        <v>165.7</v>
      </c>
    </row>
    <row r="326" spans="1:11" x14ac:dyDescent="0.3">
      <c r="A326" t="s">
        <v>30</v>
      </c>
      <c r="B326">
        <v>2022</v>
      </c>
      <c r="C326" t="s">
        <v>35</v>
      </c>
      <c r="D326" s="3">
        <v>44593</v>
      </c>
      <c r="E326" s="9">
        <v>163.9</v>
      </c>
      <c r="F326" s="9">
        <v>191.5</v>
      </c>
      <c r="G326" s="9">
        <v>173.7</v>
      </c>
      <c r="I326" s="9">
        <v>167.4</v>
      </c>
      <c r="J326" s="9">
        <v>167.3</v>
      </c>
      <c r="K326" s="9">
        <v>166.7</v>
      </c>
    </row>
    <row r="327" spans="1:11" x14ac:dyDescent="0.3">
      <c r="A327" t="s">
        <v>33</v>
      </c>
      <c r="B327">
        <v>2022</v>
      </c>
      <c r="C327" t="s">
        <v>35</v>
      </c>
      <c r="D327" s="3">
        <v>44593</v>
      </c>
      <c r="E327" s="9">
        <v>170.2</v>
      </c>
      <c r="F327" s="9">
        <v>196.5</v>
      </c>
      <c r="G327" s="9">
        <v>163.4</v>
      </c>
      <c r="H327" s="9">
        <v>165.5</v>
      </c>
      <c r="I327" s="9">
        <v>163</v>
      </c>
      <c r="J327" s="9">
        <v>159.4</v>
      </c>
      <c r="K327" s="9">
        <v>165.5</v>
      </c>
    </row>
    <row r="328" spans="1:11" x14ac:dyDescent="0.3">
      <c r="A328" t="s">
        <v>34</v>
      </c>
      <c r="B328">
        <v>2022</v>
      </c>
      <c r="C328" t="s">
        <v>35</v>
      </c>
      <c r="D328" s="3">
        <v>44593</v>
      </c>
      <c r="E328" s="9">
        <v>166.2</v>
      </c>
      <c r="F328" s="9">
        <v>192.8</v>
      </c>
      <c r="G328" s="9">
        <v>169.6</v>
      </c>
      <c r="H328" s="9">
        <v>165.5</v>
      </c>
      <c r="I328" s="9">
        <v>165.7</v>
      </c>
      <c r="J328" s="9">
        <v>163.5</v>
      </c>
      <c r="K328" s="9">
        <v>166.1</v>
      </c>
    </row>
    <row r="329" spans="1:11" x14ac:dyDescent="0.3">
      <c r="A329" t="s">
        <v>30</v>
      </c>
      <c r="B329">
        <v>2022</v>
      </c>
      <c r="C329" t="s">
        <v>36</v>
      </c>
      <c r="D329" s="3">
        <v>44621</v>
      </c>
      <c r="E329" s="9">
        <v>166.6</v>
      </c>
      <c r="F329" s="9">
        <v>192.3</v>
      </c>
      <c r="G329" s="9">
        <v>175.1</v>
      </c>
      <c r="I329" s="9">
        <v>168.9</v>
      </c>
      <c r="J329" s="9">
        <v>168.3</v>
      </c>
      <c r="K329" s="9">
        <v>168.7</v>
      </c>
    </row>
    <row r="330" spans="1:11" x14ac:dyDescent="0.3">
      <c r="A330" t="s">
        <v>33</v>
      </c>
      <c r="B330">
        <v>2022</v>
      </c>
      <c r="C330" t="s">
        <v>36</v>
      </c>
      <c r="D330" s="3">
        <v>44621</v>
      </c>
      <c r="E330" s="9">
        <v>171.5</v>
      </c>
      <c r="F330" s="9">
        <v>197.5</v>
      </c>
      <c r="G330" s="9">
        <v>164.9</v>
      </c>
      <c r="H330" s="9">
        <v>165.3</v>
      </c>
      <c r="I330" s="9">
        <v>164.5</v>
      </c>
      <c r="J330" s="9">
        <v>160.6</v>
      </c>
      <c r="K330" s="9">
        <v>166.5</v>
      </c>
    </row>
    <row r="331" spans="1:11" x14ac:dyDescent="0.3">
      <c r="A331" t="s">
        <v>34</v>
      </c>
      <c r="B331">
        <v>2022</v>
      </c>
      <c r="C331" t="s">
        <v>36</v>
      </c>
      <c r="D331" s="3">
        <v>44621</v>
      </c>
      <c r="E331" s="9">
        <v>168.4</v>
      </c>
      <c r="F331" s="9">
        <v>193.7</v>
      </c>
      <c r="G331" s="9">
        <v>171.1</v>
      </c>
      <c r="H331" s="9">
        <v>165.3</v>
      </c>
      <c r="I331" s="9">
        <v>167.2</v>
      </c>
      <c r="J331" s="9">
        <v>164.6</v>
      </c>
      <c r="K331" s="9">
        <v>167.7</v>
      </c>
    </row>
    <row r="332" spans="1:11" x14ac:dyDescent="0.3">
      <c r="A332" t="s">
        <v>30</v>
      </c>
      <c r="B332">
        <v>2022</v>
      </c>
      <c r="C332" t="s">
        <v>37</v>
      </c>
      <c r="D332" s="3">
        <v>44652</v>
      </c>
      <c r="E332" s="9">
        <v>168.6</v>
      </c>
      <c r="F332" s="9">
        <v>192.8</v>
      </c>
      <c r="G332" s="9">
        <v>177.1</v>
      </c>
      <c r="I332" s="9">
        <v>173.3</v>
      </c>
      <c r="J332" s="9">
        <v>170.2</v>
      </c>
      <c r="K332" s="9">
        <v>170.8</v>
      </c>
    </row>
    <row r="333" spans="1:11" x14ac:dyDescent="0.3">
      <c r="A333" t="s">
        <v>33</v>
      </c>
      <c r="B333">
        <v>2022</v>
      </c>
      <c r="C333" t="s">
        <v>37</v>
      </c>
      <c r="D333" s="3">
        <v>44652</v>
      </c>
      <c r="E333" s="9">
        <v>174.5</v>
      </c>
      <c r="F333" s="9">
        <v>197.1</v>
      </c>
      <c r="G333" s="9">
        <v>166.3</v>
      </c>
      <c r="H333" s="9">
        <v>167</v>
      </c>
      <c r="I333" s="9">
        <v>170.5</v>
      </c>
      <c r="J333" s="9">
        <v>163.1</v>
      </c>
      <c r="K333" s="9">
        <v>169.2</v>
      </c>
    </row>
    <row r="334" spans="1:11" x14ac:dyDescent="0.3">
      <c r="A334" t="s">
        <v>34</v>
      </c>
      <c r="B334">
        <v>2022</v>
      </c>
      <c r="C334" t="s">
        <v>37</v>
      </c>
      <c r="D334" s="3">
        <v>44652</v>
      </c>
      <c r="E334" s="9">
        <v>170.8</v>
      </c>
      <c r="F334" s="9">
        <v>193.9</v>
      </c>
      <c r="G334" s="9">
        <v>172.8</v>
      </c>
      <c r="H334" s="9">
        <v>167</v>
      </c>
      <c r="I334" s="9">
        <v>172.2</v>
      </c>
      <c r="J334" s="9">
        <v>166.8</v>
      </c>
      <c r="K334" s="9">
        <v>170.1</v>
      </c>
    </row>
    <row r="335" spans="1:11" x14ac:dyDescent="0.3">
      <c r="A335" t="s">
        <v>30</v>
      </c>
      <c r="B335">
        <v>2022</v>
      </c>
      <c r="C335" t="s">
        <v>38</v>
      </c>
      <c r="D335" s="3">
        <v>44682</v>
      </c>
      <c r="E335" s="9">
        <v>170.8</v>
      </c>
      <c r="F335" s="9">
        <v>192.9</v>
      </c>
      <c r="G335" s="9">
        <v>179</v>
      </c>
      <c r="I335" s="9">
        <v>175.3</v>
      </c>
      <c r="J335" s="9">
        <v>170.9</v>
      </c>
      <c r="K335" s="9">
        <v>172.5</v>
      </c>
    </row>
    <row r="336" spans="1:11" x14ac:dyDescent="0.3">
      <c r="A336" t="s">
        <v>33</v>
      </c>
      <c r="B336">
        <v>2022</v>
      </c>
      <c r="C336" t="s">
        <v>38</v>
      </c>
      <c r="D336" s="3">
        <v>44682</v>
      </c>
      <c r="E336" s="9">
        <v>177.5</v>
      </c>
      <c r="F336" s="9">
        <v>197.5</v>
      </c>
      <c r="G336" s="9">
        <v>167.8</v>
      </c>
      <c r="H336" s="9">
        <v>167.5</v>
      </c>
      <c r="I336" s="9">
        <v>173.5</v>
      </c>
      <c r="J336" s="9">
        <v>163.80000000000001</v>
      </c>
      <c r="K336" s="9">
        <v>170.8</v>
      </c>
    </row>
    <row r="337" spans="1:11" x14ac:dyDescent="0.3">
      <c r="A337" t="s">
        <v>34</v>
      </c>
      <c r="B337">
        <v>2022</v>
      </c>
      <c r="C337" t="s">
        <v>38</v>
      </c>
      <c r="D337" s="3">
        <v>44682</v>
      </c>
      <c r="E337" s="9">
        <v>173.3</v>
      </c>
      <c r="F337" s="9">
        <v>194.1</v>
      </c>
      <c r="G337" s="9">
        <v>174.6</v>
      </c>
      <c r="H337" s="9">
        <v>167.5</v>
      </c>
      <c r="I337" s="9">
        <v>174.6</v>
      </c>
      <c r="J337" s="9">
        <v>167.5</v>
      </c>
      <c r="K337" s="9">
        <v>171.7</v>
      </c>
    </row>
    <row r="338" spans="1:11" x14ac:dyDescent="0.3">
      <c r="A338" t="s">
        <v>30</v>
      </c>
      <c r="B338">
        <v>2022</v>
      </c>
      <c r="C338" t="s">
        <v>39</v>
      </c>
      <c r="D338" s="3">
        <v>44713</v>
      </c>
      <c r="E338" s="9">
        <v>172.4</v>
      </c>
      <c r="F338" s="9">
        <v>192.9</v>
      </c>
      <c r="G338" s="9">
        <v>180.4</v>
      </c>
      <c r="I338" s="9">
        <v>176.7</v>
      </c>
      <c r="J338" s="9">
        <v>171</v>
      </c>
      <c r="K338" s="9">
        <v>173.6</v>
      </c>
    </row>
    <row r="339" spans="1:11" x14ac:dyDescent="0.3">
      <c r="A339" t="s">
        <v>33</v>
      </c>
      <c r="B339">
        <v>2022</v>
      </c>
      <c r="C339" t="s">
        <v>39</v>
      </c>
      <c r="D339" s="3">
        <v>44713</v>
      </c>
      <c r="E339" s="9">
        <v>179.3</v>
      </c>
      <c r="F339" s="9">
        <v>198.3</v>
      </c>
      <c r="G339" s="9">
        <v>169.4</v>
      </c>
      <c r="H339" s="9">
        <v>166.8</v>
      </c>
      <c r="I339" s="9">
        <v>174.9</v>
      </c>
      <c r="J339" s="9">
        <v>163.80000000000001</v>
      </c>
      <c r="K339" s="9">
        <v>171.4</v>
      </c>
    </row>
    <row r="340" spans="1:11" x14ac:dyDescent="0.3">
      <c r="A340" t="s">
        <v>34</v>
      </c>
      <c r="B340">
        <v>2022</v>
      </c>
      <c r="C340" t="s">
        <v>39</v>
      </c>
      <c r="D340" s="3">
        <v>44713</v>
      </c>
      <c r="E340" s="9">
        <v>174.9</v>
      </c>
      <c r="F340" s="9">
        <v>194.3</v>
      </c>
      <c r="G340" s="9">
        <v>176</v>
      </c>
      <c r="H340" s="9">
        <v>166.8</v>
      </c>
      <c r="I340" s="9">
        <v>176</v>
      </c>
      <c r="J340" s="9">
        <v>167.5</v>
      </c>
      <c r="K340" s="9">
        <v>172.6</v>
      </c>
    </row>
    <row r="341" spans="1:11" x14ac:dyDescent="0.3">
      <c r="A341" t="s">
        <v>30</v>
      </c>
      <c r="B341">
        <v>2022</v>
      </c>
      <c r="C341" t="s">
        <v>40</v>
      </c>
      <c r="D341" s="3">
        <v>44743</v>
      </c>
      <c r="E341" s="9">
        <v>172.5</v>
      </c>
      <c r="F341" s="9">
        <v>193.2</v>
      </c>
      <c r="G341" s="9">
        <v>181.7</v>
      </c>
      <c r="I341" s="9">
        <v>179.6</v>
      </c>
      <c r="J341" s="9">
        <v>171.8</v>
      </c>
      <c r="K341" s="9">
        <v>174.3</v>
      </c>
    </row>
    <row r="342" spans="1:11" x14ac:dyDescent="0.3">
      <c r="A342" t="s">
        <v>33</v>
      </c>
      <c r="B342">
        <v>2022</v>
      </c>
      <c r="C342" t="s">
        <v>40</v>
      </c>
      <c r="D342" s="3">
        <v>44743</v>
      </c>
      <c r="E342" s="9">
        <v>179.4</v>
      </c>
      <c r="F342" s="9">
        <v>198.6</v>
      </c>
      <c r="G342" s="9">
        <v>170.6</v>
      </c>
      <c r="H342" s="9">
        <v>167.8</v>
      </c>
      <c r="I342" s="9">
        <v>179.5</v>
      </c>
      <c r="J342" s="9">
        <v>164.7</v>
      </c>
      <c r="K342" s="9">
        <v>172.3</v>
      </c>
    </row>
    <row r="343" spans="1:11" x14ac:dyDescent="0.3">
      <c r="A343" t="s">
        <v>34</v>
      </c>
      <c r="B343">
        <v>2022</v>
      </c>
      <c r="C343" t="s">
        <v>40</v>
      </c>
      <c r="D343" s="3">
        <v>44743</v>
      </c>
      <c r="E343" s="9">
        <v>175</v>
      </c>
      <c r="F343" s="9">
        <v>194.6</v>
      </c>
      <c r="G343" s="9">
        <v>177.3</v>
      </c>
      <c r="H343" s="9">
        <v>167.8</v>
      </c>
      <c r="I343" s="9">
        <v>179.6</v>
      </c>
      <c r="J343" s="9">
        <v>168.4</v>
      </c>
      <c r="K343" s="9">
        <v>173.4</v>
      </c>
    </row>
    <row r="344" spans="1:11" x14ac:dyDescent="0.3">
      <c r="A344" t="s">
        <v>30</v>
      </c>
      <c r="B344">
        <v>2022</v>
      </c>
      <c r="C344" t="s">
        <v>41</v>
      </c>
      <c r="D344" s="3">
        <v>44774</v>
      </c>
      <c r="E344" s="9">
        <v>173.9</v>
      </c>
      <c r="F344" s="9">
        <v>193.7</v>
      </c>
      <c r="G344" s="9">
        <v>183</v>
      </c>
      <c r="I344" s="9">
        <v>179.1</v>
      </c>
      <c r="J344" s="9">
        <v>172.6</v>
      </c>
      <c r="K344" s="9">
        <v>175.3</v>
      </c>
    </row>
    <row r="345" spans="1:11" x14ac:dyDescent="0.3">
      <c r="A345" t="s">
        <v>33</v>
      </c>
      <c r="B345">
        <v>2022</v>
      </c>
      <c r="C345" t="s">
        <v>41</v>
      </c>
      <c r="D345" s="3">
        <v>44774</v>
      </c>
      <c r="E345" s="9">
        <v>180.4</v>
      </c>
      <c r="F345" s="9">
        <v>198.7</v>
      </c>
      <c r="G345" s="9">
        <v>171.6</v>
      </c>
      <c r="H345" s="9">
        <v>169</v>
      </c>
      <c r="I345" s="9">
        <v>178.4</v>
      </c>
      <c r="J345" s="9">
        <v>165.4</v>
      </c>
      <c r="K345" s="9">
        <v>173.1</v>
      </c>
    </row>
    <row r="346" spans="1:11" x14ac:dyDescent="0.3">
      <c r="A346" t="s">
        <v>34</v>
      </c>
      <c r="B346">
        <v>2022</v>
      </c>
      <c r="C346" t="s">
        <v>41</v>
      </c>
      <c r="D346" s="3">
        <v>44774</v>
      </c>
      <c r="E346" s="9">
        <v>176.3</v>
      </c>
      <c r="F346" s="9">
        <v>195</v>
      </c>
      <c r="G346" s="9">
        <v>178.5</v>
      </c>
      <c r="H346" s="9">
        <v>169</v>
      </c>
      <c r="I346" s="9">
        <v>178.8</v>
      </c>
      <c r="J346" s="9">
        <v>169.1</v>
      </c>
      <c r="K346" s="9">
        <v>174.3</v>
      </c>
    </row>
    <row r="347" spans="1:11" x14ac:dyDescent="0.3">
      <c r="A347" t="s">
        <v>30</v>
      </c>
      <c r="B347">
        <v>2022</v>
      </c>
      <c r="C347" t="s">
        <v>42</v>
      </c>
      <c r="D347" s="3">
        <v>44805</v>
      </c>
      <c r="E347" s="9">
        <v>175.5</v>
      </c>
      <c r="F347" s="9">
        <v>194.5</v>
      </c>
      <c r="G347" s="9">
        <v>184.5</v>
      </c>
      <c r="I347" s="9">
        <v>179.7</v>
      </c>
      <c r="J347" s="9">
        <v>173.1</v>
      </c>
      <c r="K347" s="9">
        <v>176.4</v>
      </c>
    </row>
    <row r="348" spans="1:11" x14ac:dyDescent="0.3">
      <c r="A348" t="s">
        <v>33</v>
      </c>
      <c r="B348">
        <v>2022</v>
      </c>
      <c r="C348" t="s">
        <v>42</v>
      </c>
      <c r="D348" s="3">
        <v>44805</v>
      </c>
      <c r="E348" s="9">
        <v>181.8</v>
      </c>
      <c r="F348" s="9">
        <v>199.7</v>
      </c>
      <c r="G348" s="9">
        <v>173</v>
      </c>
      <c r="H348" s="9">
        <v>169.5</v>
      </c>
      <c r="I348" s="9">
        <v>179.2</v>
      </c>
      <c r="J348" s="9">
        <v>166.1</v>
      </c>
      <c r="K348" s="9">
        <v>174.1</v>
      </c>
    </row>
    <row r="349" spans="1:11" x14ac:dyDescent="0.3">
      <c r="A349" t="s">
        <v>34</v>
      </c>
      <c r="B349">
        <v>2022</v>
      </c>
      <c r="C349" t="s">
        <v>42</v>
      </c>
      <c r="D349" s="3">
        <v>44805</v>
      </c>
      <c r="E349" s="9">
        <v>177.8</v>
      </c>
      <c r="F349" s="9">
        <v>195.9</v>
      </c>
      <c r="G349" s="9">
        <v>179.9</v>
      </c>
      <c r="H349" s="9">
        <v>169.5</v>
      </c>
      <c r="I349" s="9">
        <v>179.5</v>
      </c>
      <c r="J349" s="9">
        <v>169.7</v>
      </c>
      <c r="K349" s="9">
        <v>175.3</v>
      </c>
    </row>
    <row r="350" spans="1:11" x14ac:dyDescent="0.3">
      <c r="A350" t="s">
        <v>30</v>
      </c>
      <c r="B350">
        <v>2022</v>
      </c>
      <c r="C350" t="s">
        <v>43</v>
      </c>
      <c r="D350" s="3">
        <v>44835</v>
      </c>
      <c r="E350" s="9">
        <v>177.4</v>
      </c>
      <c r="F350" s="9">
        <v>194.9</v>
      </c>
      <c r="G350" s="9">
        <v>185.9</v>
      </c>
      <c r="I350" s="9">
        <v>180.8</v>
      </c>
      <c r="J350" s="9">
        <v>173.9</v>
      </c>
      <c r="K350" s="9">
        <v>177.9</v>
      </c>
    </row>
    <row r="351" spans="1:11" x14ac:dyDescent="0.3">
      <c r="A351" t="s">
        <v>33</v>
      </c>
      <c r="B351">
        <v>2022</v>
      </c>
      <c r="C351" t="s">
        <v>43</v>
      </c>
      <c r="D351" s="3">
        <v>44835</v>
      </c>
      <c r="E351" s="9">
        <v>183.3</v>
      </c>
      <c r="F351" s="9">
        <v>200.1</v>
      </c>
      <c r="G351" s="9">
        <v>173.6</v>
      </c>
      <c r="H351" s="9">
        <v>171.2</v>
      </c>
      <c r="I351" s="9">
        <v>180</v>
      </c>
      <c r="J351" s="9">
        <v>166.8</v>
      </c>
      <c r="K351" s="9">
        <v>175.3</v>
      </c>
    </row>
    <row r="352" spans="1:11" x14ac:dyDescent="0.3">
      <c r="A352" t="s">
        <v>34</v>
      </c>
      <c r="B352">
        <v>2022</v>
      </c>
      <c r="C352" t="s">
        <v>43</v>
      </c>
      <c r="D352" s="3">
        <v>44835</v>
      </c>
      <c r="E352" s="9">
        <v>179.6</v>
      </c>
      <c r="F352" s="9">
        <v>196.3</v>
      </c>
      <c r="G352" s="9">
        <v>181</v>
      </c>
      <c r="H352" s="9">
        <v>171.2</v>
      </c>
      <c r="I352" s="9">
        <v>180.5</v>
      </c>
      <c r="J352" s="9">
        <v>170.5</v>
      </c>
      <c r="K352" s="9">
        <v>176.7</v>
      </c>
    </row>
    <row r="353" spans="1:11" x14ac:dyDescent="0.3">
      <c r="A353" t="s">
        <v>30</v>
      </c>
      <c r="B353">
        <v>2022</v>
      </c>
      <c r="C353" t="s">
        <v>45</v>
      </c>
      <c r="D353" s="3">
        <v>44866</v>
      </c>
      <c r="E353" s="9">
        <v>176.6</v>
      </c>
      <c r="F353" s="9">
        <v>195.5</v>
      </c>
      <c r="G353" s="9">
        <v>186.9</v>
      </c>
      <c r="I353" s="9">
        <v>181.9</v>
      </c>
      <c r="J353" s="9">
        <v>174.6</v>
      </c>
      <c r="K353" s="9">
        <v>177.8</v>
      </c>
    </row>
    <row r="354" spans="1:11" x14ac:dyDescent="0.3">
      <c r="A354" t="s">
        <v>33</v>
      </c>
      <c r="B354">
        <v>2022</v>
      </c>
      <c r="C354" t="s">
        <v>45</v>
      </c>
      <c r="D354" s="3">
        <v>44866</v>
      </c>
      <c r="E354" s="9">
        <v>181.3</v>
      </c>
      <c r="F354" s="9">
        <v>200.6</v>
      </c>
      <c r="G354" s="9">
        <v>174.7</v>
      </c>
      <c r="H354" s="9">
        <v>171.8</v>
      </c>
      <c r="I354" s="9">
        <v>180.3</v>
      </c>
      <c r="J354" s="9">
        <v>167.4</v>
      </c>
      <c r="K354" s="9">
        <v>174.1</v>
      </c>
    </row>
    <row r="355" spans="1:11" x14ac:dyDescent="0.3">
      <c r="A355" t="s">
        <v>34</v>
      </c>
      <c r="B355">
        <v>2022</v>
      </c>
      <c r="C355" t="s">
        <v>45</v>
      </c>
      <c r="D355" s="3">
        <v>44866</v>
      </c>
      <c r="E355" s="9">
        <v>178.3</v>
      </c>
      <c r="F355" s="9">
        <v>196.9</v>
      </c>
      <c r="G355" s="9">
        <v>182.1</v>
      </c>
      <c r="H355" s="9">
        <v>171.8</v>
      </c>
      <c r="I355" s="9">
        <v>181.3</v>
      </c>
      <c r="J355" s="9">
        <v>171.1</v>
      </c>
      <c r="K355" s="9">
        <v>176.5</v>
      </c>
    </row>
    <row r="356" spans="1:11" x14ac:dyDescent="0.3">
      <c r="A356" t="s">
        <v>30</v>
      </c>
      <c r="B356">
        <v>2022</v>
      </c>
      <c r="C356" t="s">
        <v>46</v>
      </c>
      <c r="D356" s="3">
        <v>44896</v>
      </c>
      <c r="E356" s="9">
        <v>174.4</v>
      </c>
      <c r="F356" s="9">
        <v>195.9</v>
      </c>
      <c r="G356" s="9">
        <v>187.8</v>
      </c>
      <c r="I356" s="9">
        <v>182.8</v>
      </c>
      <c r="J356" s="9">
        <v>175.5</v>
      </c>
      <c r="K356" s="9">
        <v>177.1</v>
      </c>
    </row>
    <row r="357" spans="1:11" x14ac:dyDescent="0.3">
      <c r="A357" t="s">
        <v>33</v>
      </c>
      <c r="B357">
        <v>2022</v>
      </c>
      <c r="C357" t="s">
        <v>46</v>
      </c>
      <c r="D357" s="3">
        <v>44896</v>
      </c>
      <c r="E357" s="9">
        <v>178.6</v>
      </c>
      <c r="F357" s="9">
        <v>201.1</v>
      </c>
      <c r="G357" s="9">
        <v>175.7</v>
      </c>
      <c r="H357" s="9">
        <v>170.7</v>
      </c>
      <c r="I357" s="9">
        <v>180.6</v>
      </c>
      <c r="J357" s="9">
        <v>168.2</v>
      </c>
      <c r="K357" s="9">
        <v>174.1</v>
      </c>
    </row>
    <row r="358" spans="1:11" x14ac:dyDescent="0.3">
      <c r="A358" t="s">
        <v>34</v>
      </c>
      <c r="B358">
        <v>2022</v>
      </c>
      <c r="C358" t="s">
        <v>46</v>
      </c>
      <c r="D358" s="3">
        <v>44896</v>
      </c>
      <c r="E358" s="9">
        <v>175.9</v>
      </c>
      <c r="F358" s="9">
        <v>197.3</v>
      </c>
      <c r="G358" s="9">
        <v>183</v>
      </c>
      <c r="H358" s="9">
        <v>170.7</v>
      </c>
      <c r="I358" s="9">
        <v>182</v>
      </c>
      <c r="J358" s="9">
        <v>172</v>
      </c>
      <c r="K358" s="9">
        <v>175.7</v>
      </c>
    </row>
    <row r="359" spans="1:11" x14ac:dyDescent="0.3">
      <c r="A359" t="s">
        <v>30</v>
      </c>
      <c r="B359">
        <v>2023</v>
      </c>
      <c r="C359" t="s">
        <v>31</v>
      </c>
      <c r="D359" s="3">
        <v>44927</v>
      </c>
      <c r="E359" s="9">
        <v>175</v>
      </c>
      <c r="F359" s="9">
        <v>196.9</v>
      </c>
      <c r="G359" s="9">
        <v>188.6</v>
      </c>
      <c r="I359" s="9">
        <v>183.2</v>
      </c>
      <c r="J359" s="9">
        <v>176.5</v>
      </c>
      <c r="K359" s="9">
        <v>177.8</v>
      </c>
    </row>
    <row r="360" spans="1:11" x14ac:dyDescent="0.3">
      <c r="A360" t="s">
        <v>33</v>
      </c>
      <c r="B360">
        <v>2023</v>
      </c>
      <c r="C360" t="s">
        <v>31</v>
      </c>
      <c r="D360" s="3">
        <v>44927</v>
      </c>
      <c r="E360" s="9">
        <v>179.5</v>
      </c>
      <c r="F360" s="9">
        <v>201.6</v>
      </c>
      <c r="G360" s="9">
        <v>176.6</v>
      </c>
      <c r="H360" s="9">
        <v>172.1</v>
      </c>
      <c r="I360" s="9">
        <v>180.1</v>
      </c>
      <c r="J360" s="9">
        <v>168.9</v>
      </c>
      <c r="K360" s="9">
        <v>174.9</v>
      </c>
    </row>
    <row r="361" spans="1:11" x14ac:dyDescent="0.3">
      <c r="A361" t="s">
        <v>34</v>
      </c>
      <c r="B361">
        <v>2023</v>
      </c>
      <c r="C361" t="s">
        <v>31</v>
      </c>
      <c r="D361" s="3">
        <v>44927</v>
      </c>
      <c r="E361" s="9">
        <v>176.7</v>
      </c>
      <c r="F361" s="9">
        <v>198.2</v>
      </c>
      <c r="G361" s="9">
        <v>183.8</v>
      </c>
      <c r="H361" s="9">
        <v>172.1</v>
      </c>
      <c r="I361" s="9">
        <v>182</v>
      </c>
      <c r="J361" s="9">
        <v>172.8</v>
      </c>
      <c r="K361" s="9">
        <v>176.5</v>
      </c>
    </row>
    <row r="362" spans="1:11" x14ac:dyDescent="0.3">
      <c r="A362" t="s">
        <v>30</v>
      </c>
      <c r="B362">
        <v>2023</v>
      </c>
      <c r="C362" t="s">
        <v>35</v>
      </c>
      <c r="D362" s="3">
        <v>44958</v>
      </c>
      <c r="E362" s="9">
        <v>174.8</v>
      </c>
      <c r="F362" s="9">
        <v>198.3</v>
      </c>
      <c r="G362" s="9">
        <v>189.6</v>
      </c>
      <c r="I362" s="9">
        <v>181.6</v>
      </c>
      <c r="J362" s="9">
        <v>177.9</v>
      </c>
      <c r="K362" s="9">
        <v>178</v>
      </c>
    </row>
    <row r="363" spans="1:11" x14ac:dyDescent="0.3">
      <c r="A363" t="s">
        <v>33</v>
      </c>
      <c r="B363">
        <v>2023</v>
      </c>
      <c r="C363" t="s">
        <v>35</v>
      </c>
      <c r="D363" s="3">
        <v>44958</v>
      </c>
      <c r="E363" s="9">
        <v>180.7</v>
      </c>
      <c r="F363" s="9">
        <v>202.7</v>
      </c>
      <c r="G363" s="9">
        <v>178.2</v>
      </c>
      <c r="H363" s="9">
        <v>173.5</v>
      </c>
      <c r="I363" s="9">
        <v>182.8</v>
      </c>
      <c r="J363" s="9">
        <v>170</v>
      </c>
      <c r="K363" s="9">
        <v>176.3</v>
      </c>
    </row>
    <row r="364" spans="1:11" x14ac:dyDescent="0.3">
      <c r="A364" t="s">
        <v>34</v>
      </c>
      <c r="B364">
        <v>2023</v>
      </c>
      <c r="C364" t="s">
        <v>35</v>
      </c>
      <c r="D364" s="3">
        <v>44958</v>
      </c>
      <c r="E364" s="9">
        <v>177</v>
      </c>
      <c r="F364" s="9">
        <v>199.5</v>
      </c>
      <c r="G364" s="9">
        <v>185.1</v>
      </c>
      <c r="H364" s="9">
        <v>173.5</v>
      </c>
      <c r="I364" s="9">
        <v>182.1</v>
      </c>
      <c r="J364" s="9">
        <v>174.1</v>
      </c>
      <c r="K364" s="9">
        <v>177.2</v>
      </c>
    </row>
    <row r="365" spans="1:11" x14ac:dyDescent="0.3">
      <c r="A365" t="s">
        <v>30</v>
      </c>
      <c r="B365">
        <v>2023</v>
      </c>
      <c r="C365" t="s">
        <v>36</v>
      </c>
      <c r="D365" s="3">
        <v>44986</v>
      </c>
      <c r="E365" s="9">
        <v>174.8</v>
      </c>
      <c r="F365" s="9">
        <v>198.4</v>
      </c>
      <c r="G365" s="9">
        <v>189.6</v>
      </c>
      <c r="I365" s="9">
        <v>181.4</v>
      </c>
      <c r="J365" s="9">
        <v>177.9</v>
      </c>
      <c r="K365" s="9">
        <v>178</v>
      </c>
    </row>
    <row r="366" spans="1:11" x14ac:dyDescent="0.3">
      <c r="A366" t="s">
        <v>33</v>
      </c>
      <c r="B366">
        <v>2023</v>
      </c>
      <c r="C366" t="s">
        <v>36</v>
      </c>
      <c r="D366" s="3">
        <v>44986</v>
      </c>
      <c r="E366" s="9">
        <v>180.8</v>
      </c>
      <c r="F366" s="9">
        <v>202.7</v>
      </c>
      <c r="G366" s="9">
        <v>178.2</v>
      </c>
      <c r="H366" s="9">
        <v>173.5</v>
      </c>
      <c r="I366" s="9">
        <v>182.6</v>
      </c>
      <c r="J366" s="9">
        <v>170</v>
      </c>
      <c r="K366" s="9">
        <v>176.3</v>
      </c>
    </row>
    <row r="367" spans="1:11" x14ac:dyDescent="0.3">
      <c r="A367" t="s">
        <v>34</v>
      </c>
      <c r="B367">
        <v>2023</v>
      </c>
      <c r="C367" t="s">
        <v>36</v>
      </c>
      <c r="D367" s="3">
        <v>44986</v>
      </c>
      <c r="E367" s="9">
        <v>177</v>
      </c>
      <c r="F367" s="9">
        <v>199.5</v>
      </c>
      <c r="G367" s="9">
        <v>185.1</v>
      </c>
      <c r="H367" s="9">
        <v>173.5</v>
      </c>
      <c r="I367" s="9">
        <v>181.9</v>
      </c>
      <c r="J367" s="9">
        <v>174.1</v>
      </c>
      <c r="K367" s="9">
        <v>177.2</v>
      </c>
    </row>
    <row r="368" spans="1:11" x14ac:dyDescent="0.3">
      <c r="A368" t="s">
        <v>30</v>
      </c>
      <c r="B368">
        <v>2023</v>
      </c>
      <c r="C368" t="s">
        <v>37</v>
      </c>
      <c r="D368" s="3">
        <v>45017</v>
      </c>
      <c r="E368" s="9">
        <v>175.5</v>
      </c>
      <c r="F368" s="9">
        <v>199.5</v>
      </c>
      <c r="G368" s="9">
        <v>190.2</v>
      </c>
      <c r="I368" s="9">
        <v>181.5</v>
      </c>
      <c r="J368" s="9">
        <v>178.9</v>
      </c>
      <c r="K368" s="9">
        <v>178.8</v>
      </c>
    </row>
    <row r="369" spans="1:11" x14ac:dyDescent="0.3">
      <c r="A369" t="s">
        <v>33</v>
      </c>
      <c r="B369">
        <v>2023</v>
      </c>
      <c r="C369" t="s">
        <v>37</v>
      </c>
      <c r="D369" s="3">
        <v>45017</v>
      </c>
      <c r="E369" s="9">
        <v>182.1</v>
      </c>
      <c r="F369" s="9">
        <v>203.5</v>
      </c>
      <c r="G369" s="9">
        <v>178.9</v>
      </c>
      <c r="H369" s="9">
        <v>175.2</v>
      </c>
      <c r="I369" s="9">
        <v>182.1</v>
      </c>
      <c r="J369" s="9">
        <v>170.9</v>
      </c>
      <c r="K369" s="9">
        <v>177.4</v>
      </c>
    </row>
    <row r="370" spans="1:11" x14ac:dyDescent="0.3">
      <c r="A370" t="s">
        <v>34</v>
      </c>
      <c r="B370">
        <v>2023</v>
      </c>
      <c r="C370" t="s">
        <v>37</v>
      </c>
      <c r="D370" s="3">
        <v>45017</v>
      </c>
      <c r="E370" s="9">
        <v>177.9</v>
      </c>
      <c r="F370" s="9">
        <v>200.6</v>
      </c>
      <c r="G370" s="9">
        <v>185.7</v>
      </c>
      <c r="H370" s="9">
        <v>175.2</v>
      </c>
      <c r="I370" s="9">
        <v>181.7</v>
      </c>
      <c r="J370" s="9">
        <v>175</v>
      </c>
      <c r="K370" s="9">
        <v>178.1</v>
      </c>
    </row>
    <row r="371" spans="1:11" x14ac:dyDescent="0.3">
      <c r="A371" t="s">
        <v>30</v>
      </c>
      <c r="B371">
        <v>2023</v>
      </c>
      <c r="C371" t="s">
        <v>38</v>
      </c>
      <c r="D371" s="3">
        <v>45047</v>
      </c>
      <c r="E371" s="9">
        <v>176.8</v>
      </c>
      <c r="F371" s="9">
        <v>199.9</v>
      </c>
      <c r="G371" s="9">
        <v>190.8</v>
      </c>
      <c r="I371" s="9">
        <v>182.5</v>
      </c>
      <c r="J371" s="9">
        <v>179.5</v>
      </c>
      <c r="K371" s="9">
        <v>179.8</v>
      </c>
    </row>
    <row r="372" spans="1:11" x14ac:dyDescent="0.3">
      <c r="A372" t="s">
        <v>33</v>
      </c>
      <c r="B372">
        <v>2023</v>
      </c>
      <c r="C372" t="s">
        <v>38</v>
      </c>
      <c r="D372" s="3">
        <v>45047</v>
      </c>
      <c r="E372" s="9">
        <v>183.1</v>
      </c>
      <c r="F372" s="9">
        <v>204.2</v>
      </c>
      <c r="G372" s="9">
        <v>179.3</v>
      </c>
      <c r="H372" s="9">
        <v>175.6</v>
      </c>
      <c r="I372" s="9">
        <v>183.4</v>
      </c>
      <c r="J372" s="9">
        <v>171.6</v>
      </c>
      <c r="K372" s="9">
        <v>178.2</v>
      </c>
    </row>
    <row r="373" spans="1:11" x14ac:dyDescent="0.3">
      <c r="A373" t="s">
        <v>34</v>
      </c>
      <c r="B373">
        <v>2023</v>
      </c>
      <c r="C373" t="s">
        <v>38</v>
      </c>
      <c r="D373" s="3">
        <v>45047</v>
      </c>
      <c r="E373" s="9">
        <v>179.1</v>
      </c>
      <c r="F373" s="9">
        <v>201</v>
      </c>
      <c r="G373" s="9">
        <v>186.2</v>
      </c>
      <c r="H373" s="9">
        <v>175.6</v>
      </c>
      <c r="I373" s="9">
        <v>182.8</v>
      </c>
      <c r="J373" s="9">
        <v>175.7</v>
      </c>
      <c r="K373" s="9">
        <v>179.1</v>
      </c>
    </row>
  </sheetData>
  <autoFilter ref="A1:K373" xr:uid="{2B1376A9-9346-42D9-8036-70F2F553F09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D8892-ABC0-4AF5-9DFC-5CB5395D4D1B}">
  <dimension ref="A16:G39"/>
  <sheetViews>
    <sheetView topLeftCell="B3" workbookViewId="0">
      <selection activeCell="B36" sqref="B36"/>
    </sheetView>
  </sheetViews>
  <sheetFormatPr defaultRowHeight="14.4" x14ac:dyDescent="0.3"/>
  <cols>
    <col min="1" max="1" width="31" bestFit="1" customWidth="1"/>
    <col min="2" max="2" width="15.5546875" bestFit="1" customWidth="1"/>
    <col min="3" max="3" width="10.6640625" bestFit="1" customWidth="1"/>
    <col min="4" max="6" width="37" bestFit="1" customWidth="1"/>
    <col min="7" max="7" width="31.44140625" bestFit="1" customWidth="1"/>
  </cols>
  <sheetData>
    <row r="16" spans="7:7" x14ac:dyDescent="0.3">
      <c r="G16">
        <f>16+16+17+18+16+17</f>
        <v>100</v>
      </c>
    </row>
    <row r="30" spans="1:2" x14ac:dyDescent="0.3">
      <c r="A30" s="7" t="s">
        <v>0</v>
      </c>
      <c r="B30" t="s" vm="1">
        <v>34</v>
      </c>
    </row>
    <row r="32" spans="1:2" x14ac:dyDescent="0.3">
      <c r="B32" s="7" t="s">
        <v>71</v>
      </c>
    </row>
    <row r="33" spans="1:3" x14ac:dyDescent="0.3">
      <c r="A33" s="7" t="s">
        <v>72</v>
      </c>
      <c r="B33" t="s">
        <v>70</v>
      </c>
      <c r="C33" t="s">
        <v>51</v>
      </c>
    </row>
    <row r="34" spans="1:3" x14ac:dyDescent="0.3">
      <c r="A34" s="8" t="s">
        <v>52</v>
      </c>
      <c r="B34">
        <v>179.1</v>
      </c>
      <c r="C34">
        <v>179.1</v>
      </c>
    </row>
    <row r="35" spans="1:3" x14ac:dyDescent="0.3">
      <c r="A35" s="8" t="s">
        <v>63</v>
      </c>
      <c r="B35">
        <v>201</v>
      </c>
      <c r="C35">
        <v>201</v>
      </c>
    </row>
    <row r="36" spans="1:3" x14ac:dyDescent="0.3">
      <c r="A36" s="8" t="s">
        <v>64</v>
      </c>
      <c r="B36">
        <v>186.2</v>
      </c>
      <c r="C36">
        <v>186.2</v>
      </c>
    </row>
    <row r="37" spans="1:3" x14ac:dyDescent="0.3">
      <c r="A37" s="8" t="s">
        <v>65</v>
      </c>
      <c r="B37">
        <v>175.6</v>
      </c>
      <c r="C37">
        <v>175.6</v>
      </c>
    </row>
    <row r="38" spans="1:3" x14ac:dyDescent="0.3">
      <c r="A38" s="8" t="s">
        <v>53</v>
      </c>
      <c r="B38">
        <v>182.8</v>
      </c>
      <c r="C38">
        <v>182.8</v>
      </c>
    </row>
    <row r="39" spans="1:3" x14ac:dyDescent="0.3">
      <c r="A39" s="8" t="s">
        <v>66</v>
      </c>
      <c r="B39">
        <v>175.7</v>
      </c>
      <c r="C39">
        <v>175.7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12B8-6B74-4999-9E44-2D8B0E7EBA6A}">
  <dimension ref="A24:M61"/>
  <sheetViews>
    <sheetView tabSelected="1" topLeftCell="A30" workbookViewId="0">
      <selection activeCell="I30" sqref="I30"/>
    </sheetView>
  </sheetViews>
  <sheetFormatPr defaultRowHeight="14.4" x14ac:dyDescent="0.3"/>
  <cols>
    <col min="1" max="1" width="12.5546875" bestFit="1" customWidth="1"/>
    <col min="2" max="2" width="24.6640625" bestFit="1" customWidth="1"/>
    <col min="3" max="3" width="32.33203125" bestFit="1" customWidth="1"/>
    <col min="4" max="4" width="26.6640625" bestFit="1" customWidth="1"/>
    <col min="5" max="5" width="14.33203125" bestFit="1" customWidth="1"/>
    <col min="6" max="6" width="18.88671875" bestFit="1" customWidth="1"/>
    <col min="7" max="7" width="19.5546875" bestFit="1" customWidth="1"/>
    <col min="8" max="8" width="11.109375" bestFit="1" customWidth="1"/>
    <col min="9" max="9" width="18.6640625" bestFit="1" customWidth="1"/>
    <col min="10" max="10" width="14.6640625" bestFit="1" customWidth="1"/>
    <col min="11" max="11" width="14.5546875" bestFit="1" customWidth="1"/>
    <col min="12" max="12" width="11.109375" bestFit="1" customWidth="1"/>
    <col min="13" max="13" width="11.5546875" bestFit="1" customWidth="1"/>
    <col min="14" max="14" width="14.44140625" bestFit="1" customWidth="1"/>
    <col min="15" max="15" width="11.109375" bestFit="1" customWidth="1"/>
    <col min="16" max="16" width="11.5546875" bestFit="1" customWidth="1"/>
  </cols>
  <sheetData>
    <row r="24" spans="1:13" ht="15" thickBot="1" x14ac:dyDescent="0.35"/>
    <row r="25" spans="1:13" ht="15" thickBot="1" x14ac:dyDescent="0.35">
      <c r="D25" s="94" t="s">
        <v>80</v>
      </c>
      <c r="E25" s="95"/>
      <c r="G25" s="91" t="s">
        <v>101</v>
      </c>
      <c r="H25" s="92"/>
      <c r="I25" s="92"/>
      <c r="J25" s="92"/>
      <c r="K25" s="92"/>
      <c r="L25" s="92"/>
      <c r="M25" s="93"/>
    </row>
    <row r="26" spans="1:13" x14ac:dyDescent="0.3">
      <c r="A26" s="7" t="s">
        <v>0</v>
      </c>
      <c r="B26" t="s">
        <v>34</v>
      </c>
      <c r="D26" s="44" t="s">
        <v>1</v>
      </c>
      <c r="E26" s="45" t="s">
        <v>73</v>
      </c>
      <c r="G26" s="50" t="s">
        <v>1</v>
      </c>
      <c r="H26" s="35" t="s">
        <v>74</v>
      </c>
      <c r="I26" s="34" t="s">
        <v>75</v>
      </c>
      <c r="J26" s="34" t="s">
        <v>76</v>
      </c>
      <c r="K26" s="34" t="s">
        <v>79</v>
      </c>
      <c r="L26" s="34" t="s">
        <v>77</v>
      </c>
      <c r="M26" s="51" t="s">
        <v>78</v>
      </c>
    </row>
    <row r="27" spans="1:13" x14ac:dyDescent="0.3">
      <c r="D27" s="46">
        <v>43101</v>
      </c>
      <c r="E27" s="47">
        <f>(GETPIVOTDATA("General index",$A$28,"Month Year",DATE(2018,1,1))-GETPIVOTDATA("General index",$A$28,"Month Year",DATE(2017,1,1)))/GETPIVOTDATA("General index",$A$28,"Month Year",DATE(2017,1,1))</f>
        <v>5.0652340752110468E-2</v>
      </c>
      <c r="G27" s="36">
        <v>2018</v>
      </c>
      <c r="H27" s="37">
        <f t="shared" ref="H27:M32" si="0">(B56-B55)/B55*100</f>
        <v>4.5830202854996198</v>
      </c>
      <c r="I27" s="37">
        <f t="shared" si="0"/>
        <v>7.5799721835882998</v>
      </c>
      <c r="J27" s="37">
        <f t="shared" si="0"/>
        <v>4.9410029498525203</v>
      </c>
      <c r="K27" s="37">
        <f t="shared" si="0"/>
        <v>8.3333333333333428</v>
      </c>
      <c r="L27" s="37">
        <f t="shared" si="0"/>
        <v>7.7287066246056764</v>
      </c>
      <c r="M27" s="38">
        <f t="shared" si="0"/>
        <v>3.7781350482315021</v>
      </c>
    </row>
    <row r="28" spans="1:13" x14ac:dyDescent="0.3">
      <c r="A28" s="7" t="s">
        <v>50</v>
      </c>
      <c r="B28" t="s">
        <v>67</v>
      </c>
      <c r="D28" s="46">
        <v>43466</v>
      </c>
      <c r="E28" s="47">
        <f>(GETPIVOTDATA("General index",$A$28,"Month Year",DATE(2019,1,1))-GETPIVOTDATA("General index",$A$28,"Month Year",DATE(2018,1,1)))/GETPIVOTDATA("General index",$A$28,"Month Year",DATE(2018,1,1))</f>
        <v>1.9722425127830449E-2</v>
      </c>
      <c r="G28" s="36">
        <v>2019</v>
      </c>
      <c r="H28" s="37">
        <f t="shared" si="0"/>
        <v>-1.2931034482758499</v>
      </c>
      <c r="I28" s="37">
        <f t="shared" si="0"/>
        <v>5.4945054945054954</v>
      </c>
      <c r="J28" s="37">
        <f t="shared" si="0"/>
        <v>2.8812368236120829</v>
      </c>
      <c r="K28" s="37">
        <f t="shared" si="0"/>
        <v>5.1994301994301866</v>
      </c>
      <c r="L28" s="37">
        <f t="shared" si="0"/>
        <v>2.1229868228404141</v>
      </c>
      <c r="M28" s="38">
        <f t="shared" si="0"/>
        <v>6.0418280402788627</v>
      </c>
    </row>
    <row r="29" spans="1:13" x14ac:dyDescent="0.3">
      <c r="A29" s="26">
        <v>42736</v>
      </c>
      <c r="B29">
        <v>130.30000000000001</v>
      </c>
      <c r="D29" s="46">
        <v>43831</v>
      </c>
      <c r="E29" s="47">
        <f>(GETPIVOTDATA("General index",$A$28,"Month Year",DATE(2020,1,1))-GETPIVOTDATA("General index",$A$28,"Month Year",DATE(2019,1,1)))/GETPIVOTDATA("General index",$A$28,"Month Year",DATE(2019,1,1))</f>
        <v>7.5931232091690504E-2</v>
      </c>
      <c r="G29" s="36">
        <v>2020</v>
      </c>
      <c r="H29" s="37">
        <f t="shared" si="0"/>
        <v>11.717612809315861</v>
      </c>
      <c r="I29" s="37">
        <f t="shared" si="0"/>
        <v>3.6764705882352944</v>
      </c>
      <c r="J29" s="37">
        <f t="shared" si="0"/>
        <v>1.9125683060109173</v>
      </c>
      <c r="K29" s="37">
        <f t="shared" si="0"/>
        <v>4.1976980365606078</v>
      </c>
      <c r="L29" s="37">
        <f t="shared" si="0"/>
        <v>3.6559139784946195</v>
      </c>
      <c r="M29" s="38">
        <f t="shared" si="0"/>
        <v>4.7479912344777206</v>
      </c>
    </row>
    <row r="30" spans="1:13" x14ac:dyDescent="0.3">
      <c r="A30" s="26">
        <v>43101</v>
      </c>
      <c r="B30">
        <v>136.9</v>
      </c>
      <c r="C30" s="32"/>
      <c r="D30" s="46">
        <v>44197</v>
      </c>
      <c r="E30" s="47">
        <f>(GETPIVOTDATA("General index",$A$28,"Month Year",DATE(2021,1,1))-GETPIVOTDATA("General index",$A$28,"Month Year",DATE(2020,1,1)))/GETPIVOTDATA("General index",$A$28,"Month Year",DATE(2020,1,1))</f>
        <v>4.7270306258322389E-2</v>
      </c>
      <c r="G30" s="36">
        <v>2021</v>
      </c>
      <c r="H30" s="37">
        <f t="shared" si="0"/>
        <v>4.8859934853420199</v>
      </c>
      <c r="I30" s="37">
        <f t="shared" si="0"/>
        <v>10.224586288416084</v>
      </c>
      <c r="J30" s="37">
        <f t="shared" si="0"/>
        <v>3.3512064343163539</v>
      </c>
      <c r="K30" s="37">
        <f t="shared" si="0"/>
        <v>2.4691358024691246</v>
      </c>
      <c r="L30" s="37">
        <f t="shared" si="0"/>
        <v>2.2821576763485556</v>
      </c>
      <c r="M30" s="38">
        <f t="shared" si="0"/>
        <v>5.9274755927475589</v>
      </c>
    </row>
    <row r="31" spans="1:13" x14ac:dyDescent="0.3">
      <c r="A31" s="26">
        <v>43466</v>
      </c>
      <c r="B31">
        <v>139.6</v>
      </c>
      <c r="C31" s="32"/>
      <c r="D31" s="46">
        <v>44562</v>
      </c>
      <c r="E31" s="47">
        <f>(GETPIVOTDATA("General index",$A$28,"Month Year",DATE(2022,1,1))-GETPIVOTDATA("General index",$A$28,"Month Year",DATE(2021,1,1)))/GETPIVOTDATA("General index",$A$28,"Month Year",DATE(2021,1,1))</f>
        <v>5.3401144310235071E-2</v>
      </c>
      <c r="G31" s="36">
        <v>2022</v>
      </c>
      <c r="H31" s="37">
        <f t="shared" si="0"/>
        <v>3.354037267080749</v>
      </c>
      <c r="I31" s="37">
        <f t="shared" si="0"/>
        <v>3.0563002680965083</v>
      </c>
      <c r="J31" s="37">
        <f t="shared" si="0"/>
        <v>9.2736705577172582</v>
      </c>
      <c r="K31" s="37">
        <f t="shared" si="0"/>
        <v>4.3119847812301915</v>
      </c>
      <c r="L31" s="37">
        <f t="shared" si="0"/>
        <v>11.020960108181191</v>
      </c>
      <c r="M31" s="38">
        <f t="shared" si="0"/>
        <v>7.1099407504937346</v>
      </c>
    </row>
    <row r="32" spans="1:13" ht="15" thickBot="1" x14ac:dyDescent="0.35">
      <c r="A32" s="26">
        <v>43831</v>
      </c>
      <c r="B32">
        <v>150.19999999999999</v>
      </c>
      <c r="C32" s="32"/>
      <c r="D32" s="48">
        <v>44927</v>
      </c>
      <c r="E32" s="49">
        <f>(GETPIVOTDATA("General index",$A$28,"Month Year",DATE(2023,1,1))-GETPIVOTDATA("General index",$A$28,"Month Year",DATE(2022,1,1)))/GETPIVOTDATA("General index",$A$28,"Month Year",DATE(2022,1,1))</f>
        <v>6.5178032589016374E-2</v>
      </c>
      <c r="G32" s="39">
        <v>2023</v>
      </c>
      <c r="H32" s="40">
        <f t="shared" si="0"/>
        <v>6.189903846153836</v>
      </c>
      <c r="I32" s="40">
        <f t="shared" si="0"/>
        <v>3.121748178980229</v>
      </c>
      <c r="J32" s="40">
        <f t="shared" si="0"/>
        <v>9.0801186943620245</v>
      </c>
      <c r="K32" s="40">
        <f t="shared" si="0"/>
        <v>4.6200607902735529</v>
      </c>
      <c r="L32" s="40">
        <f t="shared" si="0"/>
        <v>10.840438489646779</v>
      </c>
      <c r="M32" s="41">
        <f t="shared" si="0"/>
        <v>6.2077443146896272</v>
      </c>
    </row>
    <row r="33" spans="1:7" x14ac:dyDescent="0.3">
      <c r="A33" s="26">
        <v>44197</v>
      </c>
      <c r="B33">
        <v>157.30000000000001</v>
      </c>
      <c r="C33" s="32"/>
    </row>
    <row r="34" spans="1:7" x14ac:dyDescent="0.3">
      <c r="A34" s="26">
        <v>44562</v>
      </c>
      <c r="B34">
        <v>165.7</v>
      </c>
      <c r="C34" s="32"/>
    </row>
    <row r="35" spans="1:7" x14ac:dyDescent="0.3">
      <c r="A35" s="26">
        <v>44927</v>
      </c>
      <c r="B35">
        <v>176.5</v>
      </c>
      <c r="C35" s="32"/>
    </row>
    <row r="36" spans="1:7" x14ac:dyDescent="0.3">
      <c r="A36" s="8" t="s">
        <v>51</v>
      </c>
      <c r="B36">
        <v>1056.5</v>
      </c>
    </row>
    <row r="40" spans="1:7" x14ac:dyDescent="0.3">
      <c r="A40" s="7" t="s">
        <v>0</v>
      </c>
      <c r="B40" t="s">
        <v>34</v>
      </c>
    </row>
    <row r="42" spans="1:7" x14ac:dyDescent="0.3">
      <c r="A42" s="7" t="s">
        <v>50</v>
      </c>
      <c r="B42" t="s">
        <v>52</v>
      </c>
      <c r="C42" t="s">
        <v>63</v>
      </c>
      <c r="D42" t="s">
        <v>64</v>
      </c>
      <c r="E42" t="s">
        <v>65</v>
      </c>
      <c r="F42" t="s">
        <v>53</v>
      </c>
      <c r="G42" t="s">
        <v>66</v>
      </c>
    </row>
    <row r="43" spans="1:7" x14ac:dyDescent="0.3">
      <c r="A43" s="26">
        <v>42736</v>
      </c>
      <c r="B43">
        <v>133.1</v>
      </c>
      <c r="C43">
        <v>143.80000000000001</v>
      </c>
      <c r="D43">
        <v>135.6</v>
      </c>
      <c r="E43">
        <v>129.6</v>
      </c>
      <c r="F43">
        <v>126.8</v>
      </c>
      <c r="G43">
        <v>124.4</v>
      </c>
    </row>
    <row r="44" spans="1:7" x14ac:dyDescent="0.3">
      <c r="A44" s="26">
        <v>43101</v>
      </c>
      <c r="B44">
        <v>139.19999999999999</v>
      </c>
      <c r="C44">
        <v>154.69999999999999</v>
      </c>
      <c r="D44">
        <v>142.30000000000001</v>
      </c>
      <c r="E44">
        <v>140.4</v>
      </c>
      <c r="F44">
        <v>136.6</v>
      </c>
      <c r="G44">
        <v>129.1</v>
      </c>
    </row>
    <row r="45" spans="1:7" x14ac:dyDescent="0.3">
      <c r="A45" s="26">
        <v>43466</v>
      </c>
      <c r="B45">
        <v>137.4</v>
      </c>
      <c r="C45">
        <v>163.19999999999999</v>
      </c>
      <c r="D45">
        <v>146.4</v>
      </c>
      <c r="E45">
        <v>147.69999999999999</v>
      </c>
      <c r="F45">
        <v>139.5</v>
      </c>
      <c r="G45">
        <v>136.9</v>
      </c>
    </row>
    <row r="46" spans="1:7" x14ac:dyDescent="0.3">
      <c r="A46" s="26">
        <v>43831</v>
      </c>
      <c r="B46">
        <v>153.5</v>
      </c>
      <c r="C46">
        <v>169.2</v>
      </c>
      <c r="D46">
        <v>149.19999999999999</v>
      </c>
      <c r="E46">
        <v>153.9</v>
      </c>
      <c r="F46">
        <v>144.6</v>
      </c>
      <c r="G46">
        <v>143.4</v>
      </c>
    </row>
    <row r="47" spans="1:7" x14ac:dyDescent="0.3">
      <c r="A47" s="26">
        <v>44197</v>
      </c>
      <c r="B47">
        <v>161</v>
      </c>
      <c r="C47">
        <v>186.5</v>
      </c>
      <c r="D47">
        <v>154.19999999999999</v>
      </c>
      <c r="E47">
        <v>157.69999999999999</v>
      </c>
      <c r="F47">
        <v>147.9</v>
      </c>
      <c r="G47">
        <v>151.9</v>
      </c>
    </row>
    <row r="48" spans="1:7" x14ac:dyDescent="0.3">
      <c r="A48" s="26">
        <v>44562</v>
      </c>
      <c r="B48">
        <v>166.4</v>
      </c>
      <c r="C48">
        <v>192.2</v>
      </c>
      <c r="D48">
        <v>168.5</v>
      </c>
      <c r="E48">
        <v>164.5</v>
      </c>
      <c r="F48">
        <v>164.2</v>
      </c>
      <c r="G48">
        <v>162.69999999999999</v>
      </c>
    </row>
    <row r="49" spans="1:7" x14ac:dyDescent="0.3">
      <c r="A49" s="26">
        <v>44927</v>
      </c>
      <c r="B49">
        <v>176.7</v>
      </c>
      <c r="C49">
        <v>198.2</v>
      </c>
      <c r="D49">
        <v>183.8</v>
      </c>
      <c r="E49">
        <v>172.1</v>
      </c>
      <c r="F49">
        <v>182</v>
      </c>
      <c r="G49">
        <v>172.8</v>
      </c>
    </row>
    <row r="50" spans="1:7" x14ac:dyDescent="0.3">
      <c r="A50" s="8" t="s">
        <v>51</v>
      </c>
      <c r="B50">
        <v>1067.3</v>
      </c>
      <c r="C50">
        <v>1207.8</v>
      </c>
      <c r="D50">
        <v>1080</v>
      </c>
      <c r="E50">
        <v>1065.8999999999999</v>
      </c>
      <c r="F50">
        <v>1041.5999999999999</v>
      </c>
      <c r="G50">
        <v>1021.1999999999998</v>
      </c>
    </row>
    <row r="54" spans="1:7" x14ac:dyDescent="0.3">
      <c r="A54" s="29" t="s">
        <v>50</v>
      </c>
      <c r="B54" s="29" t="s">
        <v>52</v>
      </c>
      <c r="C54" s="29" t="s">
        <v>63</v>
      </c>
      <c r="D54" s="29" t="s">
        <v>64</v>
      </c>
      <c r="E54" s="29" t="s">
        <v>65</v>
      </c>
      <c r="F54" s="29" t="s">
        <v>53</v>
      </c>
      <c r="G54" s="29" t="s">
        <v>66</v>
      </c>
    </row>
    <row r="55" spans="1:7" x14ac:dyDescent="0.3">
      <c r="A55" s="26">
        <v>42736</v>
      </c>
      <c r="B55">
        <v>133.1</v>
      </c>
      <c r="C55">
        <v>143.80000000000001</v>
      </c>
      <c r="D55">
        <v>135.6</v>
      </c>
      <c r="E55">
        <v>129.6</v>
      </c>
      <c r="F55">
        <v>126.8</v>
      </c>
      <c r="G55">
        <v>124.4</v>
      </c>
    </row>
    <row r="56" spans="1:7" x14ac:dyDescent="0.3">
      <c r="A56" s="26">
        <v>43101</v>
      </c>
      <c r="B56">
        <v>139.19999999999999</v>
      </c>
      <c r="C56">
        <v>154.69999999999999</v>
      </c>
      <c r="D56">
        <v>142.30000000000001</v>
      </c>
      <c r="E56">
        <v>140.4</v>
      </c>
      <c r="F56">
        <v>136.6</v>
      </c>
      <c r="G56">
        <v>129.1</v>
      </c>
    </row>
    <row r="57" spans="1:7" x14ac:dyDescent="0.3">
      <c r="A57" s="26">
        <v>43466</v>
      </c>
      <c r="B57">
        <v>137.4</v>
      </c>
      <c r="C57">
        <v>163.19999999999999</v>
      </c>
      <c r="D57">
        <v>146.4</v>
      </c>
      <c r="E57">
        <v>147.69999999999999</v>
      </c>
      <c r="F57">
        <v>139.5</v>
      </c>
      <c r="G57">
        <v>136.9</v>
      </c>
    </row>
    <row r="58" spans="1:7" x14ac:dyDescent="0.3">
      <c r="A58" s="26">
        <v>43831</v>
      </c>
      <c r="B58">
        <v>153.5</v>
      </c>
      <c r="C58">
        <v>169.2</v>
      </c>
      <c r="D58">
        <v>149.19999999999999</v>
      </c>
      <c r="E58">
        <v>153.9</v>
      </c>
      <c r="F58">
        <v>144.6</v>
      </c>
      <c r="G58">
        <v>143.4</v>
      </c>
    </row>
    <row r="59" spans="1:7" x14ac:dyDescent="0.3">
      <c r="A59" s="26">
        <v>44197</v>
      </c>
      <c r="B59">
        <v>161</v>
      </c>
      <c r="C59">
        <v>186.5</v>
      </c>
      <c r="D59">
        <v>154.19999999999999</v>
      </c>
      <c r="E59">
        <v>157.69999999999999</v>
      </c>
      <c r="F59">
        <v>147.9</v>
      </c>
      <c r="G59">
        <v>151.9</v>
      </c>
    </row>
    <row r="60" spans="1:7" x14ac:dyDescent="0.3">
      <c r="A60" s="26">
        <v>44562</v>
      </c>
      <c r="B60">
        <v>166.4</v>
      </c>
      <c r="C60">
        <v>192.2</v>
      </c>
      <c r="D60">
        <v>168.5</v>
      </c>
      <c r="E60">
        <v>164.5</v>
      </c>
      <c r="F60">
        <v>164.2</v>
      </c>
      <c r="G60">
        <v>162.69999999999999</v>
      </c>
    </row>
    <row r="61" spans="1:7" x14ac:dyDescent="0.3">
      <c r="A61" s="26">
        <v>44927</v>
      </c>
      <c r="B61">
        <v>176.7</v>
      </c>
      <c r="C61">
        <v>198.2</v>
      </c>
      <c r="D61">
        <v>183.8</v>
      </c>
      <c r="E61">
        <v>172.1</v>
      </c>
      <c r="F61">
        <v>182</v>
      </c>
      <c r="G61">
        <v>172.8</v>
      </c>
    </row>
  </sheetData>
  <mergeCells count="2">
    <mergeCell ref="G25:M25"/>
    <mergeCell ref="D25:E25"/>
  </mergeCells>
  <conditionalFormatting sqref="H27:M32">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74ED-2823-4B0E-B036-D50F6073A9A6}">
  <dimension ref="A31:M66"/>
  <sheetViews>
    <sheetView topLeftCell="A25" workbookViewId="0">
      <selection activeCell="F39" sqref="F39"/>
    </sheetView>
  </sheetViews>
  <sheetFormatPr defaultRowHeight="14.4" x14ac:dyDescent="0.3"/>
  <cols>
    <col min="1" max="1" width="12.5546875" bestFit="1" customWidth="1"/>
    <col min="2" max="2" width="25.44140625" bestFit="1" customWidth="1"/>
    <col min="3" max="3" width="20.5546875" bestFit="1" customWidth="1"/>
    <col min="4" max="4" width="10.44140625" bestFit="1" customWidth="1"/>
    <col min="5" max="5" width="23" bestFit="1" customWidth="1"/>
    <col min="6" max="6" width="17.88671875" bestFit="1" customWidth="1"/>
    <col min="7" max="7" width="12" bestFit="1" customWidth="1"/>
    <col min="8" max="8" width="16.6640625" bestFit="1" customWidth="1"/>
    <col min="9" max="9" width="24.5546875" bestFit="1" customWidth="1"/>
    <col min="10" max="10" width="28.6640625" bestFit="1" customWidth="1"/>
    <col min="11" max="11" width="12.6640625" bestFit="1" customWidth="1"/>
    <col min="12" max="12" width="28.5546875" bestFit="1" customWidth="1"/>
    <col min="13" max="13" width="38" bestFit="1" customWidth="1"/>
  </cols>
  <sheetData>
    <row r="31" spans="1:10" x14ac:dyDescent="0.3">
      <c r="I31" s="63" t="s">
        <v>98</v>
      </c>
      <c r="J31" s="63">
        <f>GETPIVOTDATA("Food and beverages",$A$34,"Month Year",DATE(2023,5,1))-GETPIVOTDATA("Food and beverages",$A$34,"Month Year",DATE(2022,6,1))</f>
        <v>4.1999999999999886</v>
      </c>
    </row>
    <row r="32" spans="1:10" ht="15" thickBot="1" x14ac:dyDescent="0.35">
      <c r="A32" s="7" t="s">
        <v>0</v>
      </c>
      <c r="B32" t="s">
        <v>34</v>
      </c>
      <c r="I32" s="63" t="s">
        <v>99</v>
      </c>
      <c r="J32" s="64">
        <f>J31/GETPIVOTDATA("Food and beverages",$A$34,"Month Year",DATE(2022,6,1))</f>
        <v>2.4013722126929607E-2</v>
      </c>
    </row>
    <row r="33" spans="1:13" x14ac:dyDescent="0.3">
      <c r="L33" s="42" t="s">
        <v>97</v>
      </c>
      <c r="M33" s="43" t="s">
        <v>96</v>
      </c>
    </row>
    <row r="34" spans="1:13" x14ac:dyDescent="0.3">
      <c r="A34" s="7" t="s">
        <v>50</v>
      </c>
      <c r="B34" t="s">
        <v>52</v>
      </c>
      <c r="L34" s="61" t="s">
        <v>84</v>
      </c>
      <c r="M34" s="62">
        <f>(GETPIVOTDATA("Sum of Cereals and products",$A$53,"Month Year",DATE(2023,5,1))-GETPIVOTDATA("Sum of Cereals and products",$A$53,"Month Year",DATE(2022,6,1)))/GETPIVOTDATA("Sum of Cereals and products",$A$53,"Month Year",DATE(2022,6,1))</f>
        <v>0.1206451612903225</v>
      </c>
    </row>
    <row r="35" spans="1:13" ht="15" thickBot="1" x14ac:dyDescent="0.35">
      <c r="A35" s="26">
        <v>44713</v>
      </c>
      <c r="B35">
        <v>174.9</v>
      </c>
      <c r="L35" s="61" t="s">
        <v>85</v>
      </c>
      <c r="M35" s="62">
        <f>(GETPIVOTDATA("Sum of Meat and fish",$A$53,"Month Year",DATE(2023,5,1))-GETPIVOTDATA("Sum of Meat and fish",$A$53,"Month Year",DATE(2022,6,1)))/GETPIVOTDATA("Sum of Meat and fish",$A$53,"Month Year",DATE(2022,6,1))</f>
        <v>-2.3245214220601614E-2</v>
      </c>
    </row>
    <row r="36" spans="1:13" ht="15" thickBot="1" x14ac:dyDescent="0.35">
      <c r="A36" s="26">
        <v>44743</v>
      </c>
      <c r="B36">
        <v>175</v>
      </c>
      <c r="D36" s="96" t="s">
        <v>83</v>
      </c>
      <c r="E36" s="97"/>
      <c r="F36" s="98"/>
      <c r="L36" s="61" t="s">
        <v>86</v>
      </c>
      <c r="M36" s="62">
        <f>(GETPIVOTDATA("Sum of Egg",$A$53,"Month Year",DATE(2023,5,1))-GETPIVOTDATA("Sum of Egg",$A$53,"Month Year",DATE(2022,6,1)))/GETPIVOTDATA("Sum of Egg",$A$53,"Month Year",DATE(2022,6,1))</f>
        <v>1.4051522248243426E-2</v>
      </c>
    </row>
    <row r="37" spans="1:13" x14ac:dyDescent="0.3">
      <c r="A37" s="26">
        <v>44774</v>
      </c>
      <c r="B37">
        <v>176.3</v>
      </c>
      <c r="D37" s="30" t="s">
        <v>2</v>
      </c>
      <c r="E37" s="33" t="s">
        <v>82</v>
      </c>
      <c r="F37" s="31" t="s">
        <v>81</v>
      </c>
      <c r="I37" s="99" t="s">
        <v>100</v>
      </c>
      <c r="J37" s="100"/>
      <c r="L37" s="61" t="s">
        <v>87</v>
      </c>
      <c r="M37" s="62">
        <f>(GETPIVOTDATA("Sum of Milk and products",$A$53,"Month Year",DATE(2023,5,1))-GETPIVOTDATA("Sum of Milk and products",$A$53,"Month Year",DATE(2022,6,1)))/GETPIVOTDATA("Sum of Milk and products",$A$53,"Month Year",DATE(2022,6,1))</f>
        <v>8.2629674306393175E-2</v>
      </c>
    </row>
    <row r="38" spans="1:13" x14ac:dyDescent="0.3">
      <c r="A38" s="26">
        <v>44805</v>
      </c>
      <c r="B38">
        <v>177.8</v>
      </c>
      <c r="D38" s="52">
        <v>44713</v>
      </c>
      <c r="E38" s="53">
        <v>174.9</v>
      </c>
      <c r="F38" s="54"/>
      <c r="I38" s="65" t="s">
        <v>2</v>
      </c>
      <c r="J38" s="65" t="s">
        <v>81</v>
      </c>
      <c r="L38" s="61" t="s">
        <v>88</v>
      </c>
      <c r="M38" s="62">
        <f>(GETPIVOTDATA("Sum of Oils and fats",$A$53,"Month Year",DATE(2023,5,1))-GETPIVOTDATA("Sum of Oils and fats",$A$53,"Month Year",DATE(2022,6,1)))/GETPIVOTDATA("Sum of Oils and fats",$A$53,"Month Year",DATE(2022,6,1))</f>
        <v>-0.15380786460925835</v>
      </c>
    </row>
    <row r="39" spans="1:13" x14ac:dyDescent="0.3">
      <c r="A39" s="26">
        <v>44835</v>
      </c>
      <c r="B39">
        <v>179.6</v>
      </c>
      <c r="D39" s="52">
        <v>44743</v>
      </c>
      <c r="E39" s="53">
        <v>175</v>
      </c>
      <c r="F39" s="55">
        <f>(E39-E38)/E38</f>
        <v>5.7175528873638828E-4</v>
      </c>
      <c r="I39" s="52">
        <v>44743</v>
      </c>
      <c r="J39" s="59">
        <v>5.7175528873638828E-4</v>
      </c>
      <c r="L39" s="61" t="s">
        <v>89</v>
      </c>
      <c r="M39" s="62">
        <f>(GETPIVOTDATA("Sum of Fruits",$A$53,"Month Year",DATE(2023,5,1))-GETPIVOTDATA("Sum of Fruits",$A$53,"Month Year",DATE(2022,6,1)))/GETPIVOTDATA("Sum of Fruits",$A$53,"Month Year",DATE(2022,6,1))</f>
        <v>1.4731879787860933E-2</v>
      </c>
    </row>
    <row r="40" spans="1:13" x14ac:dyDescent="0.3">
      <c r="A40" s="26">
        <v>44866</v>
      </c>
      <c r="B40">
        <v>178.3</v>
      </c>
      <c r="D40" s="52">
        <v>44774</v>
      </c>
      <c r="E40" s="53">
        <v>176.3</v>
      </c>
      <c r="F40" s="55">
        <f t="shared" ref="F40:F49" si="0">(E40-E39)/E39</f>
        <v>7.4285714285714935E-3</v>
      </c>
      <c r="I40" s="52">
        <v>44774</v>
      </c>
      <c r="J40" s="59">
        <v>7.4285714285714935E-3</v>
      </c>
      <c r="L40" s="61" t="s">
        <v>90</v>
      </c>
      <c r="M40" s="62">
        <f>(GETPIVOTDATA("Sum of Vegetables",$A$53,"Month Year",DATE(2023,5,1))-GETPIVOTDATA("Sum of Vegetables",$A$53,"Month Year",DATE(2022,6,1)))/GETPIVOTDATA("Sum of Vegetables",$A$53,"Month Year",DATE(2022,6,1))</f>
        <v>-0.11684037301151953</v>
      </c>
    </row>
    <row r="41" spans="1:13" x14ac:dyDescent="0.3">
      <c r="A41" s="26">
        <v>44896</v>
      </c>
      <c r="B41">
        <v>175.9</v>
      </c>
      <c r="D41" s="52">
        <v>44805</v>
      </c>
      <c r="E41" s="53">
        <v>177.8</v>
      </c>
      <c r="F41" s="55">
        <f t="shared" si="0"/>
        <v>8.5082246171298923E-3</v>
      </c>
      <c r="I41" s="52">
        <v>44805</v>
      </c>
      <c r="J41" s="59">
        <v>8.5082246171298923E-3</v>
      </c>
      <c r="L41" s="61" t="s">
        <v>91</v>
      </c>
      <c r="M41" s="62">
        <f>(GETPIVOTDATA("Sum of Pulses and products",$A$53,"Month Year",DATE(2023,5,1))-GETPIVOTDATA("Sum of Pulses and products",$A$53,"Month Year",DATE(2022,6,1)))/GETPIVOTDATA("Sum of Pulses and products",$A$53,"Month Year",DATE(2022,6,1))</f>
        <v>6.8776628119293873E-2</v>
      </c>
    </row>
    <row r="42" spans="1:13" x14ac:dyDescent="0.3">
      <c r="A42" s="26">
        <v>44927</v>
      </c>
      <c r="B42">
        <v>176.7</v>
      </c>
      <c r="D42" s="52">
        <v>44835</v>
      </c>
      <c r="E42" s="53">
        <v>179.6</v>
      </c>
      <c r="F42" s="55">
        <f t="shared" si="0"/>
        <v>1.0123734533183255E-2</v>
      </c>
      <c r="I42" s="52">
        <v>44835</v>
      </c>
      <c r="J42" s="59">
        <v>1.0123734533183255E-2</v>
      </c>
      <c r="L42" s="61" t="s">
        <v>92</v>
      </c>
      <c r="M42" s="62">
        <f>(GETPIVOTDATA("Sum of Sugar and Confectionery",$A$53,"Month Year",DATE(2023,5,1))-GETPIVOTDATA("Sum of Sugar and Confectionery",$A$53,"Month Year",DATE(2022,6,1)))/GETPIVOTDATA("Sum of Sugar and Confectionery",$A$53,"Month Year",DATE(2022,6,1))</f>
        <v>2.3352793994995805E-2</v>
      </c>
    </row>
    <row r="43" spans="1:13" x14ac:dyDescent="0.3">
      <c r="A43" s="26">
        <v>44958</v>
      </c>
      <c r="B43">
        <v>177</v>
      </c>
      <c r="D43" s="52">
        <v>44866</v>
      </c>
      <c r="E43" s="53">
        <v>178.3</v>
      </c>
      <c r="F43" s="55">
        <f t="shared" si="0"/>
        <v>-7.2383073496658295E-3</v>
      </c>
      <c r="I43" s="52">
        <v>44866</v>
      </c>
      <c r="J43" s="59">
        <v>-7.2383073496658295E-3</v>
      </c>
      <c r="L43" s="61" t="s">
        <v>93</v>
      </c>
      <c r="M43" s="62">
        <f>(GETPIVOTDATA("Sum of Spices",$A$53,"Month Year",DATE(2023,5,1))-GETPIVOTDATA("Sum of Spices",$A$53,"Month Year",DATE(2022,6,1)))/GETPIVOTDATA("Sum of Spices",$A$53,"Month Year",DATE(2022,6,1))</f>
        <v>0.16515232495991453</v>
      </c>
    </row>
    <row r="44" spans="1:13" x14ac:dyDescent="0.3">
      <c r="A44" s="26">
        <v>44986</v>
      </c>
      <c r="B44">
        <v>177</v>
      </c>
      <c r="D44" s="52">
        <v>44896</v>
      </c>
      <c r="E44" s="53">
        <v>175.9</v>
      </c>
      <c r="F44" s="55">
        <f t="shared" si="0"/>
        <v>-1.3460459899046581E-2</v>
      </c>
      <c r="I44" s="52">
        <v>44896</v>
      </c>
      <c r="J44" s="59">
        <v>-1.3460459899046581E-2</v>
      </c>
      <c r="L44" s="61" t="s">
        <v>94</v>
      </c>
      <c r="M44" s="62">
        <f>(GETPIVOTDATA("Sum of Non-alcoholic beverages",$A$53,"Month Year",DATE(2023,5,1))-GETPIVOTDATA("Sum of Non-alcoholic beverages",$A$53,"Month Year",DATE(2022,6,1)))/GETPIVOTDATA("Sum of Non-alcoholic beverages",$A$53,"Month Year",DATE(2022,6,1))</f>
        <v>3.2757593805836809E-2</v>
      </c>
    </row>
    <row r="45" spans="1:13" x14ac:dyDescent="0.3">
      <c r="A45" s="26">
        <v>45017</v>
      </c>
      <c r="B45">
        <v>177.9</v>
      </c>
      <c r="D45" s="52">
        <v>44927</v>
      </c>
      <c r="E45" s="53">
        <v>176.7</v>
      </c>
      <c r="F45" s="55">
        <f t="shared" si="0"/>
        <v>4.5480386583284984E-3</v>
      </c>
      <c r="I45" s="52">
        <v>44927</v>
      </c>
      <c r="J45" s="59">
        <v>4.5480386583284984E-3</v>
      </c>
      <c r="L45" s="61" t="s">
        <v>95</v>
      </c>
      <c r="M45" s="62">
        <f>(GETPIVOTDATA("Sum of Prepared meals, snacks, sweets etc.",$A$53,"Month Year",DATE(2023,5,1))-GETPIVOTDATA("Sum of Prepared meals, snacks, sweets etc.",$A$53,"Month Year",DATE(2022,6,1)))/GETPIVOTDATA("Sum of Prepared meals, snacks, sweets etc.",$A$53,"Month Year",DATE(2022,6,1))</f>
        <v>5.6008700380641561E-2</v>
      </c>
    </row>
    <row r="46" spans="1:13" x14ac:dyDescent="0.3">
      <c r="A46" s="26">
        <v>45047</v>
      </c>
      <c r="B46">
        <v>179.1</v>
      </c>
      <c r="D46" s="52">
        <v>44958</v>
      </c>
      <c r="E46" s="53">
        <v>177</v>
      </c>
      <c r="F46" s="55">
        <f t="shared" si="0"/>
        <v>1.6977928692700134E-3</v>
      </c>
      <c r="I46" s="52">
        <v>44958</v>
      </c>
      <c r="J46" s="59">
        <v>1.6977928692700134E-3</v>
      </c>
    </row>
    <row r="47" spans="1:13" x14ac:dyDescent="0.3">
      <c r="A47" s="8" t="s">
        <v>51</v>
      </c>
      <c r="B47">
        <v>2125.5000000000005</v>
      </c>
      <c r="D47" s="52">
        <v>44986</v>
      </c>
      <c r="E47" s="53">
        <v>177</v>
      </c>
      <c r="F47" s="55">
        <f t="shared" si="0"/>
        <v>0</v>
      </c>
      <c r="I47" s="52">
        <v>44986</v>
      </c>
      <c r="J47" s="59">
        <v>0</v>
      </c>
    </row>
    <row r="48" spans="1:13" x14ac:dyDescent="0.3">
      <c r="D48" s="52">
        <v>45017</v>
      </c>
      <c r="E48" s="53">
        <v>177.9</v>
      </c>
      <c r="F48" s="55">
        <f t="shared" si="0"/>
        <v>5.0847457627118961E-3</v>
      </c>
      <c r="I48" s="52">
        <v>45017</v>
      </c>
      <c r="J48" s="59">
        <v>5.0847457627118961E-3</v>
      </c>
    </row>
    <row r="49" spans="1:13" ht="15" thickBot="1" x14ac:dyDescent="0.35">
      <c r="D49" s="56">
        <v>45047</v>
      </c>
      <c r="E49" s="57">
        <v>179.1</v>
      </c>
      <c r="F49" s="58">
        <f t="shared" si="0"/>
        <v>6.7453625632377095E-3</v>
      </c>
      <c r="I49" s="56">
        <v>45047</v>
      </c>
      <c r="J49" s="60">
        <v>6.7453625632377095E-3</v>
      </c>
    </row>
    <row r="51" spans="1:13" x14ac:dyDescent="0.3">
      <c r="A51" s="7" t="s">
        <v>0</v>
      </c>
      <c r="B51" t="s">
        <v>34</v>
      </c>
    </row>
    <row r="53" spans="1:13" x14ac:dyDescent="0.3">
      <c r="A53" s="7" t="s">
        <v>50</v>
      </c>
      <c r="B53" t="s">
        <v>84</v>
      </c>
      <c r="C53" t="s">
        <v>85</v>
      </c>
      <c r="D53" t="s">
        <v>86</v>
      </c>
      <c r="E53" t="s">
        <v>87</v>
      </c>
      <c r="F53" t="s">
        <v>88</v>
      </c>
      <c r="G53" t="s">
        <v>89</v>
      </c>
      <c r="H53" t="s">
        <v>90</v>
      </c>
      <c r="I53" t="s">
        <v>91</v>
      </c>
      <c r="J53" t="s">
        <v>92</v>
      </c>
      <c r="K53" t="s">
        <v>93</v>
      </c>
      <c r="L53" t="s">
        <v>94</v>
      </c>
      <c r="M53" t="s">
        <v>95</v>
      </c>
    </row>
    <row r="54" spans="1:13" x14ac:dyDescent="0.3">
      <c r="A54" s="26">
        <v>44713</v>
      </c>
      <c r="B54">
        <v>155</v>
      </c>
      <c r="C54">
        <v>219.4</v>
      </c>
      <c r="D54">
        <v>170.8</v>
      </c>
      <c r="E54">
        <v>165.8</v>
      </c>
      <c r="F54">
        <v>200.9</v>
      </c>
      <c r="G54">
        <v>169.7</v>
      </c>
      <c r="H54">
        <v>182.3</v>
      </c>
      <c r="I54">
        <v>164.3</v>
      </c>
      <c r="J54">
        <v>119.9</v>
      </c>
      <c r="K54">
        <v>187.1</v>
      </c>
      <c r="L54">
        <v>167.9</v>
      </c>
      <c r="M54">
        <v>183.9</v>
      </c>
    </row>
    <row r="55" spans="1:13" x14ac:dyDescent="0.3">
      <c r="A55" s="26">
        <v>44743</v>
      </c>
      <c r="B55">
        <v>156.5</v>
      </c>
      <c r="C55">
        <v>213</v>
      </c>
      <c r="D55">
        <v>175.2</v>
      </c>
      <c r="E55">
        <v>166.6</v>
      </c>
      <c r="F55">
        <v>195.8</v>
      </c>
      <c r="G55">
        <v>174.2</v>
      </c>
      <c r="H55">
        <v>182.1</v>
      </c>
      <c r="I55">
        <v>164.3</v>
      </c>
      <c r="J55">
        <v>120</v>
      </c>
      <c r="K55">
        <v>190</v>
      </c>
      <c r="L55">
        <v>168.4</v>
      </c>
      <c r="M55">
        <v>185.2</v>
      </c>
    </row>
    <row r="56" spans="1:13" x14ac:dyDescent="0.3">
      <c r="A56" s="26">
        <v>44774</v>
      </c>
      <c r="B56">
        <v>160.30000000000001</v>
      </c>
      <c r="C56">
        <v>206.5</v>
      </c>
      <c r="D56">
        <v>169.2</v>
      </c>
      <c r="E56">
        <v>168.1</v>
      </c>
      <c r="F56">
        <v>192.4</v>
      </c>
      <c r="G56">
        <v>172.9</v>
      </c>
      <c r="H56">
        <v>186.7</v>
      </c>
      <c r="I56">
        <v>167.2</v>
      </c>
      <c r="J56">
        <v>120.9</v>
      </c>
      <c r="K56">
        <v>193.6</v>
      </c>
      <c r="L56">
        <v>168.8</v>
      </c>
      <c r="M56">
        <v>186.3</v>
      </c>
    </row>
    <row r="57" spans="1:13" x14ac:dyDescent="0.3">
      <c r="A57" s="26">
        <v>44805</v>
      </c>
      <c r="B57">
        <v>163.5</v>
      </c>
      <c r="C57">
        <v>209.2</v>
      </c>
      <c r="D57">
        <v>169.7</v>
      </c>
      <c r="E57">
        <v>169.7</v>
      </c>
      <c r="F57">
        <v>188.7</v>
      </c>
      <c r="G57">
        <v>165.7</v>
      </c>
      <c r="H57">
        <v>191.8</v>
      </c>
      <c r="I57">
        <v>169.1</v>
      </c>
      <c r="J57">
        <v>121.6</v>
      </c>
      <c r="K57">
        <v>197.3</v>
      </c>
      <c r="L57">
        <v>169.4</v>
      </c>
      <c r="M57">
        <v>187.4</v>
      </c>
    </row>
    <row r="58" spans="1:13" x14ac:dyDescent="0.3">
      <c r="A58" s="26">
        <v>44835</v>
      </c>
      <c r="B58">
        <v>165.2</v>
      </c>
      <c r="C58">
        <v>210.9</v>
      </c>
      <c r="D58">
        <v>170.9</v>
      </c>
      <c r="E58">
        <v>170.9</v>
      </c>
      <c r="F58">
        <v>186.5</v>
      </c>
      <c r="G58">
        <v>163.80000000000001</v>
      </c>
      <c r="H58">
        <v>199.7</v>
      </c>
      <c r="I58">
        <v>169.8</v>
      </c>
      <c r="J58">
        <v>121.9</v>
      </c>
      <c r="K58">
        <v>199.9</v>
      </c>
      <c r="L58">
        <v>169.9</v>
      </c>
      <c r="M58">
        <v>188.3</v>
      </c>
    </row>
    <row r="59" spans="1:13" x14ac:dyDescent="0.3">
      <c r="A59" s="26">
        <v>44866</v>
      </c>
      <c r="B59">
        <v>167.4</v>
      </c>
      <c r="C59">
        <v>209.4</v>
      </c>
      <c r="D59">
        <v>181.4</v>
      </c>
      <c r="E59">
        <v>172.3</v>
      </c>
      <c r="F59">
        <v>188.9</v>
      </c>
      <c r="G59">
        <v>160.69999999999999</v>
      </c>
      <c r="H59">
        <v>183.1</v>
      </c>
      <c r="I59">
        <v>170.5</v>
      </c>
      <c r="J59">
        <v>122.1</v>
      </c>
      <c r="K59">
        <v>202.8</v>
      </c>
      <c r="L59">
        <v>170.4</v>
      </c>
      <c r="M59">
        <v>189.5</v>
      </c>
    </row>
    <row r="60" spans="1:13" x14ac:dyDescent="0.3">
      <c r="A60" s="26">
        <v>44896</v>
      </c>
      <c r="B60">
        <v>169.2</v>
      </c>
      <c r="C60">
        <v>209</v>
      </c>
      <c r="D60">
        <v>190.2</v>
      </c>
      <c r="E60">
        <v>173.6</v>
      </c>
      <c r="F60">
        <v>188.5</v>
      </c>
      <c r="G60">
        <v>158</v>
      </c>
      <c r="H60">
        <v>159.9</v>
      </c>
      <c r="I60">
        <v>170.8</v>
      </c>
      <c r="J60">
        <v>121.8</v>
      </c>
      <c r="K60">
        <v>205.2</v>
      </c>
      <c r="L60">
        <v>171</v>
      </c>
      <c r="M60">
        <v>190.3</v>
      </c>
    </row>
    <row r="61" spans="1:13" x14ac:dyDescent="0.3">
      <c r="A61" s="26">
        <v>44927</v>
      </c>
      <c r="B61">
        <v>173.8</v>
      </c>
      <c r="C61">
        <v>210.7</v>
      </c>
      <c r="D61">
        <v>194.5</v>
      </c>
      <c r="E61">
        <v>174.6</v>
      </c>
      <c r="F61">
        <v>187.2</v>
      </c>
      <c r="G61">
        <v>158.30000000000001</v>
      </c>
      <c r="H61">
        <v>153.9</v>
      </c>
      <c r="I61">
        <v>170.9</v>
      </c>
      <c r="J61">
        <v>121.1</v>
      </c>
      <c r="K61">
        <v>208.4</v>
      </c>
      <c r="L61">
        <v>171.4</v>
      </c>
      <c r="M61">
        <v>191.2</v>
      </c>
    </row>
    <row r="62" spans="1:13" x14ac:dyDescent="0.3">
      <c r="A62" s="26">
        <v>44958</v>
      </c>
      <c r="B62">
        <v>174.4</v>
      </c>
      <c r="C62">
        <v>207.7</v>
      </c>
      <c r="D62">
        <v>175.2</v>
      </c>
      <c r="E62">
        <v>177.3</v>
      </c>
      <c r="F62">
        <v>179.3</v>
      </c>
      <c r="G62">
        <v>169.5</v>
      </c>
      <c r="H62">
        <v>152.69999999999999</v>
      </c>
      <c r="I62">
        <v>171</v>
      </c>
      <c r="J62">
        <v>120</v>
      </c>
      <c r="K62">
        <v>209.7</v>
      </c>
      <c r="L62">
        <v>172.3</v>
      </c>
      <c r="M62">
        <v>193</v>
      </c>
    </row>
    <row r="63" spans="1:13" x14ac:dyDescent="0.3">
      <c r="A63" s="26">
        <v>44986</v>
      </c>
      <c r="B63">
        <v>174.4</v>
      </c>
      <c r="C63">
        <v>207.7</v>
      </c>
      <c r="D63">
        <v>175.2</v>
      </c>
      <c r="E63">
        <v>177.3</v>
      </c>
      <c r="F63">
        <v>179.2</v>
      </c>
      <c r="G63">
        <v>169.5</v>
      </c>
      <c r="H63">
        <v>152.80000000000001</v>
      </c>
      <c r="I63">
        <v>171.1</v>
      </c>
      <c r="J63">
        <v>120</v>
      </c>
      <c r="K63">
        <v>209.7</v>
      </c>
      <c r="L63">
        <v>172.3</v>
      </c>
      <c r="M63">
        <v>193</v>
      </c>
    </row>
    <row r="64" spans="1:13" x14ac:dyDescent="0.3">
      <c r="A64" s="26">
        <v>45017</v>
      </c>
      <c r="B64">
        <v>173.8</v>
      </c>
      <c r="C64">
        <v>209.3</v>
      </c>
      <c r="D64">
        <v>169.6</v>
      </c>
      <c r="E64">
        <v>178.4</v>
      </c>
      <c r="F64">
        <v>174.9</v>
      </c>
      <c r="G64">
        <v>176.3</v>
      </c>
      <c r="H64">
        <v>155.4</v>
      </c>
      <c r="I64">
        <v>173.4</v>
      </c>
      <c r="J64">
        <v>121.3</v>
      </c>
      <c r="K64">
        <v>212.9</v>
      </c>
      <c r="L64">
        <v>172.9</v>
      </c>
      <c r="M64">
        <v>193.5</v>
      </c>
    </row>
    <row r="65" spans="1:13" x14ac:dyDescent="0.3">
      <c r="A65" s="26">
        <v>45047</v>
      </c>
      <c r="B65">
        <v>173.7</v>
      </c>
      <c r="C65">
        <v>214.3</v>
      </c>
      <c r="D65">
        <v>173.2</v>
      </c>
      <c r="E65">
        <v>179.5</v>
      </c>
      <c r="F65">
        <v>170</v>
      </c>
      <c r="G65">
        <v>172.2</v>
      </c>
      <c r="H65">
        <v>161</v>
      </c>
      <c r="I65">
        <v>175.6</v>
      </c>
      <c r="J65">
        <v>122.7</v>
      </c>
      <c r="K65">
        <v>218</v>
      </c>
      <c r="L65">
        <v>173.4</v>
      </c>
      <c r="M65">
        <v>194.2</v>
      </c>
    </row>
    <row r="66" spans="1:13" x14ac:dyDescent="0.3">
      <c r="A66" s="8" t="s">
        <v>51</v>
      </c>
      <c r="B66">
        <v>2007.2</v>
      </c>
      <c r="C66">
        <v>2527.1000000000004</v>
      </c>
      <c r="D66">
        <v>2115.1</v>
      </c>
      <c r="E66">
        <v>2074.1</v>
      </c>
      <c r="F66">
        <v>2232.3000000000002</v>
      </c>
      <c r="G66">
        <v>2010.8</v>
      </c>
      <c r="H66">
        <v>2061.4</v>
      </c>
      <c r="I66">
        <v>2038</v>
      </c>
      <c r="J66">
        <v>1453.3</v>
      </c>
      <c r="K66">
        <v>2434.6000000000004</v>
      </c>
      <c r="L66">
        <v>2048.1</v>
      </c>
      <c r="M66">
        <v>2275.8000000000002</v>
      </c>
    </row>
  </sheetData>
  <mergeCells count="2">
    <mergeCell ref="D36:F36"/>
    <mergeCell ref="I37:J37"/>
  </mergeCells>
  <conditionalFormatting sqref="M34:M45">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5BCE7-4884-49A8-8724-AD08967B634C}">
  <dimension ref="A1:P64"/>
  <sheetViews>
    <sheetView topLeftCell="A28" workbookViewId="0">
      <selection activeCell="L52" sqref="L52"/>
    </sheetView>
  </sheetViews>
  <sheetFormatPr defaultColWidth="8.88671875" defaultRowHeight="14.4" x14ac:dyDescent="0.3"/>
  <cols>
    <col min="1" max="1" width="12.5546875" style="11" bestFit="1" customWidth="1"/>
    <col min="2" max="2" width="13.44140625" style="11" bestFit="1" customWidth="1"/>
    <col min="3" max="3" width="6.5546875" style="11" bestFit="1" customWidth="1"/>
    <col min="4" max="4" width="10" style="11" bestFit="1" customWidth="1"/>
    <col min="5" max="5" width="18" style="11" bestFit="1" customWidth="1"/>
    <col min="6" max="8" width="6" style="11" bestFit="1" customWidth="1"/>
    <col min="9" max="9" width="17.44140625" style="11" bestFit="1" customWidth="1"/>
    <col min="10" max="10" width="8.44140625" style="11" customWidth="1"/>
    <col min="11" max="11" width="17.44140625" style="11" bestFit="1" customWidth="1"/>
    <col min="12" max="12" width="24.5546875" style="11" bestFit="1" customWidth="1"/>
    <col min="13" max="14" width="6" style="11" bestFit="1" customWidth="1"/>
    <col min="15" max="15" width="17.44140625" style="11" bestFit="1" customWidth="1"/>
    <col min="16" max="16" width="24.5546875" style="11" bestFit="1" customWidth="1"/>
    <col min="17" max="17" width="4" style="11" bestFit="1" customWidth="1"/>
    <col min="18" max="19" width="6" style="11" bestFit="1" customWidth="1"/>
    <col min="20" max="20" width="3.5546875" style="11" bestFit="1" customWidth="1"/>
    <col min="21" max="21" width="10.6640625" style="11" bestFit="1" customWidth="1"/>
    <col min="22" max="25" width="6" style="11" bestFit="1" customWidth="1"/>
    <col min="26" max="26" width="4" style="11" bestFit="1" customWidth="1"/>
    <col min="27" max="42" width="6" style="11" bestFit="1" customWidth="1"/>
    <col min="43" max="43" width="4" style="11" bestFit="1" customWidth="1"/>
    <col min="44" max="46" width="6" style="11" bestFit="1" customWidth="1"/>
    <col min="47" max="47" width="4" style="11" bestFit="1" customWidth="1"/>
    <col min="48" max="58" width="6" style="11" bestFit="1" customWidth="1"/>
    <col min="59" max="59" width="4" style="11" bestFit="1" customWidth="1"/>
    <col min="60" max="63" width="6" style="11" bestFit="1" customWidth="1"/>
    <col min="64" max="64" width="4" style="11" bestFit="1" customWidth="1"/>
    <col min="65" max="83" width="6" style="11" bestFit="1" customWidth="1"/>
    <col min="84" max="84" width="4" style="11" bestFit="1" customWidth="1"/>
    <col min="85" max="90" width="6" style="11" bestFit="1" customWidth="1"/>
    <col min="91" max="91" width="4" style="11" bestFit="1" customWidth="1"/>
    <col min="92" max="96" width="6" style="11" bestFit="1" customWidth="1"/>
    <col min="97" max="97" width="4" style="11" bestFit="1" customWidth="1"/>
    <col min="98" max="104" width="6" style="11" bestFit="1" customWidth="1"/>
    <col min="105" max="105" width="4" style="11" bestFit="1" customWidth="1"/>
    <col min="106" max="112" width="6" style="11" bestFit="1" customWidth="1"/>
    <col min="113" max="113" width="4" style="11" bestFit="1" customWidth="1"/>
    <col min="114" max="118" width="6" style="11" bestFit="1" customWidth="1"/>
    <col min="119" max="119" width="4" style="11" bestFit="1" customWidth="1"/>
    <col min="120" max="125" width="6" style="11" bestFit="1" customWidth="1"/>
    <col min="126" max="126" width="4" style="11" bestFit="1" customWidth="1"/>
    <col min="127" max="134" width="6" style="11" bestFit="1" customWidth="1"/>
    <col min="135" max="135" width="4" style="11" bestFit="1" customWidth="1"/>
    <col min="136" max="141" width="6" style="11" bestFit="1" customWidth="1"/>
    <col min="142" max="142" width="4" style="11" bestFit="1" customWidth="1"/>
    <col min="143" max="149" width="6" style="11" bestFit="1" customWidth="1"/>
    <col min="150" max="150" width="4" style="11" bestFit="1" customWidth="1"/>
    <col min="151" max="154" width="6" style="11" bestFit="1" customWidth="1"/>
    <col min="155" max="155" width="4" style="11" bestFit="1" customWidth="1"/>
    <col min="156" max="158" width="6" style="11" bestFit="1" customWidth="1"/>
    <col min="159" max="159" width="4" style="11" bestFit="1" customWidth="1"/>
    <col min="160" max="160" width="6" style="11" bestFit="1" customWidth="1"/>
    <col min="161" max="161" width="4" style="11" bestFit="1" customWidth="1"/>
    <col min="162" max="165" width="6" style="11" bestFit="1" customWidth="1"/>
    <col min="166" max="166" width="4" style="11" bestFit="1" customWidth="1"/>
    <col min="167" max="181" width="6" style="11" bestFit="1" customWidth="1"/>
    <col min="182" max="182" width="4" style="11" bestFit="1" customWidth="1"/>
    <col min="183" max="184" width="6" style="11" bestFit="1" customWidth="1"/>
    <col min="185" max="185" width="4" style="11" bestFit="1" customWidth="1"/>
    <col min="186" max="189" width="6" style="11" bestFit="1" customWidth="1"/>
    <col min="190" max="190" width="4" style="11" bestFit="1" customWidth="1"/>
    <col min="191" max="196" width="6" style="11" bestFit="1" customWidth="1"/>
    <col min="197" max="198" width="4" style="11" bestFit="1" customWidth="1"/>
    <col min="199" max="205" width="6" style="11" bestFit="1" customWidth="1"/>
    <col min="206" max="206" width="4" style="11" bestFit="1" customWidth="1"/>
    <col min="207" max="210" width="6" style="11" bestFit="1" customWidth="1"/>
    <col min="211" max="211" width="4" style="11" bestFit="1" customWidth="1"/>
    <col min="212" max="215" width="6" style="11" bestFit="1" customWidth="1"/>
    <col min="216" max="216" width="4" style="11" bestFit="1" customWidth="1"/>
    <col min="217" max="227" width="6" style="11" bestFit="1" customWidth="1"/>
    <col min="228" max="228" width="4" style="11" bestFit="1" customWidth="1"/>
    <col min="229" max="250" width="6" style="11" bestFit="1" customWidth="1"/>
    <col min="251" max="251" width="4" style="11" bestFit="1" customWidth="1"/>
    <col min="252" max="257" width="6" style="11" bestFit="1" customWidth="1"/>
    <col min="258" max="258" width="4" style="11" bestFit="1" customWidth="1"/>
    <col min="259" max="277" width="6" style="11" bestFit="1" customWidth="1"/>
    <col min="278" max="278" width="3.5546875" style="11" bestFit="1" customWidth="1"/>
    <col min="279" max="279" width="10.6640625" style="11" bestFit="1" customWidth="1"/>
    <col min="280" max="16384" width="8.88671875" style="11"/>
  </cols>
  <sheetData>
    <row r="1" spans="11:16" x14ac:dyDescent="0.3">
      <c r="K1" s="101" t="s">
        <v>61</v>
      </c>
      <c r="L1" s="102"/>
      <c r="O1" s="101" t="s">
        <v>60</v>
      </c>
      <c r="P1" s="102"/>
    </row>
    <row r="2" spans="11:16" x14ac:dyDescent="0.3">
      <c r="K2" s="66" t="s">
        <v>59</v>
      </c>
      <c r="L2" s="67" t="s">
        <v>62</v>
      </c>
      <c r="O2" s="66" t="s">
        <v>59</v>
      </c>
      <c r="P2" s="67" t="s">
        <v>58</v>
      </c>
    </row>
    <row r="3" spans="11:16" x14ac:dyDescent="0.3">
      <c r="K3" s="68" t="s">
        <v>54</v>
      </c>
      <c r="L3" s="47">
        <f>(GETPIVOTDATA("Food",$A$50,"Month Year",DATE(2020,3,1))-GETPIVOTDATA("Food",$A$50,"Month Year",DATE(2019,9,1)))/GETPIVOTDATA("Food",$A$50,"Month Year",DATE(2019,9,1))</f>
        <v>1.292517006802725E-2</v>
      </c>
      <c r="O3" s="68" t="s">
        <v>54</v>
      </c>
      <c r="P3" s="47">
        <f>(GETPIVOTDATA("Food",$A$50,"Month Year",DATE(2020,9,1))-GETPIVOTDATA("Food",$A$50,"Month Year",DATE(2020,3,1)))/GETPIVOTDATA("Food",$A$50,"Month Year",DATE(2020,3,1))</f>
        <v>6.1114842175956981E-2</v>
      </c>
    </row>
    <row r="4" spans="11:16" x14ac:dyDescent="0.3">
      <c r="K4" s="68" t="s">
        <v>55</v>
      </c>
      <c r="L4" s="47">
        <f>(GETPIVOTDATA("Fuel",$A$50,"Month Year",DATE(2020,3,1))-GETPIVOTDATA("Fuel",$A$50,"Month Year",DATE(2019,9,1)))/GETPIVOTDATA("Fuel",$A$50,"Month Year",DATE(2019,9,1))</f>
        <v>6.9683908045977141E-2</v>
      </c>
      <c r="O4" s="68" t="s">
        <v>55</v>
      </c>
      <c r="P4" s="47">
        <f>(GETPIVOTDATA("Fuel",$A$50,"Month Year",DATE(2020,9,1))-GETPIVOTDATA("Fuel",$A$50,"Month Year",DATE(2020,3,1)))/GETPIVOTDATA("Fuel",$A$50,"Month Year",DATE(2020,3,1))</f>
        <v>-4.0295500335795834E-2</v>
      </c>
    </row>
    <row r="5" spans="11:16" x14ac:dyDescent="0.3">
      <c r="K5" s="68" t="s">
        <v>56</v>
      </c>
      <c r="L5" s="47">
        <f>(GETPIVOTDATA("Healthcare",$A$50,"Month Year",DATE(2020,3,1))-GETPIVOTDATA("Healthcare",$A$50,"Month Year",DATE(2019,9,1)))/GETPIVOTDATA("Healthcare",$A$50,"Month Year",DATE(2019,9,1))</f>
        <v>2.2147651006711486E-2</v>
      </c>
      <c r="O5" s="68" t="s">
        <v>56</v>
      </c>
      <c r="P5" s="47">
        <f>(GETPIVOTDATA("Healthcare",$A$50,"Month Year",DATE(2020,9,1))-GETPIVOTDATA("Healthcare",$A$50,"Month Year",DATE(2020,3,1)))/GETPIVOTDATA("Healthcare",$A$50,"Month Year",DATE(2020,3,1))</f>
        <v>2.166776099803009E-2</v>
      </c>
    </row>
    <row r="6" spans="11:16" ht="15" thickBot="1" x14ac:dyDescent="0.35">
      <c r="K6" s="69" t="s">
        <v>57</v>
      </c>
      <c r="L6" s="49">
        <f>(GETPIVOTDATA("Transport &amp; Comms",$A$50,"Month Year",DATE(2020,3,1))-GETPIVOTDATA("Transport &amp; Comms",$A$50,"Month Year",DATE(2019,9,1)))/GETPIVOTDATA("Transport &amp; Comms",$A$50,"Month Year",DATE(2019,9,1))</f>
        <v>3.013481363996837E-2</v>
      </c>
      <c r="O6" s="69" t="s">
        <v>57</v>
      </c>
      <c r="P6" s="49">
        <f>(GETPIVOTDATA("Transport &amp; Comms",$A$50,"Month Year",DATE(2020,9,1))-GETPIVOTDATA("Transport &amp; Comms",$A$50,"Month Year",DATE(2020,3,1)))/GETPIVOTDATA("Transport &amp; Comms",$A$50,"Month Year",DATE(2020,3,1))</f>
        <v>7.4672825250192365E-2</v>
      </c>
    </row>
    <row r="47" spans="1:5" ht="15" thickBot="1" x14ac:dyDescent="0.35"/>
    <row r="48" spans="1:5" x14ac:dyDescent="0.3">
      <c r="A48" s="12" t="s">
        <v>0</v>
      </c>
      <c r="B48" s="13" t="s">
        <v>34</v>
      </c>
      <c r="C48" s="13"/>
      <c r="D48" s="13"/>
      <c r="E48" s="14"/>
    </row>
    <row r="49" spans="1:5" x14ac:dyDescent="0.3">
      <c r="A49" s="10"/>
      <c r="E49" s="15"/>
    </row>
    <row r="50" spans="1:5" x14ac:dyDescent="0.3">
      <c r="A50" s="22" t="s">
        <v>50</v>
      </c>
      <c r="B50" s="23" t="s">
        <v>54</v>
      </c>
      <c r="C50" s="23" t="s">
        <v>55</v>
      </c>
      <c r="D50" s="23" t="s">
        <v>56</v>
      </c>
      <c r="E50" s="23" t="s">
        <v>57</v>
      </c>
    </row>
    <row r="51" spans="1:5" x14ac:dyDescent="0.3">
      <c r="A51" s="16">
        <v>43709</v>
      </c>
      <c r="B51" s="17">
        <v>147</v>
      </c>
      <c r="C51" s="17">
        <v>139.19999999999999</v>
      </c>
      <c r="D51" s="17">
        <v>149</v>
      </c>
      <c r="E51" s="18">
        <v>126.1</v>
      </c>
    </row>
    <row r="52" spans="1:5" x14ac:dyDescent="0.3">
      <c r="A52" s="16">
        <v>43739</v>
      </c>
      <c r="B52" s="17">
        <v>149.6</v>
      </c>
      <c r="C52" s="17">
        <v>140.6</v>
      </c>
      <c r="D52" s="17">
        <v>149.4</v>
      </c>
      <c r="E52" s="18">
        <v>126.3</v>
      </c>
    </row>
    <row r="53" spans="1:5" x14ac:dyDescent="0.3">
      <c r="A53" s="16">
        <v>43770</v>
      </c>
      <c r="B53" s="17">
        <v>151.9</v>
      </c>
      <c r="C53" s="17">
        <v>142.30000000000001</v>
      </c>
      <c r="D53" s="17">
        <v>149.9</v>
      </c>
      <c r="E53" s="18">
        <v>126.6</v>
      </c>
    </row>
    <row r="54" spans="1:5" x14ac:dyDescent="0.3">
      <c r="A54" s="16">
        <v>43800</v>
      </c>
      <c r="B54" s="17">
        <v>155</v>
      </c>
      <c r="C54" s="17">
        <v>143.69999999999999</v>
      </c>
      <c r="D54" s="17">
        <v>150.4</v>
      </c>
      <c r="E54" s="18">
        <v>129.80000000000001</v>
      </c>
    </row>
    <row r="55" spans="1:5" x14ac:dyDescent="0.3">
      <c r="A55" s="16">
        <v>43831</v>
      </c>
      <c r="B55" s="17">
        <v>153.5</v>
      </c>
      <c r="C55" s="17">
        <v>144.6</v>
      </c>
      <c r="D55" s="17">
        <v>151.19999999999999</v>
      </c>
      <c r="E55" s="18">
        <v>130.9</v>
      </c>
    </row>
    <row r="56" spans="1:5" x14ac:dyDescent="0.3">
      <c r="A56" s="16">
        <v>43862</v>
      </c>
      <c r="B56" s="17">
        <v>150.5</v>
      </c>
      <c r="C56" s="17">
        <v>147.19999999999999</v>
      </c>
      <c r="D56" s="17">
        <v>151.69999999999999</v>
      </c>
      <c r="E56" s="18">
        <v>130.30000000000001</v>
      </c>
    </row>
    <row r="57" spans="1:5" x14ac:dyDescent="0.3">
      <c r="A57" s="16">
        <v>43891</v>
      </c>
      <c r="B57" s="17">
        <v>148.9</v>
      </c>
      <c r="C57" s="17">
        <v>148.9</v>
      </c>
      <c r="D57" s="17">
        <v>152.30000000000001</v>
      </c>
      <c r="E57" s="18">
        <v>129.9</v>
      </c>
    </row>
    <row r="58" spans="1:5" x14ac:dyDescent="0.3">
      <c r="A58" s="16">
        <v>43922</v>
      </c>
      <c r="B58" s="17">
        <v>151.4</v>
      </c>
      <c r="C58" s="17">
        <v>144.1</v>
      </c>
      <c r="D58" s="17">
        <v>150.69999999999999</v>
      </c>
      <c r="E58" s="18">
        <v>130.36666666666667</v>
      </c>
    </row>
    <row r="59" spans="1:5" x14ac:dyDescent="0.3">
      <c r="A59" s="16">
        <v>43952</v>
      </c>
      <c r="B59" s="17">
        <v>152.63333333333333</v>
      </c>
      <c r="C59" s="17">
        <v>144.5</v>
      </c>
      <c r="D59" s="17">
        <v>153.08333333333334</v>
      </c>
      <c r="E59" s="18">
        <v>136.16666666666666</v>
      </c>
    </row>
    <row r="60" spans="1:5" x14ac:dyDescent="0.3">
      <c r="A60" s="16">
        <v>43983</v>
      </c>
      <c r="B60" s="17">
        <v>154</v>
      </c>
      <c r="C60" s="17">
        <v>141.9</v>
      </c>
      <c r="D60" s="17">
        <v>154.4</v>
      </c>
      <c r="E60" s="18">
        <v>135</v>
      </c>
    </row>
    <row r="61" spans="1:5" x14ac:dyDescent="0.3">
      <c r="A61" s="16">
        <v>44013</v>
      </c>
      <c r="B61" s="17">
        <v>154</v>
      </c>
      <c r="C61" s="17">
        <v>141.9</v>
      </c>
      <c r="D61" s="17">
        <v>154.4</v>
      </c>
      <c r="E61" s="18">
        <v>135</v>
      </c>
    </row>
    <row r="62" spans="1:5" x14ac:dyDescent="0.3">
      <c r="A62" s="16">
        <v>44044</v>
      </c>
      <c r="B62" s="17">
        <v>157</v>
      </c>
      <c r="C62" s="17">
        <v>143</v>
      </c>
      <c r="D62" s="17">
        <v>155</v>
      </c>
      <c r="E62" s="18">
        <v>138.5</v>
      </c>
    </row>
    <row r="63" spans="1:5" x14ac:dyDescent="0.3">
      <c r="A63" s="16">
        <v>44075</v>
      </c>
      <c r="B63" s="17">
        <v>158</v>
      </c>
      <c r="C63" s="17">
        <v>142.9</v>
      </c>
      <c r="D63" s="17">
        <v>155.6</v>
      </c>
      <c r="E63" s="18">
        <v>139.6</v>
      </c>
    </row>
    <row r="64" spans="1:5" ht="15" thickBot="1" x14ac:dyDescent="0.35">
      <c r="A64" s="19" t="s">
        <v>51</v>
      </c>
      <c r="B64" s="20">
        <v>1983.4333333333334</v>
      </c>
      <c r="C64" s="20">
        <v>1864.8000000000002</v>
      </c>
      <c r="D64" s="20">
        <v>1977.0833333333333</v>
      </c>
      <c r="E64" s="21">
        <v>1714.5333333333333</v>
      </c>
    </row>
  </sheetData>
  <mergeCells count="2">
    <mergeCell ref="K1:L1"/>
    <mergeCell ref="O1:P1"/>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C81B4-82DA-46BB-BC21-BFDDBE63A328}">
  <dimension ref="A2:M58"/>
  <sheetViews>
    <sheetView topLeftCell="A27" workbookViewId="0">
      <selection activeCell="D5" sqref="D5"/>
    </sheetView>
  </sheetViews>
  <sheetFormatPr defaultRowHeight="14.4" x14ac:dyDescent="0.3"/>
  <cols>
    <col min="1" max="1" width="12.5546875" bestFit="1" customWidth="1"/>
    <col min="2" max="2" width="18.88671875" bestFit="1" customWidth="1"/>
    <col min="3" max="4" width="32.33203125" bestFit="1" customWidth="1"/>
    <col min="5" max="5" width="26.6640625" bestFit="1" customWidth="1"/>
    <col min="6" max="6" width="14.33203125" bestFit="1" customWidth="1"/>
    <col min="7" max="7" width="19.5546875" bestFit="1" customWidth="1"/>
    <col min="8" max="8" width="19.109375" bestFit="1" customWidth="1"/>
    <col min="11" max="11" width="10.33203125" bestFit="1" customWidth="1"/>
    <col min="12" max="12" width="18.88671875" bestFit="1" customWidth="1"/>
    <col min="13" max="13" width="19.109375" bestFit="1" customWidth="1"/>
  </cols>
  <sheetData>
    <row r="2" spans="2:4" ht="15" thickBot="1" x14ac:dyDescent="0.35"/>
    <row r="3" spans="2:4" x14ac:dyDescent="0.3">
      <c r="B3" s="103" t="s">
        <v>69</v>
      </c>
      <c r="C3" s="104"/>
      <c r="D3" s="105"/>
    </row>
    <row r="4" spans="2:4" x14ac:dyDescent="0.3">
      <c r="B4" s="106" t="s">
        <v>55</v>
      </c>
      <c r="C4" s="27" t="s">
        <v>59</v>
      </c>
      <c r="D4" s="28" t="s">
        <v>68</v>
      </c>
    </row>
    <row r="5" spans="2:4" x14ac:dyDescent="0.3">
      <c r="B5" s="106"/>
      <c r="C5" s="70" t="s">
        <v>52</v>
      </c>
      <c r="D5" s="71">
        <f>CORREL(B29:B57,C29:C57)</f>
        <v>0.96457248908931958</v>
      </c>
    </row>
    <row r="6" spans="2:4" x14ac:dyDescent="0.3">
      <c r="B6" s="106"/>
      <c r="C6" s="70" t="s">
        <v>63</v>
      </c>
      <c r="D6" s="71">
        <f>CORREL(B29:B57,D29:D57)</f>
        <v>0.93979244095169767</v>
      </c>
    </row>
    <row r="7" spans="2:4" x14ac:dyDescent="0.3">
      <c r="B7" s="106"/>
      <c r="C7" s="70" t="s">
        <v>64</v>
      </c>
      <c r="D7" s="71">
        <f>CORREL(B29:B57,E29:E57)</f>
        <v>0.98562185435623184</v>
      </c>
    </row>
    <row r="8" spans="2:4" x14ac:dyDescent="0.3">
      <c r="B8" s="106"/>
      <c r="C8" s="70" t="s">
        <v>65</v>
      </c>
      <c r="D8" s="71">
        <f>CORREL(B29:B57,F29:F57)</f>
        <v>0.956608686980154</v>
      </c>
    </row>
    <row r="9" spans="2:4" x14ac:dyDescent="0.3">
      <c r="B9" s="106"/>
      <c r="C9" s="70" t="s">
        <v>66</v>
      </c>
      <c r="D9" s="71">
        <f>CORREL(B29:B57,G29:G57)</f>
        <v>0.98253256392256361</v>
      </c>
    </row>
    <row r="10" spans="2:4" ht="15" thickBot="1" x14ac:dyDescent="0.35">
      <c r="B10" s="107"/>
      <c r="C10" s="72" t="s">
        <v>67</v>
      </c>
      <c r="D10" s="73">
        <f>CORREL(B29:B57,H29:H57)</f>
        <v>0.98671176495240132</v>
      </c>
    </row>
    <row r="26" spans="1:13" x14ac:dyDescent="0.3">
      <c r="A26" s="7" t="s">
        <v>0</v>
      </c>
      <c r="B26" t="s">
        <v>34</v>
      </c>
    </row>
    <row r="28" spans="1:13" x14ac:dyDescent="0.3">
      <c r="A28" s="7" t="s">
        <v>50</v>
      </c>
      <c r="B28" t="s">
        <v>53</v>
      </c>
      <c r="C28" t="s">
        <v>52</v>
      </c>
      <c r="D28" t="s">
        <v>63</v>
      </c>
      <c r="E28" t="s">
        <v>64</v>
      </c>
      <c r="F28" t="s">
        <v>65</v>
      </c>
      <c r="G28" t="s">
        <v>66</v>
      </c>
      <c r="H28" t="s">
        <v>67</v>
      </c>
      <c r="K28" s="29" t="s">
        <v>102</v>
      </c>
      <c r="L28" s="29" t="s">
        <v>53</v>
      </c>
      <c r="M28" s="29" t="s">
        <v>67</v>
      </c>
    </row>
    <row r="29" spans="1:13" x14ac:dyDescent="0.3">
      <c r="A29" s="26">
        <v>44197</v>
      </c>
      <c r="B29">
        <v>147.9</v>
      </c>
      <c r="C29">
        <v>161</v>
      </c>
      <c r="D29">
        <v>186.5</v>
      </c>
      <c r="E29">
        <v>154.19999999999999</v>
      </c>
      <c r="F29">
        <v>157.69999999999999</v>
      </c>
      <c r="G29">
        <v>151.9</v>
      </c>
      <c r="H29">
        <v>157.30000000000001</v>
      </c>
      <c r="K29" s="26">
        <v>44197</v>
      </c>
      <c r="L29">
        <v>147.9</v>
      </c>
      <c r="M29">
        <v>157.30000000000001</v>
      </c>
    </row>
    <row r="30" spans="1:13" x14ac:dyDescent="0.3">
      <c r="A30" s="26">
        <v>44228</v>
      </c>
      <c r="B30">
        <v>152.4</v>
      </c>
      <c r="C30">
        <v>156.9</v>
      </c>
      <c r="D30">
        <v>188.3</v>
      </c>
      <c r="E30">
        <v>155.80000000000001</v>
      </c>
      <c r="F30">
        <v>159.80000000000001</v>
      </c>
      <c r="G30">
        <v>153.4</v>
      </c>
      <c r="H30">
        <v>156.6</v>
      </c>
      <c r="K30" s="26">
        <v>44228</v>
      </c>
      <c r="L30">
        <v>152.4</v>
      </c>
      <c r="M30">
        <v>156.6</v>
      </c>
    </row>
    <row r="31" spans="1:13" x14ac:dyDescent="0.3">
      <c r="A31" s="26">
        <v>44256</v>
      </c>
      <c r="B31">
        <v>155.5</v>
      </c>
      <c r="C31">
        <v>156.69999999999999</v>
      </c>
      <c r="D31">
        <v>188.1</v>
      </c>
      <c r="E31">
        <v>156.4</v>
      </c>
      <c r="F31">
        <v>159.9</v>
      </c>
      <c r="G31">
        <v>153.80000000000001</v>
      </c>
      <c r="H31">
        <v>156.80000000000001</v>
      </c>
      <c r="K31" s="26">
        <v>44256</v>
      </c>
      <c r="L31">
        <v>155.5</v>
      </c>
      <c r="M31">
        <v>156.80000000000001</v>
      </c>
    </row>
    <row r="32" spans="1:13" x14ac:dyDescent="0.3">
      <c r="A32" s="26">
        <v>44287</v>
      </c>
      <c r="B32">
        <v>155.6</v>
      </c>
      <c r="C32">
        <v>158</v>
      </c>
      <c r="D32">
        <v>188.8</v>
      </c>
      <c r="E32">
        <v>157.30000000000001</v>
      </c>
      <c r="F32">
        <v>161.4</v>
      </c>
      <c r="G32">
        <v>154.4</v>
      </c>
      <c r="H32">
        <v>157.80000000000001</v>
      </c>
      <c r="K32" s="26">
        <v>44287</v>
      </c>
      <c r="L32">
        <v>155.6</v>
      </c>
      <c r="M32">
        <v>157.80000000000001</v>
      </c>
    </row>
    <row r="33" spans="1:13" x14ac:dyDescent="0.3">
      <c r="A33" s="26">
        <v>44317</v>
      </c>
      <c r="B33">
        <v>159.4</v>
      </c>
      <c r="C33">
        <v>160.69999999999999</v>
      </c>
      <c r="D33">
        <v>191.9</v>
      </c>
      <c r="E33">
        <v>160.4</v>
      </c>
      <c r="F33">
        <v>161.6</v>
      </c>
      <c r="G33">
        <v>156.80000000000001</v>
      </c>
      <c r="H33">
        <v>160.4</v>
      </c>
      <c r="K33" s="26">
        <v>44317</v>
      </c>
      <c r="L33">
        <v>159.4</v>
      </c>
      <c r="M33">
        <v>160.4</v>
      </c>
    </row>
    <row r="34" spans="1:13" x14ac:dyDescent="0.3">
      <c r="A34" s="26">
        <v>44348</v>
      </c>
      <c r="B34">
        <v>159.80000000000001</v>
      </c>
      <c r="C34">
        <v>162.6</v>
      </c>
      <c r="D34">
        <v>190.8</v>
      </c>
      <c r="E34">
        <v>160.69999999999999</v>
      </c>
      <c r="F34">
        <v>160.5</v>
      </c>
      <c r="G34">
        <v>157.6</v>
      </c>
      <c r="H34">
        <v>161.30000000000001</v>
      </c>
      <c r="K34" s="26">
        <v>44348</v>
      </c>
      <c r="L34">
        <v>159.80000000000001</v>
      </c>
      <c r="M34">
        <v>161.30000000000001</v>
      </c>
    </row>
    <row r="35" spans="1:13" x14ac:dyDescent="0.3">
      <c r="A35" s="26">
        <v>44378</v>
      </c>
      <c r="B35">
        <v>160.69999999999999</v>
      </c>
      <c r="C35">
        <v>164</v>
      </c>
      <c r="D35">
        <v>191.2</v>
      </c>
      <c r="E35">
        <v>161.4</v>
      </c>
      <c r="F35">
        <v>161.5</v>
      </c>
      <c r="G35">
        <v>159</v>
      </c>
      <c r="H35">
        <v>162.5</v>
      </c>
      <c r="K35" s="26">
        <v>44378</v>
      </c>
      <c r="L35">
        <v>160.69999999999999</v>
      </c>
      <c r="M35">
        <v>162.5</v>
      </c>
    </row>
    <row r="36" spans="1:13" x14ac:dyDescent="0.3">
      <c r="A36" s="26">
        <v>44409</v>
      </c>
      <c r="B36">
        <v>162.6</v>
      </c>
      <c r="C36">
        <v>164</v>
      </c>
      <c r="D36">
        <v>192.1</v>
      </c>
      <c r="E36">
        <v>163.19999999999999</v>
      </c>
      <c r="F36">
        <v>162.1</v>
      </c>
      <c r="G36">
        <v>160</v>
      </c>
      <c r="H36">
        <v>163.19999999999999</v>
      </c>
      <c r="K36" s="26">
        <v>44409</v>
      </c>
      <c r="L36">
        <v>162.6</v>
      </c>
      <c r="M36">
        <v>163.19999999999999</v>
      </c>
    </row>
    <row r="37" spans="1:13" x14ac:dyDescent="0.3">
      <c r="A37" s="26">
        <v>44440</v>
      </c>
      <c r="B37">
        <v>162.6</v>
      </c>
      <c r="C37">
        <v>164</v>
      </c>
      <c r="D37">
        <v>192.1</v>
      </c>
      <c r="E37">
        <v>163.30000000000001</v>
      </c>
      <c r="F37">
        <v>162.1</v>
      </c>
      <c r="G37">
        <v>160</v>
      </c>
      <c r="H37">
        <v>163.19999999999999</v>
      </c>
      <c r="K37" s="26">
        <v>44440</v>
      </c>
      <c r="L37">
        <v>162.6</v>
      </c>
      <c r="M37">
        <v>163.19999999999999</v>
      </c>
    </row>
    <row r="38" spans="1:13" x14ac:dyDescent="0.3">
      <c r="A38" s="26">
        <v>44470</v>
      </c>
      <c r="B38">
        <v>164.2</v>
      </c>
      <c r="C38">
        <v>167.7</v>
      </c>
      <c r="D38">
        <v>192.7</v>
      </c>
      <c r="E38">
        <v>164.3</v>
      </c>
      <c r="F38">
        <v>163.6</v>
      </c>
      <c r="G38">
        <v>161</v>
      </c>
      <c r="H38">
        <v>165.5</v>
      </c>
      <c r="K38" s="26">
        <v>44470</v>
      </c>
      <c r="L38">
        <v>164.2</v>
      </c>
      <c r="M38">
        <v>165.5</v>
      </c>
    </row>
    <row r="39" spans="1:13" x14ac:dyDescent="0.3">
      <c r="A39" s="26">
        <v>44501</v>
      </c>
      <c r="B39">
        <v>163.9</v>
      </c>
      <c r="C39">
        <v>169.7</v>
      </c>
      <c r="D39">
        <v>192.9</v>
      </c>
      <c r="E39">
        <v>165.8</v>
      </c>
      <c r="F39">
        <v>164.2</v>
      </c>
      <c r="G39">
        <v>161.4</v>
      </c>
      <c r="H39">
        <v>166.7</v>
      </c>
      <c r="K39" s="26">
        <v>44501</v>
      </c>
      <c r="L39">
        <v>163.9</v>
      </c>
      <c r="M39">
        <v>166.7</v>
      </c>
    </row>
    <row r="40" spans="1:13" x14ac:dyDescent="0.3">
      <c r="A40" s="26">
        <v>44531</v>
      </c>
      <c r="B40">
        <v>164.1</v>
      </c>
      <c r="C40">
        <v>168.2</v>
      </c>
      <c r="D40">
        <v>192.4</v>
      </c>
      <c r="E40">
        <v>167</v>
      </c>
      <c r="F40">
        <v>163.4</v>
      </c>
      <c r="G40">
        <v>162</v>
      </c>
      <c r="H40">
        <v>166.2</v>
      </c>
      <c r="K40" s="26">
        <v>44531</v>
      </c>
      <c r="L40">
        <v>164.1</v>
      </c>
      <c r="M40">
        <v>166.2</v>
      </c>
    </row>
    <row r="41" spans="1:13" x14ac:dyDescent="0.3">
      <c r="A41" s="26">
        <v>44562</v>
      </c>
      <c r="B41">
        <v>164.2</v>
      </c>
      <c r="C41">
        <v>166.4</v>
      </c>
      <c r="D41">
        <v>192.2</v>
      </c>
      <c r="E41">
        <v>168.5</v>
      </c>
      <c r="F41">
        <v>164.5</v>
      </c>
      <c r="G41">
        <v>162.69999999999999</v>
      </c>
      <c r="H41">
        <v>165.7</v>
      </c>
      <c r="K41" s="26">
        <v>44562</v>
      </c>
      <c r="L41">
        <v>164.2</v>
      </c>
      <c r="M41">
        <v>165.7</v>
      </c>
    </row>
    <row r="42" spans="1:13" x14ac:dyDescent="0.3">
      <c r="A42" s="26">
        <v>44593</v>
      </c>
      <c r="B42">
        <v>165.7</v>
      </c>
      <c r="C42">
        <v>166.2</v>
      </c>
      <c r="D42">
        <v>192.8</v>
      </c>
      <c r="E42">
        <v>169.6</v>
      </c>
      <c r="F42">
        <v>165.5</v>
      </c>
      <c r="G42">
        <v>163.5</v>
      </c>
      <c r="H42">
        <v>166.1</v>
      </c>
      <c r="K42" s="26">
        <v>44593</v>
      </c>
      <c r="L42">
        <v>165.7</v>
      </c>
      <c r="M42">
        <v>166.1</v>
      </c>
    </row>
    <row r="43" spans="1:13" x14ac:dyDescent="0.3">
      <c r="A43" s="26">
        <v>44621</v>
      </c>
      <c r="B43">
        <v>167.2</v>
      </c>
      <c r="C43">
        <v>168.4</v>
      </c>
      <c r="D43">
        <v>193.7</v>
      </c>
      <c r="E43">
        <v>171.1</v>
      </c>
      <c r="F43">
        <v>165.3</v>
      </c>
      <c r="G43">
        <v>164.6</v>
      </c>
      <c r="H43">
        <v>167.7</v>
      </c>
      <c r="K43" s="26">
        <v>44621</v>
      </c>
      <c r="L43">
        <v>167.2</v>
      </c>
      <c r="M43">
        <v>167.7</v>
      </c>
    </row>
    <row r="44" spans="1:13" x14ac:dyDescent="0.3">
      <c r="A44" s="26">
        <v>44652</v>
      </c>
      <c r="B44">
        <v>172.2</v>
      </c>
      <c r="C44">
        <v>170.8</v>
      </c>
      <c r="D44">
        <v>193.9</v>
      </c>
      <c r="E44">
        <v>172.8</v>
      </c>
      <c r="F44">
        <v>167</v>
      </c>
      <c r="G44">
        <v>166.8</v>
      </c>
      <c r="H44">
        <v>170.1</v>
      </c>
      <c r="K44" s="26">
        <v>44652</v>
      </c>
      <c r="L44">
        <v>172.2</v>
      </c>
      <c r="M44">
        <v>170.1</v>
      </c>
    </row>
    <row r="45" spans="1:13" x14ac:dyDescent="0.3">
      <c r="A45" s="26">
        <v>44682</v>
      </c>
      <c r="B45">
        <v>174.6</v>
      </c>
      <c r="C45">
        <v>173.3</v>
      </c>
      <c r="D45">
        <v>194.1</v>
      </c>
      <c r="E45">
        <v>174.6</v>
      </c>
      <c r="F45">
        <v>167.5</v>
      </c>
      <c r="G45">
        <v>167.5</v>
      </c>
      <c r="H45">
        <v>171.7</v>
      </c>
      <c r="K45" s="26">
        <v>44682</v>
      </c>
      <c r="L45">
        <v>174.6</v>
      </c>
      <c r="M45">
        <v>171.7</v>
      </c>
    </row>
    <row r="46" spans="1:13" x14ac:dyDescent="0.3">
      <c r="A46" s="26">
        <v>44713</v>
      </c>
      <c r="B46">
        <v>176</v>
      </c>
      <c r="C46">
        <v>174.9</v>
      </c>
      <c r="D46">
        <v>194.3</v>
      </c>
      <c r="E46">
        <v>176</v>
      </c>
      <c r="F46">
        <v>166.8</v>
      </c>
      <c r="G46">
        <v>167.5</v>
      </c>
      <c r="H46">
        <v>172.6</v>
      </c>
      <c r="K46" s="26">
        <v>44713</v>
      </c>
      <c r="L46">
        <v>176</v>
      </c>
      <c r="M46">
        <v>172.6</v>
      </c>
    </row>
    <row r="47" spans="1:13" x14ac:dyDescent="0.3">
      <c r="A47" s="26">
        <v>44743</v>
      </c>
      <c r="B47">
        <v>179.6</v>
      </c>
      <c r="C47">
        <v>175</v>
      </c>
      <c r="D47">
        <v>194.6</v>
      </c>
      <c r="E47">
        <v>177.3</v>
      </c>
      <c r="F47">
        <v>167.8</v>
      </c>
      <c r="G47">
        <v>168.4</v>
      </c>
      <c r="H47">
        <v>173.4</v>
      </c>
      <c r="K47" s="26">
        <v>44743</v>
      </c>
      <c r="L47">
        <v>179.6</v>
      </c>
      <c r="M47">
        <v>173.4</v>
      </c>
    </row>
    <row r="48" spans="1:13" x14ac:dyDescent="0.3">
      <c r="A48" s="26">
        <v>44774</v>
      </c>
      <c r="B48">
        <v>178.8</v>
      </c>
      <c r="C48">
        <v>176.3</v>
      </c>
      <c r="D48">
        <v>195</v>
      </c>
      <c r="E48">
        <v>178.5</v>
      </c>
      <c r="F48">
        <v>169</v>
      </c>
      <c r="G48">
        <v>169.1</v>
      </c>
      <c r="H48">
        <v>174.3</v>
      </c>
      <c r="K48" s="26">
        <v>44774</v>
      </c>
      <c r="L48">
        <v>178.8</v>
      </c>
      <c r="M48">
        <v>174.3</v>
      </c>
    </row>
    <row r="49" spans="1:13" x14ac:dyDescent="0.3">
      <c r="A49" s="26">
        <v>44805</v>
      </c>
      <c r="B49">
        <v>179.5</v>
      </c>
      <c r="C49">
        <v>177.8</v>
      </c>
      <c r="D49">
        <v>195.9</v>
      </c>
      <c r="E49">
        <v>179.9</v>
      </c>
      <c r="F49">
        <v>169.5</v>
      </c>
      <c r="G49">
        <v>169.7</v>
      </c>
      <c r="H49">
        <v>175.3</v>
      </c>
      <c r="K49" s="26">
        <v>44805</v>
      </c>
      <c r="L49">
        <v>179.5</v>
      </c>
      <c r="M49">
        <v>175.3</v>
      </c>
    </row>
    <row r="50" spans="1:13" x14ac:dyDescent="0.3">
      <c r="A50" s="26">
        <v>44835</v>
      </c>
      <c r="B50">
        <v>180.5</v>
      </c>
      <c r="C50">
        <v>179.6</v>
      </c>
      <c r="D50">
        <v>196.3</v>
      </c>
      <c r="E50">
        <v>181</v>
      </c>
      <c r="F50">
        <v>171.2</v>
      </c>
      <c r="G50">
        <v>170.5</v>
      </c>
      <c r="H50">
        <v>176.7</v>
      </c>
      <c r="K50" s="26">
        <v>44835</v>
      </c>
      <c r="L50">
        <v>180.5</v>
      </c>
      <c r="M50">
        <v>176.7</v>
      </c>
    </row>
    <row r="51" spans="1:13" x14ac:dyDescent="0.3">
      <c r="A51" s="26">
        <v>44866</v>
      </c>
      <c r="B51">
        <v>181.3</v>
      </c>
      <c r="C51">
        <v>178.3</v>
      </c>
      <c r="D51">
        <v>196.9</v>
      </c>
      <c r="E51">
        <v>182.1</v>
      </c>
      <c r="F51">
        <v>171.8</v>
      </c>
      <c r="G51">
        <v>171.1</v>
      </c>
      <c r="H51">
        <v>176.5</v>
      </c>
      <c r="K51" s="26">
        <v>44866</v>
      </c>
      <c r="L51">
        <v>181.3</v>
      </c>
      <c r="M51">
        <v>176.5</v>
      </c>
    </row>
    <row r="52" spans="1:13" x14ac:dyDescent="0.3">
      <c r="A52" s="26">
        <v>44896</v>
      </c>
      <c r="B52">
        <v>182</v>
      </c>
      <c r="C52">
        <v>175.9</v>
      </c>
      <c r="D52">
        <v>197.3</v>
      </c>
      <c r="E52">
        <v>183</v>
      </c>
      <c r="F52">
        <v>170.7</v>
      </c>
      <c r="G52">
        <v>172</v>
      </c>
      <c r="H52">
        <v>175.7</v>
      </c>
      <c r="K52" s="26">
        <v>44896</v>
      </c>
      <c r="L52">
        <v>182</v>
      </c>
      <c r="M52">
        <v>175.7</v>
      </c>
    </row>
    <row r="53" spans="1:13" x14ac:dyDescent="0.3">
      <c r="A53" s="26">
        <v>44927</v>
      </c>
      <c r="B53">
        <v>182</v>
      </c>
      <c r="C53">
        <v>176.7</v>
      </c>
      <c r="D53">
        <v>198.2</v>
      </c>
      <c r="E53">
        <v>183.8</v>
      </c>
      <c r="F53">
        <v>172.1</v>
      </c>
      <c r="G53">
        <v>172.8</v>
      </c>
      <c r="H53">
        <v>176.5</v>
      </c>
      <c r="K53" s="26">
        <v>44927</v>
      </c>
      <c r="L53">
        <v>182</v>
      </c>
      <c r="M53">
        <v>176.5</v>
      </c>
    </row>
    <row r="54" spans="1:13" x14ac:dyDescent="0.3">
      <c r="A54" s="26">
        <v>44958</v>
      </c>
      <c r="B54">
        <v>182.1</v>
      </c>
      <c r="C54">
        <v>177</v>
      </c>
      <c r="D54">
        <v>199.5</v>
      </c>
      <c r="E54">
        <v>185.1</v>
      </c>
      <c r="F54">
        <v>173.5</v>
      </c>
      <c r="G54">
        <v>174.1</v>
      </c>
      <c r="H54">
        <v>177.2</v>
      </c>
      <c r="K54" s="26">
        <v>44958</v>
      </c>
      <c r="L54">
        <v>182.1</v>
      </c>
      <c r="M54">
        <v>177.2</v>
      </c>
    </row>
    <row r="55" spans="1:13" x14ac:dyDescent="0.3">
      <c r="A55" s="26">
        <v>44986</v>
      </c>
      <c r="B55">
        <v>181.9</v>
      </c>
      <c r="C55">
        <v>177</v>
      </c>
      <c r="D55">
        <v>199.5</v>
      </c>
      <c r="E55">
        <v>185.1</v>
      </c>
      <c r="F55">
        <v>173.5</v>
      </c>
      <c r="G55">
        <v>174.1</v>
      </c>
      <c r="H55">
        <v>177.2</v>
      </c>
      <c r="K55" s="26">
        <v>44986</v>
      </c>
      <c r="L55">
        <v>181.9</v>
      </c>
      <c r="M55">
        <v>177.2</v>
      </c>
    </row>
    <row r="56" spans="1:13" x14ac:dyDescent="0.3">
      <c r="A56" s="26">
        <v>45017</v>
      </c>
      <c r="B56">
        <v>181.7</v>
      </c>
      <c r="C56">
        <v>177.9</v>
      </c>
      <c r="D56">
        <v>200.6</v>
      </c>
      <c r="E56">
        <v>185.7</v>
      </c>
      <c r="F56">
        <v>175.2</v>
      </c>
      <c r="G56">
        <v>175</v>
      </c>
      <c r="H56">
        <v>178.1</v>
      </c>
      <c r="K56" s="26">
        <v>45017</v>
      </c>
      <c r="L56">
        <v>181.7</v>
      </c>
      <c r="M56">
        <v>178.1</v>
      </c>
    </row>
    <row r="57" spans="1:13" x14ac:dyDescent="0.3">
      <c r="A57" s="26">
        <v>45047</v>
      </c>
      <c r="B57">
        <v>182.8</v>
      </c>
      <c r="C57">
        <v>179.1</v>
      </c>
      <c r="D57">
        <v>201</v>
      </c>
      <c r="E57">
        <v>186.2</v>
      </c>
      <c r="F57">
        <v>175.6</v>
      </c>
      <c r="G57">
        <v>175.7</v>
      </c>
      <c r="H57">
        <v>179.1</v>
      </c>
      <c r="K57" s="26">
        <v>45047</v>
      </c>
      <c r="L57">
        <v>182.8</v>
      </c>
      <c r="M57">
        <v>179.1</v>
      </c>
    </row>
    <row r="58" spans="1:13" x14ac:dyDescent="0.3">
      <c r="A58" s="8" t="s">
        <v>51</v>
      </c>
      <c r="B58">
        <v>4920.7999999999993</v>
      </c>
      <c r="C58">
        <v>4924.1000000000013</v>
      </c>
      <c r="D58">
        <v>5623.6</v>
      </c>
      <c r="E58">
        <v>4970.1000000000004</v>
      </c>
      <c r="F58">
        <v>4824.3000000000011</v>
      </c>
      <c r="G58">
        <v>4776.4000000000005</v>
      </c>
      <c r="H58">
        <v>4891.3999999999996</v>
      </c>
    </row>
  </sheetData>
  <mergeCells count="2">
    <mergeCell ref="B3:D3"/>
    <mergeCell ref="B4:B10"/>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2DCFFE-65FA-4760-802E-5751A7C86A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Original Data</vt:lpstr>
      <vt:lpstr>Sheet4</vt:lpstr>
      <vt:lpstr>Sheet2</vt:lpstr>
      <vt:lpstr>Sheet3</vt:lpstr>
      <vt:lpstr>Working Data</vt:lpstr>
      <vt:lpstr>Sheet1</vt:lpstr>
      <vt:lpstr>Broad Categories</vt:lpstr>
      <vt:lpstr>Problem 1</vt:lpstr>
      <vt:lpstr>Problem 2</vt:lpstr>
      <vt:lpstr>Problem 3</vt:lpstr>
      <vt:lpstr>Problem 4</vt:lpstr>
      <vt:lpstr>Problem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Priyanka Jorasia</cp:lastModifiedBy>
  <dcterms:created xsi:type="dcterms:W3CDTF">2026-06-25T17:45:21Z</dcterms:created>
  <dcterms:modified xsi:type="dcterms:W3CDTF">2026-06-28T13:24:16Z</dcterms:modified>
</cp:coreProperties>
</file>